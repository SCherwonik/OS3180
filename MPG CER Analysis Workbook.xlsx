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mson\AppData\Local\Temp\claude\C--Users-Samson-Desktop-Homework-OS3180-Final-Project\7078c8fd-fb03-4929-877b-16e11e3df8c3\scratchpad\"/>
    </mc:Choice>
  </mc:AlternateContent>
  <xr:revisionPtr revIDLastSave="0" documentId="13_ncr:1_{6466C514-A41B-4C5C-8A78-594D102A1A6E}" xr6:coauthVersionLast="47" xr6:coauthVersionMax="47" xr10:uidLastSave="{00000000-0000-0000-0000-000000000000}"/>
  <bookViews>
    <workbookView xWindow="29160" yWindow="4572" windowWidth="14400" windowHeight="7356" xr2:uid="{00000000-000D-0000-FFFF-FFFF00000000}"/>
  </bookViews>
  <sheets>
    <sheet name="README" sheetId="1" r:id="rId1"/>
    <sheet name="Data" sheetId="2" r:id="rId2"/>
    <sheet name="Data_Combustion" sheetId="3" r:id="rId3"/>
    <sheet name="CER" sheetId="4" r:id="rId4"/>
    <sheet name="Alternatives" sheetId="5" r:id="rId5"/>
    <sheet name="Normalization" sheetId="6" r:id="rId6"/>
    <sheet name="Diffusion" sheetId="7" r:id="rId7"/>
    <sheet name="EV Productivity" sheetId="8" r:id="rId8"/>
    <sheet name="Class Productivity" sheetId="9" r:id="rId9"/>
    <sheet name="Reference"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10" l="1"/>
  <c r="C30" i="10"/>
  <c r="C26" i="10"/>
  <c r="I319" i="9"/>
  <c r="H319" i="9"/>
  <c r="G319" i="9"/>
  <c r="N319" i="9" s="1"/>
  <c r="I318" i="9"/>
  <c r="H318" i="9"/>
  <c r="G318" i="9"/>
  <c r="N318" i="9" s="1"/>
  <c r="I317" i="9"/>
  <c r="H317" i="9"/>
  <c r="G317" i="9"/>
  <c r="N317" i="9" s="1"/>
  <c r="I316" i="9"/>
  <c r="H316" i="9"/>
  <c r="G316" i="9"/>
  <c r="I315" i="9"/>
  <c r="H315" i="9"/>
  <c r="G315" i="9"/>
  <c r="N315" i="9" s="1"/>
  <c r="I314" i="9"/>
  <c r="H314" i="9"/>
  <c r="G314" i="9"/>
  <c r="I313" i="9"/>
  <c r="H313" i="9"/>
  <c r="G313" i="9"/>
  <c r="I312" i="9"/>
  <c r="H312" i="9"/>
  <c r="G312" i="9"/>
  <c r="N311" i="9"/>
  <c r="M311" i="9"/>
  <c r="I311" i="9"/>
  <c r="H311" i="9"/>
  <c r="G311" i="9"/>
  <c r="L311" i="9" s="1"/>
  <c r="I310" i="9"/>
  <c r="H310" i="9"/>
  <c r="G310" i="9"/>
  <c r="N310" i="9" s="1"/>
  <c r="I309" i="9"/>
  <c r="H309" i="9"/>
  <c r="G309" i="9"/>
  <c r="I308" i="9"/>
  <c r="H308" i="9"/>
  <c r="G308" i="9"/>
  <c r="L308" i="9" s="1"/>
  <c r="N307" i="9"/>
  <c r="I307" i="9"/>
  <c r="H307" i="9"/>
  <c r="G307" i="9"/>
  <c r="N306" i="9"/>
  <c r="I306" i="9"/>
  <c r="H306" i="9"/>
  <c r="G306" i="9"/>
  <c r="M306" i="9" s="1"/>
  <c r="I305" i="9"/>
  <c r="H305" i="9"/>
  <c r="G305" i="9"/>
  <c r="L305" i="9" s="1"/>
  <c r="N304" i="9"/>
  <c r="M304" i="9"/>
  <c r="L304" i="9"/>
  <c r="I304" i="9"/>
  <c r="H304" i="9"/>
  <c r="G304" i="9"/>
  <c r="I303" i="9"/>
  <c r="H303" i="9"/>
  <c r="G303" i="9"/>
  <c r="N302" i="9"/>
  <c r="M302" i="9"/>
  <c r="L302" i="9"/>
  <c r="I302" i="9"/>
  <c r="H302" i="9"/>
  <c r="G302" i="9"/>
  <c r="I301" i="9"/>
  <c r="H301" i="9"/>
  <c r="G301" i="9"/>
  <c r="L301" i="9" s="1"/>
  <c r="N300" i="9"/>
  <c r="M300" i="9"/>
  <c r="L300" i="9"/>
  <c r="I300" i="9"/>
  <c r="H300" i="9"/>
  <c r="G300" i="9"/>
  <c r="I299" i="9"/>
  <c r="H299" i="9"/>
  <c r="G299" i="9"/>
  <c r="I298" i="9"/>
  <c r="H298" i="9"/>
  <c r="G298" i="9"/>
  <c r="N298" i="9" s="1"/>
  <c r="I297" i="9"/>
  <c r="H297" i="9"/>
  <c r="G297" i="9"/>
  <c r="I296" i="9"/>
  <c r="H296" i="9"/>
  <c r="G296" i="9"/>
  <c r="M296" i="9" s="1"/>
  <c r="I295" i="9"/>
  <c r="H295" i="9"/>
  <c r="G295" i="9"/>
  <c r="I294" i="9"/>
  <c r="H294" i="9"/>
  <c r="G294" i="9"/>
  <c r="N294" i="9" s="1"/>
  <c r="I293" i="9"/>
  <c r="H293" i="9"/>
  <c r="G293" i="9"/>
  <c r="N293" i="9" s="1"/>
  <c r="M292" i="9"/>
  <c r="L292" i="9"/>
  <c r="I292" i="9"/>
  <c r="H292" i="9"/>
  <c r="G292" i="9"/>
  <c r="N292" i="9" s="1"/>
  <c r="I291" i="9"/>
  <c r="H291" i="9"/>
  <c r="G291" i="9"/>
  <c r="N291" i="9" s="1"/>
  <c r="N290" i="9"/>
  <c r="M290" i="9"/>
  <c r="I290" i="9"/>
  <c r="H290" i="9"/>
  <c r="G290" i="9"/>
  <c r="L290" i="9" s="1"/>
  <c r="L289" i="9"/>
  <c r="I289" i="9"/>
  <c r="H289" i="9"/>
  <c r="G289" i="9"/>
  <c r="I288" i="9"/>
  <c r="H288" i="9"/>
  <c r="G288" i="9"/>
  <c r="I287" i="9"/>
  <c r="H287" i="9"/>
  <c r="G287" i="9"/>
  <c r="N287" i="9" s="1"/>
  <c r="I286" i="9"/>
  <c r="H286" i="9"/>
  <c r="G286" i="9"/>
  <c r="N285" i="9"/>
  <c r="L285" i="9"/>
  <c r="I285" i="9"/>
  <c r="H285" i="9"/>
  <c r="G285" i="9"/>
  <c r="M285" i="9" s="1"/>
  <c r="I284" i="9"/>
  <c r="H284" i="9"/>
  <c r="G284" i="9"/>
  <c r="M284" i="9" s="1"/>
  <c r="I283" i="9"/>
  <c r="H283" i="9"/>
  <c r="G283" i="9"/>
  <c r="M282" i="9"/>
  <c r="I282" i="9"/>
  <c r="H282" i="9"/>
  <c r="G282" i="9"/>
  <c r="L282" i="9" s="1"/>
  <c r="I281" i="9"/>
  <c r="H281" i="9"/>
  <c r="G281" i="9"/>
  <c r="N281" i="9" s="1"/>
  <c r="N280" i="9"/>
  <c r="M280" i="9"/>
  <c r="L280" i="9"/>
  <c r="I280" i="9"/>
  <c r="H280" i="9"/>
  <c r="G280" i="9"/>
  <c r="I279" i="9"/>
  <c r="H279" i="9"/>
  <c r="G279" i="9"/>
  <c r="N278" i="9"/>
  <c r="M278" i="9"/>
  <c r="L278" i="9"/>
  <c r="I278" i="9"/>
  <c r="H278" i="9"/>
  <c r="G278" i="9"/>
  <c r="I277" i="9"/>
  <c r="H277" i="9"/>
  <c r="G277" i="9"/>
  <c r="L277" i="9" s="1"/>
  <c r="I276" i="9"/>
  <c r="H276" i="9"/>
  <c r="G276" i="9"/>
  <c r="I275" i="9"/>
  <c r="H275" i="9"/>
  <c r="G275" i="9"/>
  <c r="L274" i="9"/>
  <c r="I274" i="9"/>
  <c r="H274" i="9"/>
  <c r="G274" i="9"/>
  <c r="N273" i="9"/>
  <c r="I273" i="9"/>
  <c r="H273" i="9"/>
  <c r="G273" i="9"/>
  <c r="M273" i="9" s="1"/>
  <c r="I272" i="9"/>
  <c r="H272" i="9"/>
  <c r="G272" i="9"/>
  <c r="L272" i="9" s="1"/>
  <c r="N271" i="9"/>
  <c r="I271" i="9"/>
  <c r="H271" i="9"/>
  <c r="G271" i="9"/>
  <c r="I270" i="9"/>
  <c r="H270" i="9"/>
  <c r="G270" i="9"/>
  <c r="N269" i="9"/>
  <c r="L269" i="9"/>
  <c r="I269" i="9"/>
  <c r="H269" i="9"/>
  <c r="M269" i="9" s="1"/>
  <c r="G269" i="9"/>
  <c r="I268" i="9"/>
  <c r="H268" i="9"/>
  <c r="G268" i="9"/>
  <c r="L268" i="9" s="1"/>
  <c r="I267" i="9"/>
  <c r="H267" i="9"/>
  <c r="G267" i="9"/>
  <c r="M267" i="9" s="1"/>
  <c r="N266" i="9"/>
  <c r="M266" i="9"/>
  <c r="I266" i="9"/>
  <c r="H266" i="9"/>
  <c r="G266" i="9"/>
  <c r="L266" i="9" s="1"/>
  <c r="I265" i="9"/>
  <c r="H265" i="9"/>
  <c r="G265" i="9"/>
  <c r="I264" i="9"/>
  <c r="H264" i="9"/>
  <c r="G264" i="9"/>
  <c r="N263" i="9"/>
  <c r="L263" i="9"/>
  <c r="I263" i="9"/>
  <c r="H263" i="9"/>
  <c r="G263" i="9"/>
  <c r="M263" i="9" s="1"/>
  <c r="I262" i="9"/>
  <c r="H262" i="9"/>
  <c r="G262" i="9"/>
  <c r="M262" i="9" s="1"/>
  <c r="N261" i="9"/>
  <c r="I261" i="9"/>
  <c r="H261" i="9"/>
  <c r="G261" i="9"/>
  <c r="I260" i="9"/>
  <c r="H260" i="9"/>
  <c r="G260" i="9"/>
  <c r="M259" i="9"/>
  <c r="I259" i="9"/>
  <c r="H259" i="9"/>
  <c r="G259" i="9"/>
  <c r="N258" i="9"/>
  <c r="M258" i="9"/>
  <c r="I258" i="9"/>
  <c r="H258" i="9"/>
  <c r="G258" i="9"/>
  <c r="L258" i="9" s="1"/>
  <c r="I257" i="9"/>
  <c r="H257" i="9"/>
  <c r="G257" i="9"/>
  <c r="I256" i="9"/>
  <c r="H256" i="9"/>
  <c r="G256" i="9"/>
  <c r="I255" i="9"/>
  <c r="H255" i="9"/>
  <c r="G255" i="9"/>
  <c r="L254" i="9"/>
  <c r="I254" i="9"/>
  <c r="H254" i="9"/>
  <c r="G254" i="9"/>
  <c r="L253" i="9"/>
  <c r="I253" i="9"/>
  <c r="H253" i="9"/>
  <c r="G253" i="9"/>
  <c r="N252" i="9"/>
  <c r="L252" i="9"/>
  <c r="I252" i="9"/>
  <c r="H252" i="9"/>
  <c r="G252" i="9"/>
  <c r="M252" i="9" s="1"/>
  <c r="I251" i="9"/>
  <c r="H251" i="9"/>
  <c r="G251" i="9"/>
  <c r="M251" i="9" s="1"/>
  <c r="I250" i="9"/>
  <c r="H250" i="9"/>
  <c r="G250" i="9"/>
  <c r="L250" i="9" s="1"/>
  <c r="L249" i="9"/>
  <c r="I249" i="9"/>
  <c r="H249" i="9"/>
  <c r="G249" i="9"/>
  <c r="N249" i="9" s="1"/>
  <c r="I248" i="9"/>
  <c r="H248" i="9"/>
  <c r="G248" i="9"/>
  <c r="N248" i="9" s="1"/>
  <c r="N247" i="9"/>
  <c r="M247" i="9"/>
  <c r="L247" i="9"/>
  <c r="I247" i="9"/>
  <c r="H247" i="9"/>
  <c r="G247" i="9"/>
  <c r="I246" i="9"/>
  <c r="H246" i="9"/>
  <c r="G246" i="9"/>
  <c r="I245" i="9"/>
  <c r="H245" i="9"/>
  <c r="G245" i="9"/>
  <c r="L245" i="9" s="1"/>
  <c r="M244" i="9"/>
  <c r="I244" i="9"/>
  <c r="H244" i="9"/>
  <c r="G244" i="9"/>
  <c r="I243" i="9"/>
  <c r="H243" i="9"/>
  <c r="G243" i="9"/>
  <c r="I242" i="9"/>
  <c r="H242" i="9"/>
  <c r="G242" i="9"/>
  <c r="N242" i="9" s="1"/>
  <c r="I241" i="9"/>
  <c r="H241" i="9"/>
  <c r="G241" i="9"/>
  <c r="M240" i="9"/>
  <c r="L240" i="9"/>
  <c r="I240" i="9"/>
  <c r="H240" i="9"/>
  <c r="G240" i="9"/>
  <c r="N240" i="9" s="1"/>
  <c r="I239" i="9"/>
  <c r="H239" i="9"/>
  <c r="G239" i="9"/>
  <c r="N239" i="9" s="1"/>
  <c r="I238" i="9"/>
  <c r="H238" i="9"/>
  <c r="G238" i="9"/>
  <c r="I237" i="9"/>
  <c r="H237" i="9"/>
  <c r="G237" i="9"/>
  <c r="N236" i="9"/>
  <c r="I236" i="9"/>
  <c r="H236" i="9"/>
  <c r="G236" i="9"/>
  <c r="I235" i="9"/>
  <c r="H235" i="9"/>
  <c r="G235" i="9"/>
  <c r="I234" i="9"/>
  <c r="H234" i="9"/>
  <c r="G234" i="9"/>
  <c r="N234" i="9" s="1"/>
  <c r="I233" i="9"/>
  <c r="H233" i="9"/>
  <c r="G233" i="9"/>
  <c r="L233" i="9" s="1"/>
  <c r="I232" i="9"/>
  <c r="H232" i="9"/>
  <c r="G232" i="9"/>
  <c r="N232" i="9" s="1"/>
  <c r="N231" i="9"/>
  <c r="L231" i="9"/>
  <c r="I231" i="9"/>
  <c r="H231" i="9"/>
  <c r="G231" i="9"/>
  <c r="M231" i="9" s="1"/>
  <c r="I230" i="9"/>
  <c r="H230" i="9"/>
  <c r="G230" i="9"/>
  <c r="N229" i="9"/>
  <c r="M229" i="9"/>
  <c r="L229" i="9"/>
  <c r="I229" i="9"/>
  <c r="H229" i="9"/>
  <c r="G229" i="9"/>
  <c r="I228" i="9"/>
  <c r="H228" i="9"/>
  <c r="G228" i="9"/>
  <c r="L228" i="9" s="1"/>
  <c r="I227" i="9"/>
  <c r="H227" i="9"/>
  <c r="G227" i="9"/>
  <c r="N227" i="9" s="1"/>
  <c r="L226" i="9"/>
  <c r="I226" i="9"/>
  <c r="H226" i="9"/>
  <c r="G226" i="9"/>
  <c r="N226" i="9" s="1"/>
  <c r="I225" i="9"/>
  <c r="H225" i="9"/>
  <c r="G225" i="9"/>
  <c r="M225" i="9" s="1"/>
  <c r="I224" i="9"/>
  <c r="H224" i="9"/>
  <c r="G224" i="9"/>
  <c r="M223" i="9"/>
  <c r="I223" i="9"/>
  <c r="H223" i="9"/>
  <c r="G223" i="9"/>
  <c r="L223" i="9" s="1"/>
  <c r="I222" i="9"/>
  <c r="H222" i="9"/>
  <c r="G222" i="9"/>
  <c r="L222" i="9" s="1"/>
  <c r="I221" i="9"/>
  <c r="H221" i="9"/>
  <c r="G221" i="9"/>
  <c r="N221" i="9" s="1"/>
  <c r="L220" i="9"/>
  <c r="I220" i="9"/>
  <c r="H220" i="9"/>
  <c r="G220" i="9"/>
  <c r="M220" i="9" s="1"/>
  <c r="L219" i="9"/>
  <c r="I219" i="9"/>
  <c r="H219" i="9"/>
  <c r="M219" i="9" s="1"/>
  <c r="G219" i="9"/>
  <c r="M218" i="9"/>
  <c r="I218" i="9"/>
  <c r="H218" i="9"/>
  <c r="G218" i="9"/>
  <c r="L218" i="9" s="1"/>
  <c r="I217" i="9"/>
  <c r="H217" i="9"/>
  <c r="G217" i="9"/>
  <c r="L217" i="9" s="1"/>
  <c r="L216" i="9"/>
  <c r="I216" i="9"/>
  <c r="H216" i="9"/>
  <c r="G216" i="9"/>
  <c r="I215" i="9"/>
  <c r="H215" i="9"/>
  <c r="G215" i="9"/>
  <c r="I214" i="9"/>
  <c r="N214" i="9" s="1"/>
  <c r="H214" i="9"/>
  <c r="G214" i="9"/>
  <c r="L214" i="9" s="1"/>
  <c r="I213" i="9"/>
  <c r="H213" i="9"/>
  <c r="G213" i="9"/>
  <c r="I212" i="9"/>
  <c r="H212" i="9"/>
  <c r="G212" i="9"/>
  <c r="N212" i="9" s="1"/>
  <c r="N211" i="9"/>
  <c r="M211" i="9"/>
  <c r="I211" i="9"/>
  <c r="H211" i="9"/>
  <c r="G211" i="9"/>
  <c r="L211" i="9" s="1"/>
  <c r="L210" i="9"/>
  <c r="I210" i="9"/>
  <c r="H210" i="9"/>
  <c r="G210" i="9"/>
  <c r="N209" i="9"/>
  <c r="L209" i="9"/>
  <c r="I209" i="9"/>
  <c r="H209" i="9"/>
  <c r="G209" i="9"/>
  <c r="M209" i="9" s="1"/>
  <c r="M208" i="9"/>
  <c r="L208" i="9"/>
  <c r="I208" i="9"/>
  <c r="H208" i="9"/>
  <c r="G208" i="9"/>
  <c r="N208" i="9" s="1"/>
  <c r="N207" i="9"/>
  <c r="M207" i="9"/>
  <c r="L207" i="9"/>
  <c r="I207" i="9"/>
  <c r="H207" i="9"/>
  <c r="G207" i="9"/>
  <c r="I206" i="9"/>
  <c r="H206" i="9"/>
  <c r="G206" i="9"/>
  <c r="L206" i="9" s="1"/>
  <c r="I205" i="9"/>
  <c r="H205" i="9"/>
  <c r="G205" i="9"/>
  <c r="N205" i="9" s="1"/>
  <c r="L204" i="9"/>
  <c r="I204" i="9"/>
  <c r="H204" i="9"/>
  <c r="G204" i="9"/>
  <c r="N204" i="9" s="1"/>
  <c r="I203" i="9"/>
  <c r="H203" i="9"/>
  <c r="G203" i="9"/>
  <c r="N203" i="9" s="1"/>
  <c r="I202" i="9"/>
  <c r="H202" i="9"/>
  <c r="G202" i="9"/>
  <c r="I201" i="9"/>
  <c r="H201" i="9"/>
  <c r="G201" i="9"/>
  <c r="N201" i="9" s="1"/>
  <c r="I200" i="9"/>
  <c r="H200" i="9"/>
  <c r="G200" i="9"/>
  <c r="N200" i="9" s="1"/>
  <c r="N199" i="9"/>
  <c r="M199" i="9"/>
  <c r="I199" i="9"/>
  <c r="H199" i="9"/>
  <c r="G199" i="9"/>
  <c r="L199" i="9" s="1"/>
  <c r="I198" i="9"/>
  <c r="H198" i="9"/>
  <c r="G198" i="9"/>
  <c r="I197" i="9"/>
  <c r="H197" i="9"/>
  <c r="G197" i="9"/>
  <c r="N197" i="9" s="1"/>
  <c r="N196" i="9"/>
  <c r="M196" i="9"/>
  <c r="I196" i="9"/>
  <c r="H196" i="9"/>
  <c r="G196" i="9"/>
  <c r="L196" i="9" s="1"/>
  <c r="I195" i="9"/>
  <c r="H195" i="9"/>
  <c r="G195" i="9"/>
  <c r="L195" i="9" s="1"/>
  <c r="M194" i="9"/>
  <c r="I194" i="9"/>
  <c r="H194" i="9"/>
  <c r="G194" i="9"/>
  <c r="I193" i="9"/>
  <c r="H193" i="9"/>
  <c r="G193" i="9"/>
  <c r="N193" i="9" s="1"/>
  <c r="N192" i="9"/>
  <c r="M192" i="9"/>
  <c r="L192" i="9"/>
  <c r="I192" i="9"/>
  <c r="H192" i="9"/>
  <c r="G192" i="9"/>
  <c r="I191" i="9"/>
  <c r="H191" i="9"/>
  <c r="G191" i="9"/>
  <c r="I190" i="9"/>
  <c r="H190" i="9"/>
  <c r="G190" i="9"/>
  <c r="N190" i="9" s="1"/>
  <c r="I189" i="9"/>
  <c r="H189" i="9"/>
  <c r="G189" i="9"/>
  <c r="I188" i="9"/>
  <c r="H188" i="9"/>
  <c r="G188" i="9"/>
  <c r="N188" i="9" s="1"/>
  <c r="I187" i="9"/>
  <c r="H187" i="9"/>
  <c r="G187" i="9"/>
  <c r="M187" i="9" s="1"/>
  <c r="M186" i="9"/>
  <c r="L186" i="9"/>
  <c r="I186" i="9"/>
  <c r="H186" i="9"/>
  <c r="G186" i="9"/>
  <c r="N186" i="9" s="1"/>
  <c r="I185" i="9"/>
  <c r="H185" i="9"/>
  <c r="G185" i="9"/>
  <c r="N184" i="9"/>
  <c r="M184" i="9"/>
  <c r="I184" i="9"/>
  <c r="H184" i="9"/>
  <c r="G184" i="9"/>
  <c r="L184" i="9" s="1"/>
  <c r="I183" i="9"/>
  <c r="H183" i="9"/>
  <c r="G183" i="9"/>
  <c r="M183" i="9" s="1"/>
  <c r="I182" i="9"/>
  <c r="H182" i="9"/>
  <c r="G182" i="9"/>
  <c r="N181" i="9"/>
  <c r="M181" i="9"/>
  <c r="I181" i="9"/>
  <c r="H181" i="9"/>
  <c r="G181" i="9"/>
  <c r="L181" i="9" s="1"/>
  <c r="I180" i="9"/>
  <c r="H180" i="9"/>
  <c r="G180" i="9"/>
  <c r="L179" i="9"/>
  <c r="I179" i="9"/>
  <c r="H179" i="9"/>
  <c r="G179" i="9"/>
  <c r="N179" i="9" s="1"/>
  <c r="I178" i="9"/>
  <c r="H178" i="9"/>
  <c r="G178" i="9"/>
  <c r="L178" i="9" s="1"/>
  <c r="I177" i="9"/>
  <c r="H177" i="9"/>
  <c r="G177" i="9"/>
  <c r="I176" i="9"/>
  <c r="H176" i="9"/>
  <c r="G176" i="9"/>
  <c r="L175" i="9"/>
  <c r="I175" i="9"/>
  <c r="H175" i="9"/>
  <c r="G175" i="9"/>
  <c r="N174" i="9"/>
  <c r="I174" i="9"/>
  <c r="H174" i="9"/>
  <c r="G174" i="9"/>
  <c r="M174" i="9" s="1"/>
  <c r="I173" i="9"/>
  <c r="H173" i="9"/>
  <c r="G173" i="9"/>
  <c r="I172" i="9"/>
  <c r="H172" i="9"/>
  <c r="G172" i="9"/>
  <c r="I171" i="9"/>
  <c r="H171" i="9"/>
  <c r="G171" i="9"/>
  <c r="N171" i="9" s="1"/>
  <c r="I170" i="9"/>
  <c r="H170" i="9"/>
  <c r="G170" i="9"/>
  <c r="M169" i="9"/>
  <c r="I169" i="9"/>
  <c r="H169" i="9"/>
  <c r="G169" i="9"/>
  <c r="I168" i="9"/>
  <c r="H168" i="9"/>
  <c r="G168" i="9"/>
  <c r="I167" i="9"/>
  <c r="H167" i="9"/>
  <c r="G167" i="9"/>
  <c r="L167" i="9" s="1"/>
  <c r="L166" i="9"/>
  <c r="I166" i="9"/>
  <c r="N166" i="9" s="1"/>
  <c r="H166" i="9"/>
  <c r="G166" i="9"/>
  <c r="M166" i="9" s="1"/>
  <c r="L165" i="9"/>
  <c r="I165" i="9"/>
  <c r="N165" i="9" s="1"/>
  <c r="H165" i="9"/>
  <c r="G165" i="9"/>
  <c r="I164" i="9"/>
  <c r="H164" i="9"/>
  <c r="M164" i="9" s="1"/>
  <c r="G164" i="9"/>
  <c r="L164" i="9" s="1"/>
  <c r="I163" i="9"/>
  <c r="H163" i="9"/>
  <c r="G163" i="9"/>
  <c r="I162" i="9"/>
  <c r="H162" i="9"/>
  <c r="G162" i="9"/>
  <c r="L162" i="9" s="1"/>
  <c r="I161" i="9"/>
  <c r="H161" i="9"/>
  <c r="G161" i="9"/>
  <c r="M161" i="9" s="1"/>
  <c r="I160" i="9"/>
  <c r="H160" i="9"/>
  <c r="G160" i="9"/>
  <c r="L159" i="9"/>
  <c r="I159" i="9"/>
  <c r="H159" i="9"/>
  <c r="M159" i="9" s="1"/>
  <c r="G159" i="9"/>
  <c r="N159" i="9" s="1"/>
  <c r="I158" i="9"/>
  <c r="H158" i="9"/>
  <c r="G158" i="9"/>
  <c r="M157" i="9"/>
  <c r="I157" i="9"/>
  <c r="H157" i="9"/>
  <c r="G157" i="9"/>
  <c r="N157" i="9" s="1"/>
  <c r="I156" i="9"/>
  <c r="H156" i="9"/>
  <c r="G156" i="9"/>
  <c r="I155" i="9"/>
  <c r="H155" i="9"/>
  <c r="G155" i="9"/>
  <c r="I154" i="9"/>
  <c r="H154" i="9"/>
  <c r="G154" i="9"/>
  <c r="I153" i="9"/>
  <c r="H153" i="9"/>
  <c r="G153" i="9"/>
  <c r="L152" i="9"/>
  <c r="I152" i="9"/>
  <c r="H152" i="9"/>
  <c r="G152" i="9"/>
  <c r="I151" i="9"/>
  <c r="H151" i="9"/>
  <c r="G151" i="9"/>
  <c r="I150" i="9"/>
  <c r="H150" i="9"/>
  <c r="G150" i="9"/>
  <c r="N150" i="9" s="1"/>
  <c r="I149" i="9"/>
  <c r="H149" i="9"/>
  <c r="G149" i="9"/>
  <c r="N148" i="9"/>
  <c r="M148" i="9"/>
  <c r="I148" i="9"/>
  <c r="H148" i="9"/>
  <c r="G148" i="9"/>
  <c r="L148" i="9" s="1"/>
  <c r="I147" i="9"/>
  <c r="H147" i="9"/>
  <c r="G147" i="9"/>
  <c r="N146" i="9"/>
  <c r="M146" i="9"/>
  <c r="L146" i="9"/>
  <c r="I146" i="9"/>
  <c r="H146" i="9"/>
  <c r="G146" i="9"/>
  <c r="I145" i="9"/>
  <c r="H145" i="9"/>
  <c r="G145" i="9"/>
  <c r="N145" i="9" s="1"/>
  <c r="I144" i="9"/>
  <c r="H144" i="9"/>
  <c r="G144" i="9"/>
  <c r="L144" i="9" s="1"/>
  <c r="N143" i="9"/>
  <c r="I143" i="9"/>
  <c r="H143" i="9"/>
  <c r="G143" i="9"/>
  <c r="L142" i="9"/>
  <c r="I142" i="9"/>
  <c r="H142" i="9"/>
  <c r="G142" i="9"/>
  <c r="N141" i="9"/>
  <c r="L141" i="9"/>
  <c r="I141" i="9"/>
  <c r="H141" i="9"/>
  <c r="G141" i="9"/>
  <c r="M141" i="9" s="1"/>
  <c r="I140" i="9"/>
  <c r="H140" i="9"/>
  <c r="G140" i="9"/>
  <c r="L140" i="9" s="1"/>
  <c r="I139" i="9"/>
  <c r="H139" i="9"/>
  <c r="G139" i="9"/>
  <c r="L138" i="9"/>
  <c r="I138" i="9"/>
  <c r="H138" i="9"/>
  <c r="G138" i="9"/>
  <c r="I137" i="9"/>
  <c r="H137" i="9"/>
  <c r="G137" i="9"/>
  <c r="M136" i="9"/>
  <c r="I136" i="9"/>
  <c r="H136" i="9"/>
  <c r="G136" i="9"/>
  <c r="I135" i="9"/>
  <c r="H135" i="9"/>
  <c r="G135" i="9"/>
  <c r="N135" i="9" s="1"/>
  <c r="I134" i="9"/>
  <c r="H134" i="9"/>
  <c r="G134" i="9"/>
  <c r="I133" i="9"/>
  <c r="H133" i="9"/>
  <c r="G133" i="9"/>
  <c r="I132" i="9"/>
  <c r="H132" i="9"/>
  <c r="G132" i="9"/>
  <c r="M131" i="9"/>
  <c r="L131" i="9"/>
  <c r="I131" i="9"/>
  <c r="H131" i="9"/>
  <c r="G131" i="9"/>
  <c r="N131" i="9" s="1"/>
  <c r="I130" i="9"/>
  <c r="H130" i="9"/>
  <c r="G130" i="9"/>
  <c r="N130" i="9" s="1"/>
  <c r="M129" i="9"/>
  <c r="I129" i="9"/>
  <c r="H129" i="9"/>
  <c r="G129" i="9"/>
  <c r="M128" i="9"/>
  <c r="I128" i="9"/>
  <c r="H128" i="9"/>
  <c r="G128" i="9"/>
  <c r="L128" i="9" s="1"/>
  <c r="M127" i="9"/>
  <c r="I127" i="9"/>
  <c r="H127" i="9"/>
  <c r="G127" i="9"/>
  <c r="N127" i="9" s="1"/>
  <c r="I126" i="9"/>
  <c r="H126" i="9"/>
  <c r="G126" i="9"/>
  <c r="N126" i="9" s="1"/>
  <c r="I125" i="9"/>
  <c r="H125" i="9"/>
  <c r="G125" i="9"/>
  <c r="M125" i="9" s="1"/>
  <c r="M124" i="9"/>
  <c r="I124" i="9"/>
  <c r="H124" i="9"/>
  <c r="G124" i="9"/>
  <c r="N124" i="9" s="1"/>
  <c r="N123" i="9"/>
  <c r="I123" i="9"/>
  <c r="H123" i="9"/>
  <c r="G123" i="9"/>
  <c r="N122" i="9"/>
  <c r="M122" i="9"/>
  <c r="I122" i="9"/>
  <c r="H122" i="9"/>
  <c r="G122" i="9"/>
  <c r="L122" i="9" s="1"/>
  <c r="I121" i="9"/>
  <c r="H121" i="9"/>
  <c r="G121" i="9"/>
  <c r="N121" i="9" s="1"/>
  <c r="M120" i="9"/>
  <c r="L120" i="9"/>
  <c r="I120" i="9"/>
  <c r="H120" i="9"/>
  <c r="G120" i="9"/>
  <c r="N120" i="9" s="1"/>
  <c r="I119" i="9"/>
  <c r="N119" i="9" s="1"/>
  <c r="H119" i="9"/>
  <c r="G119" i="9"/>
  <c r="I118" i="9"/>
  <c r="H118" i="9"/>
  <c r="G118" i="9"/>
  <c r="N117" i="9"/>
  <c r="M117" i="9"/>
  <c r="I117" i="9"/>
  <c r="H117" i="9"/>
  <c r="G117" i="9"/>
  <c r="L117" i="9" s="1"/>
  <c r="I116" i="9"/>
  <c r="H116" i="9"/>
  <c r="G116" i="9"/>
  <c r="N116" i="9" s="1"/>
  <c r="L115" i="9"/>
  <c r="I115" i="9"/>
  <c r="N115" i="9" s="1"/>
  <c r="H115" i="9"/>
  <c r="G115" i="9"/>
  <c r="I114" i="9"/>
  <c r="H114" i="9"/>
  <c r="M114" i="9" s="1"/>
  <c r="G114" i="9"/>
  <c r="I113" i="9"/>
  <c r="H113" i="9"/>
  <c r="G113" i="9"/>
  <c r="I112" i="9"/>
  <c r="N112" i="9" s="1"/>
  <c r="H112" i="9"/>
  <c r="G112" i="9"/>
  <c r="I111" i="9"/>
  <c r="H111" i="9"/>
  <c r="G111" i="9"/>
  <c r="L111" i="9" s="1"/>
  <c r="I110" i="9"/>
  <c r="H110" i="9"/>
  <c r="G110" i="9"/>
  <c r="L109" i="9"/>
  <c r="I109" i="9"/>
  <c r="H109" i="9"/>
  <c r="G109" i="9"/>
  <c r="I108" i="9"/>
  <c r="H108" i="9"/>
  <c r="G108" i="9"/>
  <c r="I107" i="9"/>
  <c r="N107" i="9" s="1"/>
  <c r="H107" i="9"/>
  <c r="G107" i="9"/>
  <c r="L107" i="9" s="1"/>
  <c r="N106" i="9"/>
  <c r="I106" i="9"/>
  <c r="H106" i="9"/>
  <c r="G106" i="9"/>
  <c r="L106" i="9" s="1"/>
  <c r="I105" i="9"/>
  <c r="H105" i="9"/>
  <c r="G105" i="9"/>
  <c r="N105" i="9" s="1"/>
  <c r="N104" i="9"/>
  <c r="M104" i="9"/>
  <c r="I104" i="9"/>
  <c r="H104" i="9"/>
  <c r="G104" i="9"/>
  <c r="L104" i="9" s="1"/>
  <c r="I103" i="9"/>
  <c r="H103" i="9"/>
  <c r="G103" i="9"/>
  <c r="N102" i="9"/>
  <c r="L102" i="9"/>
  <c r="I102" i="9"/>
  <c r="H102" i="9"/>
  <c r="G102" i="9"/>
  <c r="M102" i="9" s="1"/>
  <c r="I101" i="9"/>
  <c r="H101" i="9"/>
  <c r="G101" i="9"/>
  <c r="L101" i="9" s="1"/>
  <c r="I100" i="9"/>
  <c r="H100" i="9"/>
  <c r="G100" i="9"/>
  <c r="N99" i="9"/>
  <c r="I99" i="9"/>
  <c r="H99" i="9"/>
  <c r="G99" i="9"/>
  <c r="M99" i="9" s="1"/>
  <c r="L98" i="9"/>
  <c r="I98" i="9"/>
  <c r="H98" i="9"/>
  <c r="G98" i="9"/>
  <c r="M97" i="9"/>
  <c r="I97" i="9"/>
  <c r="H97" i="9"/>
  <c r="G97" i="9"/>
  <c r="L97" i="9" s="1"/>
  <c r="I96" i="9"/>
  <c r="H96" i="9"/>
  <c r="G96" i="9"/>
  <c r="L96" i="9" s="1"/>
  <c r="I95" i="9"/>
  <c r="H95" i="9"/>
  <c r="G95" i="9"/>
  <c r="I94" i="9"/>
  <c r="H94" i="9"/>
  <c r="G94" i="9"/>
  <c r="M94" i="9" s="1"/>
  <c r="I93" i="9"/>
  <c r="H93" i="9"/>
  <c r="G93" i="9"/>
  <c r="M93" i="9" s="1"/>
  <c r="I92" i="9"/>
  <c r="H92" i="9"/>
  <c r="G92" i="9"/>
  <c r="I91" i="9"/>
  <c r="H91" i="9"/>
  <c r="G91" i="9"/>
  <c r="L91" i="9" s="1"/>
  <c r="I90" i="9"/>
  <c r="H90" i="9"/>
  <c r="G90" i="9"/>
  <c r="M89" i="9"/>
  <c r="L89" i="9"/>
  <c r="I89" i="9"/>
  <c r="H89" i="9"/>
  <c r="G89" i="9"/>
  <c r="N89" i="9" s="1"/>
  <c r="I88" i="9"/>
  <c r="H88" i="9"/>
  <c r="G88" i="9"/>
  <c r="M88" i="9" s="1"/>
  <c r="I87" i="9"/>
  <c r="H87" i="9"/>
  <c r="G87" i="9"/>
  <c r="N87" i="9" s="1"/>
  <c r="N86" i="9"/>
  <c r="I86" i="9"/>
  <c r="H86" i="9"/>
  <c r="G86" i="9"/>
  <c r="M86" i="9" s="1"/>
  <c r="I85" i="9"/>
  <c r="H85" i="9"/>
  <c r="G85" i="9"/>
  <c r="N85" i="9" s="1"/>
  <c r="N84" i="9"/>
  <c r="I84" i="9"/>
  <c r="H84" i="9"/>
  <c r="G84" i="9"/>
  <c r="I83" i="9"/>
  <c r="H83" i="9"/>
  <c r="G83" i="9"/>
  <c r="M82" i="9"/>
  <c r="I82" i="9"/>
  <c r="H82" i="9"/>
  <c r="G82" i="9"/>
  <c r="N82" i="9" s="1"/>
  <c r="I81" i="9"/>
  <c r="H81" i="9"/>
  <c r="G81" i="9"/>
  <c r="L81" i="9" s="1"/>
  <c r="I80" i="9"/>
  <c r="H80" i="9"/>
  <c r="G80" i="9"/>
  <c r="M79" i="9"/>
  <c r="I79" i="9"/>
  <c r="H79" i="9"/>
  <c r="G79" i="9"/>
  <c r="N79" i="9" s="1"/>
  <c r="I78" i="9"/>
  <c r="H78" i="9"/>
  <c r="G78" i="9"/>
  <c r="I77" i="9"/>
  <c r="H77" i="9"/>
  <c r="G77" i="9"/>
  <c r="I76" i="9"/>
  <c r="H76" i="9"/>
  <c r="G76" i="9"/>
  <c r="L76" i="9" s="1"/>
  <c r="I75" i="9"/>
  <c r="H75" i="9"/>
  <c r="G75" i="9"/>
  <c r="M75" i="9" s="1"/>
  <c r="M74" i="9"/>
  <c r="I74" i="9"/>
  <c r="H74" i="9"/>
  <c r="G74" i="9"/>
  <c r="L74" i="9" s="1"/>
  <c r="L73" i="9"/>
  <c r="I73" i="9"/>
  <c r="H73" i="9"/>
  <c r="G73" i="9"/>
  <c r="N73" i="9" s="1"/>
  <c r="N72" i="9"/>
  <c r="M72" i="9"/>
  <c r="L72" i="9"/>
  <c r="I72" i="9"/>
  <c r="H72" i="9"/>
  <c r="G72" i="9"/>
  <c r="M71" i="9"/>
  <c r="L71" i="9"/>
  <c r="I71" i="9"/>
  <c r="H71" i="9"/>
  <c r="G71" i="9"/>
  <c r="N71" i="9" s="1"/>
  <c r="N70" i="9"/>
  <c r="M70" i="9"/>
  <c r="I70" i="9"/>
  <c r="H70" i="9"/>
  <c r="G70" i="9"/>
  <c r="L70" i="9" s="1"/>
  <c r="I69" i="9"/>
  <c r="H69" i="9"/>
  <c r="G69" i="9"/>
  <c r="I68" i="9"/>
  <c r="N68" i="9" s="1"/>
  <c r="H68" i="9"/>
  <c r="G68" i="9"/>
  <c r="L68" i="9" s="1"/>
  <c r="I67" i="9"/>
  <c r="H67" i="9"/>
  <c r="G67" i="9"/>
  <c r="L67" i="9" s="1"/>
  <c r="L66" i="9"/>
  <c r="I66" i="9"/>
  <c r="H66" i="9"/>
  <c r="G66" i="9"/>
  <c r="I65" i="9"/>
  <c r="H65" i="9"/>
  <c r="G65" i="9"/>
  <c r="N65" i="9" s="1"/>
  <c r="L64" i="9"/>
  <c r="I64" i="9"/>
  <c r="N64" i="9" s="1"/>
  <c r="H64" i="9"/>
  <c r="G64" i="9"/>
  <c r="L63" i="9"/>
  <c r="I63" i="9"/>
  <c r="N63" i="9" s="1"/>
  <c r="H63" i="9"/>
  <c r="M63" i="9" s="1"/>
  <c r="G63" i="9"/>
  <c r="I62" i="9"/>
  <c r="H62" i="9"/>
  <c r="G62" i="9"/>
  <c r="L61" i="9"/>
  <c r="I61" i="9"/>
  <c r="H61" i="9"/>
  <c r="G61" i="9"/>
  <c r="I60" i="9"/>
  <c r="H60" i="9"/>
  <c r="G60" i="9"/>
  <c r="I59" i="9"/>
  <c r="H59" i="9"/>
  <c r="G59" i="9"/>
  <c r="L59" i="9" s="1"/>
  <c r="L58" i="9"/>
  <c r="I58" i="9"/>
  <c r="N58" i="9" s="1"/>
  <c r="H58" i="9"/>
  <c r="G58" i="9"/>
  <c r="M58" i="9" s="1"/>
  <c r="I57" i="9"/>
  <c r="H57" i="9"/>
  <c r="G57" i="9"/>
  <c r="I56" i="9"/>
  <c r="H56" i="9"/>
  <c r="G56" i="9"/>
  <c r="L56" i="9" s="1"/>
  <c r="I55" i="9"/>
  <c r="H55" i="9"/>
  <c r="G55" i="9"/>
  <c r="N55" i="9" s="1"/>
  <c r="I54" i="9"/>
  <c r="H54" i="9"/>
  <c r="G54" i="9"/>
  <c r="N54" i="9" s="1"/>
  <c r="N53" i="9"/>
  <c r="L53" i="9"/>
  <c r="I53" i="9"/>
  <c r="H53" i="9"/>
  <c r="G53" i="9"/>
  <c r="M53" i="9" s="1"/>
  <c r="I52" i="9"/>
  <c r="H52" i="9"/>
  <c r="G52" i="9"/>
  <c r="I51" i="9"/>
  <c r="H51" i="9"/>
  <c r="G51" i="9"/>
  <c r="I50" i="9"/>
  <c r="H50" i="9"/>
  <c r="G50" i="9"/>
  <c r="L50" i="9" s="1"/>
  <c r="I49" i="9"/>
  <c r="H49" i="9"/>
  <c r="G49" i="9"/>
  <c r="I48" i="9"/>
  <c r="H48" i="9"/>
  <c r="G48" i="9"/>
  <c r="I47" i="9"/>
  <c r="H47" i="9"/>
  <c r="G47" i="9"/>
  <c r="M46" i="9"/>
  <c r="I46" i="9"/>
  <c r="H46" i="9"/>
  <c r="G46" i="9"/>
  <c r="N46" i="9" s="1"/>
  <c r="I45" i="9"/>
  <c r="H45" i="9"/>
  <c r="G45" i="9"/>
  <c r="I44" i="9"/>
  <c r="H44" i="9"/>
  <c r="G44" i="9"/>
  <c r="I43" i="9"/>
  <c r="H43" i="9"/>
  <c r="G43" i="9"/>
  <c r="N42" i="9"/>
  <c r="L42" i="9"/>
  <c r="I42" i="9"/>
  <c r="H42" i="9"/>
  <c r="G42" i="9"/>
  <c r="M42" i="9" s="1"/>
  <c r="I41" i="9"/>
  <c r="H41" i="9"/>
  <c r="G41" i="9"/>
  <c r="I40" i="9"/>
  <c r="H40" i="9"/>
  <c r="G40" i="9"/>
  <c r="I39" i="9"/>
  <c r="H39" i="9"/>
  <c r="G39" i="9"/>
  <c r="N39" i="9" s="1"/>
  <c r="I38" i="9"/>
  <c r="H38" i="9"/>
  <c r="G38" i="9"/>
  <c r="L37" i="9"/>
  <c r="I37" i="9"/>
  <c r="H37" i="9"/>
  <c r="G37" i="9"/>
  <c r="L36" i="9"/>
  <c r="I36" i="9"/>
  <c r="H36" i="9"/>
  <c r="G36" i="9"/>
  <c r="M36" i="9" s="1"/>
  <c r="I35" i="9"/>
  <c r="H35" i="9"/>
  <c r="G35" i="9"/>
  <c r="I34" i="9"/>
  <c r="H34" i="9"/>
  <c r="G34" i="9"/>
  <c r="L34" i="9" s="1"/>
  <c r="I33" i="9"/>
  <c r="H33" i="9"/>
  <c r="G33" i="9"/>
  <c r="M33" i="9" s="1"/>
  <c r="N32" i="9"/>
  <c r="I32" i="9"/>
  <c r="H32" i="9"/>
  <c r="G32" i="9"/>
  <c r="M32" i="9" s="1"/>
  <c r="I31" i="9"/>
  <c r="H31" i="9"/>
  <c r="G31" i="9"/>
  <c r="N30" i="9"/>
  <c r="M30" i="9"/>
  <c r="L30" i="9"/>
  <c r="I30" i="9"/>
  <c r="H30" i="9"/>
  <c r="G30" i="9"/>
  <c r="N29" i="9"/>
  <c r="M29" i="9"/>
  <c r="I29" i="9"/>
  <c r="H29" i="9"/>
  <c r="G29" i="9"/>
  <c r="L29" i="9" s="1"/>
  <c r="I28" i="9"/>
  <c r="H28" i="9"/>
  <c r="G28" i="9"/>
  <c r="N28" i="9" s="1"/>
  <c r="M27" i="9"/>
  <c r="I27" i="9"/>
  <c r="H27" i="9"/>
  <c r="G27" i="9"/>
  <c r="I26" i="9"/>
  <c r="H26" i="9"/>
  <c r="G26" i="9"/>
  <c r="M26" i="9" s="1"/>
  <c r="N25" i="9"/>
  <c r="I25" i="9"/>
  <c r="H25" i="9"/>
  <c r="G25" i="9"/>
  <c r="M25" i="9" s="1"/>
  <c r="I24" i="9"/>
  <c r="H24" i="9"/>
  <c r="G24" i="9"/>
  <c r="I23" i="9"/>
  <c r="H23" i="9"/>
  <c r="G23" i="9"/>
  <c r="N22" i="9"/>
  <c r="M22" i="9"/>
  <c r="I22" i="9"/>
  <c r="H22" i="9"/>
  <c r="G22" i="9"/>
  <c r="L22" i="9" s="1"/>
  <c r="I21" i="9"/>
  <c r="H21" i="9"/>
  <c r="G21" i="9"/>
  <c r="N20" i="9"/>
  <c r="L20" i="9"/>
  <c r="I20" i="9"/>
  <c r="H20" i="9"/>
  <c r="G20" i="9"/>
  <c r="M20" i="9" s="1"/>
  <c r="E21" i="8"/>
  <c r="F21" i="8" s="1"/>
  <c r="G21" i="8" s="1"/>
  <c r="E20" i="8"/>
  <c r="F20" i="8" s="1"/>
  <c r="G20" i="8" s="1"/>
  <c r="E19" i="8"/>
  <c r="F19" i="8" s="1"/>
  <c r="G19" i="8" s="1"/>
  <c r="E18" i="8"/>
  <c r="F18" i="8" s="1"/>
  <c r="G18" i="8" s="1"/>
  <c r="E17" i="8"/>
  <c r="F17" i="8" s="1"/>
  <c r="G17" i="8" s="1"/>
  <c r="E16" i="8"/>
  <c r="F16" i="8" s="1"/>
  <c r="G16" i="8" s="1"/>
  <c r="E15" i="8"/>
  <c r="F15" i="8" s="1"/>
  <c r="G15" i="8" s="1"/>
  <c r="F14" i="8"/>
  <c r="G14" i="8" s="1"/>
  <c r="E14" i="8"/>
  <c r="J13" i="8"/>
  <c r="E13" i="8"/>
  <c r="F13" i="8" s="1"/>
  <c r="G13" i="8" s="1"/>
  <c r="F12" i="8"/>
  <c r="G12" i="8" s="1"/>
  <c r="E12" i="8"/>
  <c r="F11" i="8"/>
  <c r="G11" i="8" s="1"/>
  <c r="E11" i="8"/>
  <c r="E10" i="8"/>
  <c r="F10" i="8" s="1"/>
  <c r="G10" i="8" s="1"/>
  <c r="E9" i="8"/>
  <c r="F9" i="8" s="1"/>
  <c r="G9" i="8" s="1"/>
  <c r="Q50" i="7"/>
  <c r="P50" i="7"/>
  <c r="O50" i="7"/>
  <c r="Q49" i="7"/>
  <c r="O49" i="7"/>
  <c r="P49" i="7" s="1"/>
  <c r="Q48" i="7"/>
  <c r="O48" i="7"/>
  <c r="P48" i="7" s="1"/>
  <c r="Q47" i="7"/>
  <c r="O47" i="7"/>
  <c r="P47" i="7" s="1"/>
  <c r="Q46" i="7"/>
  <c r="O46" i="7"/>
  <c r="P46" i="7" s="1"/>
  <c r="Q45" i="7"/>
  <c r="O45" i="7"/>
  <c r="P45" i="7" s="1"/>
  <c r="E45" i="7"/>
  <c r="C45" i="7"/>
  <c r="D45" i="7" s="1"/>
  <c r="Q44" i="7"/>
  <c r="O44" i="7"/>
  <c r="P44" i="7" s="1"/>
  <c r="E44" i="7"/>
  <c r="C44" i="7"/>
  <c r="D44" i="7" s="1"/>
  <c r="Q43" i="7"/>
  <c r="O43" i="7"/>
  <c r="P43" i="7" s="1"/>
  <c r="E43" i="7"/>
  <c r="C43" i="7"/>
  <c r="D43" i="7" s="1"/>
  <c r="Q42" i="7"/>
  <c r="O42" i="7"/>
  <c r="P42" i="7" s="1"/>
  <c r="E42" i="7"/>
  <c r="C42" i="7"/>
  <c r="D42" i="7" s="1"/>
  <c r="Q41" i="7"/>
  <c r="P41" i="7"/>
  <c r="O41" i="7"/>
  <c r="E41" i="7"/>
  <c r="C41" i="7"/>
  <c r="D41" i="7" s="1"/>
  <c r="W40" i="7"/>
  <c r="U40" i="7"/>
  <c r="V40" i="7" s="1"/>
  <c r="Q40" i="7"/>
  <c r="O40" i="7"/>
  <c r="P40" i="7" s="1"/>
  <c r="E40" i="7"/>
  <c r="D40" i="7"/>
  <c r="C40" i="7"/>
  <c r="W39" i="7"/>
  <c r="U39" i="7"/>
  <c r="V39" i="7" s="1"/>
  <c r="Q39" i="7"/>
  <c r="O39" i="7"/>
  <c r="P39" i="7" s="1"/>
  <c r="E39" i="7"/>
  <c r="C39" i="7"/>
  <c r="D39" i="7" s="1"/>
  <c r="W38" i="7"/>
  <c r="U38" i="7"/>
  <c r="V38" i="7" s="1"/>
  <c r="Q38" i="7"/>
  <c r="O38" i="7"/>
  <c r="P38" i="7" s="1"/>
  <c r="E38" i="7"/>
  <c r="D38" i="7"/>
  <c r="C38" i="7"/>
  <c r="W37" i="7"/>
  <c r="U37" i="7"/>
  <c r="V37" i="7" s="1"/>
  <c r="Q37" i="7"/>
  <c r="O37" i="7"/>
  <c r="P37" i="7" s="1"/>
  <c r="E37" i="7"/>
  <c r="C37" i="7"/>
  <c r="D37" i="7" s="1"/>
  <c r="W36" i="7"/>
  <c r="U36" i="7"/>
  <c r="V36" i="7" s="1"/>
  <c r="Q36" i="7"/>
  <c r="O36" i="7"/>
  <c r="P36" i="7" s="1"/>
  <c r="E36" i="7"/>
  <c r="C36" i="7"/>
  <c r="D36" i="7" s="1"/>
  <c r="W35" i="7"/>
  <c r="U35" i="7"/>
  <c r="V35" i="7" s="1"/>
  <c r="Q35" i="7"/>
  <c r="O35" i="7"/>
  <c r="P35" i="7" s="1"/>
  <c r="E35" i="7"/>
  <c r="D35" i="7"/>
  <c r="C35" i="7"/>
  <c r="W34" i="7"/>
  <c r="U34" i="7"/>
  <c r="V34" i="7" s="1"/>
  <c r="Q34" i="7"/>
  <c r="O34" i="7"/>
  <c r="P34" i="7" s="1"/>
  <c r="E34" i="7"/>
  <c r="C34" i="7"/>
  <c r="D34" i="7" s="1"/>
  <c r="W33" i="7"/>
  <c r="V33" i="7"/>
  <c r="U33" i="7"/>
  <c r="Q33" i="7"/>
  <c r="O33" i="7"/>
  <c r="P33" i="7" s="1"/>
  <c r="K33" i="7"/>
  <c r="I33" i="7"/>
  <c r="J33" i="7" s="1"/>
  <c r="E33" i="7"/>
  <c r="C33" i="7"/>
  <c r="D33" i="7" s="1"/>
  <c r="W32" i="7"/>
  <c r="U32" i="7"/>
  <c r="V32" i="7" s="1"/>
  <c r="Q32" i="7"/>
  <c r="O32" i="7"/>
  <c r="P32" i="7" s="1"/>
  <c r="K32" i="7"/>
  <c r="I32" i="7"/>
  <c r="J32" i="7" s="1"/>
  <c r="E32" i="7"/>
  <c r="D32" i="7"/>
  <c r="C32" i="7"/>
  <c r="W31" i="7"/>
  <c r="U31" i="7"/>
  <c r="V31" i="7" s="1"/>
  <c r="Q31" i="7"/>
  <c r="O31" i="7"/>
  <c r="P31" i="7" s="1"/>
  <c r="K31" i="7"/>
  <c r="I31" i="7"/>
  <c r="J31" i="7" s="1"/>
  <c r="E31" i="7"/>
  <c r="C31" i="7"/>
  <c r="D31" i="7" s="1"/>
  <c r="AC30" i="7"/>
  <c r="AA30" i="7"/>
  <c r="AB30" i="7" s="1"/>
  <c r="W30" i="7"/>
  <c r="V30" i="7"/>
  <c r="U30" i="7"/>
  <c r="Q30" i="7"/>
  <c r="O30" i="7"/>
  <c r="P30" i="7" s="1"/>
  <c r="K30" i="7"/>
  <c r="I30" i="7"/>
  <c r="J30" i="7" s="1"/>
  <c r="E30" i="7"/>
  <c r="C30" i="7"/>
  <c r="D30" i="7" s="1"/>
  <c r="AC29" i="7"/>
  <c r="AB29" i="7"/>
  <c r="AA29" i="7"/>
  <c r="W29" i="7"/>
  <c r="U29" i="7"/>
  <c r="V29" i="7" s="1"/>
  <c r="Q29" i="7"/>
  <c r="O29" i="7"/>
  <c r="P29" i="7" s="1"/>
  <c r="K29" i="7"/>
  <c r="I29" i="7"/>
  <c r="J29" i="7" s="1"/>
  <c r="E29" i="7"/>
  <c r="C29" i="7"/>
  <c r="D29" i="7" s="1"/>
  <c r="AC28" i="7"/>
  <c r="AB28" i="7"/>
  <c r="AA28" i="7"/>
  <c r="W28" i="7"/>
  <c r="U28" i="7"/>
  <c r="V28" i="7" s="1"/>
  <c r="Q28" i="7"/>
  <c r="P28" i="7"/>
  <c r="O28" i="7"/>
  <c r="K28" i="7"/>
  <c r="I28" i="7"/>
  <c r="J28" i="7" s="1"/>
  <c r="E28" i="7"/>
  <c r="C28" i="7"/>
  <c r="D28" i="7" s="1"/>
  <c r="AC27" i="7"/>
  <c r="AA27" i="7"/>
  <c r="AB27" i="7" s="1"/>
  <c r="W27" i="7"/>
  <c r="U27" i="7"/>
  <c r="V27" i="7" s="1"/>
  <c r="Q27" i="7"/>
  <c r="O27" i="7"/>
  <c r="P27" i="7" s="1"/>
  <c r="K27" i="7"/>
  <c r="I27" i="7"/>
  <c r="J27" i="7" s="1"/>
  <c r="E27" i="7"/>
  <c r="C27" i="7"/>
  <c r="D27" i="7" s="1"/>
  <c r="AC26" i="7"/>
  <c r="AB26" i="7"/>
  <c r="AA26" i="7"/>
  <c r="W26" i="7"/>
  <c r="V26" i="7"/>
  <c r="U26" i="7"/>
  <c r="Q26" i="7"/>
  <c r="O26" i="7"/>
  <c r="P26" i="7" s="1"/>
  <c r="K26" i="7"/>
  <c r="J26" i="7"/>
  <c r="I26" i="7"/>
  <c r="E26" i="7"/>
  <c r="C26" i="7"/>
  <c r="D26" i="7" s="1"/>
  <c r="AC25" i="7"/>
  <c r="AB25" i="7"/>
  <c r="AA25" i="7"/>
  <c r="W25" i="7"/>
  <c r="U25" i="7"/>
  <c r="V25" i="7" s="1"/>
  <c r="Q25" i="7"/>
  <c r="O25" i="7"/>
  <c r="P25" i="7" s="1"/>
  <c r="K25" i="7"/>
  <c r="J25" i="7"/>
  <c r="I25" i="7"/>
  <c r="E25" i="7"/>
  <c r="D25" i="7"/>
  <c r="C25" i="7"/>
  <c r="AC24" i="7"/>
  <c r="AA24" i="7"/>
  <c r="AB24" i="7" s="1"/>
  <c r="W24" i="7"/>
  <c r="U24" i="7"/>
  <c r="V24" i="7" s="1"/>
  <c r="Q24" i="7"/>
  <c r="O24" i="7"/>
  <c r="P24" i="7" s="1"/>
  <c r="K24" i="7"/>
  <c r="I24" i="7"/>
  <c r="J24" i="7" s="1"/>
  <c r="E24" i="7"/>
  <c r="C24" i="7"/>
  <c r="D24" i="7" s="1"/>
  <c r="AC23" i="7"/>
  <c r="AA23" i="7"/>
  <c r="AB23" i="7" s="1"/>
  <c r="W23" i="7"/>
  <c r="U23" i="7"/>
  <c r="V23" i="7" s="1"/>
  <c r="Q23" i="7"/>
  <c r="O23" i="7"/>
  <c r="P23" i="7" s="1"/>
  <c r="K23" i="7"/>
  <c r="J23" i="7"/>
  <c r="I23" i="7"/>
  <c r="E23" i="7"/>
  <c r="C23" i="7"/>
  <c r="D23" i="7" s="1"/>
  <c r="AC22" i="7"/>
  <c r="AB22" i="7"/>
  <c r="AA22" i="7"/>
  <c r="W22" i="7"/>
  <c r="U22" i="7"/>
  <c r="V22" i="7" s="1"/>
  <c r="Q22" i="7"/>
  <c r="O22" i="7"/>
  <c r="P22" i="7" s="1"/>
  <c r="K22" i="7"/>
  <c r="I22" i="7"/>
  <c r="J22" i="7" s="1"/>
  <c r="E22" i="7"/>
  <c r="C22" i="7"/>
  <c r="D22" i="7" s="1"/>
  <c r="AC21" i="7"/>
  <c r="AB21" i="7"/>
  <c r="AA21" i="7"/>
  <c r="W21" i="7"/>
  <c r="U21" i="7"/>
  <c r="V21" i="7" s="1"/>
  <c r="Q21" i="7"/>
  <c r="O21" i="7"/>
  <c r="P21" i="7" s="1"/>
  <c r="K21" i="7"/>
  <c r="I21" i="7"/>
  <c r="J21" i="7" s="1"/>
  <c r="E21" i="7"/>
  <c r="C21" i="7"/>
  <c r="D21" i="7" s="1"/>
  <c r="AC20" i="7"/>
  <c r="AA20" i="7"/>
  <c r="AB20" i="7" s="1"/>
  <c r="W20" i="7"/>
  <c r="U20" i="7"/>
  <c r="V20" i="7" s="1"/>
  <c r="Q20" i="7"/>
  <c r="O20" i="7"/>
  <c r="P20" i="7" s="1"/>
  <c r="K20" i="7"/>
  <c r="I20" i="7"/>
  <c r="J20" i="7" s="1"/>
  <c r="E20" i="7"/>
  <c r="C20" i="7"/>
  <c r="D20" i="7" s="1"/>
  <c r="AC19" i="7"/>
  <c r="AA19" i="7"/>
  <c r="AB19" i="7" s="1"/>
  <c r="W19" i="7"/>
  <c r="U19" i="7"/>
  <c r="V19" i="7" s="1"/>
  <c r="Q19" i="7"/>
  <c r="O19" i="7"/>
  <c r="P19" i="7" s="1"/>
  <c r="K19" i="7"/>
  <c r="I19" i="7"/>
  <c r="J19" i="7" s="1"/>
  <c r="E19" i="7"/>
  <c r="C19" i="7"/>
  <c r="D19" i="7" s="1"/>
  <c r="AC18" i="7"/>
  <c r="AB18" i="7"/>
  <c r="AA18" i="7"/>
  <c r="W18" i="7"/>
  <c r="U18" i="7"/>
  <c r="V18" i="7" s="1"/>
  <c r="Q18" i="7"/>
  <c r="O18" i="7"/>
  <c r="P18" i="7" s="1"/>
  <c r="K18" i="7"/>
  <c r="I18" i="7"/>
  <c r="J18" i="7" s="1"/>
  <c r="E18" i="7"/>
  <c r="C18" i="7"/>
  <c r="D18" i="7" s="1"/>
  <c r="AC17" i="7"/>
  <c r="AB17" i="7"/>
  <c r="AA17" i="7"/>
  <c r="W17" i="7"/>
  <c r="U17" i="7"/>
  <c r="V17" i="7" s="1"/>
  <c r="Q17" i="7"/>
  <c r="P17" i="7"/>
  <c r="O17" i="7"/>
  <c r="K17" i="7"/>
  <c r="I17" i="7"/>
  <c r="J17" i="7" s="1"/>
  <c r="E17" i="7"/>
  <c r="C17" i="7"/>
  <c r="D17" i="7" s="1"/>
  <c r="AC16" i="7"/>
  <c r="AA16" i="7"/>
  <c r="AB16" i="7" s="1"/>
  <c r="W16" i="7"/>
  <c r="V16" i="7"/>
  <c r="U16" i="7"/>
  <c r="Q16" i="7"/>
  <c r="O16" i="7"/>
  <c r="P16" i="7" s="1"/>
  <c r="K16" i="7"/>
  <c r="I16" i="7"/>
  <c r="J16" i="7" s="1"/>
  <c r="E16" i="7"/>
  <c r="C16" i="7"/>
  <c r="D16" i="7" s="1"/>
  <c r="O9" i="7"/>
  <c r="N9" i="7"/>
  <c r="M9" i="7"/>
  <c r="L9" i="7"/>
  <c r="H9" i="7"/>
  <c r="C29" i="10" s="1"/>
  <c r="O8" i="7"/>
  <c r="N8" i="7"/>
  <c r="M8" i="7"/>
  <c r="L8" i="7"/>
  <c r="H8" i="7"/>
  <c r="C28" i="10" s="1"/>
  <c r="O7" i="7"/>
  <c r="N7" i="7"/>
  <c r="M7" i="7"/>
  <c r="L7" i="7"/>
  <c r="H7" i="7"/>
  <c r="O6" i="7"/>
  <c r="N6" i="7"/>
  <c r="M6" i="7"/>
  <c r="L6" i="7"/>
  <c r="H6" i="7"/>
  <c r="O5" i="7"/>
  <c r="N5" i="7"/>
  <c r="M5" i="7"/>
  <c r="L5" i="7"/>
  <c r="H5" i="7"/>
  <c r="C27" i="10" s="1"/>
  <c r="K24" i="6"/>
  <c r="K21" i="6"/>
  <c r="K20" i="6"/>
  <c r="K19" i="6"/>
  <c r="K18" i="6"/>
  <c r="C6" i="6"/>
  <c r="C5" i="6"/>
  <c r="C51" i="4"/>
  <c r="B51" i="4"/>
  <c r="C50" i="4"/>
  <c r="B50" i="4"/>
  <c r="C49" i="4"/>
  <c r="B49" i="4"/>
  <c r="C48" i="4"/>
  <c r="B48" i="4"/>
  <c r="C47" i="4"/>
  <c r="B47" i="4"/>
  <c r="L1026" i="3"/>
  <c r="K1026" i="3"/>
  <c r="J1026" i="3"/>
  <c r="I1026" i="3"/>
  <c r="H1026" i="3"/>
  <c r="L1025" i="3"/>
  <c r="K1025" i="3"/>
  <c r="J1025" i="3"/>
  <c r="I1025" i="3"/>
  <c r="H1025" i="3"/>
  <c r="L1024" i="3"/>
  <c r="K1024" i="3"/>
  <c r="J1024" i="3"/>
  <c r="I1024" i="3"/>
  <c r="H1024" i="3"/>
  <c r="L1023" i="3"/>
  <c r="K1023" i="3"/>
  <c r="J1023" i="3"/>
  <c r="I1023" i="3"/>
  <c r="H1023" i="3"/>
  <c r="L1022" i="3"/>
  <c r="K1022" i="3"/>
  <c r="J1022" i="3"/>
  <c r="I1022" i="3"/>
  <c r="H1022" i="3"/>
  <c r="L1021" i="3"/>
  <c r="K1021" i="3"/>
  <c r="J1021" i="3"/>
  <c r="I1021" i="3"/>
  <c r="H1021" i="3"/>
  <c r="L1020" i="3"/>
  <c r="K1020" i="3"/>
  <c r="J1020" i="3"/>
  <c r="I1020" i="3"/>
  <c r="H1020" i="3"/>
  <c r="L1019" i="3"/>
  <c r="K1019" i="3"/>
  <c r="J1019" i="3"/>
  <c r="I1019" i="3"/>
  <c r="H1019" i="3"/>
  <c r="L1018" i="3"/>
  <c r="K1018" i="3"/>
  <c r="J1018" i="3"/>
  <c r="I1018" i="3"/>
  <c r="H1018" i="3"/>
  <c r="L1017" i="3"/>
  <c r="K1017" i="3"/>
  <c r="J1017" i="3"/>
  <c r="I1017" i="3"/>
  <c r="H1017" i="3"/>
  <c r="L1016" i="3"/>
  <c r="K1016" i="3"/>
  <c r="J1016" i="3"/>
  <c r="I1016" i="3"/>
  <c r="H1016" i="3"/>
  <c r="L1015" i="3"/>
  <c r="K1015" i="3"/>
  <c r="J1015" i="3"/>
  <c r="I1015" i="3"/>
  <c r="H1015" i="3"/>
  <c r="L1014" i="3"/>
  <c r="K1014" i="3"/>
  <c r="J1014" i="3"/>
  <c r="I1014" i="3"/>
  <c r="H1014" i="3"/>
  <c r="L1013" i="3"/>
  <c r="K1013" i="3"/>
  <c r="J1013" i="3"/>
  <c r="I1013" i="3"/>
  <c r="H1013" i="3"/>
  <c r="L1012" i="3"/>
  <c r="K1012" i="3"/>
  <c r="J1012" i="3"/>
  <c r="I1012" i="3"/>
  <c r="H1012" i="3"/>
  <c r="L1011" i="3"/>
  <c r="K1011" i="3"/>
  <c r="J1011" i="3"/>
  <c r="I1011" i="3"/>
  <c r="H1011" i="3"/>
  <c r="L1010" i="3"/>
  <c r="K1010" i="3"/>
  <c r="J1010" i="3"/>
  <c r="I1010" i="3"/>
  <c r="H1010" i="3"/>
  <c r="L1009" i="3"/>
  <c r="K1009" i="3"/>
  <c r="J1009" i="3"/>
  <c r="I1009" i="3"/>
  <c r="H1009" i="3"/>
  <c r="L1008" i="3"/>
  <c r="K1008" i="3"/>
  <c r="J1008" i="3"/>
  <c r="I1008" i="3"/>
  <c r="H1008" i="3"/>
  <c r="L1007" i="3"/>
  <c r="K1007" i="3"/>
  <c r="J1007" i="3"/>
  <c r="I1007" i="3"/>
  <c r="H1007" i="3"/>
  <c r="L1006" i="3"/>
  <c r="K1006" i="3"/>
  <c r="J1006" i="3"/>
  <c r="I1006" i="3"/>
  <c r="H1006" i="3"/>
  <c r="L1005" i="3"/>
  <c r="K1005" i="3"/>
  <c r="J1005" i="3"/>
  <c r="I1005" i="3"/>
  <c r="H1005" i="3"/>
  <c r="L1004" i="3"/>
  <c r="K1004" i="3"/>
  <c r="J1004" i="3"/>
  <c r="I1004" i="3"/>
  <c r="H1004" i="3"/>
  <c r="L1003" i="3"/>
  <c r="K1003" i="3"/>
  <c r="J1003" i="3"/>
  <c r="I1003" i="3"/>
  <c r="H1003" i="3"/>
  <c r="L1002" i="3"/>
  <c r="K1002" i="3"/>
  <c r="J1002" i="3"/>
  <c r="I1002" i="3"/>
  <c r="H1002" i="3"/>
  <c r="L1001" i="3"/>
  <c r="K1001" i="3"/>
  <c r="J1001" i="3"/>
  <c r="I1001" i="3"/>
  <c r="H1001" i="3"/>
  <c r="L1000" i="3"/>
  <c r="K1000" i="3"/>
  <c r="J1000" i="3"/>
  <c r="I1000" i="3"/>
  <c r="H1000" i="3"/>
  <c r="L999" i="3"/>
  <c r="K999" i="3"/>
  <c r="J999" i="3"/>
  <c r="I999" i="3"/>
  <c r="H999" i="3"/>
  <c r="L998" i="3"/>
  <c r="K998" i="3"/>
  <c r="J998" i="3"/>
  <c r="I998" i="3"/>
  <c r="H998" i="3"/>
  <c r="L997" i="3"/>
  <c r="K997" i="3"/>
  <c r="J997" i="3"/>
  <c r="I997" i="3"/>
  <c r="H997" i="3"/>
  <c r="L996" i="3"/>
  <c r="K996" i="3"/>
  <c r="J996" i="3"/>
  <c r="I996" i="3"/>
  <c r="H996" i="3"/>
  <c r="L995" i="3"/>
  <c r="K995" i="3"/>
  <c r="J995" i="3"/>
  <c r="I995" i="3"/>
  <c r="H995" i="3"/>
  <c r="L994" i="3"/>
  <c r="K994" i="3"/>
  <c r="J994" i="3"/>
  <c r="I994" i="3"/>
  <c r="H994" i="3"/>
  <c r="L993" i="3"/>
  <c r="K993" i="3"/>
  <c r="J993" i="3"/>
  <c r="I993" i="3"/>
  <c r="H993" i="3"/>
  <c r="L992" i="3"/>
  <c r="K992" i="3"/>
  <c r="J992" i="3"/>
  <c r="I992" i="3"/>
  <c r="H992" i="3"/>
  <c r="L991" i="3"/>
  <c r="K991" i="3"/>
  <c r="J991" i="3"/>
  <c r="I991" i="3"/>
  <c r="H991" i="3"/>
  <c r="L990" i="3"/>
  <c r="K990" i="3"/>
  <c r="J990" i="3"/>
  <c r="I990" i="3"/>
  <c r="H990" i="3"/>
  <c r="L989" i="3"/>
  <c r="K989" i="3"/>
  <c r="J989" i="3"/>
  <c r="I989" i="3"/>
  <c r="H989" i="3"/>
  <c r="L988" i="3"/>
  <c r="K988" i="3"/>
  <c r="J988" i="3"/>
  <c r="I988" i="3"/>
  <c r="H988" i="3"/>
  <c r="L987" i="3"/>
  <c r="K987" i="3"/>
  <c r="J987" i="3"/>
  <c r="I987" i="3"/>
  <c r="H987" i="3"/>
  <c r="L986" i="3"/>
  <c r="K986" i="3"/>
  <c r="J986" i="3"/>
  <c r="I986" i="3"/>
  <c r="H986" i="3"/>
  <c r="L985" i="3"/>
  <c r="K985" i="3"/>
  <c r="J985" i="3"/>
  <c r="I985" i="3"/>
  <c r="H985" i="3"/>
  <c r="L984" i="3"/>
  <c r="K984" i="3"/>
  <c r="J984" i="3"/>
  <c r="I984" i="3"/>
  <c r="H984" i="3"/>
  <c r="L983" i="3"/>
  <c r="K983" i="3"/>
  <c r="J983" i="3"/>
  <c r="I983" i="3"/>
  <c r="H983" i="3"/>
  <c r="L982" i="3"/>
  <c r="K982" i="3"/>
  <c r="J982" i="3"/>
  <c r="I982" i="3"/>
  <c r="H982" i="3"/>
  <c r="L981" i="3"/>
  <c r="K981" i="3"/>
  <c r="J981" i="3"/>
  <c r="I981" i="3"/>
  <c r="H981" i="3"/>
  <c r="L980" i="3"/>
  <c r="K980" i="3"/>
  <c r="J980" i="3"/>
  <c r="I980" i="3"/>
  <c r="H980" i="3"/>
  <c r="L979" i="3"/>
  <c r="K979" i="3"/>
  <c r="J979" i="3"/>
  <c r="I979" i="3"/>
  <c r="H979" i="3"/>
  <c r="L978" i="3"/>
  <c r="K978" i="3"/>
  <c r="J978" i="3"/>
  <c r="I978" i="3"/>
  <c r="H978" i="3"/>
  <c r="L977" i="3"/>
  <c r="K977" i="3"/>
  <c r="J977" i="3"/>
  <c r="I977" i="3"/>
  <c r="H977" i="3"/>
  <c r="L976" i="3"/>
  <c r="K976" i="3"/>
  <c r="J976" i="3"/>
  <c r="I976" i="3"/>
  <c r="H976" i="3"/>
  <c r="L975" i="3"/>
  <c r="K975" i="3"/>
  <c r="J975" i="3"/>
  <c r="I975" i="3"/>
  <c r="H975" i="3"/>
  <c r="L974" i="3"/>
  <c r="K974" i="3"/>
  <c r="J974" i="3"/>
  <c r="I974" i="3"/>
  <c r="H974" i="3"/>
  <c r="L973" i="3"/>
  <c r="K973" i="3"/>
  <c r="J973" i="3"/>
  <c r="I973" i="3"/>
  <c r="H973" i="3"/>
  <c r="L972" i="3"/>
  <c r="K972" i="3"/>
  <c r="J972" i="3"/>
  <c r="I972" i="3"/>
  <c r="H972" i="3"/>
  <c r="L971" i="3"/>
  <c r="K971" i="3"/>
  <c r="J971" i="3"/>
  <c r="I971" i="3"/>
  <c r="H971" i="3"/>
  <c r="L970" i="3"/>
  <c r="K970" i="3"/>
  <c r="J970" i="3"/>
  <c r="I970" i="3"/>
  <c r="H970" i="3"/>
  <c r="L969" i="3"/>
  <c r="K969" i="3"/>
  <c r="J969" i="3"/>
  <c r="I969" i="3"/>
  <c r="H969" i="3"/>
  <c r="L968" i="3"/>
  <c r="K968" i="3"/>
  <c r="J968" i="3"/>
  <c r="I968" i="3"/>
  <c r="H968" i="3"/>
  <c r="L967" i="3"/>
  <c r="K967" i="3"/>
  <c r="J967" i="3"/>
  <c r="I967" i="3"/>
  <c r="H967" i="3"/>
  <c r="L966" i="3"/>
  <c r="K966" i="3"/>
  <c r="J966" i="3"/>
  <c r="I966" i="3"/>
  <c r="H966" i="3"/>
  <c r="L965" i="3"/>
  <c r="K965" i="3"/>
  <c r="J965" i="3"/>
  <c r="I965" i="3"/>
  <c r="H965" i="3"/>
  <c r="L964" i="3"/>
  <c r="K964" i="3"/>
  <c r="J964" i="3"/>
  <c r="I964" i="3"/>
  <c r="H964" i="3"/>
  <c r="L963" i="3"/>
  <c r="K963" i="3"/>
  <c r="J963" i="3"/>
  <c r="I963" i="3"/>
  <c r="H963" i="3"/>
  <c r="L962" i="3"/>
  <c r="K962" i="3"/>
  <c r="J962" i="3"/>
  <c r="I962" i="3"/>
  <c r="H962" i="3"/>
  <c r="L961" i="3"/>
  <c r="K961" i="3"/>
  <c r="J961" i="3"/>
  <c r="I961" i="3"/>
  <c r="H961" i="3"/>
  <c r="L960" i="3"/>
  <c r="K960" i="3"/>
  <c r="J960" i="3"/>
  <c r="I960" i="3"/>
  <c r="H960" i="3"/>
  <c r="L959" i="3"/>
  <c r="K959" i="3"/>
  <c r="J959" i="3"/>
  <c r="I959" i="3"/>
  <c r="H959" i="3"/>
  <c r="L958" i="3"/>
  <c r="K958" i="3"/>
  <c r="J958" i="3"/>
  <c r="I958" i="3"/>
  <c r="H958" i="3"/>
  <c r="L957" i="3"/>
  <c r="K957" i="3"/>
  <c r="J957" i="3"/>
  <c r="I957" i="3"/>
  <c r="H957" i="3"/>
  <c r="L956" i="3"/>
  <c r="K956" i="3"/>
  <c r="J956" i="3"/>
  <c r="I956" i="3"/>
  <c r="H956" i="3"/>
  <c r="L955" i="3"/>
  <c r="K955" i="3"/>
  <c r="J955" i="3"/>
  <c r="I955" i="3"/>
  <c r="H955" i="3"/>
  <c r="L954" i="3"/>
  <c r="K954" i="3"/>
  <c r="J954" i="3"/>
  <c r="I954" i="3"/>
  <c r="H954" i="3"/>
  <c r="L953" i="3"/>
  <c r="K953" i="3"/>
  <c r="J953" i="3"/>
  <c r="I953" i="3"/>
  <c r="H953" i="3"/>
  <c r="L952" i="3"/>
  <c r="K952" i="3"/>
  <c r="J952" i="3"/>
  <c r="I952" i="3"/>
  <c r="H952" i="3"/>
  <c r="L951" i="3"/>
  <c r="K951" i="3"/>
  <c r="J951" i="3"/>
  <c r="I951" i="3"/>
  <c r="H951" i="3"/>
  <c r="L950" i="3"/>
  <c r="K950" i="3"/>
  <c r="J950" i="3"/>
  <c r="I950" i="3"/>
  <c r="H950" i="3"/>
  <c r="L949" i="3"/>
  <c r="K949" i="3"/>
  <c r="J949" i="3"/>
  <c r="I949" i="3"/>
  <c r="H949" i="3"/>
  <c r="L948" i="3"/>
  <c r="K948" i="3"/>
  <c r="J948" i="3"/>
  <c r="I948" i="3"/>
  <c r="H948" i="3"/>
  <c r="L947" i="3"/>
  <c r="K947" i="3"/>
  <c r="J947" i="3"/>
  <c r="I947" i="3"/>
  <c r="H947" i="3"/>
  <c r="L946" i="3"/>
  <c r="K946" i="3"/>
  <c r="J946" i="3"/>
  <c r="I946" i="3"/>
  <c r="H946" i="3"/>
  <c r="L945" i="3"/>
  <c r="K945" i="3"/>
  <c r="J945" i="3"/>
  <c r="I945" i="3"/>
  <c r="H945" i="3"/>
  <c r="L944" i="3"/>
  <c r="K944" i="3"/>
  <c r="J944" i="3"/>
  <c r="I944" i="3"/>
  <c r="H944" i="3"/>
  <c r="L943" i="3"/>
  <c r="K943" i="3"/>
  <c r="J943" i="3"/>
  <c r="I943" i="3"/>
  <c r="H943" i="3"/>
  <c r="L942" i="3"/>
  <c r="K942" i="3"/>
  <c r="J942" i="3"/>
  <c r="I942" i="3"/>
  <c r="H942" i="3"/>
  <c r="L941" i="3"/>
  <c r="K941" i="3"/>
  <c r="J941" i="3"/>
  <c r="I941" i="3"/>
  <c r="H941" i="3"/>
  <c r="L940" i="3"/>
  <c r="K940" i="3"/>
  <c r="J940" i="3"/>
  <c r="I940" i="3"/>
  <c r="H940" i="3"/>
  <c r="L939" i="3"/>
  <c r="K939" i="3"/>
  <c r="J939" i="3"/>
  <c r="I939" i="3"/>
  <c r="H939" i="3"/>
  <c r="L938" i="3"/>
  <c r="K938" i="3"/>
  <c r="J938" i="3"/>
  <c r="I938" i="3"/>
  <c r="H938" i="3"/>
  <c r="L937" i="3"/>
  <c r="K937" i="3"/>
  <c r="J937" i="3"/>
  <c r="I937" i="3"/>
  <c r="H937" i="3"/>
  <c r="L936" i="3"/>
  <c r="K936" i="3"/>
  <c r="J936" i="3"/>
  <c r="I936" i="3"/>
  <c r="H936" i="3"/>
  <c r="L935" i="3"/>
  <c r="K935" i="3"/>
  <c r="J935" i="3"/>
  <c r="I935" i="3"/>
  <c r="H935" i="3"/>
  <c r="L934" i="3"/>
  <c r="K934" i="3"/>
  <c r="J934" i="3"/>
  <c r="I934" i="3"/>
  <c r="H934" i="3"/>
  <c r="L933" i="3"/>
  <c r="K933" i="3"/>
  <c r="J933" i="3"/>
  <c r="I933" i="3"/>
  <c r="H933" i="3"/>
  <c r="L932" i="3"/>
  <c r="K932" i="3"/>
  <c r="J932" i="3"/>
  <c r="I932" i="3"/>
  <c r="H932" i="3"/>
  <c r="L931" i="3"/>
  <c r="K931" i="3"/>
  <c r="J931" i="3"/>
  <c r="I931" i="3"/>
  <c r="H931" i="3"/>
  <c r="L930" i="3"/>
  <c r="K930" i="3"/>
  <c r="J930" i="3"/>
  <c r="I930" i="3"/>
  <c r="H930" i="3"/>
  <c r="L929" i="3"/>
  <c r="K929" i="3"/>
  <c r="J929" i="3"/>
  <c r="I929" i="3"/>
  <c r="H929" i="3"/>
  <c r="L928" i="3"/>
  <c r="K928" i="3"/>
  <c r="J928" i="3"/>
  <c r="I928" i="3"/>
  <c r="H928" i="3"/>
  <c r="L927" i="3"/>
  <c r="K927" i="3"/>
  <c r="J927" i="3"/>
  <c r="I927" i="3"/>
  <c r="H927" i="3"/>
  <c r="L926" i="3"/>
  <c r="K926" i="3"/>
  <c r="J926" i="3"/>
  <c r="I926" i="3"/>
  <c r="H926" i="3"/>
  <c r="L925" i="3"/>
  <c r="K925" i="3"/>
  <c r="J925" i="3"/>
  <c r="I925" i="3"/>
  <c r="H925" i="3"/>
  <c r="L924" i="3"/>
  <c r="K924" i="3"/>
  <c r="J924" i="3"/>
  <c r="I924" i="3"/>
  <c r="H924" i="3"/>
  <c r="L923" i="3"/>
  <c r="K923" i="3"/>
  <c r="J923" i="3"/>
  <c r="I923" i="3"/>
  <c r="H923" i="3"/>
  <c r="L922" i="3"/>
  <c r="K922" i="3"/>
  <c r="J922" i="3"/>
  <c r="I922" i="3"/>
  <c r="H922" i="3"/>
  <c r="L921" i="3"/>
  <c r="K921" i="3"/>
  <c r="J921" i="3"/>
  <c r="I921" i="3"/>
  <c r="H921" i="3"/>
  <c r="L920" i="3"/>
  <c r="K920" i="3"/>
  <c r="J920" i="3"/>
  <c r="I920" i="3"/>
  <c r="H920" i="3"/>
  <c r="L919" i="3"/>
  <c r="K919" i="3"/>
  <c r="J919" i="3"/>
  <c r="I919" i="3"/>
  <c r="H919" i="3"/>
  <c r="L918" i="3"/>
  <c r="K918" i="3"/>
  <c r="J918" i="3"/>
  <c r="I918" i="3"/>
  <c r="H918" i="3"/>
  <c r="L917" i="3"/>
  <c r="K917" i="3"/>
  <c r="J917" i="3"/>
  <c r="I917" i="3"/>
  <c r="H917" i="3"/>
  <c r="L916" i="3"/>
  <c r="K916" i="3"/>
  <c r="J916" i="3"/>
  <c r="I916" i="3"/>
  <c r="H916" i="3"/>
  <c r="L915" i="3"/>
  <c r="K915" i="3"/>
  <c r="J915" i="3"/>
  <c r="I915" i="3"/>
  <c r="H915" i="3"/>
  <c r="L914" i="3"/>
  <c r="K914" i="3"/>
  <c r="J914" i="3"/>
  <c r="I914" i="3"/>
  <c r="H914" i="3"/>
  <c r="L913" i="3"/>
  <c r="K913" i="3"/>
  <c r="J913" i="3"/>
  <c r="I913" i="3"/>
  <c r="H913" i="3"/>
  <c r="L912" i="3"/>
  <c r="K912" i="3"/>
  <c r="J912" i="3"/>
  <c r="I912" i="3"/>
  <c r="H912" i="3"/>
  <c r="L911" i="3"/>
  <c r="K911" i="3"/>
  <c r="J911" i="3"/>
  <c r="I911" i="3"/>
  <c r="H911" i="3"/>
  <c r="L910" i="3"/>
  <c r="K910" i="3"/>
  <c r="J910" i="3"/>
  <c r="I910" i="3"/>
  <c r="H910" i="3"/>
  <c r="L909" i="3"/>
  <c r="K909" i="3"/>
  <c r="J909" i="3"/>
  <c r="I909" i="3"/>
  <c r="H909" i="3"/>
  <c r="L908" i="3"/>
  <c r="K908" i="3"/>
  <c r="J908" i="3"/>
  <c r="I908" i="3"/>
  <c r="H908" i="3"/>
  <c r="L907" i="3"/>
  <c r="K907" i="3"/>
  <c r="J907" i="3"/>
  <c r="I907" i="3"/>
  <c r="H907" i="3"/>
  <c r="L906" i="3"/>
  <c r="K906" i="3"/>
  <c r="J906" i="3"/>
  <c r="I906" i="3"/>
  <c r="H906" i="3"/>
  <c r="L905" i="3"/>
  <c r="K905" i="3"/>
  <c r="J905" i="3"/>
  <c r="I905" i="3"/>
  <c r="H905" i="3"/>
  <c r="L904" i="3"/>
  <c r="K904" i="3"/>
  <c r="J904" i="3"/>
  <c r="I904" i="3"/>
  <c r="H904" i="3"/>
  <c r="L903" i="3"/>
  <c r="K903" i="3"/>
  <c r="J903" i="3"/>
  <c r="I903" i="3"/>
  <c r="H903" i="3"/>
  <c r="L902" i="3"/>
  <c r="K902" i="3"/>
  <c r="J902" i="3"/>
  <c r="I902" i="3"/>
  <c r="H902" i="3"/>
  <c r="L901" i="3"/>
  <c r="K901" i="3"/>
  <c r="J901" i="3"/>
  <c r="I901" i="3"/>
  <c r="H901" i="3"/>
  <c r="L900" i="3"/>
  <c r="K900" i="3"/>
  <c r="J900" i="3"/>
  <c r="I900" i="3"/>
  <c r="H900" i="3"/>
  <c r="L899" i="3"/>
  <c r="K899" i="3"/>
  <c r="J899" i="3"/>
  <c r="I899" i="3"/>
  <c r="H899" i="3"/>
  <c r="L898" i="3"/>
  <c r="K898" i="3"/>
  <c r="J898" i="3"/>
  <c r="I898" i="3"/>
  <c r="H898" i="3"/>
  <c r="L897" i="3"/>
  <c r="K897" i="3"/>
  <c r="J897" i="3"/>
  <c r="I897" i="3"/>
  <c r="H897" i="3"/>
  <c r="L896" i="3"/>
  <c r="K896" i="3"/>
  <c r="J896" i="3"/>
  <c r="I896" i="3"/>
  <c r="H896" i="3"/>
  <c r="L895" i="3"/>
  <c r="K895" i="3"/>
  <c r="J895" i="3"/>
  <c r="I895" i="3"/>
  <c r="H895" i="3"/>
  <c r="L894" i="3"/>
  <c r="K894" i="3"/>
  <c r="J894" i="3"/>
  <c r="I894" i="3"/>
  <c r="H894" i="3"/>
  <c r="L893" i="3"/>
  <c r="K893" i="3"/>
  <c r="J893" i="3"/>
  <c r="I893" i="3"/>
  <c r="H893" i="3"/>
  <c r="L892" i="3"/>
  <c r="K892" i="3"/>
  <c r="J892" i="3"/>
  <c r="I892" i="3"/>
  <c r="H892" i="3"/>
  <c r="L891" i="3"/>
  <c r="K891" i="3"/>
  <c r="J891" i="3"/>
  <c r="I891" i="3"/>
  <c r="H891" i="3"/>
  <c r="L890" i="3"/>
  <c r="K890" i="3"/>
  <c r="J890" i="3"/>
  <c r="I890" i="3"/>
  <c r="H890" i="3"/>
  <c r="L889" i="3"/>
  <c r="K889" i="3"/>
  <c r="J889" i="3"/>
  <c r="I889" i="3"/>
  <c r="H889" i="3"/>
  <c r="L888" i="3"/>
  <c r="K888" i="3"/>
  <c r="J888" i="3"/>
  <c r="I888" i="3"/>
  <c r="H888" i="3"/>
  <c r="L887" i="3"/>
  <c r="K887" i="3"/>
  <c r="J887" i="3"/>
  <c r="I887" i="3"/>
  <c r="H887" i="3"/>
  <c r="L886" i="3"/>
  <c r="K886" i="3"/>
  <c r="J886" i="3"/>
  <c r="I886" i="3"/>
  <c r="H886" i="3"/>
  <c r="L885" i="3"/>
  <c r="K885" i="3"/>
  <c r="J885" i="3"/>
  <c r="I885" i="3"/>
  <c r="H885" i="3"/>
  <c r="L884" i="3"/>
  <c r="K884" i="3"/>
  <c r="J884" i="3"/>
  <c r="I884" i="3"/>
  <c r="H884" i="3"/>
  <c r="L883" i="3"/>
  <c r="K883" i="3"/>
  <c r="J883" i="3"/>
  <c r="I883" i="3"/>
  <c r="H883" i="3"/>
  <c r="L882" i="3"/>
  <c r="K882" i="3"/>
  <c r="J882" i="3"/>
  <c r="I882" i="3"/>
  <c r="H882" i="3"/>
  <c r="L881" i="3"/>
  <c r="K881" i="3"/>
  <c r="J881" i="3"/>
  <c r="I881" i="3"/>
  <c r="H881" i="3"/>
  <c r="L880" i="3"/>
  <c r="K880" i="3"/>
  <c r="J880" i="3"/>
  <c r="I880" i="3"/>
  <c r="H880" i="3"/>
  <c r="L879" i="3"/>
  <c r="K879" i="3"/>
  <c r="J879" i="3"/>
  <c r="I879" i="3"/>
  <c r="H879" i="3"/>
  <c r="L878" i="3"/>
  <c r="K878" i="3"/>
  <c r="J878" i="3"/>
  <c r="I878" i="3"/>
  <c r="H878" i="3"/>
  <c r="L877" i="3"/>
  <c r="K877" i="3"/>
  <c r="J877" i="3"/>
  <c r="I877" i="3"/>
  <c r="H877" i="3"/>
  <c r="L876" i="3"/>
  <c r="K876" i="3"/>
  <c r="J876" i="3"/>
  <c r="I876" i="3"/>
  <c r="H876" i="3"/>
  <c r="L875" i="3"/>
  <c r="K875" i="3"/>
  <c r="J875" i="3"/>
  <c r="I875" i="3"/>
  <c r="H875" i="3"/>
  <c r="L874" i="3"/>
  <c r="K874" i="3"/>
  <c r="J874" i="3"/>
  <c r="I874" i="3"/>
  <c r="H874" i="3"/>
  <c r="L873" i="3"/>
  <c r="K873" i="3"/>
  <c r="J873" i="3"/>
  <c r="I873" i="3"/>
  <c r="H873" i="3"/>
  <c r="L872" i="3"/>
  <c r="K872" i="3"/>
  <c r="J872" i="3"/>
  <c r="I872" i="3"/>
  <c r="H872" i="3"/>
  <c r="L871" i="3"/>
  <c r="K871" i="3"/>
  <c r="J871" i="3"/>
  <c r="I871" i="3"/>
  <c r="H871" i="3"/>
  <c r="L870" i="3"/>
  <c r="K870" i="3"/>
  <c r="J870" i="3"/>
  <c r="I870" i="3"/>
  <c r="H870" i="3"/>
  <c r="L869" i="3"/>
  <c r="K869" i="3"/>
  <c r="J869" i="3"/>
  <c r="I869" i="3"/>
  <c r="H869" i="3"/>
  <c r="L868" i="3"/>
  <c r="K868" i="3"/>
  <c r="J868" i="3"/>
  <c r="I868" i="3"/>
  <c r="H868" i="3"/>
  <c r="L867" i="3"/>
  <c r="K867" i="3"/>
  <c r="J867" i="3"/>
  <c r="I867" i="3"/>
  <c r="H867" i="3"/>
  <c r="L866" i="3"/>
  <c r="K866" i="3"/>
  <c r="J866" i="3"/>
  <c r="I866" i="3"/>
  <c r="H866" i="3"/>
  <c r="L865" i="3"/>
  <c r="K865" i="3"/>
  <c r="J865" i="3"/>
  <c r="I865" i="3"/>
  <c r="H865" i="3"/>
  <c r="L864" i="3"/>
  <c r="K864" i="3"/>
  <c r="J864" i="3"/>
  <c r="I864" i="3"/>
  <c r="H864" i="3"/>
  <c r="L863" i="3"/>
  <c r="K863" i="3"/>
  <c r="J863" i="3"/>
  <c r="I863" i="3"/>
  <c r="H863" i="3"/>
  <c r="L862" i="3"/>
  <c r="K862" i="3"/>
  <c r="J862" i="3"/>
  <c r="I862" i="3"/>
  <c r="H862" i="3"/>
  <c r="L861" i="3"/>
  <c r="K861" i="3"/>
  <c r="J861" i="3"/>
  <c r="I861" i="3"/>
  <c r="H861" i="3"/>
  <c r="L860" i="3"/>
  <c r="K860" i="3"/>
  <c r="J860" i="3"/>
  <c r="I860" i="3"/>
  <c r="H860" i="3"/>
  <c r="L859" i="3"/>
  <c r="K859" i="3"/>
  <c r="J859" i="3"/>
  <c r="I859" i="3"/>
  <c r="H859" i="3"/>
  <c r="L858" i="3"/>
  <c r="K858" i="3"/>
  <c r="J858" i="3"/>
  <c r="I858" i="3"/>
  <c r="H858" i="3"/>
  <c r="L857" i="3"/>
  <c r="K857" i="3"/>
  <c r="J857" i="3"/>
  <c r="I857" i="3"/>
  <c r="H857" i="3"/>
  <c r="L856" i="3"/>
  <c r="K856" i="3"/>
  <c r="J856" i="3"/>
  <c r="I856" i="3"/>
  <c r="H856" i="3"/>
  <c r="L855" i="3"/>
  <c r="K855" i="3"/>
  <c r="J855" i="3"/>
  <c r="I855" i="3"/>
  <c r="H855" i="3"/>
  <c r="L854" i="3"/>
  <c r="K854" i="3"/>
  <c r="J854" i="3"/>
  <c r="I854" i="3"/>
  <c r="H854" i="3"/>
  <c r="L853" i="3"/>
  <c r="K853" i="3"/>
  <c r="J853" i="3"/>
  <c r="I853" i="3"/>
  <c r="H853" i="3"/>
  <c r="L852" i="3"/>
  <c r="K852" i="3"/>
  <c r="J852" i="3"/>
  <c r="I852" i="3"/>
  <c r="H852" i="3"/>
  <c r="L851" i="3"/>
  <c r="K851" i="3"/>
  <c r="J851" i="3"/>
  <c r="I851" i="3"/>
  <c r="H851" i="3"/>
  <c r="L850" i="3"/>
  <c r="K850" i="3"/>
  <c r="J850" i="3"/>
  <c r="I850" i="3"/>
  <c r="H850" i="3"/>
  <c r="L849" i="3"/>
  <c r="K849" i="3"/>
  <c r="J849" i="3"/>
  <c r="I849" i="3"/>
  <c r="H849" i="3"/>
  <c r="L848" i="3"/>
  <c r="K848" i="3"/>
  <c r="J848" i="3"/>
  <c r="I848" i="3"/>
  <c r="H848" i="3"/>
  <c r="L847" i="3"/>
  <c r="K847" i="3"/>
  <c r="J847" i="3"/>
  <c r="I847" i="3"/>
  <c r="H847" i="3"/>
  <c r="L846" i="3"/>
  <c r="K846" i="3"/>
  <c r="J846" i="3"/>
  <c r="I846" i="3"/>
  <c r="H846" i="3"/>
  <c r="L845" i="3"/>
  <c r="K845" i="3"/>
  <c r="J845" i="3"/>
  <c r="I845" i="3"/>
  <c r="H845" i="3"/>
  <c r="L844" i="3"/>
  <c r="K844" i="3"/>
  <c r="J844" i="3"/>
  <c r="I844" i="3"/>
  <c r="H844" i="3"/>
  <c r="L843" i="3"/>
  <c r="K843" i="3"/>
  <c r="J843" i="3"/>
  <c r="I843" i="3"/>
  <c r="H843" i="3"/>
  <c r="L842" i="3"/>
  <c r="K842" i="3"/>
  <c r="J842" i="3"/>
  <c r="I842" i="3"/>
  <c r="H842" i="3"/>
  <c r="L841" i="3"/>
  <c r="K841" i="3"/>
  <c r="J841" i="3"/>
  <c r="I841" i="3"/>
  <c r="H841" i="3"/>
  <c r="L840" i="3"/>
  <c r="K840" i="3"/>
  <c r="J840" i="3"/>
  <c r="I840" i="3"/>
  <c r="H840" i="3"/>
  <c r="L839" i="3"/>
  <c r="K839" i="3"/>
  <c r="J839" i="3"/>
  <c r="I839" i="3"/>
  <c r="H839" i="3"/>
  <c r="L838" i="3"/>
  <c r="K838" i="3"/>
  <c r="J838" i="3"/>
  <c r="I838" i="3"/>
  <c r="H838" i="3"/>
  <c r="L837" i="3"/>
  <c r="K837" i="3"/>
  <c r="J837" i="3"/>
  <c r="I837" i="3"/>
  <c r="H837" i="3"/>
  <c r="L836" i="3"/>
  <c r="K836" i="3"/>
  <c r="J836" i="3"/>
  <c r="I836" i="3"/>
  <c r="H836" i="3"/>
  <c r="L835" i="3"/>
  <c r="K835" i="3"/>
  <c r="J835" i="3"/>
  <c r="I835" i="3"/>
  <c r="H835" i="3"/>
  <c r="L834" i="3"/>
  <c r="K834" i="3"/>
  <c r="J834" i="3"/>
  <c r="I834" i="3"/>
  <c r="H834" i="3"/>
  <c r="L833" i="3"/>
  <c r="K833" i="3"/>
  <c r="J833" i="3"/>
  <c r="I833" i="3"/>
  <c r="H833" i="3"/>
  <c r="L832" i="3"/>
  <c r="K832" i="3"/>
  <c r="J832" i="3"/>
  <c r="I832" i="3"/>
  <c r="H832" i="3"/>
  <c r="L831" i="3"/>
  <c r="K831" i="3"/>
  <c r="J831" i="3"/>
  <c r="I831" i="3"/>
  <c r="H831" i="3"/>
  <c r="L830" i="3"/>
  <c r="K830" i="3"/>
  <c r="J830" i="3"/>
  <c r="I830" i="3"/>
  <c r="H830" i="3"/>
  <c r="L829" i="3"/>
  <c r="K829" i="3"/>
  <c r="J829" i="3"/>
  <c r="I829" i="3"/>
  <c r="H829" i="3"/>
  <c r="L828" i="3"/>
  <c r="K828" i="3"/>
  <c r="J828" i="3"/>
  <c r="I828" i="3"/>
  <c r="H828" i="3"/>
  <c r="L827" i="3"/>
  <c r="K827" i="3"/>
  <c r="J827" i="3"/>
  <c r="I827" i="3"/>
  <c r="H827" i="3"/>
  <c r="L826" i="3"/>
  <c r="K826" i="3"/>
  <c r="J826" i="3"/>
  <c r="I826" i="3"/>
  <c r="H826" i="3"/>
  <c r="L825" i="3"/>
  <c r="K825" i="3"/>
  <c r="J825" i="3"/>
  <c r="I825" i="3"/>
  <c r="H825" i="3"/>
  <c r="L824" i="3"/>
  <c r="K824" i="3"/>
  <c r="J824" i="3"/>
  <c r="I824" i="3"/>
  <c r="H824" i="3"/>
  <c r="L823" i="3"/>
  <c r="K823" i="3"/>
  <c r="J823" i="3"/>
  <c r="I823" i="3"/>
  <c r="H823" i="3"/>
  <c r="L822" i="3"/>
  <c r="K822" i="3"/>
  <c r="J822" i="3"/>
  <c r="I822" i="3"/>
  <c r="H822" i="3"/>
  <c r="L821" i="3"/>
  <c r="K821" i="3"/>
  <c r="J821" i="3"/>
  <c r="I821" i="3"/>
  <c r="H821" i="3"/>
  <c r="L820" i="3"/>
  <c r="K820" i="3"/>
  <c r="J820" i="3"/>
  <c r="I820" i="3"/>
  <c r="H820" i="3"/>
  <c r="L819" i="3"/>
  <c r="K819" i="3"/>
  <c r="J819" i="3"/>
  <c r="I819" i="3"/>
  <c r="H819" i="3"/>
  <c r="L818" i="3"/>
  <c r="K818" i="3"/>
  <c r="J818" i="3"/>
  <c r="I818" i="3"/>
  <c r="H818" i="3"/>
  <c r="L817" i="3"/>
  <c r="K817" i="3"/>
  <c r="J817" i="3"/>
  <c r="I817" i="3"/>
  <c r="H817" i="3"/>
  <c r="L816" i="3"/>
  <c r="K816" i="3"/>
  <c r="J816" i="3"/>
  <c r="I816" i="3"/>
  <c r="H816" i="3"/>
  <c r="L815" i="3"/>
  <c r="K815" i="3"/>
  <c r="J815" i="3"/>
  <c r="I815" i="3"/>
  <c r="H815" i="3"/>
  <c r="L814" i="3"/>
  <c r="K814" i="3"/>
  <c r="J814" i="3"/>
  <c r="I814" i="3"/>
  <c r="H814" i="3"/>
  <c r="L813" i="3"/>
  <c r="K813" i="3"/>
  <c r="J813" i="3"/>
  <c r="I813" i="3"/>
  <c r="H813" i="3"/>
  <c r="L812" i="3"/>
  <c r="K812" i="3"/>
  <c r="J812" i="3"/>
  <c r="I812" i="3"/>
  <c r="H812" i="3"/>
  <c r="L811" i="3"/>
  <c r="K811" i="3"/>
  <c r="J811" i="3"/>
  <c r="I811" i="3"/>
  <c r="H811" i="3"/>
  <c r="L810" i="3"/>
  <c r="K810" i="3"/>
  <c r="J810" i="3"/>
  <c r="I810" i="3"/>
  <c r="H810" i="3"/>
  <c r="L809" i="3"/>
  <c r="K809" i="3"/>
  <c r="J809" i="3"/>
  <c r="I809" i="3"/>
  <c r="H809" i="3"/>
  <c r="L808" i="3"/>
  <c r="K808" i="3"/>
  <c r="J808" i="3"/>
  <c r="I808" i="3"/>
  <c r="H808" i="3"/>
  <c r="L807" i="3"/>
  <c r="K807" i="3"/>
  <c r="J807" i="3"/>
  <c r="I807" i="3"/>
  <c r="H807" i="3"/>
  <c r="L806" i="3"/>
  <c r="K806" i="3"/>
  <c r="J806" i="3"/>
  <c r="I806" i="3"/>
  <c r="H806" i="3"/>
  <c r="L805" i="3"/>
  <c r="K805" i="3"/>
  <c r="J805" i="3"/>
  <c r="I805" i="3"/>
  <c r="H805" i="3"/>
  <c r="L804" i="3"/>
  <c r="K804" i="3"/>
  <c r="J804" i="3"/>
  <c r="I804" i="3"/>
  <c r="H804" i="3"/>
  <c r="L803" i="3"/>
  <c r="K803" i="3"/>
  <c r="J803" i="3"/>
  <c r="I803" i="3"/>
  <c r="H803" i="3"/>
  <c r="L802" i="3"/>
  <c r="K802" i="3"/>
  <c r="J802" i="3"/>
  <c r="I802" i="3"/>
  <c r="H802" i="3"/>
  <c r="L801" i="3"/>
  <c r="K801" i="3"/>
  <c r="J801" i="3"/>
  <c r="I801" i="3"/>
  <c r="H801" i="3"/>
  <c r="L800" i="3"/>
  <c r="K800" i="3"/>
  <c r="J800" i="3"/>
  <c r="I800" i="3"/>
  <c r="H800" i="3"/>
  <c r="L799" i="3"/>
  <c r="K799" i="3"/>
  <c r="J799" i="3"/>
  <c r="I799" i="3"/>
  <c r="H799" i="3"/>
  <c r="L798" i="3"/>
  <c r="K798" i="3"/>
  <c r="J798" i="3"/>
  <c r="I798" i="3"/>
  <c r="H798" i="3"/>
  <c r="L797" i="3"/>
  <c r="K797" i="3"/>
  <c r="J797" i="3"/>
  <c r="I797" i="3"/>
  <c r="H797" i="3"/>
  <c r="L796" i="3"/>
  <c r="K796" i="3"/>
  <c r="J796" i="3"/>
  <c r="I796" i="3"/>
  <c r="H796" i="3"/>
  <c r="L795" i="3"/>
  <c r="K795" i="3"/>
  <c r="J795" i="3"/>
  <c r="I795" i="3"/>
  <c r="H795" i="3"/>
  <c r="L794" i="3"/>
  <c r="K794" i="3"/>
  <c r="J794" i="3"/>
  <c r="I794" i="3"/>
  <c r="H794" i="3"/>
  <c r="L793" i="3"/>
  <c r="K793" i="3"/>
  <c r="J793" i="3"/>
  <c r="I793" i="3"/>
  <c r="H793" i="3"/>
  <c r="L792" i="3"/>
  <c r="K792" i="3"/>
  <c r="J792" i="3"/>
  <c r="I792" i="3"/>
  <c r="H792" i="3"/>
  <c r="L791" i="3"/>
  <c r="K791" i="3"/>
  <c r="J791" i="3"/>
  <c r="I791" i="3"/>
  <c r="H791" i="3"/>
  <c r="L790" i="3"/>
  <c r="K790" i="3"/>
  <c r="J790" i="3"/>
  <c r="I790" i="3"/>
  <c r="H790" i="3"/>
  <c r="L789" i="3"/>
  <c r="K789" i="3"/>
  <c r="J789" i="3"/>
  <c r="I789" i="3"/>
  <c r="H789" i="3"/>
  <c r="L788" i="3"/>
  <c r="K788" i="3"/>
  <c r="J788" i="3"/>
  <c r="I788" i="3"/>
  <c r="H788" i="3"/>
  <c r="L787" i="3"/>
  <c r="K787" i="3"/>
  <c r="J787" i="3"/>
  <c r="I787" i="3"/>
  <c r="H787" i="3"/>
  <c r="L786" i="3"/>
  <c r="K786" i="3"/>
  <c r="J786" i="3"/>
  <c r="I786" i="3"/>
  <c r="H786" i="3"/>
  <c r="L785" i="3"/>
  <c r="K785" i="3"/>
  <c r="J785" i="3"/>
  <c r="I785" i="3"/>
  <c r="H785" i="3"/>
  <c r="L784" i="3"/>
  <c r="K784" i="3"/>
  <c r="J784" i="3"/>
  <c r="I784" i="3"/>
  <c r="H784" i="3"/>
  <c r="L783" i="3"/>
  <c r="K783" i="3"/>
  <c r="J783" i="3"/>
  <c r="I783" i="3"/>
  <c r="H783" i="3"/>
  <c r="L782" i="3"/>
  <c r="K782" i="3"/>
  <c r="J782" i="3"/>
  <c r="I782" i="3"/>
  <c r="H782" i="3"/>
  <c r="L781" i="3"/>
  <c r="K781" i="3"/>
  <c r="J781" i="3"/>
  <c r="I781" i="3"/>
  <c r="H781" i="3"/>
  <c r="L780" i="3"/>
  <c r="K780" i="3"/>
  <c r="J780" i="3"/>
  <c r="I780" i="3"/>
  <c r="H780" i="3"/>
  <c r="L779" i="3"/>
  <c r="K779" i="3"/>
  <c r="J779" i="3"/>
  <c r="I779" i="3"/>
  <c r="H779" i="3"/>
  <c r="L778" i="3"/>
  <c r="K778" i="3"/>
  <c r="J778" i="3"/>
  <c r="I778" i="3"/>
  <c r="H778" i="3"/>
  <c r="L777" i="3"/>
  <c r="K777" i="3"/>
  <c r="J777" i="3"/>
  <c r="I777" i="3"/>
  <c r="H777" i="3"/>
  <c r="L776" i="3"/>
  <c r="K776" i="3"/>
  <c r="J776" i="3"/>
  <c r="I776" i="3"/>
  <c r="H776" i="3"/>
  <c r="L775" i="3"/>
  <c r="K775" i="3"/>
  <c r="J775" i="3"/>
  <c r="I775" i="3"/>
  <c r="H775" i="3"/>
  <c r="L774" i="3"/>
  <c r="K774" i="3"/>
  <c r="J774" i="3"/>
  <c r="I774" i="3"/>
  <c r="H774" i="3"/>
  <c r="L773" i="3"/>
  <c r="K773" i="3"/>
  <c r="J773" i="3"/>
  <c r="I773" i="3"/>
  <c r="H773" i="3"/>
  <c r="L772" i="3"/>
  <c r="K772" i="3"/>
  <c r="J772" i="3"/>
  <c r="I772" i="3"/>
  <c r="H772" i="3"/>
  <c r="L771" i="3"/>
  <c r="K771" i="3"/>
  <c r="J771" i="3"/>
  <c r="I771" i="3"/>
  <c r="H771" i="3"/>
  <c r="L770" i="3"/>
  <c r="K770" i="3"/>
  <c r="J770" i="3"/>
  <c r="I770" i="3"/>
  <c r="H770" i="3"/>
  <c r="L769" i="3"/>
  <c r="K769" i="3"/>
  <c r="J769" i="3"/>
  <c r="I769" i="3"/>
  <c r="H769" i="3"/>
  <c r="L768" i="3"/>
  <c r="K768" i="3"/>
  <c r="J768" i="3"/>
  <c r="I768" i="3"/>
  <c r="H768" i="3"/>
  <c r="L767" i="3"/>
  <c r="K767" i="3"/>
  <c r="J767" i="3"/>
  <c r="I767" i="3"/>
  <c r="H767" i="3"/>
  <c r="L766" i="3"/>
  <c r="K766" i="3"/>
  <c r="J766" i="3"/>
  <c r="I766" i="3"/>
  <c r="H766" i="3"/>
  <c r="L765" i="3"/>
  <c r="K765" i="3"/>
  <c r="J765" i="3"/>
  <c r="I765" i="3"/>
  <c r="H765" i="3"/>
  <c r="L764" i="3"/>
  <c r="K764" i="3"/>
  <c r="J764" i="3"/>
  <c r="I764" i="3"/>
  <c r="H764" i="3"/>
  <c r="L763" i="3"/>
  <c r="K763" i="3"/>
  <c r="J763" i="3"/>
  <c r="I763" i="3"/>
  <c r="H763" i="3"/>
  <c r="L762" i="3"/>
  <c r="K762" i="3"/>
  <c r="J762" i="3"/>
  <c r="I762" i="3"/>
  <c r="H762" i="3"/>
  <c r="L761" i="3"/>
  <c r="K761" i="3"/>
  <c r="J761" i="3"/>
  <c r="I761" i="3"/>
  <c r="H761" i="3"/>
  <c r="L760" i="3"/>
  <c r="K760" i="3"/>
  <c r="J760" i="3"/>
  <c r="I760" i="3"/>
  <c r="H760" i="3"/>
  <c r="L759" i="3"/>
  <c r="K759" i="3"/>
  <c r="J759" i="3"/>
  <c r="I759" i="3"/>
  <c r="H759" i="3"/>
  <c r="L758" i="3"/>
  <c r="K758" i="3"/>
  <c r="J758" i="3"/>
  <c r="I758" i="3"/>
  <c r="H758" i="3"/>
  <c r="L757" i="3"/>
  <c r="K757" i="3"/>
  <c r="J757" i="3"/>
  <c r="I757" i="3"/>
  <c r="H757" i="3"/>
  <c r="L756" i="3"/>
  <c r="K756" i="3"/>
  <c r="J756" i="3"/>
  <c r="I756" i="3"/>
  <c r="H756" i="3"/>
  <c r="L755" i="3"/>
  <c r="K755" i="3"/>
  <c r="J755" i="3"/>
  <c r="I755" i="3"/>
  <c r="H755" i="3"/>
  <c r="L754" i="3"/>
  <c r="K754" i="3"/>
  <c r="J754" i="3"/>
  <c r="I754" i="3"/>
  <c r="H754" i="3"/>
  <c r="L753" i="3"/>
  <c r="K753" i="3"/>
  <c r="J753" i="3"/>
  <c r="I753" i="3"/>
  <c r="H753" i="3"/>
  <c r="L752" i="3"/>
  <c r="K752" i="3"/>
  <c r="J752" i="3"/>
  <c r="I752" i="3"/>
  <c r="H752" i="3"/>
  <c r="L751" i="3"/>
  <c r="K751" i="3"/>
  <c r="J751" i="3"/>
  <c r="I751" i="3"/>
  <c r="H751" i="3"/>
  <c r="L750" i="3"/>
  <c r="K750" i="3"/>
  <c r="J750" i="3"/>
  <c r="I750" i="3"/>
  <c r="H750" i="3"/>
  <c r="L749" i="3"/>
  <c r="K749" i="3"/>
  <c r="J749" i="3"/>
  <c r="I749" i="3"/>
  <c r="H749" i="3"/>
  <c r="L748" i="3"/>
  <c r="K748" i="3"/>
  <c r="J748" i="3"/>
  <c r="I748" i="3"/>
  <c r="H748" i="3"/>
  <c r="L747" i="3"/>
  <c r="K747" i="3"/>
  <c r="J747" i="3"/>
  <c r="I747" i="3"/>
  <c r="H747" i="3"/>
  <c r="L746" i="3"/>
  <c r="K746" i="3"/>
  <c r="J746" i="3"/>
  <c r="I746" i="3"/>
  <c r="H746" i="3"/>
  <c r="L745" i="3"/>
  <c r="K745" i="3"/>
  <c r="J745" i="3"/>
  <c r="I745" i="3"/>
  <c r="H745" i="3"/>
  <c r="L744" i="3"/>
  <c r="K744" i="3"/>
  <c r="J744" i="3"/>
  <c r="I744" i="3"/>
  <c r="H744" i="3"/>
  <c r="L743" i="3"/>
  <c r="K743" i="3"/>
  <c r="J743" i="3"/>
  <c r="I743" i="3"/>
  <c r="H743" i="3"/>
  <c r="L742" i="3"/>
  <c r="K742" i="3"/>
  <c r="J742" i="3"/>
  <c r="I742" i="3"/>
  <c r="H742" i="3"/>
  <c r="L741" i="3"/>
  <c r="K741" i="3"/>
  <c r="J741" i="3"/>
  <c r="I741" i="3"/>
  <c r="H741" i="3"/>
  <c r="L740" i="3"/>
  <c r="K740" i="3"/>
  <c r="J740" i="3"/>
  <c r="I740" i="3"/>
  <c r="H740" i="3"/>
  <c r="L739" i="3"/>
  <c r="K739" i="3"/>
  <c r="J739" i="3"/>
  <c r="I739" i="3"/>
  <c r="H739" i="3"/>
  <c r="L738" i="3"/>
  <c r="K738" i="3"/>
  <c r="J738" i="3"/>
  <c r="I738" i="3"/>
  <c r="H738" i="3"/>
  <c r="L737" i="3"/>
  <c r="K737" i="3"/>
  <c r="J737" i="3"/>
  <c r="I737" i="3"/>
  <c r="H737" i="3"/>
  <c r="L736" i="3"/>
  <c r="K736" i="3"/>
  <c r="J736" i="3"/>
  <c r="I736" i="3"/>
  <c r="H736" i="3"/>
  <c r="L735" i="3"/>
  <c r="K735" i="3"/>
  <c r="J735" i="3"/>
  <c r="I735" i="3"/>
  <c r="H735" i="3"/>
  <c r="L734" i="3"/>
  <c r="K734" i="3"/>
  <c r="J734" i="3"/>
  <c r="I734" i="3"/>
  <c r="H734" i="3"/>
  <c r="L733" i="3"/>
  <c r="K733" i="3"/>
  <c r="J733" i="3"/>
  <c r="I733" i="3"/>
  <c r="H733" i="3"/>
  <c r="L732" i="3"/>
  <c r="K732" i="3"/>
  <c r="J732" i="3"/>
  <c r="I732" i="3"/>
  <c r="H732" i="3"/>
  <c r="L731" i="3"/>
  <c r="K731" i="3"/>
  <c r="J731" i="3"/>
  <c r="I731" i="3"/>
  <c r="H731" i="3"/>
  <c r="L730" i="3"/>
  <c r="K730" i="3"/>
  <c r="J730" i="3"/>
  <c r="I730" i="3"/>
  <c r="H730" i="3"/>
  <c r="L729" i="3"/>
  <c r="K729" i="3"/>
  <c r="J729" i="3"/>
  <c r="I729" i="3"/>
  <c r="H729" i="3"/>
  <c r="L728" i="3"/>
  <c r="K728" i="3"/>
  <c r="J728" i="3"/>
  <c r="I728" i="3"/>
  <c r="H728" i="3"/>
  <c r="L727" i="3"/>
  <c r="K727" i="3"/>
  <c r="J727" i="3"/>
  <c r="I727" i="3"/>
  <c r="H727" i="3"/>
  <c r="L726" i="3"/>
  <c r="K726" i="3"/>
  <c r="J726" i="3"/>
  <c r="I726" i="3"/>
  <c r="H726" i="3"/>
  <c r="L725" i="3"/>
  <c r="K725" i="3"/>
  <c r="J725" i="3"/>
  <c r="I725" i="3"/>
  <c r="H725" i="3"/>
  <c r="L724" i="3"/>
  <c r="K724" i="3"/>
  <c r="J724" i="3"/>
  <c r="I724" i="3"/>
  <c r="H724" i="3"/>
  <c r="L723" i="3"/>
  <c r="K723" i="3"/>
  <c r="J723" i="3"/>
  <c r="I723" i="3"/>
  <c r="H723" i="3"/>
  <c r="L722" i="3"/>
  <c r="K722" i="3"/>
  <c r="J722" i="3"/>
  <c r="I722" i="3"/>
  <c r="H722" i="3"/>
  <c r="L721" i="3"/>
  <c r="K721" i="3"/>
  <c r="J721" i="3"/>
  <c r="I721" i="3"/>
  <c r="H721" i="3"/>
  <c r="L720" i="3"/>
  <c r="K720" i="3"/>
  <c r="J720" i="3"/>
  <c r="I720" i="3"/>
  <c r="H720" i="3"/>
  <c r="L719" i="3"/>
  <c r="K719" i="3"/>
  <c r="J719" i="3"/>
  <c r="I719" i="3"/>
  <c r="H719" i="3"/>
  <c r="L718" i="3"/>
  <c r="K718" i="3"/>
  <c r="J718" i="3"/>
  <c r="I718" i="3"/>
  <c r="H718" i="3"/>
  <c r="L717" i="3"/>
  <c r="K717" i="3"/>
  <c r="J717" i="3"/>
  <c r="I717" i="3"/>
  <c r="H717" i="3"/>
  <c r="L716" i="3"/>
  <c r="K716" i="3"/>
  <c r="J716" i="3"/>
  <c r="I716" i="3"/>
  <c r="H716" i="3"/>
  <c r="L715" i="3"/>
  <c r="K715" i="3"/>
  <c r="J715" i="3"/>
  <c r="I715" i="3"/>
  <c r="H715" i="3"/>
  <c r="L714" i="3"/>
  <c r="K714" i="3"/>
  <c r="J714" i="3"/>
  <c r="I714" i="3"/>
  <c r="H714" i="3"/>
  <c r="L713" i="3"/>
  <c r="K713" i="3"/>
  <c r="J713" i="3"/>
  <c r="I713" i="3"/>
  <c r="H713" i="3"/>
  <c r="L712" i="3"/>
  <c r="K712" i="3"/>
  <c r="J712" i="3"/>
  <c r="I712" i="3"/>
  <c r="H712" i="3"/>
  <c r="L711" i="3"/>
  <c r="K711" i="3"/>
  <c r="J711" i="3"/>
  <c r="I711" i="3"/>
  <c r="H711" i="3"/>
  <c r="L710" i="3"/>
  <c r="K710" i="3"/>
  <c r="J710" i="3"/>
  <c r="I710" i="3"/>
  <c r="H710" i="3"/>
  <c r="L709" i="3"/>
  <c r="K709" i="3"/>
  <c r="J709" i="3"/>
  <c r="I709" i="3"/>
  <c r="H709" i="3"/>
  <c r="L708" i="3"/>
  <c r="K708" i="3"/>
  <c r="J708" i="3"/>
  <c r="I708" i="3"/>
  <c r="H708" i="3"/>
  <c r="L707" i="3"/>
  <c r="K707" i="3"/>
  <c r="J707" i="3"/>
  <c r="I707" i="3"/>
  <c r="H707" i="3"/>
  <c r="L706" i="3"/>
  <c r="K706" i="3"/>
  <c r="J706" i="3"/>
  <c r="I706" i="3"/>
  <c r="H706" i="3"/>
  <c r="L705" i="3"/>
  <c r="K705" i="3"/>
  <c r="J705" i="3"/>
  <c r="I705" i="3"/>
  <c r="H705" i="3"/>
  <c r="L704" i="3"/>
  <c r="K704" i="3"/>
  <c r="J704" i="3"/>
  <c r="I704" i="3"/>
  <c r="H704" i="3"/>
  <c r="L703" i="3"/>
  <c r="K703" i="3"/>
  <c r="J703" i="3"/>
  <c r="I703" i="3"/>
  <c r="H703" i="3"/>
  <c r="L702" i="3"/>
  <c r="K702" i="3"/>
  <c r="J702" i="3"/>
  <c r="I702" i="3"/>
  <c r="H702" i="3"/>
  <c r="L701" i="3"/>
  <c r="K701" i="3"/>
  <c r="J701" i="3"/>
  <c r="I701" i="3"/>
  <c r="H701" i="3"/>
  <c r="L700" i="3"/>
  <c r="K700" i="3"/>
  <c r="J700" i="3"/>
  <c r="I700" i="3"/>
  <c r="H700" i="3"/>
  <c r="L699" i="3"/>
  <c r="K699" i="3"/>
  <c r="J699" i="3"/>
  <c r="I699" i="3"/>
  <c r="H699" i="3"/>
  <c r="L698" i="3"/>
  <c r="K698" i="3"/>
  <c r="J698" i="3"/>
  <c r="I698" i="3"/>
  <c r="H698" i="3"/>
  <c r="L697" i="3"/>
  <c r="K697" i="3"/>
  <c r="J697" i="3"/>
  <c r="I697" i="3"/>
  <c r="H697" i="3"/>
  <c r="L696" i="3"/>
  <c r="K696" i="3"/>
  <c r="J696" i="3"/>
  <c r="I696" i="3"/>
  <c r="H696" i="3"/>
  <c r="L695" i="3"/>
  <c r="K695" i="3"/>
  <c r="J695" i="3"/>
  <c r="I695" i="3"/>
  <c r="H695" i="3"/>
  <c r="L694" i="3"/>
  <c r="K694" i="3"/>
  <c r="J694" i="3"/>
  <c r="I694" i="3"/>
  <c r="H694" i="3"/>
  <c r="L693" i="3"/>
  <c r="K693" i="3"/>
  <c r="J693" i="3"/>
  <c r="I693" i="3"/>
  <c r="H693" i="3"/>
  <c r="L692" i="3"/>
  <c r="K692" i="3"/>
  <c r="J692" i="3"/>
  <c r="I692" i="3"/>
  <c r="H692" i="3"/>
  <c r="L691" i="3"/>
  <c r="K691" i="3"/>
  <c r="J691" i="3"/>
  <c r="I691" i="3"/>
  <c r="H691" i="3"/>
  <c r="L690" i="3"/>
  <c r="K690" i="3"/>
  <c r="J690" i="3"/>
  <c r="I690" i="3"/>
  <c r="H690" i="3"/>
  <c r="L689" i="3"/>
  <c r="K689" i="3"/>
  <c r="J689" i="3"/>
  <c r="I689" i="3"/>
  <c r="H689" i="3"/>
  <c r="L688" i="3"/>
  <c r="K688" i="3"/>
  <c r="J688" i="3"/>
  <c r="I688" i="3"/>
  <c r="H688" i="3"/>
  <c r="L687" i="3"/>
  <c r="K687" i="3"/>
  <c r="J687" i="3"/>
  <c r="I687" i="3"/>
  <c r="H687" i="3"/>
  <c r="L686" i="3"/>
  <c r="K686" i="3"/>
  <c r="J686" i="3"/>
  <c r="I686" i="3"/>
  <c r="H686" i="3"/>
  <c r="L685" i="3"/>
  <c r="K685" i="3"/>
  <c r="J685" i="3"/>
  <c r="I685" i="3"/>
  <c r="H685" i="3"/>
  <c r="L684" i="3"/>
  <c r="K684" i="3"/>
  <c r="J684" i="3"/>
  <c r="I684" i="3"/>
  <c r="H684" i="3"/>
  <c r="L683" i="3"/>
  <c r="K683" i="3"/>
  <c r="J683" i="3"/>
  <c r="I683" i="3"/>
  <c r="H683" i="3"/>
  <c r="L682" i="3"/>
  <c r="K682" i="3"/>
  <c r="J682" i="3"/>
  <c r="I682" i="3"/>
  <c r="H682" i="3"/>
  <c r="L681" i="3"/>
  <c r="K681" i="3"/>
  <c r="J681" i="3"/>
  <c r="I681" i="3"/>
  <c r="H681" i="3"/>
  <c r="L680" i="3"/>
  <c r="K680" i="3"/>
  <c r="J680" i="3"/>
  <c r="I680" i="3"/>
  <c r="H680" i="3"/>
  <c r="L679" i="3"/>
  <c r="K679" i="3"/>
  <c r="J679" i="3"/>
  <c r="I679" i="3"/>
  <c r="H679" i="3"/>
  <c r="L678" i="3"/>
  <c r="K678" i="3"/>
  <c r="J678" i="3"/>
  <c r="I678" i="3"/>
  <c r="H678" i="3"/>
  <c r="L677" i="3"/>
  <c r="K677" i="3"/>
  <c r="J677" i="3"/>
  <c r="I677" i="3"/>
  <c r="H677" i="3"/>
  <c r="L676" i="3"/>
  <c r="K676" i="3"/>
  <c r="J676" i="3"/>
  <c r="I676" i="3"/>
  <c r="H676" i="3"/>
  <c r="L675" i="3"/>
  <c r="K675" i="3"/>
  <c r="J675" i="3"/>
  <c r="I675" i="3"/>
  <c r="H675" i="3"/>
  <c r="L674" i="3"/>
  <c r="K674" i="3"/>
  <c r="J674" i="3"/>
  <c r="I674" i="3"/>
  <c r="H674" i="3"/>
  <c r="L673" i="3"/>
  <c r="K673" i="3"/>
  <c r="J673" i="3"/>
  <c r="I673" i="3"/>
  <c r="H673" i="3"/>
  <c r="L672" i="3"/>
  <c r="K672" i="3"/>
  <c r="J672" i="3"/>
  <c r="I672" i="3"/>
  <c r="H672" i="3"/>
  <c r="L671" i="3"/>
  <c r="K671" i="3"/>
  <c r="J671" i="3"/>
  <c r="I671" i="3"/>
  <c r="H671" i="3"/>
  <c r="L670" i="3"/>
  <c r="K670" i="3"/>
  <c r="J670" i="3"/>
  <c r="I670" i="3"/>
  <c r="H670" i="3"/>
  <c r="L669" i="3"/>
  <c r="K669" i="3"/>
  <c r="J669" i="3"/>
  <c r="I669" i="3"/>
  <c r="H669" i="3"/>
  <c r="L668" i="3"/>
  <c r="K668" i="3"/>
  <c r="J668" i="3"/>
  <c r="I668" i="3"/>
  <c r="H668" i="3"/>
  <c r="L667" i="3"/>
  <c r="K667" i="3"/>
  <c r="J667" i="3"/>
  <c r="I667" i="3"/>
  <c r="H667" i="3"/>
  <c r="L666" i="3"/>
  <c r="K666" i="3"/>
  <c r="J666" i="3"/>
  <c r="I666" i="3"/>
  <c r="H666" i="3"/>
  <c r="L665" i="3"/>
  <c r="K665" i="3"/>
  <c r="J665" i="3"/>
  <c r="I665" i="3"/>
  <c r="H665" i="3"/>
  <c r="L664" i="3"/>
  <c r="K664" i="3"/>
  <c r="J664" i="3"/>
  <c r="I664" i="3"/>
  <c r="H664" i="3"/>
  <c r="L663" i="3"/>
  <c r="K663" i="3"/>
  <c r="J663" i="3"/>
  <c r="I663" i="3"/>
  <c r="H663" i="3"/>
  <c r="L662" i="3"/>
  <c r="K662" i="3"/>
  <c r="J662" i="3"/>
  <c r="I662" i="3"/>
  <c r="H662" i="3"/>
  <c r="L661" i="3"/>
  <c r="K661" i="3"/>
  <c r="J661" i="3"/>
  <c r="I661" i="3"/>
  <c r="H661" i="3"/>
  <c r="L660" i="3"/>
  <c r="K660" i="3"/>
  <c r="J660" i="3"/>
  <c r="I660" i="3"/>
  <c r="H660" i="3"/>
  <c r="L659" i="3"/>
  <c r="K659" i="3"/>
  <c r="J659" i="3"/>
  <c r="I659" i="3"/>
  <c r="H659" i="3"/>
  <c r="L658" i="3"/>
  <c r="K658" i="3"/>
  <c r="J658" i="3"/>
  <c r="I658" i="3"/>
  <c r="H658" i="3"/>
  <c r="L657" i="3"/>
  <c r="K657" i="3"/>
  <c r="J657" i="3"/>
  <c r="I657" i="3"/>
  <c r="H657" i="3"/>
  <c r="L656" i="3"/>
  <c r="K656" i="3"/>
  <c r="J656" i="3"/>
  <c r="I656" i="3"/>
  <c r="H656" i="3"/>
  <c r="L655" i="3"/>
  <c r="K655" i="3"/>
  <c r="J655" i="3"/>
  <c r="I655" i="3"/>
  <c r="H655" i="3"/>
  <c r="L654" i="3"/>
  <c r="K654" i="3"/>
  <c r="J654" i="3"/>
  <c r="I654" i="3"/>
  <c r="H654" i="3"/>
  <c r="L653" i="3"/>
  <c r="K653" i="3"/>
  <c r="J653" i="3"/>
  <c r="I653" i="3"/>
  <c r="H653" i="3"/>
  <c r="L652" i="3"/>
  <c r="K652" i="3"/>
  <c r="J652" i="3"/>
  <c r="I652" i="3"/>
  <c r="H652" i="3"/>
  <c r="L651" i="3"/>
  <c r="K651" i="3"/>
  <c r="J651" i="3"/>
  <c r="I651" i="3"/>
  <c r="H651" i="3"/>
  <c r="L650" i="3"/>
  <c r="K650" i="3"/>
  <c r="J650" i="3"/>
  <c r="I650" i="3"/>
  <c r="H650" i="3"/>
  <c r="L649" i="3"/>
  <c r="K649" i="3"/>
  <c r="J649" i="3"/>
  <c r="I649" i="3"/>
  <c r="H649" i="3"/>
  <c r="L648" i="3"/>
  <c r="K648" i="3"/>
  <c r="J648" i="3"/>
  <c r="I648" i="3"/>
  <c r="H648" i="3"/>
  <c r="L647" i="3"/>
  <c r="K647" i="3"/>
  <c r="J647" i="3"/>
  <c r="I647" i="3"/>
  <c r="H647" i="3"/>
  <c r="L646" i="3"/>
  <c r="K646" i="3"/>
  <c r="J646" i="3"/>
  <c r="I646" i="3"/>
  <c r="H646" i="3"/>
  <c r="L645" i="3"/>
  <c r="K645" i="3"/>
  <c r="J645" i="3"/>
  <c r="I645" i="3"/>
  <c r="H645" i="3"/>
  <c r="L644" i="3"/>
  <c r="K644" i="3"/>
  <c r="J644" i="3"/>
  <c r="I644" i="3"/>
  <c r="H644" i="3"/>
  <c r="L643" i="3"/>
  <c r="K643" i="3"/>
  <c r="J643" i="3"/>
  <c r="I643" i="3"/>
  <c r="H643" i="3"/>
  <c r="L642" i="3"/>
  <c r="K642" i="3"/>
  <c r="J642" i="3"/>
  <c r="I642" i="3"/>
  <c r="H642" i="3"/>
  <c r="L641" i="3"/>
  <c r="K641" i="3"/>
  <c r="J641" i="3"/>
  <c r="I641" i="3"/>
  <c r="H641" i="3"/>
  <c r="L640" i="3"/>
  <c r="K640" i="3"/>
  <c r="J640" i="3"/>
  <c r="I640" i="3"/>
  <c r="H640" i="3"/>
  <c r="L639" i="3"/>
  <c r="K639" i="3"/>
  <c r="J639" i="3"/>
  <c r="I639" i="3"/>
  <c r="H639" i="3"/>
  <c r="L638" i="3"/>
  <c r="K638" i="3"/>
  <c r="J638" i="3"/>
  <c r="I638" i="3"/>
  <c r="H638" i="3"/>
  <c r="L637" i="3"/>
  <c r="K637" i="3"/>
  <c r="J637" i="3"/>
  <c r="I637" i="3"/>
  <c r="H637" i="3"/>
  <c r="L636" i="3"/>
  <c r="K636" i="3"/>
  <c r="J636" i="3"/>
  <c r="I636" i="3"/>
  <c r="H636" i="3"/>
  <c r="L635" i="3"/>
  <c r="K635" i="3"/>
  <c r="J635" i="3"/>
  <c r="I635" i="3"/>
  <c r="H635" i="3"/>
  <c r="L634" i="3"/>
  <c r="K634" i="3"/>
  <c r="J634" i="3"/>
  <c r="I634" i="3"/>
  <c r="H634" i="3"/>
  <c r="L633" i="3"/>
  <c r="K633" i="3"/>
  <c r="J633" i="3"/>
  <c r="I633" i="3"/>
  <c r="H633" i="3"/>
  <c r="L632" i="3"/>
  <c r="K632" i="3"/>
  <c r="J632" i="3"/>
  <c r="I632" i="3"/>
  <c r="H632" i="3"/>
  <c r="L631" i="3"/>
  <c r="K631" i="3"/>
  <c r="J631" i="3"/>
  <c r="I631" i="3"/>
  <c r="H631" i="3"/>
  <c r="L630" i="3"/>
  <c r="K630" i="3"/>
  <c r="J630" i="3"/>
  <c r="I630" i="3"/>
  <c r="H630" i="3"/>
  <c r="L629" i="3"/>
  <c r="K629" i="3"/>
  <c r="J629" i="3"/>
  <c r="I629" i="3"/>
  <c r="H629" i="3"/>
  <c r="L628" i="3"/>
  <c r="K628" i="3"/>
  <c r="J628" i="3"/>
  <c r="I628" i="3"/>
  <c r="H628" i="3"/>
  <c r="L627" i="3"/>
  <c r="K627" i="3"/>
  <c r="J627" i="3"/>
  <c r="I627" i="3"/>
  <c r="H627" i="3"/>
  <c r="L626" i="3"/>
  <c r="K626" i="3"/>
  <c r="J626" i="3"/>
  <c r="I626" i="3"/>
  <c r="H626" i="3"/>
  <c r="L625" i="3"/>
  <c r="K625" i="3"/>
  <c r="J625" i="3"/>
  <c r="I625" i="3"/>
  <c r="H625" i="3"/>
  <c r="L624" i="3"/>
  <c r="K624" i="3"/>
  <c r="J624" i="3"/>
  <c r="I624" i="3"/>
  <c r="H624" i="3"/>
  <c r="L623" i="3"/>
  <c r="K623" i="3"/>
  <c r="J623" i="3"/>
  <c r="I623" i="3"/>
  <c r="H623" i="3"/>
  <c r="L622" i="3"/>
  <c r="K622" i="3"/>
  <c r="J622" i="3"/>
  <c r="I622" i="3"/>
  <c r="H622" i="3"/>
  <c r="L621" i="3"/>
  <c r="K621" i="3"/>
  <c r="J621" i="3"/>
  <c r="I621" i="3"/>
  <c r="H621" i="3"/>
  <c r="L620" i="3"/>
  <c r="K620" i="3"/>
  <c r="J620" i="3"/>
  <c r="I620" i="3"/>
  <c r="H620" i="3"/>
  <c r="L619" i="3"/>
  <c r="K619" i="3"/>
  <c r="J619" i="3"/>
  <c r="I619" i="3"/>
  <c r="H619" i="3"/>
  <c r="L618" i="3"/>
  <c r="K618" i="3"/>
  <c r="J618" i="3"/>
  <c r="I618" i="3"/>
  <c r="H618" i="3"/>
  <c r="L617" i="3"/>
  <c r="K617" i="3"/>
  <c r="J617" i="3"/>
  <c r="I617" i="3"/>
  <c r="H617" i="3"/>
  <c r="L616" i="3"/>
  <c r="K616" i="3"/>
  <c r="J616" i="3"/>
  <c r="I616" i="3"/>
  <c r="H616" i="3"/>
  <c r="L615" i="3"/>
  <c r="K615" i="3"/>
  <c r="J615" i="3"/>
  <c r="I615" i="3"/>
  <c r="H615" i="3"/>
  <c r="L614" i="3"/>
  <c r="K614" i="3"/>
  <c r="J614" i="3"/>
  <c r="I614" i="3"/>
  <c r="H614" i="3"/>
  <c r="L613" i="3"/>
  <c r="K613" i="3"/>
  <c r="J613" i="3"/>
  <c r="I613" i="3"/>
  <c r="H613" i="3"/>
  <c r="L612" i="3"/>
  <c r="K612" i="3"/>
  <c r="J612" i="3"/>
  <c r="I612" i="3"/>
  <c r="H612" i="3"/>
  <c r="L611" i="3"/>
  <c r="K611" i="3"/>
  <c r="J611" i="3"/>
  <c r="I611" i="3"/>
  <c r="H611" i="3"/>
  <c r="L610" i="3"/>
  <c r="K610" i="3"/>
  <c r="J610" i="3"/>
  <c r="I610" i="3"/>
  <c r="H610" i="3"/>
  <c r="L609" i="3"/>
  <c r="K609" i="3"/>
  <c r="J609" i="3"/>
  <c r="I609" i="3"/>
  <c r="H609" i="3"/>
  <c r="L608" i="3"/>
  <c r="K608" i="3"/>
  <c r="J608" i="3"/>
  <c r="I608" i="3"/>
  <c r="H608" i="3"/>
  <c r="L607" i="3"/>
  <c r="K607" i="3"/>
  <c r="J607" i="3"/>
  <c r="I607" i="3"/>
  <c r="H607" i="3"/>
  <c r="L606" i="3"/>
  <c r="K606" i="3"/>
  <c r="J606" i="3"/>
  <c r="I606" i="3"/>
  <c r="H606" i="3"/>
  <c r="L605" i="3"/>
  <c r="K605" i="3"/>
  <c r="J605" i="3"/>
  <c r="I605" i="3"/>
  <c r="H605" i="3"/>
  <c r="L604" i="3"/>
  <c r="K604" i="3"/>
  <c r="J604" i="3"/>
  <c r="I604" i="3"/>
  <c r="H604" i="3"/>
  <c r="L603" i="3"/>
  <c r="K603" i="3"/>
  <c r="J603" i="3"/>
  <c r="I603" i="3"/>
  <c r="H603" i="3"/>
  <c r="L602" i="3"/>
  <c r="K602" i="3"/>
  <c r="J602" i="3"/>
  <c r="I602" i="3"/>
  <c r="H602" i="3"/>
  <c r="L601" i="3"/>
  <c r="K601" i="3"/>
  <c r="J601" i="3"/>
  <c r="I601" i="3"/>
  <c r="H601" i="3"/>
  <c r="L600" i="3"/>
  <c r="K600" i="3"/>
  <c r="J600" i="3"/>
  <c r="I600" i="3"/>
  <c r="H600" i="3"/>
  <c r="L599" i="3"/>
  <c r="K599" i="3"/>
  <c r="J599" i="3"/>
  <c r="I599" i="3"/>
  <c r="H599" i="3"/>
  <c r="L598" i="3"/>
  <c r="K598" i="3"/>
  <c r="J598" i="3"/>
  <c r="I598" i="3"/>
  <c r="H598" i="3"/>
  <c r="L597" i="3"/>
  <c r="K597" i="3"/>
  <c r="J597" i="3"/>
  <c r="I597" i="3"/>
  <c r="H597" i="3"/>
  <c r="L596" i="3"/>
  <c r="K596" i="3"/>
  <c r="J596" i="3"/>
  <c r="I596" i="3"/>
  <c r="H596" i="3"/>
  <c r="L595" i="3"/>
  <c r="K595" i="3"/>
  <c r="J595" i="3"/>
  <c r="I595" i="3"/>
  <c r="H595" i="3"/>
  <c r="L594" i="3"/>
  <c r="K594" i="3"/>
  <c r="J594" i="3"/>
  <c r="I594" i="3"/>
  <c r="H594" i="3"/>
  <c r="L593" i="3"/>
  <c r="K593" i="3"/>
  <c r="J593" i="3"/>
  <c r="I593" i="3"/>
  <c r="H593" i="3"/>
  <c r="L592" i="3"/>
  <c r="K592" i="3"/>
  <c r="J592" i="3"/>
  <c r="I592" i="3"/>
  <c r="H592" i="3"/>
  <c r="L591" i="3"/>
  <c r="K591" i="3"/>
  <c r="J591" i="3"/>
  <c r="I591" i="3"/>
  <c r="H591" i="3"/>
  <c r="L590" i="3"/>
  <c r="K590" i="3"/>
  <c r="J590" i="3"/>
  <c r="I590" i="3"/>
  <c r="H590" i="3"/>
  <c r="L589" i="3"/>
  <c r="K589" i="3"/>
  <c r="J589" i="3"/>
  <c r="I589" i="3"/>
  <c r="H589" i="3"/>
  <c r="L588" i="3"/>
  <c r="K588" i="3"/>
  <c r="J588" i="3"/>
  <c r="I588" i="3"/>
  <c r="H588" i="3"/>
  <c r="L587" i="3"/>
  <c r="K587" i="3"/>
  <c r="J587" i="3"/>
  <c r="I587" i="3"/>
  <c r="H587" i="3"/>
  <c r="L586" i="3"/>
  <c r="K586" i="3"/>
  <c r="J586" i="3"/>
  <c r="I586" i="3"/>
  <c r="H586" i="3"/>
  <c r="L585" i="3"/>
  <c r="K585" i="3"/>
  <c r="J585" i="3"/>
  <c r="I585" i="3"/>
  <c r="H585" i="3"/>
  <c r="L584" i="3"/>
  <c r="K584" i="3"/>
  <c r="J584" i="3"/>
  <c r="I584" i="3"/>
  <c r="H584" i="3"/>
  <c r="L583" i="3"/>
  <c r="K583" i="3"/>
  <c r="J583" i="3"/>
  <c r="I583" i="3"/>
  <c r="H583" i="3"/>
  <c r="L582" i="3"/>
  <c r="K582" i="3"/>
  <c r="J582" i="3"/>
  <c r="I582" i="3"/>
  <c r="H582" i="3"/>
  <c r="L581" i="3"/>
  <c r="K581" i="3"/>
  <c r="J581" i="3"/>
  <c r="I581" i="3"/>
  <c r="H581" i="3"/>
  <c r="L580" i="3"/>
  <c r="K580" i="3"/>
  <c r="J580" i="3"/>
  <c r="I580" i="3"/>
  <c r="H580" i="3"/>
  <c r="L579" i="3"/>
  <c r="K579" i="3"/>
  <c r="J579" i="3"/>
  <c r="I579" i="3"/>
  <c r="H579" i="3"/>
  <c r="L578" i="3"/>
  <c r="K578" i="3"/>
  <c r="J578" i="3"/>
  <c r="I578" i="3"/>
  <c r="H578" i="3"/>
  <c r="L577" i="3"/>
  <c r="K577" i="3"/>
  <c r="J577" i="3"/>
  <c r="I577" i="3"/>
  <c r="H577" i="3"/>
  <c r="L576" i="3"/>
  <c r="K576" i="3"/>
  <c r="J576" i="3"/>
  <c r="I576" i="3"/>
  <c r="H576" i="3"/>
  <c r="L575" i="3"/>
  <c r="K575" i="3"/>
  <c r="J575" i="3"/>
  <c r="I575" i="3"/>
  <c r="H575" i="3"/>
  <c r="L574" i="3"/>
  <c r="K574" i="3"/>
  <c r="J574" i="3"/>
  <c r="I574" i="3"/>
  <c r="H574" i="3"/>
  <c r="L573" i="3"/>
  <c r="K573" i="3"/>
  <c r="J573" i="3"/>
  <c r="I573" i="3"/>
  <c r="H573" i="3"/>
  <c r="L572" i="3"/>
  <c r="K572" i="3"/>
  <c r="J572" i="3"/>
  <c r="I572" i="3"/>
  <c r="H572" i="3"/>
  <c r="L571" i="3"/>
  <c r="K571" i="3"/>
  <c r="J571" i="3"/>
  <c r="I571" i="3"/>
  <c r="H571" i="3"/>
  <c r="L570" i="3"/>
  <c r="K570" i="3"/>
  <c r="J570" i="3"/>
  <c r="I570" i="3"/>
  <c r="H570" i="3"/>
  <c r="L569" i="3"/>
  <c r="K569" i="3"/>
  <c r="J569" i="3"/>
  <c r="I569" i="3"/>
  <c r="H569" i="3"/>
  <c r="L568" i="3"/>
  <c r="K568" i="3"/>
  <c r="J568" i="3"/>
  <c r="I568" i="3"/>
  <c r="H568" i="3"/>
  <c r="L567" i="3"/>
  <c r="K567" i="3"/>
  <c r="J567" i="3"/>
  <c r="I567" i="3"/>
  <c r="H567" i="3"/>
  <c r="L566" i="3"/>
  <c r="K566" i="3"/>
  <c r="J566" i="3"/>
  <c r="I566" i="3"/>
  <c r="H566" i="3"/>
  <c r="L565" i="3"/>
  <c r="K565" i="3"/>
  <c r="J565" i="3"/>
  <c r="I565" i="3"/>
  <c r="H565" i="3"/>
  <c r="L564" i="3"/>
  <c r="K564" i="3"/>
  <c r="J564" i="3"/>
  <c r="I564" i="3"/>
  <c r="H564" i="3"/>
  <c r="L563" i="3"/>
  <c r="K563" i="3"/>
  <c r="J563" i="3"/>
  <c r="I563" i="3"/>
  <c r="H563" i="3"/>
  <c r="L562" i="3"/>
  <c r="K562" i="3"/>
  <c r="J562" i="3"/>
  <c r="I562" i="3"/>
  <c r="H562" i="3"/>
  <c r="L561" i="3"/>
  <c r="K561" i="3"/>
  <c r="J561" i="3"/>
  <c r="I561" i="3"/>
  <c r="H561" i="3"/>
  <c r="L560" i="3"/>
  <c r="K560" i="3"/>
  <c r="J560" i="3"/>
  <c r="I560" i="3"/>
  <c r="H560" i="3"/>
  <c r="L559" i="3"/>
  <c r="K559" i="3"/>
  <c r="J559" i="3"/>
  <c r="I559" i="3"/>
  <c r="H559" i="3"/>
  <c r="L558" i="3"/>
  <c r="K558" i="3"/>
  <c r="J558" i="3"/>
  <c r="I558" i="3"/>
  <c r="H558" i="3"/>
  <c r="L557" i="3"/>
  <c r="K557" i="3"/>
  <c r="J557" i="3"/>
  <c r="I557" i="3"/>
  <c r="H557" i="3"/>
  <c r="L556" i="3"/>
  <c r="K556" i="3"/>
  <c r="J556" i="3"/>
  <c r="I556" i="3"/>
  <c r="H556" i="3"/>
  <c r="L555" i="3"/>
  <c r="K555" i="3"/>
  <c r="J555" i="3"/>
  <c r="I555" i="3"/>
  <c r="H555" i="3"/>
  <c r="L554" i="3"/>
  <c r="K554" i="3"/>
  <c r="J554" i="3"/>
  <c r="I554" i="3"/>
  <c r="H554" i="3"/>
  <c r="L553" i="3"/>
  <c r="K553" i="3"/>
  <c r="J553" i="3"/>
  <c r="I553" i="3"/>
  <c r="H553" i="3"/>
  <c r="L552" i="3"/>
  <c r="K552" i="3"/>
  <c r="J552" i="3"/>
  <c r="I552" i="3"/>
  <c r="H552" i="3"/>
  <c r="L551" i="3"/>
  <c r="K551" i="3"/>
  <c r="J551" i="3"/>
  <c r="I551" i="3"/>
  <c r="H551" i="3"/>
  <c r="L550" i="3"/>
  <c r="K550" i="3"/>
  <c r="J550" i="3"/>
  <c r="I550" i="3"/>
  <c r="H550" i="3"/>
  <c r="L549" i="3"/>
  <c r="K549" i="3"/>
  <c r="J549" i="3"/>
  <c r="I549" i="3"/>
  <c r="H549" i="3"/>
  <c r="L548" i="3"/>
  <c r="K548" i="3"/>
  <c r="J548" i="3"/>
  <c r="I548" i="3"/>
  <c r="H548" i="3"/>
  <c r="L547" i="3"/>
  <c r="K547" i="3"/>
  <c r="J547" i="3"/>
  <c r="I547" i="3"/>
  <c r="H547" i="3"/>
  <c r="L546" i="3"/>
  <c r="K546" i="3"/>
  <c r="J546" i="3"/>
  <c r="I546" i="3"/>
  <c r="H546" i="3"/>
  <c r="L545" i="3"/>
  <c r="K545" i="3"/>
  <c r="J545" i="3"/>
  <c r="I545" i="3"/>
  <c r="H545" i="3"/>
  <c r="L544" i="3"/>
  <c r="K544" i="3"/>
  <c r="J544" i="3"/>
  <c r="I544" i="3"/>
  <c r="H544" i="3"/>
  <c r="L543" i="3"/>
  <c r="K543" i="3"/>
  <c r="J543" i="3"/>
  <c r="I543" i="3"/>
  <c r="H543" i="3"/>
  <c r="L542" i="3"/>
  <c r="K542" i="3"/>
  <c r="J542" i="3"/>
  <c r="I542" i="3"/>
  <c r="H542" i="3"/>
  <c r="L541" i="3"/>
  <c r="K541" i="3"/>
  <c r="J541" i="3"/>
  <c r="I541" i="3"/>
  <c r="H541" i="3"/>
  <c r="L540" i="3"/>
  <c r="K540" i="3"/>
  <c r="J540" i="3"/>
  <c r="I540" i="3"/>
  <c r="H540" i="3"/>
  <c r="L539" i="3"/>
  <c r="K539" i="3"/>
  <c r="J539" i="3"/>
  <c r="I539" i="3"/>
  <c r="H539" i="3"/>
  <c r="L538" i="3"/>
  <c r="K538" i="3"/>
  <c r="J538" i="3"/>
  <c r="I538" i="3"/>
  <c r="H538" i="3"/>
  <c r="L537" i="3"/>
  <c r="K537" i="3"/>
  <c r="J537" i="3"/>
  <c r="I537" i="3"/>
  <c r="H537" i="3"/>
  <c r="L536" i="3"/>
  <c r="K536" i="3"/>
  <c r="J536" i="3"/>
  <c r="I536" i="3"/>
  <c r="H536" i="3"/>
  <c r="L535" i="3"/>
  <c r="K535" i="3"/>
  <c r="J535" i="3"/>
  <c r="I535" i="3"/>
  <c r="H535" i="3"/>
  <c r="L534" i="3"/>
  <c r="K534" i="3"/>
  <c r="J534" i="3"/>
  <c r="I534" i="3"/>
  <c r="H534" i="3"/>
  <c r="L533" i="3"/>
  <c r="K533" i="3"/>
  <c r="J533" i="3"/>
  <c r="I533" i="3"/>
  <c r="H533" i="3"/>
  <c r="L532" i="3"/>
  <c r="K532" i="3"/>
  <c r="J532" i="3"/>
  <c r="I532" i="3"/>
  <c r="H532" i="3"/>
  <c r="L531" i="3"/>
  <c r="K531" i="3"/>
  <c r="J531" i="3"/>
  <c r="I531" i="3"/>
  <c r="H531" i="3"/>
  <c r="L530" i="3"/>
  <c r="K530" i="3"/>
  <c r="J530" i="3"/>
  <c r="I530" i="3"/>
  <c r="H530" i="3"/>
  <c r="L529" i="3"/>
  <c r="K529" i="3"/>
  <c r="J529" i="3"/>
  <c r="I529" i="3"/>
  <c r="H529" i="3"/>
  <c r="L528" i="3"/>
  <c r="K528" i="3"/>
  <c r="J528" i="3"/>
  <c r="I528" i="3"/>
  <c r="H528" i="3"/>
  <c r="L527" i="3"/>
  <c r="K527" i="3"/>
  <c r="J527" i="3"/>
  <c r="I527" i="3"/>
  <c r="H527" i="3"/>
  <c r="L526" i="3"/>
  <c r="K526" i="3"/>
  <c r="J526" i="3"/>
  <c r="I526" i="3"/>
  <c r="H526" i="3"/>
  <c r="L525" i="3"/>
  <c r="K525" i="3"/>
  <c r="J525" i="3"/>
  <c r="I525" i="3"/>
  <c r="H525" i="3"/>
  <c r="L524" i="3"/>
  <c r="K524" i="3"/>
  <c r="J524" i="3"/>
  <c r="I524" i="3"/>
  <c r="H524" i="3"/>
  <c r="L523" i="3"/>
  <c r="K523" i="3"/>
  <c r="J523" i="3"/>
  <c r="I523" i="3"/>
  <c r="H523" i="3"/>
  <c r="L522" i="3"/>
  <c r="K522" i="3"/>
  <c r="J522" i="3"/>
  <c r="I522" i="3"/>
  <c r="H522" i="3"/>
  <c r="L521" i="3"/>
  <c r="K521" i="3"/>
  <c r="J521" i="3"/>
  <c r="I521" i="3"/>
  <c r="H521" i="3"/>
  <c r="L520" i="3"/>
  <c r="K520" i="3"/>
  <c r="J520" i="3"/>
  <c r="I520" i="3"/>
  <c r="H520" i="3"/>
  <c r="L519" i="3"/>
  <c r="K519" i="3"/>
  <c r="J519" i="3"/>
  <c r="I519" i="3"/>
  <c r="H519" i="3"/>
  <c r="L518" i="3"/>
  <c r="K518" i="3"/>
  <c r="J518" i="3"/>
  <c r="I518" i="3"/>
  <c r="H518" i="3"/>
  <c r="L517" i="3"/>
  <c r="K517" i="3"/>
  <c r="J517" i="3"/>
  <c r="I517" i="3"/>
  <c r="H517" i="3"/>
  <c r="L516" i="3"/>
  <c r="K516" i="3"/>
  <c r="J516" i="3"/>
  <c r="I516" i="3"/>
  <c r="H516" i="3"/>
  <c r="L515" i="3"/>
  <c r="K515" i="3"/>
  <c r="J515" i="3"/>
  <c r="I515" i="3"/>
  <c r="H515" i="3"/>
  <c r="L514" i="3"/>
  <c r="K514" i="3"/>
  <c r="J514" i="3"/>
  <c r="I514" i="3"/>
  <c r="H514" i="3"/>
  <c r="L513" i="3"/>
  <c r="K513" i="3"/>
  <c r="J513" i="3"/>
  <c r="I513" i="3"/>
  <c r="H513" i="3"/>
  <c r="L512" i="3"/>
  <c r="K512" i="3"/>
  <c r="J512" i="3"/>
  <c r="I512" i="3"/>
  <c r="H512" i="3"/>
  <c r="L511" i="3"/>
  <c r="K511" i="3"/>
  <c r="J511" i="3"/>
  <c r="I511" i="3"/>
  <c r="H511" i="3"/>
  <c r="L510" i="3"/>
  <c r="K510" i="3"/>
  <c r="J510" i="3"/>
  <c r="I510" i="3"/>
  <c r="H510" i="3"/>
  <c r="L509" i="3"/>
  <c r="K509" i="3"/>
  <c r="J509" i="3"/>
  <c r="I509" i="3"/>
  <c r="H509" i="3"/>
  <c r="L508" i="3"/>
  <c r="K508" i="3"/>
  <c r="J508" i="3"/>
  <c r="I508" i="3"/>
  <c r="H508" i="3"/>
  <c r="L507" i="3"/>
  <c r="K507" i="3"/>
  <c r="J507" i="3"/>
  <c r="I507" i="3"/>
  <c r="H507" i="3"/>
  <c r="L506" i="3"/>
  <c r="K506" i="3"/>
  <c r="J506" i="3"/>
  <c r="I506" i="3"/>
  <c r="H506" i="3"/>
  <c r="L505" i="3"/>
  <c r="K505" i="3"/>
  <c r="J505" i="3"/>
  <c r="I505" i="3"/>
  <c r="H505" i="3"/>
  <c r="L504" i="3"/>
  <c r="K504" i="3"/>
  <c r="J504" i="3"/>
  <c r="I504" i="3"/>
  <c r="H504" i="3"/>
  <c r="L503" i="3"/>
  <c r="K503" i="3"/>
  <c r="J503" i="3"/>
  <c r="I503" i="3"/>
  <c r="H503" i="3"/>
  <c r="L502" i="3"/>
  <c r="K502" i="3"/>
  <c r="J502" i="3"/>
  <c r="I502" i="3"/>
  <c r="H502" i="3"/>
  <c r="L501" i="3"/>
  <c r="K501" i="3"/>
  <c r="J501" i="3"/>
  <c r="I501" i="3"/>
  <c r="H501" i="3"/>
  <c r="L500" i="3"/>
  <c r="K500" i="3"/>
  <c r="J500" i="3"/>
  <c r="I500" i="3"/>
  <c r="H500" i="3"/>
  <c r="L499" i="3"/>
  <c r="K499" i="3"/>
  <c r="J499" i="3"/>
  <c r="I499" i="3"/>
  <c r="H499" i="3"/>
  <c r="L498" i="3"/>
  <c r="K498" i="3"/>
  <c r="J498" i="3"/>
  <c r="I498" i="3"/>
  <c r="H498" i="3"/>
  <c r="L497" i="3"/>
  <c r="K497" i="3"/>
  <c r="J497" i="3"/>
  <c r="I497" i="3"/>
  <c r="H497" i="3"/>
  <c r="L496" i="3"/>
  <c r="K496" i="3"/>
  <c r="J496" i="3"/>
  <c r="I496" i="3"/>
  <c r="H496" i="3"/>
  <c r="L495" i="3"/>
  <c r="K495" i="3"/>
  <c r="J495" i="3"/>
  <c r="I495" i="3"/>
  <c r="H495" i="3"/>
  <c r="L494" i="3"/>
  <c r="K494" i="3"/>
  <c r="J494" i="3"/>
  <c r="I494" i="3"/>
  <c r="H494" i="3"/>
  <c r="L493" i="3"/>
  <c r="K493" i="3"/>
  <c r="J493" i="3"/>
  <c r="I493" i="3"/>
  <c r="H493" i="3"/>
  <c r="L492" i="3"/>
  <c r="K492" i="3"/>
  <c r="J492" i="3"/>
  <c r="I492" i="3"/>
  <c r="H492" i="3"/>
  <c r="L491" i="3"/>
  <c r="K491" i="3"/>
  <c r="J491" i="3"/>
  <c r="I491" i="3"/>
  <c r="H491" i="3"/>
  <c r="L490" i="3"/>
  <c r="K490" i="3"/>
  <c r="J490" i="3"/>
  <c r="I490" i="3"/>
  <c r="H490" i="3"/>
  <c r="L489" i="3"/>
  <c r="K489" i="3"/>
  <c r="J489" i="3"/>
  <c r="I489" i="3"/>
  <c r="H489" i="3"/>
  <c r="L488" i="3"/>
  <c r="K488" i="3"/>
  <c r="J488" i="3"/>
  <c r="I488" i="3"/>
  <c r="H488" i="3"/>
  <c r="L487" i="3"/>
  <c r="K487" i="3"/>
  <c r="J487" i="3"/>
  <c r="I487" i="3"/>
  <c r="H487" i="3"/>
  <c r="L486" i="3"/>
  <c r="K486" i="3"/>
  <c r="J486" i="3"/>
  <c r="I486" i="3"/>
  <c r="H486" i="3"/>
  <c r="L485" i="3"/>
  <c r="K485" i="3"/>
  <c r="J485" i="3"/>
  <c r="I485" i="3"/>
  <c r="H485" i="3"/>
  <c r="L484" i="3"/>
  <c r="K484" i="3"/>
  <c r="J484" i="3"/>
  <c r="I484" i="3"/>
  <c r="H484" i="3"/>
  <c r="L483" i="3"/>
  <c r="K483" i="3"/>
  <c r="J483" i="3"/>
  <c r="I483" i="3"/>
  <c r="H483" i="3"/>
  <c r="L482" i="3"/>
  <c r="K482" i="3"/>
  <c r="J482" i="3"/>
  <c r="I482" i="3"/>
  <c r="H482" i="3"/>
  <c r="L481" i="3"/>
  <c r="K481" i="3"/>
  <c r="J481" i="3"/>
  <c r="I481" i="3"/>
  <c r="H481" i="3"/>
  <c r="L480" i="3"/>
  <c r="K480" i="3"/>
  <c r="J480" i="3"/>
  <c r="I480" i="3"/>
  <c r="H480" i="3"/>
  <c r="L479" i="3"/>
  <c r="K479" i="3"/>
  <c r="J479" i="3"/>
  <c r="I479" i="3"/>
  <c r="H479" i="3"/>
  <c r="L478" i="3"/>
  <c r="K478" i="3"/>
  <c r="J478" i="3"/>
  <c r="I478" i="3"/>
  <c r="H478" i="3"/>
  <c r="L477" i="3"/>
  <c r="K477" i="3"/>
  <c r="J477" i="3"/>
  <c r="I477" i="3"/>
  <c r="H477" i="3"/>
  <c r="L476" i="3"/>
  <c r="K476" i="3"/>
  <c r="J476" i="3"/>
  <c r="I476" i="3"/>
  <c r="H476" i="3"/>
  <c r="L475" i="3"/>
  <c r="K475" i="3"/>
  <c r="J475" i="3"/>
  <c r="I475" i="3"/>
  <c r="H475" i="3"/>
  <c r="L474" i="3"/>
  <c r="K474" i="3"/>
  <c r="J474" i="3"/>
  <c r="I474" i="3"/>
  <c r="H474" i="3"/>
  <c r="L473" i="3"/>
  <c r="K473" i="3"/>
  <c r="J473" i="3"/>
  <c r="I473" i="3"/>
  <c r="H473" i="3"/>
  <c r="L472" i="3"/>
  <c r="K472" i="3"/>
  <c r="J472" i="3"/>
  <c r="I472" i="3"/>
  <c r="H472" i="3"/>
  <c r="L471" i="3"/>
  <c r="K471" i="3"/>
  <c r="J471" i="3"/>
  <c r="I471" i="3"/>
  <c r="H471" i="3"/>
  <c r="L470" i="3"/>
  <c r="K470" i="3"/>
  <c r="J470" i="3"/>
  <c r="I470" i="3"/>
  <c r="H470" i="3"/>
  <c r="L469" i="3"/>
  <c r="K469" i="3"/>
  <c r="J469" i="3"/>
  <c r="I469" i="3"/>
  <c r="H469" i="3"/>
  <c r="L468" i="3"/>
  <c r="K468" i="3"/>
  <c r="J468" i="3"/>
  <c r="I468" i="3"/>
  <c r="H468" i="3"/>
  <c r="L467" i="3"/>
  <c r="K467" i="3"/>
  <c r="J467" i="3"/>
  <c r="I467" i="3"/>
  <c r="H467" i="3"/>
  <c r="L466" i="3"/>
  <c r="K466" i="3"/>
  <c r="J466" i="3"/>
  <c r="I466" i="3"/>
  <c r="H466" i="3"/>
  <c r="L465" i="3"/>
  <c r="K465" i="3"/>
  <c r="J465" i="3"/>
  <c r="I465" i="3"/>
  <c r="H465" i="3"/>
  <c r="L464" i="3"/>
  <c r="K464" i="3"/>
  <c r="J464" i="3"/>
  <c r="I464" i="3"/>
  <c r="H464" i="3"/>
  <c r="L463" i="3"/>
  <c r="K463" i="3"/>
  <c r="J463" i="3"/>
  <c r="I463" i="3"/>
  <c r="H463" i="3"/>
  <c r="L462" i="3"/>
  <c r="K462" i="3"/>
  <c r="J462" i="3"/>
  <c r="I462" i="3"/>
  <c r="H462" i="3"/>
  <c r="L461" i="3"/>
  <c r="K461" i="3"/>
  <c r="J461" i="3"/>
  <c r="I461" i="3"/>
  <c r="H461" i="3"/>
  <c r="L460" i="3"/>
  <c r="K460" i="3"/>
  <c r="J460" i="3"/>
  <c r="I460" i="3"/>
  <c r="H460" i="3"/>
  <c r="L459" i="3"/>
  <c r="K459" i="3"/>
  <c r="J459" i="3"/>
  <c r="I459" i="3"/>
  <c r="H459" i="3"/>
  <c r="L458" i="3"/>
  <c r="K458" i="3"/>
  <c r="J458" i="3"/>
  <c r="I458" i="3"/>
  <c r="H458" i="3"/>
  <c r="L457" i="3"/>
  <c r="K457" i="3"/>
  <c r="J457" i="3"/>
  <c r="I457" i="3"/>
  <c r="H457" i="3"/>
  <c r="L456" i="3"/>
  <c r="K456" i="3"/>
  <c r="J456" i="3"/>
  <c r="I456" i="3"/>
  <c r="H456" i="3"/>
  <c r="L455" i="3"/>
  <c r="K455" i="3"/>
  <c r="J455" i="3"/>
  <c r="I455" i="3"/>
  <c r="H455" i="3"/>
  <c r="L454" i="3"/>
  <c r="K454" i="3"/>
  <c r="J454" i="3"/>
  <c r="I454" i="3"/>
  <c r="H454" i="3"/>
  <c r="L453" i="3"/>
  <c r="K453" i="3"/>
  <c r="J453" i="3"/>
  <c r="I453" i="3"/>
  <c r="H453" i="3"/>
  <c r="L452" i="3"/>
  <c r="K452" i="3"/>
  <c r="J452" i="3"/>
  <c r="I452" i="3"/>
  <c r="H452" i="3"/>
  <c r="L451" i="3"/>
  <c r="K451" i="3"/>
  <c r="J451" i="3"/>
  <c r="I451" i="3"/>
  <c r="H451" i="3"/>
  <c r="L450" i="3"/>
  <c r="K450" i="3"/>
  <c r="J450" i="3"/>
  <c r="I450" i="3"/>
  <c r="H450" i="3"/>
  <c r="L449" i="3"/>
  <c r="K449" i="3"/>
  <c r="J449" i="3"/>
  <c r="I449" i="3"/>
  <c r="H449" i="3"/>
  <c r="L448" i="3"/>
  <c r="K448" i="3"/>
  <c r="J448" i="3"/>
  <c r="I448" i="3"/>
  <c r="H448" i="3"/>
  <c r="L447" i="3"/>
  <c r="K447" i="3"/>
  <c r="J447" i="3"/>
  <c r="I447" i="3"/>
  <c r="H447" i="3"/>
  <c r="L446" i="3"/>
  <c r="K446" i="3"/>
  <c r="J446" i="3"/>
  <c r="I446" i="3"/>
  <c r="H446" i="3"/>
  <c r="L445" i="3"/>
  <c r="K445" i="3"/>
  <c r="J445" i="3"/>
  <c r="I445" i="3"/>
  <c r="H445" i="3"/>
  <c r="L444" i="3"/>
  <c r="K444" i="3"/>
  <c r="J444" i="3"/>
  <c r="I444" i="3"/>
  <c r="H444" i="3"/>
  <c r="L443" i="3"/>
  <c r="K443" i="3"/>
  <c r="J443" i="3"/>
  <c r="I443" i="3"/>
  <c r="H443" i="3"/>
  <c r="L442" i="3"/>
  <c r="K442" i="3"/>
  <c r="J442" i="3"/>
  <c r="I442" i="3"/>
  <c r="H442" i="3"/>
  <c r="L441" i="3"/>
  <c r="K441" i="3"/>
  <c r="J441" i="3"/>
  <c r="I441" i="3"/>
  <c r="H441" i="3"/>
  <c r="L440" i="3"/>
  <c r="K440" i="3"/>
  <c r="J440" i="3"/>
  <c r="I440" i="3"/>
  <c r="H440" i="3"/>
  <c r="L439" i="3"/>
  <c r="K439" i="3"/>
  <c r="J439" i="3"/>
  <c r="I439" i="3"/>
  <c r="H439" i="3"/>
  <c r="L438" i="3"/>
  <c r="K438" i="3"/>
  <c r="J438" i="3"/>
  <c r="I438" i="3"/>
  <c r="H438" i="3"/>
  <c r="L437" i="3"/>
  <c r="K437" i="3"/>
  <c r="J437" i="3"/>
  <c r="I437" i="3"/>
  <c r="H437" i="3"/>
  <c r="L436" i="3"/>
  <c r="K436" i="3"/>
  <c r="J436" i="3"/>
  <c r="I436" i="3"/>
  <c r="H436" i="3"/>
  <c r="L435" i="3"/>
  <c r="K435" i="3"/>
  <c r="J435" i="3"/>
  <c r="I435" i="3"/>
  <c r="H435" i="3"/>
  <c r="L434" i="3"/>
  <c r="K434" i="3"/>
  <c r="J434" i="3"/>
  <c r="I434" i="3"/>
  <c r="H434" i="3"/>
  <c r="L433" i="3"/>
  <c r="K433" i="3"/>
  <c r="J433" i="3"/>
  <c r="I433" i="3"/>
  <c r="H433" i="3"/>
  <c r="L432" i="3"/>
  <c r="K432" i="3"/>
  <c r="J432" i="3"/>
  <c r="I432" i="3"/>
  <c r="H432" i="3"/>
  <c r="L431" i="3"/>
  <c r="K431" i="3"/>
  <c r="J431" i="3"/>
  <c r="I431" i="3"/>
  <c r="H431" i="3"/>
  <c r="L430" i="3"/>
  <c r="K430" i="3"/>
  <c r="J430" i="3"/>
  <c r="I430" i="3"/>
  <c r="H430" i="3"/>
  <c r="L429" i="3"/>
  <c r="K429" i="3"/>
  <c r="J429" i="3"/>
  <c r="I429" i="3"/>
  <c r="H429" i="3"/>
  <c r="L428" i="3"/>
  <c r="K428" i="3"/>
  <c r="J428" i="3"/>
  <c r="I428" i="3"/>
  <c r="H428" i="3"/>
  <c r="L427" i="3"/>
  <c r="K427" i="3"/>
  <c r="J427" i="3"/>
  <c r="I427" i="3"/>
  <c r="H427" i="3"/>
  <c r="L426" i="3"/>
  <c r="K426" i="3"/>
  <c r="J426" i="3"/>
  <c r="I426" i="3"/>
  <c r="H426" i="3"/>
  <c r="L425" i="3"/>
  <c r="K425" i="3"/>
  <c r="J425" i="3"/>
  <c r="I425" i="3"/>
  <c r="H425" i="3"/>
  <c r="L424" i="3"/>
  <c r="K424" i="3"/>
  <c r="J424" i="3"/>
  <c r="I424" i="3"/>
  <c r="H424" i="3"/>
  <c r="L423" i="3"/>
  <c r="K423" i="3"/>
  <c r="J423" i="3"/>
  <c r="I423" i="3"/>
  <c r="H423" i="3"/>
  <c r="L422" i="3"/>
  <c r="K422" i="3"/>
  <c r="J422" i="3"/>
  <c r="I422" i="3"/>
  <c r="H422" i="3"/>
  <c r="L421" i="3"/>
  <c r="K421" i="3"/>
  <c r="J421" i="3"/>
  <c r="I421" i="3"/>
  <c r="H421" i="3"/>
  <c r="L420" i="3"/>
  <c r="K420" i="3"/>
  <c r="J420" i="3"/>
  <c r="I420" i="3"/>
  <c r="H420" i="3"/>
  <c r="L419" i="3"/>
  <c r="K419" i="3"/>
  <c r="J419" i="3"/>
  <c r="I419" i="3"/>
  <c r="H419" i="3"/>
  <c r="L418" i="3"/>
  <c r="K418" i="3"/>
  <c r="J418" i="3"/>
  <c r="I418" i="3"/>
  <c r="H418" i="3"/>
  <c r="L417" i="3"/>
  <c r="K417" i="3"/>
  <c r="J417" i="3"/>
  <c r="I417" i="3"/>
  <c r="H417" i="3"/>
  <c r="L416" i="3"/>
  <c r="K416" i="3"/>
  <c r="J416" i="3"/>
  <c r="I416" i="3"/>
  <c r="H416" i="3"/>
  <c r="L415" i="3"/>
  <c r="K415" i="3"/>
  <c r="J415" i="3"/>
  <c r="I415" i="3"/>
  <c r="H415" i="3"/>
  <c r="L414" i="3"/>
  <c r="K414" i="3"/>
  <c r="J414" i="3"/>
  <c r="I414" i="3"/>
  <c r="H414" i="3"/>
  <c r="L413" i="3"/>
  <c r="K413" i="3"/>
  <c r="J413" i="3"/>
  <c r="I413" i="3"/>
  <c r="H413" i="3"/>
  <c r="L412" i="3"/>
  <c r="K412" i="3"/>
  <c r="J412" i="3"/>
  <c r="I412" i="3"/>
  <c r="H412" i="3"/>
  <c r="L411" i="3"/>
  <c r="K411" i="3"/>
  <c r="J411" i="3"/>
  <c r="I411" i="3"/>
  <c r="H411" i="3"/>
  <c r="L410" i="3"/>
  <c r="K410" i="3"/>
  <c r="J410" i="3"/>
  <c r="I410" i="3"/>
  <c r="H410" i="3"/>
  <c r="L409" i="3"/>
  <c r="K409" i="3"/>
  <c r="J409" i="3"/>
  <c r="I409" i="3"/>
  <c r="H409" i="3"/>
  <c r="L408" i="3"/>
  <c r="K408" i="3"/>
  <c r="J408" i="3"/>
  <c r="I408" i="3"/>
  <c r="H408" i="3"/>
  <c r="L407" i="3"/>
  <c r="K407" i="3"/>
  <c r="J407" i="3"/>
  <c r="I407" i="3"/>
  <c r="H407" i="3"/>
  <c r="L406" i="3"/>
  <c r="K406" i="3"/>
  <c r="J406" i="3"/>
  <c r="I406" i="3"/>
  <c r="H406" i="3"/>
  <c r="L405" i="3"/>
  <c r="K405" i="3"/>
  <c r="J405" i="3"/>
  <c r="I405" i="3"/>
  <c r="H405" i="3"/>
  <c r="L404" i="3"/>
  <c r="K404" i="3"/>
  <c r="J404" i="3"/>
  <c r="I404" i="3"/>
  <c r="H404" i="3"/>
  <c r="L403" i="3"/>
  <c r="K403" i="3"/>
  <c r="J403" i="3"/>
  <c r="I403" i="3"/>
  <c r="H403" i="3"/>
  <c r="L402" i="3"/>
  <c r="K402" i="3"/>
  <c r="J402" i="3"/>
  <c r="I402" i="3"/>
  <c r="H402" i="3"/>
  <c r="L401" i="3"/>
  <c r="K401" i="3"/>
  <c r="J401" i="3"/>
  <c r="I401" i="3"/>
  <c r="H401" i="3"/>
  <c r="L400" i="3"/>
  <c r="K400" i="3"/>
  <c r="J400" i="3"/>
  <c r="I400" i="3"/>
  <c r="H400" i="3"/>
  <c r="L399" i="3"/>
  <c r="K399" i="3"/>
  <c r="J399" i="3"/>
  <c r="I399" i="3"/>
  <c r="H399" i="3"/>
  <c r="L398" i="3"/>
  <c r="K398" i="3"/>
  <c r="J398" i="3"/>
  <c r="I398" i="3"/>
  <c r="H398" i="3"/>
  <c r="L397" i="3"/>
  <c r="K397" i="3"/>
  <c r="J397" i="3"/>
  <c r="I397" i="3"/>
  <c r="H397" i="3"/>
  <c r="L396" i="3"/>
  <c r="K396" i="3"/>
  <c r="J396" i="3"/>
  <c r="I396" i="3"/>
  <c r="H396" i="3"/>
  <c r="L395" i="3"/>
  <c r="K395" i="3"/>
  <c r="J395" i="3"/>
  <c r="I395" i="3"/>
  <c r="H395" i="3"/>
  <c r="L394" i="3"/>
  <c r="K394" i="3"/>
  <c r="J394" i="3"/>
  <c r="I394" i="3"/>
  <c r="H394" i="3"/>
  <c r="L393" i="3"/>
  <c r="K393" i="3"/>
  <c r="J393" i="3"/>
  <c r="I393" i="3"/>
  <c r="H393" i="3"/>
  <c r="L392" i="3"/>
  <c r="K392" i="3"/>
  <c r="J392" i="3"/>
  <c r="I392" i="3"/>
  <c r="H392" i="3"/>
  <c r="L391" i="3"/>
  <c r="K391" i="3"/>
  <c r="J391" i="3"/>
  <c r="I391" i="3"/>
  <c r="H391" i="3"/>
  <c r="L390" i="3"/>
  <c r="K390" i="3"/>
  <c r="J390" i="3"/>
  <c r="I390" i="3"/>
  <c r="H390" i="3"/>
  <c r="L389" i="3"/>
  <c r="K389" i="3"/>
  <c r="J389" i="3"/>
  <c r="I389" i="3"/>
  <c r="H389" i="3"/>
  <c r="L388" i="3"/>
  <c r="K388" i="3"/>
  <c r="J388" i="3"/>
  <c r="I388" i="3"/>
  <c r="H388" i="3"/>
  <c r="L387" i="3"/>
  <c r="K387" i="3"/>
  <c r="J387" i="3"/>
  <c r="I387" i="3"/>
  <c r="H387" i="3"/>
  <c r="L386" i="3"/>
  <c r="K386" i="3"/>
  <c r="J386" i="3"/>
  <c r="I386" i="3"/>
  <c r="H386" i="3"/>
  <c r="L385" i="3"/>
  <c r="K385" i="3"/>
  <c r="J385" i="3"/>
  <c r="I385" i="3"/>
  <c r="H385" i="3"/>
  <c r="L384" i="3"/>
  <c r="K384" i="3"/>
  <c r="J384" i="3"/>
  <c r="I384" i="3"/>
  <c r="H384" i="3"/>
  <c r="L383" i="3"/>
  <c r="K383" i="3"/>
  <c r="J383" i="3"/>
  <c r="I383" i="3"/>
  <c r="H383" i="3"/>
  <c r="L382" i="3"/>
  <c r="K382" i="3"/>
  <c r="J382" i="3"/>
  <c r="I382" i="3"/>
  <c r="H382" i="3"/>
  <c r="L381" i="3"/>
  <c r="K381" i="3"/>
  <c r="J381" i="3"/>
  <c r="I381" i="3"/>
  <c r="H381" i="3"/>
  <c r="L380" i="3"/>
  <c r="K380" i="3"/>
  <c r="J380" i="3"/>
  <c r="I380" i="3"/>
  <c r="H380" i="3"/>
  <c r="L379" i="3"/>
  <c r="K379" i="3"/>
  <c r="J379" i="3"/>
  <c r="I379" i="3"/>
  <c r="H379" i="3"/>
  <c r="L378" i="3"/>
  <c r="K378" i="3"/>
  <c r="J378" i="3"/>
  <c r="I378" i="3"/>
  <c r="H378" i="3"/>
  <c r="L377" i="3"/>
  <c r="K377" i="3"/>
  <c r="J377" i="3"/>
  <c r="I377" i="3"/>
  <c r="H377" i="3"/>
  <c r="L376" i="3"/>
  <c r="K376" i="3"/>
  <c r="J376" i="3"/>
  <c r="I376" i="3"/>
  <c r="H376" i="3"/>
  <c r="L375" i="3"/>
  <c r="K375" i="3"/>
  <c r="J375" i="3"/>
  <c r="I375" i="3"/>
  <c r="H375" i="3"/>
  <c r="L374" i="3"/>
  <c r="K374" i="3"/>
  <c r="J374" i="3"/>
  <c r="I374" i="3"/>
  <c r="H374" i="3"/>
  <c r="L373" i="3"/>
  <c r="K373" i="3"/>
  <c r="J373" i="3"/>
  <c r="I373" i="3"/>
  <c r="H373" i="3"/>
  <c r="L372" i="3"/>
  <c r="K372" i="3"/>
  <c r="J372" i="3"/>
  <c r="I372" i="3"/>
  <c r="H372" i="3"/>
  <c r="L371" i="3"/>
  <c r="K371" i="3"/>
  <c r="J371" i="3"/>
  <c r="I371" i="3"/>
  <c r="H371" i="3"/>
  <c r="L370" i="3"/>
  <c r="K370" i="3"/>
  <c r="J370" i="3"/>
  <c r="I370" i="3"/>
  <c r="H370" i="3"/>
  <c r="L369" i="3"/>
  <c r="K369" i="3"/>
  <c r="J369" i="3"/>
  <c r="I369" i="3"/>
  <c r="H369" i="3"/>
  <c r="L368" i="3"/>
  <c r="K368" i="3"/>
  <c r="J368" i="3"/>
  <c r="I368" i="3"/>
  <c r="H368" i="3"/>
  <c r="L367" i="3"/>
  <c r="K367" i="3"/>
  <c r="J367" i="3"/>
  <c r="I367" i="3"/>
  <c r="H367" i="3"/>
  <c r="L366" i="3"/>
  <c r="K366" i="3"/>
  <c r="J366" i="3"/>
  <c r="I366" i="3"/>
  <c r="H366" i="3"/>
  <c r="L365" i="3"/>
  <c r="K365" i="3"/>
  <c r="J365" i="3"/>
  <c r="I365" i="3"/>
  <c r="H365" i="3"/>
  <c r="L364" i="3"/>
  <c r="K364" i="3"/>
  <c r="J364" i="3"/>
  <c r="I364" i="3"/>
  <c r="H364" i="3"/>
  <c r="L363" i="3"/>
  <c r="K363" i="3"/>
  <c r="J363" i="3"/>
  <c r="I363" i="3"/>
  <c r="H363" i="3"/>
  <c r="L362" i="3"/>
  <c r="K362" i="3"/>
  <c r="J362" i="3"/>
  <c r="I362" i="3"/>
  <c r="H362" i="3"/>
  <c r="L361" i="3"/>
  <c r="K361" i="3"/>
  <c r="J361" i="3"/>
  <c r="I361" i="3"/>
  <c r="H361" i="3"/>
  <c r="L360" i="3"/>
  <c r="K360" i="3"/>
  <c r="J360" i="3"/>
  <c r="I360" i="3"/>
  <c r="H360" i="3"/>
  <c r="L359" i="3"/>
  <c r="K359" i="3"/>
  <c r="J359" i="3"/>
  <c r="I359" i="3"/>
  <c r="H359" i="3"/>
  <c r="L358" i="3"/>
  <c r="K358" i="3"/>
  <c r="J358" i="3"/>
  <c r="I358" i="3"/>
  <c r="H358" i="3"/>
  <c r="L357" i="3"/>
  <c r="K357" i="3"/>
  <c r="J357" i="3"/>
  <c r="I357" i="3"/>
  <c r="H357" i="3"/>
  <c r="L356" i="3"/>
  <c r="K356" i="3"/>
  <c r="J356" i="3"/>
  <c r="I356" i="3"/>
  <c r="H356" i="3"/>
  <c r="L355" i="3"/>
  <c r="K355" i="3"/>
  <c r="J355" i="3"/>
  <c r="I355" i="3"/>
  <c r="H355" i="3"/>
  <c r="L354" i="3"/>
  <c r="K354" i="3"/>
  <c r="J354" i="3"/>
  <c r="I354" i="3"/>
  <c r="H354" i="3"/>
  <c r="L353" i="3"/>
  <c r="K353" i="3"/>
  <c r="J353" i="3"/>
  <c r="I353" i="3"/>
  <c r="H353" i="3"/>
  <c r="L352" i="3"/>
  <c r="K352" i="3"/>
  <c r="J352" i="3"/>
  <c r="I352" i="3"/>
  <c r="H352" i="3"/>
  <c r="L351" i="3"/>
  <c r="K351" i="3"/>
  <c r="J351" i="3"/>
  <c r="I351" i="3"/>
  <c r="H351" i="3"/>
  <c r="L350" i="3"/>
  <c r="K350" i="3"/>
  <c r="J350" i="3"/>
  <c r="I350" i="3"/>
  <c r="H350" i="3"/>
  <c r="L349" i="3"/>
  <c r="K349" i="3"/>
  <c r="J349" i="3"/>
  <c r="I349" i="3"/>
  <c r="H349" i="3"/>
  <c r="L348" i="3"/>
  <c r="K348" i="3"/>
  <c r="J348" i="3"/>
  <c r="I348" i="3"/>
  <c r="H348" i="3"/>
  <c r="L347" i="3"/>
  <c r="K347" i="3"/>
  <c r="J347" i="3"/>
  <c r="I347" i="3"/>
  <c r="H347" i="3"/>
  <c r="L346" i="3"/>
  <c r="K346" i="3"/>
  <c r="J346" i="3"/>
  <c r="I346" i="3"/>
  <c r="H346" i="3"/>
  <c r="L345" i="3"/>
  <c r="K345" i="3"/>
  <c r="J345" i="3"/>
  <c r="I345" i="3"/>
  <c r="H345" i="3"/>
  <c r="L344" i="3"/>
  <c r="K344" i="3"/>
  <c r="J344" i="3"/>
  <c r="I344" i="3"/>
  <c r="H344" i="3"/>
  <c r="L343" i="3"/>
  <c r="K343" i="3"/>
  <c r="J343" i="3"/>
  <c r="I343" i="3"/>
  <c r="H343" i="3"/>
  <c r="L342" i="3"/>
  <c r="K342" i="3"/>
  <c r="J342" i="3"/>
  <c r="I342" i="3"/>
  <c r="H342" i="3"/>
  <c r="L341" i="3"/>
  <c r="K341" i="3"/>
  <c r="J341" i="3"/>
  <c r="I341" i="3"/>
  <c r="H341" i="3"/>
  <c r="L340" i="3"/>
  <c r="K340" i="3"/>
  <c r="J340" i="3"/>
  <c r="I340" i="3"/>
  <c r="H340" i="3"/>
  <c r="L339" i="3"/>
  <c r="K339" i="3"/>
  <c r="J339" i="3"/>
  <c r="I339" i="3"/>
  <c r="H339" i="3"/>
  <c r="L338" i="3"/>
  <c r="K338" i="3"/>
  <c r="J338" i="3"/>
  <c r="I338" i="3"/>
  <c r="H338" i="3"/>
  <c r="L337" i="3"/>
  <c r="K337" i="3"/>
  <c r="J337" i="3"/>
  <c r="I337" i="3"/>
  <c r="H337" i="3"/>
  <c r="L336" i="3"/>
  <c r="K336" i="3"/>
  <c r="J336" i="3"/>
  <c r="I336" i="3"/>
  <c r="H336" i="3"/>
  <c r="L335" i="3"/>
  <c r="K335" i="3"/>
  <c r="J335" i="3"/>
  <c r="I335" i="3"/>
  <c r="H335" i="3"/>
  <c r="L334" i="3"/>
  <c r="K334" i="3"/>
  <c r="J334" i="3"/>
  <c r="I334" i="3"/>
  <c r="H334" i="3"/>
  <c r="L333" i="3"/>
  <c r="K333" i="3"/>
  <c r="J333" i="3"/>
  <c r="I333" i="3"/>
  <c r="H333" i="3"/>
  <c r="L332" i="3"/>
  <c r="K332" i="3"/>
  <c r="J332" i="3"/>
  <c r="I332" i="3"/>
  <c r="H332" i="3"/>
  <c r="L331" i="3"/>
  <c r="K331" i="3"/>
  <c r="J331" i="3"/>
  <c r="I331" i="3"/>
  <c r="H331" i="3"/>
  <c r="L330" i="3"/>
  <c r="K330" i="3"/>
  <c r="J330" i="3"/>
  <c r="I330" i="3"/>
  <c r="H330" i="3"/>
  <c r="L329" i="3"/>
  <c r="K329" i="3"/>
  <c r="J329" i="3"/>
  <c r="I329" i="3"/>
  <c r="H329" i="3"/>
  <c r="L328" i="3"/>
  <c r="K328" i="3"/>
  <c r="J328" i="3"/>
  <c r="I328" i="3"/>
  <c r="H328" i="3"/>
  <c r="L327" i="3"/>
  <c r="K327" i="3"/>
  <c r="J327" i="3"/>
  <c r="I327" i="3"/>
  <c r="H327" i="3"/>
  <c r="L326" i="3"/>
  <c r="K326" i="3"/>
  <c r="J326" i="3"/>
  <c r="I326" i="3"/>
  <c r="H326" i="3"/>
  <c r="L325" i="3"/>
  <c r="K325" i="3"/>
  <c r="J325" i="3"/>
  <c r="I325" i="3"/>
  <c r="H325" i="3"/>
  <c r="L324" i="3"/>
  <c r="K324" i="3"/>
  <c r="J324" i="3"/>
  <c r="I324" i="3"/>
  <c r="H324" i="3"/>
  <c r="L323" i="3"/>
  <c r="K323" i="3"/>
  <c r="J323" i="3"/>
  <c r="I323" i="3"/>
  <c r="H323" i="3"/>
  <c r="L322" i="3"/>
  <c r="K322" i="3"/>
  <c r="J322" i="3"/>
  <c r="I322" i="3"/>
  <c r="H322" i="3"/>
  <c r="L321" i="3"/>
  <c r="K321" i="3"/>
  <c r="J321" i="3"/>
  <c r="I321" i="3"/>
  <c r="H321" i="3"/>
  <c r="L320" i="3"/>
  <c r="K320" i="3"/>
  <c r="J320" i="3"/>
  <c r="I320" i="3"/>
  <c r="H320" i="3"/>
  <c r="L319" i="3"/>
  <c r="K319" i="3"/>
  <c r="J319" i="3"/>
  <c r="I319" i="3"/>
  <c r="H319" i="3"/>
  <c r="L318" i="3"/>
  <c r="K318" i="3"/>
  <c r="J318" i="3"/>
  <c r="I318" i="3"/>
  <c r="H318" i="3"/>
  <c r="L317" i="3"/>
  <c r="K317" i="3"/>
  <c r="J317" i="3"/>
  <c r="I317" i="3"/>
  <c r="H317" i="3"/>
  <c r="L316" i="3"/>
  <c r="K316" i="3"/>
  <c r="J316" i="3"/>
  <c r="I316" i="3"/>
  <c r="H316" i="3"/>
  <c r="L315" i="3"/>
  <c r="K315" i="3"/>
  <c r="J315" i="3"/>
  <c r="I315" i="3"/>
  <c r="H315" i="3"/>
  <c r="L314" i="3"/>
  <c r="K314" i="3"/>
  <c r="J314" i="3"/>
  <c r="I314" i="3"/>
  <c r="H314" i="3"/>
  <c r="L313" i="3"/>
  <c r="K313" i="3"/>
  <c r="J313" i="3"/>
  <c r="I313" i="3"/>
  <c r="H313" i="3"/>
  <c r="L312" i="3"/>
  <c r="K312" i="3"/>
  <c r="J312" i="3"/>
  <c r="I312" i="3"/>
  <c r="H312" i="3"/>
  <c r="L311" i="3"/>
  <c r="K311" i="3"/>
  <c r="J311" i="3"/>
  <c r="I311" i="3"/>
  <c r="H311" i="3"/>
  <c r="L310" i="3"/>
  <c r="K310" i="3"/>
  <c r="J310" i="3"/>
  <c r="I310" i="3"/>
  <c r="H310" i="3"/>
  <c r="L309" i="3"/>
  <c r="K309" i="3"/>
  <c r="J309" i="3"/>
  <c r="I309" i="3"/>
  <c r="H309" i="3"/>
  <c r="L308" i="3"/>
  <c r="K308" i="3"/>
  <c r="J308" i="3"/>
  <c r="I308" i="3"/>
  <c r="H308" i="3"/>
  <c r="L307" i="3"/>
  <c r="K307" i="3"/>
  <c r="J307" i="3"/>
  <c r="I307" i="3"/>
  <c r="H307" i="3"/>
  <c r="L306" i="3"/>
  <c r="K306" i="3"/>
  <c r="J306" i="3"/>
  <c r="I306" i="3"/>
  <c r="H306" i="3"/>
  <c r="L305" i="3"/>
  <c r="K305" i="3"/>
  <c r="J305" i="3"/>
  <c r="I305" i="3"/>
  <c r="H305" i="3"/>
  <c r="L304" i="3"/>
  <c r="K304" i="3"/>
  <c r="J304" i="3"/>
  <c r="I304" i="3"/>
  <c r="H304" i="3"/>
  <c r="L303" i="3"/>
  <c r="K303" i="3"/>
  <c r="J303" i="3"/>
  <c r="I303" i="3"/>
  <c r="H303" i="3"/>
  <c r="L302" i="3"/>
  <c r="K302" i="3"/>
  <c r="J302" i="3"/>
  <c r="I302" i="3"/>
  <c r="H302" i="3"/>
  <c r="L301" i="3"/>
  <c r="K301" i="3"/>
  <c r="J301" i="3"/>
  <c r="I301" i="3"/>
  <c r="H301" i="3"/>
  <c r="L300" i="3"/>
  <c r="K300" i="3"/>
  <c r="J300" i="3"/>
  <c r="I300" i="3"/>
  <c r="H300" i="3"/>
  <c r="L299" i="3"/>
  <c r="K299" i="3"/>
  <c r="J299" i="3"/>
  <c r="I299" i="3"/>
  <c r="H299" i="3"/>
  <c r="L298" i="3"/>
  <c r="K298" i="3"/>
  <c r="J298" i="3"/>
  <c r="I298" i="3"/>
  <c r="H298" i="3"/>
  <c r="L297" i="3"/>
  <c r="K297" i="3"/>
  <c r="J297" i="3"/>
  <c r="I297" i="3"/>
  <c r="H297" i="3"/>
  <c r="L296" i="3"/>
  <c r="K296" i="3"/>
  <c r="J296" i="3"/>
  <c r="I296" i="3"/>
  <c r="H296" i="3"/>
  <c r="L295" i="3"/>
  <c r="K295" i="3"/>
  <c r="J295" i="3"/>
  <c r="I295" i="3"/>
  <c r="H295" i="3"/>
  <c r="L294" i="3"/>
  <c r="K294" i="3"/>
  <c r="J294" i="3"/>
  <c r="I294" i="3"/>
  <c r="H294" i="3"/>
  <c r="L293" i="3"/>
  <c r="K293" i="3"/>
  <c r="J293" i="3"/>
  <c r="I293" i="3"/>
  <c r="H293" i="3"/>
  <c r="L292" i="3"/>
  <c r="K292" i="3"/>
  <c r="J292" i="3"/>
  <c r="I292" i="3"/>
  <c r="H292" i="3"/>
  <c r="L291" i="3"/>
  <c r="K291" i="3"/>
  <c r="J291" i="3"/>
  <c r="I291" i="3"/>
  <c r="H291" i="3"/>
  <c r="L290" i="3"/>
  <c r="K290" i="3"/>
  <c r="J290" i="3"/>
  <c r="I290" i="3"/>
  <c r="H290" i="3"/>
  <c r="L289" i="3"/>
  <c r="K289" i="3"/>
  <c r="J289" i="3"/>
  <c r="I289" i="3"/>
  <c r="H289" i="3"/>
  <c r="L288" i="3"/>
  <c r="K288" i="3"/>
  <c r="J288" i="3"/>
  <c r="I288" i="3"/>
  <c r="H288" i="3"/>
  <c r="L287" i="3"/>
  <c r="K287" i="3"/>
  <c r="J287" i="3"/>
  <c r="I287" i="3"/>
  <c r="H287" i="3"/>
  <c r="L286" i="3"/>
  <c r="K286" i="3"/>
  <c r="J286" i="3"/>
  <c r="I286" i="3"/>
  <c r="H286" i="3"/>
  <c r="L285" i="3"/>
  <c r="K285" i="3"/>
  <c r="J285" i="3"/>
  <c r="I285" i="3"/>
  <c r="H285" i="3"/>
  <c r="L284" i="3"/>
  <c r="K284" i="3"/>
  <c r="J284" i="3"/>
  <c r="I284" i="3"/>
  <c r="H284" i="3"/>
  <c r="L283" i="3"/>
  <c r="K283" i="3"/>
  <c r="J283" i="3"/>
  <c r="I283" i="3"/>
  <c r="H283" i="3"/>
  <c r="L282" i="3"/>
  <c r="K282" i="3"/>
  <c r="J282" i="3"/>
  <c r="I282" i="3"/>
  <c r="H282" i="3"/>
  <c r="L281" i="3"/>
  <c r="K281" i="3"/>
  <c r="J281" i="3"/>
  <c r="I281" i="3"/>
  <c r="H281" i="3"/>
  <c r="L280" i="3"/>
  <c r="K280" i="3"/>
  <c r="J280" i="3"/>
  <c r="I280" i="3"/>
  <c r="H280" i="3"/>
  <c r="L279" i="3"/>
  <c r="K279" i="3"/>
  <c r="J279" i="3"/>
  <c r="I279" i="3"/>
  <c r="H279" i="3"/>
  <c r="L278" i="3"/>
  <c r="K278" i="3"/>
  <c r="J278" i="3"/>
  <c r="I278" i="3"/>
  <c r="H278" i="3"/>
  <c r="L277" i="3"/>
  <c r="K277" i="3"/>
  <c r="J277" i="3"/>
  <c r="I277" i="3"/>
  <c r="H277" i="3"/>
  <c r="L276" i="3"/>
  <c r="K276" i="3"/>
  <c r="J276" i="3"/>
  <c r="I276" i="3"/>
  <c r="H276" i="3"/>
  <c r="L275" i="3"/>
  <c r="K275" i="3"/>
  <c r="J275" i="3"/>
  <c r="I275" i="3"/>
  <c r="H275" i="3"/>
  <c r="L274" i="3"/>
  <c r="K274" i="3"/>
  <c r="J274" i="3"/>
  <c r="I274" i="3"/>
  <c r="H274" i="3"/>
  <c r="L273" i="3"/>
  <c r="K273" i="3"/>
  <c r="J273" i="3"/>
  <c r="I273" i="3"/>
  <c r="H273" i="3"/>
  <c r="L272" i="3"/>
  <c r="K272" i="3"/>
  <c r="J272" i="3"/>
  <c r="I272" i="3"/>
  <c r="H272" i="3"/>
  <c r="L271" i="3"/>
  <c r="K271" i="3"/>
  <c r="J271" i="3"/>
  <c r="I271" i="3"/>
  <c r="H271" i="3"/>
  <c r="L270" i="3"/>
  <c r="K270" i="3"/>
  <c r="J270" i="3"/>
  <c r="I270" i="3"/>
  <c r="H270" i="3"/>
  <c r="L269" i="3"/>
  <c r="K269" i="3"/>
  <c r="J269" i="3"/>
  <c r="I269" i="3"/>
  <c r="H269" i="3"/>
  <c r="L268" i="3"/>
  <c r="K268" i="3"/>
  <c r="J268" i="3"/>
  <c r="I268" i="3"/>
  <c r="H268" i="3"/>
  <c r="L267" i="3"/>
  <c r="K267" i="3"/>
  <c r="J267" i="3"/>
  <c r="I267" i="3"/>
  <c r="H267" i="3"/>
  <c r="L266" i="3"/>
  <c r="K266" i="3"/>
  <c r="J266" i="3"/>
  <c r="I266" i="3"/>
  <c r="H266" i="3"/>
  <c r="L265" i="3"/>
  <c r="K265" i="3"/>
  <c r="J265" i="3"/>
  <c r="I265" i="3"/>
  <c r="H265" i="3"/>
  <c r="L264" i="3"/>
  <c r="K264" i="3"/>
  <c r="J264" i="3"/>
  <c r="I264" i="3"/>
  <c r="H264" i="3"/>
  <c r="L263" i="3"/>
  <c r="K263" i="3"/>
  <c r="J263" i="3"/>
  <c r="I263" i="3"/>
  <c r="H263" i="3"/>
  <c r="L262" i="3"/>
  <c r="K262" i="3"/>
  <c r="J262" i="3"/>
  <c r="I262" i="3"/>
  <c r="H262" i="3"/>
  <c r="L261" i="3"/>
  <c r="K261" i="3"/>
  <c r="J261" i="3"/>
  <c r="I261" i="3"/>
  <c r="H261" i="3"/>
  <c r="L260" i="3"/>
  <c r="K260" i="3"/>
  <c r="J260" i="3"/>
  <c r="I260" i="3"/>
  <c r="H260" i="3"/>
  <c r="L259" i="3"/>
  <c r="K259" i="3"/>
  <c r="J259" i="3"/>
  <c r="I259" i="3"/>
  <c r="H259" i="3"/>
  <c r="L258" i="3"/>
  <c r="K258" i="3"/>
  <c r="J258" i="3"/>
  <c r="I258" i="3"/>
  <c r="H258" i="3"/>
  <c r="L257" i="3"/>
  <c r="K257" i="3"/>
  <c r="J257" i="3"/>
  <c r="I257" i="3"/>
  <c r="H257" i="3"/>
  <c r="L256" i="3"/>
  <c r="K256" i="3"/>
  <c r="J256" i="3"/>
  <c r="I256" i="3"/>
  <c r="H256" i="3"/>
  <c r="L255" i="3"/>
  <c r="K255" i="3"/>
  <c r="J255" i="3"/>
  <c r="I255" i="3"/>
  <c r="H255" i="3"/>
  <c r="L254" i="3"/>
  <c r="K254" i="3"/>
  <c r="J254" i="3"/>
  <c r="I254" i="3"/>
  <c r="H254" i="3"/>
  <c r="L253" i="3"/>
  <c r="K253" i="3"/>
  <c r="J253" i="3"/>
  <c r="I253" i="3"/>
  <c r="H253" i="3"/>
  <c r="L252" i="3"/>
  <c r="K252" i="3"/>
  <c r="J252" i="3"/>
  <c r="I252" i="3"/>
  <c r="H252" i="3"/>
  <c r="L251" i="3"/>
  <c r="K251" i="3"/>
  <c r="J251" i="3"/>
  <c r="I251" i="3"/>
  <c r="H251" i="3"/>
  <c r="L250" i="3"/>
  <c r="K250" i="3"/>
  <c r="J250" i="3"/>
  <c r="I250" i="3"/>
  <c r="H250" i="3"/>
  <c r="L249" i="3"/>
  <c r="K249" i="3"/>
  <c r="J249" i="3"/>
  <c r="I249" i="3"/>
  <c r="H249" i="3"/>
  <c r="L248" i="3"/>
  <c r="K248" i="3"/>
  <c r="J248" i="3"/>
  <c r="I248" i="3"/>
  <c r="H248" i="3"/>
  <c r="L247" i="3"/>
  <c r="K247" i="3"/>
  <c r="J247" i="3"/>
  <c r="I247" i="3"/>
  <c r="H247" i="3"/>
  <c r="L246" i="3"/>
  <c r="K246" i="3"/>
  <c r="J246" i="3"/>
  <c r="I246" i="3"/>
  <c r="H246" i="3"/>
  <c r="L245" i="3"/>
  <c r="K245" i="3"/>
  <c r="J245" i="3"/>
  <c r="I245" i="3"/>
  <c r="H245" i="3"/>
  <c r="L244" i="3"/>
  <c r="K244" i="3"/>
  <c r="J244" i="3"/>
  <c r="I244" i="3"/>
  <c r="H244" i="3"/>
  <c r="L243" i="3"/>
  <c r="K243" i="3"/>
  <c r="J243" i="3"/>
  <c r="I243" i="3"/>
  <c r="H243" i="3"/>
  <c r="L242" i="3"/>
  <c r="K242" i="3"/>
  <c r="J242" i="3"/>
  <c r="I242" i="3"/>
  <c r="H242" i="3"/>
  <c r="L241" i="3"/>
  <c r="K241" i="3"/>
  <c r="J241" i="3"/>
  <c r="I241" i="3"/>
  <c r="H241" i="3"/>
  <c r="L240" i="3"/>
  <c r="K240" i="3"/>
  <c r="J240" i="3"/>
  <c r="I240" i="3"/>
  <c r="H240" i="3"/>
  <c r="L239" i="3"/>
  <c r="K239" i="3"/>
  <c r="J239" i="3"/>
  <c r="I239" i="3"/>
  <c r="H239" i="3"/>
  <c r="L238" i="3"/>
  <c r="K238" i="3"/>
  <c r="J238" i="3"/>
  <c r="I238" i="3"/>
  <c r="H238" i="3"/>
  <c r="L237" i="3"/>
  <c r="K237" i="3"/>
  <c r="J237" i="3"/>
  <c r="I237" i="3"/>
  <c r="H237" i="3"/>
  <c r="L236" i="3"/>
  <c r="K236" i="3"/>
  <c r="J236" i="3"/>
  <c r="I236" i="3"/>
  <c r="H236" i="3"/>
  <c r="L235" i="3"/>
  <c r="K235" i="3"/>
  <c r="J235" i="3"/>
  <c r="I235" i="3"/>
  <c r="H235" i="3"/>
  <c r="L234" i="3"/>
  <c r="K234" i="3"/>
  <c r="J234" i="3"/>
  <c r="I234" i="3"/>
  <c r="H234" i="3"/>
  <c r="L233" i="3"/>
  <c r="K233" i="3"/>
  <c r="J233" i="3"/>
  <c r="I233" i="3"/>
  <c r="H233" i="3"/>
  <c r="L232" i="3"/>
  <c r="K232" i="3"/>
  <c r="J232" i="3"/>
  <c r="I232" i="3"/>
  <c r="H232" i="3"/>
  <c r="L231" i="3"/>
  <c r="K231" i="3"/>
  <c r="J231" i="3"/>
  <c r="I231" i="3"/>
  <c r="H231" i="3"/>
  <c r="L230" i="3"/>
  <c r="K230" i="3"/>
  <c r="J230" i="3"/>
  <c r="I230" i="3"/>
  <c r="H230" i="3"/>
  <c r="L229" i="3"/>
  <c r="K229" i="3"/>
  <c r="J229" i="3"/>
  <c r="I229" i="3"/>
  <c r="H229" i="3"/>
  <c r="L228" i="3"/>
  <c r="K228" i="3"/>
  <c r="J228" i="3"/>
  <c r="I228" i="3"/>
  <c r="H228" i="3"/>
  <c r="L227" i="3"/>
  <c r="K227" i="3"/>
  <c r="J227" i="3"/>
  <c r="I227" i="3"/>
  <c r="H227" i="3"/>
  <c r="L226" i="3"/>
  <c r="K226" i="3"/>
  <c r="J226" i="3"/>
  <c r="I226" i="3"/>
  <c r="H226" i="3"/>
  <c r="L225" i="3"/>
  <c r="K225" i="3"/>
  <c r="J225" i="3"/>
  <c r="I225" i="3"/>
  <c r="H225" i="3"/>
  <c r="L224" i="3"/>
  <c r="K224" i="3"/>
  <c r="J224" i="3"/>
  <c r="I224" i="3"/>
  <c r="H224" i="3"/>
  <c r="L223" i="3"/>
  <c r="K223" i="3"/>
  <c r="J223" i="3"/>
  <c r="I223" i="3"/>
  <c r="H223" i="3"/>
  <c r="L222" i="3"/>
  <c r="K222" i="3"/>
  <c r="J222" i="3"/>
  <c r="I222" i="3"/>
  <c r="H222" i="3"/>
  <c r="L221" i="3"/>
  <c r="K221" i="3"/>
  <c r="J221" i="3"/>
  <c r="I221" i="3"/>
  <c r="H221" i="3"/>
  <c r="L220" i="3"/>
  <c r="K220" i="3"/>
  <c r="J220" i="3"/>
  <c r="I220" i="3"/>
  <c r="H220" i="3"/>
  <c r="L219" i="3"/>
  <c r="K219" i="3"/>
  <c r="J219" i="3"/>
  <c r="I219" i="3"/>
  <c r="H219" i="3"/>
  <c r="L218" i="3"/>
  <c r="K218" i="3"/>
  <c r="J218" i="3"/>
  <c r="I218" i="3"/>
  <c r="H218" i="3"/>
  <c r="L217" i="3"/>
  <c r="K217" i="3"/>
  <c r="J217" i="3"/>
  <c r="I217" i="3"/>
  <c r="H217" i="3"/>
  <c r="L216" i="3"/>
  <c r="K216" i="3"/>
  <c r="J216" i="3"/>
  <c r="I216" i="3"/>
  <c r="H216" i="3"/>
  <c r="L215" i="3"/>
  <c r="K215" i="3"/>
  <c r="J215" i="3"/>
  <c r="I215" i="3"/>
  <c r="H215" i="3"/>
  <c r="L214" i="3"/>
  <c r="K214" i="3"/>
  <c r="J214" i="3"/>
  <c r="I214" i="3"/>
  <c r="H214" i="3"/>
  <c r="L213" i="3"/>
  <c r="K213" i="3"/>
  <c r="J213" i="3"/>
  <c r="I213" i="3"/>
  <c r="H213" i="3"/>
  <c r="L212" i="3"/>
  <c r="K212" i="3"/>
  <c r="J212" i="3"/>
  <c r="I212" i="3"/>
  <c r="H212" i="3"/>
  <c r="L211" i="3"/>
  <c r="K211" i="3"/>
  <c r="J211" i="3"/>
  <c r="I211" i="3"/>
  <c r="H211" i="3"/>
  <c r="L210" i="3"/>
  <c r="K210" i="3"/>
  <c r="J210" i="3"/>
  <c r="I210" i="3"/>
  <c r="H210" i="3"/>
  <c r="L209" i="3"/>
  <c r="K209" i="3"/>
  <c r="J209" i="3"/>
  <c r="I209" i="3"/>
  <c r="H209" i="3"/>
  <c r="L208" i="3"/>
  <c r="K208" i="3"/>
  <c r="J208" i="3"/>
  <c r="I208" i="3"/>
  <c r="H208" i="3"/>
  <c r="L207" i="3"/>
  <c r="K207" i="3"/>
  <c r="J207" i="3"/>
  <c r="I207" i="3"/>
  <c r="H207" i="3"/>
  <c r="L206" i="3"/>
  <c r="K206" i="3"/>
  <c r="J206" i="3"/>
  <c r="I206" i="3"/>
  <c r="H206" i="3"/>
  <c r="L205" i="3"/>
  <c r="K205" i="3"/>
  <c r="J205" i="3"/>
  <c r="I205" i="3"/>
  <c r="H205" i="3"/>
  <c r="L204" i="3"/>
  <c r="K204" i="3"/>
  <c r="J204" i="3"/>
  <c r="I204" i="3"/>
  <c r="H204" i="3"/>
  <c r="L203" i="3"/>
  <c r="K203" i="3"/>
  <c r="J203" i="3"/>
  <c r="I203" i="3"/>
  <c r="H203" i="3"/>
  <c r="L202" i="3"/>
  <c r="K202" i="3"/>
  <c r="J202" i="3"/>
  <c r="I202" i="3"/>
  <c r="H202" i="3"/>
  <c r="L201" i="3"/>
  <c r="K201" i="3"/>
  <c r="J201" i="3"/>
  <c r="I201" i="3"/>
  <c r="H201" i="3"/>
  <c r="L200" i="3"/>
  <c r="K200" i="3"/>
  <c r="J200" i="3"/>
  <c r="I200" i="3"/>
  <c r="H200" i="3"/>
  <c r="L199" i="3"/>
  <c r="K199" i="3"/>
  <c r="J199" i="3"/>
  <c r="I199" i="3"/>
  <c r="H199" i="3"/>
  <c r="L198" i="3"/>
  <c r="K198" i="3"/>
  <c r="J198" i="3"/>
  <c r="I198" i="3"/>
  <c r="H198" i="3"/>
  <c r="L197" i="3"/>
  <c r="K197" i="3"/>
  <c r="J197" i="3"/>
  <c r="I197" i="3"/>
  <c r="H197" i="3"/>
  <c r="L196" i="3"/>
  <c r="K196" i="3"/>
  <c r="J196" i="3"/>
  <c r="I196" i="3"/>
  <c r="H196" i="3"/>
  <c r="L195" i="3"/>
  <c r="K195" i="3"/>
  <c r="J195" i="3"/>
  <c r="I195" i="3"/>
  <c r="H195" i="3"/>
  <c r="L194" i="3"/>
  <c r="K194" i="3"/>
  <c r="J194" i="3"/>
  <c r="I194" i="3"/>
  <c r="H194" i="3"/>
  <c r="L193" i="3"/>
  <c r="K193" i="3"/>
  <c r="J193" i="3"/>
  <c r="I193" i="3"/>
  <c r="H193" i="3"/>
  <c r="L192" i="3"/>
  <c r="K192" i="3"/>
  <c r="J192" i="3"/>
  <c r="I192" i="3"/>
  <c r="H192" i="3"/>
  <c r="L191" i="3"/>
  <c r="K191" i="3"/>
  <c r="J191" i="3"/>
  <c r="I191" i="3"/>
  <c r="H191" i="3"/>
  <c r="L190" i="3"/>
  <c r="K190" i="3"/>
  <c r="J190" i="3"/>
  <c r="I190" i="3"/>
  <c r="H190" i="3"/>
  <c r="L189" i="3"/>
  <c r="K189" i="3"/>
  <c r="J189" i="3"/>
  <c r="I189" i="3"/>
  <c r="H189" i="3"/>
  <c r="L188" i="3"/>
  <c r="K188" i="3"/>
  <c r="J188" i="3"/>
  <c r="I188" i="3"/>
  <c r="H188" i="3"/>
  <c r="L187" i="3"/>
  <c r="K187" i="3"/>
  <c r="J187" i="3"/>
  <c r="I187" i="3"/>
  <c r="H187" i="3"/>
  <c r="L186" i="3"/>
  <c r="K186" i="3"/>
  <c r="J186" i="3"/>
  <c r="I186" i="3"/>
  <c r="H186" i="3"/>
  <c r="L185" i="3"/>
  <c r="K185" i="3"/>
  <c r="J185" i="3"/>
  <c r="I185" i="3"/>
  <c r="H185" i="3"/>
  <c r="L184" i="3"/>
  <c r="K184" i="3"/>
  <c r="J184" i="3"/>
  <c r="I184" i="3"/>
  <c r="H184" i="3"/>
  <c r="L183" i="3"/>
  <c r="K183" i="3"/>
  <c r="J183" i="3"/>
  <c r="I183" i="3"/>
  <c r="H183" i="3"/>
  <c r="L182" i="3"/>
  <c r="K182" i="3"/>
  <c r="J182" i="3"/>
  <c r="I182" i="3"/>
  <c r="H182" i="3"/>
  <c r="L181" i="3"/>
  <c r="K181" i="3"/>
  <c r="J181" i="3"/>
  <c r="I181" i="3"/>
  <c r="H181" i="3"/>
  <c r="L180" i="3"/>
  <c r="K180" i="3"/>
  <c r="J180" i="3"/>
  <c r="I180" i="3"/>
  <c r="H180" i="3"/>
  <c r="L179" i="3"/>
  <c r="K179" i="3"/>
  <c r="J179" i="3"/>
  <c r="I179" i="3"/>
  <c r="H179" i="3"/>
  <c r="L178" i="3"/>
  <c r="K178" i="3"/>
  <c r="J178" i="3"/>
  <c r="I178" i="3"/>
  <c r="H178" i="3"/>
  <c r="L177" i="3"/>
  <c r="K177" i="3"/>
  <c r="J177" i="3"/>
  <c r="I177" i="3"/>
  <c r="H177" i="3"/>
  <c r="L176" i="3"/>
  <c r="K176" i="3"/>
  <c r="J176" i="3"/>
  <c r="I176" i="3"/>
  <c r="H176" i="3"/>
  <c r="L175" i="3"/>
  <c r="K175" i="3"/>
  <c r="J175" i="3"/>
  <c r="I175" i="3"/>
  <c r="H175" i="3"/>
  <c r="L174" i="3"/>
  <c r="K174" i="3"/>
  <c r="J174" i="3"/>
  <c r="I174" i="3"/>
  <c r="H174" i="3"/>
  <c r="L173" i="3"/>
  <c r="K173" i="3"/>
  <c r="J173" i="3"/>
  <c r="I173" i="3"/>
  <c r="H173" i="3"/>
  <c r="L172" i="3"/>
  <c r="K172" i="3"/>
  <c r="J172" i="3"/>
  <c r="I172" i="3"/>
  <c r="H172" i="3"/>
  <c r="L171" i="3"/>
  <c r="K171" i="3"/>
  <c r="J171" i="3"/>
  <c r="I171" i="3"/>
  <c r="H171" i="3"/>
  <c r="L170" i="3"/>
  <c r="K170" i="3"/>
  <c r="J170" i="3"/>
  <c r="I170" i="3"/>
  <c r="H170" i="3"/>
  <c r="L169" i="3"/>
  <c r="K169" i="3"/>
  <c r="J169" i="3"/>
  <c r="I169" i="3"/>
  <c r="H169" i="3"/>
  <c r="L168" i="3"/>
  <c r="K168" i="3"/>
  <c r="J168" i="3"/>
  <c r="I168" i="3"/>
  <c r="H168" i="3"/>
  <c r="L167" i="3"/>
  <c r="K167" i="3"/>
  <c r="J167" i="3"/>
  <c r="I167" i="3"/>
  <c r="H167" i="3"/>
  <c r="L166" i="3"/>
  <c r="K166" i="3"/>
  <c r="J166" i="3"/>
  <c r="I166" i="3"/>
  <c r="H166" i="3"/>
  <c r="L165" i="3"/>
  <c r="K165" i="3"/>
  <c r="J165" i="3"/>
  <c r="I165" i="3"/>
  <c r="H165" i="3"/>
  <c r="L164" i="3"/>
  <c r="K164" i="3"/>
  <c r="J164" i="3"/>
  <c r="I164" i="3"/>
  <c r="H164" i="3"/>
  <c r="L163" i="3"/>
  <c r="K163" i="3"/>
  <c r="J163" i="3"/>
  <c r="I163" i="3"/>
  <c r="H163" i="3"/>
  <c r="L162" i="3"/>
  <c r="K162" i="3"/>
  <c r="J162" i="3"/>
  <c r="I162" i="3"/>
  <c r="H162" i="3"/>
  <c r="L161" i="3"/>
  <c r="K161" i="3"/>
  <c r="J161" i="3"/>
  <c r="I161" i="3"/>
  <c r="H161" i="3"/>
  <c r="L160" i="3"/>
  <c r="K160" i="3"/>
  <c r="J160" i="3"/>
  <c r="I160" i="3"/>
  <c r="H160" i="3"/>
  <c r="L159" i="3"/>
  <c r="K159" i="3"/>
  <c r="J159" i="3"/>
  <c r="I159" i="3"/>
  <c r="H159" i="3"/>
  <c r="L158" i="3"/>
  <c r="K158" i="3"/>
  <c r="J158" i="3"/>
  <c r="I158" i="3"/>
  <c r="H158" i="3"/>
  <c r="L157" i="3"/>
  <c r="K157" i="3"/>
  <c r="J157" i="3"/>
  <c r="I157" i="3"/>
  <c r="H157" i="3"/>
  <c r="L156" i="3"/>
  <c r="K156" i="3"/>
  <c r="J156" i="3"/>
  <c r="I156" i="3"/>
  <c r="H156" i="3"/>
  <c r="L155" i="3"/>
  <c r="K155" i="3"/>
  <c r="J155" i="3"/>
  <c r="I155" i="3"/>
  <c r="H155" i="3"/>
  <c r="L154" i="3"/>
  <c r="K154" i="3"/>
  <c r="J154" i="3"/>
  <c r="I154" i="3"/>
  <c r="H154" i="3"/>
  <c r="L153" i="3"/>
  <c r="K153" i="3"/>
  <c r="J153" i="3"/>
  <c r="I153" i="3"/>
  <c r="H153" i="3"/>
  <c r="L152" i="3"/>
  <c r="K152" i="3"/>
  <c r="J152" i="3"/>
  <c r="I152" i="3"/>
  <c r="H152" i="3"/>
  <c r="L151" i="3"/>
  <c r="K151" i="3"/>
  <c r="J151" i="3"/>
  <c r="I151" i="3"/>
  <c r="H151" i="3"/>
  <c r="L150" i="3"/>
  <c r="K150" i="3"/>
  <c r="J150" i="3"/>
  <c r="I150" i="3"/>
  <c r="H150" i="3"/>
  <c r="L149" i="3"/>
  <c r="K149" i="3"/>
  <c r="J149" i="3"/>
  <c r="I149" i="3"/>
  <c r="H149" i="3"/>
  <c r="L148" i="3"/>
  <c r="K148" i="3"/>
  <c r="J148" i="3"/>
  <c r="I148" i="3"/>
  <c r="H148" i="3"/>
  <c r="L147" i="3"/>
  <c r="K147" i="3"/>
  <c r="J147" i="3"/>
  <c r="I147" i="3"/>
  <c r="H147" i="3"/>
  <c r="L146" i="3"/>
  <c r="K146" i="3"/>
  <c r="J146" i="3"/>
  <c r="I146" i="3"/>
  <c r="H146" i="3"/>
  <c r="L145" i="3"/>
  <c r="K145" i="3"/>
  <c r="J145" i="3"/>
  <c r="I145" i="3"/>
  <c r="H145" i="3"/>
  <c r="L144" i="3"/>
  <c r="K144" i="3"/>
  <c r="J144" i="3"/>
  <c r="I144" i="3"/>
  <c r="H144" i="3"/>
  <c r="L143" i="3"/>
  <c r="K143" i="3"/>
  <c r="J143" i="3"/>
  <c r="I143" i="3"/>
  <c r="H143" i="3"/>
  <c r="L142" i="3"/>
  <c r="K142" i="3"/>
  <c r="J142" i="3"/>
  <c r="I142" i="3"/>
  <c r="H142" i="3"/>
  <c r="L141" i="3"/>
  <c r="K141" i="3"/>
  <c r="J141" i="3"/>
  <c r="I141" i="3"/>
  <c r="H141" i="3"/>
  <c r="L140" i="3"/>
  <c r="K140" i="3"/>
  <c r="J140" i="3"/>
  <c r="I140" i="3"/>
  <c r="H140" i="3"/>
  <c r="L139" i="3"/>
  <c r="K139" i="3"/>
  <c r="J139" i="3"/>
  <c r="I139" i="3"/>
  <c r="H139" i="3"/>
  <c r="L138" i="3"/>
  <c r="K138" i="3"/>
  <c r="J138" i="3"/>
  <c r="I138" i="3"/>
  <c r="H138" i="3"/>
  <c r="L137" i="3"/>
  <c r="K137" i="3"/>
  <c r="J137" i="3"/>
  <c r="I137" i="3"/>
  <c r="H137" i="3"/>
  <c r="L136" i="3"/>
  <c r="K136" i="3"/>
  <c r="J136" i="3"/>
  <c r="I136" i="3"/>
  <c r="H136" i="3"/>
  <c r="L135" i="3"/>
  <c r="K135" i="3"/>
  <c r="J135" i="3"/>
  <c r="I135" i="3"/>
  <c r="H135" i="3"/>
  <c r="L134" i="3"/>
  <c r="K134" i="3"/>
  <c r="J134" i="3"/>
  <c r="I134" i="3"/>
  <c r="H134" i="3"/>
  <c r="L133" i="3"/>
  <c r="K133" i="3"/>
  <c r="J133" i="3"/>
  <c r="I133" i="3"/>
  <c r="H133" i="3"/>
  <c r="L132" i="3"/>
  <c r="K132" i="3"/>
  <c r="J132" i="3"/>
  <c r="I132" i="3"/>
  <c r="H132" i="3"/>
  <c r="L131" i="3"/>
  <c r="K131" i="3"/>
  <c r="J131" i="3"/>
  <c r="I131" i="3"/>
  <c r="H131" i="3"/>
  <c r="L130" i="3"/>
  <c r="K130" i="3"/>
  <c r="J130" i="3"/>
  <c r="I130" i="3"/>
  <c r="H130" i="3"/>
  <c r="L129" i="3"/>
  <c r="K129" i="3"/>
  <c r="J129" i="3"/>
  <c r="I129" i="3"/>
  <c r="H129" i="3"/>
  <c r="L128" i="3"/>
  <c r="K128" i="3"/>
  <c r="J128" i="3"/>
  <c r="I128" i="3"/>
  <c r="H128" i="3"/>
  <c r="L127" i="3"/>
  <c r="K127" i="3"/>
  <c r="J127" i="3"/>
  <c r="I127" i="3"/>
  <c r="H127" i="3"/>
  <c r="L126" i="3"/>
  <c r="K126" i="3"/>
  <c r="J126" i="3"/>
  <c r="I126" i="3"/>
  <c r="H126" i="3"/>
  <c r="L125" i="3"/>
  <c r="K125" i="3"/>
  <c r="J125" i="3"/>
  <c r="I125" i="3"/>
  <c r="H125" i="3"/>
  <c r="L124" i="3"/>
  <c r="K124" i="3"/>
  <c r="J124" i="3"/>
  <c r="I124" i="3"/>
  <c r="H124" i="3"/>
  <c r="L123" i="3"/>
  <c r="K123" i="3"/>
  <c r="J123" i="3"/>
  <c r="I123" i="3"/>
  <c r="H123" i="3"/>
  <c r="L122" i="3"/>
  <c r="K122" i="3"/>
  <c r="J122" i="3"/>
  <c r="I122" i="3"/>
  <c r="H122" i="3"/>
  <c r="L121" i="3"/>
  <c r="K121" i="3"/>
  <c r="J121" i="3"/>
  <c r="I121" i="3"/>
  <c r="H121" i="3"/>
  <c r="L120" i="3"/>
  <c r="K120" i="3"/>
  <c r="J120" i="3"/>
  <c r="I120" i="3"/>
  <c r="H120" i="3"/>
  <c r="L119" i="3"/>
  <c r="K119" i="3"/>
  <c r="J119" i="3"/>
  <c r="I119" i="3"/>
  <c r="H119" i="3"/>
  <c r="L118" i="3"/>
  <c r="K118" i="3"/>
  <c r="J118" i="3"/>
  <c r="I118" i="3"/>
  <c r="H118" i="3"/>
  <c r="L117" i="3"/>
  <c r="K117" i="3"/>
  <c r="J117" i="3"/>
  <c r="I117" i="3"/>
  <c r="H117" i="3"/>
  <c r="L116" i="3"/>
  <c r="K116" i="3"/>
  <c r="J116" i="3"/>
  <c r="I116" i="3"/>
  <c r="H116" i="3"/>
  <c r="L115" i="3"/>
  <c r="K115" i="3"/>
  <c r="J115" i="3"/>
  <c r="I115" i="3"/>
  <c r="H115" i="3"/>
  <c r="L114" i="3"/>
  <c r="K114" i="3"/>
  <c r="J114" i="3"/>
  <c r="I114" i="3"/>
  <c r="H114" i="3"/>
  <c r="L113" i="3"/>
  <c r="K113" i="3"/>
  <c r="J113" i="3"/>
  <c r="I113" i="3"/>
  <c r="H113" i="3"/>
  <c r="L112" i="3"/>
  <c r="K112" i="3"/>
  <c r="J112" i="3"/>
  <c r="I112" i="3"/>
  <c r="H112" i="3"/>
  <c r="L111" i="3"/>
  <c r="K111" i="3"/>
  <c r="J111" i="3"/>
  <c r="I111" i="3"/>
  <c r="H111" i="3"/>
  <c r="L110" i="3"/>
  <c r="K110" i="3"/>
  <c r="J110" i="3"/>
  <c r="I110" i="3"/>
  <c r="H110" i="3"/>
  <c r="L109" i="3"/>
  <c r="K109" i="3"/>
  <c r="J109" i="3"/>
  <c r="I109" i="3"/>
  <c r="H109" i="3"/>
  <c r="L108" i="3"/>
  <c r="K108" i="3"/>
  <c r="J108" i="3"/>
  <c r="I108" i="3"/>
  <c r="H108" i="3"/>
  <c r="L107" i="3"/>
  <c r="K107" i="3"/>
  <c r="J107" i="3"/>
  <c r="I107" i="3"/>
  <c r="H107" i="3"/>
  <c r="L106" i="3"/>
  <c r="K106" i="3"/>
  <c r="J106" i="3"/>
  <c r="I106" i="3"/>
  <c r="H106" i="3"/>
  <c r="L105" i="3"/>
  <c r="K105" i="3"/>
  <c r="J105" i="3"/>
  <c r="I105" i="3"/>
  <c r="H105" i="3"/>
  <c r="L104" i="3"/>
  <c r="K104" i="3"/>
  <c r="J104" i="3"/>
  <c r="I104" i="3"/>
  <c r="H104" i="3"/>
  <c r="L103" i="3"/>
  <c r="K103" i="3"/>
  <c r="J103" i="3"/>
  <c r="I103" i="3"/>
  <c r="H103" i="3"/>
  <c r="L102" i="3"/>
  <c r="K102" i="3"/>
  <c r="J102" i="3"/>
  <c r="I102" i="3"/>
  <c r="H102" i="3"/>
  <c r="L101" i="3"/>
  <c r="K101" i="3"/>
  <c r="J101" i="3"/>
  <c r="I101" i="3"/>
  <c r="H101" i="3"/>
  <c r="L100" i="3"/>
  <c r="K100" i="3"/>
  <c r="J100" i="3"/>
  <c r="I100" i="3"/>
  <c r="H100" i="3"/>
  <c r="L99" i="3"/>
  <c r="K99" i="3"/>
  <c r="J99" i="3"/>
  <c r="I99" i="3"/>
  <c r="H99" i="3"/>
  <c r="L98" i="3"/>
  <c r="K98" i="3"/>
  <c r="J98" i="3"/>
  <c r="I98" i="3"/>
  <c r="H98" i="3"/>
  <c r="L97" i="3"/>
  <c r="K97" i="3"/>
  <c r="J97" i="3"/>
  <c r="I97" i="3"/>
  <c r="H97" i="3"/>
  <c r="L96" i="3"/>
  <c r="K96" i="3"/>
  <c r="J96" i="3"/>
  <c r="I96" i="3"/>
  <c r="H96" i="3"/>
  <c r="L95" i="3"/>
  <c r="K95" i="3"/>
  <c r="J95" i="3"/>
  <c r="I95" i="3"/>
  <c r="H95" i="3"/>
  <c r="L94" i="3"/>
  <c r="K94" i="3"/>
  <c r="J94" i="3"/>
  <c r="I94" i="3"/>
  <c r="H94" i="3"/>
  <c r="L93" i="3"/>
  <c r="K93" i="3"/>
  <c r="J93" i="3"/>
  <c r="I93" i="3"/>
  <c r="H93" i="3"/>
  <c r="L92" i="3"/>
  <c r="K92" i="3"/>
  <c r="J92" i="3"/>
  <c r="I92" i="3"/>
  <c r="H92" i="3"/>
  <c r="L91" i="3"/>
  <c r="K91" i="3"/>
  <c r="J91" i="3"/>
  <c r="I91" i="3"/>
  <c r="H91" i="3"/>
  <c r="L90" i="3"/>
  <c r="K90" i="3"/>
  <c r="J90" i="3"/>
  <c r="I90" i="3"/>
  <c r="H90" i="3"/>
  <c r="L89" i="3"/>
  <c r="K89" i="3"/>
  <c r="J89" i="3"/>
  <c r="I89" i="3"/>
  <c r="H89" i="3"/>
  <c r="L88" i="3"/>
  <c r="K88" i="3"/>
  <c r="J88" i="3"/>
  <c r="I88" i="3"/>
  <c r="H88" i="3"/>
  <c r="L87" i="3"/>
  <c r="K87" i="3"/>
  <c r="J87" i="3"/>
  <c r="I87" i="3"/>
  <c r="H87" i="3"/>
  <c r="L86" i="3"/>
  <c r="K86" i="3"/>
  <c r="J86" i="3"/>
  <c r="I86" i="3"/>
  <c r="H86" i="3"/>
  <c r="L85" i="3"/>
  <c r="K85" i="3"/>
  <c r="J85" i="3"/>
  <c r="I85" i="3"/>
  <c r="H85" i="3"/>
  <c r="L84" i="3"/>
  <c r="K84" i="3"/>
  <c r="J84" i="3"/>
  <c r="I84" i="3"/>
  <c r="H84" i="3"/>
  <c r="L83" i="3"/>
  <c r="K83" i="3"/>
  <c r="J83" i="3"/>
  <c r="I83" i="3"/>
  <c r="H83" i="3"/>
  <c r="L82" i="3"/>
  <c r="K82" i="3"/>
  <c r="J82" i="3"/>
  <c r="I82" i="3"/>
  <c r="H82" i="3"/>
  <c r="L81" i="3"/>
  <c r="K81" i="3"/>
  <c r="J81" i="3"/>
  <c r="I81" i="3"/>
  <c r="H81" i="3"/>
  <c r="L80" i="3"/>
  <c r="K80" i="3"/>
  <c r="J80" i="3"/>
  <c r="I80" i="3"/>
  <c r="H80" i="3"/>
  <c r="L79" i="3"/>
  <c r="K79" i="3"/>
  <c r="J79" i="3"/>
  <c r="I79" i="3"/>
  <c r="H79" i="3"/>
  <c r="L78" i="3"/>
  <c r="K78" i="3"/>
  <c r="J78" i="3"/>
  <c r="I78" i="3"/>
  <c r="H78" i="3"/>
  <c r="L77" i="3"/>
  <c r="K77" i="3"/>
  <c r="J77" i="3"/>
  <c r="I77" i="3"/>
  <c r="H77" i="3"/>
  <c r="L76" i="3"/>
  <c r="K76" i="3"/>
  <c r="J76" i="3"/>
  <c r="I76" i="3"/>
  <c r="H76" i="3"/>
  <c r="L75" i="3"/>
  <c r="K75" i="3"/>
  <c r="J75" i="3"/>
  <c r="I75" i="3"/>
  <c r="H75" i="3"/>
  <c r="L74" i="3"/>
  <c r="K74" i="3"/>
  <c r="J74" i="3"/>
  <c r="I74" i="3"/>
  <c r="H74" i="3"/>
  <c r="L73" i="3"/>
  <c r="K73" i="3"/>
  <c r="J73" i="3"/>
  <c r="I73" i="3"/>
  <c r="H73" i="3"/>
  <c r="L72" i="3"/>
  <c r="K72" i="3"/>
  <c r="J72" i="3"/>
  <c r="I72" i="3"/>
  <c r="H72" i="3"/>
  <c r="L71" i="3"/>
  <c r="K71" i="3"/>
  <c r="J71" i="3"/>
  <c r="I71" i="3"/>
  <c r="H71" i="3"/>
  <c r="L70" i="3"/>
  <c r="K70" i="3"/>
  <c r="J70" i="3"/>
  <c r="I70" i="3"/>
  <c r="H70" i="3"/>
  <c r="L69" i="3"/>
  <c r="K69" i="3"/>
  <c r="J69" i="3"/>
  <c r="I69" i="3"/>
  <c r="H69" i="3"/>
  <c r="L68" i="3"/>
  <c r="K68" i="3"/>
  <c r="J68" i="3"/>
  <c r="I68" i="3"/>
  <c r="H68" i="3"/>
  <c r="L67" i="3"/>
  <c r="K67" i="3"/>
  <c r="J67" i="3"/>
  <c r="I67" i="3"/>
  <c r="H67" i="3"/>
  <c r="L66" i="3"/>
  <c r="K66" i="3"/>
  <c r="J66" i="3"/>
  <c r="I66" i="3"/>
  <c r="H66" i="3"/>
  <c r="L65" i="3"/>
  <c r="K65" i="3"/>
  <c r="J65" i="3"/>
  <c r="I65" i="3"/>
  <c r="H65" i="3"/>
  <c r="L64" i="3"/>
  <c r="K64" i="3"/>
  <c r="J64" i="3"/>
  <c r="I64" i="3"/>
  <c r="H64" i="3"/>
  <c r="L63" i="3"/>
  <c r="K63" i="3"/>
  <c r="J63" i="3"/>
  <c r="I63" i="3"/>
  <c r="H63" i="3"/>
  <c r="L62" i="3"/>
  <c r="K62" i="3"/>
  <c r="J62" i="3"/>
  <c r="I62" i="3"/>
  <c r="H62" i="3"/>
  <c r="L61" i="3"/>
  <c r="K61" i="3"/>
  <c r="J61" i="3"/>
  <c r="I61" i="3"/>
  <c r="H61" i="3"/>
  <c r="L60" i="3"/>
  <c r="K60" i="3"/>
  <c r="J60" i="3"/>
  <c r="I60" i="3"/>
  <c r="H60" i="3"/>
  <c r="L59" i="3"/>
  <c r="K59" i="3"/>
  <c r="J59" i="3"/>
  <c r="I59" i="3"/>
  <c r="H59" i="3"/>
  <c r="L58" i="3"/>
  <c r="K58" i="3"/>
  <c r="J58" i="3"/>
  <c r="I58" i="3"/>
  <c r="H58" i="3"/>
  <c r="L57" i="3"/>
  <c r="K57" i="3"/>
  <c r="J57" i="3"/>
  <c r="I57" i="3"/>
  <c r="H57" i="3"/>
  <c r="L56" i="3"/>
  <c r="K56" i="3"/>
  <c r="J56" i="3"/>
  <c r="I56" i="3"/>
  <c r="H56" i="3"/>
  <c r="L55" i="3"/>
  <c r="K55" i="3"/>
  <c r="J55" i="3"/>
  <c r="I55" i="3"/>
  <c r="H55" i="3"/>
  <c r="L54" i="3"/>
  <c r="K54" i="3"/>
  <c r="J54" i="3"/>
  <c r="I54" i="3"/>
  <c r="H54" i="3"/>
  <c r="L53" i="3"/>
  <c r="K53" i="3"/>
  <c r="J53" i="3"/>
  <c r="I53" i="3"/>
  <c r="H53" i="3"/>
  <c r="L52" i="3"/>
  <c r="K52" i="3"/>
  <c r="J52" i="3"/>
  <c r="I52" i="3"/>
  <c r="H52" i="3"/>
  <c r="L51" i="3"/>
  <c r="K51" i="3"/>
  <c r="J51" i="3"/>
  <c r="I51" i="3"/>
  <c r="H51" i="3"/>
  <c r="L50" i="3"/>
  <c r="K50" i="3"/>
  <c r="J50" i="3"/>
  <c r="I50" i="3"/>
  <c r="H50" i="3"/>
  <c r="L49" i="3"/>
  <c r="K49" i="3"/>
  <c r="J49" i="3"/>
  <c r="I49" i="3"/>
  <c r="H49" i="3"/>
  <c r="L48" i="3"/>
  <c r="K48" i="3"/>
  <c r="J48" i="3"/>
  <c r="I48" i="3"/>
  <c r="H48" i="3"/>
  <c r="L47" i="3"/>
  <c r="K47" i="3"/>
  <c r="J47" i="3"/>
  <c r="I47" i="3"/>
  <c r="H47" i="3"/>
  <c r="L46" i="3"/>
  <c r="K46" i="3"/>
  <c r="J46" i="3"/>
  <c r="I46" i="3"/>
  <c r="H46" i="3"/>
  <c r="L45" i="3"/>
  <c r="K45" i="3"/>
  <c r="J45" i="3"/>
  <c r="I45" i="3"/>
  <c r="H45" i="3"/>
  <c r="L44" i="3"/>
  <c r="K44" i="3"/>
  <c r="J44" i="3"/>
  <c r="I44" i="3"/>
  <c r="H44" i="3"/>
  <c r="L43" i="3"/>
  <c r="K43" i="3"/>
  <c r="J43" i="3"/>
  <c r="I43" i="3"/>
  <c r="H43" i="3"/>
  <c r="L42" i="3"/>
  <c r="K42" i="3"/>
  <c r="J42" i="3"/>
  <c r="I42" i="3"/>
  <c r="H42" i="3"/>
  <c r="L41" i="3"/>
  <c r="K41" i="3"/>
  <c r="J41" i="3"/>
  <c r="I41" i="3"/>
  <c r="H41" i="3"/>
  <c r="L40" i="3"/>
  <c r="K40" i="3"/>
  <c r="J40" i="3"/>
  <c r="I40" i="3"/>
  <c r="H40" i="3"/>
  <c r="L39" i="3"/>
  <c r="K39" i="3"/>
  <c r="J39" i="3"/>
  <c r="I39" i="3"/>
  <c r="H39" i="3"/>
  <c r="L38" i="3"/>
  <c r="K38" i="3"/>
  <c r="J38" i="3"/>
  <c r="I38" i="3"/>
  <c r="H38" i="3"/>
  <c r="L37" i="3"/>
  <c r="K37" i="3"/>
  <c r="J37" i="3"/>
  <c r="I37" i="3"/>
  <c r="H37" i="3"/>
  <c r="L36" i="3"/>
  <c r="K36" i="3"/>
  <c r="J36" i="3"/>
  <c r="I36" i="3"/>
  <c r="H36" i="3"/>
  <c r="L35" i="3"/>
  <c r="K35" i="3"/>
  <c r="J35" i="3"/>
  <c r="I35" i="3"/>
  <c r="H35" i="3"/>
  <c r="L34" i="3"/>
  <c r="K34" i="3"/>
  <c r="J34" i="3"/>
  <c r="I34" i="3"/>
  <c r="H34" i="3"/>
  <c r="L33" i="3"/>
  <c r="K33" i="3"/>
  <c r="J33" i="3"/>
  <c r="I33" i="3"/>
  <c r="H33" i="3"/>
  <c r="L32" i="3"/>
  <c r="K32" i="3"/>
  <c r="J32" i="3"/>
  <c r="I32" i="3"/>
  <c r="H32" i="3"/>
  <c r="L31" i="3"/>
  <c r="K31" i="3"/>
  <c r="J31" i="3"/>
  <c r="I31" i="3"/>
  <c r="H31" i="3"/>
  <c r="L30" i="3"/>
  <c r="K30" i="3"/>
  <c r="J30" i="3"/>
  <c r="I30" i="3"/>
  <c r="H30" i="3"/>
  <c r="L29" i="3"/>
  <c r="K29" i="3"/>
  <c r="J29" i="3"/>
  <c r="I29" i="3"/>
  <c r="H29" i="3"/>
  <c r="L28" i="3"/>
  <c r="K28" i="3"/>
  <c r="J28" i="3"/>
  <c r="I28" i="3"/>
  <c r="H28" i="3"/>
  <c r="L27" i="3"/>
  <c r="K27" i="3"/>
  <c r="J27" i="3"/>
  <c r="I27" i="3"/>
  <c r="H27" i="3"/>
  <c r="L26" i="3"/>
  <c r="K26" i="3"/>
  <c r="J26" i="3"/>
  <c r="I26" i="3"/>
  <c r="H26" i="3"/>
  <c r="L25" i="3"/>
  <c r="K25" i="3"/>
  <c r="J25" i="3"/>
  <c r="I25" i="3"/>
  <c r="H25" i="3"/>
  <c r="L24" i="3"/>
  <c r="K24" i="3"/>
  <c r="J24" i="3"/>
  <c r="I24" i="3"/>
  <c r="H24" i="3"/>
  <c r="L23" i="3"/>
  <c r="K23" i="3"/>
  <c r="J23" i="3"/>
  <c r="I23" i="3"/>
  <c r="H23" i="3"/>
  <c r="L22" i="3"/>
  <c r="K22" i="3"/>
  <c r="J22" i="3"/>
  <c r="I22" i="3"/>
  <c r="H22" i="3"/>
  <c r="L21" i="3"/>
  <c r="K21" i="3"/>
  <c r="J21" i="3"/>
  <c r="I21" i="3"/>
  <c r="H21" i="3"/>
  <c r="L20" i="3"/>
  <c r="K20" i="3"/>
  <c r="J20" i="3"/>
  <c r="I20" i="3"/>
  <c r="H20" i="3"/>
  <c r="L19" i="3"/>
  <c r="K19" i="3"/>
  <c r="J19" i="3"/>
  <c r="I19" i="3"/>
  <c r="H19" i="3"/>
  <c r="L18" i="3"/>
  <c r="K18" i="3"/>
  <c r="J18" i="3"/>
  <c r="I18" i="3"/>
  <c r="H18" i="3"/>
  <c r="L17" i="3"/>
  <c r="K17" i="3"/>
  <c r="J17" i="3"/>
  <c r="I17" i="3"/>
  <c r="H17" i="3"/>
  <c r="L16" i="3"/>
  <c r="K16" i="3"/>
  <c r="J16" i="3"/>
  <c r="I16" i="3"/>
  <c r="H16" i="3"/>
  <c r="L15" i="3"/>
  <c r="K15" i="3"/>
  <c r="J15" i="3"/>
  <c r="I15" i="3"/>
  <c r="H15" i="3"/>
  <c r="L14" i="3"/>
  <c r="K14" i="3"/>
  <c r="J14" i="3"/>
  <c r="I14" i="3"/>
  <c r="H14" i="3"/>
  <c r="L13" i="3"/>
  <c r="K13" i="3"/>
  <c r="J13" i="3"/>
  <c r="I13" i="3"/>
  <c r="H13" i="3"/>
  <c r="L12" i="3"/>
  <c r="K12" i="3"/>
  <c r="J12" i="3"/>
  <c r="I12" i="3"/>
  <c r="H12" i="3"/>
  <c r="L11" i="3"/>
  <c r="K11" i="3"/>
  <c r="J11" i="3"/>
  <c r="I11" i="3"/>
  <c r="H11" i="3"/>
  <c r="L10" i="3"/>
  <c r="K10" i="3"/>
  <c r="J10" i="3"/>
  <c r="I10" i="3"/>
  <c r="H10" i="3"/>
  <c r="L9" i="3"/>
  <c r="K9" i="3"/>
  <c r="J9" i="3"/>
  <c r="I9" i="3"/>
  <c r="H9" i="3"/>
  <c r="L8" i="3"/>
  <c r="K8" i="3"/>
  <c r="J8" i="3"/>
  <c r="I8" i="3"/>
  <c r="H8" i="3"/>
  <c r="L7" i="3"/>
  <c r="K7" i="3"/>
  <c r="J7" i="3"/>
  <c r="I7" i="3"/>
  <c r="H7" i="3"/>
  <c r="L6" i="3"/>
  <c r="K6" i="3"/>
  <c r="J6" i="3"/>
  <c r="I6" i="3"/>
  <c r="H6" i="3"/>
  <c r="L5" i="3"/>
  <c r="K5" i="3"/>
  <c r="J5" i="3"/>
  <c r="I5" i="3"/>
  <c r="H5" i="3"/>
  <c r="L4" i="3"/>
  <c r="K4" i="3"/>
  <c r="J4" i="3"/>
  <c r="I4" i="3"/>
  <c r="H4" i="3"/>
  <c r="L3" i="3"/>
  <c r="K3" i="3"/>
  <c r="J3" i="3"/>
  <c r="I3" i="3"/>
  <c r="H3" i="3"/>
  <c r="L2" i="3"/>
  <c r="K2" i="3"/>
  <c r="J2" i="3"/>
  <c r="I2" i="3"/>
  <c r="H2" i="3"/>
  <c r="AL1286" i="2"/>
  <c r="AK1286" i="2"/>
  <c r="AI1286" i="2"/>
  <c r="AH1286" i="2"/>
  <c r="AF1286" i="2"/>
  <c r="AC1286" i="2"/>
  <c r="AB1286" i="2"/>
  <c r="AA1286" i="2"/>
  <c r="W1286" i="2"/>
  <c r="V1286" i="2"/>
  <c r="S1286" i="2"/>
  <c r="R1286" i="2"/>
  <c r="P1286" i="2"/>
  <c r="X1286" i="2" s="1"/>
  <c r="O1286" i="2"/>
  <c r="T1286" i="2" s="1"/>
  <c r="N1286" i="2"/>
  <c r="K1286" i="2"/>
  <c r="J1286" i="2"/>
  <c r="AJ1286" i="2" s="1"/>
  <c r="I1286" i="2"/>
  <c r="AL1285" i="2"/>
  <c r="AJ1285" i="2"/>
  <c r="AI1285" i="2"/>
  <c r="AH1285" i="2"/>
  <c r="AF1285" i="2"/>
  <c r="AC1285" i="2"/>
  <c r="AB1285" i="2"/>
  <c r="AA1285" i="2"/>
  <c r="W1285" i="2"/>
  <c r="U1285" i="2"/>
  <c r="S1285" i="2"/>
  <c r="Q1285" i="2"/>
  <c r="P1285" i="2"/>
  <c r="X1285" i="2" s="1"/>
  <c r="O1285" i="2"/>
  <c r="T1285" i="2" s="1"/>
  <c r="N1285" i="2"/>
  <c r="K1285" i="2"/>
  <c r="J1285" i="2"/>
  <c r="AG1285" i="2" s="1"/>
  <c r="I1285" i="2"/>
  <c r="AL1284" i="2"/>
  <c r="AK1284" i="2"/>
  <c r="AI1284" i="2"/>
  <c r="AH1284" i="2"/>
  <c r="AF1284" i="2"/>
  <c r="AE1284" i="2"/>
  <c r="AC1284" i="2"/>
  <c r="AB1284" i="2"/>
  <c r="AA1284" i="2"/>
  <c r="W1284" i="2"/>
  <c r="S1284" i="2"/>
  <c r="P1284" i="2"/>
  <c r="X1284" i="2" s="1"/>
  <c r="O1284" i="2"/>
  <c r="T1284" i="2" s="1"/>
  <c r="N1284" i="2"/>
  <c r="K1284" i="2"/>
  <c r="J1284" i="2"/>
  <c r="I1284" i="2"/>
  <c r="AL1283" i="2"/>
  <c r="AI1283" i="2"/>
  <c r="AH1283" i="2"/>
  <c r="AG1283" i="2"/>
  <c r="AF1283" i="2"/>
  <c r="AE1283" i="2"/>
  <c r="AD1283" i="2"/>
  <c r="AC1283" i="2"/>
  <c r="AB1283" i="2"/>
  <c r="AA1283" i="2"/>
  <c r="Z1283" i="2"/>
  <c r="Y1283" i="2"/>
  <c r="W1283" i="2"/>
  <c r="U1283" i="2"/>
  <c r="S1283" i="2"/>
  <c r="Q1283" i="2"/>
  <c r="P1283" i="2"/>
  <c r="X1283" i="2" s="1"/>
  <c r="O1283" i="2"/>
  <c r="T1283" i="2" s="1"/>
  <c r="N1283" i="2"/>
  <c r="K1283" i="2"/>
  <c r="J1283" i="2"/>
  <c r="AJ1283" i="2" s="1"/>
  <c r="I1283" i="2"/>
  <c r="AL1282" i="2"/>
  <c r="AK1282" i="2"/>
  <c r="AI1282" i="2"/>
  <c r="AH1282" i="2"/>
  <c r="AF1282" i="2"/>
  <c r="AE1282" i="2"/>
  <c r="AC1282" i="2"/>
  <c r="AB1282" i="2"/>
  <c r="AA1282" i="2"/>
  <c r="Z1282" i="2"/>
  <c r="W1282" i="2"/>
  <c r="S1282" i="2"/>
  <c r="R1282" i="2"/>
  <c r="P1282" i="2"/>
  <c r="X1282" i="2" s="1"/>
  <c r="O1282" i="2"/>
  <c r="T1282" i="2" s="1"/>
  <c r="N1282" i="2"/>
  <c r="K1282" i="2"/>
  <c r="V1282" i="2" s="1"/>
  <c r="J1282" i="2"/>
  <c r="I1282" i="2"/>
  <c r="AL1281" i="2"/>
  <c r="AK1281" i="2"/>
  <c r="AI1281" i="2"/>
  <c r="AH1281" i="2"/>
  <c r="AF1281" i="2"/>
  <c r="AC1281" i="2"/>
  <c r="AB1281" i="2"/>
  <c r="AA1281" i="2"/>
  <c r="W1281" i="2"/>
  <c r="S1281" i="2"/>
  <c r="P1281" i="2"/>
  <c r="X1281" i="2" s="1"/>
  <c r="O1281" i="2"/>
  <c r="T1281" i="2" s="1"/>
  <c r="N1281" i="2"/>
  <c r="K1281" i="2"/>
  <c r="J1281" i="2"/>
  <c r="I1281" i="2"/>
  <c r="AL1280" i="2"/>
  <c r="AI1280" i="2"/>
  <c r="AH1280" i="2"/>
  <c r="AG1280" i="2"/>
  <c r="AF1280" i="2"/>
  <c r="AC1280" i="2"/>
  <c r="AB1280" i="2"/>
  <c r="AA1280" i="2"/>
  <c r="W1280" i="2"/>
  <c r="S1280" i="2"/>
  <c r="P1280" i="2"/>
  <c r="X1280" i="2" s="1"/>
  <c r="O1280" i="2"/>
  <c r="T1280" i="2" s="1"/>
  <c r="N1280" i="2"/>
  <c r="K1280" i="2"/>
  <c r="J1280" i="2"/>
  <c r="I1280" i="2"/>
  <c r="AL1279" i="2"/>
  <c r="AI1279" i="2"/>
  <c r="AH1279" i="2"/>
  <c r="AF1279" i="2"/>
  <c r="AC1279" i="2"/>
  <c r="AB1279" i="2"/>
  <c r="AA1279" i="2"/>
  <c r="W1279" i="2"/>
  <c r="S1279" i="2"/>
  <c r="R1279" i="2"/>
  <c r="P1279" i="2"/>
  <c r="X1279" i="2" s="1"/>
  <c r="O1279" i="2"/>
  <c r="T1279" i="2" s="1"/>
  <c r="N1279" i="2"/>
  <c r="K1279" i="2"/>
  <c r="J1279" i="2"/>
  <c r="Y1279" i="2" s="1"/>
  <c r="I1279" i="2"/>
  <c r="AL1278" i="2"/>
  <c r="AK1278" i="2"/>
  <c r="AJ1278" i="2"/>
  <c r="AI1278" i="2"/>
  <c r="AH1278" i="2"/>
  <c r="AF1278" i="2"/>
  <c r="AC1278" i="2"/>
  <c r="AB1278" i="2"/>
  <c r="AA1278" i="2"/>
  <c r="Z1278" i="2"/>
  <c r="W1278" i="2"/>
  <c r="V1278" i="2"/>
  <c r="U1278" i="2"/>
  <c r="T1278" i="2"/>
  <c r="S1278" i="2"/>
  <c r="P1278" i="2"/>
  <c r="X1278" i="2" s="1"/>
  <c r="O1278" i="2"/>
  <c r="N1278" i="2"/>
  <c r="K1278" i="2"/>
  <c r="J1278" i="2"/>
  <c r="Y1278" i="2" s="1"/>
  <c r="I1278" i="2"/>
  <c r="AL1277" i="2"/>
  <c r="AK1277" i="2"/>
  <c r="AI1277" i="2"/>
  <c r="AH1277" i="2"/>
  <c r="AG1277" i="2"/>
  <c r="AF1277" i="2"/>
  <c r="AC1277" i="2"/>
  <c r="AB1277" i="2"/>
  <c r="AA1277" i="2"/>
  <c r="W1277" i="2"/>
  <c r="S1277" i="2"/>
  <c r="P1277" i="2"/>
  <c r="X1277" i="2" s="1"/>
  <c r="O1277" i="2"/>
  <c r="T1277" i="2" s="1"/>
  <c r="N1277" i="2"/>
  <c r="K1277" i="2"/>
  <c r="J1277" i="2"/>
  <c r="I1277" i="2"/>
  <c r="AL1276" i="2"/>
  <c r="AK1276" i="2"/>
  <c r="AI1276" i="2"/>
  <c r="AH1276" i="2"/>
  <c r="AF1276" i="2"/>
  <c r="AE1276" i="2"/>
  <c r="AC1276" i="2"/>
  <c r="AB1276" i="2"/>
  <c r="AA1276" i="2"/>
  <c r="Z1276" i="2"/>
  <c r="W1276" i="2"/>
  <c r="V1276" i="2"/>
  <c r="S1276" i="2"/>
  <c r="R1276" i="2"/>
  <c r="P1276" i="2"/>
  <c r="X1276" i="2" s="1"/>
  <c r="O1276" i="2"/>
  <c r="T1276" i="2" s="1"/>
  <c r="N1276" i="2"/>
  <c r="K1276" i="2"/>
  <c r="J1276" i="2"/>
  <c r="Y1276" i="2" s="1"/>
  <c r="I1276" i="2"/>
  <c r="AL1275" i="2"/>
  <c r="AI1275" i="2"/>
  <c r="AH1275" i="2"/>
  <c r="AF1275" i="2"/>
  <c r="AD1275" i="2"/>
  <c r="AC1275" i="2"/>
  <c r="AB1275" i="2"/>
  <c r="AA1275" i="2"/>
  <c r="W1275" i="2"/>
  <c r="U1275" i="2"/>
  <c r="S1275" i="2"/>
  <c r="Q1275" i="2"/>
  <c r="P1275" i="2"/>
  <c r="X1275" i="2" s="1"/>
  <c r="O1275" i="2"/>
  <c r="T1275" i="2" s="1"/>
  <c r="N1275" i="2"/>
  <c r="K1275" i="2"/>
  <c r="J1275" i="2"/>
  <c r="AG1275" i="2" s="1"/>
  <c r="I1275" i="2"/>
  <c r="AL1274" i="2"/>
  <c r="AI1274" i="2"/>
  <c r="AH1274" i="2"/>
  <c r="AF1274" i="2"/>
  <c r="AC1274" i="2"/>
  <c r="AB1274" i="2"/>
  <c r="AA1274" i="2"/>
  <c r="Z1274" i="2"/>
  <c r="X1274" i="2"/>
  <c r="W1274" i="2"/>
  <c r="V1274" i="2"/>
  <c r="T1274" i="2"/>
  <c r="S1274" i="2"/>
  <c r="P1274" i="2"/>
  <c r="O1274" i="2"/>
  <c r="N1274" i="2"/>
  <c r="K1274" i="2"/>
  <c r="J1274" i="2"/>
  <c r="I1274" i="2"/>
  <c r="AL1273" i="2"/>
  <c r="AI1273" i="2"/>
  <c r="AH1273" i="2"/>
  <c r="AF1273" i="2"/>
  <c r="AE1273" i="2"/>
  <c r="AC1273" i="2"/>
  <c r="AB1273" i="2"/>
  <c r="AA1273" i="2"/>
  <c r="Y1273" i="2"/>
  <c r="W1273" i="2"/>
  <c r="S1273" i="2"/>
  <c r="Q1273" i="2"/>
  <c r="P1273" i="2"/>
  <c r="X1273" i="2" s="1"/>
  <c r="O1273" i="2"/>
  <c r="T1273" i="2" s="1"/>
  <c r="N1273" i="2"/>
  <c r="K1273" i="2"/>
  <c r="J1273" i="2"/>
  <c r="AG1273" i="2" s="1"/>
  <c r="I1273" i="2"/>
  <c r="AL1272" i="2"/>
  <c r="AJ1272" i="2"/>
  <c r="AI1272" i="2"/>
  <c r="AH1272" i="2"/>
  <c r="AF1272" i="2"/>
  <c r="AE1272" i="2"/>
  <c r="AD1272" i="2"/>
  <c r="AC1272" i="2"/>
  <c r="AB1272" i="2"/>
  <c r="AA1272" i="2"/>
  <c r="Y1272" i="2"/>
  <c r="W1272" i="2"/>
  <c r="U1272" i="2"/>
  <c r="S1272" i="2"/>
  <c r="Q1272" i="2"/>
  <c r="P1272" i="2"/>
  <c r="X1272" i="2" s="1"/>
  <c r="O1272" i="2"/>
  <c r="T1272" i="2" s="1"/>
  <c r="N1272" i="2"/>
  <c r="K1272" i="2"/>
  <c r="V1272" i="2" s="1"/>
  <c r="J1272" i="2"/>
  <c r="AG1272" i="2" s="1"/>
  <c r="I1272" i="2"/>
  <c r="AL1271" i="2"/>
  <c r="AI1271" i="2"/>
  <c r="AH1271" i="2"/>
  <c r="AF1271" i="2"/>
  <c r="AE1271" i="2"/>
  <c r="AC1271" i="2"/>
  <c r="AB1271" i="2"/>
  <c r="AA1271" i="2"/>
  <c r="Z1271" i="2"/>
  <c r="Y1271" i="2"/>
  <c r="W1271" i="2"/>
  <c r="S1271" i="2"/>
  <c r="R1271" i="2"/>
  <c r="P1271" i="2"/>
  <c r="X1271" i="2" s="1"/>
  <c r="O1271" i="2"/>
  <c r="T1271" i="2" s="1"/>
  <c r="N1271" i="2"/>
  <c r="K1271" i="2"/>
  <c r="AK1271" i="2" s="1"/>
  <c r="J1271" i="2"/>
  <c r="AJ1271" i="2" s="1"/>
  <c r="I1271" i="2"/>
  <c r="AL1270" i="2"/>
  <c r="AJ1270" i="2"/>
  <c r="AI1270" i="2"/>
  <c r="AH1270" i="2"/>
  <c r="AG1270" i="2"/>
  <c r="AF1270" i="2"/>
  <c r="AE1270" i="2"/>
  <c r="AC1270" i="2"/>
  <c r="AB1270" i="2"/>
  <c r="AA1270" i="2"/>
  <c r="Z1270" i="2"/>
  <c r="Y1270" i="2"/>
  <c r="W1270" i="2"/>
  <c r="U1270" i="2"/>
  <c r="S1270" i="2"/>
  <c r="R1270" i="2"/>
  <c r="Q1270" i="2"/>
  <c r="P1270" i="2"/>
  <c r="X1270" i="2" s="1"/>
  <c r="O1270" i="2"/>
  <c r="T1270" i="2" s="1"/>
  <c r="N1270" i="2"/>
  <c r="K1270" i="2"/>
  <c r="J1270" i="2"/>
  <c r="AD1270" i="2" s="1"/>
  <c r="I1270" i="2"/>
  <c r="AL1269" i="2"/>
  <c r="AK1269" i="2"/>
  <c r="AI1269" i="2"/>
  <c r="AH1269" i="2"/>
  <c r="AG1269" i="2"/>
  <c r="AF1269" i="2"/>
  <c r="AE1269" i="2"/>
  <c r="AC1269" i="2"/>
  <c r="AB1269" i="2"/>
  <c r="AA1269" i="2"/>
  <c r="Z1269" i="2"/>
  <c r="W1269" i="2"/>
  <c r="V1269" i="2"/>
  <c r="T1269" i="2"/>
  <c r="S1269" i="2"/>
  <c r="R1269" i="2"/>
  <c r="P1269" i="2"/>
  <c r="X1269" i="2" s="1"/>
  <c r="O1269" i="2"/>
  <c r="N1269" i="2"/>
  <c r="K1269" i="2"/>
  <c r="J1269" i="2"/>
  <c r="I1269" i="2"/>
  <c r="AL1268" i="2"/>
  <c r="AI1268" i="2"/>
  <c r="AH1268" i="2"/>
  <c r="AF1268" i="2"/>
  <c r="AD1268" i="2"/>
  <c r="AC1268" i="2"/>
  <c r="AB1268" i="2"/>
  <c r="AA1268" i="2"/>
  <c r="Y1268" i="2"/>
  <c r="W1268" i="2"/>
  <c r="V1268" i="2"/>
  <c r="U1268" i="2"/>
  <c r="T1268" i="2"/>
  <c r="S1268" i="2"/>
  <c r="R1268" i="2"/>
  <c r="Q1268" i="2"/>
  <c r="P1268" i="2"/>
  <c r="X1268" i="2" s="1"/>
  <c r="O1268" i="2"/>
  <c r="N1268" i="2"/>
  <c r="K1268" i="2"/>
  <c r="Z1268" i="2" s="1"/>
  <c r="J1268" i="2"/>
  <c r="AG1268" i="2" s="1"/>
  <c r="I1268" i="2"/>
  <c r="AL1267" i="2"/>
  <c r="AI1267" i="2"/>
  <c r="AH1267" i="2"/>
  <c r="AG1267" i="2"/>
  <c r="AF1267" i="2"/>
  <c r="AD1267" i="2"/>
  <c r="AC1267" i="2"/>
  <c r="AB1267" i="2"/>
  <c r="AA1267" i="2"/>
  <c r="Z1267" i="2"/>
  <c r="Y1267" i="2"/>
  <c r="W1267" i="2"/>
  <c r="V1267" i="2"/>
  <c r="S1267" i="2"/>
  <c r="P1267" i="2"/>
  <c r="X1267" i="2" s="1"/>
  <c r="O1267" i="2"/>
  <c r="T1267" i="2" s="1"/>
  <c r="N1267" i="2"/>
  <c r="K1267" i="2"/>
  <c r="AE1267" i="2" s="1"/>
  <c r="J1267" i="2"/>
  <c r="AJ1267" i="2" s="1"/>
  <c r="I1267" i="2"/>
  <c r="AL1266" i="2"/>
  <c r="AK1266" i="2"/>
  <c r="AJ1266" i="2"/>
  <c r="AI1266" i="2"/>
  <c r="AH1266" i="2"/>
  <c r="AG1266" i="2"/>
  <c r="AF1266" i="2"/>
  <c r="AE1266" i="2"/>
  <c r="AD1266" i="2"/>
  <c r="AC1266" i="2"/>
  <c r="AB1266" i="2"/>
  <c r="AA1266" i="2"/>
  <c r="Z1266" i="2"/>
  <c r="Y1266" i="2"/>
  <c r="W1266" i="2"/>
  <c r="S1266" i="2"/>
  <c r="Q1266" i="2"/>
  <c r="P1266" i="2"/>
  <c r="X1266" i="2" s="1"/>
  <c r="O1266" i="2"/>
  <c r="T1266" i="2" s="1"/>
  <c r="N1266" i="2"/>
  <c r="K1266" i="2"/>
  <c r="J1266" i="2"/>
  <c r="U1266" i="2" s="1"/>
  <c r="I1266" i="2"/>
  <c r="AL1265" i="2"/>
  <c r="AI1265" i="2"/>
  <c r="AH1265" i="2"/>
  <c r="AG1265" i="2"/>
  <c r="AF1265" i="2"/>
  <c r="AC1265" i="2"/>
  <c r="AB1265" i="2"/>
  <c r="AA1265" i="2"/>
  <c r="W1265" i="2"/>
  <c r="S1265" i="2"/>
  <c r="P1265" i="2"/>
  <c r="X1265" i="2" s="1"/>
  <c r="O1265" i="2"/>
  <c r="T1265" i="2" s="1"/>
  <c r="N1265" i="2"/>
  <c r="K1265" i="2"/>
  <c r="J1265" i="2"/>
  <c r="I1265" i="2"/>
  <c r="AL1264" i="2"/>
  <c r="AK1264" i="2"/>
  <c r="AJ1264" i="2"/>
  <c r="AI1264" i="2"/>
  <c r="AH1264" i="2"/>
  <c r="AG1264" i="2"/>
  <c r="AF1264" i="2"/>
  <c r="AE1264" i="2"/>
  <c r="AD1264" i="2"/>
  <c r="AC1264" i="2"/>
  <c r="AB1264" i="2"/>
  <c r="AA1264" i="2"/>
  <c r="Z1264" i="2"/>
  <c r="Y1264" i="2"/>
  <c r="W1264" i="2"/>
  <c r="V1264" i="2"/>
  <c r="T1264" i="2"/>
  <c r="S1264" i="2"/>
  <c r="Q1264" i="2"/>
  <c r="P1264" i="2"/>
  <c r="X1264" i="2" s="1"/>
  <c r="O1264" i="2"/>
  <c r="N1264" i="2"/>
  <c r="K1264" i="2"/>
  <c r="R1264" i="2" s="1"/>
  <c r="J1264" i="2"/>
  <c r="U1264" i="2" s="1"/>
  <c r="I1264" i="2"/>
  <c r="AL1263" i="2"/>
  <c r="AK1263" i="2"/>
  <c r="AI1263" i="2"/>
  <c r="AH1263" i="2"/>
  <c r="AG1263" i="2"/>
  <c r="AF1263" i="2"/>
  <c r="AE1263" i="2"/>
  <c r="AD1263" i="2"/>
  <c r="AC1263" i="2"/>
  <c r="AB1263" i="2"/>
  <c r="AA1263" i="2"/>
  <c r="Z1263" i="2"/>
  <c r="W1263" i="2"/>
  <c r="V1263" i="2"/>
  <c r="S1263" i="2"/>
  <c r="P1263" i="2"/>
  <c r="X1263" i="2" s="1"/>
  <c r="O1263" i="2"/>
  <c r="T1263" i="2" s="1"/>
  <c r="N1263" i="2"/>
  <c r="K1263" i="2"/>
  <c r="R1263" i="2" s="1"/>
  <c r="J1263" i="2"/>
  <c r="Y1263" i="2" s="1"/>
  <c r="I1263" i="2"/>
  <c r="AL1262" i="2"/>
  <c r="AI1262" i="2"/>
  <c r="AH1262" i="2"/>
  <c r="AF1262" i="2"/>
  <c r="AC1262" i="2"/>
  <c r="AB1262" i="2"/>
  <c r="AA1262" i="2"/>
  <c r="W1262" i="2"/>
  <c r="U1262" i="2"/>
  <c r="S1262" i="2"/>
  <c r="P1262" i="2"/>
  <c r="X1262" i="2" s="1"/>
  <c r="O1262" i="2"/>
  <c r="T1262" i="2" s="1"/>
  <c r="N1262" i="2"/>
  <c r="K1262" i="2"/>
  <c r="J1262" i="2"/>
  <c r="I1262" i="2"/>
  <c r="AL1261" i="2"/>
  <c r="AJ1261" i="2"/>
  <c r="AI1261" i="2"/>
  <c r="AH1261" i="2"/>
  <c r="AF1261" i="2"/>
  <c r="AE1261" i="2"/>
  <c r="AD1261" i="2"/>
  <c r="AC1261" i="2"/>
  <c r="AB1261" i="2"/>
  <c r="AA1261" i="2"/>
  <c r="W1261" i="2"/>
  <c r="V1261" i="2"/>
  <c r="S1261" i="2"/>
  <c r="P1261" i="2"/>
  <c r="X1261" i="2" s="1"/>
  <c r="O1261" i="2"/>
  <c r="T1261" i="2" s="1"/>
  <c r="N1261" i="2"/>
  <c r="K1261" i="2"/>
  <c r="J1261" i="2"/>
  <c r="I1261" i="2"/>
  <c r="AL1260" i="2"/>
  <c r="AI1260" i="2"/>
  <c r="AH1260" i="2"/>
  <c r="AF1260" i="2"/>
  <c r="AD1260" i="2"/>
  <c r="AC1260" i="2"/>
  <c r="AB1260" i="2"/>
  <c r="AA1260" i="2"/>
  <c r="W1260" i="2"/>
  <c r="T1260" i="2"/>
  <c r="S1260" i="2"/>
  <c r="P1260" i="2"/>
  <c r="X1260" i="2" s="1"/>
  <c r="O1260" i="2"/>
  <c r="N1260" i="2"/>
  <c r="K1260" i="2"/>
  <c r="J1260" i="2"/>
  <c r="I1260" i="2"/>
  <c r="AL1259" i="2"/>
  <c r="AK1259" i="2"/>
  <c r="AI1259" i="2"/>
  <c r="AH1259" i="2"/>
  <c r="AF1259" i="2"/>
  <c r="AE1259" i="2"/>
  <c r="AC1259" i="2"/>
  <c r="AB1259" i="2"/>
  <c r="AA1259" i="2"/>
  <c r="X1259" i="2"/>
  <c r="W1259" i="2"/>
  <c r="V1259" i="2"/>
  <c r="S1259" i="2"/>
  <c r="P1259" i="2"/>
  <c r="O1259" i="2"/>
  <c r="T1259" i="2" s="1"/>
  <c r="N1259" i="2"/>
  <c r="K1259" i="2"/>
  <c r="J1259" i="2"/>
  <c r="AJ1259" i="2" s="1"/>
  <c r="I1259" i="2"/>
  <c r="AL1258" i="2"/>
  <c r="AJ1258" i="2"/>
  <c r="AI1258" i="2"/>
  <c r="AH1258" i="2"/>
  <c r="AF1258" i="2"/>
  <c r="AD1258" i="2"/>
  <c r="AC1258" i="2"/>
  <c r="AB1258" i="2"/>
  <c r="AA1258" i="2"/>
  <c r="W1258" i="2"/>
  <c r="V1258" i="2"/>
  <c r="S1258" i="2"/>
  <c r="R1258" i="2"/>
  <c r="Q1258" i="2"/>
  <c r="P1258" i="2"/>
  <c r="X1258" i="2" s="1"/>
  <c r="O1258" i="2"/>
  <c r="T1258" i="2" s="1"/>
  <c r="N1258" i="2"/>
  <c r="K1258" i="2"/>
  <c r="Z1258" i="2" s="1"/>
  <c r="J1258" i="2"/>
  <c r="I1258" i="2"/>
  <c r="AL1257" i="2"/>
  <c r="AI1257" i="2"/>
  <c r="AH1257" i="2"/>
  <c r="AF1257" i="2"/>
  <c r="AC1257" i="2"/>
  <c r="AB1257" i="2"/>
  <c r="AA1257" i="2"/>
  <c r="Z1257" i="2"/>
  <c r="W1257" i="2"/>
  <c r="V1257" i="2"/>
  <c r="S1257" i="2"/>
  <c r="R1257" i="2"/>
  <c r="P1257" i="2"/>
  <c r="X1257" i="2" s="1"/>
  <c r="O1257" i="2"/>
  <c r="T1257" i="2" s="1"/>
  <c r="N1257" i="2"/>
  <c r="K1257" i="2"/>
  <c r="AE1257" i="2" s="1"/>
  <c r="J1257" i="2"/>
  <c r="I1257" i="2"/>
  <c r="AL1256" i="2"/>
  <c r="AI1256" i="2"/>
  <c r="AH1256" i="2"/>
  <c r="AF1256" i="2"/>
  <c r="AE1256" i="2"/>
  <c r="AC1256" i="2"/>
  <c r="AB1256" i="2"/>
  <c r="AA1256" i="2"/>
  <c r="W1256" i="2"/>
  <c r="V1256" i="2"/>
  <c r="S1256" i="2"/>
  <c r="P1256" i="2"/>
  <c r="X1256" i="2" s="1"/>
  <c r="O1256" i="2"/>
  <c r="T1256" i="2" s="1"/>
  <c r="N1256" i="2"/>
  <c r="K1256" i="2"/>
  <c r="AK1256" i="2" s="1"/>
  <c r="J1256" i="2"/>
  <c r="I1256" i="2"/>
  <c r="AL1255" i="2"/>
  <c r="AI1255" i="2"/>
  <c r="AH1255" i="2"/>
  <c r="AF1255" i="2"/>
  <c r="AE1255" i="2"/>
  <c r="AC1255" i="2"/>
  <c r="AB1255" i="2"/>
  <c r="AA1255" i="2"/>
  <c r="X1255" i="2"/>
  <c r="W1255" i="2"/>
  <c r="T1255" i="2"/>
  <c r="S1255" i="2"/>
  <c r="P1255" i="2"/>
  <c r="O1255" i="2"/>
  <c r="N1255" i="2"/>
  <c r="K1255" i="2"/>
  <c r="J1255" i="2"/>
  <c r="I1255" i="2"/>
  <c r="AL1254" i="2"/>
  <c r="AK1254" i="2"/>
  <c r="AI1254" i="2"/>
  <c r="AH1254" i="2"/>
  <c r="AG1254" i="2"/>
  <c r="AF1254" i="2"/>
  <c r="AE1254" i="2"/>
  <c r="AD1254" i="2"/>
  <c r="AC1254" i="2"/>
  <c r="AB1254" i="2"/>
  <c r="AA1254" i="2"/>
  <c r="Z1254" i="2"/>
  <c r="Y1254" i="2"/>
  <c r="W1254" i="2"/>
  <c r="V1254" i="2"/>
  <c r="U1254" i="2"/>
  <c r="T1254" i="2"/>
  <c r="S1254" i="2"/>
  <c r="R1254" i="2"/>
  <c r="Q1254" i="2"/>
  <c r="P1254" i="2"/>
  <c r="X1254" i="2" s="1"/>
  <c r="O1254" i="2"/>
  <c r="N1254" i="2"/>
  <c r="K1254" i="2"/>
  <c r="J1254" i="2"/>
  <c r="AJ1254" i="2" s="1"/>
  <c r="I1254" i="2"/>
  <c r="AL1253" i="2"/>
  <c r="AK1253" i="2"/>
  <c r="AI1253" i="2"/>
  <c r="AH1253" i="2"/>
  <c r="AF1253" i="2"/>
  <c r="AE1253" i="2"/>
  <c r="AC1253" i="2"/>
  <c r="AB1253" i="2"/>
  <c r="AA1253" i="2"/>
  <c r="Z1253" i="2"/>
  <c r="Y1253" i="2"/>
  <c r="W1253" i="2"/>
  <c r="V1253" i="2"/>
  <c r="S1253" i="2"/>
  <c r="R1253" i="2"/>
  <c r="P1253" i="2"/>
  <c r="X1253" i="2" s="1"/>
  <c r="O1253" i="2"/>
  <c r="T1253" i="2" s="1"/>
  <c r="N1253" i="2"/>
  <c r="K1253" i="2"/>
  <c r="J1253" i="2"/>
  <c r="I1253" i="2"/>
  <c r="AL1252" i="2"/>
  <c r="AJ1252" i="2"/>
  <c r="AI1252" i="2"/>
  <c r="AH1252" i="2"/>
  <c r="AG1252" i="2"/>
  <c r="AF1252" i="2"/>
  <c r="AD1252" i="2"/>
  <c r="AC1252" i="2"/>
  <c r="AB1252" i="2"/>
  <c r="AA1252" i="2"/>
  <c r="Y1252" i="2"/>
  <c r="W1252" i="2"/>
  <c r="U1252" i="2"/>
  <c r="S1252" i="2"/>
  <c r="Q1252" i="2"/>
  <c r="P1252" i="2"/>
  <c r="X1252" i="2" s="1"/>
  <c r="O1252" i="2"/>
  <c r="T1252" i="2" s="1"/>
  <c r="N1252" i="2"/>
  <c r="K1252" i="2"/>
  <c r="J1252" i="2"/>
  <c r="I1252" i="2"/>
  <c r="AL1251" i="2"/>
  <c r="AK1251" i="2"/>
  <c r="AI1251" i="2"/>
  <c r="AH1251" i="2"/>
  <c r="AF1251" i="2"/>
  <c r="AE1251" i="2"/>
  <c r="AC1251" i="2"/>
  <c r="AB1251" i="2"/>
  <c r="AA1251" i="2"/>
  <c r="Z1251" i="2"/>
  <c r="X1251" i="2"/>
  <c r="W1251" i="2"/>
  <c r="V1251" i="2"/>
  <c r="T1251" i="2"/>
  <c r="S1251" i="2"/>
  <c r="R1251" i="2"/>
  <c r="P1251" i="2"/>
  <c r="O1251" i="2"/>
  <c r="N1251" i="2"/>
  <c r="K1251" i="2"/>
  <c r="J1251" i="2"/>
  <c r="I1251" i="2"/>
  <c r="AL1250" i="2"/>
  <c r="AI1250" i="2"/>
  <c r="AH1250" i="2"/>
  <c r="AF1250" i="2"/>
  <c r="AC1250" i="2"/>
  <c r="AB1250" i="2"/>
  <c r="AA1250" i="2"/>
  <c r="W1250" i="2"/>
  <c r="S1250" i="2"/>
  <c r="R1250" i="2"/>
  <c r="P1250" i="2"/>
  <c r="X1250" i="2" s="1"/>
  <c r="O1250" i="2"/>
  <c r="T1250" i="2" s="1"/>
  <c r="N1250" i="2"/>
  <c r="K1250" i="2"/>
  <c r="V1250" i="2" s="1"/>
  <c r="J1250" i="2"/>
  <c r="I1250" i="2"/>
  <c r="AL1249" i="2"/>
  <c r="AJ1249" i="2"/>
  <c r="AI1249" i="2"/>
  <c r="AH1249" i="2"/>
  <c r="AF1249" i="2"/>
  <c r="AE1249" i="2"/>
  <c r="AD1249" i="2"/>
  <c r="AC1249" i="2"/>
  <c r="AB1249" i="2"/>
  <c r="AA1249" i="2"/>
  <c r="X1249" i="2"/>
  <c r="W1249" i="2"/>
  <c r="V1249" i="2"/>
  <c r="S1249" i="2"/>
  <c r="R1249" i="2"/>
  <c r="P1249" i="2"/>
  <c r="O1249" i="2"/>
  <c r="T1249" i="2" s="1"/>
  <c r="N1249" i="2"/>
  <c r="K1249" i="2"/>
  <c r="J1249" i="2"/>
  <c r="AG1249" i="2" s="1"/>
  <c r="I1249" i="2"/>
  <c r="AL1248" i="2"/>
  <c r="AJ1248" i="2"/>
  <c r="AI1248" i="2"/>
  <c r="AH1248" i="2"/>
  <c r="AG1248" i="2"/>
  <c r="AF1248" i="2"/>
  <c r="AE1248" i="2"/>
  <c r="AD1248" i="2"/>
  <c r="AC1248" i="2"/>
  <c r="AB1248" i="2"/>
  <c r="AA1248" i="2"/>
  <c r="Y1248" i="2"/>
  <c r="W1248" i="2"/>
  <c r="S1248" i="2"/>
  <c r="P1248" i="2"/>
  <c r="X1248" i="2" s="1"/>
  <c r="O1248" i="2"/>
  <c r="T1248" i="2" s="1"/>
  <c r="N1248" i="2"/>
  <c r="K1248" i="2"/>
  <c r="J1248" i="2"/>
  <c r="I1248" i="2"/>
  <c r="AL1247" i="2"/>
  <c r="AJ1247" i="2"/>
  <c r="AI1247" i="2"/>
  <c r="AH1247" i="2"/>
  <c r="AG1247" i="2"/>
  <c r="AF1247" i="2"/>
  <c r="AC1247" i="2"/>
  <c r="AB1247" i="2"/>
  <c r="AA1247" i="2"/>
  <c r="X1247" i="2"/>
  <c r="W1247" i="2"/>
  <c r="S1247" i="2"/>
  <c r="P1247" i="2"/>
  <c r="O1247" i="2"/>
  <c r="T1247" i="2" s="1"/>
  <c r="N1247" i="2"/>
  <c r="K1247" i="2"/>
  <c r="J1247" i="2"/>
  <c r="I1247" i="2"/>
  <c r="AL1246" i="2"/>
  <c r="AJ1246" i="2"/>
  <c r="AI1246" i="2"/>
  <c r="AH1246" i="2"/>
  <c r="AG1246" i="2"/>
  <c r="AF1246" i="2"/>
  <c r="AD1246" i="2"/>
  <c r="AC1246" i="2"/>
  <c r="AB1246" i="2"/>
  <c r="AA1246" i="2"/>
  <c r="Y1246" i="2"/>
  <c r="W1246" i="2"/>
  <c r="U1246" i="2"/>
  <c r="S1246" i="2"/>
  <c r="Q1246" i="2"/>
  <c r="P1246" i="2"/>
  <c r="X1246" i="2" s="1"/>
  <c r="O1246" i="2"/>
  <c r="T1246" i="2" s="1"/>
  <c r="N1246" i="2"/>
  <c r="K1246" i="2"/>
  <c r="J1246" i="2"/>
  <c r="I1246" i="2"/>
  <c r="AL1245" i="2"/>
  <c r="AK1245" i="2"/>
  <c r="AI1245" i="2"/>
  <c r="AH1245" i="2"/>
  <c r="AF1245" i="2"/>
  <c r="AD1245" i="2"/>
  <c r="AC1245" i="2"/>
  <c r="AB1245" i="2"/>
  <c r="AA1245" i="2"/>
  <c r="W1245" i="2"/>
  <c r="S1245" i="2"/>
  <c r="R1245" i="2"/>
  <c r="P1245" i="2"/>
  <c r="X1245" i="2" s="1"/>
  <c r="O1245" i="2"/>
  <c r="T1245" i="2" s="1"/>
  <c r="N1245" i="2"/>
  <c r="K1245" i="2"/>
  <c r="J1245" i="2"/>
  <c r="I1245" i="2"/>
  <c r="AL1244" i="2"/>
  <c r="AJ1244" i="2"/>
  <c r="AI1244" i="2"/>
  <c r="AH1244" i="2"/>
  <c r="AF1244" i="2"/>
  <c r="AC1244" i="2"/>
  <c r="AB1244" i="2"/>
  <c r="AA1244" i="2"/>
  <c r="Y1244" i="2"/>
  <c r="W1244" i="2"/>
  <c r="U1244" i="2"/>
  <c r="S1244" i="2"/>
  <c r="Q1244" i="2"/>
  <c r="P1244" i="2"/>
  <c r="X1244" i="2" s="1"/>
  <c r="O1244" i="2"/>
  <c r="T1244" i="2" s="1"/>
  <c r="N1244" i="2"/>
  <c r="K1244" i="2"/>
  <c r="J1244" i="2"/>
  <c r="I1244" i="2"/>
  <c r="AL1243" i="2"/>
  <c r="AK1243" i="2"/>
  <c r="AI1243" i="2"/>
  <c r="AH1243" i="2"/>
  <c r="AF1243" i="2"/>
  <c r="AC1243" i="2"/>
  <c r="AB1243" i="2"/>
  <c r="AA1243" i="2"/>
  <c r="Z1243" i="2"/>
  <c r="W1243" i="2"/>
  <c r="S1243" i="2"/>
  <c r="R1243" i="2"/>
  <c r="P1243" i="2"/>
  <c r="X1243" i="2" s="1"/>
  <c r="O1243" i="2"/>
  <c r="T1243" i="2" s="1"/>
  <c r="N1243" i="2"/>
  <c r="K1243" i="2"/>
  <c r="J1243" i="2"/>
  <c r="I1243" i="2"/>
  <c r="AL1242" i="2"/>
  <c r="AI1242" i="2"/>
  <c r="AH1242" i="2"/>
  <c r="AF1242" i="2"/>
  <c r="AC1242" i="2"/>
  <c r="AB1242" i="2"/>
  <c r="AA1242" i="2"/>
  <c r="W1242" i="2"/>
  <c r="S1242" i="2"/>
  <c r="P1242" i="2"/>
  <c r="X1242" i="2" s="1"/>
  <c r="O1242" i="2"/>
  <c r="T1242" i="2" s="1"/>
  <c r="N1242" i="2"/>
  <c r="K1242" i="2"/>
  <c r="J1242" i="2"/>
  <c r="I1242" i="2"/>
  <c r="AL1241" i="2"/>
  <c r="AI1241" i="2"/>
  <c r="AH1241" i="2"/>
  <c r="AG1241" i="2"/>
  <c r="AF1241" i="2"/>
  <c r="AC1241" i="2"/>
  <c r="AB1241" i="2"/>
  <c r="AA1241" i="2"/>
  <c r="W1241" i="2"/>
  <c r="S1241" i="2"/>
  <c r="P1241" i="2"/>
  <c r="X1241" i="2" s="1"/>
  <c r="O1241" i="2"/>
  <c r="T1241" i="2" s="1"/>
  <c r="N1241" i="2"/>
  <c r="K1241" i="2"/>
  <c r="J1241" i="2"/>
  <c r="AJ1241" i="2" s="1"/>
  <c r="I1241" i="2"/>
  <c r="AL1240" i="2"/>
  <c r="AI1240" i="2"/>
  <c r="AH1240" i="2"/>
  <c r="AF1240" i="2"/>
  <c r="AE1240" i="2"/>
  <c r="AC1240" i="2"/>
  <c r="AB1240" i="2"/>
  <c r="AA1240" i="2"/>
  <c r="Y1240" i="2"/>
  <c r="W1240" i="2"/>
  <c r="S1240" i="2"/>
  <c r="R1240" i="2"/>
  <c r="Q1240" i="2"/>
  <c r="P1240" i="2"/>
  <c r="X1240" i="2" s="1"/>
  <c r="O1240" i="2"/>
  <c r="T1240" i="2" s="1"/>
  <c r="N1240" i="2"/>
  <c r="K1240" i="2"/>
  <c r="J1240" i="2"/>
  <c r="I1240" i="2"/>
  <c r="AL1239" i="2"/>
  <c r="AI1239" i="2"/>
  <c r="AH1239" i="2"/>
  <c r="AG1239" i="2"/>
  <c r="AF1239" i="2"/>
  <c r="AD1239" i="2"/>
  <c r="AC1239" i="2"/>
  <c r="AB1239" i="2"/>
  <c r="AA1239" i="2"/>
  <c r="W1239" i="2"/>
  <c r="S1239" i="2"/>
  <c r="P1239" i="2"/>
  <c r="X1239" i="2" s="1"/>
  <c r="O1239" i="2"/>
  <c r="T1239" i="2" s="1"/>
  <c r="N1239" i="2"/>
  <c r="K1239" i="2"/>
  <c r="J1239" i="2"/>
  <c r="I1239" i="2"/>
  <c r="AL1238" i="2"/>
  <c r="AJ1238" i="2"/>
  <c r="AI1238" i="2"/>
  <c r="AH1238" i="2"/>
  <c r="AG1238" i="2"/>
  <c r="AF1238" i="2"/>
  <c r="AD1238" i="2"/>
  <c r="AC1238" i="2"/>
  <c r="AB1238" i="2"/>
  <c r="AA1238" i="2"/>
  <c r="X1238" i="2"/>
  <c r="W1238" i="2"/>
  <c r="U1238" i="2"/>
  <c r="T1238" i="2"/>
  <c r="S1238" i="2"/>
  <c r="Q1238" i="2"/>
  <c r="P1238" i="2"/>
  <c r="O1238" i="2"/>
  <c r="N1238" i="2"/>
  <c r="K1238" i="2"/>
  <c r="J1238" i="2"/>
  <c r="Y1238" i="2" s="1"/>
  <c r="I1238" i="2"/>
  <c r="AL1237" i="2"/>
  <c r="AK1237" i="2"/>
  <c r="AI1237" i="2"/>
  <c r="AH1237" i="2"/>
  <c r="AF1237" i="2"/>
  <c r="AE1237" i="2"/>
  <c r="AC1237" i="2"/>
  <c r="AB1237" i="2"/>
  <c r="AA1237" i="2"/>
  <c r="Z1237" i="2"/>
  <c r="W1237" i="2"/>
  <c r="V1237" i="2"/>
  <c r="S1237" i="2"/>
  <c r="R1237" i="2"/>
  <c r="P1237" i="2"/>
  <c r="X1237" i="2" s="1"/>
  <c r="O1237" i="2"/>
  <c r="T1237" i="2" s="1"/>
  <c r="N1237" i="2"/>
  <c r="K1237" i="2"/>
  <c r="J1237" i="2"/>
  <c r="I1237" i="2"/>
  <c r="AL1236" i="2"/>
  <c r="AI1236" i="2"/>
  <c r="AH1236" i="2"/>
  <c r="AF1236" i="2"/>
  <c r="AC1236" i="2"/>
  <c r="AB1236" i="2"/>
  <c r="AA1236" i="2"/>
  <c r="Y1236" i="2"/>
  <c r="W1236" i="2"/>
  <c r="V1236" i="2"/>
  <c r="U1236" i="2"/>
  <c r="S1236" i="2"/>
  <c r="P1236" i="2"/>
  <c r="X1236" i="2" s="1"/>
  <c r="O1236" i="2"/>
  <c r="T1236" i="2" s="1"/>
  <c r="N1236" i="2"/>
  <c r="K1236" i="2"/>
  <c r="AK1236" i="2" s="1"/>
  <c r="J1236" i="2"/>
  <c r="I1236" i="2"/>
  <c r="AL1235" i="2"/>
  <c r="AI1235" i="2"/>
  <c r="AH1235" i="2"/>
  <c r="AF1235" i="2"/>
  <c r="AE1235" i="2"/>
  <c r="AC1235" i="2"/>
  <c r="AB1235" i="2"/>
  <c r="AA1235" i="2"/>
  <c r="X1235" i="2"/>
  <c r="W1235" i="2"/>
  <c r="V1235" i="2"/>
  <c r="S1235" i="2"/>
  <c r="P1235" i="2"/>
  <c r="O1235" i="2"/>
  <c r="T1235" i="2" s="1"/>
  <c r="N1235" i="2"/>
  <c r="K1235" i="2"/>
  <c r="J1235" i="2"/>
  <c r="I1235" i="2"/>
  <c r="AL1234" i="2"/>
  <c r="AJ1234" i="2"/>
  <c r="AI1234" i="2"/>
  <c r="AH1234" i="2"/>
  <c r="AF1234" i="2"/>
  <c r="AC1234" i="2"/>
  <c r="AB1234" i="2"/>
  <c r="AA1234" i="2"/>
  <c r="W1234" i="2"/>
  <c r="S1234" i="2"/>
  <c r="P1234" i="2"/>
  <c r="X1234" i="2" s="1"/>
  <c r="O1234" i="2"/>
  <c r="T1234" i="2" s="1"/>
  <c r="N1234" i="2"/>
  <c r="K1234" i="2"/>
  <c r="J1234" i="2"/>
  <c r="AD1234" i="2" s="1"/>
  <c r="I1234" i="2"/>
  <c r="AL1233" i="2"/>
  <c r="AK1233" i="2"/>
  <c r="AI1233" i="2"/>
  <c r="AH1233" i="2"/>
  <c r="AF1233" i="2"/>
  <c r="AC1233" i="2"/>
  <c r="AB1233" i="2"/>
  <c r="AA1233" i="2"/>
  <c r="W1233" i="2"/>
  <c r="S1233" i="2"/>
  <c r="P1233" i="2"/>
  <c r="X1233" i="2" s="1"/>
  <c r="O1233" i="2"/>
  <c r="T1233" i="2" s="1"/>
  <c r="N1233" i="2"/>
  <c r="K1233" i="2"/>
  <c r="J1233" i="2"/>
  <c r="AG1233" i="2" s="1"/>
  <c r="I1233" i="2"/>
  <c r="AL1232" i="2"/>
  <c r="AJ1232" i="2"/>
  <c r="AI1232" i="2"/>
  <c r="AH1232" i="2"/>
  <c r="AG1232" i="2"/>
  <c r="AF1232" i="2"/>
  <c r="AE1232" i="2"/>
  <c r="AD1232" i="2"/>
  <c r="AC1232" i="2"/>
  <c r="AB1232" i="2"/>
  <c r="AA1232" i="2"/>
  <c r="Y1232" i="2"/>
  <c r="W1232" i="2"/>
  <c r="S1232" i="2"/>
  <c r="R1232" i="2"/>
  <c r="Q1232" i="2"/>
  <c r="P1232" i="2"/>
  <c r="X1232" i="2" s="1"/>
  <c r="O1232" i="2"/>
  <c r="T1232" i="2" s="1"/>
  <c r="N1232" i="2"/>
  <c r="K1232" i="2"/>
  <c r="Z1232" i="2" s="1"/>
  <c r="J1232" i="2"/>
  <c r="U1232" i="2" s="1"/>
  <c r="I1232" i="2"/>
  <c r="AL1231" i="2"/>
  <c r="AJ1231" i="2"/>
  <c r="AI1231" i="2"/>
  <c r="AH1231" i="2"/>
  <c r="AF1231" i="2"/>
  <c r="AC1231" i="2"/>
  <c r="AB1231" i="2"/>
  <c r="AA1231" i="2"/>
  <c r="X1231" i="2"/>
  <c r="W1231" i="2"/>
  <c r="S1231" i="2"/>
  <c r="P1231" i="2"/>
  <c r="O1231" i="2"/>
  <c r="T1231" i="2" s="1"/>
  <c r="N1231" i="2"/>
  <c r="K1231" i="2"/>
  <c r="J1231" i="2"/>
  <c r="I1231" i="2"/>
  <c r="AL1230" i="2"/>
  <c r="AK1230" i="2"/>
  <c r="AJ1230" i="2"/>
  <c r="AI1230" i="2"/>
  <c r="AH1230" i="2"/>
  <c r="AG1230" i="2"/>
  <c r="AF1230" i="2"/>
  <c r="AE1230" i="2"/>
  <c r="AD1230" i="2"/>
  <c r="AC1230" i="2"/>
  <c r="AB1230" i="2"/>
  <c r="AA1230" i="2"/>
  <c r="Y1230" i="2"/>
  <c r="W1230" i="2"/>
  <c r="V1230" i="2"/>
  <c r="S1230" i="2"/>
  <c r="R1230" i="2"/>
  <c r="P1230" i="2"/>
  <c r="X1230" i="2" s="1"/>
  <c r="O1230" i="2"/>
  <c r="T1230" i="2" s="1"/>
  <c r="N1230" i="2"/>
  <c r="K1230" i="2"/>
  <c r="Z1230" i="2" s="1"/>
  <c r="J1230" i="2"/>
  <c r="Q1230" i="2" s="1"/>
  <c r="I1230" i="2"/>
  <c r="AL1229" i="2"/>
  <c r="AJ1229" i="2"/>
  <c r="AI1229" i="2"/>
  <c r="AH1229" i="2"/>
  <c r="AG1229" i="2"/>
  <c r="AF1229" i="2"/>
  <c r="AD1229" i="2"/>
  <c r="AC1229" i="2"/>
  <c r="AB1229" i="2"/>
  <c r="AA1229" i="2"/>
  <c r="W1229" i="2"/>
  <c r="T1229" i="2"/>
  <c r="S1229" i="2"/>
  <c r="Q1229" i="2"/>
  <c r="P1229" i="2"/>
  <c r="X1229" i="2" s="1"/>
  <c r="O1229" i="2"/>
  <c r="N1229" i="2"/>
  <c r="K1229" i="2"/>
  <c r="J1229" i="2"/>
  <c r="I1229" i="2"/>
  <c r="AL1228" i="2"/>
  <c r="AI1228" i="2"/>
  <c r="AH1228" i="2"/>
  <c r="AF1228" i="2"/>
  <c r="AE1228" i="2"/>
  <c r="AC1228" i="2"/>
  <c r="AB1228" i="2"/>
  <c r="AA1228" i="2"/>
  <c r="Z1228" i="2"/>
  <c r="W1228" i="2"/>
  <c r="S1228" i="2"/>
  <c r="P1228" i="2"/>
  <c r="X1228" i="2" s="1"/>
  <c r="O1228" i="2"/>
  <c r="T1228" i="2" s="1"/>
  <c r="N1228" i="2"/>
  <c r="K1228" i="2"/>
  <c r="J1228" i="2"/>
  <c r="I1228" i="2"/>
  <c r="AL1227" i="2"/>
  <c r="AI1227" i="2"/>
  <c r="AH1227" i="2"/>
  <c r="AF1227" i="2"/>
  <c r="AD1227" i="2"/>
  <c r="AC1227" i="2"/>
  <c r="AB1227" i="2"/>
  <c r="AA1227" i="2"/>
  <c r="X1227" i="2"/>
  <c r="W1227" i="2"/>
  <c r="T1227" i="2"/>
  <c r="S1227" i="2"/>
  <c r="P1227" i="2"/>
  <c r="O1227" i="2"/>
  <c r="N1227" i="2"/>
  <c r="K1227" i="2"/>
  <c r="J1227" i="2"/>
  <c r="AJ1227" i="2" s="1"/>
  <c r="I1227" i="2"/>
  <c r="AL1226" i="2"/>
  <c r="AI1226" i="2"/>
  <c r="AH1226" i="2"/>
  <c r="AF1226" i="2"/>
  <c r="AC1226" i="2"/>
  <c r="AB1226" i="2"/>
  <c r="AA1226" i="2"/>
  <c r="X1226" i="2"/>
  <c r="W1226" i="2"/>
  <c r="S1226" i="2"/>
  <c r="P1226" i="2"/>
  <c r="O1226" i="2"/>
  <c r="T1226" i="2" s="1"/>
  <c r="N1226" i="2"/>
  <c r="K1226" i="2"/>
  <c r="J1226" i="2"/>
  <c r="I1226" i="2"/>
  <c r="AL1225" i="2"/>
  <c r="AJ1225" i="2"/>
  <c r="AI1225" i="2"/>
  <c r="AH1225" i="2"/>
  <c r="AF1225" i="2"/>
  <c r="AC1225" i="2"/>
  <c r="AB1225" i="2"/>
  <c r="AA1225" i="2"/>
  <c r="W1225" i="2"/>
  <c r="S1225" i="2"/>
  <c r="P1225" i="2"/>
  <c r="X1225" i="2" s="1"/>
  <c r="O1225" i="2"/>
  <c r="T1225" i="2" s="1"/>
  <c r="N1225" i="2"/>
  <c r="K1225" i="2"/>
  <c r="J1225" i="2"/>
  <c r="I1225" i="2"/>
  <c r="AL1224" i="2"/>
  <c r="AI1224" i="2"/>
  <c r="AH1224" i="2"/>
  <c r="AF1224" i="2"/>
  <c r="AC1224" i="2"/>
  <c r="AB1224" i="2"/>
  <c r="AA1224" i="2"/>
  <c r="W1224" i="2"/>
  <c r="S1224" i="2"/>
  <c r="P1224" i="2"/>
  <c r="X1224" i="2" s="1"/>
  <c r="O1224" i="2"/>
  <c r="T1224" i="2" s="1"/>
  <c r="N1224" i="2"/>
  <c r="K1224" i="2"/>
  <c r="J1224" i="2"/>
  <c r="I1224" i="2"/>
  <c r="AL1223" i="2"/>
  <c r="AI1223" i="2"/>
  <c r="AH1223" i="2"/>
  <c r="AF1223" i="2"/>
  <c r="AC1223" i="2"/>
  <c r="AB1223" i="2"/>
  <c r="AA1223" i="2"/>
  <c r="Y1223" i="2"/>
  <c r="W1223" i="2"/>
  <c r="S1223" i="2"/>
  <c r="P1223" i="2"/>
  <c r="X1223" i="2" s="1"/>
  <c r="O1223" i="2"/>
  <c r="T1223" i="2" s="1"/>
  <c r="N1223" i="2"/>
  <c r="K1223" i="2"/>
  <c r="J1223" i="2"/>
  <c r="AD1223" i="2" s="1"/>
  <c r="I1223" i="2"/>
  <c r="AL1222" i="2"/>
  <c r="AJ1222" i="2"/>
  <c r="AI1222" i="2"/>
  <c r="AH1222" i="2"/>
  <c r="AG1222" i="2"/>
  <c r="AF1222" i="2"/>
  <c r="AD1222" i="2"/>
  <c r="AC1222" i="2"/>
  <c r="AB1222" i="2"/>
  <c r="AA1222" i="2"/>
  <c r="X1222" i="2"/>
  <c r="W1222" i="2"/>
  <c r="S1222" i="2"/>
  <c r="Q1222" i="2"/>
  <c r="P1222" i="2"/>
  <c r="O1222" i="2"/>
  <c r="T1222" i="2" s="1"/>
  <c r="N1222" i="2"/>
  <c r="K1222" i="2"/>
  <c r="J1222" i="2"/>
  <c r="U1222" i="2" s="1"/>
  <c r="I1222" i="2"/>
  <c r="AL1221" i="2"/>
  <c r="AK1221" i="2"/>
  <c r="AI1221" i="2"/>
  <c r="AH1221" i="2"/>
  <c r="AF1221" i="2"/>
  <c r="AD1221" i="2"/>
  <c r="AC1221" i="2"/>
  <c r="AB1221" i="2"/>
  <c r="AA1221" i="2"/>
  <c r="W1221" i="2"/>
  <c r="S1221" i="2"/>
  <c r="P1221" i="2"/>
  <c r="X1221" i="2" s="1"/>
  <c r="O1221" i="2"/>
  <c r="T1221" i="2" s="1"/>
  <c r="N1221" i="2"/>
  <c r="K1221" i="2"/>
  <c r="J1221" i="2"/>
  <c r="AG1221" i="2" s="1"/>
  <c r="I1221" i="2"/>
  <c r="AL1220" i="2"/>
  <c r="AJ1220" i="2"/>
  <c r="AI1220" i="2"/>
  <c r="AH1220" i="2"/>
  <c r="AF1220" i="2"/>
  <c r="AC1220" i="2"/>
  <c r="AB1220" i="2"/>
  <c r="AA1220" i="2"/>
  <c r="Y1220" i="2"/>
  <c r="W1220" i="2"/>
  <c r="S1220" i="2"/>
  <c r="P1220" i="2"/>
  <c r="X1220" i="2" s="1"/>
  <c r="O1220" i="2"/>
  <c r="T1220" i="2" s="1"/>
  <c r="N1220" i="2"/>
  <c r="K1220" i="2"/>
  <c r="R1220" i="2" s="1"/>
  <c r="J1220" i="2"/>
  <c r="I1220" i="2"/>
  <c r="AL1219" i="2"/>
  <c r="AI1219" i="2"/>
  <c r="AH1219" i="2"/>
  <c r="AF1219" i="2"/>
  <c r="AC1219" i="2"/>
  <c r="AB1219" i="2"/>
  <c r="AA1219" i="2"/>
  <c r="Z1219" i="2"/>
  <c r="W1219" i="2"/>
  <c r="V1219" i="2"/>
  <c r="S1219" i="2"/>
  <c r="Q1219" i="2"/>
  <c r="P1219" i="2"/>
  <c r="X1219" i="2" s="1"/>
  <c r="O1219" i="2"/>
  <c r="T1219" i="2" s="1"/>
  <c r="N1219" i="2"/>
  <c r="K1219" i="2"/>
  <c r="J1219" i="2"/>
  <c r="I1219" i="2"/>
  <c r="AL1218" i="2"/>
  <c r="AK1218" i="2"/>
  <c r="AJ1218" i="2"/>
  <c r="AI1218" i="2"/>
  <c r="AH1218" i="2"/>
  <c r="AF1218" i="2"/>
  <c r="AE1218" i="2"/>
  <c r="AD1218" i="2"/>
  <c r="AC1218" i="2"/>
  <c r="AB1218" i="2"/>
  <c r="AA1218" i="2"/>
  <c r="Y1218" i="2"/>
  <c r="W1218" i="2"/>
  <c r="V1218" i="2"/>
  <c r="T1218" i="2"/>
  <c r="S1218" i="2"/>
  <c r="Q1218" i="2"/>
  <c r="P1218" i="2"/>
  <c r="X1218" i="2" s="1"/>
  <c r="O1218" i="2"/>
  <c r="N1218" i="2"/>
  <c r="K1218" i="2"/>
  <c r="J1218" i="2"/>
  <c r="I1218" i="2"/>
  <c r="AL1217" i="2"/>
  <c r="AI1217" i="2"/>
  <c r="AH1217" i="2"/>
  <c r="AG1217" i="2"/>
  <c r="AF1217" i="2"/>
  <c r="AC1217" i="2"/>
  <c r="AB1217" i="2"/>
  <c r="AA1217" i="2"/>
  <c r="Y1217" i="2"/>
  <c r="W1217" i="2"/>
  <c r="T1217" i="2"/>
  <c r="S1217" i="2"/>
  <c r="P1217" i="2"/>
  <c r="X1217" i="2" s="1"/>
  <c r="O1217" i="2"/>
  <c r="N1217" i="2"/>
  <c r="K1217" i="2"/>
  <c r="J1217" i="2"/>
  <c r="I1217" i="2"/>
  <c r="AL1216" i="2"/>
  <c r="AI1216" i="2"/>
  <c r="AH1216" i="2"/>
  <c r="AG1216" i="2"/>
  <c r="AF1216" i="2"/>
  <c r="AD1216" i="2"/>
  <c r="AC1216" i="2"/>
  <c r="AB1216" i="2"/>
  <c r="AA1216" i="2"/>
  <c r="W1216" i="2"/>
  <c r="U1216" i="2"/>
  <c r="S1216" i="2"/>
  <c r="R1216" i="2"/>
  <c r="P1216" i="2"/>
  <c r="X1216" i="2" s="1"/>
  <c r="O1216" i="2"/>
  <c r="T1216" i="2" s="1"/>
  <c r="N1216" i="2"/>
  <c r="K1216" i="2"/>
  <c r="AE1216" i="2" s="1"/>
  <c r="J1216" i="2"/>
  <c r="I1216" i="2"/>
  <c r="AL1215" i="2"/>
  <c r="AI1215" i="2"/>
  <c r="AH1215" i="2"/>
  <c r="AF1215" i="2"/>
  <c r="AD1215" i="2"/>
  <c r="AC1215" i="2"/>
  <c r="AB1215" i="2"/>
  <c r="AA1215" i="2"/>
  <c r="W1215" i="2"/>
  <c r="S1215" i="2"/>
  <c r="P1215" i="2"/>
  <c r="X1215" i="2" s="1"/>
  <c r="O1215" i="2"/>
  <c r="T1215" i="2" s="1"/>
  <c r="N1215" i="2"/>
  <c r="K1215" i="2"/>
  <c r="R1215" i="2" s="1"/>
  <c r="J1215" i="2"/>
  <c r="I1215" i="2"/>
  <c r="AL1214" i="2"/>
  <c r="AI1214" i="2"/>
  <c r="AH1214" i="2"/>
  <c r="AF1214" i="2"/>
  <c r="AC1214" i="2"/>
  <c r="AB1214" i="2"/>
  <c r="AA1214" i="2"/>
  <c r="X1214" i="2"/>
  <c r="W1214" i="2"/>
  <c r="S1214" i="2"/>
  <c r="Q1214" i="2"/>
  <c r="P1214" i="2"/>
  <c r="O1214" i="2"/>
  <c r="T1214" i="2" s="1"/>
  <c r="N1214" i="2"/>
  <c r="K1214" i="2"/>
  <c r="J1214" i="2"/>
  <c r="I1214" i="2"/>
  <c r="AL1213" i="2"/>
  <c r="AI1213" i="2"/>
  <c r="AH1213" i="2"/>
  <c r="AF1213" i="2"/>
  <c r="AC1213" i="2"/>
  <c r="AB1213" i="2"/>
  <c r="AA1213" i="2"/>
  <c r="X1213" i="2"/>
  <c r="W1213" i="2"/>
  <c r="S1213" i="2"/>
  <c r="P1213" i="2"/>
  <c r="O1213" i="2"/>
  <c r="T1213" i="2" s="1"/>
  <c r="N1213" i="2"/>
  <c r="K1213" i="2"/>
  <c r="J1213" i="2"/>
  <c r="I1213" i="2"/>
  <c r="AL1212" i="2"/>
  <c r="AI1212" i="2"/>
  <c r="AH1212" i="2"/>
  <c r="AF1212" i="2"/>
  <c r="AC1212" i="2"/>
  <c r="AB1212" i="2"/>
  <c r="AA1212" i="2"/>
  <c r="Z1212" i="2"/>
  <c r="Y1212" i="2"/>
  <c r="X1212" i="2"/>
  <c r="W1212" i="2"/>
  <c r="S1212" i="2"/>
  <c r="P1212" i="2"/>
  <c r="O1212" i="2"/>
  <c r="T1212" i="2" s="1"/>
  <c r="N1212" i="2"/>
  <c r="K1212" i="2"/>
  <c r="AE1212" i="2" s="1"/>
  <c r="J1212" i="2"/>
  <c r="I1212" i="2"/>
  <c r="AL1211" i="2"/>
  <c r="AI1211" i="2"/>
  <c r="AH1211" i="2"/>
  <c r="AF1211" i="2"/>
  <c r="AC1211" i="2"/>
  <c r="AB1211" i="2"/>
  <c r="AA1211" i="2"/>
  <c r="W1211" i="2"/>
  <c r="S1211" i="2"/>
  <c r="P1211" i="2"/>
  <c r="X1211" i="2" s="1"/>
  <c r="O1211" i="2"/>
  <c r="T1211" i="2" s="1"/>
  <c r="N1211" i="2"/>
  <c r="K1211" i="2"/>
  <c r="J1211" i="2"/>
  <c r="I1211" i="2"/>
  <c r="AL1210" i="2"/>
  <c r="AJ1210" i="2"/>
  <c r="AI1210" i="2"/>
  <c r="AH1210" i="2"/>
  <c r="AF1210" i="2"/>
  <c r="AD1210" i="2"/>
  <c r="AC1210" i="2"/>
  <c r="AB1210" i="2"/>
  <c r="AA1210" i="2"/>
  <c r="Z1210" i="2"/>
  <c r="Y1210" i="2"/>
  <c r="W1210" i="2"/>
  <c r="V1210" i="2"/>
  <c r="S1210" i="2"/>
  <c r="P1210" i="2"/>
  <c r="X1210" i="2" s="1"/>
  <c r="O1210" i="2"/>
  <c r="T1210" i="2" s="1"/>
  <c r="N1210" i="2"/>
  <c r="K1210" i="2"/>
  <c r="J1210" i="2"/>
  <c r="I1210" i="2"/>
  <c r="AL1209" i="2"/>
  <c r="AI1209" i="2"/>
  <c r="AH1209" i="2"/>
  <c r="AG1209" i="2"/>
  <c r="AF1209" i="2"/>
  <c r="AE1209" i="2"/>
  <c r="AD1209" i="2"/>
  <c r="AC1209" i="2"/>
  <c r="AB1209" i="2"/>
  <c r="AA1209" i="2"/>
  <c r="Y1209" i="2"/>
  <c r="W1209" i="2"/>
  <c r="S1209" i="2"/>
  <c r="Q1209" i="2"/>
  <c r="P1209" i="2"/>
  <c r="X1209" i="2" s="1"/>
  <c r="O1209" i="2"/>
  <c r="T1209" i="2" s="1"/>
  <c r="N1209" i="2"/>
  <c r="K1209" i="2"/>
  <c r="V1209" i="2" s="1"/>
  <c r="J1209" i="2"/>
  <c r="U1209" i="2" s="1"/>
  <c r="I1209" i="2"/>
  <c r="AL1208" i="2"/>
  <c r="AJ1208" i="2"/>
  <c r="AI1208" i="2"/>
  <c r="AH1208" i="2"/>
  <c r="AG1208" i="2"/>
  <c r="AF1208" i="2"/>
  <c r="AE1208" i="2"/>
  <c r="AD1208" i="2"/>
  <c r="AC1208" i="2"/>
  <c r="AB1208" i="2"/>
  <c r="AA1208" i="2"/>
  <c r="Y1208" i="2"/>
  <c r="W1208" i="2"/>
  <c r="V1208" i="2"/>
  <c r="U1208" i="2"/>
  <c r="S1208" i="2"/>
  <c r="R1208" i="2"/>
  <c r="Q1208" i="2"/>
  <c r="P1208" i="2"/>
  <c r="X1208" i="2" s="1"/>
  <c r="O1208" i="2"/>
  <c r="T1208" i="2" s="1"/>
  <c r="N1208" i="2"/>
  <c r="K1208" i="2"/>
  <c r="Z1208" i="2" s="1"/>
  <c r="J1208" i="2"/>
  <c r="I1208" i="2"/>
  <c r="AL1207" i="2"/>
  <c r="AI1207" i="2"/>
  <c r="AH1207" i="2"/>
  <c r="AG1207" i="2"/>
  <c r="AF1207" i="2"/>
  <c r="AD1207" i="2"/>
  <c r="AC1207" i="2"/>
  <c r="AB1207" i="2"/>
  <c r="AA1207" i="2"/>
  <c r="W1207" i="2"/>
  <c r="V1207" i="2"/>
  <c r="S1207" i="2"/>
  <c r="R1207" i="2"/>
  <c r="P1207" i="2"/>
  <c r="X1207" i="2" s="1"/>
  <c r="O1207" i="2"/>
  <c r="T1207" i="2" s="1"/>
  <c r="N1207" i="2"/>
  <c r="K1207" i="2"/>
  <c r="J1207" i="2"/>
  <c r="I1207" i="2"/>
  <c r="AL1206" i="2"/>
  <c r="AK1206" i="2"/>
  <c r="AJ1206" i="2"/>
  <c r="AI1206" i="2"/>
  <c r="AH1206" i="2"/>
  <c r="AF1206" i="2"/>
  <c r="AC1206" i="2"/>
  <c r="AB1206" i="2"/>
  <c r="AA1206" i="2"/>
  <c r="W1206" i="2"/>
  <c r="S1206" i="2"/>
  <c r="Q1206" i="2"/>
  <c r="P1206" i="2"/>
  <c r="X1206" i="2" s="1"/>
  <c r="O1206" i="2"/>
  <c r="T1206" i="2" s="1"/>
  <c r="N1206" i="2"/>
  <c r="K1206" i="2"/>
  <c r="J1206" i="2"/>
  <c r="I1206" i="2"/>
  <c r="AL1205" i="2"/>
  <c r="AK1205" i="2"/>
  <c r="AI1205" i="2"/>
  <c r="AH1205" i="2"/>
  <c r="AF1205" i="2"/>
  <c r="AE1205" i="2"/>
  <c r="AC1205" i="2"/>
  <c r="AB1205" i="2"/>
  <c r="AA1205" i="2"/>
  <c r="Z1205" i="2"/>
  <c r="W1205" i="2"/>
  <c r="T1205" i="2"/>
  <c r="S1205" i="2"/>
  <c r="R1205" i="2"/>
  <c r="P1205" i="2"/>
  <c r="X1205" i="2" s="1"/>
  <c r="O1205" i="2"/>
  <c r="N1205" i="2"/>
  <c r="K1205" i="2"/>
  <c r="V1205" i="2" s="1"/>
  <c r="J1205" i="2"/>
  <c r="I1205" i="2"/>
  <c r="AL1204" i="2"/>
  <c r="AJ1204" i="2"/>
  <c r="AI1204" i="2"/>
  <c r="AH1204" i="2"/>
  <c r="AG1204" i="2"/>
  <c r="AF1204" i="2"/>
  <c r="AD1204" i="2"/>
  <c r="AC1204" i="2"/>
  <c r="AB1204" i="2"/>
  <c r="AA1204" i="2"/>
  <c r="W1204" i="2"/>
  <c r="S1204" i="2"/>
  <c r="P1204" i="2"/>
  <c r="X1204" i="2" s="1"/>
  <c r="O1204" i="2"/>
  <c r="T1204" i="2" s="1"/>
  <c r="N1204" i="2"/>
  <c r="K1204" i="2"/>
  <c r="J1204" i="2"/>
  <c r="I1204" i="2"/>
  <c r="AL1203" i="2"/>
  <c r="AI1203" i="2"/>
  <c r="AH1203" i="2"/>
  <c r="AF1203" i="2"/>
  <c r="AC1203" i="2"/>
  <c r="AB1203" i="2"/>
  <c r="AA1203" i="2"/>
  <c r="W1203" i="2"/>
  <c r="V1203" i="2"/>
  <c r="T1203" i="2"/>
  <c r="S1203" i="2"/>
  <c r="P1203" i="2"/>
  <c r="X1203" i="2" s="1"/>
  <c r="O1203" i="2"/>
  <c r="N1203" i="2"/>
  <c r="K1203" i="2"/>
  <c r="Z1203" i="2" s="1"/>
  <c r="J1203" i="2"/>
  <c r="I1203" i="2"/>
  <c r="AL1202" i="2"/>
  <c r="AJ1202" i="2"/>
  <c r="AI1202" i="2"/>
  <c r="AH1202" i="2"/>
  <c r="AG1202" i="2"/>
  <c r="AF1202" i="2"/>
  <c r="AE1202" i="2"/>
  <c r="AC1202" i="2"/>
  <c r="AB1202" i="2"/>
  <c r="AA1202" i="2"/>
  <c r="Y1202" i="2"/>
  <c r="W1202" i="2"/>
  <c r="V1202" i="2"/>
  <c r="U1202" i="2"/>
  <c r="S1202" i="2"/>
  <c r="Q1202" i="2"/>
  <c r="P1202" i="2"/>
  <c r="X1202" i="2" s="1"/>
  <c r="O1202" i="2"/>
  <c r="T1202" i="2" s="1"/>
  <c r="N1202" i="2"/>
  <c r="K1202" i="2"/>
  <c r="AK1202" i="2" s="1"/>
  <c r="J1202" i="2"/>
  <c r="AD1202" i="2" s="1"/>
  <c r="I1202" i="2"/>
  <c r="AL1201" i="2"/>
  <c r="AJ1201" i="2"/>
  <c r="AI1201" i="2"/>
  <c r="AH1201" i="2"/>
  <c r="AG1201" i="2"/>
  <c r="AF1201" i="2"/>
  <c r="AC1201" i="2"/>
  <c r="AB1201" i="2"/>
  <c r="AA1201" i="2"/>
  <c r="Y1201" i="2"/>
  <c r="X1201" i="2"/>
  <c r="W1201" i="2"/>
  <c r="S1201" i="2"/>
  <c r="P1201" i="2"/>
  <c r="O1201" i="2"/>
  <c r="T1201" i="2" s="1"/>
  <c r="N1201" i="2"/>
  <c r="K1201" i="2"/>
  <c r="AE1201" i="2" s="1"/>
  <c r="J1201" i="2"/>
  <c r="AD1201" i="2" s="1"/>
  <c r="I1201" i="2"/>
  <c r="AL1200" i="2"/>
  <c r="AJ1200" i="2"/>
  <c r="AI1200" i="2"/>
  <c r="AH1200" i="2"/>
  <c r="AG1200" i="2"/>
  <c r="AF1200" i="2"/>
  <c r="AD1200" i="2"/>
  <c r="AC1200" i="2"/>
  <c r="AB1200" i="2"/>
  <c r="AA1200" i="2"/>
  <c r="Y1200" i="2"/>
  <c r="W1200" i="2"/>
  <c r="U1200" i="2"/>
  <c r="S1200" i="2"/>
  <c r="Q1200" i="2"/>
  <c r="P1200" i="2"/>
  <c r="X1200" i="2" s="1"/>
  <c r="O1200" i="2"/>
  <c r="T1200" i="2" s="1"/>
  <c r="N1200" i="2"/>
  <c r="K1200" i="2"/>
  <c r="J1200" i="2"/>
  <c r="I1200" i="2"/>
  <c r="AL1199" i="2"/>
  <c r="AK1199" i="2"/>
  <c r="AJ1199" i="2"/>
  <c r="AI1199" i="2"/>
  <c r="AH1199" i="2"/>
  <c r="AF1199" i="2"/>
  <c r="AC1199" i="2"/>
  <c r="AB1199" i="2"/>
  <c r="AA1199" i="2"/>
  <c r="W1199" i="2"/>
  <c r="V1199" i="2"/>
  <c r="T1199" i="2"/>
  <c r="S1199" i="2"/>
  <c r="P1199" i="2"/>
  <c r="X1199" i="2" s="1"/>
  <c r="O1199" i="2"/>
  <c r="N1199" i="2"/>
  <c r="K1199" i="2"/>
  <c r="J1199" i="2"/>
  <c r="Y1199" i="2" s="1"/>
  <c r="I1199" i="2"/>
  <c r="AL1198" i="2"/>
  <c r="AI1198" i="2"/>
  <c r="AH1198" i="2"/>
  <c r="AG1198" i="2"/>
  <c r="AF1198" i="2"/>
  <c r="AE1198" i="2"/>
  <c r="AC1198" i="2"/>
  <c r="AB1198" i="2"/>
  <c r="AA1198" i="2"/>
  <c r="X1198" i="2"/>
  <c r="W1198" i="2"/>
  <c r="V1198" i="2"/>
  <c r="U1198" i="2"/>
  <c r="T1198" i="2"/>
  <c r="S1198" i="2"/>
  <c r="R1198" i="2"/>
  <c r="P1198" i="2"/>
  <c r="O1198" i="2"/>
  <c r="N1198" i="2"/>
  <c r="K1198" i="2"/>
  <c r="J1198" i="2"/>
  <c r="AJ1198" i="2" s="1"/>
  <c r="I1198" i="2"/>
  <c r="AL1197" i="2"/>
  <c r="AI1197" i="2"/>
  <c r="AH1197" i="2"/>
  <c r="AF1197" i="2"/>
  <c r="AC1197" i="2"/>
  <c r="AB1197" i="2"/>
  <c r="AA1197" i="2"/>
  <c r="W1197" i="2"/>
  <c r="S1197" i="2"/>
  <c r="R1197" i="2"/>
  <c r="Q1197" i="2"/>
  <c r="P1197" i="2"/>
  <c r="X1197" i="2" s="1"/>
  <c r="O1197" i="2"/>
  <c r="T1197" i="2" s="1"/>
  <c r="N1197" i="2"/>
  <c r="K1197" i="2"/>
  <c r="J1197" i="2"/>
  <c r="I1197" i="2"/>
  <c r="AL1196" i="2"/>
  <c r="AJ1196" i="2"/>
  <c r="AI1196" i="2"/>
  <c r="AH1196" i="2"/>
  <c r="AF1196" i="2"/>
  <c r="AC1196" i="2"/>
  <c r="AB1196" i="2"/>
  <c r="AA1196" i="2"/>
  <c r="Y1196" i="2"/>
  <c r="W1196" i="2"/>
  <c r="V1196" i="2"/>
  <c r="U1196" i="2"/>
  <c r="S1196" i="2"/>
  <c r="Q1196" i="2"/>
  <c r="P1196" i="2"/>
  <c r="X1196" i="2" s="1"/>
  <c r="O1196" i="2"/>
  <c r="T1196" i="2" s="1"/>
  <c r="N1196" i="2"/>
  <c r="K1196" i="2"/>
  <c r="J1196" i="2"/>
  <c r="AG1196" i="2" s="1"/>
  <c r="I1196" i="2"/>
  <c r="AL1195" i="2"/>
  <c r="AI1195" i="2"/>
  <c r="AH1195" i="2"/>
  <c r="AF1195" i="2"/>
  <c r="AC1195" i="2"/>
  <c r="AB1195" i="2"/>
  <c r="AA1195" i="2"/>
  <c r="W1195" i="2"/>
  <c r="S1195" i="2"/>
  <c r="P1195" i="2"/>
  <c r="X1195" i="2" s="1"/>
  <c r="O1195" i="2"/>
  <c r="T1195" i="2" s="1"/>
  <c r="N1195" i="2"/>
  <c r="K1195" i="2"/>
  <c r="J1195" i="2"/>
  <c r="AJ1195" i="2" s="1"/>
  <c r="I1195" i="2"/>
  <c r="AL1194" i="2"/>
  <c r="AI1194" i="2"/>
  <c r="AH1194" i="2"/>
  <c r="AF1194" i="2"/>
  <c r="AC1194" i="2"/>
  <c r="AB1194" i="2"/>
  <c r="AA1194" i="2"/>
  <c r="W1194" i="2"/>
  <c r="S1194" i="2"/>
  <c r="P1194" i="2"/>
  <c r="X1194" i="2" s="1"/>
  <c r="O1194" i="2"/>
  <c r="T1194" i="2" s="1"/>
  <c r="N1194" i="2"/>
  <c r="K1194" i="2"/>
  <c r="J1194" i="2"/>
  <c r="I1194" i="2"/>
  <c r="AL1193" i="2"/>
  <c r="AI1193" i="2"/>
  <c r="AH1193" i="2"/>
  <c r="AF1193" i="2"/>
  <c r="AC1193" i="2"/>
  <c r="AB1193" i="2"/>
  <c r="AA1193" i="2"/>
  <c r="X1193" i="2"/>
  <c r="W1193" i="2"/>
  <c r="V1193" i="2"/>
  <c r="S1193" i="2"/>
  <c r="P1193" i="2"/>
  <c r="O1193" i="2"/>
  <c r="T1193" i="2" s="1"/>
  <c r="N1193" i="2"/>
  <c r="K1193" i="2"/>
  <c r="J1193" i="2"/>
  <c r="Q1193" i="2" s="1"/>
  <c r="I1193" i="2"/>
  <c r="AL1192" i="2"/>
  <c r="AI1192" i="2"/>
  <c r="AH1192" i="2"/>
  <c r="AG1192" i="2"/>
  <c r="AF1192" i="2"/>
  <c r="AC1192" i="2"/>
  <c r="AB1192" i="2"/>
  <c r="AA1192" i="2"/>
  <c r="W1192" i="2"/>
  <c r="S1192" i="2"/>
  <c r="P1192" i="2"/>
  <c r="X1192" i="2" s="1"/>
  <c r="O1192" i="2"/>
  <c r="T1192" i="2" s="1"/>
  <c r="N1192" i="2"/>
  <c r="K1192" i="2"/>
  <c r="J1192" i="2"/>
  <c r="I1192" i="2"/>
  <c r="AL1191" i="2"/>
  <c r="AK1191" i="2"/>
  <c r="AI1191" i="2"/>
  <c r="AH1191" i="2"/>
  <c r="AF1191" i="2"/>
  <c r="AC1191" i="2"/>
  <c r="AB1191" i="2"/>
  <c r="AA1191" i="2"/>
  <c r="Z1191" i="2"/>
  <c r="X1191" i="2"/>
  <c r="W1191" i="2"/>
  <c r="V1191" i="2"/>
  <c r="S1191" i="2"/>
  <c r="P1191" i="2"/>
  <c r="O1191" i="2"/>
  <c r="T1191" i="2" s="1"/>
  <c r="N1191" i="2"/>
  <c r="K1191" i="2"/>
  <c r="J1191" i="2"/>
  <c r="I1191" i="2"/>
  <c r="AL1190" i="2"/>
  <c r="AJ1190" i="2"/>
  <c r="AI1190" i="2"/>
  <c r="AH1190" i="2"/>
  <c r="AG1190" i="2"/>
  <c r="AF1190" i="2"/>
  <c r="AD1190" i="2"/>
  <c r="AC1190" i="2"/>
  <c r="AB1190" i="2"/>
  <c r="AA1190" i="2"/>
  <c r="Y1190" i="2"/>
  <c r="W1190" i="2"/>
  <c r="U1190" i="2"/>
  <c r="T1190" i="2"/>
  <c r="S1190" i="2"/>
  <c r="Q1190" i="2"/>
  <c r="P1190" i="2"/>
  <c r="X1190" i="2" s="1"/>
  <c r="O1190" i="2"/>
  <c r="N1190" i="2"/>
  <c r="K1190" i="2"/>
  <c r="AK1190" i="2" s="1"/>
  <c r="J1190" i="2"/>
  <c r="I1190" i="2"/>
  <c r="AL1189" i="2"/>
  <c r="AI1189" i="2"/>
  <c r="AH1189" i="2"/>
  <c r="AF1189" i="2"/>
  <c r="AE1189" i="2"/>
  <c r="AC1189" i="2"/>
  <c r="AB1189" i="2"/>
  <c r="AA1189" i="2"/>
  <c r="X1189" i="2"/>
  <c r="W1189" i="2"/>
  <c r="V1189" i="2"/>
  <c r="S1189" i="2"/>
  <c r="P1189" i="2"/>
  <c r="O1189" i="2"/>
  <c r="T1189" i="2" s="1"/>
  <c r="N1189" i="2"/>
  <c r="K1189" i="2"/>
  <c r="Z1189" i="2" s="1"/>
  <c r="J1189" i="2"/>
  <c r="AD1189" i="2" s="1"/>
  <c r="I1189" i="2"/>
  <c r="AL1188" i="2"/>
  <c r="AK1188" i="2"/>
  <c r="AJ1188" i="2"/>
  <c r="AI1188" i="2"/>
  <c r="AH1188" i="2"/>
  <c r="AF1188" i="2"/>
  <c r="AC1188" i="2"/>
  <c r="AB1188" i="2"/>
  <c r="AA1188" i="2"/>
  <c r="X1188" i="2"/>
  <c r="W1188" i="2"/>
  <c r="U1188" i="2"/>
  <c r="S1188" i="2"/>
  <c r="R1188" i="2"/>
  <c r="Q1188" i="2"/>
  <c r="P1188" i="2"/>
  <c r="O1188" i="2"/>
  <c r="T1188" i="2" s="1"/>
  <c r="N1188" i="2"/>
  <c r="K1188" i="2"/>
  <c r="J1188" i="2"/>
  <c r="I1188" i="2"/>
  <c r="AL1187" i="2"/>
  <c r="AI1187" i="2"/>
  <c r="AH1187" i="2"/>
  <c r="AF1187" i="2"/>
  <c r="AC1187" i="2"/>
  <c r="AB1187" i="2"/>
  <c r="AA1187" i="2"/>
  <c r="Y1187" i="2"/>
  <c r="W1187" i="2"/>
  <c r="V1187" i="2"/>
  <c r="S1187" i="2"/>
  <c r="R1187" i="2"/>
  <c r="P1187" i="2"/>
  <c r="X1187" i="2" s="1"/>
  <c r="O1187" i="2"/>
  <c r="T1187" i="2" s="1"/>
  <c r="N1187" i="2"/>
  <c r="K1187" i="2"/>
  <c r="J1187" i="2"/>
  <c r="AJ1187" i="2" s="1"/>
  <c r="I1187" i="2"/>
  <c r="AL1186" i="2"/>
  <c r="AI1186" i="2"/>
  <c r="AH1186" i="2"/>
  <c r="AF1186" i="2"/>
  <c r="AD1186" i="2"/>
  <c r="AC1186" i="2"/>
  <c r="AB1186" i="2"/>
  <c r="AA1186" i="2"/>
  <c r="W1186" i="2"/>
  <c r="S1186" i="2"/>
  <c r="P1186" i="2"/>
  <c r="X1186" i="2" s="1"/>
  <c r="O1186" i="2"/>
  <c r="T1186" i="2" s="1"/>
  <c r="N1186" i="2"/>
  <c r="K1186" i="2"/>
  <c r="J1186" i="2"/>
  <c r="I1186" i="2"/>
  <c r="AL1185" i="2"/>
  <c r="AI1185" i="2"/>
  <c r="AH1185" i="2"/>
  <c r="AF1185" i="2"/>
  <c r="AC1185" i="2"/>
  <c r="AB1185" i="2"/>
  <c r="AA1185" i="2"/>
  <c r="W1185" i="2"/>
  <c r="T1185" i="2"/>
  <c r="S1185" i="2"/>
  <c r="P1185" i="2"/>
  <c r="X1185" i="2" s="1"/>
  <c r="O1185" i="2"/>
  <c r="N1185" i="2"/>
  <c r="K1185" i="2"/>
  <c r="Z1185" i="2" s="1"/>
  <c r="J1185" i="2"/>
  <c r="I1185" i="2"/>
  <c r="AL1184" i="2"/>
  <c r="AJ1184" i="2"/>
  <c r="AI1184" i="2"/>
  <c r="AH1184" i="2"/>
  <c r="AG1184" i="2"/>
  <c r="AF1184" i="2"/>
  <c r="AE1184" i="2"/>
  <c r="AD1184" i="2"/>
  <c r="AC1184" i="2"/>
  <c r="AB1184" i="2"/>
  <c r="AA1184" i="2"/>
  <c r="Y1184" i="2"/>
  <c r="W1184" i="2"/>
  <c r="S1184" i="2"/>
  <c r="Q1184" i="2"/>
  <c r="P1184" i="2"/>
  <c r="X1184" i="2" s="1"/>
  <c r="O1184" i="2"/>
  <c r="T1184" i="2" s="1"/>
  <c r="N1184" i="2"/>
  <c r="K1184" i="2"/>
  <c r="AK1184" i="2" s="1"/>
  <c r="J1184" i="2"/>
  <c r="U1184" i="2" s="1"/>
  <c r="I1184" i="2"/>
  <c r="AL1183" i="2"/>
  <c r="AI1183" i="2"/>
  <c r="AH1183" i="2"/>
  <c r="AF1183" i="2"/>
  <c r="AE1183" i="2"/>
  <c r="AC1183" i="2"/>
  <c r="AB1183" i="2"/>
  <c r="AA1183" i="2"/>
  <c r="W1183" i="2"/>
  <c r="S1183" i="2"/>
  <c r="P1183" i="2"/>
  <c r="X1183" i="2" s="1"/>
  <c r="O1183" i="2"/>
  <c r="T1183" i="2" s="1"/>
  <c r="N1183" i="2"/>
  <c r="K1183" i="2"/>
  <c r="AK1183" i="2" s="1"/>
  <c r="J1183" i="2"/>
  <c r="AJ1183" i="2" s="1"/>
  <c r="I1183" i="2"/>
  <c r="AL1182" i="2"/>
  <c r="AJ1182" i="2"/>
  <c r="AI1182" i="2"/>
  <c r="AH1182" i="2"/>
  <c r="AF1182" i="2"/>
  <c r="AE1182" i="2"/>
  <c r="AC1182" i="2"/>
  <c r="AB1182" i="2"/>
  <c r="AA1182" i="2"/>
  <c r="Z1182" i="2"/>
  <c r="Y1182" i="2"/>
  <c r="W1182" i="2"/>
  <c r="V1182" i="2"/>
  <c r="S1182" i="2"/>
  <c r="R1182" i="2"/>
  <c r="P1182" i="2"/>
  <c r="X1182" i="2" s="1"/>
  <c r="O1182" i="2"/>
  <c r="T1182" i="2" s="1"/>
  <c r="N1182" i="2"/>
  <c r="K1182" i="2"/>
  <c r="AK1182" i="2" s="1"/>
  <c r="J1182" i="2"/>
  <c r="Q1182" i="2" s="1"/>
  <c r="I1182" i="2"/>
  <c r="AL1181" i="2"/>
  <c r="AI1181" i="2"/>
  <c r="AH1181" i="2"/>
  <c r="AG1181" i="2"/>
  <c r="AF1181" i="2"/>
  <c r="AC1181" i="2"/>
  <c r="AB1181" i="2"/>
  <c r="AA1181" i="2"/>
  <c r="Z1181" i="2"/>
  <c r="Y1181" i="2"/>
  <c r="X1181" i="2"/>
  <c r="W1181" i="2"/>
  <c r="S1181" i="2"/>
  <c r="R1181" i="2"/>
  <c r="Q1181" i="2"/>
  <c r="P1181" i="2"/>
  <c r="O1181" i="2"/>
  <c r="T1181" i="2" s="1"/>
  <c r="N1181" i="2"/>
  <c r="K1181" i="2"/>
  <c r="V1181" i="2" s="1"/>
  <c r="J1181" i="2"/>
  <c r="AD1181" i="2" s="1"/>
  <c r="I1181" i="2"/>
  <c r="AL1180" i="2"/>
  <c r="AJ1180" i="2"/>
  <c r="AI1180" i="2"/>
  <c r="AH1180" i="2"/>
  <c r="AG1180" i="2"/>
  <c r="AF1180" i="2"/>
  <c r="AC1180" i="2"/>
  <c r="AB1180" i="2"/>
  <c r="AA1180" i="2"/>
  <c r="X1180" i="2"/>
  <c r="W1180" i="2"/>
  <c r="V1180" i="2"/>
  <c r="U1180" i="2"/>
  <c r="S1180" i="2"/>
  <c r="P1180" i="2"/>
  <c r="O1180" i="2"/>
  <c r="T1180" i="2" s="1"/>
  <c r="N1180" i="2"/>
  <c r="K1180" i="2"/>
  <c r="J1180" i="2"/>
  <c r="I1180" i="2"/>
  <c r="AL1179" i="2"/>
  <c r="AI1179" i="2"/>
  <c r="AH1179" i="2"/>
  <c r="AF1179" i="2"/>
  <c r="AC1179" i="2"/>
  <c r="AB1179" i="2"/>
  <c r="AA1179" i="2"/>
  <c r="W1179" i="2"/>
  <c r="V1179" i="2"/>
  <c r="S1179" i="2"/>
  <c r="P1179" i="2"/>
  <c r="X1179" i="2" s="1"/>
  <c r="O1179" i="2"/>
  <c r="T1179" i="2" s="1"/>
  <c r="N1179" i="2"/>
  <c r="K1179" i="2"/>
  <c r="AK1179" i="2" s="1"/>
  <c r="J1179" i="2"/>
  <c r="I1179" i="2"/>
  <c r="AL1178" i="2"/>
  <c r="AI1178" i="2"/>
  <c r="AH1178" i="2"/>
  <c r="AF1178" i="2"/>
  <c r="AE1178" i="2"/>
  <c r="AC1178" i="2"/>
  <c r="AB1178" i="2"/>
  <c r="AA1178" i="2"/>
  <c r="W1178" i="2"/>
  <c r="V1178" i="2"/>
  <c r="S1178" i="2"/>
  <c r="R1178" i="2"/>
  <c r="P1178" i="2"/>
  <c r="X1178" i="2" s="1"/>
  <c r="O1178" i="2"/>
  <c r="T1178" i="2" s="1"/>
  <c r="N1178" i="2"/>
  <c r="K1178" i="2"/>
  <c r="AK1178" i="2" s="1"/>
  <c r="J1178" i="2"/>
  <c r="I1178" i="2"/>
  <c r="AL1177" i="2"/>
  <c r="AI1177" i="2"/>
  <c r="AH1177" i="2"/>
  <c r="AF1177" i="2"/>
  <c r="AC1177" i="2"/>
  <c r="AB1177" i="2"/>
  <c r="AA1177" i="2"/>
  <c r="W1177" i="2"/>
  <c r="S1177" i="2"/>
  <c r="P1177" i="2"/>
  <c r="X1177" i="2" s="1"/>
  <c r="O1177" i="2"/>
  <c r="T1177" i="2" s="1"/>
  <c r="N1177" i="2"/>
  <c r="K1177" i="2"/>
  <c r="Z1177" i="2" s="1"/>
  <c r="J1177" i="2"/>
  <c r="I1177" i="2"/>
  <c r="AL1176" i="2"/>
  <c r="AI1176" i="2"/>
  <c r="AH1176" i="2"/>
  <c r="AF1176" i="2"/>
  <c r="AE1176" i="2"/>
  <c r="AC1176" i="2"/>
  <c r="AB1176" i="2"/>
  <c r="AA1176" i="2"/>
  <c r="W1176" i="2"/>
  <c r="V1176" i="2"/>
  <c r="T1176" i="2"/>
  <c r="S1176" i="2"/>
  <c r="R1176" i="2"/>
  <c r="P1176" i="2"/>
  <c r="X1176" i="2" s="1"/>
  <c r="O1176" i="2"/>
  <c r="N1176" i="2"/>
  <c r="K1176" i="2"/>
  <c r="J1176" i="2"/>
  <c r="I1176" i="2"/>
  <c r="AL1175" i="2"/>
  <c r="AK1175" i="2"/>
  <c r="AI1175" i="2"/>
  <c r="AH1175" i="2"/>
  <c r="AF1175" i="2"/>
  <c r="AE1175" i="2"/>
  <c r="AC1175" i="2"/>
  <c r="AB1175" i="2"/>
  <c r="AA1175" i="2"/>
  <c r="W1175" i="2"/>
  <c r="V1175" i="2"/>
  <c r="S1175" i="2"/>
  <c r="R1175" i="2"/>
  <c r="P1175" i="2"/>
  <c r="X1175" i="2" s="1"/>
  <c r="O1175" i="2"/>
  <c r="T1175" i="2" s="1"/>
  <c r="N1175" i="2"/>
  <c r="K1175" i="2"/>
  <c r="Z1175" i="2" s="1"/>
  <c r="J1175" i="2"/>
  <c r="I1175" i="2"/>
  <c r="AL1174" i="2"/>
  <c r="AK1174" i="2"/>
  <c r="AI1174" i="2"/>
  <c r="AH1174" i="2"/>
  <c r="AF1174" i="2"/>
  <c r="AC1174" i="2"/>
  <c r="AB1174" i="2"/>
  <c r="AA1174" i="2"/>
  <c r="Z1174" i="2"/>
  <c r="W1174" i="2"/>
  <c r="V1174" i="2"/>
  <c r="S1174" i="2"/>
  <c r="R1174" i="2"/>
  <c r="P1174" i="2"/>
  <c r="X1174" i="2" s="1"/>
  <c r="O1174" i="2"/>
  <c r="T1174" i="2" s="1"/>
  <c r="N1174" i="2"/>
  <c r="K1174" i="2"/>
  <c r="AE1174" i="2" s="1"/>
  <c r="J1174" i="2"/>
  <c r="AG1174" i="2" s="1"/>
  <c r="I1174" i="2"/>
  <c r="AL1173" i="2"/>
  <c r="AI1173" i="2"/>
  <c r="AH1173" i="2"/>
  <c r="AF1173" i="2"/>
  <c r="AD1173" i="2"/>
  <c r="AC1173" i="2"/>
  <c r="AB1173" i="2"/>
  <c r="AA1173" i="2"/>
  <c r="Y1173" i="2"/>
  <c r="W1173" i="2"/>
  <c r="V1173" i="2"/>
  <c r="T1173" i="2"/>
  <c r="S1173" i="2"/>
  <c r="R1173" i="2"/>
  <c r="Q1173" i="2"/>
  <c r="P1173" i="2"/>
  <c r="X1173" i="2" s="1"/>
  <c r="O1173" i="2"/>
  <c r="N1173" i="2"/>
  <c r="K1173" i="2"/>
  <c r="J1173" i="2"/>
  <c r="AJ1173" i="2" s="1"/>
  <c r="I1173" i="2"/>
  <c r="AL1172" i="2"/>
  <c r="AI1172" i="2"/>
  <c r="AH1172" i="2"/>
  <c r="AF1172" i="2"/>
  <c r="AE1172" i="2"/>
  <c r="AC1172" i="2"/>
  <c r="AB1172" i="2"/>
  <c r="AA1172" i="2"/>
  <c r="W1172" i="2"/>
  <c r="S1172" i="2"/>
  <c r="P1172" i="2"/>
  <c r="X1172" i="2" s="1"/>
  <c r="O1172" i="2"/>
  <c r="T1172" i="2" s="1"/>
  <c r="N1172" i="2"/>
  <c r="K1172" i="2"/>
  <c r="J1172" i="2"/>
  <c r="Y1172" i="2" s="1"/>
  <c r="I1172" i="2"/>
  <c r="AL1171" i="2"/>
  <c r="AK1171" i="2"/>
  <c r="AI1171" i="2"/>
  <c r="AH1171" i="2"/>
  <c r="AF1171" i="2"/>
  <c r="AC1171" i="2"/>
  <c r="AB1171" i="2"/>
  <c r="AA1171" i="2"/>
  <c r="W1171" i="2"/>
  <c r="V1171" i="2"/>
  <c r="S1171" i="2"/>
  <c r="P1171" i="2"/>
  <c r="X1171" i="2" s="1"/>
  <c r="O1171" i="2"/>
  <c r="T1171" i="2" s="1"/>
  <c r="N1171" i="2"/>
  <c r="K1171" i="2"/>
  <c r="AE1171" i="2" s="1"/>
  <c r="J1171" i="2"/>
  <c r="I1171" i="2"/>
  <c r="AL1170" i="2"/>
  <c r="AK1170" i="2"/>
  <c r="AJ1170" i="2"/>
  <c r="AI1170" i="2"/>
  <c r="AH1170" i="2"/>
  <c r="AG1170" i="2"/>
  <c r="AF1170" i="2"/>
  <c r="AC1170" i="2"/>
  <c r="AB1170" i="2"/>
  <c r="AA1170" i="2"/>
  <c r="X1170" i="2"/>
  <c r="W1170" i="2"/>
  <c r="V1170" i="2"/>
  <c r="S1170" i="2"/>
  <c r="P1170" i="2"/>
  <c r="O1170" i="2"/>
  <c r="T1170" i="2" s="1"/>
  <c r="N1170" i="2"/>
  <c r="K1170" i="2"/>
  <c r="J1170" i="2"/>
  <c r="AD1170" i="2" s="1"/>
  <c r="I1170" i="2"/>
  <c r="AL1169" i="2"/>
  <c r="AI1169" i="2"/>
  <c r="AH1169" i="2"/>
  <c r="AF1169" i="2"/>
  <c r="AD1169" i="2"/>
  <c r="AC1169" i="2"/>
  <c r="AB1169" i="2"/>
  <c r="AA1169" i="2"/>
  <c r="W1169" i="2"/>
  <c r="S1169" i="2"/>
  <c r="P1169" i="2"/>
  <c r="X1169" i="2" s="1"/>
  <c r="O1169" i="2"/>
  <c r="T1169" i="2" s="1"/>
  <c r="N1169" i="2"/>
  <c r="K1169" i="2"/>
  <c r="J1169" i="2"/>
  <c r="I1169" i="2"/>
  <c r="AL1168" i="2"/>
  <c r="AI1168" i="2"/>
  <c r="AH1168" i="2"/>
  <c r="AG1168" i="2"/>
  <c r="AF1168" i="2"/>
  <c r="AD1168" i="2"/>
  <c r="AC1168" i="2"/>
  <c r="AB1168" i="2"/>
  <c r="AA1168" i="2"/>
  <c r="Z1168" i="2"/>
  <c r="W1168" i="2"/>
  <c r="S1168" i="2"/>
  <c r="P1168" i="2"/>
  <c r="X1168" i="2" s="1"/>
  <c r="O1168" i="2"/>
  <c r="T1168" i="2" s="1"/>
  <c r="N1168" i="2"/>
  <c r="K1168" i="2"/>
  <c r="J1168" i="2"/>
  <c r="Q1168" i="2" s="1"/>
  <c r="I1168" i="2"/>
  <c r="AL1167" i="2"/>
  <c r="AI1167" i="2"/>
  <c r="AH1167" i="2"/>
  <c r="AG1167" i="2"/>
  <c r="AF1167" i="2"/>
  <c r="AE1167" i="2"/>
  <c r="AC1167" i="2"/>
  <c r="AB1167" i="2"/>
  <c r="AA1167" i="2"/>
  <c r="Z1167" i="2"/>
  <c r="X1167" i="2"/>
  <c r="W1167" i="2"/>
  <c r="V1167" i="2"/>
  <c r="S1167" i="2"/>
  <c r="P1167" i="2"/>
  <c r="O1167" i="2"/>
  <c r="T1167" i="2" s="1"/>
  <c r="N1167" i="2"/>
  <c r="K1167" i="2"/>
  <c r="J1167" i="2"/>
  <c r="Y1167" i="2" s="1"/>
  <c r="I1167" i="2"/>
  <c r="AL1166" i="2"/>
  <c r="AI1166" i="2"/>
  <c r="AH1166" i="2"/>
  <c r="AF1166" i="2"/>
  <c r="AC1166" i="2"/>
  <c r="AB1166" i="2"/>
  <c r="AA1166" i="2"/>
  <c r="X1166" i="2"/>
  <c r="W1166" i="2"/>
  <c r="U1166" i="2"/>
  <c r="T1166" i="2"/>
  <c r="S1166" i="2"/>
  <c r="P1166" i="2"/>
  <c r="O1166" i="2"/>
  <c r="N1166" i="2"/>
  <c r="K1166" i="2"/>
  <c r="J1166" i="2"/>
  <c r="AJ1166" i="2" s="1"/>
  <c r="I1166" i="2"/>
  <c r="AL1165" i="2"/>
  <c r="AI1165" i="2"/>
  <c r="AH1165" i="2"/>
  <c r="AF1165" i="2"/>
  <c r="AC1165" i="2"/>
  <c r="AB1165" i="2"/>
  <c r="AA1165" i="2"/>
  <c r="Z1165" i="2"/>
  <c r="X1165" i="2"/>
  <c r="W1165" i="2"/>
  <c r="S1165" i="2"/>
  <c r="Q1165" i="2"/>
  <c r="P1165" i="2"/>
  <c r="O1165" i="2"/>
  <c r="T1165" i="2" s="1"/>
  <c r="N1165" i="2"/>
  <c r="K1165" i="2"/>
  <c r="J1165" i="2"/>
  <c r="I1165" i="2"/>
  <c r="AL1164" i="2"/>
  <c r="AI1164" i="2"/>
  <c r="AH1164" i="2"/>
  <c r="AF1164" i="2"/>
  <c r="AC1164" i="2"/>
  <c r="AB1164" i="2"/>
  <c r="AA1164" i="2"/>
  <c r="X1164" i="2"/>
  <c r="W1164" i="2"/>
  <c r="S1164" i="2"/>
  <c r="P1164" i="2"/>
  <c r="O1164" i="2"/>
  <c r="T1164" i="2" s="1"/>
  <c r="N1164" i="2"/>
  <c r="K1164" i="2"/>
  <c r="J1164" i="2"/>
  <c r="I1164" i="2"/>
  <c r="AL1163" i="2"/>
  <c r="AJ1163" i="2"/>
  <c r="AI1163" i="2"/>
  <c r="AH1163" i="2"/>
  <c r="AF1163" i="2"/>
  <c r="AE1163" i="2"/>
  <c r="AC1163" i="2"/>
  <c r="AB1163" i="2"/>
  <c r="AA1163" i="2"/>
  <c r="X1163" i="2"/>
  <c r="W1163" i="2"/>
  <c r="V1163" i="2"/>
  <c r="S1163" i="2"/>
  <c r="P1163" i="2"/>
  <c r="O1163" i="2"/>
  <c r="T1163" i="2" s="1"/>
  <c r="N1163" i="2"/>
  <c r="K1163" i="2"/>
  <c r="J1163" i="2"/>
  <c r="AG1163" i="2" s="1"/>
  <c r="I1163" i="2"/>
  <c r="AL1162" i="2"/>
  <c r="AK1162" i="2"/>
  <c r="AJ1162" i="2"/>
  <c r="AI1162" i="2"/>
  <c r="AH1162" i="2"/>
  <c r="AF1162" i="2"/>
  <c r="AD1162" i="2"/>
  <c r="AC1162" i="2"/>
  <c r="AB1162" i="2"/>
  <c r="AA1162" i="2"/>
  <c r="W1162" i="2"/>
  <c r="S1162" i="2"/>
  <c r="P1162" i="2"/>
  <c r="X1162" i="2" s="1"/>
  <c r="O1162" i="2"/>
  <c r="T1162" i="2" s="1"/>
  <c r="N1162" i="2"/>
  <c r="K1162" i="2"/>
  <c r="Z1162" i="2" s="1"/>
  <c r="J1162" i="2"/>
  <c r="I1162" i="2"/>
  <c r="AL1161" i="2"/>
  <c r="AK1161" i="2"/>
  <c r="AI1161" i="2"/>
  <c r="AH1161" i="2"/>
  <c r="AG1161" i="2"/>
  <c r="AF1161" i="2"/>
  <c r="AE1161" i="2"/>
  <c r="AC1161" i="2"/>
  <c r="AB1161" i="2"/>
  <c r="AA1161" i="2"/>
  <c r="Z1161" i="2"/>
  <c r="Y1161" i="2"/>
  <c r="W1161" i="2"/>
  <c r="V1161" i="2"/>
  <c r="S1161" i="2"/>
  <c r="Q1161" i="2"/>
  <c r="P1161" i="2"/>
  <c r="X1161" i="2" s="1"/>
  <c r="O1161" i="2"/>
  <c r="T1161" i="2" s="1"/>
  <c r="N1161" i="2"/>
  <c r="K1161" i="2"/>
  <c r="R1161" i="2" s="1"/>
  <c r="J1161" i="2"/>
  <c r="I1161" i="2"/>
  <c r="AL1160" i="2"/>
  <c r="AJ1160" i="2"/>
  <c r="AI1160" i="2"/>
  <c r="AH1160" i="2"/>
  <c r="AF1160" i="2"/>
  <c r="AE1160" i="2"/>
  <c r="AC1160" i="2"/>
  <c r="AB1160" i="2"/>
  <c r="AA1160" i="2"/>
  <c r="W1160" i="2"/>
  <c r="U1160" i="2"/>
  <c r="S1160" i="2"/>
  <c r="P1160" i="2"/>
  <c r="X1160" i="2" s="1"/>
  <c r="O1160" i="2"/>
  <c r="T1160" i="2" s="1"/>
  <c r="N1160" i="2"/>
  <c r="K1160" i="2"/>
  <c r="J1160" i="2"/>
  <c r="I1160" i="2"/>
  <c r="AL1159" i="2"/>
  <c r="AJ1159" i="2"/>
  <c r="AI1159" i="2"/>
  <c r="AH1159" i="2"/>
  <c r="AF1159" i="2"/>
  <c r="AC1159" i="2"/>
  <c r="AB1159" i="2"/>
  <c r="AA1159" i="2"/>
  <c r="Y1159" i="2"/>
  <c r="W1159" i="2"/>
  <c r="S1159" i="2"/>
  <c r="Q1159" i="2"/>
  <c r="P1159" i="2"/>
  <c r="X1159" i="2" s="1"/>
  <c r="O1159" i="2"/>
  <c r="T1159" i="2" s="1"/>
  <c r="N1159" i="2"/>
  <c r="K1159" i="2"/>
  <c r="J1159" i="2"/>
  <c r="AG1159" i="2" s="1"/>
  <c r="I1159" i="2"/>
  <c r="AL1158" i="2"/>
  <c r="AI1158" i="2"/>
  <c r="AH1158" i="2"/>
  <c r="AG1158" i="2"/>
  <c r="AF1158" i="2"/>
  <c r="AE1158" i="2"/>
  <c r="AD1158" i="2"/>
  <c r="AC1158" i="2"/>
  <c r="AB1158" i="2"/>
  <c r="AA1158" i="2"/>
  <c r="Z1158" i="2"/>
  <c r="Y1158" i="2"/>
  <c r="W1158" i="2"/>
  <c r="U1158" i="2"/>
  <c r="T1158" i="2"/>
  <c r="S1158" i="2"/>
  <c r="R1158" i="2"/>
  <c r="Q1158" i="2"/>
  <c r="P1158" i="2"/>
  <c r="X1158" i="2" s="1"/>
  <c r="O1158" i="2"/>
  <c r="N1158" i="2"/>
  <c r="K1158" i="2"/>
  <c r="J1158" i="2"/>
  <c r="AJ1158" i="2" s="1"/>
  <c r="I1158" i="2"/>
  <c r="AL1157" i="2"/>
  <c r="AI1157" i="2"/>
  <c r="AH1157" i="2"/>
  <c r="AF1157" i="2"/>
  <c r="AC1157" i="2"/>
  <c r="AB1157" i="2"/>
  <c r="AA1157" i="2"/>
  <c r="W1157" i="2"/>
  <c r="S1157" i="2"/>
  <c r="P1157" i="2"/>
  <c r="X1157" i="2" s="1"/>
  <c r="O1157" i="2"/>
  <c r="T1157" i="2" s="1"/>
  <c r="N1157" i="2"/>
  <c r="K1157" i="2"/>
  <c r="J1157" i="2"/>
  <c r="I1157" i="2"/>
  <c r="AL1156" i="2"/>
  <c r="AI1156" i="2"/>
  <c r="AH1156" i="2"/>
  <c r="AF1156" i="2"/>
  <c r="AD1156" i="2"/>
  <c r="AC1156" i="2"/>
  <c r="AB1156" i="2"/>
  <c r="AA1156" i="2"/>
  <c r="Y1156" i="2"/>
  <c r="W1156" i="2"/>
  <c r="S1156" i="2"/>
  <c r="Q1156" i="2"/>
  <c r="P1156" i="2"/>
  <c r="X1156" i="2" s="1"/>
  <c r="O1156" i="2"/>
  <c r="T1156" i="2" s="1"/>
  <c r="N1156" i="2"/>
  <c r="K1156" i="2"/>
  <c r="J1156" i="2"/>
  <c r="I1156" i="2"/>
  <c r="AL1155" i="2"/>
  <c r="AJ1155" i="2"/>
  <c r="AI1155" i="2"/>
  <c r="AH1155" i="2"/>
  <c r="AF1155" i="2"/>
  <c r="AD1155" i="2"/>
  <c r="AC1155" i="2"/>
  <c r="AB1155" i="2"/>
  <c r="AA1155" i="2"/>
  <c r="W1155" i="2"/>
  <c r="U1155" i="2"/>
  <c r="S1155" i="2"/>
  <c r="Q1155" i="2"/>
  <c r="P1155" i="2"/>
  <c r="X1155" i="2" s="1"/>
  <c r="O1155" i="2"/>
  <c r="T1155" i="2" s="1"/>
  <c r="N1155" i="2"/>
  <c r="K1155" i="2"/>
  <c r="J1155" i="2"/>
  <c r="I1155" i="2"/>
  <c r="AL1154" i="2"/>
  <c r="AJ1154" i="2"/>
  <c r="AI1154" i="2"/>
  <c r="AH1154" i="2"/>
  <c r="AF1154" i="2"/>
  <c r="AC1154" i="2"/>
  <c r="AB1154" i="2"/>
  <c r="AA1154" i="2"/>
  <c r="W1154" i="2"/>
  <c r="S1154" i="2"/>
  <c r="Q1154" i="2"/>
  <c r="P1154" i="2"/>
  <c r="X1154" i="2" s="1"/>
  <c r="O1154" i="2"/>
  <c r="T1154" i="2" s="1"/>
  <c r="N1154" i="2"/>
  <c r="K1154" i="2"/>
  <c r="AE1154" i="2" s="1"/>
  <c r="J1154" i="2"/>
  <c r="AD1154" i="2" s="1"/>
  <c r="I1154" i="2"/>
  <c r="AL1153" i="2"/>
  <c r="AI1153" i="2"/>
  <c r="AH1153" i="2"/>
  <c r="AF1153" i="2"/>
  <c r="AC1153" i="2"/>
  <c r="AB1153" i="2"/>
  <c r="AA1153" i="2"/>
  <c r="W1153" i="2"/>
  <c r="S1153" i="2"/>
  <c r="P1153" i="2"/>
  <c r="X1153" i="2" s="1"/>
  <c r="O1153" i="2"/>
  <c r="T1153" i="2" s="1"/>
  <c r="N1153" i="2"/>
  <c r="K1153" i="2"/>
  <c r="R1153" i="2" s="1"/>
  <c r="J1153" i="2"/>
  <c r="I1153" i="2"/>
  <c r="AL1152" i="2"/>
  <c r="AI1152" i="2"/>
  <c r="AH1152" i="2"/>
  <c r="AG1152" i="2"/>
  <c r="AF1152" i="2"/>
  <c r="AC1152" i="2"/>
  <c r="AB1152" i="2"/>
  <c r="AA1152" i="2"/>
  <c r="W1152" i="2"/>
  <c r="S1152" i="2"/>
  <c r="P1152" i="2"/>
  <c r="X1152" i="2" s="1"/>
  <c r="O1152" i="2"/>
  <c r="T1152" i="2" s="1"/>
  <c r="N1152" i="2"/>
  <c r="K1152" i="2"/>
  <c r="J1152" i="2"/>
  <c r="I1152" i="2"/>
  <c r="AL1151" i="2"/>
  <c r="AI1151" i="2"/>
  <c r="AH1151" i="2"/>
  <c r="AF1151" i="2"/>
  <c r="AD1151" i="2"/>
  <c r="AC1151" i="2"/>
  <c r="AB1151" i="2"/>
  <c r="AA1151" i="2"/>
  <c r="W1151" i="2"/>
  <c r="S1151" i="2"/>
  <c r="P1151" i="2"/>
  <c r="X1151" i="2" s="1"/>
  <c r="O1151" i="2"/>
  <c r="T1151" i="2" s="1"/>
  <c r="N1151" i="2"/>
  <c r="K1151" i="2"/>
  <c r="AK1151" i="2" s="1"/>
  <c r="J1151" i="2"/>
  <c r="I1151" i="2"/>
  <c r="AL1150" i="2"/>
  <c r="AI1150" i="2"/>
  <c r="AH1150" i="2"/>
  <c r="AF1150" i="2"/>
  <c r="AC1150" i="2"/>
  <c r="AB1150" i="2"/>
  <c r="AA1150" i="2"/>
  <c r="W1150" i="2"/>
  <c r="V1150" i="2"/>
  <c r="T1150" i="2"/>
  <c r="S1150" i="2"/>
  <c r="R1150" i="2"/>
  <c r="P1150" i="2"/>
  <c r="X1150" i="2" s="1"/>
  <c r="O1150" i="2"/>
  <c r="N1150" i="2"/>
  <c r="K1150" i="2"/>
  <c r="J1150" i="2"/>
  <c r="AG1150" i="2" s="1"/>
  <c r="I1150" i="2"/>
  <c r="AL1149" i="2"/>
  <c r="AK1149" i="2"/>
  <c r="AJ1149" i="2"/>
  <c r="AI1149" i="2"/>
  <c r="AH1149" i="2"/>
  <c r="AG1149" i="2"/>
  <c r="AF1149" i="2"/>
  <c r="AC1149" i="2"/>
  <c r="AB1149" i="2"/>
  <c r="AA1149" i="2"/>
  <c r="Y1149" i="2"/>
  <c r="W1149" i="2"/>
  <c r="V1149" i="2"/>
  <c r="U1149" i="2"/>
  <c r="S1149" i="2"/>
  <c r="R1149" i="2"/>
  <c r="P1149" i="2"/>
  <c r="X1149" i="2" s="1"/>
  <c r="O1149" i="2"/>
  <c r="T1149" i="2" s="1"/>
  <c r="N1149" i="2"/>
  <c r="K1149" i="2"/>
  <c r="J1149" i="2"/>
  <c r="AD1149" i="2" s="1"/>
  <c r="I1149" i="2"/>
  <c r="AL1148" i="2"/>
  <c r="AI1148" i="2"/>
  <c r="AH1148" i="2"/>
  <c r="AF1148" i="2"/>
  <c r="AC1148" i="2"/>
  <c r="AB1148" i="2"/>
  <c r="AA1148" i="2"/>
  <c r="Z1148" i="2"/>
  <c r="W1148" i="2"/>
  <c r="V1148" i="2"/>
  <c r="S1148" i="2"/>
  <c r="R1148" i="2"/>
  <c r="P1148" i="2"/>
  <c r="X1148" i="2" s="1"/>
  <c r="O1148" i="2"/>
  <c r="T1148" i="2" s="1"/>
  <c r="N1148" i="2"/>
  <c r="K1148" i="2"/>
  <c r="J1148" i="2"/>
  <c r="AG1148" i="2" s="1"/>
  <c r="I1148" i="2"/>
  <c r="AL1147" i="2"/>
  <c r="AI1147" i="2"/>
  <c r="AH1147" i="2"/>
  <c r="AF1147" i="2"/>
  <c r="AC1147" i="2"/>
  <c r="AB1147" i="2"/>
  <c r="AA1147" i="2"/>
  <c r="X1147" i="2"/>
  <c r="W1147" i="2"/>
  <c r="S1147" i="2"/>
  <c r="P1147" i="2"/>
  <c r="O1147" i="2"/>
  <c r="T1147" i="2" s="1"/>
  <c r="N1147" i="2"/>
  <c r="K1147" i="2"/>
  <c r="J1147" i="2"/>
  <c r="I1147" i="2"/>
  <c r="AL1146" i="2"/>
  <c r="AI1146" i="2"/>
  <c r="AH1146" i="2"/>
  <c r="AF1146" i="2"/>
  <c r="AC1146" i="2"/>
  <c r="AB1146" i="2"/>
  <c r="AA1146" i="2"/>
  <c r="X1146" i="2"/>
  <c r="W1146" i="2"/>
  <c r="S1146" i="2"/>
  <c r="P1146" i="2"/>
  <c r="O1146" i="2"/>
  <c r="T1146" i="2" s="1"/>
  <c r="N1146" i="2"/>
  <c r="K1146" i="2"/>
  <c r="J1146" i="2"/>
  <c r="I1146" i="2"/>
  <c r="AL1145" i="2"/>
  <c r="AI1145" i="2"/>
  <c r="AH1145" i="2"/>
  <c r="AF1145" i="2"/>
  <c r="AC1145" i="2"/>
  <c r="AB1145" i="2"/>
  <c r="AA1145" i="2"/>
  <c r="X1145" i="2"/>
  <c r="W1145" i="2"/>
  <c r="V1145" i="2"/>
  <c r="U1145" i="2"/>
  <c r="S1145" i="2"/>
  <c r="Q1145" i="2"/>
  <c r="P1145" i="2"/>
  <c r="O1145" i="2"/>
  <c r="T1145" i="2" s="1"/>
  <c r="N1145" i="2"/>
  <c r="K1145" i="2"/>
  <c r="J1145" i="2"/>
  <c r="I1145" i="2"/>
  <c r="AL1144" i="2"/>
  <c r="AK1144" i="2"/>
  <c r="AI1144" i="2"/>
  <c r="AH1144" i="2"/>
  <c r="AF1144" i="2"/>
  <c r="AE1144" i="2"/>
  <c r="AD1144" i="2"/>
  <c r="AC1144" i="2"/>
  <c r="AB1144" i="2"/>
  <c r="AA1144" i="2"/>
  <c r="Z1144" i="2"/>
  <c r="W1144" i="2"/>
  <c r="S1144" i="2"/>
  <c r="P1144" i="2"/>
  <c r="X1144" i="2" s="1"/>
  <c r="O1144" i="2"/>
  <c r="T1144" i="2" s="1"/>
  <c r="N1144" i="2"/>
  <c r="K1144" i="2"/>
  <c r="J1144" i="2"/>
  <c r="I1144" i="2"/>
  <c r="AL1143" i="2"/>
  <c r="AI1143" i="2"/>
  <c r="AH1143" i="2"/>
  <c r="AF1143" i="2"/>
  <c r="AC1143" i="2"/>
  <c r="AB1143" i="2"/>
  <c r="AA1143" i="2"/>
  <c r="W1143" i="2"/>
  <c r="U1143" i="2"/>
  <c r="S1143" i="2"/>
  <c r="P1143" i="2"/>
  <c r="X1143" i="2" s="1"/>
  <c r="O1143" i="2"/>
  <c r="T1143" i="2" s="1"/>
  <c r="N1143" i="2"/>
  <c r="K1143" i="2"/>
  <c r="R1143" i="2" s="1"/>
  <c r="J1143" i="2"/>
  <c r="I1143" i="2"/>
  <c r="AL1142" i="2"/>
  <c r="AI1142" i="2"/>
  <c r="AH1142" i="2"/>
  <c r="AG1142" i="2"/>
  <c r="AF1142" i="2"/>
  <c r="AC1142" i="2"/>
  <c r="AB1142" i="2"/>
  <c r="AA1142" i="2"/>
  <c r="Y1142" i="2"/>
  <c r="W1142" i="2"/>
  <c r="S1142" i="2"/>
  <c r="Q1142" i="2"/>
  <c r="P1142" i="2"/>
  <c r="X1142" i="2" s="1"/>
  <c r="O1142" i="2"/>
  <c r="T1142" i="2" s="1"/>
  <c r="N1142" i="2"/>
  <c r="K1142" i="2"/>
  <c r="J1142" i="2"/>
  <c r="I1142" i="2"/>
  <c r="AL1141" i="2"/>
  <c r="AI1141" i="2"/>
  <c r="AH1141" i="2"/>
  <c r="AF1141" i="2"/>
  <c r="AC1141" i="2"/>
  <c r="AB1141" i="2"/>
  <c r="AA1141" i="2"/>
  <c r="W1141" i="2"/>
  <c r="S1141" i="2"/>
  <c r="P1141" i="2"/>
  <c r="X1141" i="2" s="1"/>
  <c r="O1141" i="2"/>
  <c r="T1141" i="2" s="1"/>
  <c r="N1141" i="2"/>
  <c r="K1141" i="2"/>
  <c r="J1141" i="2"/>
  <c r="I1141" i="2"/>
  <c r="AL1140" i="2"/>
  <c r="AI1140" i="2"/>
  <c r="AH1140" i="2"/>
  <c r="AG1140" i="2"/>
  <c r="AF1140" i="2"/>
  <c r="AD1140" i="2"/>
  <c r="AC1140" i="2"/>
  <c r="AB1140" i="2"/>
  <c r="AA1140" i="2"/>
  <c r="Y1140" i="2"/>
  <c r="W1140" i="2"/>
  <c r="S1140" i="2"/>
  <c r="Q1140" i="2"/>
  <c r="P1140" i="2"/>
  <c r="X1140" i="2" s="1"/>
  <c r="O1140" i="2"/>
  <c r="T1140" i="2" s="1"/>
  <c r="N1140" i="2"/>
  <c r="K1140" i="2"/>
  <c r="J1140" i="2"/>
  <c r="U1140" i="2" s="1"/>
  <c r="I1140" i="2"/>
  <c r="AL1139" i="2"/>
  <c r="AI1139" i="2"/>
  <c r="AH1139" i="2"/>
  <c r="AF1139" i="2"/>
  <c r="AC1139" i="2"/>
  <c r="AB1139" i="2"/>
  <c r="AA1139" i="2"/>
  <c r="Z1139" i="2"/>
  <c r="X1139" i="2"/>
  <c r="W1139" i="2"/>
  <c r="S1139" i="2"/>
  <c r="P1139" i="2"/>
  <c r="O1139" i="2"/>
  <c r="T1139" i="2" s="1"/>
  <c r="N1139" i="2"/>
  <c r="K1139" i="2"/>
  <c r="J1139" i="2"/>
  <c r="I1139" i="2"/>
  <c r="AL1138" i="2"/>
  <c r="AK1138" i="2"/>
  <c r="AI1138" i="2"/>
  <c r="AH1138" i="2"/>
  <c r="AF1138" i="2"/>
  <c r="AC1138" i="2"/>
  <c r="AB1138" i="2"/>
  <c r="AA1138" i="2"/>
  <c r="X1138" i="2"/>
  <c r="W1138" i="2"/>
  <c r="S1138" i="2"/>
  <c r="R1138" i="2"/>
  <c r="Q1138" i="2"/>
  <c r="P1138" i="2"/>
  <c r="O1138" i="2"/>
  <c r="T1138" i="2" s="1"/>
  <c r="N1138" i="2"/>
  <c r="K1138" i="2"/>
  <c r="V1138" i="2" s="1"/>
  <c r="J1138" i="2"/>
  <c r="I1138" i="2"/>
  <c r="AL1137" i="2"/>
  <c r="AJ1137" i="2"/>
  <c r="AI1137" i="2"/>
  <c r="AH1137" i="2"/>
  <c r="AG1137" i="2"/>
  <c r="AF1137" i="2"/>
  <c r="AD1137" i="2"/>
  <c r="AC1137" i="2"/>
  <c r="AB1137" i="2"/>
  <c r="AA1137" i="2"/>
  <c r="W1137" i="2"/>
  <c r="U1137" i="2"/>
  <c r="T1137" i="2"/>
  <c r="S1137" i="2"/>
  <c r="P1137" i="2"/>
  <c r="X1137" i="2" s="1"/>
  <c r="O1137" i="2"/>
  <c r="N1137" i="2"/>
  <c r="K1137" i="2"/>
  <c r="J1137" i="2"/>
  <c r="Q1137" i="2" s="1"/>
  <c r="I1137" i="2"/>
  <c r="AL1136" i="2"/>
  <c r="AJ1136" i="2"/>
  <c r="AI1136" i="2"/>
  <c r="AH1136" i="2"/>
  <c r="AF1136" i="2"/>
  <c r="AC1136" i="2"/>
  <c r="AB1136" i="2"/>
  <c r="AA1136" i="2"/>
  <c r="W1136" i="2"/>
  <c r="S1136" i="2"/>
  <c r="R1136" i="2"/>
  <c r="Q1136" i="2"/>
  <c r="P1136" i="2"/>
  <c r="X1136" i="2" s="1"/>
  <c r="O1136" i="2"/>
  <c r="T1136" i="2" s="1"/>
  <c r="N1136" i="2"/>
  <c r="K1136" i="2"/>
  <c r="J1136" i="2"/>
  <c r="I1136" i="2"/>
  <c r="AL1135" i="2"/>
  <c r="AI1135" i="2"/>
  <c r="AH1135" i="2"/>
  <c r="AG1135" i="2"/>
  <c r="AF1135" i="2"/>
  <c r="AC1135" i="2"/>
  <c r="AB1135" i="2"/>
  <c r="AA1135" i="2"/>
  <c r="W1135" i="2"/>
  <c r="U1135" i="2"/>
  <c r="T1135" i="2"/>
  <c r="S1135" i="2"/>
  <c r="P1135" i="2"/>
  <c r="X1135" i="2" s="1"/>
  <c r="O1135" i="2"/>
  <c r="N1135" i="2"/>
  <c r="K1135" i="2"/>
  <c r="Z1135" i="2" s="1"/>
  <c r="J1135" i="2"/>
  <c r="AJ1135" i="2" s="1"/>
  <c r="I1135" i="2"/>
  <c r="AL1134" i="2"/>
  <c r="AI1134" i="2"/>
  <c r="AH1134" i="2"/>
  <c r="AG1134" i="2"/>
  <c r="AF1134" i="2"/>
  <c r="AC1134" i="2"/>
  <c r="AB1134" i="2"/>
  <c r="AA1134" i="2"/>
  <c r="X1134" i="2"/>
  <c r="W1134" i="2"/>
  <c r="S1134" i="2"/>
  <c r="P1134" i="2"/>
  <c r="O1134" i="2"/>
  <c r="T1134" i="2" s="1"/>
  <c r="N1134" i="2"/>
  <c r="K1134" i="2"/>
  <c r="J1134" i="2"/>
  <c r="I1134" i="2"/>
  <c r="AL1133" i="2"/>
  <c r="AJ1133" i="2"/>
  <c r="AI1133" i="2"/>
  <c r="AH1133" i="2"/>
  <c r="AF1133" i="2"/>
  <c r="AD1133" i="2"/>
  <c r="AC1133" i="2"/>
  <c r="AB1133" i="2"/>
  <c r="AA1133" i="2"/>
  <c r="W1133" i="2"/>
  <c r="V1133" i="2"/>
  <c r="U1133" i="2"/>
  <c r="S1133" i="2"/>
  <c r="Q1133" i="2"/>
  <c r="P1133" i="2"/>
  <c r="X1133" i="2" s="1"/>
  <c r="O1133" i="2"/>
  <c r="T1133" i="2" s="1"/>
  <c r="N1133" i="2"/>
  <c r="K1133" i="2"/>
  <c r="J1133" i="2"/>
  <c r="I1133" i="2"/>
  <c r="AL1132" i="2"/>
  <c r="AI1132" i="2"/>
  <c r="AH1132" i="2"/>
  <c r="AF1132" i="2"/>
  <c r="AC1132" i="2"/>
  <c r="AB1132" i="2"/>
  <c r="AA1132" i="2"/>
  <c r="W1132" i="2"/>
  <c r="S1132" i="2"/>
  <c r="R1132" i="2"/>
  <c r="P1132" i="2"/>
  <c r="X1132" i="2" s="1"/>
  <c r="O1132" i="2"/>
  <c r="T1132" i="2" s="1"/>
  <c r="N1132" i="2"/>
  <c r="K1132" i="2"/>
  <c r="J1132" i="2"/>
  <c r="I1132" i="2"/>
  <c r="AL1131" i="2"/>
  <c r="AI1131" i="2"/>
  <c r="AH1131" i="2"/>
  <c r="AF1131" i="2"/>
  <c r="AC1131" i="2"/>
  <c r="AB1131" i="2"/>
  <c r="AA1131" i="2"/>
  <c r="Y1131" i="2"/>
  <c r="W1131" i="2"/>
  <c r="S1131" i="2"/>
  <c r="Q1131" i="2"/>
  <c r="P1131" i="2"/>
  <c r="X1131" i="2" s="1"/>
  <c r="O1131" i="2"/>
  <c r="T1131" i="2" s="1"/>
  <c r="N1131" i="2"/>
  <c r="K1131" i="2"/>
  <c r="J1131" i="2"/>
  <c r="AG1131" i="2" s="1"/>
  <c r="I1131" i="2"/>
  <c r="AL1130" i="2"/>
  <c r="AK1130" i="2"/>
  <c r="AI1130" i="2"/>
  <c r="AH1130" i="2"/>
  <c r="AF1130" i="2"/>
  <c r="AC1130" i="2"/>
  <c r="AB1130" i="2"/>
  <c r="AA1130" i="2"/>
  <c r="W1130" i="2"/>
  <c r="S1130" i="2"/>
  <c r="R1130" i="2"/>
  <c r="P1130" i="2"/>
  <c r="X1130" i="2" s="1"/>
  <c r="O1130" i="2"/>
  <c r="T1130" i="2" s="1"/>
  <c r="N1130" i="2"/>
  <c r="K1130" i="2"/>
  <c r="V1130" i="2" s="1"/>
  <c r="J1130" i="2"/>
  <c r="I1130" i="2"/>
  <c r="AL1129" i="2"/>
  <c r="AI1129" i="2"/>
  <c r="AH1129" i="2"/>
  <c r="AF1129" i="2"/>
  <c r="AC1129" i="2"/>
  <c r="AB1129" i="2"/>
  <c r="AA1129" i="2"/>
  <c r="W1129" i="2"/>
  <c r="T1129" i="2"/>
  <c r="S1129" i="2"/>
  <c r="Q1129" i="2"/>
  <c r="P1129" i="2"/>
  <c r="X1129" i="2" s="1"/>
  <c r="O1129" i="2"/>
  <c r="N1129" i="2"/>
  <c r="K1129" i="2"/>
  <c r="Z1129" i="2" s="1"/>
  <c r="J1129" i="2"/>
  <c r="I1129" i="2"/>
  <c r="AL1128" i="2"/>
  <c r="AI1128" i="2"/>
  <c r="AH1128" i="2"/>
  <c r="AF1128" i="2"/>
  <c r="AC1128" i="2"/>
  <c r="AB1128" i="2"/>
  <c r="AA1128" i="2"/>
  <c r="W1128" i="2"/>
  <c r="S1128" i="2"/>
  <c r="P1128" i="2"/>
  <c r="X1128" i="2" s="1"/>
  <c r="O1128" i="2"/>
  <c r="T1128" i="2" s="1"/>
  <c r="N1128" i="2"/>
  <c r="K1128" i="2"/>
  <c r="J1128" i="2"/>
  <c r="I1128" i="2"/>
  <c r="AL1127" i="2"/>
  <c r="AJ1127" i="2"/>
  <c r="AI1127" i="2"/>
  <c r="AH1127" i="2"/>
  <c r="AF1127" i="2"/>
  <c r="AC1127" i="2"/>
  <c r="AB1127" i="2"/>
  <c r="AA1127" i="2"/>
  <c r="Y1127" i="2"/>
  <c r="W1127" i="2"/>
  <c r="S1127" i="2"/>
  <c r="Q1127" i="2"/>
  <c r="P1127" i="2"/>
  <c r="X1127" i="2" s="1"/>
  <c r="O1127" i="2"/>
  <c r="T1127" i="2" s="1"/>
  <c r="N1127" i="2"/>
  <c r="K1127" i="2"/>
  <c r="V1127" i="2" s="1"/>
  <c r="J1127" i="2"/>
  <c r="AD1127" i="2" s="1"/>
  <c r="I1127" i="2"/>
  <c r="AL1126" i="2"/>
  <c r="AI1126" i="2"/>
  <c r="AH1126" i="2"/>
  <c r="AF1126" i="2"/>
  <c r="AC1126" i="2"/>
  <c r="AB1126" i="2"/>
  <c r="AA1126" i="2"/>
  <c r="X1126" i="2"/>
  <c r="W1126" i="2"/>
  <c r="S1126" i="2"/>
  <c r="P1126" i="2"/>
  <c r="O1126" i="2"/>
  <c r="T1126" i="2" s="1"/>
  <c r="N1126" i="2"/>
  <c r="K1126" i="2"/>
  <c r="J1126" i="2"/>
  <c r="I1126" i="2"/>
  <c r="AL1125" i="2"/>
  <c r="AI1125" i="2"/>
  <c r="AH1125" i="2"/>
  <c r="AF1125" i="2"/>
  <c r="AD1125" i="2"/>
  <c r="AC1125" i="2"/>
  <c r="AB1125" i="2"/>
  <c r="AA1125" i="2"/>
  <c r="W1125" i="2"/>
  <c r="S1125" i="2"/>
  <c r="Q1125" i="2"/>
  <c r="P1125" i="2"/>
  <c r="X1125" i="2" s="1"/>
  <c r="O1125" i="2"/>
  <c r="T1125" i="2" s="1"/>
  <c r="N1125" i="2"/>
  <c r="K1125" i="2"/>
  <c r="J1125" i="2"/>
  <c r="AJ1125" i="2" s="1"/>
  <c r="I1125" i="2"/>
  <c r="AL1124" i="2"/>
  <c r="AK1124" i="2"/>
  <c r="AI1124" i="2"/>
  <c r="AH1124" i="2"/>
  <c r="AG1124" i="2"/>
  <c r="AF1124" i="2"/>
  <c r="AC1124" i="2"/>
  <c r="AB1124" i="2"/>
  <c r="AA1124" i="2"/>
  <c r="X1124" i="2"/>
  <c r="W1124" i="2"/>
  <c r="V1124" i="2"/>
  <c r="S1124" i="2"/>
  <c r="R1124" i="2"/>
  <c r="P1124" i="2"/>
  <c r="O1124" i="2"/>
  <c r="T1124" i="2" s="1"/>
  <c r="N1124" i="2"/>
  <c r="K1124" i="2"/>
  <c r="J1124" i="2"/>
  <c r="I1124" i="2"/>
  <c r="AL1123" i="2"/>
  <c r="AK1123" i="2"/>
  <c r="AI1123" i="2"/>
  <c r="AH1123" i="2"/>
  <c r="AF1123" i="2"/>
  <c r="AC1123" i="2"/>
  <c r="AB1123" i="2"/>
  <c r="AA1123" i="2"/>
  <c r="Y1123" i="2"/>
  <c r="W1123" i="2"/>
  <c r="V1123" i="2"/>
  <c r="S1123" i="2"/>
  <c r="P1123" i="2"/>
  <c r="X1123" i="2" s="1"/>
  <c r="O1123" i="2"/>
  <c r="T1123" i="2" s="1"/>
  <c r="N1123" i="2"/>
  <c r="K1123" i="2"/>
  <c r="J1123" i="2"/>
  <c r="Q1123" i="2" s="1"/>
  <c r="I1123" i="2"/>
  <c r="AL1122" i="2"/>
  <c r="AI1122" i="2"/>
  <c r="AH1122" i="2"/>
  <c r="AF1122" i="2"/>
  <c r="AE1122" i="2"/>
  <c r="AC1122" i="2"/>
  <c r="AB1122" i="2"/>
  <c r="AA1122" i="2"/>
  <c r="Z1122" i="2"/>
  <c r="Y1122" i="2"/>
  <c r="X1122" i="2"/>
  <c r="W1122" i="2"/>
  <c r="V1122" i="2"/>
  <c r="S1122" i="2"/>
  <c r="R1122" i="2"/>
  <c r="P1122" i="2"/>
  <c r="O1122" i="2"/>
  <c r="T1122" i="2" s="1"/>
  <c r="N1122" i="2"/>
  <c r="K1122" i="2"/>
  <c r="AK1122" i="2" s="1"/>
  <c r="J1122" i="2"/>
  <c r="I1122" i="2"/>
  <c r="AL1121" i="2"/>
  <c r="AI1121" i="2"/>
  <c r="AH1121" i="2"/>
  <c r="AF1121" i="2"/>
  <c r="AC1121" i="2"/>
  <c r="AB1121" i="2"/>
  <c r="AA1121" i="2"/>
  <c r="X1121" i="2"/>
  <c r="W1121" i="2"/>
  <c r="S1121" i="2"/>
  <c r="P1121" i="2"/>
  <c r="O1121" i="2"/>
  <c r="T1121" i="2" s="1"/>
  <c r="N1121" i="2"/>
  <c r="K1121" i="2"/>
  <c r="V1121" i="2" s="1"/>
  <c r="J1121" i="2"/>
  <c r="I1121" i="2"/>
  <c r="AL1120" i="2"/>
  <c r="AK1120" i="2"/>
  <c r="AI1120" i="2"/>
  <c r="AH1120" i="2"/>
  <c r="AF1120" i="2"/>
  <c r="AC1120" i="2"/>
  <c r="AB1120" i="2"/>
  <c r="AA1120" i="2"/>
  <c r="W1120" i="2"/>
  <c r="V1120" i="2"/>
  <c r="S1120" i="2"/>
  <c r="Q1120" i="2"/>
  <c r="P1120" i="2"/>
  <c r="X1120" i="2" s="1"/>
  <c r="O1120" i="2"/>
  <c r="T1120" i="2" s="1"/>
  <c r="N1120" i="2"/>
  <c r="K1120" i="2"/>
  <c r="Z1120" i="2" s="1"/>
  <c r="J1120" i="2"/>
  <c r="I1120" i="2"/>
  <c r="AL1119" i="2"/>
  <c r="AI1119" i="2"/>
  <c r="AH1119" i="2"/>
  <c r="AF1119" i="2"/>
  <c r="AD1119" i="2"/>
  <c r="AC1119" i="2"/>
  <c r="AB1119" i="2"/>
  <c r="AA1119" i="2"/>
  <c r="W1119" i="2"/>
  <c r="T1119" i="2"/>
  <c r="S1119" i="2"/>
  <c r="P1119" i="2"/>
  <c r="X1119" i="2" s="1"/>
  <c r="O1119" i="2"/>
  <c r="N1119" i="2"/>
  <c r="K1119" i="2"/>
  <c r="Z1119" i="2" s="1"/>
  <c r="J1119" i="2"/>
  <c r="I1119" i="2"/>
  <c r="AL1118" i="2"/>
  <c r="AI1118" i="2"/>
  <c r="AH1118" i="2"/>
  <c r="AF1118" i="2"/>
  <c r="AC1118" i="2"/>
  <c r="AB1118" i="2"/>
  <c r="AA1118" i="2"/>
  <c r="X1118" i="2"/>
  <c r="W1118" i="2"/>
  <c r="S1118" i="2"/>
  <c r="P1118" i="2"/>
  <c r="O1118" i="2"/>
  <c r="T1118" i="2" s="1"/>
  <c r="N1118" i="2"/>
  <c r="K1118" i="2"/>
  <c r="AK1118" i="2" s="1"/>
  <c r="J1118" i="2"/>
  <c r="AG1118" i="2" s="1"/>
  <c r="I1118" i="2"/>
  <c r="AL1117" i="2"/>
  <c r="AJ1117" i="2"/>
  <c r="AI1117" i="2"/>
  <c r="AH1117" i="2"/>
  <c r="AF1117" i="2"/>
  <c r="AC1117" i="2"/>
  <c r="AB1117" i="2"/>
  <c r="AA1117" i="2"/>
  <c r="W1117" i="2"/>
  <c r="U1117" i="2"/>
  <c r="T1117" i="2"/>
  <c r="S1117" i="2"/>
  <c r="P1117" i="2"/>
  <c r="X1117" i="2" s="1"/>
  <c r="O1117" i="2"/>
  <c r="N1117" i="2"/>
  <c r="K1117" i="2"/>
  <c r="J1117" i="2"/>
  <c r="I1117" i="2"/>
  <c r="AL1116" i="2"/>
  <c r="AI1116" i="2"/>
  <c r="AH1116" i="2"/>
  <c r="AF1116" i="2"/>
  <c r="AE1116" i="2"/>
  <c r="AC1116" i="2"/>
  <c r="AB1116" i="2"/>
  <c r="AA1116" i="2"/>
  <c r="W1116" i="2"/>
  <c r="V1116" i="2"/>
  <c r="S1116" i="2"/>
  <c r="R1116" i="2"/>
  <c r="P1116" i="2"/>
  <c r="X1116" i="2" s="1"/>
  <c r="O1116" i="2"/>
  <c r="T1116" i="2" s="1"/>
  <c r="N1116" i="2"/>
  <c r="K1116" i="2"/>
  <c r="J1116" i="2"/>
  <c r="I1116" i="2"/>
  <c r="AL1115" i="2"/>
  <c r="AJ1115" i="2"/>
  <c r="AI1115" i="2"/>
  <c r="AH1115" i="2"/>
  <c r="AF1115" i="2"/>
  <c r="AC1115" i="2"/>
  <c r="AB1115" i="2"/>
  <c r="AA1115" i="2"/>
  <c r="Y1115" i="2"/>
  <c r="W1115" i="2"/>
  <c r="S1115" i="2"/>
  <c r="Q1115" i="2"/>
  <c r="P1115" i="2"/>
  <c r="X1115" i="2" s="1"/>
  <c r="O1115" i="2"/>
  <c r="T1115" i="2" s="1"/>
  <c r="N1115" i="2"/>
  <c r="K1115" i="2"/>
  <c r="J1115" i="2"/>
  <c r="U1115" i="2" s="1"/>
  <c r="I1115" i="2"/>
  <c r="AL1114" i="2"/>
  <c r="AI1114" i="2"/>
  <c r="AH1114" i="2"/>
  <c r="AG1114" i="2"/>
  <c r="AF1114" i="2"/>
  <c r="AD1114" i="2"/>
  <c r="AC1114" i="2"/>
  <c r="AB1114" i="2"/>
  <c r="AA1114" i="2"/>
  <c r="W1114" i="2"/>
  <c r="S1114" i="2"/>
  <c r="Q1114" i="2"/>
  <c r="P1114" i="2"/>
  <c r="X1114" i="2" s="1"/>
  <c r="O1114" i="2"/>
  <c r="T1114" i="2" s="1"/>
  <c r="N1114" i="2"/>
  <c r="K1114" i="2"/>
  <c r="J1114" i="2"/>
  <c r="U1114" i="2" s="1"/>
  <c r="I1114" i="2"/>
  <c r="AL1113" i="2"/>
  <c r="AJ1113" i="2"/>
  <c r="AI1113" i="2"/>
  <c r="AH1113" i="2"/>
  <c r="AG1113" i="2"/>
  <c r="AF1113" i="2"/>
  <c r="AC1113" i="2"/>
  <c r="AB1113" i="2"/>
  <c r="AA1113" i="2"/>
  <c r="W1113" i="2"/>
  <c r="S1113" i="2"/>
  <c r="P1113" i="2"/>
  <c r="X1113" i="2" s="1"/>
  <c r="O1113" i="2"/>
  <c r="T1113" i="2" s="1"/>
  <c r="N1113" i="2"/>
  <c r="K1113" i="2"/>
  <c r="AK1113" i="2" s="1"/>
  <c r="J1113" i="2"/>
  <c r="I1113" i="2"/>
  <c r="AL1112" i="2"/>
  <c r="AI1112" i="2"/>
  <c r="AH1112" i="2"/>
  <c r="AG1112" i="2"/>
  <c r="AF1112" i="2"/>
  <c r="AC1112" i="2"/>
  <c r="AB1112" i="2"/>
  <c r="AA1112" i="2"/>
  <c r="W1112" i="2"/>
  <c r="S1112" i="2"/>
  <c r="P1112" i="2"/>
  <c r="X1112" i="2" s="1"/>
  <c r="O1112" i="2"/>
  <c r="T1112" i="2" s="1"/>
  <c r="N1112" i="2"/>
  <c r="K1112" i="2"/>
  <c r="J1112" i="2"/>
  <c r="I1112" i="2"/>
  <c r="AL1111" i="2"/>
  <c r="AI1111" i="2"/>
  <c r="AH1111" i="2"/>
  <c r="AF1111" i="2"/>
  <c r="AC1111" i="2"/>
  <c r="AB1111" i="2"/>
  <c r="AA1111" i="2"/>
  <c r="Z1111" i="2"/>
  <c r="W1111" i="2"/>
  <c r="T1111" i="2"/>
  <c r="S1111" i="2"/>
  <c r="R1111" i="2"/>
  <c r="P1111" i="2"/>
  <c r="X1111" i="2" s="1"/>
  <c r="O1111" i="2"/>
  <c r="N1111" i="2"/>
  <c r="K1111" i="2"/>
  <c r="AK1111" i="2" s="1"/>
  <c r="J1111" i="2"/>
  <c r="U1111" i="2" s="1"/>
  <c r="I1111" i="2"/>
  <c r="AL1110" i="2"/>
  <c r="AJ1110" i="2"/>
  <c r="AI1110" i="2"/>
  <c r="AH1110" i="2"/>
  <c r="AF1110" i="2"/>
  <c r="AE1110" i="2"/>
  <c r="AD1110" i="2"/>
  <c r="AC1110" i="2"/>
  <c r="AB1110" i="2"/>
  <c r="AA1110" i="2"/>
  <c r="Z1110" i="2"/>
  <c r="W1110" i="2"/>
  <c r="S1110" i="2"/>
  <c r="R1110" i="2"/>
  <c r="P1110" i="2"/>
  <c r="X1110" i="2" s="1"/>
  <c r="O1110" i="2"/>
  <c r="T1110" i="2" s="1"/>
  <c r="N1110" i="2"/>
  <c r="K1110" i="2"/>
  <c r="J1110" i="2"/>
  <c r="AG1110" i="2" s="1"/>
  <c r="I1110" i="2"/>
  <c r="AL1109" i="2"/>
  <c r="AI1109" i="2"/>
  <c r="AH1109" i="2"/>
  <c r="AF1109" i="2"/>
  <c r="AC1109" i="2"/>
  <c r="AB1109" i="2"/>
  <c r="AA1109" i="2"/>
  <c r="W1109" i="2"/>
  <c r="S1109" i="2"/>
  <c r="P1109" i="2"/>
  <c r="X1109" i="2" s="1"/>
  <c r="O1109" i="2"/>
  <c r="T1109" i="2" s="1"/>
  <c r="N1109" i="2"/>
  <c r="K1109" i="2"/>
  <c r="J1109" i="2"/>
  <c r="U1109" i="2" s="1"/>
  <c r="I1109" i="2"/>
  <c r="AL1108" i="2"/>
  <c r="AI1108" i="2"/>
  <c r="AH1108" i="2"/>
  <c r="AG1108" i="2"/>
  <c r="AF1108" i="2"/>
  <c r="AD1108" i="2"/>
  <c r="AC1108" i="2"/>
  <c r="AB1108" i="2"/>
  <c r="AA1108" i="2"/>
  <c r="X1108" i="2"/>
  <c r="W1108" i="2"/>
  <c r="S1108" i="2"/>
  <c r="Q1108" i="2"/>
  <c r="P1108" i="2"/>
  <c r="O1108" i="2"/>
  <c r="T1108" i="2" s="1"/>
  <c r="N1108" i="2"/>
  <c r="K1108" i="2"/>
  <c r="J1108" i="2"/>
  <c r="AJ1108" i="2" s="1"/>
  <c r="I1108" i="2"/>
  <c r="AL1107" i="2"/>
  <c r="AI1107" i="2"/>
  <c r="AH1107" i="2"/>
  <c r="AG1107" i="2"/>
  <c r="AF1107" i="2"/>
  <c r="AC1107" i="2"/>
  <c r="AB1107" i="2"/>
  <c r="AA1107" i="2"/>
  <c r="X1107" i="2"/>
  <c r="W1107" i="2"/>
  <c r="S1107" i="2"/>
  <c r="P1107" i="2"/>
  <c r="O1107" i="2"/>
  <c r="T1107" i="2" s="1"/>
  <c r="N1107" i="2"/>
  <c r="K1107" i="2"/>
  <c r="J1107" i="2"/>
  <c r="AJ1107" i="2" s="1"/>
  <c r="I1107" i="2"/>
  <c r="AL1106" i="2"/>
  <c r="AI1106" i="2"/>
  <c r="AH1106" i="2"/>
  <c r="AF1106" i="2"/>
  <c r="AC1106" i="2"/>
  <c r="AB1106" i="2"/>
  <c r="AA1106" i="2"/>
  <c r="X1106" i="2"/>
  <c r="W1106" i="2"/>
  <c r="S1106" i="2"/>
  <c r="P1106" i="2"/>
  <c r="O1106" i="2"/>
  <c r="T1106" i="2" s="1"/>
  <c r="N1106" i="2"/>
  <c r="K1106" i="2"/>
  <c r="J1106" i="2"/>
  <c r="I1106" i="2"/>
  <c r="AL1105" i="2"/>
  <c r="AI1105" i="2"/>
  <c r="AH1105" i="2"/>
  <c r="AG1105" i="2"/>
  <c r="AF1105" i="2"/>
  <c r="AD1105" i="2"/>
  <c r="AC1105" i="2"/>
  <c r="AB1105" i="2"/>
  <c r="AA1105" i="2"/>
  <c r="Z1105" i="2"/>
  <c r="W1105" i="2"/>
  <c r="V1105" i="2"/>
  <c r="U1105" i="2"/>
  <c r="S1105" i="2"/>
  <c r="Q1105" i="2"/>
  <c r="P1105" i="2"/>
  <c r="X1105" i="2" s="1"/>
  <c r="O1105" i="2"/>
  <c r="T1105" i="2" s="1"/>
  <c r="N1105" i="2"/>
  <c r="K1105" i="2"/>
  <c r="J1105" i="2"/>
  <c r="Y1105" i="2" s="1"/>
  <c r="I1105" i="2"/>
  <c r="AL1104" i="2"/>
  <c r="AI1104" i="2"/>
  <c r="AH1104" i="2"/>
  <c r="AF1104" i="2"/>
  <c r="AE1104" i="2"/>
  <c r="AC1104" i="2"/>
  <c r="AB1104" i="2"/>
  <c r="AA1104" i="2"/>
  <c r="Y1104" i="2"/>
  <c r="X1104" i="2"/>
  <c r="W1104" i="2"/>
  <c r="V1104" i="2"/>
  <c r="S1104" i="2"/>
  <c r="P1104" i="2"/>
  <c r="O1104" i="2"/>
  <c r="T1104" i="2" s="1"/>
  <c r="N1104" i="2"/>
  <c r="K1104" i="2"/>
  <c r="J1104" i="2"/>
  <c r="I1104" i="2"/>
  <c r="AL1103" i="2"/>
  <c r="AI1103" i="2"/>
  <c r="AH1103" i="2"/>
  <c r="AF1103" i="2"/>
  <c r="AC1103" i="2"/>
  <c r="AB1103" i="2"/>
  <c r="AA1103" i="2"/>
  <c r="Y1103" i="2"/>
  <c r="W1103" i="2"/>
  <c r="T1103" i="2"/>
  <c r="S1103" i="2"/>
  <c r="Q1103" i="2"/>
  <c r="P1103" i="2"/>
  <c r="X1103" i="2" s="1"/>
  <c r="O1103" i="2"/>
  <c r="N1103" i="2"/>
  <c r="K1103" i="2"/>
  <c r="J1103" i="2"/>
  <c r="I1103" i="2"/>
  <c r="AL1102" i="2"/>
  <c r="AI1102" i="2"/>
  <c r="AH1102" i="2"/>
  <c r="AG1102" i="2"/>
  <c r="AF1102" i="2"/>
  <c r="AD1102" i="2"/>
  <c r="AC1102" i="2"/>
  <c r="AB1102" i="2"/>
  <c r="AA1102" i="2"/>
  <c r="Y1102" i="2"/>
  <c r="W1102" i="2"/>
  <c r="S1102" i="2"/>
  <c r="Q1102" i="2"/>
  <c r="P1102" i="2"/>
  <c r="X1102" i="2" s="1"/>
  <c r="O1102" i="2"/>
  <c r="T1102" i="2" s="1"/>
  <c r="N1102" i="2"/>
  <c r="K1102" i="2"/>
  <c r="J1102" i="2"/>
  <c r="U1102" i="2" s="1"/>
  <c r="I1102" i="2"/>
  <c r="AL1101" i="2"/>
  <c r="AK1101" i="2"/>
  <c r="AI1101" i="2"/>
  <c r="AH1101" i="2"/>
  <c r="AF1101" i="2"/>
  <c r="AC1101" i="2"/>
  <c r="AB1101" i="2"/>
  <c r="AA1101" i="2"/>
  <c r="Z1101" i="2"/>
  <c r="W1101" i="2"/>
  <c r="S1101" i="2"/>
  <c r="Q1101" i="2"/>
  <c r="P1101" i="2"/>
  <c r="X1101" i="2" s="1"/>
  <c r="O1101" i="2"/>
  <c r="T1101" i="2" s="1"/>
  <c r="N1101" i="2"/>
  <c r="K1101" i="2"/>
  <c r="J1101" i="2"/>
  <c r="I1101" i="2"/>
  <c r="AL1100" i="2"/>
  <c r="AI1100" i="2"/>
  <c r="AH1100" i="2"/>
  <c r="AF1100" i="2"/>
  <c r="AC1100" i="2"/>
  <c r="AB1100" i="2"/>
  <c r="AA1100" i="2"/>
  <c r="Y1100" i="2"/>
  <c r="W1100" i="2"/>
  <c r="S1100" i="2"/>
  <c r="P1100" i="2"/>
  <c r="X1100" i="2" s="1"/>
  <c r="O1100" i="2"/>
  <c r="T1100" i="2" s="1"/>
  <c r="N1100" i="2"/>
  <c r="K1100" i="2"/>
  <c r="J1100" i="2"/>
  <c r="I1100" i="2"/>
  <c r="AL1099" i="2"/>
  <c r="AI1099" i="2"/>
  <c r="AH1099" i="2"/>
  <c r="AF1099" i="2"/>
  <c r="AC1099" i="2"/>
  <c r="AB1099" i="2"/>
  <c r="AA1099" i="2"/>
  <c r="Z1099" i="2"/>
  <c r="X1099" i="2"/>
  <c r="W1099" i="2"/>
  <c r="S1099" i="2"/>
  <c r="R1099" i="2"/>
  <c r="P1099" i="2"/>
  <c r="O1099" i="2"/>
  <c r="T1099" i="2" s="1"/>
  <c r="N1099" i="2"/>
  <c r="K1099" i="2"/>
  <c r="AK1099" i="2" s="1"/>
  <c r="J1099" i="2"/>
  <c r="I1099" i="2"/>
  <c r="AL1098" i="2"/>
  <c r="AI1098" i="2"/>
  <c r="AH1098" i="2"/>
  <c r="AG1098" i="2"/>
  <c r="AF1098" i="2"/>
  <c r="AD1098" i="2"/>
  <c r="AC1098" i="2"/>
  <c r="AB1098" i="2"/>
  <c r="AA1098" i="2"/>
  <c r="Y1098" i="2"/>
  <c r="X1098" i="2"/>
  <c r="W1098" i="2"/>
  <c r="S1098" i="2"/>
  <c r="Q1098" i="2"/>
  <c r="P1098" i="2"/>
  <c r="O1098" i="2"/>
  <c r="T1098" i="2" s="1"/>
  <c r="N1098" i="2"/>
  <c r="K1098" i="2"/>
  <c r="J1098" i="2"/>
  <c r="U1098" i="2" s="1"/>
  <c r="I1098" i="2"/>
  <c r="AL1097" i="2"/>
  <c r="AI1097" i="2"/>
  <c r="AH1097" i="2"/>
  <c r="AG1097" i="2"/>
  <c r="AF1097" i="2"/>
  <c r="AD1097" i="2"/>
  <c r="AC1097" i="2"/>
  <c r="AB1097" i="2"/>
  <c r="AA1097" i="2"/>
  <c r="Y1097" i="2"/>
  <c r="W1097" i="2"/>
  <c r="S1097" i="2"/>
  <c r="Q1097" i="2"/>
  <c r="P1097" i="2"/>
  <c r="X1097" i="2" s="1"/>
  <c r="O1097" i="2"/>
  <c r="T1097" i="2" s="1"/>
  <c r="N1097" i="2"/>
  <c r="K1097" i="2"/>
  <c r="R1097" i="2" s="1"/>
  <c r="J1097" i="2"/>
  <c r="I1097" i="2"/>
  <c r="AL1096" i="2"/>
  <c r="AI1096" i="2"/>
  <c r="AH1096" i="2"/>
  <c r="AG1096" i="2"/>
  <c r="AF1096" i="2"/>
  <c r="AD1096" i="2"/>
  <c r="AC1096" i="2"/>
  <c r="AB1096" i="2"/>
  <c r="AA1096" i="2"/>
  <c r="Y1096" i="2"/>
  <c r="W1096" i="2"/>
  <c r="S1096" i="2"/>
  <c r="Q1096" i="2"/>
  <c r="P1096" i="2"/>
  <c r="X1096" i="2" s="1"/>
  <c r="O1096" i="2"/>
  <c r="T1096" i="2" s="1"/>
  <c r="N1096" i="2"/>
  <c r="K1096" i="2"/>
  <c r="J1096" i="2"/>
  <c r="U1096" i="2" s="1"/>
  <c r="I1096" i="2"/>
  <c r="AL1095" i="2"/>
  <c r="AI1095" i="2"/>
  <c r="AH1095" i="2"/>
  <c r="AF1095" i="2"/>
  <c r="AC1095" i="2"/>
  <c r="AB1095" i="2"/>
  <c r="AA1095" i="2"/>
  <c r="X1095" i="2"/>
  <c r="W1095" i="2"/>
  <c r="T1095" i="2"/>
  <c r="S1095" i="2"/>
  <c r="P1095" i="2"/>
  <c r="O1095" i="2"/>
  <c r="N1095" i="2"/>
  <c r="K1095" i="2"/>
  <c r="Z1095" i="2" s="1"/>
  <c r="J1095" i="2"/>
  <c r="I1095" i="2"/>
  <c r="AL1094" i="2"/>
  <c r="AI1094" i="2"/>
  <c r="AH1094" i="2"/>
  <c r="AF1094" i="2"/>
  <c r="AD1094" i="2"/>
  <c r="AC1094" i="2"/>
  <c r="AB1094" i="2"/>
  <c r="AA1094" i="2"/>
  <c r="Y1094" i="2"/>
  <c r="X1094" i="2"/>
  <c r="W1094" i="2"/>
  <c r="S1094" i="2"/>
  <c r="P1094" i="2"/>
  <c r="O1094" i="2"/>
  <c r="T1094" i="2" s="1"/>
  <c r="N1094" i="2"/>
  <c r="K1094" i="2"/>
  <c r="J1094" i="2"/>
  <c r="I1094" i="2"/>
  <c r="AL1093" i="2"/>
  <c r="AK1093" i="2"/>
  <c r="AI1093" i="2"/>
  <c r="AH1093" i="2"/>
  <c r="AF1093" i="2"/>
  <c r="AC1093" i="2"/>
  <c r="AB1093" i="2"/>
  <c r="AA1093" i="2"/>
  <c r="Z1093" i="2"/>
  <c r="Y1093" i="2"/>
  <c r="W1093" i="2"/>
  <c r="U1093" i="2"/>
  <c r="S1093" i="2"/>
  <c r="Q1093" i="2"/>
  <c r="P1093" i="2"/>
  <c r="X1093" i="2" s="1"/>
  <c r="O1093" i="2"/>
  <c r="T1093" i="2" s="1"/>
  <c r="N1093" i="2"/>
  <c r="K1093" i="2"/>
  <c r="J1093" i="2"/>
  <c r="I1093" i="2"/>
  <c r="AL1092" i="2"/>
  <c r="AI1092" i="2"/>
  <c r="AH1092" i="2"/>
  <c r="AG1092" i="2"/>
  <c r="AF1092" i="2"/>
  <c r="AC1092" i="2"/>
  <c r="AB1092" i="2"/>
  <c r="AA1092" i="2"/>
  <c r="W1092" i="2"/>
  <c r="S1092" i="2"/>
  <c r="P1092" i="2"/>
  <c r="X1092" i="2" s="1"/>
  <c r="O1092" i="2"/>
  <c r="T1092" i="2" s="1"/>
  <c r="N1092" i="2"/>
  <c r="K1092" i="2"/>
  <c r="J1092" i="2"/>
  <c r="I1092" i="2"/>
  <c r="AL1091" i="2"/>
  <c r="AI1091" i="2"/>
  <c r="AH1091" i="2"/>
  <c r="AG1091" i="2"/>
  <c r="AF1091" i="2"/>
  <c r="AD1091" i="2"/>
  <c r="AC1091" i="2"/>
  <c r="AB1091" i="2"/>
  <c r="AA1091" i="2"/>
  <c r="W1091" i="2"/>
  <c r="V1091" i="2"/>
  <c r="U1091" i="2"/>
  <c r="S1091" i="2"/>
  <c r="Q1091" i="2"/>
  <c r="P1091" i="2"/>
  <c r="X1091" i="2" s="1"/>
  <c r="O1091" i="2"/>
  <c r="T1091" i="2" s="1"/>
  <c r="N1091" i="2"/>
  <c r="K1091" i="2"/>
  <c r="J1091" i="2"/>
  <c r="AJ1091" i="2" s="1"/>
  <c r="I1091" i="2"/>
  <c r="AL1090" i="2"/>
  <c r="AI1090" i="2"/>
  <c r="AH1090" i="2"/>
  <c r="AF1090" i="2"/>
  <c r="AD1090" i="2"/>
  <c r="AC1090" i="2"/>
  <c r="AB1090" i="2"/>
  <c r="AA1090" i="2"/>
  <c r="X1090" i="2"/>
  <c r="W1090" i="2"/>
  <c r="S1090" i="2"/>
  <c r="Q1090" i="2"/>
  <c r="P1090" i="2"/>
  <c r="O1090" i="2"/>
  <c r="T1090" i="2" s="1"/>
  <c r="N1090" i="2"/>
  <c r="K1090" i="2"/>
  <c r="J1090" i="2"/>
  <c r="I1090" i="2"/>
  <c r="AL1089" i="2"/>
  <c r="AI1089" i="2"/>
  <c r="AH1089" i="2"/>
  <c r="AF1089" i="2"/>
  <c r="AD1089" i="2"/>
  <c r="AC1089" i="2"/>
  <c r="AB1089" i="2"/>
  <c r="AA1089" i="2"/>
  <c r="Y1089" i="2"/>
  <c r="W1089" i="2"/>
  <c r="S1089" i="2"/>
  <c r="P1089" i="2"/>
  <c r="X1089" i="2" s="1"/>
  <c r="O1089" i="2"/>
  <c r="T1089" i="2" s="1"/>
  <c r="N1089" i="2"/>
  <c r="K1089" i="2"/>
  <c r="J1089" i="2"/>
  <c r="AG1089" i="2" s="1"/>
  <c r="I1089" i="2"/>
  <c r="AL1088" i="2"/>
  <c r="AI1088" i="2"/>
  <c r="AH1088" i="2"/>
  <c r="AF1088" i="2"/>
  <c r="AC1088" i="2"/>
  <c r="AB1088" i="2"/>
  <c r="AA1088" i="2"/>
  <c r="W1088" i="2"/>
  <c r="S1088" i="2"/>
  <c r="R1088" i="2"/>
  <c r="P1088" i="2"/>
  <c r="X1088" i="2" s="1"/>
  <c r="O1088" i="2"/>
  <c r="T1088" i="2" s="1"/>
  <c r="N1088" i="2"/>
  <c r="K1088" i="2"/>
  <c r="AK1088" i="2" s="1"/>
  <c r="J1088" i="2"/>
  <c r="AD1088" i="2" s="1"/>
  <c r="I1088" i="2"/>
  <c r="AL1087" i="2"/>
  <c r="AI1087" i="2"/>
  <c r="AH1087" i="2"/>
  <c r="AF1087" i="2"/>
  <c r="AC1087" i="2"/>
  <c r="AB1087" i="2"/>
  <c r="AA1087" i="2"/>
  <c r="Z1087" i="2"/>
  <c r="W1087" i="2"/>
  <c r="U1087" i="2"/>
  <c r="S1087" i="2"/>
  <c r="Q1087" i="2"/>
  <c r="P1087" i="2"/>
  <c r="X1087" i="2" s="1"/>
  <c r="O1087" i="2"/>
  <c r="T1087" i="2" s="1"/>
  <c r="N1087" i="2"/>
  <c r="K1087" i="2"/>
  <c r="J1087" i="2"/>
  <c r="Y1087" i="2" s="1"/>
  <c r="I1087" i="2"/>
  <c r="AL1086" i="2"/>
  <c r="AI1086" i="2"/>
  <c r="AH1086" i="2"/>
  <c r="AF1086" i="2"/>
  <c r="AC1086" i="2"/>
  <c r="AB1086" i="2"/>
  <c r="AA1086" i="2"/>
  <c r="X1086" i="2"/>
  <c r="W1086" i="2"/>
  <c r="S1086" i="2"/>
  <c r="P1086" i="2"/>
  <c r="O1086" i="2"/>
  <c r="T1086" i="2" s="1"/>
  <c r="N1086" i="2"/>
  <c r="K1086" i="2"/>
  <c r="J1086" i="2"/>
  <c r="AD1086" i="2" s="1"/>
  <c r="I1086" i="2"/>
  <c r="AL1085" i="2"/>
  <c r="AI1085" i="2"/>
  <c r="AH1085" i="2"/>
  <c r="AF1085" i="2"/>
  <c r="AC1085" i="2"/>
  <c r="AB1085" i="2"/>
  <c r="AA1085" i="2"/>
  <c r="W1085" i="2"/>
  <c r="S1085" i="2"/>
  <c r="P1085" i="2"/>
  <c r="X1085" i="2" s="1"/>
  <c r="O1085" i="2"/>
  <c r="T1085" i="2" s="1"/>
  <c r="N1085" i="2"/>
  <c r="K1085" i="2"/>
  <c r="J1085" i="2"/>
  <c r="I1085" i="2"/>
  <c r="AL1084" i="2"/>
  <c r="AI1084" i="2"/>
  <c r="AH1084" i="2"/>
  <c r="AF1084" i="2"/>
  <c r="AC1084" i="2"/>
  <c r="AB1084" i="2"/>
  <c r="AA1084" i="2"/>
  <c r="Y1084" i="2"/>
  <c r="X1084" i="2"/>
  <c r="W1084" i="2"/>
  <c r="S1084" i="2"/>
  <c r="P1084" i="2"/>
  <c r="O1084" i="2"/>
  <c r="T1084" i="2" s="1"/>
  <c r="N1084" i="2"/>
  <c r="K1084" i="2"/>
  <c r="R1084" i="2" s="1"/>
  <c r="J1084" i="2"/>
  <c r="I1084" i="2"/>
  <c r="AL1083" i="2"/>
  <c r="AI1083" i="2"/>
  <c r="AH1083" i="2"/>
  <c r="AF1083" i="2"/>
  <c r="AC1083" i="2"/>
  <c r="AB1083" i="2"/>
  <c r="AA1083" i="2"/>
  <c r="X1083" i="2"/>
  <c r="W1083" i="2"/>
  <c r="T1083" i="2"/>
  <c r="S1083" i="2"/>
  <c r="P1083" i="2"/>
  <c r="O1083" i="2"/>
  <c r="N1083" i="2"/>
  <c r="K1083" i="2"/>
  <c r="J1083" i="2"/>
  <c r="I1083" i="2"/>
  <c r="AL1082" i="2"/>
  <c r="AI1082" i="2"/>
  <c r="AH1082" i="2"/>
  <c r="AF1082" i="2"/>
  <c r="AC1082" i="2"/>
  <c r="AB1082" i="2"/>
  <c r="AA1082" i="2"/>
  <c r="X1082" i="2"/>
  <c r="W1082" i="2"/>
  <c r="S1082" i="2"/>
  <c r="P1082" i="2"/>
  <c r="O1082" i="2"/>
  <c r="T1082" i="2" s="1"/>
  <c r="N1082" i="2"/>
  <c r="K1082" i="2"/>
  <c r="J1082" i="2"/>
  <c r="I1082" i="2"/>
  <c r="AL1081" i="2"/>
  <c r="AI1081" i="2"/>
  <c r="AH1081" i="2"/>
  <c r="AG1081" i="2"/>
  <c r="AF1081" i="2"/>
  <c r="AD1081" i="2"/>
  <c r="AC1081" i="2"/>
  <c r="AB1081" i="2"/>
  <c r="AA1081" i="2"/>
  <c r="Y1081" i="2"/>
  <c r="W1081" i="2"/>
  <c r="U1081" i="2"/>
  <c r="T1081" i="2"/>
  <c r="S1081" i="2"/>
  <c r="P1081" i="2"/>
  <c r="X1081" i="2" s="1"/>
  <c r="O1081" i="2"/>
  <c r="N1081" i="2"/>
  <c r="K1081" i="2"/>
  <c r="AK1081" i="2" s="1"/>
  <c r="J1081" i="2"/>
  <c r="I1081" i="2"/>
  <c r="AL1080" i="2"/>
  <c r="AI1080" i="2"/>
  <c r="AH1080" i="2"/>
  <c r="AG1080" i="2"/>
  <c r="AF1080" i="2"/>
  <c r="AD1080" i="2"/>
  <c r="AC1080" i="2"/>
  <c r="AB1080" i="2"/>
  <c r="AA1080" i="2"/>
  <c r="Y1080" i="2"/>
  <c r="X1080" i="2"/>
  <c r="W1080" i="2"/>
  <c r="S1080" i="2"/>
  <c r="P1080" i="2"/>
  <c r="O1080" i="2"/>
  <c r="T1080" i="2" s="1"/>
  <c r="N1080" i="2"/>
  <c r="K1080" i="2"/>
  <c r="Z1080" i="2" s="1"/>
  <c r="J1080" i="2"/>
  <c r="U1080" i="2" s="1"/>
  <c r="I1080" i="2"/>
  <c r="AL1079" i="2"/>
  <c r="AI1079" i="2"/>
  <c r="AH1079" i="2"/>
  <c r="AF1079" i="2"/>
  <c r="AD1079" i="2"/>
  <c r="AC1079" i="2"/>
  <c r="AB1079" i="2"/>
  <c r="AA1079" i="2"/>
  <c r="X1079" i="2"/>
  <c r="W1079" i="2"/>
  <c r="S1079" i="2"/>
  <c r="Q1079" i="2"/>
  <c r="P1079" i="2"/>
  <c r="O1079" i="2"/>
  <c r="T1079" i="2" s="1"/>
  <c r="N1079" i="2"/>
  <c r="K1079" i="2"/>
  <c r="J1079" i="2"/>
  <c r="I1079" i="2"/>
  <c r="AL1078" i="2"/>
  <c r="AK1078" i="2"/>
  <c r="AI1078" i="2"/>
  <c r="AH1078" i="2"/>
  <c r="AF1078" i="2"/>
  <c r="AE1078" i="2"/>
  <c r="AC1078" i="2"/>
  <c r="AB1078" i="2"/>
  <c r="AA1078" i="2"/>
  <c r="Z1078" i="2"/>
  <c r="X1078" i="2"/>
  <c r="W1078" i="2"/>
  <c r="V1078" i="2"/>
  <c r="S1078" i="2"/>
  <c r="R1078" i="2"/>
  <c r="P1078" i="2"/>
  <c r="O1078" i="2"/>
  <c r="T1078" i="2" s="1"/>
  <c r="N1078" i="2"/>
  <c r="K1078" i="2"/>
  <c r="J1078" i="2"/>
  <c r="Q1078" i="2" s="1"/>
  <c r="I1078" i="2"/>
  <c r="AL1077" i="2"/>
  <c r="AI1077" i="2"/>
  <c r="AH1077" i="2"/>
  <c r="AF1077" i="2"/>
  <c r="AC1077" i="2"/>
  <c r="AB1077" i="2"/>
  <c r="AA1077" i="2"/>
  <c r="Z1077" i="2"/>
  <c r="Y1077" i="2"/>
  <c r="X1077" i="2"/>
  <c r="W1077" i="2"/>
  <c r="V1077" i="2"/>
  <c r="S1077" i="2"/>
  <c r="R1077" i="2"/>
  <c r="P1077" i="2"/>
  <c r="O1077" i="2"/>
  <c r="T1077" i="2" s="1"/>
  <c r="N1077" i="2"/>
  <c r="K1077" i="2"/>
  <c r="J1077" i="2"/>
  <c r="I1077" i="2"/>
  <c r="AL1076" i="2"/>
  <c r="AI1076" i="2"/>
  <c r="AH1076" i="2"/>
  <c r="AF1076" i="2"/>
  <c r="AE1076" i="2"/>
  <c r="AC1076" i="2"/>
  <c r="AB1076" i="2"/>
  <c r="AA1076" i="2"/>
  <c r="Z1076" i="2"/>
  <c r="W1076" i="2"/>
  <c r="S1076" i="2"/>
  <c r="R1076" i="2"/>
  <c r="P1076" i="2"/>
  <c r="X1076" i="2" s="1"/>
  <c r="O1076" i="2"/>
  <c r="T1076" i="2" s="1"/>
  <c r="N1076" i="2"/>
  <c r="K1076" i="2"/>
  <c r="V1076" i="2" s="1"/>
  <c r="J1076" i="2"/>
  <c r="AJ1076" i="2" s="1"/>
  <c r="I1076" i="2"/>
  <c r="AL1075" i="2"/>
  <c r="AI1075" i="2"/>
  <c r="AH1075" i="2"/>
  <c r="AF1075" i="2"/>
  <c r="AC1075" i="2"/>
  <c r="AB1075" i="2"/>
  <c r="AA1075" i="2"/>
  <c r="W1075" i="2"/>
  <c r="S1075" i="2"/>
  <c r="P1075" i="2"/>
  <c r="X1075" i="2" s="1"/>
  <c r="O1075" i="2"/>
  <c r="T1075" i="2" s="1"/>
  <c r="N1075" i="2"/>
  <c r="K1075" i="2"/>
  <c r="AK1075" i="2" s="1"/>
  <c r="J1075" i="2"/>
  <c r="AJ1075" i="2" s="1"/>
  <c r="I1075" i="2"/>
  <c r="AL1074" i="2"/>
  <c r="AI1074" i="2"/>
  <c r="AH1074" i="2"/>
  <c r="AF1074" i="2"/>
  <c r="AC1074" i="2"/>
  <c r="AB1074" i="2"/>
  <c r="AA1074" i="2"/>
  <c r="X1074" i="2"/>
  <c r="W1074" i="2"/>
  <c r="S1074" i="2"/>
  <c r="P1074" i="2"/>
  <c r="O1074" i="2"/>
  <c r="T1074" i="2" s="1"/>
  <c r="N1074" i="2"/>
  <c r="K1074" i="2"/>
  <c r="J1074" i="2"/>
  <c r="I1074" i="2"/>
  <c r="AL1073" i="2"/>
  <c r="AI1073" i="2"/>
  <c r="AH1073" i="2"/>
  <c r="AF1073" i="2"/>
  <c r="AC1073" i="2"/>
  <c r="AB1073" i="2"/>
  <c r="AA1073" i="2"/>
  <c r="W1073" i="2"/>
  <c r="S1073" i="2"/>
  <c r="Q1073" i="2"/>
  <c r="P1073" i="2"/>
  <c r="X1073" i="2" s="1"/>
  <c r="O1073" i="2"/>
  <c r="T1073" i="2" s="1"/>
  <c r="N1073" i="2"/>
  <c r="K1073" i="2"/>
  <c r="R1073" i="2" s="1"/>
  <c r="J1073" i="2"/>
  <c r="I1073" i="2"/>
  <c r="AL1072" i="2"/>
  <c r="AI1072" i="2"/>
  <c r="AH1072" i="2"/>
  <c r="AF1072" i="2"/>
  <c r="AE1072" i="2"/>
  <c r="AC1072" i="2"/>
  <c r="AB1072" i="2"/>
  <c r="AA1072" i="2"/>
  <c r="Z1072" i="2"/>
  <c r="W1072" i="2"/>
  <c r="T1072" i="2"/>
  <c r="S1072" i="2"/>
  <c r="R1072" i="2"/>
  <c r="P1072" i="2"/>
  <c r="X1072" i="2" s="1"/>
  <c r="O1072" i="2"/>
  <c r="N1072" i="2"/>
  <c r="K1072" i="2"/>
  <c r="J1072" i="2"/>
  <c r="AD1072" i="2" s="1"/>
  <c r="I1072" i="2"/>
  <c r="AL1071" i="2"/>
  <c r="AK1071" i="2"/>
  <c r="AI1071" i="2"/>
  <c r="AH1071" i="2"/>
  <c r="AG1071" i="2"/>
  <c r="AF1071" i="2"/>
  <c r="AC1071" i="2"/>
  <c r="AB1071" i="2"/>
  <c r="AA1071" i="2"/>
  <c r="W1071" i="2"/>
  <c r="S1071" i="2"/>
  <c r="P1071" i="2"/>
  <c r="X1071" i="2" s="1"/>
  <c r="O1071" i="2"/>
  <c r="T1071" i="2" s="1"/>
  <c r="N1071" i="2"/>
  <c r="K1071" i="2"/>
  <c r="Z1071" i="2" s="1"/>
  <c r="J1071" i="2"/>
  <c r="I1071" i="2"/>
  <c r="AL1070" i="2"/>
  <c r="AK1070" i="2"/>
  <c r="AI1070" i="2"/>
  <c r="AH1070" i="2"/>
  <c r="AF1070" i="2"/>
  <c r="AC1070" i="2"/>
  <c r="AB1070" i="2"/>
  <c r="AA1070" i="2"/>
  <c r="W1070" i="2"/>
  <c r="S1070" i="2"/>
  <c r="R1070" i="2"/>
  <c r="P1070" i="2"/>
  <c r="X1070" i="2" s="1"/>
  <c r="O1070" i="2"/>
  <c r="T1070" i="2" s="1"/>
  <c r="N1070" i="2"/>
  <c r="K1070" i="2"/>
  <c r="J1070" i="2"/>
  <c r="I1070" i="2"/>
  <c r="AL1069" i="2"/>
  <c r="AI1069" i="2"/>
  <c r="AH1069" i="2"/>
  <c r="AF1069" i="2"/>
  <c r="AE1069" i="2"/>
  <c r="AC1069" i="2"/>
  <c r="AB1069" i="2"/>
  <c r="AA1069" i="2"/>
  <c r="W1069" i="2"/>
  <c r="V1069" i="2"/>
  <c r="U1069" i="2"/>
  <c r="S1069" i="2"/>
  <c r="P1069" i="2"/>
  <c r="X1069" i="2" s="1"/>
  <c r="O1069" i="2"/>
  <c r="T1069" i="2" s="1"/>
  <c r="N1069" i="2"/>
  <c r="K1069" i="2"/>
  <c r="J1069" i="2"/>
  <c r="I1069" i="2"/>
  <c r="AL1068" i="2"/>
  <c r="AI1068" i="2"/>
  <c r="AH1068" i="2"/>
  <c r="AF1068" i="2"/>
  <c r="AC1068" i="2"/>
  <c r="AB1068" i="2"/>
  <c r="AA1068" i="2"/>
  <c r="Y1068" i="2"/>
  <c r="W1068" i="2"/>
  <c r="V1068" i="2"/>
  <c r="S1068" i="2"/>
  <c r="R1068" i="2"/>
  <c r="Q1068" i="2"/>
  <c r="P1068" i="2"/>
  <c r="X1068" i="2" s="1"/>
  <c r="O1068" i="2"/>
  <c r="T1068" i="2" s="1"/>
  <c r="N1068" i="2"/>
  <c r="K1068" i="2"/>
  <c r="J1068" i="2"/>
  <c r="I1068" i="2"/>
  <c r="AL1067" i="2"/>
  <c r="AK1067" i="2"/>
  <c r="AJ1067" i="2"/>
  <c r="AI1067" i="2"/>
  <c r="AH1067" i="2"/>
  <c r="AF1067" i="2"/>
  <c r="AC1067" i="2"/>
  <c r="AB1067" i="2"/>
  <c r="AA1067" i="2"/>
  <c r="X1067" i="2"/>
  <c r="W1067" i="2"/>
  <c r="T1067" i="2"/>
  <c r="S1067" i="2"/>
  <c r="P1067" i="2"/>
  <c r="O1067" i="2"/>
  <c r="N1067" i="2"/>
  <c r="K1067" i="2"/>
  <c r="J1067" i="2"/>
  <c r="Y1067" i="2" s="1"/>
  <c r="I1067" i="2"/>
  <c r="AL1066" i="2"/>
  <c r="AK1066" i="2"/>
  <c r="AJ1066" i="2"/>
  <c r="AI1066" i="2"/>
  <c r="AH1066" i="2"/>
  <c r="AF1066" i="2"/>
  <c r="AC1066" i="2"/>
  <c r="AB1066" i="2"/>
  <c r="AA1066" i="2"/>
  <c r="W1066" i="2"/>
  <c r="S1066" i="2"/>
  <c r="R1066" i="2"/>
  <c r="Q1066" i="2"/>
  <c r="P1066" i="2"/>
  <c r="X1066" i="2" s="1"/>
  <c r="O1066" i="2"/>
  <c r="T1066" i="2" s="1"/>
  <c r="N1066" i="2"/>
  <c r="K1066" i="2"/>
  <c r="AE1066" i="2" s="1"/>
  <c r="J1066" i="2"/>
  <c r="AG1066" i="2" s="1"/>
  <c r="I1066" i="2"/>
  <c r="AL1065" i="2"/>
  <c r="AI1065" i="2"/>
  <c r="AH1065" i="2"/>
  <c r="AG1065" i="2"/>
  <c r="AF1065" i="2"/>
  <c r="AC1065" i="2"/>
  <c r="AB1065" i="2"/>
  <c r="AA1065" i="2"/>
  <c r="X1065" i="2"/>
  <c r="W1065" i="2"/>
  <c r="U1065" i="2"/>
  <c r="T1065" i="2"/>
  <c r="S1065" i="2"/>
  <c r="Q1065" i="2"/>
  <c r="P1065" i="2"/>
  <c r="O1065" i="2"/>
  <c r="N1065" i="2"/>
  <c r="K1065" i="2"/>
  <c r="Z1065" i="2" s="1"/>
  <c r="J1065" i="2"/>
  <c r="I1065" i="2"/>
  <c r="AL1064" i="2"/>
  <c r="AK1064" i="2"/>
  <c r="AJ1064" i="2"/>
  <c r="AI1064" i="2"/>
  <c r="AH1064" i="2"/>
  <c r="AF1064" i="2"/>
  <c r="AD1064" i="2"/>
  <c r="AC1064" i="2"/>
  <c r="AB1064" i="2"/>
  <c r="AA1064" i="2"/>
  <c r="W1064" i="2"/>
  <c r="V1064" i="2"/>
  <c r="T1064" i="2"/>
  <c r="S1064" i="2"/>
  <c r="Q1064" i="2"/>
  <c r="P1064" i="2"/>
  <c r="X1064" i="2" s="1"/>
  <c r="O1064" i="2"/>
  <c r="N1064" i="2"/>
  <c r="K1064" i="2"/>
  <c r="Z1064" i="2" s="1"/>
  <c r="J1064" i="2"/>
  <c r="AG1064" i="2" s="1"/>
  <c r="I1064" i="2"/>
  <c r="AL1063" i="2"/>
  <c r="AK1063" i="2"/>
  <c r="AJ1063" i="2"/>
  <c r="AI1063" i="2"/>
  <c r="AH1063" i="2"/>
  <c r="AG1063" i="2"/>
  <c r="AF1063" i="2"/>
  <c r="AC1063" i="2"/>
  <c r="AB1063" i="2"/>
  <c r="AA1063" i="2"/>
  <c r="Z1063" i="2"/>
  <c r="Y1063" i="2"/>
  <c r="W1063" i="2"/>
  <c r="V1063" i="2"/>
  <c r="S1063" i="2"/>
  <c r="R1063" i="2"/>
  <c r="Q1063" i="2"/>
  <c r="P1063" i="2"/>
  <c r="X1063" i="2" s="1"/>
  <c r="O1063" i="2"/>
  <c r="T1063" i="2" s="1"/>
  <c r="N1063" i="2"/>
  <c r="K1063" i="2"/>
  <c r="AE1063" i="2" s="1"/>
  <c r="J1063" i="2"/>
  <c r="I1063" i="2"/>
  <c r="AL1062" i="2"/>
  <c r="AI1062" i="2"/>
  <c r="AH1062" i="2"/>
  <c r="AF1062" i="2"/>
  <c r="AC1062" i="2"/>
  <c r="AB1062" i="2"/>
  <c r="AA1062" i="2"/>
  <c r="W1062" i="2"/>
  <c r="S1062" i="2"/>
  <c r="P1062" i="2"/>
  <c r="X1062" i="2" s="1"/>
  <c r="O1062" i="2"/>
  <c r="T1062" i="2" s="1"/>
  <c r="N1062" i="2"/>
  <c r="K1062" i="2"/>
  <c r="J1062" i="2"/>
  <c r="Y1062" i="2" s="1"/>
  <c r="I1062" i="2"/>
  <c r="AL1061" i="2"/>
  <c r="AJ1061" i="2"/>
  <c r="AI1061" i="2"/>
  <c r="AH1061" i="2"/>
  <c r="AF1061" i="2"/>
  <c r="AE1061" i="2"/>
  <c r="AD1061" i="2"/>
  <c r="AC1061" i="2"/>
  <c r="AB1061" i="2"/>
  <c r="AA1061" i="2"/>
  <c r="Z1061" i="2"/>
  <c r="Y1061" i="2"/>
  <c r="W1061" i="2"/>
  <c r="U1061" i="2"/>
  <c r="T1061" i="2"/>
  <c r="S1061" i="2"/>
  <c r="R1061" i="2"/>
  <c r="Q1061" i="2"/>
  <c r="P1061" i="2"/>
  <c r="X1061" i="2" s="1"/>
  <c r="O1061" i="2"/>
  <c r="N1061" i="2"/>
  <c r="K1061" i="2"/>
  <c r="V1061" i="2" s="1"/>
  <c r="J1061" i="2"/>
  <c r="AG1061" i="2" s="1"/>
  <c r="I1061" i="2"/>
  <c r="AL1060" i="2"/>
  <c r="AI1060" i="2"/>
  <c r="AH1060" i="2"/>
  <c r="AF1060" i="2"/>
  <c r="AC1060" i="2"/>
  <c r="AB1060" i="2"/>
  <c r="AA1060" i="2"/>
  <c r="W1060" i="2"/>
  <c r="S1060" i="2"/>
  <c r="P1060" i="2"/>
  <c r="X1060" i="2" s="1"/>
  <c r="O1060" i="2"/>
  <c r="T1060" i="2" s="1"/>
  <c r="N1060" i="2"/>
  <c r="K1060" i="2"/>
  <c r="J1060" i="2"/>
  <c r="AJ1060" i="2" s="1"/>
  <c r="I1060" i="2"/>
  <c r="AL1059" i="2"/>
  <c r="AI1059" i="2"/>
  <c r="AH1059" i="2"/>
  <c r="AF1059" i="2"/>
  <c r="AC1059" i="2"/>
  <c r="AB1059" i="2"/>
  <c r="AA1059" i="2"/>
  <c r="X1059" i="2"/>
  <c r="W1059" i="2"/>
  <c r="S1059" i="2"/>
  <c r="P1059" i="2"/>
  <c r="O1059" i="2"/>
  <c r="T1059" i="2" s="1"/>
  <c r="N1059" i="2"/>
  <c r="K1059" i="2"/>
  <c r="AK1059" i="2" s="1"/>
  <c r="J1059" i="2"/>
  <c r="AJ1059" i="2" s="1"/>
  <c r="I1059" i="2"/>
  <c r="AL1058" i="2"/>
  <c r="AI1058" i="2"/>
  <c r="AH1058" i="2"/>
  <c r="AF1058" i="2"/>
  <c r="AC1058" i="2"/>
  <c r="AB1058" i="2"/>
  <c r="AA1058" i="2"/>
  <c r="X1058" i="2"/>
  <c r="W1058" i="2"/>
  <c r="T1058" i="2"/>
  <c r="S1058" i="2"/>
  <c r="P1058" i="2"/>
  <c r="O1058" i="2"/>
  <c r="N1058" i="2"/>
  <c r="K1058" i="2"/>
  <c r="J1058" i="2"/>
  <c r="I1058" i="2"/>
  <c r="AL1057" i="2"/>
  <c r="AK1057" i="2"/>
  <c r="AI1057" i="2"/>
  <c r="AH1057" i="2"/>
  <c r="AF1057" i="2"/>
  <c r="AD1057" i="2"/>
  <c r="AC1057" i="2"/>
  <c r="AB1057" i="2"/>
  <c r="AA1057" i="2"/>
  <c r="Z1057" i="2"/>
  <c r="W1057" i="2"/>
  <c r="S1057" i="2"/>
  <c r="P1057" i="2"/>
  <c r="X1057" i="2" s="1"/>
  <c r="O1057" i="2"/>
  <c r="T1057" i="2" s="1"/>
  <c r="N1057" i="2"/>
  <c r="K1057" i="2"/>
  <c r="J1057" i="2"/>
  <c r="I1057" i="2"/>
  <c r="AL1056" i="2"/>
  <c r="AK1056" i="2"/>
  <c r="AI1056" i="2"/>
  <c r="AH1056" i="2"/>
  <c r="AF1056" i="2"/>
  <c r="AC1056" i="2"/>
  <c r="AB1056" i="2"/>
  <c r="AA1056" i="2"/>
  <c r="W1056" i="2"/>
  <c r="T1056" i="2"/>
  <c r="S1056" i="2"/>
  <c r="P1056" i="2"/>
  <c r="X1056" i="2" s="1"/>
  <c r="O1056" i="2"/>
  <c r="N1056" i="2"/>
  <c r="K1056" i="2"/>
  <c r="J1056" i="2"/>
  <c r="I1056" i="2"/>
  <c r="AL1055" i="2"/>
  <c r="AI1055" i="2"/>
  <c r="AH1055" i="2"/>
  <c r="AF1055" i="2"/>
  <c r="AC1055" i="2"/>
  <c r="AB1055" i="2"/>
  <c r="AA1055" i="2"/>
  <c r="X1055" i="2"/>
  <c r="W1055" i="2"/>
  <c r="V1055" i="2"/>
  <c r="T1055" i="2"/>
  <c r="S1055" i="2"/>
  <c r="R1055" i="2"/>
  <c r="P1055" i="2"/>
  <c r="O1055" i="2"/>
  <c r="N1055" i="2"/>
  <c r="K1055" i="2"/>
  <c r="AE1055" i="2" s="1"/>
  <c r="J1055" i="2"/>
  <c r="AD1055" i="2" s="1"/>
  <c r="I1055" i="2"/>
  <c r="AL1054" i="2"/>
  <c r="AI1054" i="2"/>
  <c r="AH1054" i="2"/>
  <c r="AF1054" i="2"/>
  <c r="AD1054" i="2"/>
  <c r="AC1054" i="2"/>
  <c r="AB1054" i="2"/>
  <c r="AA1054" i="2"/>
  <c r="W1054" i="2"/>
  <c r="S1054" i="2"/>
  <c r="P1054" i="2"/>
  <c r="X1054" i="2" s="1"/>
  <c r="O1054" i="2"/>
  <c r="T1054" i="2" s="1"/>
  <c r="N1054" i="2"/>
  <c r="K1054" i="2"/>
  <c r="J1054" i="2"/>
  <c r="I1054" i="2"/>
  <c r="AL1053" i="2"/>
  <c r="AI1053" i="2"/>
  <c r="AH1053" i="2"/>
  <c r="AF1053" i="2"/>
  <c r="AC1053" i="2"/>
  <c r="AB1053" i="2"/>
  <c r="AA1053" i="2"/>
  <c r="Z1053" i="2"/>
  <c r="Y1053" i="2"/>
  <c r="W1053" i="2"/>
  <c r="V1053" i="2"/>
  <c r="S1053" i="2"/>
  <c r="R1053" i="2"/>
  <c r="Q1053" i="2"/>
  <c r="P1053" i="2"/>
  <c r="X1053" i="2" s="1"/>
  <c r="O1053" i="2"/>
  <c r="T1053" i="2" s="1"/>
  <c r="N1053" i="2"/>
  <c r="K1053" i="2"/>
  <c r="AE1053" i="2" s="1"/>
  <c r="J1053" i="2"/>
  <c r="I1053" i="2"/>
  <c r="AL1052" i="2"/>
  <c r="AI1052" i="2"/>
  <c r="AH1052" i="2"/>
  <c r="AG1052" i="2"/>
  <c r="AF1052" i="2"/>
  <c r="AE1052" i="2"/>
  <c r="AC1052" i="2"/>
  <c r="AB1052" i="2"/>
  <c r="AA1052" i="2"/>
  <c r="Y1052" i="2"/>
  <c r="X1052" i="2"/>
  <c r="W1052" i="2"/>
  <c r="S1052" i="2"/>
  <c r="P1052" i="2"/>
  <c r="O1052" i="2"/>
  <c r="T1052" i="2" s="1"/>
  <c r="N1052" i="2"/>
  <c r="K1052" i="2"/>
  <c r="R1052" i="2" s="1"/>
  <c r="J1052" i="2"/>
  <c r="I1052" i="2"/>
  <c r="AL1051" i="2"/>
  <c r="AI1051" i="2"/>
  <c r="AH1051" i="2"/>
  <c r="AF1051" i="2"/>
  <c r="AC1051" i="2"/>
  <c r="AB1051" i="2"/>
  <c r="AA1051" i="2"/>
  <c r="X1051" i="2"/>
  <c r="W1051" i="2"/>
  <c r="T1051" i="2"/>
  <c r="S1051" i="2"/>
  <c r="P1051" i="2"/>
  <c r="O1051" i="2"/>
  <c r="N1051" i="2"/>
  <c r="K1051" i="2"/>
  <c r="J1051" i="2"/>
  <c r="AJ1051" i="2" s="1"/>
  <c r="I1051" i="2"/>
  <c r="AL1050" i="2"/>
  <c r="AJ1050" i="2"/>
  <c r="AI1050" i="2"/>
  <c r="AH1050" i="2"/>
  <c r="AF1050" i="2"/>
  <c r="AC1050" i="2"/>
  <c r="AB1050" i="2"/>
  <c r="AA1050" i="2"/>
  <c r="Z1050" i="2"/>
  <c r="W1050" i="2"/>
  <c r="T1050" i="2"/>
  <c r="S1050" i="2"/>
  <c r="R1050" i="2"/>
  <c r="P1050" i="2"/>
  <c r="X1050" i="2" s="1"/>
  <c r="O1050" i="2"/>
  <c r="N1050" i="2"/>
  <c r="K1050" i="2"/>
  <c r="J1050" i="2"/>
  <c r="AG1050" i="2" s="1"/>
  <c r="I1050" i="2"/>
  <c r="AL1049" i="2"/>
  <c r="AI1049" i="2"/>
  <c r="AH1049" i="2"/>
  <c r="AF1049" i="2"/>
  <c r="AC1049" i="2"/>
  <c r="AB1049" i="2"/>
  <c r="AA1049" i="2"/>
  <c r="Z1049" i="2"/>
  <c r="W1049" i="2"/>
  <c r="V1049" i="2"/>
  <c r="S1049" i="2"/>
  <c r="R1049" i="2"/>
  <c r="P1049" i="2"/>
  <c r="X1049" i="2" s="1"/>
  <c r="O1049" i="2"/>
  <c r="T1049" i="2" s="1"/>
  <c r="N1049" i="2"/>
  <c r="K1049" i="2"/>
  <c r="J1049" i="2"/>
  <c r="I1049" i="2"/>
  <c r="AL1048" i="2"/>
  <c r="AK1048" i="2"/>
  <c r="AI1048" i="2"/>
  <c r="AH1048" i="2"/>
  <c r="AF1048" i="2"/>
  <c r="AE1048" i="2"/>
  <c r="AC1048" i="2"/>
  <c r="AB1048" i="2"/>
  <c r="AA1048" i="2"/>
  <c r="W1048" i="2"/>
  <c r="T1048" i="2"/>
  <c r="S1048" i="2"/>
  <c r="P1048" i="2"/>
  <c r="X1048" i="2" s="1"/>
  <c r="O1048" i="2"/>
  <c r="N1048" i="2"/>
  <c r="K1048" i="2"/>
  <c r="V1048" i="2" s="1"/>
  <c r="J1048" i="2"/>
  <c r="I1048" i="2"/>
  <c r="AL1047" i="2"/>
  <c r="AI1047" i="2"/>
  <c r="AH1047" i="2"/>
  <c r="AF1047" i="2"/>
  <c r="AC1047" i="2"/>
  <c r="AB1047" i="2"/>
  <c r="AA1047" i="2"/>
  <c r="Z1047" i="2"/>
  <c r="W1047" i="2"/>
  <c r="S1047" i="2"/>
  <c r="P1047" i="2"/>
  <c r="X1047" i="2" s="1"/>
  <c r="O1047" i="2"/>
  <c r="T1047" i="2" s="1"/>
  <c r="N1047" i="2"/>
  <c r="K1047" i="2"/>
  <c r="J1047" i="2"/>
  <c r="I1047" i="2"/>
  <c r="AL1046" i="2"/>
  <c r="AK1046" i="2"/>
  <c r="AI1046" i="2"/>
  <c r="AH1046" i="2"/>
  <c r="AF1046" i="2"/>
  <c r="AD1046" i="2"/>
  <c r="AC1046" i="2"/>
  <c r="AB1046" i="2"/>
  <c r="AA1046" i="2"/>
  <c r="Y1046" i="2"/>
  <c r="W1046" i="2"/>
  <c r="S1046" i="2"/>
  <c r="R1046" i="2"/>
  <c r="P1046" i="2"/>
  <c r="X1046" i="2" s="1"/>
  <c r="O1046" i="2"/>
  <c r="T1046" i="2" s="1"/>
  <c r="N1046" i="2"/>
  <c r="K1046" i="2"/>
  <c r="J1046" i="2"/>
  <c r="AG1046" i="2" s="1"/>
  <c r="I1046" i="2"/>
  <c r="AL1045" i="2"/>
  <c r="AK1045" i="2"/>
  <c r="AI1045" i="2"/>
  <c r="AH1045" i="2"/>
  <c r="AF1045" i="2"/>
  <c r="AC1045" i="2"/>
  <c r="AB1045" i="2"/>
  <c r="AA1045" i="2"/>
  <c r="X1045" i="2"/>
  <c r="W1045" i="2"/>
  <c r="S1045" i="2"/>
  <c r="Q1045" i="2"/>
  <c r="P1045" i="2"/>
  <c r="O1045" i="2"/>
  <c r="T1045" i="2" s="1"/>
  <c r="N1045" i="2"/>
  <c r="K1045" i="2"/>
  <c r="AE1045" i="2" s="1"/>
  <c r="J1045" i="2"/>
  <c r="I1045" i="2"/>
  <c r="AL1044" i="2"/>
  <c r="AK1044" i="2"/>
  <c r="AI1044" i="2"/>
  <c r="AH1044" i="2"/>
  <c r="AF1044" i="2"/>
  <c r="AC1044" i="2"/>
  <c r="AB1044" i="2"/>
  <c r="AA1044" i="2"/>
  <c r="Z1044" i="2"/>
  <c r="W1044" i="2"/>
  <c r="S1044" i="2"/>
  <c r="P1044" i="2"/>
  <c r="X1044" i="2" s="1"/>
  <c r="O1044" i="2"/>
  <c r="T1044" i="2" s="1"/>
  <c r="N1044" i="2"/>
  <c r="K1044" i="2"/>
  <c r="J1044" i="2"/>
  <c r="I1044" i="2"/>
  <c r="AL1043" i="2"/>
  <c r="AI1043" i="2"/>
  <c r="AH1043" i="2"/>
  <c r="AF1043" i="2"/>
  <c r="AC1043" i="2"/>
  <c r="AB1043" i="2"/>
  <c r="AA1043" i="2"/>
  <c r="W1043" i="2"/>
  <c r="V1043" i="2"/>
  <c r="T1043" i="2"/>
  <c r="S1043" i="2"/>
  <c r="R1043" i="2"/>
  <c r="P1043" i="2"/>
  <c r="X1043" i="2" s="1"/>
  <c r="O1043" i="2"/>
  <c r="N1043" i="2"/>
  <c r="K1043" i="2"/>
  <c r="J1043" i="2"/>
  <c r="Y1043" i="2" s="1"/>
  <c r="I1043" i="2"/>
  <c r="AL1042" i="2"/>
  <c r="AK1042" i="2"/>
  <c r="AI1042" i="2"/>
  <c r="AH1042" i="2"/>
  <c r="AF1042" i="2"/>
  <c r="AC1042" i="2"/>
  <c r="AB1042" i="2"/>
  <c r="AA1042" i="2"/>
  <c r="W1042" i="2"/>
  <c r="S1042" i="2"/>
  <c r="P1042" i="2"/>
  <c r="X1042" i="2" s="1"/>
  <c r="O1042" i="2"/>
  <c r="T1042" i="2" s="1"/>
  <c r="N1042" i="2"/>
  <c r="K1042" i="2"/>
  <c r="Z1042" i="2" s="1"/>
  <c r="J1042" i="2"/>
  <c r="AJ1042" i="2" s="1"/>
  <c r="I1042" i="2"/>
  <c r="AL1041" i="2"/>
  <c r="AI1041" i="2"/>
  <c r="AH1041" i="2"/>
  <c r="AF1041" i="2"/>
  <c r="AC1041" i="2"/>
  <c r="AB1041" i="2"/>
  <c r="AA1041" i="2"/>
  <c r="W1041" i="2"/>
  <c r="S1041" i="2"/>
  <c r="P1041" i="2"/>
  <c r="X1041" i="2" s="1"/>
  <c r="O1041" i="2"/>
  <c r="T1041" i="2" s="1"/>
  <c r="N1041" i="2"/>
  <c r="K1041" i="2"/>
  <c r="J1041" i="2"/>
  <c r="I1041" i="2"/>
  <c r="AL1040" i="2"/>
  <c r="AJ1040" i="2"/>
  <c r="AI1040" i="2"/>
  <c r="AH1040" i="2"/>
  <c r="AG1040" i="2"/>
  <c r="AF1040" i="2"/>
  <c r="AD1040" i="2"/>
  <c r="AC1040" i="2"/>
  <c r="AB1040" i="2"/>
  <c r="AA1040" i="2"/>
  <c r="Y1040" i="2"/>
  <c r="W1040" i="2"/>
  <c r="S1040" i="2"/>
  <c r="P1040" i="2"/>
  <c r="X1040" i="2" s="1"/>
  <c r="O1040" i="2"/>
  <c r="T1040" i="2" s="1"/>
  <c r="N1040" i="2"/>
  <c r="K1040" i="2"/>
  <c r="AK1040" i="2" s="1"/>
  <c r="J1040" i="2"/>
  <c r="I1040" i="2"/>
  <c r="AL1039" i="2"/>
  <c r="AK1039" i="2"/>
  <c r="AJ1039" i="2"/>
  <c r="AI1039" i="2"/>
  <c r="AH1039" i="2"/>
  <c r="AF1039" i="2"/>
  <c r="AC1039" i="2"/>
  <c r="AB1039" i="2"/>
  <c r="AA1039" i="2"/>
  <c r="Y1039" i="2"/>
  <c r="W1039" i="2"/>
  <c r="S1039" i="2"/>
  <c r="P1039" i="2"/>
  <c r="X1039" i="2" s="1"/>
  <c r="O1039" i="2"/>
  <c r="T1039" i="2" s="1"/>
  <c r="N1039" i="2"/>
  <c r="K1039" i="2"/>
  <c r="J1039" i="2"/>
  <c r="I1039" i="2"/>
  <c r="AL1038" i="2"/>
  <c r="AK1038" i="2"/>
  <c r="AJ1038" i="2"/>
  <c r="AI1038" i="2"/>
  <c r="AH1038" i="2"/>
  <c r="AG1038" i="2"/>
  <c r="AF1038" i="2"/>
  <c r="AD1038" i="2"/>
  <c r="AC1038" i="2"/>
  <c r="AB1038" i="2"/>
  <c r="AA1038" i="2"/>
  <c r="Z1038" i="2"/>
  <c r="W1038" i="2"/>
  <c r="S1038" i="2"/>
  <c r="P1038" i="2"/>
  <c r="X1038" i="2" s="1"/>
  <c r="O1038" i="2"/>
  <c r="T1038" i="2" s="1"/>
  <c r="N1038" i="2"/>
  <c r="K1038" i="2"/>
  <c r="J1038" i="2"/>
  <c r="I1038" i="2"/>
  <c r="AL1037" i="2"/>
  <c r="AJ1037" i="2"/>
  <c r="AI1037" i="2"/>
  <c r="AH1037" i="2"/>
  <c r="AF1037" i="2"/>
  <c r="AE1037" i="2"/>
  <c r="AC1037" i="2"/>
  <c r="AB1037" i="2"/>
  <c r="AA1037" i="2"/>
  <c r="Z1037" i="2"/>
  <c r="X1037" i="2"/>
  <c r="W1037" i="2"/>
  <c r="V1037" i="2"/>
  <c r="S1037" i="2"/>
  <c r="P1037" i="2"/>
  <c r="O1037" i="2"/>
  <c r="T1037" i="2" s="1"/>
  <c r="N1037" i="2"/>
  <c r="K1037" i="2"/>
  <c r="R1037" i="2" s="1"/>
  <c r="J1037" i="2"/>
  <c r="Y1037" i="2" s="1"/>
  <c r="I1037" i="2"/>
  <c r="AL1036" i="2"/>
  <c r="AI1036" i="2"/>
  <c r="AH1036" i="2"/>
  <c r="AF1036" i="2"/>
  <c r="AD1036" i="2"/>
  <c r="AC1036" i="2"/>
  <c r="AB1036" i="2"/>
  <c r="AA1036" i="2"/>
  <c r="Y1036" i="2"/>
  <c r="W1036" i="2"/>
  <c r="S1036" i="2"/>
  <c r="P1036" i="2"/>
  <c r="X1036" i="2" s="1"/>
  <c r="O1036" i="2"/>
  <c r="T1036" i="2" s="1"/>
  <c r="N1036" i="2"/>
  <c r="K1036" i="2"/>
  <c r="AE1036" i="2" s="1"/>
  <c r="J1036" i="2"/>
  <c r="AG1036" i="2" s="1"/>
  <c r="I1036" i="2"/>
  <c r="AL1035" i="2"/>
  <c r="AJ1035" i="2"/>
  <c r="AI1035" i="2"/>
  <c r="AH1035" i="2"/>
  <c r="AF1035" i="2"/>
  <c r="AC1035" i="2"/>
  <c r="AB1035" i="2"/>
  <c r="AA1035" i="2"/>
  <c r="Y1035" i="2"/>
  <c r="W1035" i="2"/>
  <c r="S1035" i="2"/>
  <c r="P1035" i="2"/>
  <c r="X1035" i="2" s="1"/>
  <c r="O1035" i="2"/>
  <c r="T1035" i="2" s="1"/>
  <c r="N1035" i="2"/>
  <c r="K1035" i="2"/>
  <c r="AE1035" i="2" s="1"/>
  <c r="J1035" i="2"/>
  <c r="I1035" i="2"/>
  <c r="AL1034" i="2"/>
  <c r="AI1034" i="2"/>
  <c r="AH1034" i="2"/>
  <c r="AF1034" i="2"/>
  <c r="AC1034" i="2"/>
  <c r="AB1034" i="2"/>
  <c r="AA1034" i="2"/>
  <c r="X1034" i="2"/>
  <c r="W1034" i="2"/>
  <c r="T1034" i="2"/>
  <c r="S1034" i="2"/>
  <c r="P1034" i="2"/>
  <c r="O1034" i="2"/>
  <c r="N1034" i="2"/>
  <c r="K1034" i="2"/>
  <c r="J1034" i="2"/>
  <c r="I1034" i="2"/>
  <c r="AL1033" i="2"/>
  <c r="AI1033" i="2"/>
  <c r="AH1033" i="2"/>
  <c r="AF1033" i="2"/>
  <c r="AC1033" i="2"/>
  <c r="AB1033" i="2"/>
  <c r="AA1033" i="2"/>
  <c r="Z1033" i="2"/>
  <c r="W1033" i="2"/>
  <c r="S1033" i="2"/>
  <c r="R1033" i="2"/>
  <c r="Q1033" i="2"/>
  <c r="P1033" i="2"/>
  <c r="X1033" i="2" s="1"/>
  <c r="O1033" i="2"/>
  <c r="T1033" i="2" s="1"/>
  <c r="N1033" i="2"/>
  <c r="K1033" i="2"/>
  <c r="J1033" i="2"/>
  <c r="I1033" i="2"/>
  <c r="AL1032" i="2"/>
  <c r="AK1032" i="2"/>
  <c r="AI1032" i="2"/>
  <c r="AH1032" i="2"/>
  <c r="AF1032" i="2"/>
  <c r="AC1032" i="2"/>
  <c r="AB1032" i="2"/>
  <c r="AA1032" i="2"/>
  <c r="W1032" i="2"/>
  <c r="S1032" i="2"/>
  <c r="P1032" i="2"/>
  <c r="X1032" i="2" s="1"/>
  <c r="O1032" i="2"/>
  <c r="T1032" i="2" s="1"/>
  <c r="N1032" i="2"/>
  <c r="K1032" i="2"/>
  <c r="J1032" i="2"/>
  <c r="I1032" i="2"/>
  <c r="AL1031" i="2"/>
  <c r="AI1031" i="2"/>
  <c r="AH1031" i="2"/>
  <c r="AF1031" i="2"/>
  <c r="AC1031" i="2"/>
  <c r="AB1031" i="2"/>
  <c r="AA1031" i="2"/>
  <c r="W1031" i="2"/>
  <c r="S1031" i="2"/>
  <c r="P1031" i="2"/>
  <c r="X1031" i="2" s="1"/>
  <c r="O1031" i="2"/>
  <c r="T1031" i="2" s="1"/>
  <c r="N1031" i="2"/>
  <c r="K1031" i="2"/>
  <c r="J1031" i="2"/>
  <c r="Y1031" i="2" s="1"/>
  <c r="I1031" i="2"/>
  <c r="AL1030" i="2"/>
  <c r="AI1030" i="2"/>
  <c r="AH1030" i="2"/>
  <c r="AG1030" i="2"/>
  <c r="AF1030" i="2"/>
  <c r="AC1030" i="2"/>
  <c r="AB1030" i="2"/>
  <c r="AA1030" i="2"/>
  <c r="W1030" i="2"/>
  <c r="S1030" i="2"/>
  <c r="P1030" i="2"/>
  <c r="X1030" i="2" s="1"/>
  <c r="O1030" i="2"/>
  <c r="T1030" i="2" s="1"/>
  <c r="N1030" i="2"/>
  <c r="K1030" i="2"/>
  <c r="AE1030" i="2" s="1"/>
  <c r="J1030" i="2"/>
  <c r="I1030" i="2"/>
  <c r="AL1029" i="2"/>
  <c r="AK1029" i="2"/>
  <c r="AI1029" i="2"/>
  <c r="AH1029" i="2"/>
  <c r="AF1029" i="2"/>
  <c r="AE1029" i="2"/>
  <c r="AC1029" i="2"/>
  <c r="AB1029" i="2"/>
  <c r="AA1029" i="2"/>
  <c r="W1029" i="2"/>
  <c r="V1029" i="2"/>
  <c r="T1029" i="2"/>
  <c r="S1029" i="2"/>
  <c r="R1029" i="2"/>
  <c r="P1029" i="2"/>
  <c r="X1029" i="2" s="1"/>
  <c r="O1029" i="2"/>
  <c r="N1029" i="2"/>
  <c r="K1029" i="2"/>
  <c r="Z1029" i="2" s="1"/>
  <c r="J1029" i="2"/>
  <c r="Q1029" i="2" s="1"/>
  <c r="I1029" i="2"/>
  <c r="AL1028" i="2"/>
  <c r="AK1028" i="2"/>
  <c r="AI1028" i="2"/>
  <c r="AH1028" i="2"/>
  <c r="AF1028" i="2"/>
  <c r="AC1028" i="2"/>
  <c r="AB1028" i="2"/>
  <c r="AA1028" i="2"/>
  <c r="Z1028" i="2"/>
  <c r="W1028" i="2"/>
  <c r="S1028" i="2"/>
  <c r="P1028" i="2"/>
  <c r="X1028" i="2" s="1"/>
  <c r="O1028" i="2"/>
  <c r="T1028" i="2" s="1"/>
  <c r="N1028" i="2"/>
  <c r="K1028" i="2"/>
  <c r="J1028" i="2"/>
  <c r="AG1028" i="2" s="1"/>
  <c r="I1028" i="2"/>
  <c r="AL1027" i="2"/>
  <c r="AJ1027" i="2"/>
  <c r="AI1027" i="2"/>
  <c r="AH1027" i="2"/>
  <c r="AF1027" i="2"/>
  <c r="AD1027" i="2"/>
  <c r="AC1027" i="2"/>
  <c r="AB1027" i="2"/>
  <c r="AA1027" i="2"/>
  <c r="W1027" i="2"/>
  <c r="V1027" i="2"/>
  <c r="U1027" i="2"/>
  <c r="S1027" i="2"/>
  <c r="R1027" i="2"/>
  <c r="P1027" i="2"/>
  <c r="X1027" i="2" s="1"/>
  <c r="O1027" i="2"/>
  <c r="T1027" i="2" s="1"/>
  <c r="N1027" i="2"/>
  <c r="K1027" i="2"/>
  <c r="Z1027" i="2" s="1"/>
  <c r="J1027" i="2"/>
  <c r="Y1027" i="2" s="1"/>
  <c r="I1027" i="2"/>
  <c r="AL1026" i="2"/>
  <c r="AJ1026" i="2"/>
  <c r="AI1026" i="2"/>
  <c r="AH1026" i="2"/>
  <c r="AF1026" i="2"/>
  <c r="AD1026" i="2"/>
  <c r="AC1026" i="2"/>
  <c r="AB1026" i="2"/>
  <c r="AA1026" i="2"/>
  <c r="W1026" i="2"/>
  <c r="T1026" i="2"/>
  <c r="S1026" i="2"/>
  <c r="P1026" i="2"/>
  <c r="X1026" i="2" s="1"/>
  <c r="O1026" i="2"/>
  <c r="N1026" i="2"/>
  <c r="K1026" i="2"/>
  <c r="J1026" i="2"/>
  <c r="Y1026" i="2" s="1"/>
  <c r="I1026" i="2"/>
  <c r="AL1025" i="2"/>
  <c r="AI1025" i="2"/>
  <c r="AH1025" i="2"/>
  <c r="AF1025" i="2"/>
  <c r="AE1025" i="2"/>
  <c r="AD1025" i="2"/>
  <c r="AC1025" i="2"/>
  <c r="AB1025" i="2"/>
  <c r="AA1025" i="2"/>
  <c r="W1025" i="2"/>
  <c r="U1025" i="2"/>
  <c r="S1025" i="2"/>
  <c r="Q1025" i="2"/>
  <c r="P1025" i="2"/>
  <c r="X1025" i="2" s="1"/>
  <c r="O1025" i="2"/>
  <c r="T1025" i="2" s="1"/>
  <c r="N1025" i="2"/>
  <c r="K1025" i="2"/>
  <c r="J1025" i="2"/>
  <c r="I1025" i="2"/>
  <c r="AL1024" i="2"/>
  <c r="AJ1024" i="2"/>
  <c r="AI1024" i="2"/>
  <c r="AH1024" i="2"/>
  <c r="AG1024" i="2"/>
  <c r="AF1024" i="2"/>
  <c r="AD1024" i="2"/>
  <c r="AC1024" i="2"/>
  <c r="AB1024" i="2"/>
  <c r="AA1024" i="2"/>
  <c r="X1024" i="2"/>
  <c r="W1024" i="2"/>
  <c r="S1024" i="2"/>
  <c r="P1024" i="2"/>
  <c r="O1024" i="2"/>
  <c r="T1024" i="2" s="1"/>
  <c r="N1024" i="2"/>
  <c r="K1024" i="2"/>
  <c r="AK1024" i="2" s="1"/>
  <c r="J1024" i="2"/>
  <c r="Y1024" i="2" s="1"/>
  <c r="I1024" i="2"/>
  <c r="AL1023" i="2"/>
  <c r="AJ1023" i="2"/>
  <c r="AI1023" i="2"/>
  <c r="AH1023" i="2"/>
  <c r="AF1023" i="2"/>
  <c r="AC1023" i="2"/>
  <c r="AB1023" i="2"/>
  <c r="AA1023" i="2"/>
  <c r="Z1023" i="2"/>
  <c r="W1023" i="2"/>
  <c r="U1023" i="2"/>
  <c r="S1023" i="2"/>
  <c r="P1023" i="2"/>
  <c r="X1023" i="2" s="1"/>
  <c r="O1023" i="2"/>
  <c r="T1023" i="2" s="1"/>
  <c r="N1023" i="2"/>
  <c r="K1023" i="2"/>
  <c r="J1023" i="2"/>
  <c r="Q1023" i="2" s="1"/>
  <c r="I1023" i="2"/>
  <c r="AL1022" i="2"/>
  <c r="AK1022" i="2"/>
  <c r="AI1022" i="2"/>
  <c r="AH1022" i="2"/>
  <c r="AF1022" i="2"/>
  <c r="AC1022" i="2"/>
  <c r="AB1022" i="2"/>
  <c r="AA1022" i="2"/>
  <c r="W1022" i="2"/>
  <c r="T1022" i="2"/>
  <c r="S1022" i="2"/>
  <c r="R1022" i="2"/>
  <c r="P1022" i="2"/>
  <c r="X1022" i="2" s="1"/>
  <c r="O1022" i="2"/>
  <c r="N1022" i="2"/>
  <c r="K1022" i="2"/>
  <c r="J1022" i="2"/>
  <c r="I1022" i="2"/>
  <c r="AL1021" i="2"/>
  <c r="AK1021" i="2"/>
  <c r="AI1021" i="2"/>
  <c r="AH1021" i="2"/>
  <c r="AF1021" i="2"/>
  <c r="AE1021" i="2"/>
  <c r="AD1021" i="2"/>
  <c r="AC1021" i="2"/>
  <c r="AB1021" i="2"/>
  <c r="AA1021" i="2"/>
  <c r="W1021" i="2"/>
  <c r="V1021" i="2"/>
  <c r="U1021" i="2"/>
  <c r="S1021" i="2"/>
  <c r="R1021" i="2"/>
  <c r="Q1021" i="2"/>
  <c r="P1021" i="2"/>
  <c r="X1021" i="2" s="1"/>
  <c r="O1021" i="2"/>
  <c r="T1021" i="2" s="1"/>
  <c r="N1021" i="2"/>
  <c r="K1021" i="2"/>
  <c r="Z1021" i="2" s="1"/>
  <c r="J1021" i="2"/>
  <c r="I1021" i="2"/>
  <c r="AL1020" i="2"/>
  <c r="AI1020" i="2"/>
  <c r="AH1020" i="2"/>
  <c r="AF1020" i="2"/>
  <c r="AE1020" i="2"/>
  <c r="AC1020" i="2"/>
  <c r="AB1020" i="2"/>
  <c r="AA1020" i="2"/>
  <c r="W1020" i="2"/>
  <c r="S1020" i="2"/>
  <c r="P1020" i="2"/>
  <c r="X1020" i="2" s="1"/>
  <c r="O1020" i="2"/>
  <c r="T1020" i="2" s="1"/>
  <c r="N1020" i="2"/>
  <c r="K1020" i="2"/>
  <c r="J1020" i="2"/>
  <c r="Y1020" i="2" s="1"/>
  <c r="I1020" i="2"/>
  <c r="AL1019" i="2"/>
  <c r="AK1019" i="2"/>
  <c r="AI1019" i="2"/>
  <c r="AH1019" i="2"/>
  <c r="AF1019" i="2"/>
  <c r="AE1019" i="2"/>
  <c r="AC1019" i="2"/>
  <c r="AB1019" i="2"/>
  <c r="AA1019" i="2"/>
  <c r="W1019" i="2"/>
  <c r="V1019" i="2"/>
  <c r="S1019" i="2"/>
  <c r="P1019" i="2"/>
  <c r="X1019" i="2" s="1"/>
  <c r="O1019" i="2"/>
  <c r="T1019" i="2" s="1"/>
  <c r="N1019" i="2"/>
  <c r="K1019" i="2"/>
  <c r="R1019" i="2" s="1"/>
  <c r="J1019" i="2"/>
  <c r="I1019" i="2"/>
  <c r="AL1018" i="2"/>
  <c r="AK1018" i="2"/>
  <c r="AI1018" i="2"/>
  <c r="AH1018" i="2"/>
  <c r="AG1018" i="2"/>
  <c r="AF1018" i="2"/>
  <c r="AD1018" i="2"/>
  <c r="AC1018" i="2"/>
  <c r="AB1018" i="2"/>
  <c r="AA1018" i="2"/>
  <c r="W1018" i="2"/>
  <c r="S1018" i="2"/>
  <c r="R1018" i="2"/>
  <c r="P1018" i="2"/>
  <c r="X1018" i="2" s="1"/>
  <c r="O1018" i="2"/>
  <c r="T1018" i="2" s="1"/>
  <c r="N1018" i="2"/>
  <c r="K1018" i="2"/>
  <c r="J1018" i="2"/>
  <c r="I1018" i="2"/>
  <c r="AL1017" i="2"/>
  <c r="AI1017" i="2"/>
  <c r="AH1017" i="2"/>
  <c r="AF1017" i="2"/>
  <c r="AD1017" i="2"/>
  <c r="AC1017" i="2"/>
  <c r="AB1017" i="2"/>
  <c r="AA1017" i="2"/>
  <c r="Y1017" i="2"/>
  <c r="W1017" i="2"/>
  <c r="T1017" i="2"/>
  <c r="S1017" i="2"/>
  <c r="Q1017" i="2"/>
  <c r="P1017" i="2"/>
  <c r="X1017" i="2" s="1"/>
  <c r="O1017" i="2"/>
  <c r="N1017" i="2"/>
  <c r="K1017" i="2"/>
  <c r="V1017" i="2" s="1"/>
  <c r="J1017" i="2"/>
  <c r="I1017" i="2"/>
  <c r="AL1016" i="2"/>
  <c r="AI1016" i="2"/>
  <c r="AH1016" i="2"/>
  <c r="AG1016" i="2"/>
  <c r="AF1016" i="2"/>
  <c r="AE1016" i="2"/>
  <c r="AC1016" i="2"/>
  <c r="AB1016" i="2"/>
  <c r="AA1016" i="2"/>
  <c r="W1016" i="2"/>
  <c r="S1016" i="2"/>
  <c r="P1016" i="2"/>
  <c r="X1016" i="2" s="1"/>
  <c r="O1016" i="2"/>
  <c r="T1016" i="2" s="1"/>
  <c r="N1016" i="2"/>
  <c r="K1016" i="2"/>
  <c r="J1016" i="2"/>
  <c r="I1016" i="2"/>
  <c r="AL1015" i="2"/>
  <c r="AK1015" i="2"/>
  <c r="AI1015" i="2"/>
  <c r="AH1015" i="2"/>
  <c r="AF1015" i="2"/>
  <c r="AD1015" i="2"/>
  <c r="AC1015" i="2"/>
  <c r="AB1015" i="2"/>
  <c r="AA1015" i="2"/>
  <c r="W1015" i="2"/>
  <c r="S1015" i="2"/>
  <c r="P1015" i="2"/>
  <c r="X1015" i="2" s="1"/>
  <c r="O1015" i="2"/>
  <c r="T1015" i="2" s="1"/>
  <c r="N1015" i="2"/>
  <c r="K1015" i="2"/>
  <c r="J1015" i="2"/>
  <c r="I1015" i="2"/>
  <c r="AL1014" i="2"/>
  <c r="AJ1014" i="2"/>
  <c r="AI1014" i="2"/>
  <c r="AH1014" i="2"/>
  <c r="AF1014" i="2"/>
  <c r="AD1014" i="2"/>
  <c r="AC1014" i="2"/>
  <c r="AB1014" i="2"/>
  <c r="AA1014" i="2"/>
  <c r="X1014" i="2"/>
  <c r="W1014" i="2"/>
  <c r="T1014" i="2"/>
  <c r="S1014" i="2"/>
  <c r="P1014" i="2"/>
  <c r="O1014" i="2"/>
  <c r="N1014" i="2"/>
  <c r="K1014" i="2"/>
  <c r="J1014" i="2"/>
  <c r="I1014" i="2"/>
  <c r="AL1013" i="2"/>
  <c r="AI1013" i="2"/>
  <c r="AH1013" i="2"/>
  <c r="AF1013" i="2"/>
  <c r="AE1013" i="2"/>
  <c r="AC1013" i="2"/>
  <c r="AB1013" i="2"/>
  <c r="AA1013" i="2"/>
  <c r="Z1013" i="2"/>
  <c r="W1013" i="2"/>
  <c r="T1013" i="2"/>
  <c r="S1013" i="2"/>
  <c r="R1013" i="2"/>
  <c r="P1013" i="2"/>
  <c r="X1013" i="2" s="1"/>
  <c r="O1013" i="2"/>
  <c r="N1013" i="2"/>
  <c r="K1013" i="2"/>
  <c r="J1013" i="2"/>
  <c r="I1013" i="2"/>
  <c r="AL1012" i="2"/>
  <c r="AK1012" i="2"/>
  <c r="AI1012" i="2"/>
  <c r="AH1012" i="2"/>
  <c r="AF1012" i="2"/>
  <c r="AC1012" i="2"/>
  <c r="AB1012" i="2"/>
  <c r="AA1012" i="2"/>
  <c r="X1012" i="2"/>
  <c r="W1012" i="2"/>
  <c r="S1012" i="2"/>
  <c r="P1012" i="2"/>
  <c r="O1012" i="2"/>
  <c r="T1012" i="2" s="1"/>
  <c r="N1012" i="2"/>
  <c r="K1012" i="2"/>
  <c r="J1012" i="2"/>
  <c r="I1012" i="2"/>
  <c r="AL1011" i="2"/>
  <c r="AI1011" i="2"/>
  <c r="AH1011" i="2"/>
  <c r="AF1011" i="2"/>
  <c r="AE1011" i="2"/>
  <c r="AC1011" i="2"/>
  <c r="AB1011" i="2"/>
  <c r="AA1011" i="2"/>
  <c r="W1011" i="2"/>
  <c r="V1011" i="2"/>
  <c r="S1011" i="2"/>
  <c r="P1011" i="2"/>
  <c r="X1011" i="2" s="1"/>
  <c r="O1011" i="2"/>
  <c r="T1011" i="2" s="1"/>
  <c r="N1011" i="2"/>
  <c r="K1011" i="2"/>
  <c r="Z1011" i="2" s="1"/>
  <c r="J1011" i="2"/>
  <c r="I1011" i="2"/>
  <c r="AL1010" i="2"/>
  <c r="AK1010" i="2"/>
  <c r="AI1010" i="2"/>
  <c r="AH1010" i="2"/>
  <c r="AG1010" i="2"/>
  <c r="AF1010" i="2"/>
  <c r="AC1010" i="2"/>
  <c r="AB1010" i="2"/>
  <c r="AA1010" i="2"/>
  <c r="W1010" i="2"/>
  <c r="T1010" i="2"/>
  <c r="S1010" i="2"/>
  <c r="P1010" i="2"/>
  <c r="X1010" i="2" s="1"/>
  <c r="O1010" i="2"/>
  <c r="N1010" i="2"/>
  <c r="K1010" i="2"/>
  <c r="AE1010" i="2" s="1"/>
  <c r="J1010" i="2"/>
  <c r="I1010" i="2"/>
  <c r="AL1009" i="2"/>
  <c r="AI1009" i="2"/>
  <c r="AH1009" i="2"/>
  <c r="AF1009" i="2"/>
  <c r="AC1009" i="2"/>
  <c r="AB1009" i="2"/>
  <c r="AA1009" i="2"/>
  <c r="W1009" i="2"/>
  <c r="T1009" i="2"/>
  <c r="S1009" i="2"/>
  <c r="P1009" i="2"/>
  <c r="X1009" i="2" s="1"/>
  <c r="O1009" i="2"/>
  <c r="N1009" i="2"/>
  <c r="K1009" i="2"/>
  <c r="J1009" i="2"/>
  <c r="I1009" i="2"/>
  <c r="AL1008" i="2"/>
  <c r="AI1008" i="2"/>
  <c r="AH1008" i="2"/>
  <c r="AF1008" i="2"/>
  <c r="AE1008" i="2"/>
  <c r="AC1008" i="2"/>
  <c r="AB1008" i="2"/>
  <c r="AA1008" i="2"/>
  <c r="X1008" i="2"/>
  <c r="W1008" i="2"/>
  <c r="T1008" i="2"/>
  <c r="S1008" i="2"/>
  <c r="R1008" i="2"/>
  <c r="P1008" i="2"/>
  <c r="O1008" i="2"/>
  <c r="N1008" i="2"/>
  <c r="K1008" i="2"/>
  <c r="J1008" i="2"/>
  <c r="I1008" i="2"/>
  <c r="AL1007" i="2"/>
  <c r="AK1007" i="2"/>
  <c r="AJ1007" i="2"/>
  <c r="AI1007" i="2"/>
  <c r="AH1007" i="2"/>
  <c r="AF1007" i="2"/>
  <c r="AE1007" i="2"/>
  <c r="AC1007" i="2"/>
  <c r="AB1007" i="2"/>
  <c r="AA1007" i="2"/>
  <c r="W1007" i="2"/>
  <c r="V1007" i="2"/>
  <c r="T1007" i="2"/>
  <c r="S1007" i="2"/>
  <c r="R1007" i="2"/>
  <c r="Q1007" i="2"/>
  <c r="P1007" i="2"/>
  <c r="X1007" i="2" s="1"/>
  <c r="O1007" i="2"/>
  <c r="N1007" i="2"/>
  <c r="K1007" i="2"/>
  <c r="Z1007" i="2" s="1"/>
  <c r="J1007" i="2"/>
  <c r="I1007" i="2"/>
  <c r="AL1006" i="2"/>
  <c r="AJ1006" i="2"/>
  <c r="AI1006" i="2"/>
  <c r="AH1006" i="2"/>
  <c r="AF1006" i="2"/>
  <c r="AC1006" i="2"/>
  <c r="AB1006" i="2"/>
  <c r="AA1006" i="2"/>
  <c r="Y1006" i="2"/>
  <c r="W1006" i="2"/>
  <c r="T1006" i="2"/>
  <c r="S1006" i="2"/>
  <c r="P1006" i="2"/>
  <c r="X1006" i="2" s="1"/>
  <c r="O1006" i="2"/>
  <c r="N1006" i="2"/>
  <c r="K1006" i="2"/>
  <c r="Z1006" i="2" s="1"/>
  <c r="J1006" i="2"/>
  <c r="AG1006" i="2" s="1"/>
  <c r="I1006" i="2"/>
  <c r="AL1005" i="2"/>
  <c r="AI1005" i="2"/>
  <c r="AH1005" i="2"/>
  <c r="AF1005" i="2"/>
  <c r="AC1005" i="2"/>
  <c r="AB1005" i="2"/>
  <c r="AA1005" i="2"/>
  <c r="W1005" i="2"/>
  <c r="S1005" i="2"/>
  <c r="P1005" i="2"/>
  <c r="X1005" i="2" s="1"/>
  <c r="O1005" i="2"/>
  <c r="T1005" i="2" s="1"/>
  <c r="N1005" i="2"/>
  <c r="K1005" i="2"/>
  <c r="J1005" i="2"/>
  <c r="I1005" i="2"/>
  <c r="AL1004" i="2"/>
  <c r="AI1004" i="2"/>
  <c r="AH1004" i="2"/>
  <c r="AF1004" i="2"/>
  <c r="AC1004" i="2"/>
  <c r="AB1004" i="2"/>
  <c r="AA1004" i="2"/>
  <c r="W1004" i="2"/>
  <c r="T1004" i="2"/>
  <c r="S1004" i="2"/>
  <c r="P1004" i="2"/>
  <c r="X1004" i="2" s="1"/>
  <c r="O1004" i="2"/>
  <c r="N1004" i="2"/>
  <c r="K1004" i="2"/>
  <c r="J1004" i="2"/>
  <c r="I1004" i="2"/>
  <c r="AL1003" i="2"/>
  <c r="AK1003" i="2"/>
  <c r="AI1003" i="2"/>
  <c r="AH1003" i="2"/>
  <c r="AF1003" i="2"/>
  <c r="AC1003" i="2"/>
  <c r="AB1003" i="2"/>
  <c r="AA1003" i="2"/>
  <c r="X1003" i="2"/>
  <c r="W1003" i="2"/>
  <c r="T1003" i="2"/>
  <c r="S1003" i="2"/>
  <c r="P1003" i="2"/>
  <c r="O1003" i="2"/>
  <c r="N1003" i="2"/>
  <c r="K1003" i="2"/>
  <c r="J1003" i="2"/>
  <c r="U1003" i="2" s="1"/>
  <c r="I1003" i="2"/>
  <c r="AL1002" i="2"/>
  <c r="AJ1002" i="2"/>
  <c r="AI1002" i="2"/>
  <c r="AH1002" i="2"/>
  <c r="AF1002" i="2"/>
  <c r="AD1002" i="2"/>
  <c r="AC1002" i="2"/>
  <c r="AB1002" i="2"/>
  <c r="AA1002" i="2"/>
  <c r="W1002" i="2"/>
  <c r="S1002" i="2"/>
  <c r="R1002" i="2"/>
  <c r="P1002" i="2"/>
  <c r="X1002" i="2" s="1"/>
  <c r="O1002" i="2"/>
  <c r="T1002" i="2" s="1"/>
  <c r="N1002" i="2"/>
  <c r="K1002" i="2"/>
  <c r="V1002" i="2" s="1"/>
  <c r="J1002" i="2"/>
  <c r="I1002" i="2"/>
  <c r="AL1001" i="2"/>
  <c r="AJ1001" i="2"/>
  <c r="AI1001" i="2"/>
  <c r="AH1001" i="2"/>
  <c r="AF1001" i="2"/>
  <c r="AD1001" i="2"/>
  <c r="AC1001" i="2"/>
  <c r="AB1001" i="2"/>
  <c r="AA1001" i="2"/>
  <c r="W1001" i="2"/>
  <c r="U1001" i="2"/>
  <c r="S1001" i="2"/>
  <c r="Q1001" i="2"/>
  <c r="P1001" i="2"/>
  <c r="X1001" i="2" s="1"/>
  <c r="O1001" i="2"/>
  <c r="T1001" i="2" s="1"/>
  <c r="N1001" i="2"/>
  <c r="K1001" i="2"/>
  <c r="R1001" i="2" s="1"/>
  <c r="J1001" i="2"/>
  <c r="AG1001" i="2" s="1"/>
  <c r="I1001" i="2"/>
  <c r="AL1000" i="2"/>
  <c r="AK1000" i="2"/>
  <c r="AI1000" i="2"/>
  <c r="AH1000" i="2"/>
  <c r="AF1000" i="2"/>
  <c r="AD1000" i="2"/>
  <c r="AC1000" i="2"/>
  <c r="AB1000" i="2"/>
  <c r="AA1000" i="2"/>
  <c r="W1000" i="2"/>
  <c r="S1000" i="2"/>
  <c r="R1000" i="2"/>
  <c r="P1000" i="2"/>
  <c r="X1000" i="2" s="1"/>
  <c r="O1000" i="2"/>
  <c r="T1000" i="2" s="1"/>
  <c r="N1000" i="2"/>
  <c r="K1000" i="2"/>
  <c r="Z1000" i="2" s="1"/>
  <c r="J1000" i="2"/>
  <c r="Q1000" i="2" s="1"/>
  <c r="I1000" i="2"/>
  <c r="AL999" i="2"/>
  <c r="AI999" i="2"/>
  <c r="AH999" i="2"/>
  <c r="AF999" i="2"/>
  <c r="AC999" i="2"/>
  <c r="AB999" i="2"/>
  <c r="AA999" i="2"/>
  <c r="Z999" i="2"/>
  <c r="W999" i="2"/>
  <c r="U999" i="2"/>
  <c r="T999" i="2"/>
  <c r="S999" i="2"/>
  <c r="P999" i="2"/>
  <c r="X999" i="2" s="1"/>
  <c r="O999" i="2"/>
  <c r="N999" i="2"/>
  <c r="K999" i="2"/>
  <c r="J999" i="2"/>
  <c r="I999" i="2"/>
  <c r="AL998" i="2"/>
  <c r="AI998" i="2"/>
  <c r="AH998" i="2"/>
  <c r="AF998" i="2"/>
  <c r="AC998" i="2"/>
  <c r="AB998" i="2"/>
  <c r="AA998" i="2"/>
  <c r="X998" i="2"/>
  <c r="W998" i="2"/>
  <c r="S998" i="2"/>
  <c r="P998" i="2"/>
  <c r="O998" i="2"/>
  <c r="T998" i="2" s="1"/>
  <c r="N998" i="2"/>
  <c r="K998" i="2"/>
  <c r="J998" i="2"/>
  <c r="Q998" i="2" s="1"/>
  <c r="I998" i="2"/>
  <c r="AL997" i="2"/>
  <c r="AK997" i="2"/>
  <c r="AI997" i="2"/>
  <c r="AH997" i="2"/>
  <c r="AF997" i="2"/>
  <c r="AC997" i="2"/>
  <c r="AB997" i="2"/>
  <c r="AA997" i="2"/>
  <c r="W997" i="2"/>
  <c r="T997" i="2"/>
  <c r="S997" i="2"/>
  <c r="P997" i="2"/>
  <c r="X997" i="2" s="1"/>
  <c r="O997" i="2"/>
  <c r="N997" i="2"/>
  <c r="K997" i="2"/>
  <c r="J997" i="2"/>
  <c r="I997" i="2"/>
  <c r="AL996" i="2"/>
  <c r="AK996" i="2"/>
  <c r="AI996" i="2"/>
  <c r="AH996" i="2"/>
  <c r="AF996" i="2"/>
  <c r="AC996" i="2"/>
  <c r="AB996" i="2"/>
  <c r="AA996" i="2"/>
  <c r="Z996" i="2"/>
  <c r="Y996" i="2"/>
  <c r="X996" i="2"/>
  <c r="W996" i="2"/>
  <c r="T996" i="2"/>
  <c r="S996" i="2"/>
  <c r="R996" i="2"/>
  <c r="P996" i="2"/>
  <c r="O996" i="2"/>
  <c r="N996" i="2"/>
  <c r="K996" i="2"/>
  <c r="J996" i="2"/>
  <c r="I996" i="2"/>
  <c r="AL995" i="2"/>
  <c r="AI995" i="2"/>
  <c r="AH995" i="2"/>
  <c r="AF995" i="2"/>
  <c r="AC995" i="2"/>
  <c r="AB995" i="2"/>
  <c r="AA995" i="2"/>
  <c r="Z995" i="2"/>
  <c r="Y995" i="2"/>
  <c r="W995" i="2"/>
  <c r="T995" i="2"/>
  <c r="S995" i="2"/>
  <c r="P995" i="2"/>
  <c r="X995" i="2" s="1"/>
  <c r="O995" i="2"/>
  <c r="N995" i="2"/>
  <c r="K995" i="2"/>
  <c r="J995" i="2"/>
  <c r="I995" i="2"/>
  <c r="AL994" i="2"/>
  <c r="AI994" i="2"/>
  <c r="AH994" i="2"/>
  <c r="AF994" i="2"/>
  <c r="AD994" i="2"/>
  <c r="AC994" i="2"/>
  <c r="AB994" i="2"/>
  <c r="AA994" i="2"/>
  <c r="W994" i="2"/>
  <c r="S994" i="2"/>
  <c r="P994" i="2"/>
  <c r="X994" i="2" s="1"/>
  <c r="O994" i="2"/>
  <c r="T994" i="2" s="1"/>
  <c r="N994" i="2"/>
  <c r="K994" i="2"/>
  <c r="R994" i="2" s="1"/>
  <c r="J994" i="2"/>
  <c r="I994" i="2"/>
  <c r="AL993" i="2"/>
  <c r="AI993" i="2"/>
  <c r="AH993" i="2"/>
  <c r="AF993" i="2"/>
  <c r="AC993" i="2"/>
  <c r="AB993" i="2"/>
  <c r="AA993" i="2"/>
  <c r="Y993" i="2"/>
  <c r="W993" i="2"/>
  <c r="T993" i="2"/>
  <c r="S993" i="2"/>
  <c r="P993" i="2"/>
  <c r="X993" i="2" s="1"/>
  <c r="O993" i="2"/>
  <c r="N993" i="2"/>
  <c r="K993" i="2"/>
  <c r="J993" i="2"/>
  <c r="I993" i="2"/>
  <c r="AL992" i="2"/>
  <c r="AI992" i="2"/>
  <c r="AH992" i="2"/>
  <c r="AG992" i="2"/>
  <c r="AF992" i="2"/>
  <c r="AC992" i="2"/>
  <c r="AB992" i="2"/>
  <c r="AA992" i="2"/>
  <c r="Y992" i="2"/>
  <c r="W992" i="2"/>
  <c r="S992" i="2"/>
  <c r="Q992" i="2"/>
  <c r="P992" i="2"/>
  <c r="X992" i="2" s="1"/>
  <c r="O992" i="2"/>
  <c r="T992" i="2" s="1"/>
  <c r="N992" i="2"/>
  <c r="K992" i="2"/>
  <c r="J992" i="2"/>
  <c r="I992" i="2"/>
  <c r="AL991" i="2"/>
  <c r="AI991" i="2"/>
  <c r="AH991" i="2"/>
  <c r="AF991" i="2"/>
  <c r="AC991" i="2"/>
  <c r="AB991" i="2"/>
  <c r="AA991" i="2"/>
  <c r="W991" i="2"/>
  <c r="V991" i="2"/>
  <c r="S991" i="2"/>
  <c r="R991" i="2"/>
  <c r="P991" i="2"/>
  <c r="X991" i="2" s="1"/>
  <c r="O991" i="2"/>
  <c r="T991" i="2" s="1"/>
  <c r="N991" i="2"/>
  <c r="K991" i="2"/>
  <c r="J991" i="2"/>
  <c r="I991" i="2"/>
  <c r="AL990" i="2"/>
  <c r="AI990" i="2"/>
  <c r="AH990" i="2"/>
  <c r="AF990" i="2"/>
  <c r="AC990" i="2"/>
  <c r="AB990" i="2"/>
  <c r="AA990" i="2"/>
  <c r="W990" i="2"/>
  <c r="S990" i="2"/>
  <c r="P990" i="2"/>
  <c r="X990" i="2" s="1"/>
  <c r="O990" i="2"/>
  <c r="T990" i="2" s="1"/>
  <c r="N990" i="2"/>
  <c r="K990" i="2"/>
  <c r="J990" i="2"/>
  <c r="AD990" i="2" s="1"/>
  <c r="I990" i="2"/>
  <c r="AL989" i="2"/>
  <c r="AI989" i="2"/>
  <c r="AH989" i="2"/>
  <c r="AF989" i="2"/>
  <c r="AC989" i="2"/>
  <c r="AB989" i="2"/>
  <c r="AA989" i="2"/>
  <c r="X989" i="2"/>
  <c r="W989" i="2"/>
  <c r="S989" i="2"/>
  <c r="P989" i="2"/>
  <c r="O989" i="2"/>
  <c r="T989" i="2" s="1"/>
  <c r="N989" i="2"/>
  <c r="K989" i="2"/>
  <c r="AK989" i="2" s="1"/>
  <c r="J989" i="2"/>
  <c r="I989" i="2"/>
  <c r="AL988" i="2"/>
  <c r="AI988" i="2"/>
  <c r="AH988" i="2"/>
  <c r="AG988" i="2"/>
  <c r="AF988" i="2"/>
  <c r="AC988" i="2"/>
  <c r="AB988" i="2"/>
  <c r="AA988" i="2"/>
  <c r="W988" i="2"/>
  <c r="S988" i="2"/>
  <c r="Q988" i="2"/>
  <c r="P988" i="2"/>
  <c r="X988" i="2" s="1"/>
  <c r="O988" i="2"/>
  <c r="T988" i="2" s="1"/>
  <c r="N988" i="2"/>
  <c r="K988" i="2"/>
  <c r="J988" i="2"/>
  <c r="I988" i="2"/>
  <c r="AL987" i="2"/>
  <c r="AI987" i="2"/>
  <c r="AH987" i="2"/>
  <c r="AG987" i="2"/>
  <c r="AF987" i="2"/>
  <c r="AE987" i="2"/>
  <c r="AD987" i="2"/>
  <c r="AC987" i="2"/>
  <c r="AB987" i="2"/>
  <c r="AA987" i="2"/>
  <c r="Y987" i="2"/>
  <c r="W987" i="2"/>
  <c r="V987" i="2"/>
  <c r="U987" i="2"/>
  <c r="S987" i="2"/>
  <c r="R987" i="2"/>
  <c r="Q987" i="2"/>
  <c r="P987" i="2"/>
  <c r="X987" i="2" s="1"/>
  <c r="O987" i="2"/>
  <c r="T987" i="2" s="1"/>
  <c r="N987" i="2"/>
  <c r="K987" i="2"/>
  <c r="Z987" i="2" s="1"/>
  <c r="J987" i="2"/>
  <c r="AJ987" i="2" s="1"/>
  <c r="I987" i="2"/>
  <c r="AL986" i="2"/>
  <c r="AI986" i="2"/>
  <c r="AH986" i="2"/>
  <c r="AF986" i="2"/>
  <c r="AC986" i="2"/>
  <c r="AB986" i="2"/>
  <c r="AA986" i="2"/>
  <c r="Y986" i="2"/>
  <c r="W986" i="2"/>
  <c r="S986" i="2"/>
  <c r="P986" i="2"/>
  <c r="X986" i="2" s="1"/>
  <c r="O986" i="2"/>
  <c r="T986" i="2" s="1"/>
  <c r="N986" i="2"/>
  <c r="K986" i="2"/>
  <c r="Z986" i="2" s="1"/>
  <c r="J986" i="2"/>
  <c r="I986" i="2"/>
  <c r="AL985" i="2"/>
  <c r="AI985" i="2"/>
  <c r="AH985" i="2"/>
  <c r="AF985" i="2"/>
  <c r="AC985" i="2"/>
  <c r="AB985" i="2"/>
  <c r="AA985" i="2"/>
  <c r="Y985" i="2"/>
  <c r="W985" i="2"/>
  <c r="S985" i="2"/>
  <c r="R985" i="2"/>
  <c r="P985" i="2"/>
  <c r="X985" i="2" s="1"/>
  <c r="O985" i="2"/>
  <c r="T985" i="2" s="1"/>
  <c r="N985" i="2"/>
  <c r="K985" i="2"/>
  <c r="J985" i="2"/>
  <c r="I985" i="2"/>
  <c r="AL984" i="2"/>
  <c r="AJ984" i="2"/>
  <c r="AI984" i="2"/>
  <c r="AH984" i="2"/>
  <c r="AG984" i="2"/>
  <c r="AF984" i="2"/>
  <c r="AD984" i="2"/>
  <c r="AC984" i="2"/>
  <c r="AB984" i="2"/>
  <c r="AA984" i="2"/>
  <c r="Y984" i="2"/>
  <c r="W984" i="2"/>
  <c r="T984" i="2"/>
  <c r="S984" i="2"/>
  <c r="Q984" i="2"/>
  <c r="P984" i="2"/>
  <c r="X984" i="2" s="1"/>
  <c r="O984" i="2"/>
  <c r="N984" i="2"/>
  <c r="K984" i="2"/>
  <c r="V984" i="2" s="1"/>
  <c r="J984" i="2"/>
  <c r="U984" i="2" s="1"/>
  <c r="I984" i="2"/>
  <c r="AL983" i="2"/>
  <c r="AI983" i="2"/>
  <c r="AH983" i="2"/>
  <c r="AF983" i="2"/>
  <c r="AC983" i="2"/>
  <c r="AB983" i="2"/>
  <c r="AA983" i="2"/>
  <c r="W983" i="2"/>
  <c r="S983" i="2"/>
  <c r="P983" i="2"/>
  <c r="X983" i="2" s="1"/>
  <c r="O983" i="2"/>
  <c r="T983" i="2" s="1"/>
  <c r="N983" i="2"/>
  <c r="K983" i="2"/>
  <c r="J983" i="2"/>
  <c r="I983" i="2"/>
  <c r="AL982" i="2"/>
  <c r="AI982" i="2"/>
  <c r="AH982" i="2"/>
  <c r="AF982" i="2"/>
  <c r="AC982" i="2"/>
  <c r="AB982" i="2"/>
  <c r="AA982" i="2"/>
  <c r="W982" i="2"/>
  <c r="S982" i="2"/>
  <c r="P982" i="2"/>
  <c r="X982" i="2" s="1"/>
  <c r="O982" i="2"/>
  <c r="T982" i="2" s="1"/>
  <c r="N982" i="2"/>
  <c r="K982" i="2"/>
  <c r="J982" i="2"/>
  <c r="I982" i="2"/>
  <c r="AL981" i="2"/>
  <c r="AK981" i="2"/>
  <c r="AI981" i="2"/>
  <c r="AH981" i="2"/>
  <c r="AF981" i="2"/>
  <c r="AE981" i="2"/>
  <c r="AC981" i="2"/>
  <c r="AB981" i="2"/>
  <c r="AA981" i="2"/>
  <c r="W981" i="2"/>
  <c r="T981" i="2"/>
  <c r="S981" i="2"/>
  <c r="P981" i="2"/>
  <c r="X981" i="2" s="1"/>
  <c r="O981" i="2"/>
  <c r="N981" i="2"/>
  <c r="K981" i="2"/>
  <c r="J981" i="2"/>
  <c r="AD981" i="2" s="1"/>
  <c r="I981" i="2"/>
  <c r="AL980" i="2"/>
  <c r="AI980" i="2"/>
  <c r="AH980" i="2"/>
  <c r="AF980" i="2"/>
  <c r="AC980" i="2"/>
  <c r="AB980" i="2"/>
  <c r="AA980" i="2"/>
  <c r="Z980" i="2"/>
  <c r="X980" i="2"/>
  <c r="W980" i="2"/>
  <c r="V980" i="2"/>
  <c r="S980" i="2"/>
  <c r="R980" i="2"/>
  <c r="P980" i="2"/>
  <c r="O980" i="2"/>
  <c r="T980" i="2" s="1"/>
  <c r="N980" i="2"/>
  <c r="K980" i="2"/>
  <c r="J980" i="2"/>
  <c r="I980" i="2"/>
  <c r="AL979" i="2"/>
  <c r="AI979" i="2"/>
  <c r="AH979" i="2"/>
  <c r="AF979" i="2"/>
  <c r="AC979" i="2"/>
  <c r="AB979" i="2"/>
  <c r="AA979" i="2"/>
  <c r="X979" i="2"/>
  <c r="W979" i="2"/>
  <c r="T979" i="2"/>
  <c r="S979" i="2"/>
  <c r="P979" i="2"/>
  <c r="O979" i="2"/>
  <c r="N979" i="2"/>
  <c r="K979" i="2"/>
  <c r="J979" i="2"/>
  <c r="Q979" i="2" s="1"/>
  <c r="I979" i="2"/>
  <c r="AL978" i="2"/>
  <c r="AI978" i="2"/>
  <c r="AH978" i="2"/>
  <c r="AG978" i="2"/>
  <c r="AF978" i="2"/>
  <c r="AD978" i="2"/>
  <c r="AC978" i="2"/>
  <c r="AB978" i="2"/>
  <c r="AA978" i="2"/>
  <c r="Z978" i="2"/>
  <c r="Y978" i="2"/>
  <c r="W978" i="2"/>
  <c r="S978" i="2"/>
  <c r="Q978" i="2"/>
  <c r="P978" i="2"/>
  <c r="X978" i="2" s="1"/>
  <c r="O978" i="2"/>
  <c r="T978" i="2" s="1"/>
  <c r="N978" i="2"/>
  <c r="K978" i="2"/>
  <c r="AE978" i="2" s="1"/>
  <c r="J978" i="2"/>
  <c r="U978" i="2" s="1"/>
  <c r="I978" i="2"/>
  <c r="AL977" i="2"/>
  <c r="AI977" i="2"/>
  <c r="AH977" i="2"/>
  <c r="AF977" i="2"/>
  <c r="AE977" i="2"/>
  <c r="AC977" i="2"/>
  <c r="AB977" i="2"/>
  <c r="AA977" i="2"/>
  <c r="Z977" i="2"/>
  <c r="W977" i="2"/>
  <c r="S977" i="2"/>
  <c r="P977" i="2"/>
  <c r="X977" i="2" s="1"/>
  <c r="O977" i="2"/>
  <c r="T977" i="2" s="1"/>
  <c r="N977" i="2"/>
  <c r="K977" i="2"/>
  <c r="J977" i="2"/>
  <c r="I977" i="2"/>
  <c r="AL976" i="2"/>
  <c r="AI976" i="2"/>
  <c r="AH976" i="2"/>
  <c r="AG976" i="2"/>
  <c r="AF976" i="2"/>
  <c r="AD976" i="2"/>
  <c r="AC976" i="2"/>
  <c r="AB976" i="2"/>
  <c r="AA976" i="2"/>
  <c r="X976" i="2"/>
  <c r="W976" i="2"/>
  <c r="S976" i="2"/>
  <c r="P976" i="2"/>
  <c r="O976" i="2"/>
  <c r="T976" i="2" s="1"/>
  <c r="N976" i="2"/>
  <c r="K976" i="2"/>
  <c r="J976" i="2"/>
  <c r="I976" i="2"/>
  <c r="AL975" i="2"/>
  <c r="AI975" i="2"/>
  <c r="AH975" i="2"/>
  <c r="AF975" i="2"/>
  <c r="AD975" i="2"/>
  <c r="AC975" i="2"/>
  <c r="AB975" i="2"/>
  <c r="AA975" i="2"/>
  <c r="W975" i="2"/>
  <c r="U975" i="2"/>
  <c r="S975" i="2"/>
  <c r="P975" i="2"/>
  <c r="X975" i="2" s="1"/>
  <c r="O975" i="2"/>
  <c r="T975" i="2" s="1"/>
  <c r="N975" i="2"/>
  <c r="K975" i="2"/>
  <c r="J975" i="2"/>
  <c r="I975" i="2"/>
  <c r="AL974" i="2"/>
  <c r="AJ974" i="2"/>
  <c r="AI974" i="2"/>
  <c r="AH974" i="2"/>
  <c r="AG974" i="2"/>
  <c r="AF974" i="2"/>
  <c r="AD974" i="2"/>
  <c r="AC974" i="2"/>
  <c r="AB974" i="2"/>
  <c r="AA974" i="2"/>
  <c r="Y974" i="2"/>
  <c r="X974" i="2"/>
  <c r="W974" i="2"/>
  <c r="V974" i="2"/>
  <c r="U974" i="2"/>
  <c r="S974" i="2"/>
  <c r="Q974" i="2"/>
  <c r="P974" i="2"/>
  <c r="O974" i="2"/>
  <c r="T974" i="2" s="1"/>
  <c r="N974" i="2"/>
  <c r="K974" i="2"/>
  <c r="J974" i="2"/>
  <c r="I974" i="2"/>
  <c r="AL973" i="2"/>
  <c r="AI973" i="2"/>
  <c r="AH973" i="2"/>
  <c r="AG973" i="2"/>
  <c r="AF973" i="2"/>
  <c r="AD973" i="2"/>
  <c r="AC973" i="2"/>
  <c r="AB973" i="2"/>
  <c r="AA973" i="2"/>
  <c r="Z973" i="2"/>
  <c r="Y973" i="2"/>
  <c r="W973" i="2"/>
  <c r="S973" i="2"/>
  <c r="P973" i="2"/>
  <c r="X973" i="2" s="1"/>
  <c r="O973" i="2"/>
  <c r="T973" i="2" s="1"/>
  <c r="N973" i="2"/>
  <c r="K973" i="2"/>
  <c r="AK973" i="2" s="1"/>
  <c r="J973" i="2"/>
  <c r="I973" i="2"/>
  <c r="AL972" i="2"/>
  <c r="AI972" i="2"/>
  <c r="AH972" i="2"/>
  <c r="AF972" i="2"/>
  <c r="AE972" i="2"/>
  <c r="AC972" i="2"/>
  <c r="AB972" i="2"/>
  <c r="AA972" i="2"/>
  <c r="Z972" i="2"/>
  <c r="Y972" i="2"/>
  <c r="W972" i="2"/>
  <c r="S972" i="2"/>
  <c r="P972" i="2"/>
  <c r="X972" i="2" s="1"/>
  <c r="O972" i="2"/>
  <c r="T972" i="2" s="1"/>
  <c r="N972" i="2"/>
  <c r="K972" i="2"/>
  <c r="R972" i="2" s="1"/>
  <c r="J972" i="2"/>
  <c r="I972" i="2"/>
  <c r="AL971" i="2"/>
  <c r="AI971" i="2"/>
  <c r="AH971" i="2"/>
  <c r="AF971" i="2"/>
  <c r="AE971" i="2"/>
  <c r="AD971" i="2"/>
  <c r="AC971" i="2"/>
  <c r="AB971" i="2"/>
  <c r="AA971" i="2"/>
  <c r="Y971" i="2"/>
  <c r="W971" i="2"/>
  <c r="U971" i="2"/>
  <c r="S971" i="2"/>
  <c r="P971" i="2"/>
  <c r="X971" i="2" s="1"/>
  <c r="O971" i="2"/>
  <c r="T971" i="2" s="1"/>
  <c r="N971" i="2"/>
  <c r="K971" i="2"/>
  <c r="J971" i="2"/>
  <c r="I971" i="2"/>
  <c r="AL970" i="2"/>
  <c r="AJ970" i="2"/>
  <c r="AI970" i="2"/>
  <c r="AH970" i="2"/>
  <c r="AF970" i="2"/>
  <c r="AD970" i="2"/>
  <c r="AC970" i="2"/>
  <c r="AB970" i="2"/>
  <c r="AA970" i="2"/>
  <c r="Y970" i="2"/>
  <c r="X970" i="2"/>
  <c r="W970" i="2"/>
  <c r="S970" i="2"/>
  <c r="P970" i="2"/>
  <c r="O970" i="2"/>
  <c r="T970" i="2" s="1"/>
  <c r="N970" i="2"/>
  <c r="K970" i="2"/>
  <c r="R970" i="2" s="1"/>
  <c r="J970" i="2"/>
  <c r="U970" i="2" s="1"/>
  <c r="I970" i="2"/>
  <c r="AL969" i="2"/>
  <c r="AK969" i="2"/>
  <c r="AI969" i="2"/>
  <c r="AH969" i="2"/>
  <c r="AG969" i="2"/>
  <c r="AF969" i="2"/>
  <c r="AE969" i="2"/>
  <c r="AC969" i="2"/>
  <c r="AB969" i="2"/>
  <c r="AA969" i="2"/>
  <c r="Y969" i="2"/>
  <c r="W969" i="2"/>
  <c r="T969" i="2"/>
  <c r="S969" i="2"/>
  <c r="Q969" i="2"/>
  <c r="P969" i="2"/>
  <c r="X969" i="2" s="1"/>
  <c r="O969" i="2"/>
  <c r="N969" i="2"/>
  <c r="K969" i="2"/>
  <c r="J969" i="2"/>
  <c r="AD969" i="2" s="1"/>
  <c r="I969" i="2"/>
  <c r="AL968" i="2"/>
  <c r="AI968" i="2"/>
  <c r="AH968" i="2"/>
  <c r="AG968" i="2"/>
  <c r="AF968" i="2"/>
  <c r="AC968" i="2"/>
  <c r="AB968" i="2"/>
  <c r="AA968" i="2"/>
  <c r="Y968" i="2"/>
  <c r="W968" i="2"/>
  <c r="S968" i="2"/>
  <c r="Q968" i="2"/>
  <c r="P968" i="2"/>
  <c r="X968" i="2" s="1"/>
  <c r="O968" i="2"/>
  <c r="T968" i="2" s="1"/>
  <c r="N968" i="2"/>
  <c r="K968" i="2"/>
  <c r="J968" i="2"/>
  <c r="I968" i="2"/>
  <c r="AL967" i="2"/>
  <c r="AJ967" i="2"/>
  <c r="AI967" i="2"/>
  <c r="AH967" i="2"/>
  <c r="AG967" i="2"/>
  <c r="AF967" i="2"/>
  <c r="AE967" i="2"/>
  <c r="AC967" i="2"/>
  <c r="AB967" i="2"/>
  <c r="AA967" i="2"/>
  <c r="Y967" i="2"/>
  <c r="W967" i="2"/>
  <c r="S967" i="2"/>
  <c r="Q967" i="2"/>
  <c r="P967" i="2"/>
  <c r="X967" i="2" s="1"/>
  <c r="O967" i="2"/>
  <c r="T967" i="2" s="1"/>
  <c r="N967" i="2"/>
  <c r="K967" i="2"/>
  <c r="Z967" i="2" s="1"/>
  <c r="J967" i="2"/>
  <c r="AD967" i="2" s="1"/>
  <c r="I967" i="2"/>
  <c r="AL966" i="2"/>
  <c r="AI966" i="2"/>
  <c r="AH966" i="2"/>
  <c r="AF966" i="2"/>
  <c r="AD966" i="2"/>
  <c r="AC966" i="2"/>
  <c r="AB966" i="2"/>
  <c r="AA966" i="2"/>
  <c r="Y966" i="2"/>
  <c r="W966" i="2"/>
  <c r="U966" i="2"/>
  <c r="S966" i="2"/>
  <c r="Q966" i="2"/>
  <c r="P966" i="2"/>
  <c r="X966" i="2" s="1"/>
  <c r="O966" i="2"/>
  <c r="T966" i="2" s="1"/>
  <c r="N966" i="2"/>
  <c r="K966" i="2"/>
  <c r="Z966" i="2" s="1"/>
  <c r="J966" i="2"/>
  <c r="AG966" i="2" s="1"/>
  <c r="I966" i="2"/>
  <c r="AL965" i="2"/>
  <c r="AI965" i="2"/>
  <c r="AH965" i="2"/>
  <c r="AF965" i="2"/>
  <c r="AD965" i="2"/>
  <c r="AC965" i="2"/>
  <c r="AB965" i="2"/>
  <c r="AA965" i="2"/>
  <c r="W965" i="2"/>
  <c r="T965" i="2"/>
  <c r="S965" i="2"/>
  <c r="Q965" i="2"/>
  <c r="P965" i="2"/>
  <c r="X965" i="2" s="1"/>
  <c r="O965" i="2"/>
  <c r="N965" i="2"/>
  <c r="K965" i="2"/>
  <c r="J965" i="2"/>
  <c r="I965" i="2"/>
  <c r="AL964" i="2"/>
  <c r="AK964" i="2"/>
  <c r="AI964" i="2"/>
  <c r="AH964" i="2"/>
  <c r="AG964" i="2"/>
  <c r="AF964" i="2"/>
  <c r="AE964" i="2"/>
  <c r="AD964" i="2"/>
  <c r="AC964" i="2"/>
  <c r="AB964" i="2"/>
  <c r="AA964" i="2"/>
  <c r="Z964" i="2"/>
  <c r="Y964" i="2"/>
  <c r="W964" i="2"/>
  <c r="V964" i="2"/>
  <c r="U964" i="2"/>
  <c r="S964" i="2"/>
  <c r="R964" i="2"/>
  <c r="Q964" i="2"/>
  <c r="P964" i="2"/>
  <c r="X964" i="2" s="1"/>
  <c r="O964" i="2"/>
  <c r="T964" i="2" s="1"/>
  <c r="N964" i="2"/>
  <c r="K964" i="2"/>
  <c r="J964" i="2"/>
  <c r="AJ964" i="2" s="1"/>
  <c r="I964" i="2"/>
  <c r="AL963" i="2"/>
  <c r="AJ963" i="2"/>
  <c r="AI963" i="2"/>
  <c r="AH963" i="2"/>
  <c r="AG963" i="2"/>
  <c r="AF963" i="2"/>
  <c r="AE963" i="2"/>
  <c r="AC963" i="2"/>
  <c r="AB963" i="2"/>
  <c r="AA963" i="2"/>
  <c r="Z963" i="2"/>
  <c r="Y963" i="2"/>
  <c r="W963" i="2"/>
  <c r="U963" i="2"/>
  <c r="S963" i="2"/>
  <c r="P963" i="2"/>
  <c r="X963" i="2" s="1"/>
  <c r="O963" i="2"/>
  <c r="T963" i="2" s="1"/>
  <c r="N963" i="2"/>
  <c r="K963" i="2"/>
  <c r="J963" i="2"/>
  <c r="I963" i="2"/>
  <c r="AL962" i="2"/>
  <c r="AI962" i="2"/>
  <c r="AH962" i="2"/>
  <c r="AG962" i="2"/>
  <c r="AF962" i="2"/>
  <c r="AC962" i="2"/>
  <c r="AB962" i="2"/>
  <c r="AA962" i="2"/>
  <c r="W962" i="2"/>
  <c r="U962" i="2"/>
  <c r="S962" i="2"/>
  <c r="P962" i="2"/>
  <c r="X962" i="2" s="1"/>
  <c r="O962" i="2"/>
  <c r="T962" i="2" s="1"/>
  <c r="N962" i="2"/>
  <c r="K962" i="2"/>
  <c r="J962" i="2"/>
  <c r="I962" i="2"/>
  <c r="AL961" i="2"/>
  <c r="AI961" i="2"/>
  <c r="AH961" i="2"/>
  <c r="AF961" i="2"/>
  <c r="AC961" i="2"/>
  <c r="AB961" i="2"/>
  <c r="AA961" i="2"/>
  <c r="W961" i="2"/>
  <c r="S961" i="2"/>
  <c r="P961" i="2"/>
  <c r="X961" i="2" s="1"/>
  <c r="O961" i="2"/>
  <c r="T961" i="2" s="1"/>
  <c r="N961" i="2"/>
  <c r="K961" i="2"/>
  <c r="J961" i="2"/>
  <c r="I961" i="2"/>
  <c r="AL960" i="2"/>
  <c r="AI960" i="2"/>
  <c r="AH960" i="2"/>
  <c r="AG960" i="2"/>
  <c r="AF960" i="2"/>
  <c r="AD960" i="2"/>
  <c r="AC960" i="2"/>
  <c r="AB960" i="2"/>
  <c r="AA960" i="2"/>
  <c r="W960" i="2"/>
  <c r="V960" i="2"/>
  <c r="U960" i="2"/>
  <c r="S960" i="2"/>
  <c r="Q960" i="2"/>
  <c r="P960" i="2"/>
  <c r="X960" i="2" s="1"/>
  <c r="O960" i="2"/>
  <c r="T960" i="2" s="1"/>
  <c r="N960" i="2"/>
  <c r="K960" i="2"/>
  <c r="J960" i="2"/>
  <c r="Y960" i="2" s="1"/>
  <c r="I960" i="2"/>
  <c r="AL959" i="2"/>
  <c r="AJ959" i="2"/>
  <c r="AI959" i="2"/>
  <c r="AH959" i="2"/>
  <c r="AG959" i="2"/>
  <c r="AF959" i="2"/>
  <c r="AD959" i="2"/>
  <c r="AC959" i="2"/>
  <c r="AB959" i="2"/>
  <c r="AA959" i="2"/>
  <c r="W959" i="2"/>
  <c r="U959" i="2"/>
  <c r="S959" i="2"/>
  <c r="Q959" i="2"/>
  <c r="P959" i="2"/>
  <c r="X959" i="2" s="1"/>
  <c r="O959" i="2"/>
  <c r="T959" i="2" s="1"/>
  <c r="N959" i="2"/>
  <c r="K959" i="2"/>
  <c r="AE959" i="2" s="1"/>
  <c r="J959" i="2"/>
  <c r="Y959" i="2" s="1"/>
  <c r="I959" i="2"/>
  <c r="AL958" i="2"/>
  <c r="AK958" i="2"/>
  <c r="AI958" i="2"/>
  <c r="AH958" i="2"/>
  <c r="AG958" i="2"/>
  <c r="AF958" i="2"/>
  <c r="AE958" i="2"/>
  <c r="AD958" i="2"/>
  <c r="AC958" i="2"/>
  <c r="AB958" i="2"/>
  <c r="AA958" i="2"/>
  <c r="Y958" i="2"/>
  <c r="W958" i="2"/>
  <c r="U958" i="2"/>
  <c r="S958" i="2"/>
  <c r="R958" i="2"/>
  <c r="Q958" i="2"/>
  <c r="P958" i="2"/>
  <c r="X958" i="2" s="1"/>
  <c r="O958" i="2"/>
  <c r="T958" i="2" s="1"/>
  <c r="N958" i="2"/>
  <c r="K958" i="2"/>
  <c r="J958" i="2"/>
  <c r="AJ958" i="2" s="1"/>
  <c r="I958" i="2"/>
  <c r="AL957" i="2"/>
  <c r="AK957" i="2"/>
  <c r="AJ957" i="2"/>
  <c r="AI957" i="2"/>
  <c r="AH957" i="2"/>
  <c r="AG957" i="2"/>
  <c r="AF957" i="2"/>
  <c r="AD957" i="2"/>
  <c r="AC957" i="2"/>
  <c r="AB957" i="2"/>
  <c r="AA957" i="2"/>
  <c r="Y957" i="2"/>
  <c r="W957" i="2"/>
  <c r="U957" i="2"/>
  <c r="S957" i="2"/>
  <c r="Q957" i="2"/>
  <c r="P957" i="2"/>
  <c r="X957" i="2" s="1"/>
  <c r="O957" i="2"/>
  <c r="T957" i="2" s="1"/>
  <c r="N957" i="2"/>
  <c r="K957" i="2"/>
  <c r="J957" i="2"/>
  <c r="I957" i="2"/>
  <c r="AL956" i="2"/>
  <c r="AK956" i="2"/>
  <c r="AJ956" i="2"/>
  <c r="AI956" i="2"/>
  <c r="AH956" i="2"/>
  <c r="AF956" i="2"/>
  <c r="AC956" i="2"/>
  <c r="AB956" i="2"/>
  <c r="AA956" i="2"/>
  <c r="Z956" i="2"/>
  <c r="Y956" i="2"/>
  <c r="X956" i="2"/>
  <c r="W956" i="2"/>
  <c r="V956" i="2"/>
  <c r="U956" i="2"/>
  <c r="S956" i="2"/>
  <c r="P956" i="2"/>
  <c r="O956" i="2"/>
  <c r="T956" i="2" s="1"/>
  <c r="N956" i="2"/>
  <c r="K956" i="2"/>
  <c r="AE956" i="2" s="1"/>
  <c r="J956" i="2"/>
  <c r="Q956" i="2" s="1"/>
  <c r="I956" i="2"/>
  <c r="AL955" i="2"/>
  <c r="AI955" i="2"/>
  <c r="AH955" i="2"/>
  <c r="AF955" i="2"/>
  <c r="AE955" i="2"/>
  <c r="AC955" i="2"/>
  <c r="AB955" i="2"/>
  <c r="AA955" i="2"/>
  <c r="Z955" i="2"/>
  <c r="Y955" i="2"/>
  <c r="X955" i="2"/>
  <c r="W955" i="2"/>
  <c r="S955" i="2"/>
  <c r="P955" i="2"/>
  <c r="O955" i="2"/>
  <c r="T955" i="2" s="1"/>
  <c r="N955" i="2"/>
  <c r="K955" i="2"/>
  <c r="J955" i="2"/>
  <c r="AJ955" i="2" s="1"/>
  <c r="I955" i="2"/>
  <c r="AL954" i="2"/>
  <c r="AI954" i="2"/>
  <c r="AH954" i="2"/>
  <c r="AF954" i="2"/>
  <c r="AE954" i="2"/>
  <c r="AD954" i="2"/>
  <c r="AC954" i="2"/>
  <c r="AB954" i="2"/>
  <c r="AA954" i="2"/>
  <c r="Z954" i="2"/>
  <c r="Y954" i="2"/>
  <c r="W954" i="2"/>
  <c r="V954" i="2"/>
  <c r="S954" i="2"/>
  <c r="R954" i="2"/>
  <c r="P954" i="2"/>
  <c r="X954" i="2" s="1"/>
  <c r="O954" i="2"/>
  <c r="T954" i="2" s="1"/>
  <c r="N954" i="2"/>
  <c r="K954" i="2"/>
  <c r="AK954" i="2" s="1"/>
  <c r="J954" i="2"/>
  <c r="AJ954" i="2" s="1"/>
  <c r="I954" i="2"/>
  <c r="AL953" i="2"/>
  <c r="AJ953" i="2"/>
  <c r="AI953" i="2"/>
  <c r="AH953" i="2"/>
  <c r="AG953" i="2"/>
  <c r="AF953" i="2"/>
  <c r="AD953" i="2"/>
  <c r="AC953" i="2"/>
  <c r="AB953" i="2"/>
  <c r="AA953" i="2"/>
  <c r="W953" i="2"/>
  <c r="S953" i="2"/>
  <c r="P953" i="2"/>
  <c r="X953" i="2" s="1"/>
  <c r="O953" i="2"/>
  <c r="T953" i="2" s="1"/>
  <c r="N953" i="2"/>
  <c r="K953" i="2"/>
  <c r="J953" i="2"/>
  <c r="Y953" i="2" s="1"/>
  <c r="I953" i="2"/>
  <c r="AL952" i="2"/>
  <c r="AJ952" i="2"/>
  <c r="AI952" i="2"/>
  <c r="AH952" i="2"/>
  <c r="AG952" i="2"/>
  <c r="AF952" i="2"/>
  <c r="AD952" i="2"/>
  <c r="AC952" i="2"/>
  <c r="AB952" i="2"/>
  <c r="AA952" i="2"/>
  <c r="W952" i="2"/>
  <c r="V952" i="2"/>
  <c r="U952" i="2"/>
  <c r="S952" i="2"/>
  <c r="R952" i="2"/>
  <c r="Q952" i="2"/>
  <c r="P952" i="2"/>
  <c r="X952" i="2" s="1"/>
  <c r="O952" i="2"/>
  <c r="T952" i="2" s="1"/>
  <c r="N952" i="2"/>
  <c r="K952" i="2"/>
  <c r="J952" i="2"/>
  <c r="Y952" i="2" s="1"/>
  <c r="I952" i="2"/>
  <c r="AL951" i="2"/>
  <c r="AJ951" i="2"/>
  <c r="AI951" i="2"/>
  <c r="AH951" i="2"/>
  <c r="AG951" i="2"/>
  <c r="AF951" i="2"/>
  <c r="AD951" i="2"/>
  <c r="AC951" i="2"/>
  <c r="AB951" i="2"/>
  <c r="AA951" i="2"/>
  <c r="Z951" i="2"/>
  <c r="Y951" i="2"/>
  <c r="W951" i="2"/>
  <c r="U951" i="2"/>
  <c r="T951" i="2"/>
  <c r="S951" i="2"/>
  <c r="Q951" i="2"/>
  <c r="P951" i="2"/>
  <c r="X951" i="2" s="1"/>
  <c r="O951" i="2"/>
  <c r="N951" i="2"/>
  <c r="K951" i="2"/>
  <c r="J951" i="2"/>
  <c r="I951" i="2"/>
  <c r="AL950" i="2"/>
  <c r="AJ950" i="2"/>
  <c r="AI950" i="2"/>
  <c r="AH950" i="2"/>
  <c r="AG950" i="2"/>
  <c r="AF950" i="2"/>
  <c r="AC950" i="2"/>
  <c r="AB950" i="2"/>
  <c r="AA950" i="2"/>
  <c r="Y950" i="2"/>
  <c r="W950" i="2"/>
  <c r="U950" i="2"/>
  <c r="T950" i="2"/>
  <c r="S950" i="2"/>
  <c r="Q950" i="2"/>
  <c r="P950" i="2"/>
  <c r="X950" i="2" s="1"/>
  <c r="O950" i="2"/>
  <c r="N950" i="2"/>
  <c r="K950" i="2"/>
  <c r="J950" i="2"/>
  <c r="AD950" i="2" s="1"/>
  <c r="I950" i="2"/>
  <c r="AL949" i="2"/>
  <c r="AJ949" i="2"/>
  <c r="AI949" i="2"/>
  <c r="AH949" i="2"/>
  <c r="AG949" i="2"/>
  <c r="AF949" i="2"/>
  <c r="AD949" i="2"/>
  <c r="AC949" i="2"/>
  <c r="AB949" i="2"/>
  <c r="AA949" i="2"/>
  <c r="Y949" i="2"/>
  <c r="W949" i="2"/>
  <c r="U949" i="2"/>
  <c r="S949" i="2"/>
  <c r="Q949" i="2"/>
  <c r="P949" i="2"/>
  <c r="X949" i="2" s="1"/>
  <c r="O949" i="2"/>
  <c r="T949" i="2" s="1"/>
  <c r="N949" i="2"/>
  <c r="K949" i="2"/>
  <c r="AE949" i="2" s="1"/>
  <c r="J949" i="2"/>
  <c r="I949" i="2"/>
  <c r="AL948" i="2"/>
  <c r="AJ948" i="2"/>
  <c r="AI948" i="2"/>
  <c r="AH948" i="2"/>
  <c r="AG948" i="2"/>
  <c r="AF948" i="2"/>
  <c r="AC948" i="2"/>
  <c r="AB948" i="2"/>
  <c r="AA948" i="2"/>
  <c r="W948" i="2"/>
  <c r="S948" i="2"/>
  <c r="P948" i="2"/>
  <c r="X948" i="2" s="1"/>
  <c r="O948" i="2"/>
  <c r="T948" i="2" s="1"/>
  <c r="N948" i="2"/>
  <c r="K948" i="2"/>
  <c r="J948" i="2"/>
  <c r="Y948" i="2" s="1"/>
  <c r="I948" i="2"/>
  <c r="AL947" i="2"/>
  <c r="AJ947" i="2"/>
  <c r="AI947" i="2"/>
  <c r="AH947" i="2"/>
  <c r="AG947" i="2"/>
  <c r="AF947" i="2"/>
  <c r="AE947" i="2"/>
  <c r="AD947" i="2"/>
  <c r="AC947" i="2"/>
  <c r="AB947" i="2"/>
  <c r="AA947" i="2"/>
  <c r="W947" i="2"/>
  <c r="S947" i="2"/>
  <c r="P947" i="2"/>
  <c r="X947" i="2" s="1"/>
  <c r="O947" i="2"/>
  <c r="T947" i="2" s="1"/>
  <c r="N947" i="2"/>
  <c r="K947" i="2"/>
  <c r="AK947" i="2" s="1"/>
  <c r="J947" i="2"/>
  <c r="Q947" i="2" s="1"/>
  <c r="I947" i="2"/>
  <c r="AL946" i="2"/>
  <c r="AI946" i="2"/>
  <c r="AH946" i="2"/>
  <c r="AG946" i="2"/>
  <c r="AF946" i="2"/>
  <c r="AE946" i="2"/>
  <c r="AD946" i="2"/>
  <c r="AC946" i="2"/>
  <c r="AB946" i="2"/>
  <c r="AA946" i="2"/>
  <c r="Z946" i="2"/>
  <c r="Y946" i="2"/>
  <c r="W946" i="2"/>
  <c r="V946" i="2"/>
  <c r="U946" i="2"/>
  <c r="S946" i="2"/>
  <c r="R946" i="2"/>
  <c r="Q946" i="2"/>
  <c r="P946" i="2"/>
  <c r="X946" i="2" s="1"/>
  <c r="O946" i="2"/>
  <c r="T946" i="2" s="1"/>
  <c r="N946" i="2"/>
  <c r="K946" i="2"/>
  <c r="AK946" i="2" s="1"/>
  <c r="J946" i="2"/>
  <c r="AJ946" i="2" s="1"/>
  <c r="I946" i="2"/>
  <c r="AL945" i="2"/>
  <c r="AJ945" i="2"/>
  <c r="AI945" i="2"/>
  <c r="AH945" i="2"/>
  <c r="AG945" i="2"/>
  <c r="AF945" i="2"/>
  <c r="AD945" i="2"/>
  <c r="AC945" i="2"/>
  <c r="AB945" i="2"/>
  <c r="AA945" i="2"/>
  <c r="Y945" i="2"/>
  <c r="W945" i="2"/>
  <c r="U945" i="2"/>
  <c r="T945" i="2"/>
  <c r="S945" i="2"/>
  <c r="Q945" i="2"/>
  <c r="P945" i="2"/>
  <c r="X945" i="2" s="1"/>
  <c r="O945" i="2"/>
  <c r="N945" i="2"/>
  <c r="K945" i="2"/>
  <c r="AE945" i="2" s="1"/>
  <c r="J945" i="2"/>
  <c r="I945" i="2"/>
  <c r="AL944" i="2"/>
  <c r="AK944" i="2"/>
  <c r="AJ944" i="2"/>
  <c r="AI944" i="2"/>
  <c r="AH944" i="2"/>
  <c r="AF944" i="2"/>
  <c r="AD944" i="2"/>
  <c r="AC944" i="2"/>
  <c r="AB944" i="2"/>
  <c r="AA944" i="2"/>
  <c r="Z944" i="2"/>
  <c r="W944" i="2"/>
  <c r="V944" i="2"/>
  <c r="U944" i="2"/>
  <c r="T944" i="2"/>
  <c r="S944" i="2"/>
  <c r="P944" i="2"/>
  <c r="X944" i="2" s="1"/>
  <c r="O944" i="2"/>
  <c r="N944" i="2"/>
  <c r="K944" i="2"/>
  <c r="J944" i="2"/>
  <c r="I944" i="2"/>
  <c r="AL943" i="2"/>
  <c r="AI943" i="2"/>
  <c r="AH943" i="2"/>
  <c r="AF943" i="2"/>
  <c r="AE943" i="2"/>
  <c r="AD943" i="2"/>
  <c r="AC943" i="2"/>
  <c r="AB943" i="2"/>
  <c r="AA943" i="2"/>
  <c r="Z943" i="2"/>
  <c r="Y943" i="2"/>
  <c r="W943" i="2"/>
  <c r="S943" i="2"/>
  <c r="Q943" i="2"/>
  <c r="P943" i="2"/>
  <c r="X943" i="2" s="1"/>
  <c r="O943" i="2"/>
  <c r="T943" i="2" s="1"/>
  <c r="N943" i="2"/>
  <c r="K943" i="2"/>
  <c r="J943" i="2"/>
  <c r="I943" i="2"/>
  <c r="AL942" i="2"/>
  <c r="AJ942" i="2"/>
  <c r="AI942" i="2"/>
  <c r="AH942" i="2"/>
  <c r="AG942" i="2"/>
  <c r="AF942" i="2"/>
  <c r="AE942" i="2"/>
  <c r="AD942" i="2"/>
  <c r="AC942" i="2"/>
  <c r="AB942" i="2"/>
  <c r="AA942" i="2"/>
  <c r="Y942" i="2"/>
  <c r="W942" i="2"/>
  <c r="S942" i="2"/>
  <c r="Q942" i="2"/>
  <c r="P942" i="2"/>
  <c r="X942" i="2" s="1"/>
  <c r="O942" i="2"/>
  <c r="T942" i="2" s="1"/>
  <c r="N942" i="2"/>
  <c r="K942" i="2"/>
  <c r="J942" i="2"/>
  <c r="U942" i="2" s="1"/>
  <c r="I942" i="2"/>
  <c r="AL941" i="2"/>
  <c r="AI941" i="2"/>
  <c r="AH941" i="2"/>
  <c r="AG941" i="2"/>
  <c r="AF941" i="2"/>
  <c r="AE941" i="2"/>
  <c r="AD941" i="2"/>
  <c r="AC941" i="2"/>
  <c r="AB941" i="2"/>
  <c r="AA941" i="2"/>
  <c r="W941" i="2"/>
  <c r="S941" i="2"/>
  <c r="P941" i="2"/>
  <c r="X941" i="2" s="1"/>
  <c r="O941" i="2"/>
  <c r="T941" i="2" s="1"/>
  <c r="N941" i="2"/>
  <c r="K941" i="2"/>
  <c r="J941" i="2"/>
  <c r="U941" i="2" s="1"/>
  <c r="I941" i="2"/>
  <c r="AL940" i="2"/>
  <c r="AI940" i="2"/>
  <c r="AH940" i="2"/>
  <c r="AG940" i="2"/>
  <c r="AF940" i="2"/>
  <c r="AD940" i="2"/>
  <c r="AC940" i="2"/>
  <c r="AB940" i="2"/>
  <c r="AA940" i="2"/>
  <c r="X940" i="2"/>
  <c r="W940" i="2"/>
  <c r="S940" i="2"/>
  <c r="P940" i="2"/>
  <c r="O940" i="2"/>
  <c r="T940" i="2" s="1"/>
  <c r="N940" i="2"/>
  <c r="K940" i="2"/>
  <c r="AK940" i="2" s="1"/>
  <c r="J940" i="2"/>
  <c r="Y940" i="2" s="1"/>
  <c r="I940" i="2"/>
  <c r="AL939" i="2"/>
  <c r="AI939" i="2"/>
  <c r="AH939" i="2"/>
  <c r="AF939" i="2"/>
  <c r="AC939" i="2"/>
  <c r="AB939" i="2"/>
  <c r="AA939" i="2"/>
  <c r="W939" i="2"/>
  <c r="S939" i="2"/>
  <c r="P939" i="2"/>
  <c r="X939" i="2" s="1"/>
  <c r="O939" i="2"/>
  <c r="T939" i="2" s="1"/>
  <c r="N939" i="2"/>
  <c r="K939" i="2"/>
  <c r="Z939" i="2" s="1"/>
  <c r="J939" i="2"/>
  <c r="AG939" i="2" s="1"/>
  <c r="I939" i="2"/>
  <c r="AL938" i="2"/>
  <c r="AJ938" i="2"/>
  <c r="AI938" i="2"/>
  <c r="AH938" i="2"/>
  <c r="AG938" i="2"/>
  <c r="AF938" i="2"/>
  <c r="AE938" i="2"/>
  <c r="AD938" i="2"/>
  <c r="AC938" i="2"/>
  <c r="AB938" i="2"/>
  <c r="AA938" i="2"/>
  <c r="Y938" i="2"/>
  <c r="W938" i="2"/>
  <c r="U938" i="2"/>
  <c r="S938" i="2"/>
  <c r="Q938" i="2"/>
  <c r="P938" i="2"/>
  <c r="X938" i="2" s="1"/>
  <c r="O938" i="2"/>
  <c r="T938" i="2" s="1"/>
  <c r="N938" i="2"/>
  <c r="K938" i="2"/>
  <c r="Z938" i="2" s="1"/>
  <c r="J938" i="2"/>
  <c r="I938" i="2"/>
  <c r="AL937" i="2"/>
  <c r="AJ937" i="2"/>
  <c r="AI937" i="2"/>
  <c r="AH937" i="2"/>
  <c r="AG937" i="2"/>
  <c r="AF937" i="2"/>
  <c r="AE937" i="2"/>
  <c r="AD937" i="2"/>
  <c r="AC937" i="2"/>
  <c r="AB937" i="2"/>
  <c r="AA937" i="2"/>
  <c r="Z937" i="2"/>
  <c r="Y937" i="2"/>
  <c r="W937" i="2"/>
  <c r="U937" i="2"/>
  <c r="S937" i="2"/>
  <c r="Q937" i="2"/>
  <c r="P937" i="2"/>
  <c r="X937" i="2" s="1"/>
  <c r="O937" i="2"/>
  <c r="T937" i="2" s="1"/>
  <c r="N937" i="2"/>
  <c r="K937" i="2"/>
  <c r="J937" i="2"/>
  <c r="I937" i="2"/>
  <c r="AL936" i="2"/>
  <c r="AJ936" i="2"/>
  <c r="AI936" i="2"/>
  <c r="AH936" i="2"/>
  <c r="AG936" i="2"/>
  <c r="AF936" i="2"/>
  <c r="AC936" i="2"/>
  <c r="AB936" i="2"/>
  <c r="AA936" i="2"/>
  <c r="Z936" i="2"/>
  <c r="Y936" i="2"/>
  <c r="W936" i="2"/>
  <c r="V936" i="2"/>
  <c r="U936" i="2"/>
  <c r="T936" i="2"/>
  <c r="S936" i="2"/>
  <c r="Q936" i="2"/>
  <c r="P936" i="2"/>
  <c r="X936" i="2" s="1"/>
  <c r="O936" i="2"/>
  <c r="N936" i="2"/>
  <c r="K936" i="2"/>
  <c r="J936" i="2"/>
  <c r="AD936" i="2" s="1"/>
  <c r="I936" i="2"/>
  <c r="AL935" i="2"/>
  <c r="AI935" i="2"/>
  <c r="AH935" i="2"/>
  <c r="AF935" i="2"/>
  <c r="AE935" i="2"/>
  <c r="AC935" i="2"/>
  <c r="AB935" i="2"/>
  <c r="AA935" i="2"/>
  <c r="X935" i="2"/>
  <c r="W935" i="2"/>
  <c r="S935" i="2"/>
  <c r="Q935" i="2"/>
  <c r="P935" i="2"/>
  <c r="O935" i="2"/>
  <c r="T935" i="2" s="1"/>
  <c r="N935" i="2"/>
  <c r="K935" i="2"/>
  <c r="Z935" i="2" s="1"/>
  <c r="J935" i="2"/>
  <c r="I935" i="2"/>
  <c r="AL934" i="2"/>
  <c r="AK934" i="2"/>
  <c r="AJ934" i="2"/>
  <c r="AI934" i="2"/>
  <c r="AH934" i="2"/>
  <c r="AF934" i="2"/>
  <c r="AE934" i="2"/>
  <c r="AD934" i="2"/>
  <c r="AC934" i="2"/>
  <c r="AB934" i="2"/>
  <c r="AA934" i="2"/>
  <c r="Y934" i="2"/>
  <c r="W934" i="2"/>
  <c r="U934" i="2"/>
  <c r="S934" i="2"/>
  <c r="Q934" i="2"/>
  <c r="P934" i="2"/>
  <c r="X934" i="2" s="1"/>
  <c r="O934" i="2"/>
  <c r="T934" i="2" s="1"/>
  <c r="N934" i="2"/>
  <c r="K934" i="2"/>
  <c r="R934" i="2" s="1"/>
  <c r="J934" i="2"/>
  <c r="AG934" i="2" s="1"/>
  <c r="I934" i="2"/>
  <c r="AL933" i="2"/>
  <c r="AJ933" i="2"/>
  <c r="AI933" i="2"/>
  <c r="AH933" i="2"/>
  <c r="AG933" i="2"/>
  <c r="AF933" i="2"/>
  <c r="AD933" i="2"/>
  <c r="AC933" i="2"/>
  <c r="AB933" i="2"/>
  <c r="AA933" i="2"/>
  <c r="Y933" i="2"/>
  <c r="W933" i="2"/>
  <c r="S933" i="2"/>
  <c r="Q933" i="2"/>
  <c r="P933" i="2"/>
  <c r="X933" i="2" s="1"/>
  <c r="O933" i="2"/>
  <c r="T933" i="2" s="1"/>
  <c r="N933" i="2"/>
  <c r="K933" i="2"/>
  <c r="J933" i="2"/>
  <c r="U933" i="2" s="1"/>
  <c r="I933" i="2"/>
  <c r="AL932" i="2"/>
  <c r="AK932" i="2"/>
  <c r="AI932" i="2"/>
  <c r="AH932" i="2"/>
  <c r="AG932" i="2"/>
  <c r="AF932" i="2"/>
  <c r="AD932" i="2"/>
  <c r="AC932" i="2"/>
  <c r="AB932" i="2"/>
  <c r="AA932" i="2"/>
  <c r="Y932" i="2"/>
  <c r="W932" i="2"/>
  <c r="U932" i="2"/>
  <c r="S932" i="2"/>
  <c r="Q932" i="2"/>
  <c r="P932" i="2"/>
  <c r="X932" i="2" s="1"/>
  <c r="O932" i="2"/>
  <c r="T932" i="2" s="1"/>
  <c r="N932" i="2"/>
  <c r="K932" i="2"/>
  <c r="Z932" i="2" s="1"/>
  <c r="J932" i="2"/>
  <c r="AJ932" i="2" s="1"/>
  <c r="I932" i="2"/>
  <c r="AL931" i="2"/>
  <c r="AJ931" i="2"/>
  <c r="AI931" i="2"/>
  <c r="AH931" i="2"/>
  <c r="AF931" i="2"/>
  <c r="AC931" i="2"/>
  <c r="AB931" i="2"/>
  <c r="AA931" i="2"/>
  <c r="Z931" i="2"/>
  <c r="W931" i="2"/>
  <c r="S931" i="2"/>
  <c r="P931" i="2"/>
  <c r="X931" i="2" s="1"/>
  <c r="O931" i="2"/>
  <c r="T931" i="2" s="1"/>
  <c r="N931" i="2"/>
  <c r="K931" i="2"/>
  <c r="AK931" i="2" s="1"/>
  <c r="J931" i="2"/>
  <c r="I931" i="2"/>
  <c r="AL930" i="2"/>
  <c r="AI930" i="2"/>
  <c r="AH930" i="2"/>
  <c r="AF930" i="2"/>
  <c r="AC930" i="2"/>
  <c r="AB930" i="2"/>
  <c r="AA930" i="2"/>
  <c r="W930" i="2"/>
  <c r="S930" i="2"/>
  <c r="P930" i="2"/>
  <c r="X930" i="2" s="1"/>
  <c r="O930" i="2"/>
  <c r="T930" i="2" s="1"/>
  <c r="N930" i="2"/>
  <c r="K930" i="2"/>
  <c r="J930" i="2"/>
  <c r="I930" i="2"/>
  <c r="AL929" i="2"/>
  <c r="AI929" i="2"/>
  <c r="AH929" i="2"/>
  <c r="AG929" i="2"/>
  <c r="AF929" i="2"/>
  <c r="AD929" i="2"/>
  <c r="AC929" i="2"/>
  <c r="AB929" i="2"/>
  <c r="AA929" i="2"/>
  <c r="Y929" i="2"/>
  <c r="W929" i="2"/>
  <c r="U929" i="2"/>
  <c r="S929" i="2"/>
  <c r="Q929" i="2"/>
  <c r="P929" i="2"/>
  <c r="X929" i="2" s="1"/>
  <c r="O929" i="2"/>
  <c r="T929" i="2" s="1"/>
  <c r="N929" i="2"/>
  <c r="K929" i="2"/>
  <c r="J929" i="2"/>
  <c r="AJ929" i="2" s="1"/>
  <c r="I929" i="2"/>
  <c r="AL928" i="2"/>
  <c r="AJ928" i="2"/>
  <c r="AI928" i="2"/>
  <c r="AH928" i="2"/>
  <c r="AG928" i="2"/>
  <c r="AF928" i="2"/>
  <c r="AD928" i="2"/>
  <c r="AC928" i="2"/>
  <c r="AB928" i="2"/>
  <c r="AA928" i="2"/>
  <c r="X928" i="2"/>
  <c r="W928" i="2"/>
  <c r="U928" i="2"/>
  <c r="S928" i="2"/>
  <c r="Q928" i="2"/>
  <c r="P928" i="2"/>
  <c r="O928" i="2"/>
  <c r="T928" i="2" s="1"/>
  <c r="N928" i="2"/>
  <c r="K928" i="2"/>
  <c r="J928" i="2"/>
  <c r="Y928" i="2" s="1"/>
  <c r="I928" i="2"/>
  <c r="AL927" i="2"/>
  <c r="AK927" i="2"/>
  <c r="AJ927" i="2"/>
  <c r="AI927" i="2"/>
  <c r="AH927" i="2"/>
  <c r="AG927" i="2"/>
  <c r="AF927" i="2"/>
  <c r="AE927" i="2"/>
  <c r="AC927" i="2"/>
  <c r="AB927" i="2"/>
  <c r="AA927" i="2"/>
  <c r="W927" i="2"/>
  <c r="U927" i="2"/>
  <c r="S927" i="2"/>
  <c r="R927" i="2"/>
  <c r="Q927" i="2"/>
  <c r="P927" i="2"/>
  <c r="X927" i="2" s="1"/>
  <c r="O927" i="2"/>
  <c r="T927" i="2" s="1"/>
  <c r="N927" i="2"/>
  <c r="K927" i="2"/>
  <c r="J927" i="2"/>
  <c r="I927" i="2"/>
  <c r="AL926" i="2"/>
  <c r="AJ926" i="2"/>
  <c r="AI926" i="2"/>
  <c r="AH926" i="2"/>
  <c r="AG926" i="2"/>
  <c r="AF926" i="2"/>
  <c r="AE926" i="2"/>
  <c r="AD926" i="2"/>
  <c r="AC926" i="2"/>
  <c r="AB926" i="2"/>
  <c r="AA926" i="2"/>
  <c r="Y926" i="2"/>
  <c r="X926" i="2"/>
  <c r="W926" i="2"/>
  <c r="V926" i="2"/>
  <c r="U926" i="2"/>
  <c r="S926" i="2"/>
  <c r="R926" i="2"/>
  <c r="P926" i="2"/>
  <c r="O926" i="2"/>
  <c r="T926" i="2" s="1"/>
  <c r="N926" i="2"/>
  <c r="K926" i="2"/>
  <c r="Z926" i="2" s="1"/>
  <c r="J926" i="2"/>
  <c r="Q926" i="2" s="1"/>
  <c r="I926" i="2"/>
  <c r="AL925" i="2"/>
  <c r="AJ925" i="2"/>
  <c r="AI925" i="2"/>
  <c r="AH925" i="2"/>
  <c r="AF925" i="2"/>
  <c r="AC925" i="2"/>
  <c r="AB925" i="2"/>
  <c r="AA925" i="2"/>
  <c r="W925" i="2"/>
  <c r="T925" i="2"/>
  <c r="S925" i="2"/>
  <c r="P925" i="2"/>
  <c r="X925" i="2" s="1"/>
  <c r="O925" i="2"/>
  <c r="N925" i="2"/>
  <c r="K925" i="2"/>
  <c r="J925" i="2"/>
  <c r="U925" i="2" s="1"/>
  <c r="I925" i="2"/>
  <c r="AL924" i="2"/>
  <c r="AI924" i="2"/>
  <c r="AH924" i="2"/>
  <c r="AG924" i="2"/>
  <c r="AF924" i="2"/>
  <c r="AD924" i="2"/>
  <c r="AC924" i="2"/>
  <c r="AB924" i="2"/>
  <c r="AA924" i="2"/>
  <c r="Y924" i="2"/>
  <c r="W924" i="2"/>
  <c r="U924" i="2"/>
  <c r="S924" i="2"/>
  <c r="Q924" i="2"/>
  <c r="P924" i="2"/>
  <c r="X924" i="2" s="1"/>
  <c r="O924" i="2"/>
  <c r="T924" i="2" s="1"/>
  <c r="N924" i="2"/>
  <c r="K924" i="2"/>
  <c r="AE924" i="2" s="1"/>
  <c r="J924" i="2"/>
  <c r="AJ924" i="2" s="1"/>
  <c r="I924" i="2"/>
  <c r="AL923" i="2"/>
  <c r="AK923" i="2"/>
  <c r="AI923" i="2"/>
  <c r="AH923" i="2"/>
  <c r="AG923" i="2"/>
  <c r="AF923" i="2"/>
  <c r="AE923" i="2"/>
  <c r="AD923" i="2"/>
  <c r="AC923" i="2"/>
  <c r="AB923" i="2"/>
  <c r="AA923" i="2"/>
  <c r="Y923" i="2"/>
  <c r="W923" i="2"/>
  <c r="S923" i="2"/>
  <c r="R923" i="2"/>
  <c r="P923" i="2"/>
  <c r="X923" i="2" s="1"/>
  <c r="O923" i="2"/>
  <c r="T923" i="2" s="1"/>
  <c r="N923" i="2"/>
  <c r="K923" i="2"/>
  <c r="V923" i="2" s="1"/>
  <c r="J923" i="2"/>
  <c r="U923" i="2" s="1"/>
  <c r="I923" i="2"/>
  <c r="AL922" i="2"/>
  <c r="AJ922" i="2"/>
  <c r="AI922" i="2"/>
  <c r="AH922" i="2"/>
  <c r="AG922" i="2"/>
  <c r="AF922" i="2"/>
  <c r="AE922" i="2"/>
  <c r="AD922" i="2"/>
  <c r="AC922" i="2"/>
  <c r="AB922" i="2"/>
  <c r="AA922" i="2"/>
  <c r="Y922" i="2"/>
  <c r="W922" i="2"/>
  <c r="U922" i="2"/>
  <c r="T922" i="2"/>
  <c r="S922" i="2"/>
  <c r="R922" i="2"/>
  <c r="Q922" i="2"/>
  <c r="P922" i="2"/>
  <c r="X922" i="2" s="1"/>
  <c r="O922" i="2"/>
  <c r="N922" i="2"/>
  <c r="K922" i="2"/>
  <c r="AK922" i="2" s="1"/>
  <c r="J922" i="2"/>
  <c r="I922" i="2"/>
  <c r="AL921" i="2"/>
  <c r="AK921" i="2"/>
  <c r="AJ921" i="2"/>
  <c r="AI921" i="2"/>
  <c r="AH921" i="2"/>
  <c r="AF921" i="2"/>
  <c r="AE921" i="2"/>
  <c r="AC921" i="2"/>
  <c r="AB921" i="2"/>
  <c r="AA921" i="2"/>
  <c r="W921" i="2"/>
  <c r="U921" i="2"/>
  <c r="S921" i="2"/>
  <c r="Q921" i="2"/>
  <c r="P921" i="2"/>
  <c r="X921" i="2" s="1"/>
  <c r="O921" i="2"/>
  <c r="T921" i="2" s="1"/>
  <c r="N921" i="2"/>
  <c r="K921" i="2"/>
  <c r="J921" i="2"/>
  <c r="I921" i="2"/>
  <c r="AL920" i="2"/>
  <c r="AK920" i="2"/>
  <c r="AJ920" i="2"/>
  <c r="AI920" i="2"/>
  <c r="AH920" i="2"/>
  <c r="AG920" i="2"/>
  <c r="AF920" i="2"/>
  <c r="AC920" i="2"/>
  <c r="AB920" i="2"/>
  <c r="AA920" i="2"/>
  <c r="W920" i="2"/>
  <c r="V920" i="2"/>
  <c r="U920" i="2"/>
  <c r="T920" i="2"/>
  <c r="S920" i="2"/>
  <c r="P920" i="2"/>
  <c r="X920" i="2" s="1"/>
  <c r="O920" i="2"/>
  <c r="N920" i="2"/>
  <c r="K920" i="2"/>
  <c r="J920" i="2"/>
  <c r="I920" i="2"/>
  <c r="AL919" i="2"/>
  <c r="AK919" i="2"/>
  <c r="AI919" i="2"/>
  <c r="AH919" i="2"/>
  <c r="AF919" i="2"/>
  <c r="AE919" i="2"/>
  <c r="AC919" i="2"/>
  <c r="AB919" i="2"/>
  <c r="AA919" i="2"/>
  <c r="Z919" i="2"/>
  <c r="W919" i="2"/>
  <c r="U919" i="2"/>
  <c r="S919" i="2"/>
  <c r="P919" i="2"/>
  <c r="X919" i="2" s="1"/>
  <c r="O919" i="2"/>
  <c r="T919" i="2" s="1"/>
  <c r="N919" i="2"/>
  <c r="K919" i="2"/>
  <c r="J919" i="2"/>
  <c r="AJ919" i="2" s="1"/>
  <c r="I919" i="2"/>
  <c r="AL918" i="2"/>
  <c r="AJ918" i="2"/>
  <c r="AI918" i="2"/>
  <c r="AH918" i="2"/>
  <c r="AF918" i="2"/>
  <c r="AD918" i="2"/>
  <c r="AC918" i="2"/>
  <c r="AB918" i="2"/>
  <c r="AA918" i="2"/>
  <c r="Y918" i="2"/>
  <c r="W918" i="2"/>
  <c r="U918" i="2"/>
  <c r="S918" i="2"/>
  <c r="P918" i="2"/>
  <c r="X918" i="2" s="1"/>
  <c r="O918" i="2"/>
  <c r="T918" i="2" s="1"/>
  <c r="N918" i="2"/>
  <c r="K918" i="2"/>
  <c r="J918" i="2"/>
  <c r="I918" i="2"/>
  <c r="AL917" i="2"/>
  <c r="AI917" i="2"/>
  <c r="AH917" i="2"/>
  <c r="AF917" i="2"/>
  <c r="AC917" i="2"/>
  <c r="AB917" i="2"/>
  <c r="AA917" i="2"/>
  <c r="Z917" i="2"/>
  <c r="W917" i="2"/>
  <c r="T917" i="2"/>
  <c r="S917" i="2"/>
  <c r="P917" i="2"/>
  <c r="X917" i="2" s="1"/>
  <c r="O917" i="2"/>
  <c r="N917" i="2"/>
  <c r="K917" i="2"/>
  <c r="J917" i="2"/>
  <c r="U917" i="2" s="1"/>
  <c r="I917" i="2"/>
  <c r="AL916" i="2"/>
  <c r="AI916" i="2"/>
  <c r="AH916" i="2"/>
  <c r="AF916" i="2"/>
  <c r="AE916" i="2"/>
  <c r="AD916" i="2"/>
  <c r="AC916" i="2"/>
  <c r="AB916" i="2"/>
  <c r="AA916" i="2"/>
  <c r="Z916" i="2"/>
  <c r="Y916" i="2"/>
  <c r="W916" i="2"/>
  <c r="V916" i="2"/>
  <c r="S916" i="2"/>
  <c r="R916" i="2"/>
  <c r="Q916" i="2"/>
  <c r="P916" i="2"/>
  <c r="X916" i="2" s="1"/>
  <c r="O916" i="2"/>
  <c r="T916" i="2" s="1"/>
  <c r="N916" i="2"/>
  <c r="K916" i="2"/>
  <c r="AK916" i="2" s="1"/>
  <c r="J916" i="2"/>
  <c r="I916" i="2"/>
  <c r="AL915" i="2"/>
  <c r="AI915" i="2"/>
  <c r="AH915" i="2"/>
  <c r="AF915" i="2"/>
  <c r="AE915" i="2"/>
  <c r="AC915" i="2"/>
  <c r="AB915" i="2"/>
  <c r="AA915" i="2"/>
  <c r="W915" i="2"/>
  <c r="S915" i="2"/>
  <c r="P915" i="2"/>
  <c r="X915" i="2" s="1"/>
  <c r="O915" i="2"/>
  <c r="T915" i="2" s="1"/>
  <c r="N915" i="2"/>
  <c r="K915" i="2"/>
  <c r="AK915" i="2" s="1"/>
  <c r="J915" i="2"/>
  <c r="I915" i="2"/>
  <c r="AL914" i="2"/>
  <c r="AI914" i="2"/>
  <c r="AH914" i="2"/>
  <c r="AF914" i="2"/>
  <c r="AC914" i="2"/>
  <c r="AB914" i="2"/>
  <c r="AA914" i="2"/>
  <c r="W914" i="2"/>
  <c r="S914" i="2"/>
  <c r="P914" i="2"/>
  <c r="X914" i="2" s="1"/>
  <c r="O914" i="2"/>
  <c r="T914" i="2" s="1"/>
  <c r="N914" i="2"/>
  <c r="K914" i="2"/>
  <c r="J914" i="2"/>
  <c r="I914" i="2"/>
  <c r="AL913" i="2"/>
  <c r="AJ913" i="2"/>
  <c r="AI913" i="2"/>
  <c r="AH913" i="2"/>
  <c r="AG913" i="2"/>
  <c r="AF913" i="2"/>
  <c r="AD913" i="2"/>
  <c r="AC913" i="2"/>
  <c r="AB913" i="2"/>
  <c r="AA913" i="2"/>
  <c r="Z913" i="2"/>
  <c r="W913" i="2"/>
  <c r="U913" i="2"/>
  <c r="S913" i="2"/>
  <c r="P913" i="2"/>
  <c r="X913" i="2" s="1"/>
  <c r="O913" i="2"/>
  <c r="T913" i="2" s="1"/>
  <c r="N913" i="2"/>
  <c r="K913" i="2"/>
  <c r="J913" i="2"/>
  <c r="Q913" i="2" s="1"/>
  <c r="I913" i="2"/>
  <c r="AL912" i="2"/>
  <c r="AJ912" i="2"/>
  <c r="AI912" i="2"/>
  <c r="AH912" i="2"/>
  <c r="AG912" i="2"/>
  <c r="AF912" i="2"/>
  <c r="AD912" i="2"/>
  <c r="AC912" i="2"/>
  <c r="AB912" i="2"/>
  <c r="AA912" i="2"/>
  <c r="Z912" i="2"/>
  <c r="Y912" i="2"/>
  <c r="W912" i="2"/>
  <c r="V912" i="2"/>
  <c r="U912" i="2"/>
  <c r="S912" i="2"/>
  <c r="R912" i="2"/>
  <c r="Q912" i="2"/>
  <c r="P912" i="2"/>
  <c r="X912" i="2" s="1"/>
  <c r="O912" i="2"/>
  <c r="T912" i="2" s="1"/>
  <c r="N912" i="2"/>
  <c r="K912" i="2"/>
  <c r="AE912" i="2" s="1"/>
  <c r="J912" i="2"/>
  <c r="I912" i="2"/>
  <c r="AL911" i="2"/>
  <c r="AI911" i="2"/>
  <c r="AH911" i="2"/>
  <c r="AF911" i="2"/>
  <c r="AC911" i="2"/>
  <c r="AB911" i="2"/>
  <c r="AA911" i="2"/>
  <c r="X911" i="2"/>
  <c r="W911" i="2"/>
  <c r="S911" i="2"/>
  <c r="P911" i="2"/>
  <c r="O911" i="2"/>
  <c r="T911" i="2" s="1"/>
  <c r="N911" i="2"/>
  <c r="K911" i="2"/>
  <c r="J911" i="2"/>
  <c r="AG911" i="2" s="1"/>
  <c r="I911" i="2"/>
  <c r="AL910" i="2"/>
  <c r="AJ910" i="2"/>
  <c r="AI910" i="2"/>
  <c r="AH910" i="2"/>
  <c r="AG910" i="2"/>
  <c r="AF910" i="2"/>
  <c r="AD910" i="2"/>
  <c r="AC910" i="2"/>
  <c r="AB910" i="2"/>
  <c r="AA910" i="2"/>
  <c r="W910" i="2"/>
  <c r="U910" i="2"/>
  <c r="S910" i="2"/>
  <c r="Q910" i="2"/>
  <c r="P910" i="2"/>
  <c r="X910" i="2" s="1"/>
  <c r="O910" i="2"/>
  <c r="T910" i="2" s="1"/>
  <c r="N910" i="2"/>
  <c r="K910" i="2"/>
  <c r="J910" i="2"/>
  <c r="Y910" i="2" s="1"/>
  <c r="I910" i="2"/>
  <c r="AL909" i="2"/>
  <c r="AI909" i="2"/>
  <c r="AH909" i="2"/>
  <c r="AF909" i="2"/>
  <c r="AE909" i="2"/>
  <c r="AC909" i="2"/>
  <c r="AB909" i="2"/>
  <c r="AA909" i="2"/>
  <c r="Z909" i="2"/>
  <c r="W909" i="2"/>
  <c r="U909" i="2"/>
  <c r="S909" i="2"/>
  <c r="P909" i="2"/>
  <c r="X909" i="2" s="1"/>
  <c r="O909" i="2"/>
  <c r="T909" i="2" s="1"/>
  <c r="N909" i="2"/>
  <c r="K909" i="2"/>
  <c r="AK909" i="2" s="1"/>
  <c r="J909" i="2"/>
  <c r="Y909" i="2" s="1"/>
  <c r="I909" i="2"/>
  <c r="AL908" i="2"/>
  <c r="AK908" i="2"/>
  <c r="AI908" i="2"/>
  <c r="AH908" i="2"/>
  <c r="AF908" i="2"/>
  <c r="AC908" i="2"/>
  <c r="AB908" i="2"/>
  <c r="AA908" i="2"/>
  <c r="W908" i="2"/>
  <c r="V908" i="2"/>
  <c r="U908" i="2"/>
  <c r="S908" i="2"/>
  <c r="P908" i="2"/>
  <c r="X908" i="2" s="1"/>
  <c r="O908" i="2"/>
  <c r="T908" i="2" s="1"/>
  <c r="N908" i="2"/>
  <c r="K908" i="2"/>
  <c r="J908" i="2"/>
  <c r="I908" i="2"/>
  <c r="AL907" i="2"/>
  <c r="AJ907" i="2"/>
  <c r="AI907" i="2"/>
  <c r="AH907" i="2"/>
  <c r="AF907" i="2"/>
  <c r="AE907" i="2"/>
  <c r="AC907" i="2"/>
  <c r="AB907" i="2"/>
  <c r="AA907" i="2"/>
  <c r="W907" i="2"/>
  <c r="T907" i="2"/>
  <c r="S907" i="2"/>
  <c r="P907" i="2"/>
  <c r="X907" i="2" s="1"/>
  <c r="O907" i="2"/>
  <c r="N907" i="2"/>
  <c r="K907" i="2"/>
  <c r="Z907" i="2" s="1"/>
  <c r="J907" i="2"/>
  <c r="I907" i="2"/>
  <c r="AL906" i="2"/>
  <c r="AJ906" i="2"/>
  <c r="AI906" i="2"/>
  <c r="AH906" i="2"/>
  <c r="AG906" i="2"/>
  <c r="AF906" i="2"/>
  <c r="AC906" i="2"/>
  <c r="AB906" i="2"/>
  <c r="AA906" i="2"/>
  <c r="Y906" i="2"/>
  <c r="W906" i="2"/>
  <c r="V906" i="2"/>
  <c r="U906" i="2"/>
  <c r="S906" i="2"/>
  <c r="R906" i="2"/>
  <c r="P906" i="2"/>
  <c r="X906" i="2" s="1"/>
  <c r="O906" i="2"/>
  <c r="T906" i="2" s="1"/>
  <c r="N906" i="2"/>
  <c r="K906" i="2"/>
  <c r="Z906" i="2" s="1"/>
  <c r="J906" i="2"/>
  <c r="AD906" i="2" s="1"/>
  <c r="I906" i="2"/>
  <c r="AL905" i="2"/>
  <c r="AI905" i="2"/>
  <c r="AH905" i="2"/>
  <c r="AF905" i="2"/>
  <c r="AC905" i="2"/>
  <c r="AB905" i="2"/>
  <c r="AA905" i="2"/>
  <c r="Y905" i="2"/>
  <c r="X905" i="2"/>
  <c r="W905" i="2"/>
  <c r="S905" i="2"/>
  <c r="P905" i="2"/>
  <c r="O905" i="2"/>
  <c r="T905" i="2" s="1"/>
  <c r="N905" i="2"/>
  <c r="K905" i="2"/>
  <c r="J905" i="2"/>
  <c r="I905" i="2"/>
  <c r="AL904" i="2"/>
  <c r="AI904" i="2"/>
  <c r="AH904" i="2"/>
  <c r="AF904" i="2"/>
  <c r="AC904" i="2"/>
  <c r="AB904" i="2"/>
  <c r="AA904" i="2"/>
  <c r="W904" i="2"/>
  <c r="V904" i="2"/>
  <c r="S904" i="2"/>
  <c r="P904" i="2"/>
  <c r="X904" i="2" s="1"/>
  <c r="O904" i="2"/>
  <c r="T904" i="2" s="1"/>
  <c r="N904" i="2"/>
  <c r="K904" i="2"/>
  <c r="R904" i="2" s="1"/>
  <c r="J904" i="2"/>
  <c r="I904" i="2"/>
  <c r="AL903" i="2"/>
  <c r="AI903" i="2"/>
  <c r="AH903" i="2"/>
  <c r="AG903" i="2"/>
  <c r="AF903" i="2"/>
  <c r="AC903" i="2"/>
  <c r="AB903" i="2"/>
  <c r="AA903" i="2"/>
  <c r="Y903" i="2"/>
  <c r="W903" i="2"/>
  <c r="S903" i="2"/>
  <c r="P903" i="2"/>
  <c r="X903" i="2" s="1"/>
  <c r="O903" i="2"/>
  <c r="T903" i="2" s="1"/>
  <c r="N903" i="2"/>
  <c r="K903" i="2"/>
  <c r="AK903" i="2" s="1"/>
  <c r="J903" i="2"/>
  <c r="AD903" i="2" s="1"/>
  <c r="I903" i="2"/>
  <c r="AL902" i="2"/>
  <c r="AJ902" i="2"/>
  <c r="AI902" i="2"/>
  <c r="AH902" i="2"/>
  <c r="AG902" i="2"/>
  <c r="AF902" i="2"/>
  <c r="AD902" i="2"/>
  <c r="AC902" i="2"/>
  <c r="AB902" i="2"/>
  <c r="AA902" i="2"/>
  <c r="Y902" i="2"/>
  <c r="W902" i="2"/>
  <c r="V902" i="2"/>
  <c r="U902" i="2"/>
  <c r="S902" i="2"/>
  <c r="Q902" i="2"/>
  <c r="P902" i="2"/>
  <c r="X902" i="2" s="1"/>
  <c r="O902" i="2"/>
  <c r="T902" i="2" s="1"/>
  <c r="N902" i="2"/>
  <c r="K902" i="2"/>
  <c r="AK902" i="2" s="1"/>
  <c r="J902" i="2"/>
  <c r="I902" i="2"/>
  <c r="AL901" i="2"/>
  <c r="AI901" i="2"/>
  <c r="AH901" i="2"/>
  <c r="AG901" i="2"/>
  <c r="AF901" i="2"/>
  <c r="AE901" i="2"/>
  <c r="AD901" i="2"/>
  <c r="AC901" i="2"/>
  <c r="AB901" i="2"/>
  <c r="AA901" i="2"/>
  <c r="W901" i="2"/>
  <c r="U901" i="2"/>
  <c r="S901" i="2"/>
  <c r="Q901" i="2"/>
  <c r="P901" i="2"/>
  <c r="X901" i="2" s="1"/>
  <c r="O901" i="2"/>
  <c r="T901" i="2" s="1"/>
  <c r="N901" i="2"/>
  <c r="K901" i="2"/>
  <c r="J901" i="2"/>
  <c r="Y901" i="2" s="1"/>
  <c r="I901" i="2"/>
  <c r="AL900" i="2"/>
  <c r="AJ900" i="2"/>
  <c r="AI900" i="2"/>
  <c r="AH900" i="2"/>
  <c r="AF900" i="2"/>
  <c r="AE900" i="2"/>
  <c r="AD900" i="2"/>
  <c r="AC900" i="2"/>
  <c r="AB900" i="2"/>
  <c r="AA900" i="2"/>
  <c r="Z900" i="2"/>
  <c r="W900" i="2"/>
  <c r="V900" i="2"/>
  <c r="S900" i="2"/>
  <c r="R900" i="2"/>
  <c r="P900" i="2"/>
  <c r="X900" i="2" s="1"/>
  <c r="O900" i="2"/>
  <c r="T900" i="2" s="1"/>
  <c r="N900" i="2"/>
  <c r="K900" i="2"/>
  <c r="AK900" i="2" s="1"/>
  <c r="J900" i="2"/>
  <c r="I900" i="2"/>
  <c r="AL899" i="2"/>
  <c r="AI899" i="2"/>
  <c r="AH899" i="2"/>
  <c r="AF899" i="2"/>
  <c r="AD899" i="2"/>
  <c r="AC899" i="2"/>
  <c r="AB899" i="2"/>
  <c r="AA899" i="2"/>
  <c r="W899" i="2"/>
  <c r="U899" i="2"/>
  <c r="S899" i="2"/>
  <c r="P899" i="2"/>
  <c r="X899" i="2" s="1"/>
  <c r="O899" i="2"/>
  <c r="T899" i="2" s="1"/>
  <c r="N899" i="2"/>
  <c r="K899" i="2"/>
  <c r="V899" i="2" s="1"/>
  <c r="J899" i="2"/>
  <c r="I899" i="2"/>
  <c r="AL898" i="2"/>
  <c r="AJ898" i="2"/>
  <c r="AI898" i="2"/>
  <c r="AH898" i="2"/>
  <c r="AG898" i="2"/>
  <c r="AF898" i="2"/>
  <c r="AE898" i="2"/>
  <c r="AD898" i="2"/>
  <c r="AC898" i="2"/>
  <c r="AB898" i="2"/>
  <c r="AA898" i="2"/>
  <c r="X898" i="2"/>
  <c r="W898" i="2"/>
  <c r="U898" i="2"/>
  <c r="S898" i="2"/>
  <c r="R898" i="2"/>
  <c r="P898" i="2"/>
  <c r="O898" i="2"/>
  <c r="T898" i="2" s="1"/>
  <c r="N898" i="2"/>
  <c r="K898" i="2"/>
  <c r="J898" i="2"/>
  <c r="I898" i="2"/>
  <c r="AL897" i="2"/>
  <c r="AI897" i="2"/>
  <c r="AH897" i="2"/>
  <c r="AG897" i="2"/>
  <c r="AF897" i="2"/>
  <c r="AC897" i="2"/>
  <c r="AB897" i="2"/>
  <c r="AA897" i="2"/>
  <c r="W897" i="2"/>
  <c r="U897" i="2"/>
  <c r="T897" i="2"/>
  <c r="S897" i="2"/>
  <c r="P897" i="2"/>
  <c r="X897" i="2" s="1"/>
  <c r="O897" i="2"/>
  <c r="N897" i="2"/>
  <c r="K897" i="2"/>
  <c r="J897" i="2"/>
  <c r="I897" i="2"/>
  <c r="AL896" i="2"/>
  <c r="AI896" i="2"/>
  <c r="AH896" i="2"/>
  <c r="AF896" i="2"/>
  <c r="AC896" i="2"/>
  <c r="AB896" i="2"/>
  <c r="AA896" i="2"/>
  <c r="W896" i="2"/>
  <c r="S896" i="2"/>
  <c r="Q896" i="2"/>
  <c r="P896" i="2"/>
  <c r="X896" i="2" s="1"/>
  <c r="O896" i="2"/>
  <c r="T896" i="2" s="1"/>
  <c r="N896" i="2"/>
  <c r="K896" i="2"/>
  <c r="Z896" i="2" s="1"/>
  <c r="J896" i="2"/>
  <c r="I896" i="2"/>
  <c r="AL895" i="2"/>
  <c r="AI895" i="2"/>
  <c r="AH895" i="2"/>
  <c r="AF895" i="2"/>
  <c r="AC895" i="2"/>
  <c r="AB895" i="2"/>
  <c r="AA895" i="2"/>
  <c r="W895" i="2"/>
  <c r="S895" i="2"/>
  <c r="P895" i="2"/>
  <c r="X895" i="2" s="1"/>
  <c r="O895" i="2"/>
  <c r="T895" i="2" s="1"/>
  <c r="N895" i="2"/>
  <c r="K895" i="2"/>
  <c r="J895" i="2"/>
  <c r="I895" i="2"/>
  <c r="AL894" i="2"/>
  <c r="AK894" i="2"/>
  <c r="AJ894" i="2"/>
  <c r="AI894" i="2"/>
  <c r="AH894" i="2"/>
  <c r="AG894" i="2"/>
  <c r="AF894" i="2"/>
  <c r="AD894" i="2"/>
  <c r="AC894" i="2"/>
  <c r="AB894" i="2"/>
  <c r="AA894" i="2"/>
  <c r="Z894" i="2"/>
  <c r="W894" i="2"/>
  <c r="U894" i="2"/>
  <c r="T894" i="2"/>
  <c r="S894" i="2"/>
  <c r="R894" i="2"/>
  <c r="Q894" i="2"/>
  <c r="P894" i="2"/>
  <c r="X894" i="2" s="1"/>
  <c r="O894" i="2"/>
  <c r="N894" i="2"/>
  <c r="K894" i="2"/>
  <c r="V894" i="2" s="1"/>
  <c r="J894" i="2"/>
  <c r="Y894" i="2" s="1"/>
  <c r="I894" i="2"/>
  <c r="AL893" i="2"/>
  <c r="AI893" i="2"/>
  <c r="AH893" i="2"/>
  <c r="AF893" i="2"/>
  <c r="AD893" i="2"/>
  <c r="AC893" i="2"/>
  <c r="AB893" i="2"/>
  <c r="AA893" i="2"/>
  <c r="W893" i="2"/>
  <c r="S893" i="2"/>
  <c r="Q893" i="2"/>
  <c r="P893" i="2"/>
  <c r="X893" i="2" s="1"/>
  <c r="O893" i="2"/>
  <c r="T893" i="2" s="1"/>
  <c r="N893" i="2"/>
  <c r="K893" i="2"/>
  <c r="J893" i="2"/>
  <c r="Y893" i="2" s="1"/>
  <c r="I893" i="2"/>
  <c r="AL892" i="2"/>
  <c r="AI892" i="2"/>
  <c r="AH892" i="2"/>
  <c r="AF892" i="2"/>
  <c r="AC892" i="2"/>
  <c r="AB892" i="2"/>
  <c r="AA892" i="2"/>
  <c r="Z892" i="2"/>
  <c r="W892" i="2"/>
  <c r="S892" i="2"/>
  <c r="P892" i="2"/>
  <c r="X892" i="2" s="1"/>
  <c r="O892" i="2"/>
  <c r="T892" i="2" s="1"/>
  <c r="N892" i="2"/>
  <c r="K892" i="2"/>
  <c r="J892" i="2"/>
  <c r="I892" i="2"/>
  <c r="AL891" i="2"/>
  <c r="AI891" i="2"/>
  <c r="AH891" i="2"/>
  <c r="AF891" i="2"/>
  <c r="AC891" i="2"/>
  <c r="AB891" i="2"/>
  <c r="AA891" i="2"/>
  <c r="W891" i="2"/>
  <c r="U891" i="2"/>
  <c r="S891" i="2"/>
  <c r="P891" i="2"/>
  <c r="X891" i="2" s="1"/>
  <c r="O891" i="2"/>
  <c r="T891" i="2" s="1"/>
  <c r="N891" i="2"/>
  <c r="K891" i="2"/>
  <c r="AK891" i="2" s="1"/>
  <c r="J891" i="2"/>
  <c r="I891" i="2"/>
  <c r="AL890" i="2"/>
  <c r="AI890" i="2"/>
  <c r="AH890" i="2"/>
  <c r="AF890" i="2"/>
  <c r="AC890" i="2"/>
  <c r="AB890" i="2"/>
  <c r="AA890" i="2"/>
  <c r="X890" i="2"/>
  <c r="W890" i="2"/>
  <c r="S890" i="2"/>
  <c r="P890" i="2"/>
  <c r="O890" i="2"/>
  <c r="T890" i="2" s="1"/>
  <c r="N890" i="2"/>
  <c r="K890" i="2"/>
  <c r="J890" i="2"/>
  <c r="I890" i="2"/>
  <c r="AL889" i="2"/>
  <c r="AI889" i="2"/>
  <c r="AH889" i="2"/>
  <c r="AF889" i="2"/>
  <c r="AC889" i="2"/>
  <c r="AB889" i="2"/>
  <c r="AA889" i="2"/>
  <c r="Z889" i="2"/>
  <c r="W889" i="2"/>
  <c r="V889" i="2"/>
  <c r="T889" i="2"/>
  <c r="S889" i="2"/>
  <c r="P889" i="2"/>
  <c r="X889" i="2" s="1"/>
  <c r="O889" i="2"/>
  <c r="N889" i="2"/>
  <c r="K889" i="2"/>
  <c r="J889" i="2"/>
  <c r="I889" i="2"/>
  <c r="AL888" i="2"/>
  <c r="AI888" i="2"/>
  <c r="AH888" i="2"/>
  <c r="AF888" i="2"/>
  <c r="AC888" i="2"/>
  <c r="AB888" i="2"/>
  <c r="AA888" i="2"/>
  <c r="X888" i="2"/>
  <c r="W888" i="2"/>
  <c r="S888" i="2"/>
  <c r="P888" i="2"/>
  <c r="O888" i="2"/>
  <c r="T888" i="2" s="1"/>
  <c r="N888" i="2"/>
  <c r="K888" i="2"/>
  <c r="J888" i="2"/>
  <c r="I888" i="2"/>
  <c r="AL887" i="2"/>
  <c r="AI887" i="2"/>
  <c r="AH887" i="2"/>
  <c r="AG887" i="2"/>
  <c r="AF887" i="2"/>
  <c r="AE887" i="2"/>
  <c r="AC887" i="2"/>
  <c r="AB887" i="2"/>
  <c r="AA887" i="2"/>
  <c r="Z887" i="2"/>
  <c r="W887" i="2"/>
  <c r="S887" i="2"/>
  <c r="Q887" i="2"/>
  <c r="P887" i="2"/>
  <c r="X887" i="2" s="1"/>
  <c r="O887" i="2"/>
  <c r="T887" i="2" s="1"/>
  <c r="N887" i="2"/>
  <c r="K887" i="2"/>
  <c r="J887" i="2"/>
  <c r="I887" i="2"/>
  <c r="AL886" i="2"/>
  <c r="AK886" i="2"/>
  <c r="AI886" i="2"/>
  <c r="AH886" i="2"/>
  <c r="AF886" i="2"/>
  <c r="AC886" i="2"/>
  <c r="AB886" i="2"/>
  <c r="AA886" i="2"/>
  <c r="W886" i="2"/>
  <c r="S886" i="2"/>
  <c r="P886" i="2"/>
  <c r="X886" i="2" s="1"/>
  <c r="O886" i="2"/>
  <c r="T886" i="2" s="1"/>
  <c r="N886" i="2"/>
  <c r="K886" i="2"/>
  <c r="J886" i="2"/>
  <c r="I886" i="2"/>
  <c r="AL885" i="2"/>
  <c r="AI885" i="2"/>
  <c r="AH885" i="2"/>
  <c r="AF885" i="2"/>
  <c r="AC885" i="2"/>
  <c r="AB885" i="2"/>
  <c r="AA885" i="2"/>
  <c r="Y885" i="2"/>
  <c r="W885" i="2"/>
  <c r="V885" i="2"/>
  <c r="S885" i="2"/>
  <c r="P885" i="2"/>
  <c r="X885" i="2" s="1"/>
  <c r="O885" i="2"/>
  <c r="T885" i="2" s="1"/>
  <c r="N885" i="2"/>
  <c r="K885" i="2"/>
  <c r="J885" i="2"/>
  <c r="I885" i="2"/>
  <c r="AL884" i="2"/>
  <c r="AK884" i="2"/>
  <c r="AI884" i="2"/>
  <c r="AH884" i="2"/>
  <c r="AG884" i="2"/>
  <c r="AF884" i="2"/>
  <c r="AC884" i="2"/>
  <c r="AB884" i="2"/>
  <c r="AA884" i="2"/>
  <c r="W884" i="2"/>
  <c r="V884" i="2"/>
  <c r="U884" i="2"/>
  <c r="T884" i="2"/>
  <c r="S884" i="2"/>
  <c r="P884" i="2"/>
  <c r="X884" i="2" s="1"/>
  <c r="O884" i="2"/>
  <c r="N884" i="2"/>
  <c r="K884" i="2"/>
  <c r="J884" i="2"/>
  <c r="Q884" i="2" s="1"/>
  <c r="I884" i="2"/>
  <c r="AL883" i="2"/>
  <c r="AI883" i="2"/>
  <c r="AH883" i="2"/>
  <c r="AF883" i="2"/>
  <c r="AC883" i="2"/>
  <c r="AB883" i="2"/>
  <c r="AA883" i="2"/>
  <c r="W883" i="2"/>
  <c r="V883" i="2"/>
  <c r="U883" i="2"/>
  <c r="S883" i="2"/>
  <c r="P883" i="2"/>
  <c r="X883" i="2" s="1"/>
  <c r="O883" i="2"/>
  <c r="T883" i="2" s="1"/>
  <c r="N883" i="2"/>
  <c r="K883" i="2"/>
  <c r="AK883" i="2" s="1"/>
  <c r="J883" i="2"/>
  <c r="I883" i="2"/>
  <c r="AL882" i="2"/>
  <c r="AI882" i="2"/>
  <c r="AH882" i="2"/>
  <c r="AF882" i="2"/>
  <c r="AC882" i="2"/>
  <c r="AB882" i="2"/>
  <c r="AA882" i="2"/>
  <c r="X882" i="2"/>
  <c r="W882" i="2"/>
  <c r="S882" i="2"/>
  <c r="P882" i="2"/>
  <c r="O882" i="2"/>
  <c r="T882" i="2" s="1"/>
  <c r="N882" i="2"/>
  <c r="K882" i="2"/>
  <c r="J882" i="2"/>
  <c r="I882" i="2"/>
  <c r="AL881" i="2"/>
  <c r="AK881" i="2"/>
  <c r="AI881" i="2"/>
  <c r="AH881" i="2"/>
  <c r="AF881" i="2"/>
  <c r="AC881" i="2"/>
  <c r="AB881" i="2"/>
  <c r="AA881" i="2"/>
  <c r="W881" i="2"/>
  <c r="U881" i="2"/>
  <c r="T881" i="2"/>
  <c r="S881" i="2"/>
  <c r="P881" i="2"/>
  <c r="X881" i="2" s="1"/>
  <c r="O881" i="2"/>
  <c r="N881" i="2"/>
  <c r="K881" i="2"/>
  <c r="R881" i="2" s="1"/>
  <c r="J881" i="2"/>
  <c r="I881" i="2"/>
  <c r="AL880" i="2"/>
  <c r="AK880" i="2"/>
  <c r="AI880" i="2"/>
  <c r="AH880" i="2"/>
  <c r="AF880" i="2"/>
  <c r="AC880" i="2"/>
  <c r="AB880" i="2"/>
  <c r="AA880" i="2"/>
  <c r="Z880" i="2"/>
  <c r="W880" i="2"/>
  <c r="S880" i="2"/>
  <c r="P880" i="2"/>
  <c r="X880" i="2" s="1"/>
  <c r="O880" i="2"/>
  <c r="T880" i="2" s="1"/>
  <c r="N880" i="2"/>
  <c r="K880" i="2"/>
  <c r="J880" i="2"/>
  <c r="I880" i="2"/>
  <c r="AL879" i="2"/>
  <c r="AK879" i="2"/>
  <c r="AI879" i="2"/>
  <c r="AH879" i="2"/>
  <c r="AF879" i="2"/>
  <c r="AC879" i="2"/>
  <c r="AB879" i="2"/>
  <c r="AA879" i="2"/>
  <c r="Z879" i="2"/>
  <c r="W879" i="2"/>
  <c r="S879" i="2"/>
  <c r="P879" i="2"/>
  <c r="X879" i="2" s="1"/>
  <c r="O879" i="2"/>
  <c r="T879" i="2" s="1"/>
  <c r="N879" i="2"/>
  <c r="K879" i="2"/>
  <c r="AE879" i="2" s="1"/>
  <c r="J879" i="2"/>
  <c r="I879" i="2"/>
  <c r="AL878" i="2"/>
  <c r="AI878" i="2"/>
  <c r="AH878" i="2"/>
  <c r="AF878" i="2"/>
  <c r="AC878" i="2"/>
  <c r="AB878" i="2"/>
  <c r="AA878" i="2"/>
  <c r="W878" i="2"/>
  <c r="U878" i="2"/>
  <c r="S878" i="2"/>
  <c r="R878" i="2"/>
  <c r="P878" i="2"/>
  <c r="X878" i="2" s="1"/>
  <c r="O878" i="2"/>
  <c r="T878" i="2" s="1"/>
  <c r="N878" i="2"/>
  <c r="K878" i="2"/>
  <c r="J878" i="2"/>
  <c r="AJ878" i="2" s="1"/>
  <c r="I878" i="2"/>
  <c r="AL877" i="2"/>
  <c r="AI877" i="2"/>
  <c r="AH877" i="2"/>
  <c r="AF877" i="2"/>
  <c r="AD877" i="2"/>
  <c r="AC877" i="2"/>
  <c r="AB877" i="2"/>
  <c r="AA877" i="2"/>
  <c r="W877" i="2"/>
  <c r="U877" i="2"/>
  <c r="S877" i="2"/>
  <c r="Q877" i="2"/>
  <c r="P877" i="2"/>
  <c r="X877" i="2" s="1"/>
  <c r="O877" i="2"/>
  <c r="T877" i="2" s="1"/>
  <c r="N877" i="2"/>
  <c r="K877" i="2"/>
  <c r="J877" i="2"/>
  <c r="AJ877" i="2" s="1"/>
  <c r="I877" i="2"/>
  <c r="AL876" i="2"/>
  <c r="AI876" i="2"/>
  <c r="AH876" i="2"/>
  <c r="AF876" i="2"/>
  <c r="AC876" i="2"/>
  <c r="AB876" i="2"/>
  <c r="AA876" i="2"/>
  <c r="W876" i="2"/>
  <c r="T876" i="2"/>
  <c r="S876" i="2"/>
  <c r="R876" i="2"/>
  <c r="P876" i="2"/>
  <c r="X876" i="2" s="1"/>
  <c r="O876" i="2"/>
  <c r="N876" i="2"/>
  <c r="K876" i="2"/>
  <c r="J876" i="2"/>
  <c r="I876" i="2"/>
  <c r="AL875" i="2"/>
  <c r="AI875" i="2"/>
  <c r="AH875" i="2"/>
  <c r="AF875" i="2"/>
  <c r="AC875" i="2"/>
  <c r="AB875" i="2"/>
  <c r="AA875" i="2"/>
  <c r="W875" i="2"/>
  <c r="S875" i="2"/>
  <c r="P875" i="2"/>
  <c r="X875" i="2" s="1"/>
  <c r="O875" i="2"/>
  <c r="T875" i="2" s="1"/>
  <c r="N875" i="2"/>
  <c r="K875" i="2"/>
  <c r="J875" i="2"/>
  <c r="I875" i="2"/>
  <c r="AL874" i="2"/>
  <c r="AI874" i="2"/>
  <c r="AH874" i="2"/>
  <c r="AF874" i="2"/>
  <c r="AC874" i="2"/>
  <c r="AB874" i="2"/>
  <c r="AA874" i="2"/>
  <c r="Z874" i="2"/>
  <c r="X874" i="2"/>
  <c r="W874" i="2"/>
  <c r="S874" i="2"/>
  <c r="P874" i="2"/>
  <c r="O874" i="2"/>
  <c r="T874" i="2" s="1"/>
  <c r="N874" i="2"/>
  <c r="K874" i="2"/>
  <c r="J874" i="2"/>
  <c r="AG874" i="2" s="1"/>
  <c r="I874" i="2"/>
  <c r="AL873" i="2"/>
  <c r="AI873" i="2"/>
  <c r="AH873" i="2"/>
  <c r="AF873" i="2"/>
  <c r="AC873" i="2"/>
  <c r="AB873" i="2"/>
  <c r="AA873" i="2"/>
  <c r="W873" i="2"/>
  <c r="S873" i="2"/>
  <c r="R873" i="2"/>
  <c r="P873" i="2"/>
  <c r="X873" i="2" s="1"/>
  <c r="O873" i="2"/>
  <c r="T873" i="2" s="1"/>
  <c r="N873" i="2"/>
  <c r="K873" i="2"/>
  <c r="J873" i="2"/>
  <c r="I873" i="2"/>
  <c r="AL872" i="2"/>
  <c r="AI872" i="2"/>
  <c r="AH872" i="2"/>
  <c r="AF872" i="2"/>
  <c r="AC872" i="2"/>
  <c r="AB872" i="2"/>
  <c r="AA872" i="2"/>
  <c r="Z872" i="2"/>
  <c r="W872" i="2"/>
  <c r="S872" i="2"/>
  <c r="R872" i="2"/>
  <c r="Q872" i="2"/>
  <c r="P872" i="2"/>
  <c r="X872" i="2" s="1"/>
  <c r="O872" i="2"/>
  <c r="T872" i="2" s="1"/>
  <c r="N872" i="2"/>
  <c r="K872" i="2"/>
  <c r="J872" i="2"/>
  <c r="U872" i="2" s="1"/>
  <c r="I872" i="2"/>
  <c r="AL871" i="2"/>
  <c r="AI871" i="2"/>
  <c r="AH871" i="2"/>
  <c r="AF871" i="2"/>
  <c r="AC871" i="2"/>
  <c r="AB871" i="2"/>
  <c r="AA871" i="2"/>
  <c r="W871" i="2"/>
  <c r="S871" i="2"/>
  <c r="P871" i="2"/>
  <c r="X871" i="2" s="1"/>
  <c r="O871" i="2"/>
  <c r="T871" i="2" s="1"/>
  <c r="N871" i="2"/>
  <c r="K871" i="2"/>
  <c r="J871" i="2"/>
  <c r="I871" i="2"/>
  <c r="AL870" i="2"/>
  <c r="AI870" i="2"/>
  <c r="AH870" i="2"/>
  <c r="AF870" i="2"/>
  <c r="AC870" i="2"/>
  <c r="AB870" i="2"/>
  <c r="AA870" i="2"/>
  <c r="W870" i="2"/>
  <c r="U870" i="2"/>
  <c r="S870" i="2"/>
  <c r="R870" i="2"/>
  <c r="Q870" i="2"/>
  <c r="P870" i="2"/>
  <c r="X870" i="2" s="1"/>
  <c r="O870" i="2"/>
  <c r="T870" i="2" s="1"/>
  <c r="N870" i="2"/>
  <c r="K870" i="2"/>
  <c r="AE870" i="2" s="1"/>
  <c r="J870" i="2"/>
  <c r="AJ870" i="2" s="1"/>
  <c r="I870" i="2"/>
  <c r="AL869" i="2"/>
  <c r="AI869" i="2"/>
  <c r="AH869" i="2"/>
  <c r="AF869" i="2"/>
  <c r="AC869" i="2"/>
  <c r="AB869" i="2"/>
  <c r="AA869" i="2"/>
  <c r="W869" i="2"/>
  <c r="U869" i="2"/>
  <c r="S869" i="2"/>
  <c r="P869" i="2"/>
  <c r="X869" i="2" s="1"/>
  <c r="O869" i="2"/>
  <c r="T869" i="2" s="1"/>
  <c r="N869" i="2"/>
  <c r="K869" i="2"/>
  <c r="J869" i="2"/>
  <c r="Y869" i="2" s="1"/>
  <c r="I869" i="2"/>
  <c r="AL868" i="2"/>
  <c r="AI868" i="2"/>
  <c r="AH868" i="2"/>
  <c r="AF868" i="2"/>
  <c r="AE868" i="2"/>
  <c r="AC868" i="2"/>
  <c r="AB868" i="2"/>
  <c r="AA868" i="2"/>
  <c r="W868" i="2"/>
  <c r="V868" i="2"/>
  <c r="T868" i="2"/>
  <c r="S868" i="2"/>
  <c r="R868" i="2"/>
  <c r="P868" i="2"/>
  <c r="X868" i="2" s="1"/>
  <c r="O868" i="2"/>
  <c r="N868" i="2"/>
  <c r="K868" i="2"/>
  <c r="J868" i="2"/>
  <c r="AJ868" i="2" s="1"/>
  <c r="I868" i="2"/>
  <c r="AL867" i="2"/>
  <c r="AI867" i="2"/>
  <c r="AH867" i="2"/>
  <c r="AF867" i="2"/>
  <c r="AC867" i="2"/>
  <c r="AB867" i="2"/>
  <c r="AA867" i="2"/>
  <c r="Z867" i="2"/>
  <c r="W867" i="2"/>
  <c r="S867" i="2"/>
  <c r="R867" i="2"/>
  <c r="P867" i="2"/>
  <c r="X867" i="2" s="1"/>
  <c r="O867" i="2"/>
  <c r="T867" i="2" s="1"/>
  <c r="N867" i="2"/>
  <c r="K867" i="2"/>
  <c r="J867" i="2"/>
  <c r="Y867" i="2" s="1"/>
  <c r="I867" i="2"/>
  <c r="AL866" i="2"/>
  <c r="AI866" i="2"/>
  <c r="AH866" i="2"/>
  <c r="AF866" i="2"/>
  <c r="AC866" i="2"/>
  <c r="AB866" i="2"/>
  <c r="AA866" i="2"/>
  <c r="Z866" i="2"/>
  <c r="W866" i="2"/>
  <c r="S866" i="2"/>
  <c r="P866" i="2"/>
  <c r="X866" i="2" s="1"/>
  <c r="O866" i="2"/>
  <c r="T866" i="2" s="1"/>
  <c r="N866" i="2"/>
  <c r="K866" i="2"/>
  <c r="J866" i="2"/>
  <c r="I866" i="2"/>
  <c r="AL865" i="2"/>
  <c r="AI865" i="2"/>
  <c r="AH865" i="2"/>
  <c r="AF865" i="2"/>
  <c r="AC865" i="2"/>
  <c r="AB865" i="2"/>
  <c r="AA865" i="2"/>
  <c r="Y865" i="2"/>
  <c r="W865" i="2"/>
  <c r="T865" i="2"/>
  <c r="S865" i="2"/>
  <c r="R865" i="2"/>
  <c r="Q865" i="2"/>
  <c r="P865" i="2"/>
  <c r="X865" i="2" s="1"/>
  <c r="O865" i="2"/>
  <c r="N865" i="2"/>
  <c r="K865" i="2"/>
  <c r="J865" i="2"/>
  <c r="U865" i="2" s="1"/>
  <c r="I865" i="2"/>
  <c r="AL864" i="2"/>
  <c r="AI864" i="2"/>
  <c r="AH864" i="2"/>
  <c r="AG864" i="2"/>
  <c r="AF864" i="2"/>
  <c r="AE864" i="2"/>
  <c r="AD864" i="2"/>
  <c r="AC864" i="2"/>
  <c r="AB864" i="2"/>
  <c r="AA864" i="2"/>
  <c r="W864" i="2"/>
  <c r="V864" i="2"/>
  <c r="S864" i="2"/>
  <c r="R864" i="2"/>
  <c r="Q864" i="2"/>
  <c r="P864" i="2"/>
  <c r="X864" i="2" s="1"/>
  <c r="O864" i="2"/>
  <c r="T864" i="2" s="1"/>
  <c r="N864" i="2"/>
  <c r="K864" i="2"/>
  <c r="Z864" i="2" s="1"/>
  <c r="J864" i="2"/>
  <c r="I864" i="2"/>
  <c r="AL863" i="2"/>
  <c r="AI863" i="2"/>
  <c r="AH863" i="2"/>
  <c r="AF863" i="2"/>
  <c r="AE863" i="2"/>
  <c r="AC863" i="2"/>
  <c r="AB863" i="2"/>
  <c r="AA863" i="2"/>
  <c r="W863" i="2"/>
  <c r="S863" i="2"/>
  <c r="P863" i="2"/>
  <c r="X863" i="2" s="1"/>
  <c r="O863" i="2"/>
  <c r="T863" i="2" s="1"/>
  <c r="N863" i="2"/>
  <c r="K863" i="2"/>
  <c r="J863" i="2"/>
  <c r="I863" i="2"/>
  <c r="AL862" i="2"/>
  <c r="AI862" i="2"/>
  <c r="AH862" i="2"/>
  <c r="AF862" i="2"/>
  <c r="AD862" i="2"/>
  <c r="AC862" i="2"/>
  <c r="AB862" i="2"/>
  <c r="AA862" i="2"/>
  <c r="W862" i="2"/>
  <c r="U862" i="2"/>
  <c r="S862" i="2"/>
  <c r="R862" i="2"/>
  <c r="P862" i="2"/>
  <c r="X862" i="2" s="1"/>
  <c r="O862" i="2"/>
  <c r="T862" i="2" s="1"/>
  <c r="N862" i="2"/>
  <c r="K862" i="2"/>
  <c r="J862" i="2"/>
  <c r="I862" i="2"/>
  <c r="AL861" i="2"/>
  <c r="AI861" i="2"/>
  <c r="AH861" i="2"/>
  <c r="AF861" i="2"/>
  <c r="AC861" i="2"/>
  <c r="AB861" i="2"/>
  <c r="AA861" i="2"/>
  <c r="W861" i="2"/>
  <c r="T861" i="2"/>
  <c r="S861" i="2"/>
  <c r="P861" i="2"/>
  <c r="X861" i="2" s="1"/>
  <c r="O861" i="2"/>
  <c r="N861" i="2"/>
  <c r="K861" i="2"/>
  <c r="J861" i="2"/>
  <c r="I861" i="2"/>
  <c r="AL860" i="2"/>
  <c r="AI860" i="2"/>
  <c r="AH860" i="2"/>
  <c r="AF860" i="2"/>
  <c r="AC860" i="2"/>
  <c r="AB860" i="2"/>
  <c r="AA860" i="2"/>
  <c r="X860" i="2"/>
  <c r="W860" i="2"/>
  <c r="T860" i="2"/>
  <c r="S860" i="2"/>
  <c r="P860" i="2"/>
  <c r="O860" i="2"/>
  <c r="N860" i="2"/>
  <c r="K860" i="2"/>
  <c r="AK860" i="2" s="1"/>
  <c r="J860" i="2"/>
  <c r="I860" i="2"/>
  <c r="AL859" i="2"/>
  <c r="AI859" i="2"/>
  <c r="AH859" i="2"/>
  <c r="AF859" i="2"/>
  <c r="AC859" i="2"/>
  <c r="AB859" i="2"/>
  <c r="AA859" i="2"/>
  <c r="W859" i="2"/>
  <c r="S859" i="2"/>
  <c r="P859" i="2"/>
  <c r="X859" i="2" s="1"/>
  <c r="O859" i="2"/>
  <c r="T859" i="2" s="1"/>
  <c r="N859" i="2"/>
  <c r="K859" i="2"/>
  <c r="AE859" i="2" s="1"/>
  <c r="J859" i="2"/>
  <c r="I859" i="2"/>
  <c r="AL858" i="2"/>
  <c r="AI858" i="2"/>
  <c r="AH858" i="2"/>
  <c r="AF858" i="2"/>
  <c r="AE858" i="2"/>
  <c r="AC858" i="2"/>
  <c r="AB858" i="2"/>
  <c r="AA858" i="2"/>
  <c r="W858" i="2"/>
  <c r="S858" i="2"/>
  <c r="P858" i="2"/>
  <c r="X858" i="2" s="1"/>
  <c r="O858" i="2"/>
  <c r="T858" i="2" s="1"/>
  <c r="N858" i="2"/>
  <c r="K858" i="2"/>
  <c r="J858" i="2"/>
  <c r="U858" i="2" s="1"/>
  <c r="I858" i="2"/>
  <c r="AL857" i="2"/>
  <c r="AI857" i="2"/>
  <c r="AH857" i="2"/>
  <c r="AF857" i="2"/>
  <c r="AC857" i="2"/>
  <c r="AB857" i="2"/>
  <c r="AA857" i="2"/>
  <c r="Y857" i="2"/>
  <c r="W857" i="2"/>
  <c r="S857" i="2"/>
  <c r="P857" i="2"/>
  <c r="X857" i="2" s="1"/>
  <c r="O857" i="2"/>
  <c r="T857" i="2" s="1"/>
  <c r="N857" i="2"/>
  <c r="K857" i="2"/>
  <c r="J857" i="2"/>
  <c r="I857" i="2"/>
  <c r="AL856" i="2"/>
  <c r="AK856" i="2"/>
  <c r="AI856" i="2"/>
  <c r="AH856" i="2"/>
  <c r="AF856" i="2"/>
  <c r="AC856" i="2"/>
  <c r="AB856" i="2"/>
  <c r="AA856" i="2"/>
  <c r="Z856" i="2"/>
  <c r="W856" i="2"/>
  <c r="V856" i="2"/>
  <c r="S856" i="2"/>
  <c r="R856" i="2"/>
  <c r="P856" i="2"/>
  <c r="X856" i="2" s="1"/>
  <c r="O856" i="2"/>
  <c r="T856" i="2" s="1"/>
  <c r="N856" i="2"/>
  <c r="K856" i="2"/>
  <c r="AE856" i="2" s="1"/>
  <c r="J856" i="2"/>
  <c r="I856" i="2"/>
  <c r="AL855" i="2"/>
  <c r="AI855" i="2"/>
  <c r="AH855" i="2"/>
  <c r="AF855" i="2"/>
  <c r="AC855" i="2"/>
  <c r="AB855" i="2"/>
  <c r="AA855" i="2"/>
  <c r="W855" i="2"/>
  <c r="S855" i="2"/>
  <c r="P855" i="2"/>
  <c r="X855" i="2" s="1"/>
  <c r="O855" i="2"/>
  <c r="T855" i="2" s="1"/>
  <c r="N855" i="2"/>
  <c r="K855" i="2"/>
  <c r="AK855" i="2" s="1"/>
  <c r="J855" i="2"/>
  <c r="I855" i="2"/>
  <c r="AL854" i="2"/>
  <c r="AI854" i="2"/>
  <c r="AH854" i="2"/>
  <c r="AF854" i="2"/>
  <c r="AC854" i="2"/>
  <c r="AB854" i="2"/>
  <c r="AA854" i="2"/>
  <c r="W854" i="2"/>
  <c r="S854" i="2"/>
  <c r="P854" i="2"/>
  <c r="X854" i="2" s="1"/>
  <c r="O854" i="2"/>
  <c r="T854" i="2" s="1"/>
  <c r="N854" i="2"/>
  <c r="K854" i="2"/>
  <c r="J854" i="2"/>
  <c r="I854" i="2"/>
  <c r="AL853" i="2"/>
  <c r="AI853" i="2"/>
  <c r="AH853" i="2"/>
  <c r="AF853" i="2"/>
  <c r="AC853" i="2"/>
  <c r="AB853" i="2"/>
  <c r="AA853" i="2"/>
  <c r="W853" i="2"/>
  <c r="T853" i="2"/>
  <c r="S853" i="2"/>
  <c r="P853" i="2"/>
  <c r="X853" i="2" s="1"/>
  <c r="O853" i="2"/>
  <c r="N853" i="2"/>
  <c r="K853" i="2"/>
  <c r="Z853" i="2" s="1"/>
  <c r="J853" i="2"/>
  <c r="I853" i="2"/>
  <c r="AL852" i="2"/>
  <c r="AI852" i="2"/>
  <c r="AH852" i="2"/>
  <c r="AF852" i="2"/>
  <c r="AD852" i="2"/>
  <c r="AC852" i="2"/>
  <c r="AB852" i="2"/>
  <c r="AA852" i="2"/>
  <c r="W852" i="2"/>
  <c r="T852" i="2"/>
  <c r="S852" i="2"/>
  <c r="R852" i="2"/>
  <c r="P852" i="2"/>
  <c r="X852" i="2" s="1"/>
  <c r="O852" i="2"/>
  <c r="N852" i="2"/>
  <c r="K852" i="2"/>
  <c r="J852" i="2"/>
  <c r="AG852" i="2" s="1"/>
  <c r="I852" i="2"/>
  <c r="AL851" i="2"/>
  <c r="AI851" i="2"/>
  <c r="AH851" i="2"/>
  <c r="AG851" i="2"/>
  <c r="AF851" i="2"/>
  <c r="AE851" i="2"/>
  <c r="AC851" i="2"/>
  <c r="AB851" i="2"/>
  <c r="AA851" i="2"/>
  <c r="W851" i="2"/>
  <c r="U851" i="2"/>
  <c r="T851" i="2"/>
  <c r="S851" i="2"/>
  <c r="R851" i="2"/>
  <c r="Q851" i="2"/>
  <c r="P851" i="2"/>
  <c r="X851" i="2" s="1"/>
  <c r="O851" i="2"/>
  <c r="N851" i="2"/>
  <c r="K851" i="2"/>
  <c r="Z851" i="2" s="1"/>
  <c r="J851" i="2"/>
  <c r="I851" i="2"/>
  <c r="AL850" i="2"/>
  <c r="AK850" i="2"/>
  <c r="AI850" i="2"/>
  <c r="AH850" i="2"/>
  <c r="AG850" i="2"/>
  <c r="AF850" i="2"/>
  <c r="AC850" i="2"/>
  <c r="AB850" i="2"/>
  <c r="AA850" i="2"/>
  <c r="Z850" i="2"/>
  <c r="W850" i="2"/>
  <c r="V850" i="2"/>
  <c r="U850" i="2"/>
  <c r="S850" i="2"/>
  <c r="R850" i="2"/>
  <c r="Q850" i="2"/>
  <c r="P850" i="2"/>
  <c r="X850" i="2" s="1"/>
  <c r="O850" i="2"/>
  <c r="T850" i="2" s="1"/>
  <c r="N850" i="2"/>
  <c r="K850" i="2"/>
  <c r="AE850" i="2" s="1"/>
  <c r="J850" i="2"/>
  <c r="Y850" i="2" s="1"/>
  <c r="I850" i="2"/>
  <c r="AL849" i="2"/>
  <c r="AI849" i="2"/>
  <c r="AH849" i="2"/>
  <c r="AF849" i="2"/>
  <c r="AC849" i="2"/>
  <c r="AB849" i="2"/>
  <c r="AA849" i="2"/>
  <c r="W849" i="2"/>
  <c r="S849" i="2"/>
  <c r="P849" i="2"/>
  <c r="X849" i="2" s="1"/>
  <c r="O849" i="2"/>
  <c r="T849" i="2" s="1"/>
  <c r="N849" i="2"/>
  <c r="K849" i="2"/>
  <c r="V849" i="2" s="1"/>
  <c r="J849" i="2"/>
  <c r="I849" i="2"/>
  <c r="AL848" i="2"/>
  <c r="AI848" i="2"/>
  <c r="AH848" i="2"/>
  <c r="AF848" i="2"/>
  <c r="AC848" i="2"/>
  <c r="AB848" i="2"/>
  <c r="AA848" i="2"/>
  <c r="W848" i="2"/>
  <c r="S848" i="2"/>
  <c r="P848" i="2"/>
  <c r="X848" i="2" s="1"/>
  <c r="O848" i="2"/>
  <c r="T848" i="2" s="1"/>
  <c r="N848" i="2"/>
  <c r="K848" i="2"/>
  <c r="J848" i="2"/>
  <c r="I848" i="2"/>
  <c r="AL847" i="2"/>
  <c r="AI847" i="2"/>
  <c r="AH847" i="2"/>
  <c r="AF847" i="2"/>
  <c r="AC847" i="2"/>
  <c r="AB847" i="2"/>
  <c r="AA847" i="2"/>
  <c r="Z847" i="2"/>
  <c r="W847" i="2"/>
  <c r="T847" i="2"/>
  <c r="S847" i="2"/>
  <c r="P847" i="2"/>
  <c r="X847" i="2" s="1"/>
  <c r="O847" i="2"/>
  <c r="N847" i="2"/>
  <c r="K847" i="2"/>
  <c r="J847" i="2"/>
  <c r="Q847" i="2" s="1"/>
  <c r="I847" i="2"/>
  <c r="AL846" i="2"/>
  <c r="AK846" i="2"/>
  <c r="AI846" i="2"/>
  <c r="AH846" i="2"/>
  <c r="AF846" i="2"/>
  <c r="AC846" i="2"/>
  <c r="AB846" i="2"/>
  <c r="AA846" i="2"/>
  <c r="W846" i="2"/>
  <c r="V846" i="2"/>
  <c r="U846" i="2"/>
  <c r="S846" i="2"/>
  <c r="P846" i="2"/>
  <c r="X846" i="2" s="1"/>
  <c r="O846" i="2"/>
  <c r="T846" i="2" s="1"/>
  <c r="N846" i="2"/>
  <c r="K846" i="2"/>
  <c r="J846" i="2"/>
  <c r="AD846" i="2" s="1"/>
  <c r="I846" i="2"/>
  <c r="AL845" i="2"/>
  <c r="AI845" i="2"/>
  <c r="AH845" i="2"/>
  <c r="AF845" i="2"/>
  <c r="AC845" i="2"/>
  <c r="AB845" i="2"/>
  <c r="AA845" i="2"/>
  <c r="W845" i="2"/>
  <c r="T845" i="2"/>
  <c r="S845" i="2"/>
  <c r="P845" i="2"/>
  <c r="X845" i="2" s="1"/>
  <c r="O845" i="2"/>
  <c r="N845" i="2"/>
  <c r="K845" i="2"/>
  <c r="R845" i="2" s="1"/>
  <c r="J845" i="2"/>
  <c r="I845" i="2"/>
  <c r="AL844" i="2"/>
  <c r="AI844" i="2"/>
  <c r="AH844" i="2"/>
  <c r="AF844" i="2"/>
  <c r="AC844" i="2"/>
  <c r="AB844" i="2"/>
  <c r="AA844" i="2"/>
  <c r="W844" i="2"/>
  <c r="V844" i="2"/>
  <c r="S844" i="2"/>
  <c r="P844" i="2"/>
  <c r="X844" i="2" s="1"/>
  <c r="O844" i="2"/>
  <c r="T844" i="2" s="1"/>
  <c r="N844" i="2"/>
  <c r="K844" i="2"/>
  <c r="J844" i="2"/>
  <c r="I844" i="2"/>
  <c r="AL843" i="2"/>
  <c r="AI843" i="2"/>
  <c r="AH843" i="2"/>
  <c r="AF843" i="2"/>
  <c r="AC843" i="2"/>
  <c r="AB843" i="2"/>
  <c r="AA843" i="2"/>
  <c r="W843" i="2"/>
  <c r="S843" i="2"/>
  <c r="R843" i="2"/>
  <c r="P843" i="2"/>
  <c r="X843" i="2" s="1"/>
  <c r="O843" i="2"/>
  <c r="T843" i="2" s="1"/>
  <c r="N843" i="2"/>
  <c r="K843" i="2"/>
  <c r="Z843" i="2" s="1"/>
  <c r="J843" i="2"/>
  <c r="U843" i="2" s="1"/>
  <c r="I843" i="2"/>
  <c r="AL842" i="2"/>
  <c r="AI842" i="2"/>
  <c r="AH842" i="2"/>
  <c r="AF842" i="2"/>
  <c r="AC842" i="2"/>
  <c r="AB842" i="2"/>
  <c r="AA842" i="2"/>
  <c r="W842" i="2"/>
  <c r="S842" i="2"/>
  <c r="P842" i="2"/>
  <c r="X842" i="2" s="1"/>
  <c r="O842" i="2"/>
  <c r="T842" i="2" s="1"/>
  <c r="N842" i="2"/>
  <c r="K842" i="2"/>
  <c r="J842" i="2"/>
  <c r="U842" i="2" s="1"/>
  <c r="I842" i="2"/>
  <c r="AL841" i="2"/>
  <c r="AI841" i="2"/>
  <c r="AH841" i="2"/>
  <c r="AF841" i="2"/>
  <c r="AC841" i="2"/>
  <c r="AB841" i="2"/>
  <c r="AA841" i="2"/>
  <c r="W841" i="2"/>
  <c r="U841" i="2"/>
  <c r="T841" i="2"/>
  <c r="S841" i="2"/>
  <c r="R841" i="2"/>
  <c r="P841" i="2"/>
  <c r="X841" i="2" s="1"/>
  <c r="O841" i="2"/>
  <c r="N841" i="2"/>
  <c r="K841" i="2"/>
  <c r="J841" i="2"/>
  <c r="AG841" i="2" s="1"/>
  <c r="I841" i="2"/>
  <c r="AL840" i="2"/>
  <c r="AI840" i="2"/>
  <c r="AH840" i="2"/>
  <c r="AF840" i="2"/>
  <c r="AC840" i="2"/>
  <c r="AB840" i="2"/>
  <c r="AA840" i="2"/>
  <c r="W840" i="2"/>
  <c r="S840" i="2"/>
  <c r="P840" i="2"/>
  <c r="X840" i="2" s="1"/>
  <c r="O840" i="2"/>
  <c r="T840" i="2" s="1"/>
  <c r="N840" i="2"/>
  <c r="K840" i="2"/>
  <c r="J840" i="2"/>
  <c r="I840" i="2"/>
  <c r="AL839" i="2"/>
  <c r="AI839" i="2"/>
  <c r="AH839" i="2"/>
  <c r="AF839" i="2"/>
  <c r="AC839" i="2"/>
  <c r="AB839" i="2"/>
  <c r="AA839" i="2"/>
  <c r="Z839" i="2"/>
  <c r="X839" i="2"/>
  <c r="W839" i="2"/>
  <c r="S839" i="2"/>
  <c r="P839" i="2"/>
  <c r="O839" i="2"/>
  <c r="T839" i="2" s="1"/>
  <c r="N839" i="2"/>
  <c r="K839" i="2"/>
  <c r="J839" i="2"/>
  <c r="AJ839" i="2" s="1"/>
  <c r="I839" i="2"/>
  <c r="AL838" i="2"/>
  <c r="AI838" i="2"/>
  <c r="AH838" i="2"/>
  <c r="AF838" i="2"/>
  <c r="AD838" i="2"/>
  <c r="AC838" i="2"/>
  <c r="AB838" i="2"/>
  <c r="AA838" i="2"/>
  <c r="W838" i="2"/>
  <c r="U838" i="2"/>
  <c r="S838" i="2"/>
  <c r="Q838" i="2"/>
  <c r="P838" i="2"/>
  <c r="X838" i="2" s="1"/>
  <c r="O838" i="2"/>
  <c r="T838" i="2" s="1"/>
  <c r="N838" i="2"/>
  <c r="K838" i="2"/>
  <c r="J838" i="2"/>
  <c r="I838" i="2"/>
  <c r="AL837" i="2"/>
  <c r="AK837" i="2"/>
  <c r="AJ837" i="2"/>
  <c r="AI837" i="2"/>
  <c r="AH837" i="2"/>
  <c r="AF837" i="2"/>
  <c r="AE837" i="2"/>
  <c r="AC837" i="2"/>
  <c r="AB837" i="2"/>
  <c r="AA837" i="2"/>
  <c r="Z837" i="2"/>
  <c r="X837" i="2"/>
  <c r="W837" i="2"/>
  <c r="V837" i="2"/>
  <c r="T837" i="2"/>
  <c r="S837" i="2"/>
  <c r="R837" i="2"/>
  <c r="P837" i="2"/>
  <c r="O837" i="2"/>
  <c r="N837" i="2"/>
  <c r="K837" i="2"/>
  <c r="J837" i="2"/>
  <c r="I837" i="2"/>
  <c r="AL836" i="2"/>
  <c r="AK836" i="2"/>
  <c r="AI836" i="2"/>
  <c r="AH836" i="2"/>
  <c r="AF836" i="2"/>
  <c r="AD836" i="2"/>
  <c r="AC836" i="2"/>
  <c r="AB836" i="2"/>
  <c r="AA836" i="2"/>
  <c r="Z836" i="2"/>
  <c r="W836" i="2"/>
  <c r="V836" i="2"/>
  <c r="U836" i="2"/>
  <c r="S836" i="2"/>
  <c r="Q836" i="2"/>
  <c r="P836" i="2"/>
  <c r="X836" i="2" s="1"/>
  <c r="O836" i="2"/>
  <c r="T836" i="2" s="1"/>
  <c r="N836" i="2"/>
  <c r="K836" i="2"/>
  <c r="J836" i="2"/>
  <c r="I836" i="2"/>
  <c r="AL835" i="2"/>
  <c r="AK835" i="2"/>
  <c r="AJ835" i="2"/>
  <c r="AI835" i="2"/>
  <c r="AH835" i="2"/>
  <c r="AG835" i="2"/>
  <c r="AF835" i="2"/>
  <c r="AE835" i="2"/>
  <c r="AC835" i="2"/>
  <c r="AB835" i="2"/>
  <c r="AA835" i="2"/>
  <c r="Z835" i="2"/>
  <c r="W835" i="2"/>
  <c r="V835" i="2"/>
  <c r="S835" i="2"/>
  <c r="R835" i="2"/>
  <c r="P835" i="2"/>
  <c r="X835" i="2" s="1"/>
  <c r="O835" i="2"/>
  <c r="T835" i="2" s="1"/>
  <c r="N835" i="2"/>
  <c r="K835" i="2"/>
  <c r="J835" i="2"/>
  <c r="I835" i="2"/>
  <c r="AL834" i="2"/>
  <c r="AI834" i="2"/>
  <c r="AH834" i="2"/>
  <c r="AF834" i="2"/>
  <c r="AE834" i="2"/>
  <c r="AD834" i="2"/>
  <c r="AC834" i="2"/>
  <c r="AB834" i="2"/>
  <c r="AA834" i="2"/>
  <c r="W834" i="2"/>
  <c r="V834" i="2"/>
  <c r="T834" i="2"/>
  <c r="S834" i="2"/>
  <c r="P834" i="2"/>
  <c r="X834" i="2" s="1"/>
  <c r="O834" i="2"/>
  <c r="N834" i="2"/>
  <c r="K834" i="2"/>
  <c r="J834" i="2"/>
  <c r="I834" i="2"/>
  <c r="AL833" i="2"/>
  <c r="AK833" i="2"/>
  <c r="AI833" i="2"/>
  <c r="AH833" i="2"/>
  <c r="AF833" i="2"/>
  <c r="AE833" i="2"/>
  <c r="AC833" i="2"/>
  <c r="AB833" i="2"/>
  <c r="AA833" i="2"/>
  <c r="Z833" i="2"/>
  <c r="W833" i="2"/>
  <c r="V833" i="2"/>
  <c r="S833" i="2"/>
  <c r="R833" i="2"/>
  <c r="P833" i="2"/>
  <c r="X833" i="2" s="1"/>
  <c r="O833" i="2"/>
  <c r="T833" i="2" s="1"/>
  <c r="N833" i="2"/>
  <c r="K833" i="2"/>
  <c r="J833" i="2"/>
  <c r="I833" i="2"/>
  <c r="AL832" i="2"/>
  <c r="AI832" i="2"/>
  <c r="AH832" i="2"/>
  <c r="AF832" i="2"/>
  <c r="AE832" i="2"/>
  <c r="AD832" i="2"/>
  <c r="AC832" i="2"/>
  <c r="AB832" i="2"/>
  <c r="AA832" i="2"/>
  <c r="Z832" i="2"/>
  <c r="W832" i="2"/>
  <c r="V832" i="2"/>
  <c r="U832" i="2"/>
  <c r="S832" i="2"/>
  <c r="Q832" i="2"/>
  <c r="P832" i="2"/>
  <c r="X832" i="2" s="1"/>
  <c r="O832" i="2"/>
  <c r="T832" i="2" s="1"/>
  <c r="N832" i="2"/>
  <c r="K832" i="2"/>
  <c r="J832" i="2"/>
  <c r="I832" i="2"/>
  <c r="AL831" i="2"/>
  <c r="AK831" i="2"/>
  <c r="AJ831" i="2"/>
  <c r="AI831" i="2"/>
  <c r="AH831" i="2"/>
  <c r="AF831" i="2"/>
  <c r="AE831" i="2"/>
  <c r="AC831" i="2"/>
  <c r="AB831" i="2"/>
  <c r="AA831" i="2"/>
  <c r="Z831" i="2"/>
  <c r="W831" i="2"/>
  <c r="V831" i="2"/>
  <c r="S831" i="2"/>
  <c r="R831" i="2"/>
  <c r="P831" i="2"/>
  <c r="X831" i="2" s="1"/>
  <c r="O831" i="2"/>
  <c r="T831" i="2" s="1"/>
  <c r="N831" i="2"/>
  <c r="K831" i="2"/>
  <c r="J831" i="2"/>
  <c r="AD831" i="2" s="1"/>
  <c r="I831" i="2"/>
  <c r="AL830" i="2"/>
  <c r="AI830" i="2"/>
  <c r="AH830" i="2"/>
  <c r="AF830" i="2"/>
  <c r="AD830" i="2"/>
  <c r="AC830" i="2"/>
  <c r="AB830" i="2"/>
  <c r="AA830" i="2"/>
  <c r="W830" i="2"/>
  <c r="S830" i="2"/>
  <c r="P830" i="2"/>
  <c r="X830" i="2" s="1"/>
  <c r="O830" i="2"/>
  <c r="T830" i="2" s="1"/>
  <c r="N830" i="2"/>
  <c r="K830" i="2"/>
  <c r="J830" i="2"/>
  <c r="Y830" i="2" s="1"/>
  <c r="I830" i="2"/>
  <c r="AL829" i="2"/>
  <c r="AJ829" i="2"/>
  <c r="AI829" i="2"/>
  <c r="AH829" i="2"/>
  <c r="AG829" i="2"/>
  <c r="AF829" i="2"/>
  <c r="AE829" i="2"/>
  <c r="AD829" i="2"/>
  <c r="AC829" i="2"/>
  <c r="AB829" i="2"/>
  <c r="AA829" i="2"/>
  <c r="W829" i="2"/>
  <c r="V829" i="2"/>
  <c r="S829" i="2"/>
  <c r="P829" i="2"/>
  <c r="X829" i="2" s="1"/>
  <c r="O829" i="2"/>
  <c r="T829" i="2" s="1"/>
  <c r="N829" i="2"/>
  <c r="K829" i="2"/>
  <c r="AK829" i="2" s="1"/>
  <c r="J829" i="2"/>
  <c r="I829" i="2"/>
  <c r="AL828" i="2"/>
  <c r="AK828" i="2"/>
  <c r="AI828" i="2"/>
  <c r="AH828" i="2"/>
  <c r="AF828" i="2"/>
  <c r="AC828" i="2"/>
  <c r="AB828" i="2"/>
  <c r="AA828" i="2"/>
  <c r="Z828" i="2"/>
  <c r="Y828" i="2"/>
  <c r="W828" i="2"/>
  <c r="U828" i="2"/>
  <c r="S828" i="2"/>
  <c r="Q828" i="2"/>
  <c r="P828" i="2"/>
  <c r="X828" i="2" s="1"/>
  <c r="O828" i="2"/>
  <c r="T828" i="2" s="1"/>
  <c r="N828" i="2"/>
  <c r="K828" i="2"/>
  <c r="V828" i="2" s="1"/>
  <c r="J828" i="2"/>
  <c r="I828" i="2"/>
  <c r="AL827" i="2"/>
  <c r="AK827" i="2"/>
  <c r="AI827" i="2"/>
  <c r="AH827" i="2"/>
  <c r="AG827" i="2"/>
  <c r="AF827" i="2"/>
  <c r="AE827" i="2"/>
  <c r="AD827" i="2"/>
  <c r="AC827" i="2"/>
  <c r="AB827" i="2"/>
  <c r="AA827" i="2"/>
  <c r="Z827" i="2"/>
  <c r="W827" i="2"/>
  <c r="V827" i="2"/>
  <c r="U827" i="2"/>
  <c r="S827" i="2"/>
  <c r="R827" i="2"/>
  <c r="P827" i="2"/>
  <c r="X827" i="2" s="1"/>
  <c r="O827" i="2"/>
  <c r="T827" i="2" s="1"/>
  <c r="N827" i="2"/>
  <c r="K827" i="2"/>
  <c r="J827" i="2"/>
  <c r="I827" i="2"/>
  <c r="AL826" i="2"/>
  <c r="AK826" i="2"/>
  <c r="AI826" i="2"/>
  <c r="AH826" i="2"/>
  <c r="AF826" i="2"/>
  <c r="AC826" i="2"/>
  <c r="AB826" i="2"/>
  <c r="AA826" i="2"/>
  <c r="Y826" i="2"/>
  <c r="W826" i="2"/>
  <c r="S826" i="2"/>
  <c r="Q826" i="2"/>
  <c r="P826" i="2"/>
  <c r="X826" i="2" s="1"/>
  <c r="O826" i="2"/>
  <c r="T826" i="2" s="1"/>
  <c r="N826" i="2"/>
  <c r="K826" i="2"/>
  <c r="Z826" i="2" s="1"/>
  <c r="J826" i="2"/>
  <c r="AD826" i="2" s="1"/>
  <c r="I826" i="2"/>
  <c r="AL825" i="2"/>
  <c r="AK825" i="2"/>
  <c r="AI825" i="2"/>
  <c r="AH825" i="2"/>
  <c r="AF825" i="2"/>
  <c r="AE825" i="2"/>
  <c r="AC825" i="2"/>
  <c r="AB825" i="2"/>
  <c r="AA825" i="2"/>
  <c r="W825" i="2"/>
  <c r="U825" i="2"/>
  <c r="S825" i="2"/>
  <c r="P825" i="2"/>
  <c r="X825" i="2" s="1"/>
  <c r="O825" i="2"/>
  <c r="T825" i="2" s="1"/>
  <c r="N825" i="2"/>
  <c r="K825" i="2"/>
  <c r="Z825" i="2" s="1"/>
  <c r="J825" i="2"/>
  <c r="I825" i="2"/>
  <c r="AL824" i="2"/>
  <c r="AI824" i="2"/>
  <c r="AH824" i="2"/>
  <c r="AF824" i="2"/>
  <c r="AC824" i="2"/>
  <c r="AB824" i="2"/>
  <c r="AA824" i="2"/>
  <c r="Z824" i="2"/>
  <c r="Y824" i="2"/>
  <c r="W824" i="2"/>
  <c r="S824" i="2"/>
  <c r="P824" i="2"/>
  <c r="X824" i="2" s="1"/>
  <c r="O824" i="2"/>
  <c r="T824" i="2" s="1"/>
  <c r="N824" i="2"/>
  <c r="K824" i="2"/>
  <c r="J824" i="2"/>
  <c r="I824" i="2"/>
  <c r="AL823" i="2"/>
  <c r="AI823" i="2"/>
  <c r="AH823" i="2"/>
  <c r="AF823" i="2"/>
  <c r="AE823" i="2"/>
  <c r="AD823" i="2"/>
  <c r="AC823" i="2"/>
  <c r="AB823" i="2"/>
  <c r="AA823" i="2"/>
  <c r="Z823" i="2"/>
  <c r="X823" i="2"/>
  <c r="W823" i="2"/>
  <c r="S823" i="2"/>
  <c r="P823" i="2"/>
  <c r="O823" i="2"/>
  <c r="T823" i="2" s="1"/>
  <c r="N823" i="2"/>
  <c r="K823" i="2"/>
  <c r="J823" i="2"/>
  <c r="I823" i="2"/>
  <c r="AL822" i="2"/>
  <c r="AI822" i="2"/>
  <c r="AH822" i="2"/>
  <c r="AF822" i="2"/>
  <c r="AE822" i="2"/>
  <c r="AC822" i="2"/>
  <c r="AB822" i="2"/>
  <c r="AA822" i="2"/>
  <c r="Z822" i="2"/>
  <c r="Y822" i="2"/>
  <c r="W822" i="2"/>
  <c r="V822" i="2"/>
  <c r="S822" i="2"/>
  <c r="P822" i="2"/>
  <c r="X822" i="2" s="1"/>
  <c r="O822" i="2"/>
  <c r="T822" i="2" s="1"/>
  <c r="N822" i="2"/>
  <c r="K822" i="2"/>
  <c r="AK822" i="2" s="1"/>
  <c r="J822" i="2"/>
  <c r="I822" i="2"/>
  <c r="AL821" i="2"/>
  <c r="AK821" i="2"/>
  <c r="AI821" i="2"/>
  <c r="AH821" i="2"/>
  <c r="AF821" i="2"/>
  <c r="AE821" i="2"/>
  <c r="AC821" i="2"/>
  <c r="AB821" i="2"/>
  <c r="AA821" i="2"/>
  <c r="Z821" i="2"/>
  <c r="W821" i="2"/>
  <c r="V821" i="2"/>
  <c r="S821" i="2"/>
  <c r="P821" i="2"/>
  <c r="X821" i="2" s="1"/>
  <c r="O821" i="2"/>
  <c r="T821" i="2" s="1"/>
  <c r="N821" i="2"/>
  <c r="K821" i="2"/>
  <c r="R821" i="2" s="1"/>
  <c r="J821" i="2"/>
  <c r="I821" i="2"/>
  <c r="AL820" i="2"/>
  <c r="AI820" i="2"/>
  <c r="AH820" i="2"/>
  <c r="AF820" i="2"/>
  <c r="AC820" i="2"/>
  <c r="AB820" i="2"/>
  <c r="AA820" i="2"/>
  <c r="Z820" i="2"/>
  <c r="W820" i="2"/>
  <c r="S820" i="2"/>
  <c r="P820" i="2"/>
  <c r="X820" i="2" s="1"/>
  <c r="O820" i="2"/>
  <c r="T820" i="2" s="1"/>
  <c r="N820" i="2"/>
  <c r="K820" i="2"/>
  <c r="V820" i="2" s="1"/>
  <c r="J820" i="2"/>
  <c r="Y820" i="2" s="1"/>
  <c r="I820" i="2"/>
  <c r="AL819" i="2"/>
  <c r="AI819" i="2"/>
  <c r="AH819" i="2"/>
  <c r="AF819" i="2"/>
  <c r="AC819" i="2"/>
  <c r="AB819" i="2"/>
  <c r="AA819" i="2"/>
  <c r="X819" i="2"/>
  <c r="W819" i="2"/>
  <c r="S819" i="2"/>
  <c r="P819" i="2"/>
  <c r="O819" i="2"/>
  <c r="T819" i="2" s="1"/>
  <c r="N819" i="2"/>
  <c r="K819" i="2"/>
  <c r="J819" i="2"/>
  <c r="I819" i="2"/>
  <c r="AL818" i="2"/>
  <c r="AI818" i="2"/>
  <c r="AH818" i="2"/>
  <c r="AF818" i="2"/>
  <c r="AC818" i="2"/>
  <c r="AB818" i="2"/>
  <c r="AA818" i="2"/>
  <c r="W818" i="2"/>
  <c r="S818" i="2"/>
  <c r="P818" i="2"/>
  <c r="X818" i="2" s="1"/>
  <c r="O818" i="2"/>
  <c r="T818" i="2" s="1"/>
  <c r="N818" i="2"/>
  <c r="K818" i="2"/>
  <c r="R818" i="2" s="1"/>
  <c r="J818" i="2"/>
  <c r="I818" i="2"/>
  <c r="AL817" i="2"/>
  <c r="AK817" i="2"/>
  <c r="AI817" i="2"/>
  <c r="AH817" i="2"/>
  <c r="AF817" i="2"/>
  <c r="AE817" i="2"/>
  <c r="AC817" i="2"/>
  <c r="AB817" i="2"/>
  <c r="AA817" i="2"/>
  <c r="X817" i="2"/>
  <c r="W817" i="2"/>
  <c r="V817" i="2"/>
  <c r="U817" i="2"/>
  <c r="T817" i="2"/>
  <c r="S817" i="2"/>
  <c r="R817" i="2"/>
  <c r="P817" i="2"/>
  <c r="O817" i="2"/>
  <c r="N817" i="2"/>
  <c r="K817" i="2"/>
  <c r="Z817" i="2" s="1"/>
  <c r="J817" i="2"/>
  <c r="AG817" i="2" s="1"/>
  <c r="I817" i="2"/>
  <c r="AL816" i="2"/>
  <c r="AI816" i="2"/>
  <c r="AH816" i="2"/>
  <c r="AF816" i="2"/>
  <c r="AE816" i="2"/>
  <c r="AC816" i="2"/>
  <c r="AB816" i="2"/>
  <c r="AA816" i="2"/>
  <c r="Z816" i="2"/>
  <c r="W816" i="2"/>
  <c r="U816" i="2"/>
  <c r="S816" i="2"/>
  <c r="R816" i="2"/>
  <c r="P816" i="2"/>
  <c r="X816" i="2" s="1"/>
  <c r="O816" i="2"/>
  <c r="T816" i="2" s="1"/>
  <c r="N816" i="2"/>
  <c r="K816" i="2"/>
  <c r="V816" i="2" s="1"/>
  <c r="J816" i="2"/>
  <c r="I816" i="2"/>
  <c r="AL815" i="2"/>
  <c r="AK815" i="2"/>
  <c r="AI815" i="2"/>
  <c r="AH815" i="2"/>
  <c r="AG815" i="2"/>
  <c r="AF815" i="2"/>
  <c r="AE815" i="2"/>
  <c r="AD815" i="2"/>
  <c r="AC815" i="2"/>
  <c r="AB815" i="2"/>
  <c r="AA815" i="2"/>
  <c r="Z815" i="2"/>
  <c r="W815" i="2"/>
  <c r="V815" i="2"/>
  <c r="U815" i="2"/>
  <c r="S815" i="2"/>
  <c r="R815" i="2"/>
  <c r="P815" i="2"/>
  <c r="X815" i="2" s="1"/>
  <c r="O815" i="2"/>
  <c r="T815" i="2" s="1"/>
  <c r="N815" i="2"/>
  <c r="K815" i="2"/>
  <c r="J815" i="2"/>
  <c r="I815" i="2"/>
  <c r="AL814" i="2"/>
  <c r="AI814" i="2"/>
  <c r="AH814" i="2"/>
  <c r="AF814" i="2"/>
  <c r="AC814" i="2"/>
  <c r="AB814" i="2"/>
  <c r="AA814" i="2"/>
  <c r="W814" i="2"/>
  <c r="V814" i="2"/>
  <c r="U814" i="2"/>
  <c r="T814" i="2"/>
  <c r="S814" i="2"/>
  <c r="P814" i="2"/>
  <c r="X814" i="2" s="1"/>
  <c r="O814" i="2"/>
  <c r="N814" i="2"/>
  <c r="K814" i="2"/>
  <c r="Z814" i="2" s="1"/>
  <c r="J814" i="2"/>
  <c r="AD814" i="2" s="1"/>
  <c r="I814" i="2"/>
  <c r="AL813" i="2"/>
  <c r="AK813" i="2"/>
  <c r="AI813" i="2"/>
  <c r="AH813" i="2"/>
  <c r="AG813" i="2"/>
  <c r="AF813" i="2"/>
  <c r="AE813" i="2"/>
  <c r="AC813" i="2"/>
  <c r="AB813" i="2"/>
  <c r="AA813" i="2"/>
  <c r="Z813" i="2"/>
  <c r="X813" i="2"/>
  <c r="W813" i="2"/>
  <c r="V813" i="2"/>
  <c r="S813" i="2"/>
  <c r="R813" i="2"/>
  <c r="P813" i="2"/>
  <c r="O813" i="2"/>
  <c r="T813" i="2" s="1"/>
  <c r="N813" i="2"/>
  <c r="K813" i="2"/>
  <c r="J813" i="2"/>
  <c r="AD813" i="2" s="1"/>
  <c r="I813" i="2"/>
  <c r="AL812" i="2"/>
  <c r="AI812" i="2"/>
  <c r="AH812" i="2"/>
  <c r="AF812" i="2"/>
  <c r="AD812" i="2"/>
  <c r="AC812" i="2"/>
  <c r="AB812" i="2"/>
  <c r="AA812" i="2"/>
  <c r="W812" i="2"/>
  <c r="U812" i="2"/>
  <c r="S812" i="2"/>
  <c r="R812" i="2"/>
  <c r="Q812" i="2"/>
  <c r="P812" i="2"/>
  <c r="X812" i="2" s="1"/>
  <c r="O812" i="2"/>
  <c r="T812" i="2" s="1"/>
  <c r="N812" i="2"/>
  <c r="K812" i="2"/>
  <c r="J812" i="2"/>
  <c r="Y812" i="2" s="1"/>
  <c r="I812" i="2"/>
  <c r="AL811" i="2"/>
  <c r="AK811" i="2"/>
  <c r="AI811" i="2"/>
  <c r="AH811" i="2"/>
  <c r="AG811" i="2"/>
  <c r="AF811" i="2"/>
  <c r="AE811" i="2"/>
  <c r="AC811" i="2"/>
  <c r="AB811" i="2"/>
  <c r="AA811" i="2"/>
  <c r="Z811" i="2"/>
  <c r="W811" i="2"/>
  <c r="V811" i="2"/>
  <c r="T811" i="2"/>
  <c r="S811" i="2"/>
  <c r="R811" i="2"/>
  <c r="P811" i="2"/>
  <c r="X811" i="2" s="1"/>
  <c r="O811" i="2"/>
  <c r="N811" i="2"/>
  <c r="K811" i="2"/>
  <c r="J811" i="2"/>
  <c r="AD811" i="2" s="1"/>
  <c r="I811" i="2"/>
  <c r="AL810" i="2"/>
  <c r="AI810" i="2"/>
  <c r="AH810" i="2"/>
  <c r="AF810" i="2"/>
  <c r="AC810" i="2"/>
  <c r="AB810" i="2"/>
  <c r="AA810" i="2"/>
  <c r="W810" i="2"/>
  <c r="S810" i="2"/>
  <c r="P810" i="2"/>
  <c r="X810" i="2" s="1"/>
  <c r="O810" i="2"/>
  <c r="T810" i="2" s="1"/>
  <c r="N810" i="2"/>
  <c r="K810" i="2"/>
  <c r="J810" i="2"/>
  <c r="Q810" i="2" s="1"/>
  <c r="I810" i="2"/>
  <c r="AL809" i="2"/>
  <c r="AJ809" i="2"/>
  <c r="AI809" i="2"/>
  <c r="AH809" i="2"/>
  <c r="AF809" i="2"/>
  <c r="AC809" i="2"/>
  <c r="AB809" i="2"/>
  <c r="AA809" i="2"/>
  <c r="W809" i="2"/>
  <c r="V809" i="2"/>
  <c r="T809" i="2"/>
  <c r="S809" i="2"/>
  <c r="R809" i="2"/>
  <c r="P809" i="2"/>
  <c r="X809" i="2" s="1"/>
  <c r="O809" i="2"/>
  <c r="N809" i="2"/>
  <c r="K809" i="2"/>
  <c r="J809" i="2"/>
  <c r="AD809" i="2" s="1"/>
  <c r="I809" i="2"/>
  <c r="AL808" i="2"/>
  <c r="AI808" i="2"/>
  <c r="AH808" i="2"/>
  <c r="AF808" i="2"/>
  <c r="AD808" i="2"/>
  <c r="AC808" i="2"/>
  <c r="AB808" i="2"/>
  <c r="AA808" i="2"/>
  <c r="W808" i="2"/>
  <c r="U808" i="2"/>
  <c r="S808" i="2"/>
  <c r="R808" i="2"/>
  <c r="Q808" i="2"/>
  <c r="P808" i="2"/>
  <c r="X808" i="2" s="1"/>
  <c r="O808" i="2"/>
  <c r="T808" i="2" s="1"/>
  <c r="N808" i="2"/>
  <c r="K808" i="2"/>
  <c r="Z808" i="2" s="1"/>
  <c r="J808" i="2"/>
  <c r="Y808" i="2" s="1"/>
  <c r="I808" i="2"/>
  <c r="AL807" i="2"/>
  <c r="AK807" i="2"/>
  <c r="AJ807" i="2"/>
  <c r="AI807" i="2"/>
  <c r="AH807" i="2"/>
  <c r="AF807" i="2"/>
  <c r="AE807" i="2"/>
  <c r="AD807" i="2"/>
  <c r="AC807" i="2"/>
  <c r="AB807" i="2"/>
  <c r="AA807" i="2"/>
  <c r="Z807" i="2"/>
  <c r="W807" i="2"/>
  <c r="V807" i="2"/>
  <c r="S807" i="2"/>
  <c r="R807" i="2"/>
  <c r="P807" i="2"/>
  <c r="X807" i="2" s="1"/>
  <c r="O807" i="2"/>
  <c r="T807" i="2" s="1"/>
  <c r="N807" i="2"/>
  <c r="K807" i="2"/>
  <c r="J807" i="2"/>
  <c r="I807" i="2"/>
  <c r="AL806" i="2"/>
  <c r="AI806" i="2"/>
  <c r="AH806" i="2"/>
  <c r="AF806" i="2"/>
  <c r="AE806" i="2"/>
  <c r="AD806" i="2"/>
  <c r="AC806" i="2"/>
  <c r="AB806" i="2"/>
  <c r="AA806" i="2"/>
  <c r="W806" i="2"/>
  <c r="V806" i="2"/>
  <c r="U806" i="2"/>
  <c r="T806" i="2"/>
  <c r="S806" i="2"/>
  <c r="R806" i="2"/>
  <c r="Q806" i="2"/>
  <c r="P806" i="2"/>
  <c r="X806" i="2" s="1"/>
  <c r="O806" i="2"/>
  <c r="N806" i="2"/>
  <c r="K806" i="2"/>
  <c r="AK806" i="2" s="1"/>
  <c r="J806" i="2"/>
  <c r="Y806" i="2" s="1"/>
  <c r="I806" i="2"/>
  <c r="AL805" i="2"/>
  <c r="AI805" i="2"/>
  <c r="AH805" i="2"/>
  <c r="AG805" i="2"/>
  <c r="AF805" i="2"/>
  <c r="AC805" i="2"/>
  <c r="AB805" i="2"/>
  <c r="AA805" i="2"/>
  <c r="X805" i="2"/>
  <c r="W805" i="2"/>
  <c r="U805" i="2"/>
  <c r="S805" i="2"/>
  <c r="P805" i="2"/>
  <c r="O805" i="2"/>
  <c r="T805" i="2" s="1"/>
  <c r="N805" i="2"/>
  <c r="K805" i="2"/>
  <c r="J805" i="2"/>
  <c r="AD805" i="2" s="1"/>
  <c r="I805" i="2"/>
  <c r="AL804" i="2"/>
  <c r="AI804" i="2"/>
  <c r="AH804" i="2"/>
  <c r="AF804" i="2"/>
  <c r="AC804" i="2"/>
  <c r="AB804" i="2"/>
  <c r="AA804" i="2"/>
  <c r="Y804" i="2"/>
  <c r="W804" i="2"/>
  <c r="U804" i="2"/>
  <c r="T804" i="2"/>
  <c r="S804" i="2"/>
  <c r="Q804" i="2"/>
  <c r="P804" i="2"/>
  <c r="X804" i="2" s="1"/>
  <c r="O804" i="2"/>
  <c r="N804" i="2"/>
  <c r="K804" i="2"/>
  <c r="AE804" i="2" s="1"/>
  <c r="J804" i="2"/>
  <c r="AD804" i="2" s="1"/>
  <c r="I804" i="2"/>
  <c r="AL803" i="2"/>
  <c r="AK803" i="2"/>
  <c r="AI803" i="2"/>
  <c r="AH803" i="2"/>
  <c r="AF803" i="2"/>
  <c r="AC803" i="2"/>
  <c r="AB803" i="2"/>
  <c r="AA803" i="2"/>
  <c r="Z803" i="2"/>
  <c r="W803" i="2"/>
  <c r="V803" i="2"/>
  <c r="S803" i="2"/>
  <c r="R803" i="2"/>
  <c r="P803" i="2"/>
  <c r="X803" i="2" s="1"/>
  <c r="O803" i="2"/>
  <c r="T803" i="2" s="1"/>
  <c r="N803" i="2"/>
  <c r="K803" i="2"/>
  <c r="AE803" i="2" s="1"/>
  <c r="J803" i="2"/>
  <c r="I803" i="2"/>
  <c r="AL802" i="2"/>
  <c r="AI802" i="2"/>
  <c r="AH802" i="2"/>
  <c r="AF802" i="2"/>
  <c r="AC802" i="2"/>
  <c r="AB802" i="2"/>
  <c r="AA802" i="2"/>
  <c r="W802" i="2"/>
  <c r="U802" i="2"/>
  <c r="S802" i="2"/>
  <c r="P802" i="2"/>
  <c r="X802" i="2" s="1"/>
  <c r="O802" i="2"/>
  <c r="T802" i="2" s="1"/>
  <c r="N802" i="2"/>
  <c r="K802" i="2"/>
  <c r="AK802" i="2" s="1"/>
  <c r="J802" i="2"/>
  <c r="I802" i="2"/>
  <c r="AL801" i="2"/>
  <c r="AI801" i="2"/>
  <c r="AH801" i="2"/>
  <c r="AG801" i="2"/>
  <c r="AF801" i="2"/>
  <c r="AE801" i="2"/>
  <c r="AD801" i="2"/>
  <c r="AC801" i="2"/>
  <c r="AB801" i="2"/>
  <c r="AA801" i="2"/>
  <c r="W801" i="2"/>
  <c r="V801" i="2"/>
  <c r="U801" i="2"/>
  <c r="S801" i="2"/>
  <c r="R801" i="2"/>
  <c r="P801" i="2"/>
  <c r="X801" i="2" s="1"/>
  <c r="O801" i="2"/>
  <c r="T801" i="2" s="1"/>
  <c r="N801" i="2"/>
  <c r="K801" i="2"/>
  <c r="Z801" i="2" s="1"/>
  <c r="J801" i="2"/>
  <c r="I801" i="2"/>
  <c r="AL800" i="2"/>
  <c r="AI800" i="2"/>
  <c r="AH800" i="2"/>
  <c r="AF800" i="2"/>
  <c r="AD800" i="2"/>
  <c r="AC800" i="2"/>
  <c r="AB800" i="2"/>
  <c r="AA800" i="2"/>
  <c r="W800" i="2"/>
  <c r="S800" i="2"/>
  <c r="Q800" i="2"/>
  <c r="P800" i="2"/>
  <c r="X800" i="2" s="1"/>
  <c r="O800" i="2"/>
  <c r="T800" i="2" s="1"/>
  <c r="N800" i="2"/>
  <c r="K800" i="2"/>
  <c r="J800" i="2"/>
  <c r="Y800" i="2" s="1"/>
  <c r="I800" i="2"/>
  <c r="AL799" i="2"/>
  <c r="AI799" i="2"/>
  <c r="AH799" i="2"/>
  <c r="AF799" i="2"/>
  <c r="AC799" i="2"/>
  <c r="AB799" i="2"/>
  <c r="AA799" i="2"/>
  <c r="W799" i="2"/>
  <c r="S799" i="2"/>
  <c r="P799" i="2"/>
  <c r="X799" i="2" s="1"/>
  <c r="O799" i="2"/>
  <c r="T799" i="2" s="1"/>
  <c r="N799" i="2"/>
  <c r="K799" i="2"/>
  <c r="J799" i="2"/>
  <c r="AG799" i="2" s="1"/>
  <c r="I799" i="2"/>
  <c r="AL798" i="2"/>
  <c r="AI798" i="2"/>
  <c r="AH798" i="2"/>
  <c r="AF798" i="2"/>
  <c r="AC798" i="2"/>
  <c r="AB798" i="2"/>
  <c r="AA798" i="2"/>
  <c r="W798" i="2"/>
  <c r="S798" i="2"/>
  <c r="P798" i="2"/>
  <c r="X798" i="2" s="1"/>
  <c r="O798" i="2"/>
  <c r="T798" i="2" s="1"/>
  <c r="N798" i="2"/>
  <c r="K798" i="2"/>
  <c r="J798" i="2"/>
  <c r="I798" i="2"/>
  <c r="AL797" i="2"/>
  <c r="AI797" i="2"/>
  <c r="AH797" i="2"/>
  <c r="AF797" i="2"/>
  <c r="AC797" i="2"/>
  <c r="AB797" i="2"/>
  <c r="AA797" i="2"/>
  <c r="X797" i="2"/>
  <c r="W797" i="2"/>
  <c r="T797" i="2"/>
  <c r="S797" i="2"/>
  <c r="P797" i="2"/>
  <c r="O797" i="2"/>
  <c r="N797" i="2"/>
  <c r="K797" i="2"/>
  <c r="J797" i="2"/>
  <c r="AJ797" i="2" s="1"/>
  <c r="I797" i="2"/>
  <c r="AL796" i="2"/>
  <c r="AI796" i="2"/>
  <c r="AH796" i="2"/>
  <c r="AF796" i="2"/>
  <c r="AE796" i="2"/>
  <c r="AD796" i="2"/>
  <c r="AC796" i="2"/>
  <c r="AB796" i="2"/>
  <c r="AA796" i="2"/>
  <c r="W796" i="2"/>
  <c r="V796" i="2"/>
  <c r="S796" i="2"/>
  <c r="R796" i="2"/>
  <c r="P796" i="2"/>
  <c r="X796" i="2" s="1"/>
  <c r="O796" i="2"/>
  <c r="T796" i="2" s="1"/>
  <c r="N796" i="2"/>
  <c r="K796" i="2"/>
  <c r="J796" i="2"/>
  <c r="I796" i="2"/>
  <c r="AL795" i="2"/>
  <c r="AK795" i="2"/>
  <c r="AI795" i="2"/>
  <c r="AH795" i="2"/>
  <c r="AF795" i="2"/>
  <c r="AC795" i="2"/>
  <c r="AB795" i="2"/>
  <c r="AA795" i="2"/>
  <c r="Z795" i="2"/>
  <c r="X795" i="2"/>
  <c r="W795" i="2"/>
  <c r="V795" i="2"/>
  <c r="S795" i="2"/>
  <c r="Q795" i="2"/>
  <c r="P795" i="2"/>
  <c r="O795" i="2"/>
  <c r="T795" i="2" s="1"/>
  <c r="N795" i="2"/>
  <c r="K795" i="2"/>
  <c r="AE795" i="2" s="1"/>
  <c r="J795" i="2"/>
  <c r="U795" i="2" s="1"/>
  <c r="I795" i="2"/>
  <c r="AL794" i="2"/>
  <c r="AI794" i="2"/>
  <c r="AH794" i="2"/>
  <c r="AG794" i="2"/>
  <c r="AF794" i="2"/>
  <c r="AC794" i="2"/>
  <c r="AB794" i="2"/>
  <c r="AA794" i="2"/>
  <c r="W794" i="2"/>
  <c r="S794" i="2"/>
  <c r="P794" i="2"/>
  <c r="X794" i="2" s="1"/>
  <c r="O794" i="2"/>
  <c r="T794" i="2" s="1"/>
  <c r="N794" i="2"/>
  <c r="K794" i="2"/>
  <c r="J794" i="2"/>
  <c r="Y794" i="2" s="1"/>
  <c r="I794" i="2"/>
  <c r="AL793" i="2"/>
  <c r="AI793" i="2"/>
  <c r="AH793" i="2"/>
  <c r="AG793" i="2"/>
  <c r="AF793" i="2"/>
  <c r="AE793" i="2"/>
  <c r="AD793" i="2"/>
  <c r="AC793" i="2"/>
  <c r="AB793" i="2"/>
  <c r="AA793" i="2"/>
  <c r="Z793" i="2"/>
  <c r="W793" i="2"/>
  <c r="V793" i="2"/>
  <c r="T793" i="2"/>
  <c r="S793" i="2"/>
  <c r="R793" i="2"/>
  <c r="Q793" i="2"/>
  <c r="P793" i="2"/>
  <c r="X793" i="2" s="1"/>
  <c r="O793" i="2"/>
  <c r="N793" i="2"/>
  <c r="K793" i="2"/>
  <c r="AK793" i="2" s="1"/>
  <c r="J793" i="2"/>
  <c r="I793" i="2"/>
  <c r="AL792" i="2"/>
  <c r="AI792" i="2"/>
  <c r="AH792" i="2"/>
  <c r="AF792" i="2"/>
  <c r="AC792" i="2"/>
  <c r="AB792" i="2"/>
  <c r="AA792" i="2"/>
  <c r="W792" i="2"/>
  <c r="S792" i="2"/>
  <c r="P792" i="2"/>
  <c r="X792" i="2" s="1"/>
  <c r="O792" i="2"/>
  <c r="T792" i="2" s="1"/>
  <c r="N792" i="2"/>
  <c r="K792" i="2"/>
  <c r="R792" i="2" s="1"/>
  <c r="J792" i="2"/>
  <c r="Q792" i="2" s="1"/>
  <c r="I792" i="2"/>
  <c r="AL791" i="2"/>
  <c r="AI791" i="2"/>
  <c r="AH791" i="2"/>
  <c r="AG791" i="2"/>
  <c r="AF791" i="2"/>
  <c r="AD791" i="2"/>
  <c r="AC791" i="2"/>
  <c r="AB791" i="2"/>
  <c r="AA791" i="2"/>
  <c r="W791" i="2"/>
  <c r="U791" i="2"/>
  <c r="S791" i="2"/>
  <c r="Q791" i="2"/>
  <c r="P791" i="2"/>
  <c r="X791" i="2" s="1"/>
  <c r="O791" i="2"/>
  <c r="T791" i="2" s="1"/>
  <c r="N791" i="2"/>
  <c r="K791" i="2"/>
  <c r="J791" i="2"/>
  <c r="I791" i="2"/>
  <c r="AL790" i="2"/>
  <c r="AI790" i="2"/>
  <c r="AH790" i="2"/>
  <c r="AF790" i="2"/>
  <c r="AC790" i="2"/>
  <c r="AB790" i="2"/>
  <c r="AA790" i="2"/>
  <c r="W790" i="2"/>
  <c r="S790" i="2"/>
  <c r="P790" i="2"/>
  <c r="X790" i="2" s="1"/>
  <c r="O790" i="2"/>
  <c r="T790" i="2" s="1"/>
  <c r="N790" i="2"/>
  <c r="K790" i="2"/>
  <c r="J790" i="2"/>
  <c r="I790" i="2"/>
  <c r="AL789" i="2"/>
  <c r="AI789" i="2"/>
  <c r="AH789" i="2"/>
  <c r="AF789" i="2"/>
  <c r="AE789" i="2"/>
  <c r="AD789" i="2"/>
  <c r="AC789" i="2"/>
  <c r="AB789" i="2"/>
  <c r="AA789" i="2"/>
  <c r="Z789" i="2"/>
  <c r="W789" i="2"/>
  <c r="V789" i="2"/>
  <c r="U789" i="2"/>
  <c r="T789" i="2"/>
  <c r="S789" i="2"/>
  <c r="R789" i="2"/>
  <c r="P789" i="2"/>
  <c r="X789" i="2" s="1"/>
  <c r="O789" i="2"/>
  <c r="N789" i="2"/>
  <c r="K789" i="2"/>
  <c r="AK789" i="2" s="1"/>
  <c r="J789" i="2"/>
  <c r="AJ789" i="2" s="1"/>
  <c r="I789" i="2"/>
  <c r="AL788" i="2"/>
  <c r="AI788" i="2"/>
  <c r="AH788" i="2"/>
  <c r="AG788" i="2"/>
  <c r="AF788" i="2"/>
  <c r="AC788" i="2"/>
  <c r="AB788" i="2"/>
  <c r="AA788" i="2"/>
  <c r="W788" i="2"/>
  <c r="S788" i="2"/>
  <c r="P788" i="2"/>
  <c r="X788" i="2" s="1"/>
  <c r="O788" i="2"/>
  <c r="T788" i="2" s="1"/>
  <c r="N788" i="2"/>
  <c r="K788" i="2"/>
  <c r="R788" i="2" s="1"/>
  <c r="J788" i="2"/>
  <c r="I788" i="2"/>
  <c r="AL787" i="2"/>
  <c r="AI787" i="2"/>
  <c r="AH787" i="2"/>
  <c r="AF787" i="2"/>
  <c r="AE787" i="2"/>
  <c r="AC787" i="2"/>
  <c r="AB787" i="2"/>
  <c r="AA787" i="2"/>
  <c r="Z787" i="2"/>
  <c r="W787" i="2"/>
  <c r="S787" i="2"/>
  <c r="P787" i="2"/>
  <c r="X787" i="2" s="1"/>
  <c r="O787" i="2"/>
  <c r="T787" i="2" s="1"/>
  <c r="N787" i="2"/>
  <c r="K787" i="2"/>
  <c r="J787" i="2"/>
  <c r="AG787" i="2" s="1"/>
  <c r="I787" i="2"/>
  <c r="AL786" i="2"/>
  <c r="AI786" i="2"/>
  <c r="AH786" i="2"/>
  <c r="AG786" i="2"/>
  <c r="AF786" i="2"/>
  <c r="AD786" i="2"/>
  <c r="AC786" i="2"/>
  <c r="AB786" i="2"/>
  <c r="AA786" i="2"/>
  <c r="Z786" i="2"/>
  <c r="Y786" i="2"/>
  <c r="W786" i="2"/>
  <c r="S786" i="2"/>
  <c r="P786" i="2"/>
  <c r="X786" i="2" s="1"/>
  <c r="O786" i="2"/>
  <c r="T786" i="2" s="1"/>
  <c r="N786" i="2"/>
  <c r="K786" i="2"/>
  <c r="J786" i="2"/>
  <c r="I786" i="2"/>
  <c r="AL785" i="2"/>
  <c r="AI785" i="2"/>
  <c r="AH785" i="2"/>
  <c r="AF785" i="2"/>
  <c r="AE785" i="2"/>
  <c r="AC785" i="2"/>
  <c r="AB785" i="2"/>
  <c r="AA785" i="2"/>
  <c r="Z785" i="2"/>
  <c r="W785" i="2"/>
  <c r="S785" i="2"/>
  <c r="R785" i="2"/>
  <c r="P785" i="2"/>
  <c r="X785" i="2" s="1"/>
  <c r="O785" i="2"/>
  <c r="T785" i="2" s="1"/>
  <c r="N785" i="2"/>
  <c r="K785" i="2"/>
  <c r="J785" i="2"/>
  <c r="I785" i="2"/>
  <c r="AL784" i="2"/>
  <c r="AI784" i="2"/>
  <c r="AH784" i="2"/>
  <c r="AG784" i="2"/>
  <c r="AF784" i="2"/>
  <c r="AE784" i="2"/>
  <c r="AD784" i="2"/>
  <c r="AC784" i="2"/>
  <c r="AB784" i="2"/>
  <c r="AA784" i="2"/>
  <c r="Z784" i="2"/>
  <c r="Y784" i="2"/>
  <c r="W784" i="2"/>
  <c r="V784" i="2"/>
  <c r="U784" i="2"/>
  <c r="T784" i="2"/>
  <c r="S784" i="2"/>
  <c r="R784" i="2"/>
  <c r="Q784" i="2"/>
  <c r="P784" i="2"/>
  <c r="X784" i="2" s="1"/>
  <c r="O784" i="2"/>
  <c r="N784" i="2"/>
  <c r="K784" i="2"/>
  <c r="AK784" i="2" s="1"/>
  <c r="J784" i="2"/>
  <c r="AJ784" i="2" s="1"/>
  <c r="I784" i="2"/>
  <c r="AL783" i="2"/>
  <c r="AK783" i="2"/>
  <c r="AI783" i="2"/>
  <c r="AH783" i="2"/>
  <c r="AF783" i="2"/>
  <c r="AE783" i="2"/>
  <c r="AC783" i="2"/>
  <c r="AB783" i="2"/>
  <c r="AA783" i="2"/>
  <c r="W783" i="2"/>
  <c r="V783" i="2"/>
  <c r="T783" i="2"/>
  <c r="S783" i="2"/>
  <c r="R783" i="2"/>
  <c r="P783" i="2"/>
  <c r="X783" i="2" s="1"/>
  <c r="O783" i="2"/>
  <c r="N783" i="2"/>
  <c r="K783" i="2"/>
  <c r="Z783" i="2" s="1"/>
  <c r="J783" i="2"/>
  <c r="I783" i="2"/>
  <c r="AL782" i="2"/>
  <c r="AI782" i="2"/>
  <c r="AH782" i="2"/>
  <c r="AF782" i="2"/>
  <c r="AC782" i="2"/>
  <c r="AB782" i="2"/>
  <c r="AA782" i="2"/>
  <c r="Y782" i="2"/>
  <c r="W782" i="2"/>
  <c r="U782" i="2"/>
  <c r="S782" i="2"/>
  <c r="P782" i="2"/>
  <c r="X782" i="2" s="1"/>
  <c r="O782" i="2"/>
  <c r="T782" i="2" s="1"/>
  <c r="N782" i="2"/>
  <c r="K782" i="2"/>
  <c r="J782" i="2"/>
  <c r="I782" i="2"/>
  <c r="AL781" i="2"/>
  <c r="AI781" i="2"/>
  <c r="AH781" i="2"/>
  <c r="AF781" i="2"/>
  <c r="AD781" i="2"/>
  <c r="AC781" i="2"/>
  <c r="AB781" i="2"/>
  <c r="AA781" i="2"/>
  <c r="W781" i="2"/>
  <c r="S781" i="2"/>
  <c r="Q781" i="2"/>
  <c r="P781" i="2"/>
  <c r="X781" i="2" s="1"/>
  <c r="O781" i="2"/>
  <c r="T781" i="2" s="1"/>
  <c r="N781" i="2"/>
  <c r="K781" i="2"/>
  <c r="J781" i="2"/>
  <c r="I781" i="2"/>
  <c r="AL780" i="2"/>
  <c r="AI780" i="2"/>
  <c r="AH780" i="2"/>
  <c r="AF780" i="2"/>
  <c r="AC780" i="2"/>
  <c r="AB780" i="2"/>
  <c r="AA780" i="2"/>
  <c r="W780" i="2"/>
  <c r="S780" i="2"/>
  <c r="P780" i="2"/>
  <c r="X780" i="2" s="1"/>
  <c r="O780" i="2"/>
  <c r="T780" i="2" s="1"/>
  <c r="N780" i="2"/>
  <c r="K780" i="2"/>
  <c r="J780" i="2"/>
  <c r="Y780" i="2" s="1"/>
  <c r="I780" i="2"/>
  <c r="AL779" i="2"/>
  <c r="AI779" i="2"/>
  <c r="AH779" i="2"/>
  <c r="AF779" i="2"/>
  <c r="AC779" i="2"/>
  <c r="AB779" i="2"/>
  <c r="AA779" i="2"/>
  <c r="W779" i="2"/>
  <c r="S779" i="2"/>
  <c r="P779" i="2"/>
  <c r="X779" i="2" s="1"/>
  <c r="O779" i="2"/>
  <c r="T779" i="2" s="1"/>
  <c r="N779" i="2"/>
  <c r="K779" i="2"/>
  <c r="J779" i="2"/>
  <c r="I779" i="2"/>
  <c r="AL778" i="2"/>
  <c r="AI778" i="2"/>
  <c r="AH778" i="2"/>
  <c r="AF778" i="2"/>
  <c r="AD778" i="2"/>
  <c r="AC778" i="2"/>
  <c r="AB778" i="2"/>
  <c r="AA778" i="2"/>
  <c r="W778" i="2"/>
  <c r="T778" i="2"/>
  <c r="S778" i="2"/>
  <c r="P778" i="2"/>
  <c r="X778" i="2" s="1"/>
  <c r="O778" i="2"/>
  <c r="N778" i="2"/>
  <c r="K778" i="2"/>
  <c r="J778" i="2"/>
  <c r="AG778" i="2" s="1"/>
  <c r="I778" i="2"/>
  <c r="AL777" i="2"/>
  <c r="AI777" i="2"/>
  <c r="AH777" i="2"/>
  <c r="AF777" i="2"/>
  <c r="AC777" i="2"/>
  <c r="AB777" i="2"/>
  <c r="AA777" i="2"/>
  <c r="W777" i="2"/>
  <c r="T777" i="2"/>
  <c r="S777" i="2"/>
  <c r="P777" i="2"/>
  <c r="X777" i="2" s="1"/>
  <c r="O777" i="2"/>
  <c r="N777" i="2"/>
  <c r="K777" i="2"/>
  <c r="J777" i="2"/>
  <c r="U777" i="2" s="1"/>
  <c r="I777" i="2"/>
  <c r="AL776" i="2"/>
  <c r="AI776" i="2"/>
  <c r="AH776" i="2"/>
  <c r="AF776" i="2"/>
  <c r="AC776" i="2"/>
  <c r="AB776" i="2"/>
  <c r="AA776" i="2"/>
  <c r="W776" i="2"/>
  <c r="T776" i="2"/>
  <c r="S776" i="2"/>
  <c r="P776" i="2"/>
  <c r="X776" i="2" s="1"/>
  <c r="O776" i="2"/>
  <c r="N776" i="2"/>
  <c r="K776" i="2"/>
  <c r="J776" i="2"/>
  <c r="I776" i="2"/>
  <c r="AL775" i="2"/>
  <c r="AK775" i="2"/>
  <c r="AI775" i="2"/>
  <c r="AH775" i="2"/>
  <c r="AF775" i="2"/>
  <c r="AD775" i="2"/>
  <c r="AC775" i="2"/>
  <c r="AB775" i="2"/>
  <c r="AA775" i="2"/>
  <c r="W775" i="2"/>
  <c r="S775" i="2"/>
  <c r="P775" i="2"/>
  <c r="X775" i="2" s="1"/>
  <c r="O775" i="2"/>
  <c r="T775" i="2" s="1"/>
  <c r="N775" i="2"/>
  <c r="K775" i="2"/>
  <c r="AE775" i="2" s="1"/>
  <c r="J775" i="2"/>
  <c r="I775" i="2"/>
  <c r="AL774" i="2"/>
  <c r="AI774" i="2"/>
  <c r="AH774" i="2"/>
  <c r="AF774" i="2"/>
  <c r="AC774" i="2"/>
  <c r="AB774" i="2"/>
  <c r="AA774" i="2"/>
  <c r="Z774" i="2"/>
  <c r="W774" i="2"/>
  <c r="S774" i="2"/>
  <c r="R774" i="2"/>
  <c r="P774" i="2"/>
  <c r="X774" i="2" s="1"/>
  <c r="O774" i="2"/>
  <c r="T774" i="2" s="1"/>
  <c r="N774" i="2"/>
  <c r="K774" i="2"/>
  <c r="J774" i="2"/>
  <c r="I774" i="2"/>
  <c r="AL773" i="2"/>
  <c r="AJ773" i="2"/>
  <c r="AI773" i="2"/>
  <c r="AH773" i="2"/>
  <c r="AG773" i="2"/>
  <c r="AF773" i="2"/>
  <c r="AD773" i="2"/>
  <c r="AC773" i="2"/>
  <c r="AB773" i="2"/>
  <c r="AA773" i="2"/>
  <c r="W773" i="2"/>
  <c r="V773" i="2"/>
  <c r="U773" i="2"/>
  <c r="T773" i="2"/>
  <c r="S773" i="2"/>
  <c r="P773" i="2"/>
  <c r="X773" i="2" s="1"/>
  <c r="O773" i="2"/>
  <c r="N773" i="2"/>
  <c r="K773" i="2"/>
  <c r="J773" i="2"/>
  <c r="Q773" i="2" s="1"/>
  <c r="I773" i="2"/>
  <c r="AL772" i="2"/>
  <c r="AI772" i="2"/>
  <c r="AH772" i="2"/>
  <c r="AG772" i="2"/>
  <c r="AF772" i="2"/>
  <c r="AE772" i="2"/>
  <c r="AD772" i="2"/>
  <c r="AC772" i="2"/>
  <c r="AB772" i="2"/>
  <c r="AA772" i="2"/>
  <c r="X772" i="2"/>
  <c r="W772" i="2"/>
  <c r="V772" i="2"/>
  <c r="U772" i="2"/>
  <c r="S772" i="2"/>
  <c r="R772" i="2"/>
  <c r="Q772" i="2"/>
  <c r="P772" i="2"/>
  <c r="O772" i="2"/>
  <c r="T772" i="2" s="1"/>
  <c r="N772" i="2"/>
  <c r="K772" i="2"/>
  <c r="AK772" i="2" s="1"/>
  <c r="J772" i="2"/>
  <c r="Y772" i="2" s="1"/>
  <c r="I772" i="2"/>
  <c r="AL771" i="2"/>
  <c r="AJ771" i="2"/>
  <c r="AI771" i="2"/>
  <c r="AH771" i="2"/>
  <c r="AG771" i="2"/>
  <c r="AF771" i="2"/>
  <c r="AC771" i="2"/>
  <c r="AB771" i="2"/>
  <c r="AA771" i="2"/>
  <c r="Z771" i="2"/>
  <c r="Y771" i="2"/>
  <c r="X771" i="2"/>
  <c r="W771" i="2"/>
  <c r="V771" i="2"/>
  <c r="U771" i="2"/>
  <c r="T771" i="2"/>
  <c r="S771" i="2"/>
  <c r="P771" i="2"/>
  <c r="O771" i="2"/>
  <c r="N771" i="2"/>
  <c r="K771" i="2"/>
  <c r="R771" i="2" s="1"/>
  <c r="J771" i="2"/>
  <c r="I771" i="2"/>
  <c r="AL770" i="2"/>
  <c r="AI770" i="2"/>
  <c r="AH770" i="2"/>
  <c r="AF770" i="2"/>
  <c r="AD770" i="2"/>
  <c r="AC770" i="2"/>
  <c r="AB770" i="2"/>
  <c r="AA770" i="2"/>
  <c r="Z770" i="2"/>
  <c r="W770" i="2"/>
  <c r="V770" i="2"/>
  <c r="S770" i="2"/>
  <c r="P770" i="2"/>
  <c r="X770" i="2" s="1"/>
  <c r="O770" i="2"/>
  <c r="T770" i="2" s="1"/>
  <c r="N770" i="2"/>
  <c r="K770" i="2"/>
  <c r="AK770" i="2" s="1"/>
  <c r="J770" i="2"/>
  <c r="I770" i="2"/>
  <c r="AL769" i="2"/>
  <c r="AJ769" i="2"/>
  <c r="AI769" i="2"/>
  <c r="AH769" i="2"/>
  <c r="AF769" i="2"/>
  <c r="AD769" i="2"/>
  <c r="AC769" i="2"/>
  <c r="AB769" i="2"/>
  <c r="AA769" i="2"/>
  <c r="Y769" i="2"/>
  <c r="W769" i="2"/>
  <c r="V769" i="2"/>
  <c r="S769" i="2"/>
  <c r="Q769" i="2"/>
  <c r="P769" i="2"/>
  <c r="X769" i="2" s="1"/>
  <c r="O769" i="2"/>
  <c r="T769" i="2" s="1"/>
  <c r="N769" i="2"/>
  <c r="K769" i="2"/>
  <c r="Z769" i="2" s="1"/>
  <c r="J769" i="2"/>
  <c r="I769" i="2"/>
  <c r="AL768" i="2"/>
  <c r="AI768" i="2"/>
  <c r="AH768" i="2"/>
  <c r="AF768" i="2"/>
  <c r="AC768" i="2"/>
  <c r="AB768" i="2"/>
  <c r="AA768" i="2"/>
  <c r="X768" i="2"/>
  <c r="W768" i="2"/>
  <c r="S768" i="2"/>
  <c r="R768" i="2"/>
  <c r="P768" i="2"/>
  <c r="O768" i="2"/>
  <c r="T768" i="2" s="1"/>
  <c r="N768" i="2"/>
  <c r="K768" i="2"/>
  <c r="J768" i="2"/>
  <c r="I768" i="2"/>
  <c r="AL767" i="2"/>
  <c r="AI767" i="2"/>
  <c r="AH767" i="2"/>
  <c r="AF767" i="2"/>
  <c r="AC767" i="2"/>
  <c r="AB767" i="2"/>
  <c r="AA767" i="2"/>
  <c r="X767" i="2"/>
  <c r="W767" i="2"/>
  <c r="U767" i="2"/>
  <c r="S767" i="2"/>
  <c r="P767" i="2"/>
  <c r="O767" i="2"/>
  <c r="T767" i="2" s="1"/>
  <c r="N767" i="2"/>
  <c r="K767" i="2"/>
  <c r="R767" i="2" s="1"/>
  <c r="J767" i="2"/>
  <c r="I767" i="2"/>
  <c r="AL766" i="2"/>
  <c r="AK766" i="2"/>
  <c r="AI766" i="2"/>
  <c r="AH766" i="2"/>
  <c r="AF766" i="2"/>
  <c r="AC766" i="2"/>
  <c r="AB766" i="2"/>
  <c r="AA766" i="2"/>
  <c r="Z766" i="2"/>
  <c r="X766" i="2"/>
  <c r="W766" i="2"/>
  <c r="S766" i="2"/>
  <c r="P766" i="2"/>
  <c r="O766" i="2"/>
  <c r="T766" i="2" s="1"/>
  <c r="N766" i="2"/>
  <c r="K766" i="2"/>
  <c r="J766" i="2"/>
  <c r="I766" i="2"/>
  <c r="AL765" i="2"/>
  <c r="AK765" i="2"/>
  <c r="AJ765" i="2"/>
  <c r="AI765" i="2"/>
  <c r="AH765" i="2"/>
  <c r="AF765" i="2"/>
  <c r="AC765" i="2"/>
  <c r="AB765" i="2"/>
  <c r="AA765" i="2"/>
  <c r="W765" i="2"/>
  <c r="T765" i="2"/>
  <c r="S765" i="2"/>
  <c r="P765" i="2"/>
  <c r="X765" i="2" s="1"/>
  <c r="O765" i="2"/>
  <c r="N765" i="2"/>
  <c r="K765" i="2"/>
  <c r="J765" i="2"/>
  <c r="I765" i="2"/>
  <c r="AL764" i="2"/>
  <c r="AI764" i="2"/>
  <c r="AH764" i="2"/>
  <c r="AF764" i="2"/>
  <c r="AC764" i="2"/>
  <c r="AB764" i="2"/>
  <c r="AA764" i="2"/>
  <c r="Y764" i="2"/>
  <c r="X764" i="2"/>
  <c r="W764" i="2"/>
  <c r="U764" i="2"/>
  <c r="S764" i="2"/>
  <c r="P764" i="2"/>
  <c r="O764" i="2"/>
  <c r="T764" i="2" s="1"/>
  <c r="N764" i="2"/>
  <c r="K764" i="2"/>
  <c r="Z764" i="2" s="1"/>
  <c r="J764" i="2"/>
  <c r="I764" i="2"/>
  <c r="AL763" i="2"/>
  <c r="AJ763" i="2"/>
  <c r="AI763" i="2"/>
  <c r="AH763" i="2"/>
  <c r="AF763" i="2"/>
  <c r="AC763" i="2"/>
  <c r="AB763" i="2"/>
  <c r="AA763" i="2"/>
  <c r="Z763" i="2"/>
  <c r="W763" i="2"/>
  <c r="U763" i="2"/>
  <c r="S763" i="2"/>
  <c r="P763" i="2"/>
  <c r="X763" i="2" s="1"/>
  <c r="O763" i="2"/>
  <c r="T763" i="2" s="1"/>
  <c r="N763" i="2"/>
  <c r="K763" i="2"/>
  <c r="J763" i="2"/>
  <c r="I763" i="2"/>
  <c r="AL762" i="2"/>
  <c r="AJ762" i="2"/>
  <c r="AI762" i="2"/>
  <c r="AH762" i="2"/>
  <c r="AG762" i="2"/>
  <c r="AF762" i="2"/>
  <c r="AC762" i="2"/>
  <c r="AB762" i="2"/>
  <c r="AA762" i="2"/>
  <c r="W762" i="2"/>
  <c r="U762" i="2"/>
  <c r="S762" i="2"/>
  <c r="Q762" i="2"/>
  <c r="P762" i="2"/>
  <c r="X762" i="2" s="1"/>
  <c r="O762" i="2"/>
  <c r="T762" i="2" s="1"/>
  <c r="N762" i="2"/>
  <c r="K762" i="2"/>
  <c r="J762" i="2"/>
  <c r="AD762" i="2" s="1"/>
  <c r="I762" i="2"/>
  <c r="AL761" i="2"/>
  <c r="AJ761" i="2"/>
  <c r="AI761" i="2"/>
  <c r="AH761" i="2"/>
  <c r="AF761" i="2"/>
  <c r="AC761" i="2"/>
  <c r="AB761" i="2"/>
  <c r="AA761" i="2"/>
  <c r="W761" i="2"/>
  <c r="U761" i="2"/>
  <c r="S761" i="2"/>
  <c r="R761" i="2"/>
  <c r="Q761" i="2"/>
  <c r="P761" i="2"/>
  <c r="X761" i="2" s="1"/>
  <c r="O761" i="2"/>
  <c r="T761" i="2" s="1"/>
  <c r="N761" i="2"/>
  <c r="K761" i="2"/>
  <c r="Z761" i="2" s="1"/>
  <c r="J761" i="2"/>
  <c r="Y761" i="2" s="1"/>
  <c r="I761" i="2"/>
  <c r="AL760" i="2"/>
  <c r="AI760" i="2"/>
  <c r="AH760" i="2"/>
  <c r="AF760" i="2"/>
  <c r="AE760" i="2"/>
  <c r="AC760" i="2"/>
  <c r="AB760" i="2"/>
  <c r="AA760" i="2"/>
  <c r="W760" i="2"/>
  <c r="V760" i="2"/>
  <c r="S760" i="2"/>
  <c r="P760" i="2"/>
  <c r="X760" i="2" s="1"/>
  <c r="O760" i="2"/>
  <c r="T760" i="2" s="1"/>
  <c r="N760" i="2"/>
  <c r="K760" i="2"/>
  <c r="J760" i="2"/>
  <c r="I760" i="2"/>
  <c r="AL759" i="2"/>
  <c r="AJ759" i="2"/>
  <c r="AI759" i="2"/>
  <c r="AH759" i="2"/>
  <c r="AF759" i="2"/>
  <c r="AC759" i="2"/>
  <c r="AB759" i="2"/>
  <c r="AA759" i="2"/>
  <c r="W759" i="2"/>
  <c r="S759" i="2"/>
  <c r="P759" i="2"/>
  <c r="X759" i="2" s="1"/>
  <c r="O759" i="2"/>
  <c r="T759" i="2" s="1"/>
  <c r="N759" i="2"/>
  <c r="K759" i="2"/>
  <c r="J759" i="2"/>
  <c r="AG759" i="2" s="1"/>
  <c r="I759" i="2"/>
  <c r="AL758" i="2"/>
  <c r="AK758" i="2"/>
  <c r="AI758" i="2"/>
  <c r="AH758" i="2"/>
  <c r="AF758" i="2"/>
  <c r="AC758" i="2"/>
  <c r="AB758" i="2"/>
  <c r="AA758" i="2"/>
  <c r="W758" i="2"/>
  <c r="S758" i="2"/>
  <c r="P758" i="2"/>
  <c r="X758" i="2" s="1"/>
  <c r="O758" i="2"/>
  <c r="T758" i="2" s="1"/>
  <c r="N758" i="2"/>
  <c r="K758" i="2"/>
  <c r="AE758" i="2" s="1"/>
  <c r="J758" i="2"/>
  <c r="AJ758" i="2" s="1"/>
  <c r="I758" i="2"/>
  <c r="AL757" i="2"/>
  <c r="AK757" i="2"/>
  <c r="AI757" i="2"/>
  <c r="AH757" i="2"/>
  <c r="AG757" i="2"/>
  <c r="AF757" i="2"/>
  <c r="AC757" i="2"/>
  <c r="AB757" i="2"/>
  <c r="AA757" i="2"/>
  <c r="W757" i="2"/>
  <c r="T757" i="2"/>
  <c r="S757" i="2"/>
  <c r="R757" i="2"/>
  <c r="P757" i="2"/>
  <c r="X757" i="2" s="1"/>
  <c r="O757" i="2"/>
  <c r="N757" i="2"/>
  <c r="K757" i="2"/>
  <c r="J757" i="2"/>
  <c r="I757" i="2"/>
  <c r="AL756" i="2"/>
  <c r="AI756" i="2"/>
  <c r="AH756" i="2"/>
  <c r="AF756" i="2"/>
  <c r="AC756" i="2"/>
  <c r="AB756" i="2"/>
  <c r="AA756" i="2"/>
  <c r="W756" i="2"/>
  <c r="S756" i="2"/>
  <c r="P756" i="2"/>
  <c r="X756" i="2" s="1"/>
  <c r="O756" i="2"/>
  <c r="T756" i="2" s="1"/>
  <c r="N756" i="2"/>
  <c r="K756" i="2"/>
  <c r="J756" i="2"/>
  <c r="I756" i="2"/>
  <c r="AL755" i="2"/>
  <c r="AI755" i="2"/>
  <c r="AH755" i="2"/>
  <c r="AF755" i="2"/>
  <c r="AC755" i="2"/>
  <c r="AB755" i="2"/>
  <c r="AA755" i="2"/>
  <c r="Z755" i="2"/>
  <c r="W755" i="2"/>
  <c r="V755" i="2"/>
  <c r="S755" i="2"/>
  <c r="P755" i="2"/>
  <c r="X755" i="2" s="1"/>
  <c r="O755" i="2"/>
  <c r="T755" i="2" s="1"/>
  <c r="N755" i="2"/>
  <c r="K755" i="2"/>
  <c r="J755" i="2"/>
  <c r="U755" i="2" s="1"/>
  <c r="I755" i="2"/>
  <c r="AL754" i="2"/>
  <c r="AK754" i="2"/>
  <c r="AI754" i="2"/>
  <c r="AH754" i="2"/>
  <c r="AF754" i="2"/>
  <c r="AC754" i="2"/>
  <c r="AB754" i="2"/>
  <c r="AA754" i="2"/>
  <c r="X754" i="2"/>
  <c r="W754" i="2"/>
  <c r="S754" i="2"/>
  <c r="P754" i="2"/>
  <c r="O754" i="2"/>
  <c r="T754" i="2" s="1"/>
  <c r="N754" i="2"/>
  <c r="K754" i="2"/>
  <c r="J754" i="2"/>
  <c r="I754" i="2"/>
  <c r="AL753" i="2"/>
  <c r="AI753" i="2"/>
  <c r="AH753" i="2"/>
  <c r="AF753" i="2"/>
  <c r="AC753" i="2"/>
  <c r="AB753" i="2"/>
  <c r="AA753" i="2"/>
  <c r="X753" i="2"/>
  <c r="W753" i="2"/>
  <c r="U753" i="2"/>
  <c r="S753" i="2"/>
  <c r="P753" i="2"/>
  <c r="O753" i="2"/>
  <c r="T753" i="2" s="1"/>
  <c r="N753" i="2"/>
  <c r="K753" i="2"/>
  <c r="J753" i="2"/>
  <c r="Y753" i="2" s="1"/>
  <c r="I753" i="2"/>
  <c r="AL752" i="2"/>
  <c r="AK752" i="2"/>
  <c r="AI752" i="2"/>
  <c r="AH752" i="2"/>
  <c r="AF752" i="2"/>
  <c r="AC752" i="2"/>
  <c r="AB752" i="2"/>
  <c r="AA752" i="2"/>
  <c r="W752" i="2"/>
  <c r="S752" i="2"/>
  <c r="P752" i="2"/>
  <c r="X752" i="2" s="1"/>
  <c r="O752" i="2"/>
  <c r="T752" i="2" s="1"/>
  <c r="N752" i="2"/>
  <c r="K752" i="2"/>
  <c r="J752" i="2"/>
  <c r="I752" i="2"/>
  <c r="AL751" i="2"/>
  <c r="AI751" i="2"/>
  <c r="AH751" i="2"/>
  <c r="AG751" i="2"/>
  <c r="AF751" i="2"/>
  <c r="AC751" i="2"/>
  <c r="AB751" i="2"/>
  <c r="AA751" i="2"/>
  <c r="Z751" i="2"/>
  <c r="Y751" i="2"/>
  <c r="W751" i="2"/>
  <c r="U751" i="2"/>
  <c r="S751" i="2"/>
  <c r="P751" i="2"/>
  <c r="X751" i="2" s="1"/>
  <c r="O751" i="2"/>
  <c r="T751" i="2" s="1"/>
  <c r="N751" i="2"/>
  <c r="K751" i="2"/>
  <c r="V751" i="2" s="1"/>
  <c r="J751" i="2"/>
  <c r="Q751" i="2" s="1"/>
  <c r="I751" i="2"/>
  <c r="AL750" i="2"/>
  <c r="AI750" i="2"/>
  <c r="AH750" i="2"/>
  <c r="AF750" i="2"/>
  <c r="AD750" i="2"/>
  <c r="AC750" i="2"/>
  <c r="AB750" i="2"/>
  <c r="AA750" i="2"/>
  <c r="Y750" i="2"/>
  <c r="W750" i="2"/>
  <c r="U750" i="2"/>
  <c r="S750" i="2"/>
  <c r="Q750" i="2"/>
  <c r="P750" i="2"/>
  <c r="X750" i="2" s="1"/>
  <c r="O750" i="2"/>
  <c r="T750" i="2" s="1"/>
  <c r="N750" i="2"/>
  <c r="K750" i="2"/>
  <c r="J750" i="2"/>
  <c r="AG750" i="2" s="1"/>
  <c r="I750" i="2"/>
  <c r="AL749" i="2"/>
  <c r="AJ749" i="2"/>
  <c r="AI749" i="2"/>
  <c r="AH749" i="2"/>
  <c r="AF749" i="2"/>
  <c r="AD749" i="2"/>
  <c r="AC749" i="2"/>
  <c r="AB749" i="2"/>
  <c r="AA749" i="2"/>
  <c r="Y749" i="2"/>
  <c r="W749" i="2"/>
  <c r="T749" i="2"/>
  <c r="S749" i="2"/>
  <c r="Q749" i="2"/>
  <c r="P749" i="2"/>
  <c r="X749" i="2" s="1"/>
  <c r="O749" i="2"/>
  <c r="N749" i="2"/>
  <c r="K749" i="2"/>
  <c r="J749" i="2"/>
  <c r="I749" i="2"/>
  <c r="AL748" i="2"/>
  <c r="AI748" i="2"/>
  <c r="AH748" i="2"/>
  <c r="AG748" i="2"/>
  <c r="AF748" i="2"/>
  <c r="AC748" i="2"/>
  <c r="AB748" i="2"/>
  <c r="AA748" i="2"/>
  <c r="Y748" i="2"/>
  <c r="W748" i="2"/>
  <c r="U748" i="2"/>
  <c r="S748" i="2"/>
  <c r="Q748" i="2"/>
  <c r="P748" i="2"/>
  <c r="X748" i="2" s="1"/>
  <c r="O748" i="2"/>
  <c r="T748" i="2" s="1"/>
  <c r="N748" i="2"/>
  <c r="K748" i="2"/>
  <c r="AK748" i="2" s="1"/>
  <c r="J748" i="2"/>
  <c r="AJ748" i="2" s="1"/>
  <c r="I748" i="2"/>
  <c r="AL747" i="2"/>
  <c r="AI747" i="2"/>
  <c r="AH747" i="2"/>
  <c r="AF747" i="2"/>
  <c r="AC747" i="2"/>
  <c r="AB747" i="2"/>
  <c r="AA747" i="2"/>
  <c r="W747" i="2"/>
  <c r="S747" i="2"/>
  <c r="P747" i="2"/>
  <c r="X747" i="2" s="1"/>
  <c r="O747" i="2"/>
  <c r="T747" i="2" s="1"/>
  <c r="N747" i="2"/>
  <c r="K747" i="2"/>
  <c r="J747" i="2"/>
  <c r="I747" i="2"/>
  <c r="AL746" i="2"/>
  <c r="AI746" i="2"/>
  <c r="AH746" i="2"/>
  <c r="AF746" i="2"/>
  <c r="AC746" i="2"/>
  <c r="AB746" i="2"/>
  <c r="AA746" i="2"/>
  <c r="Z746" i="2"/>
  <c r="X746" i="2"/>
  <c r="W746" i="2"/>
  <c r="S746" i="2"/>
  <c r="P746" i="2"/>
  <c r="O746" i="2"/>
  <c r="T746" i="2" s="1"/>
  <c r="N746" i="2"/>
  <c r="K746" i="2"/>
  <c r="J746" i="2"/>
  <c r="I746" i="2"/>
  <c r="AL745" i="2"/>
  <c r="AI745" i="2"/>
  <c r="AH745" i="2"/>
  <c r="AF745" i="2"/>
  <c r="AC745" i="2"/>
  <c r="AB745" i="2"/>
  <c r="AA745" i="2"/>
  <c r="W745" i="2"/>
  <c r="T745" i="2"/>
  <c r="S745" i="2"/>
  <c r="P745" i="2"/>
  <c r="X745" i="2" s="1"/>
  <c r="O745" i="2"/>
  <c r="N745" i="2"/>
  <c r="K745" i="2"/>
  <c r="J745" i="2"/>
  <c r="I745" i="2"/>
  <c r="AL744" i="2"/>
  <c r="AI744" i="2"/>
  <c r="AH744" i="2"/>
  <c r="AF744" i="2"/>
  <c r="AC744" i="2"/>
  <c r="AB744" i="2"/>
  <c r="AA744" i="2"/>
  <c r="Y744" i="2"/>
  <c r="W744" i="2"/>
  <c r="U744" i="2"/>
  <c r="S744" i="2"/>
  <c r="P744" i="2"/>
  <c r="X744" i="2" s="1"/>
  <c r="O744" i="2"/>
  <c r="T744" i="2" s="1"/>
  <c r="N744" i="2"/>
  <c r="K744" i="2"/>
  <c r="J744" i="2"/>
  <c r="I744" i="2"/>
  <c r="AL743" i="2"/>
  <c r="AI743" i="2"/>
  <c r="AH743" i="2"/>
  <c r="AF743" i="2"/>
  <c r="AC743" i="2"/>
  <c r="AB743" i="2"/>
  <c r="AA743" i="2"/>
  <c r="W743" i="2"/>
  <c r="S743" i="2"/>
  <c r="P743" i="2"/>
  <c r="X743" i="2" s="1"/>
  <c r="O743" i="2"/>
  <c r="T743" i="2" s="1"/>
  <c r="N743" i="2"/>
  <c r="K743" i="2"/>
  <c r="R743" i="2" s="1"/>
  <c r="J743" i="2"/>
  <c r="U743" i="2" s="1"/>
  <c r="I743" i="2"/>
  <c r="AL742" i="2"/>
  <c r="AI742" i="2"/>
  <c r="AH742" i="2"/>
  <c r="AF742" i="2"/>
  <c r="AE742" i="2"/>
  <c r="AC742" i="2"/>
  <c r="AB742" i="2"/>
  <c r="AA742" i="2"/>
  <c r="W742" i="2"/>
  <c r="V742" i="2"/>
  <c r="S742" i="2"/>
  <c r="P742" i="2"/>
  <c r="X742" i="2" s="1"/>
  <c r="O742" i="2"/>
  <c r="T742" i="2" s="1"/>
  <c r="N742" i="2"/>
  <c r="K742" i="2"/>
  <c r="J742" i="2"/>
  <c r="I742" i="2"/>
  <c r="AL741" i="2"/>
  <c r="AI741" i="2"/>
  <c r="AH741" i="2"/>
  <c r="AF741" i="2"/>
  <c r="AD741" i="2"/>
  <c r="AC741" i="2"/>
  <c r="AB741" i="2"/>
  <c r="AA741" i="2"/>
  <c r="W741" i="2"/>
  <c r="S741" i="2"/>
  <c r="P741" i="2"/>
  <c r="X741" i="2" s="1"/>
  <c r="O741" i="2"/>
  <c r="T741" i="2" s="1"/>
  <c r="N741" i="2"/>
  <c r="K741" i="2"/>
  <c r="J741" i="2"/>
  <c r="I741" i="2"/>
  <c r="AL740" i="2"/>
  <c r="AI740" i="2"/>
  <c r="AH740" i="2"/>
  <c r="AF740" i="2"/>
  <c r="AC740" i="2"/>
  <c r="AB740" i="2"/>
  <c r="AA740" i="2"/>
  <c r="W740" i="2"/>
  <c r="S740" i="2"/>
  <c r="P740" i="2"/>
  <c r="X740" i="2" s="1"/>
  <c r="O740" i="2"/>
  <c r="T740" i="2" s="1"/>
  <c r="N740" i="2"/>
  <c r="K740" i="2"/>
  <c r="J740" i="2"/>
  <c r="I740" i="2"/>
  <c r="AL739" i="2"/>
  <c r="AI739" i="2"/>
  <c r="AH739" i="2"/>
  <c r="AF739" i="2"/>
  <c r="AC739" i="2"/>
  <c r="AB739" i="2"/>
  <c r="AA739" i="2"/>
  <c r="X739" i="2"/>
  <c r="W739" i="2"/>
  <c r="S739" i="2"/>
  <c r="P739" i="2"/>
  <c r="O739" i="2"/>
  <c r="T739" i="2" s="1"/>
  <c r="N739" i="2"/>
  <c r="K739" i="2"/>
  <c r="J739" i="2"/>
  <c r="I739" i="2"/>
  <c r="AL738" i="2"/>
  <c r="AI738" i="2"/>
  <c r="AH738" i="2"/>
  <c r="AF738" i="2"/>
  <c r="AC738" i="2"/>
  <c r="AB738" i="2"/>
  <c r="AA738" i="2"/>
  <c r="W738" i="2"/>
  <c r="S738" i="2"/>
  <c r="P738" i="2"/>
  <c r="X738" i="2" s="1"/>
  <c r="O738" i="2"/>
  <c r="T738" i="2" s="1"/>
  <c r="N738" i="2"/>
  <c r="K738" i="2"/>
  <c r="J738" i="2"/>
  <c r="I738" i="2"/>
  <c r="AL737" i="2"/>
  <c r="AI737" i="2"/>
  <c r="AH737" i="2"/>
  <c r="AF737" i="2"/>
  <c r="AE737" i="2"/>
  <c r="AD737" i="2"/>
  <c r="AC737" i="2"/>
  <c r="AB737" i="2"/>
  <c r="AA737" i="2"/>
  <c r="Z737" i="2"/>
  <c r="X737" i="2"/>
  <c r="W737" i="2"/>
  <c r="V737" i="2"/>
  <c r="S737" i="2"/>
  <c r="P737" i="2"/>
  <c r="O737" i="2"/>
  <c r="T737" i="2" s="1"/>
  <c r="N737" i="2"/>
  <c r="K737" i="2"/>
  <c r="R737" i="2" s="1"/>
  <c r="J737" i="2"/>
  <c r="I737" i="2"/>
  <c r="AL736" i="2"/>
  <c r="AJ736" i="2"/>
  <c r="AI736" i="2"/>
  <c r="AH736" i="2"/>
  <c r="AF736" i="2"/>
  <c r="AD736" i="2"/>
  <c r="AC736" i="2"/>
  <c r="AB736" i="2"/>
  <c r="AA736" i="2"/>
  <c r="W736" i="2"/>
  <c r="V736" i="2"/>
  <c r="U736" i="2"/>
  <c r="T736" i="2"/>
  <c r="S736" i="2"/>
  <c r="P736" i="2"/>
  <c r="X736" i="2" s="1"/>
  <c r="O736" i="2"/>
  <c r="N736" i="2"/>
  <c r="K736" i="2"/>
  <c r="Z736" i="2" s="1"/>
  <c r="J736" i="2"/>
  <c r="Y736" i="2" s="1"/>
  <c r="I736" i="2"/>
  <c r="AL735" i="2"/>
  <c r="AI735" i="2"/>
  <c r="AH735" i="2"/>
  <c r="AG735" i="2"/>
  <c r="AF735" i="2"/>
  <c r="AE735" i="2"/>
  <c r="AD735" i="2"/>
  <c r="AC735" i="2"/>
  <c r="AB735" i="2"/>
  <c r="AA735" i="2"/>
  <c r="W735" i="2"/>
  <c r="U735" i="2"/>
  <c r="S735" i="2"/>
  <c r="R735" i="2"/>
  <c r="Q735" i="2"/>
  <c r="P735" i="2"/>
  <c r="X735" i="2" s="1"/>
  <c r="O735" i="2"/>
  <c r="T735" i="2" s="1"/>
  <c r="N735" i="2"/>
  <c r="K735" i="2"/>
  <c r="J735" i="2"/>
  <c r="AJ735" i="2" s="1"/>
  <c r="I735" i="2"/>
  <c r="AL734" i="2"/>
  <c r="AI734" i="2"/>
  <c r="AH734" i="2"/>
  <c r="AF734" i="2"/>
  <c r="AC734" i="2"/>
  <c r="AB734" i="2"/>
  <c r="AA734" i="2"/>
  <c r="W734" i="2"/>
  <c r="S734" i="2"/>
  <c r="Q734" i="2"/>
  <c r="P734" i="2"/>
  <c r="X734" i="2" s="1"/>
  <c r="O734" i="2"/>
  <c r="T734" i="2" s="1"/>
  <c r="N734" i="2"/>
  <c r="K734" i="2"/>
  <c r="J734" i="2"/>
  <c r="I734" i="2"/>
  <c r="AL733" i="2"/>
  <c r="AI733" i="2"/>
  <c r="AH733" i="2"/>
  <c r="AF733" i="2"/>
  <c r="AC733" i="2"/>
  <c r="AB733" i="2"/>
  <c r="AA733" i="2"/>
  <c r="X733" i="2"/>
  <c r="W733" i="2"/>
  <c r="S733" i="2"/>
  <c r="P733" i="2"/>
  <c r="O733" i="2"/>
  <c r="T733" i="2" s="1"/>
  <c r="N733" i="2"/>
  <c r="K733" i="2"/>
  <c r="V733" i="2" s="1"/>
  <c r="J733" i="2"/>
  <c r="I733" i="2"/>
  <c r="AL732" i="2"/>
  <c r="AI732" i="2"/>
  <c r="AH732" i="2"/>
  <c r="AF732" i="2"/>
  <c r="AC732" i="2"/>
  <c r="AB732" i="2"/>
  <c r="AA732" i="2"/>
  <c r="Z732" i="2"/>
  <c r="W732" i="2"/>
  <c r="V732" i="2"/>
  <c r="T732" i="2"/>
  <c r="S732" i="2"/>
  <c r="P732" i="2"/>
  <c r="X732" i="2" s="1"/>
  <c r="O732" i="2"/>
  <c r="N732" i="2"/>
  <c r="K732" i="2"/>
  <c r="J732" i="2"/>
  <c r="AJ732" i="2" s="1"/>
  <c r="I732" i="2"/>
  <c r="AL731" i="2"/>
  <c r="AI731" i="2"/>
  <c r="AH731" i="2"/>
  <c r="AF731" i="2"/>
  <c r="AC731" i="2"/>
  <c r="AB731" i="2"/>
  <c r="AA731" i="2"/>
  <c r="X731" i="2"/>
  <c r="W731" i="2"/>
  <c r="V731" i="2"/>
  <c r="S731" i="2"/>
  <c r="R731" i="2"/>
  <c r="P731" i="2"/>
  <c r="O731" i="2"/>
  <c r="T731" i="2" s="1"/>
  <c r="N731" i="2"/>
  <c r="K731" i="2"/>
  <c r="AE731" i="2" s="1"/>
  <c r="J731" i="2"/>
  <c r="I731" i="2"/>
  <c r="AL730" i="2"/>
  <c r="AK730" i="2"/>
  <c r="AI730" i="2"/>
  <c r="AH730" i="2"/>
  <c r="AG730" i="2"/>
  <c r="AF730" i="2"/>
  <c r="AC730" i="2"/>
  <c r="AB730" i="2"/>
  <c r="AA730" i="2"/>
  <c r="Z730" i="2"/>
  <c r="Y730" i="2"/>
  <c r="W730" i="2"/>
  <c r="V730" i="2"/>
  <c r="U730" i="2"/>
  <c r="S730" i="2"/>
  <c r="Q730" i="2"/>
  <c r="P730" i="2"/>
  <c r="X730" i="2" s="1"/>
  <c r="O730" i="2"/>
  <c r="T730" i="2" s="1"/>
  <c r="N730" i="2"/>
  <c r="K730" i="2"/>
  <c r="J730" i="2"/>
  <c r="AD730" i="2" s="1"/>
  <c r="I730" i="2"/>
  <c r="AL729" i="2"/>
  <c r="AJ729" i="2"/>
  <c r="AI729" i="2"/>
  <c r="AH729" i="2"/>
  <c r="AF729" i="2"/>
  <c r="AE729" i="2"/>
  <c r="AC729" i="2"/>
  <c r="AB729" i="2"/>
  <c r="AA729" i="2"/>
  <c r="W729" i="2"/>
  <c r="V729" i="2"/>
  <c r="S729" i="2"/>
  <c r="R729" i="2"/>
  <c r="P729" i="2"/>
  <c r="X729" i="2" s="1"/>
  <c r="O729" i="2"/>
  <c r="T729" i="2" s="1"/>
  <c r="N729" i="2"/>
  <c r="K729" i="2"/>
  <c r="AK729" i="2" s="1"/>
  <c r="J729" i="2"/>
  <c r="I729" i="2"/>
  <c r="AL728" i="2"/>
  <c r="AI728" i="2"/>
  <c r="AH728" i="2"/>
  <c r="AG728" i="2"/>
  <c r="AF728" i="2"/>
  <c r="AC728" i="2"/>
  <c r="AB728" i="2"/>
  <c r="AA728" i="2"/>
  <c r="W728" i="2"/>
  <c r="T728" i="2"/>
  <c r="S728" i="2"/>
  <c r="Q728" i="2"/>
  <c r="P728" i="2"/>
  <c r="X728" i="2" s="1"/>
  <c r="O728" i="2"/>
  <c r="N728" i="2"/>
  <c r="K728" i="2"/>
  <c r="J728" i="2"/>
  <c r="U728" i="2" s="1"/>
  <c r="I728" i="2"/>
  <c r="AL727" i="2"/>
  <c r="AJ727" i="2"/>
  <c r="AI727" i="2"/>
  <c r="AH727" i="2"/>
  <c r="AF727" i="2"/>
  <c r="AC727" i="2"/>
  <c r="AB727" i="2"/>
  <c r="AA727" i="2"/>
  <c r="Z727" i="2"/>
  <c r="W727" i="2"/>
  <c r="V727" i="2"/>
  <c r="U727" i="2"/>
  <c r="S727" i="2"/>
  <c r="R727" i="2"/>
  <c r="P727" i="2"/>
  <c r="X727" i="2" s="1"/>
  <c r="O727" i="2"/>
  <c r="T727" i="2" s="1"/>
  <c r="N727" i="2"/>
  <c r="K727" i="2"/>
  <c r="AK727" i="2" s="1"/>
  <c r="J727" i="2"/>
  <c r="I727" i="2"/>
  <c r="AL726" i="2"/>
  <c r="AJ726" i="2"/>
  <c r="AI726" i="2"/>
  <c r="AH726" i="2"/>
  <c r="AG726" i="2"/>
  <c r="AF726" i="2"/>
  <c r="AD726" i="2"/>
  <c r="AC726" i="2"/>
  <c r="AB726" i="2"/>
  <c r="AA726" i="2"/>
  <c r="Y726" i="2"/>
  <c r="W726" i="2"/>
  <c r="V726" i="2"/>
  <c r="S726" i="2"/>
  <c r="R726" i="2"/>
  <c r="Q726" i="2"/>
  <c r="P726" i="2"/>
  <c r="X726" i="2" s="1"/>
  <c r="O726" i="2"/>
  <c r="T726" i="2" s="1"/>
  <c r="N726" i="2"/>
  <c r="K726" i="2"/>
  <c r="AE726" i="2" s="1"/>
  <c r="J726" i="2"/>
  <c r="U726" i="2" s="1"/>
  <c r="I726" i="2"/>
  <c r="AL725" i="2"/>
  <c r="AK725" i="2"/>
  <c r="AI725" i="2"/>
  <c r="AH725" i="2"/>
  <c r="AF725" i="2"/>
  <c r="AC725" i="2"/>
  <c r="AB725" i="2"/>
  <c r="AA725" i="2"/>
  <c r="Z725" i="2"/>
  <c r="W725" i="2"/>
  <c r="S725" i="2"/>
  <c r="R725" i="2"/>
  <c r="P725" i="2"/>
  <c r="X725" i="2" s="1"/>
  <c r="O725" i="2"/>
  <c r="T725" i="2" s="1"/>
  <c r="N725" i="2"/>
  <c r="K725" i="2"/>
  <c r="J725" i="2"/>
  <c r="Y725" i="2" s="1"/>
  <c r="I725" i="2"/>
  <c r="AL724" i="2"/>
  <c r="AI724" i="2"/>
  <c r="AH724" i="2"/>
  <c r="AF724" i="2"/>
  <c r="AC724" i="2"/>
  <c r="AB724" i="2"/>
  <c r="AA724" i="2"/>
  <c r="W724" i="2"/>
  <c r="S724" i="2"/>
  <c r="Q724" i="2"/>
  <c r="P724" i="2"/>
  <c r="X724" i="2" s="1"/>
  <c r="O724" i="2"/>
  <c r="T724" i="2" s="1"/>
  <c r="N724" i="2"/>
  <c r="K724" i="2"/>
  <c r="J724" i="2"/>
  <c r="I724" i="2"/>
  <c r="AL723" i="2"/>
  <c r="AI723" i="2"/>
  <c r="AH723" i="2"/>
  <c r="AF723" i="2"/>
  <c r="AC723" i="2"/>
  <c r="AB723" i="2"/>
  <c r="AA723" i="2"/>
  <c r="W723" i="2"/>
  <c r="S723" i="2"/>
  <c r="P723" i="2"/>
  <c r="X723" i="2" s="1"/>
  <c r="O723" i="2"/>
  <c r="T723" i="2" s="1"/>
  <c r="N723" i="2"/>
  <c r="K723" i="2"/>
  <c r="J723" i="2"/>
  <c r="AJ723" i="2" s="1"/>
  <c r="I723" i="2"/>
  <c r="AL722" i="2"/>
  <c r="AI722" i="2"/>
  <c r="AH722" i="2"/>
  <c r="AF722" i="2"/>
  <c r="AC722" i="2"/>
  <c r="AB722" i="2"/>
  <c r="AA722" i="2"/>
  <c r="X722" i="2"/>
  <c r="W722" i="2"/>
  <c r="S722" i="2"/>
  <c r="R722" i="2"/>
  <c r="P722" i="2"/>
  <c r="O722" i="2"/>
  <c r="T722" i="2" s="1"/>
  <c r="N722" i="2"/>
  <c r="K722" i="2"/>
  <c r="J722" i="2"/>
  <c r="I722" i="2"/>
  <c r="AL721" i="2"/>
  <c r="AI721" i="2"/>
  <c r="AH721" i="2"/>
  <c r="AF721" i="2"/>
  <c r="AE721" i="2"/>
  <c r="AD721" i="2"/>
  <c r="AC721" i="2"/>
  <c r="AB721" i="2"/>
  <c r="AA721" i="2"/>
  <c r="W721" i="2"/>
  <c r="S721" i="2"/>
  <c r="P721" i="2"/>
  <c r="X721" i="2" s="1"/>
  <c r="O721" i="2"/>
  <c r="T721" i="2" s="1"/>
  <c r="N721" i="2"/>
  <c r="K721" i="2"/>
  <c r="J721" i="2"/>
  <c r="I721" i="2"/>
  <c r="AL720" i="2"/>
  <c r="AJ720" i="2"/>
  <c r="AI720" i="2"/>
  <c r="AH720" i="2"/>
  <c r="AF720" i="2"/>
  <c r="AD720" i="2"/>
  <c r="AC720" i="2"/>
  <c r="AB720" i="2"/>
  <c r="AA720" i="2"/>
  <c r="Y720" i="2"/>
  <c r="W720" i="2"/>
  <c r="S720" i="2"/>
  <c r="Q720" i="2"/>
  <c r="P720" i="2"/>
  <c r="X720" i="2" s="1"/>
  <c r="O720" i="2"/>
  <c r="T720" i="2" s="1"/>
  <c r="N720" i="2"/>
  <c r="K720" i="2"/>
  <c r="V720" i="2" s="1"/>
  <c r="J720" i="2"/>
  <c r="I720" i="2"/>
  <c r="AL719" i="2"/>
  <c r="AI719" i="2"/>
  <c r="AH719" i="2"/>
  <c r="AG719" i="2"/>
  <c r="AF719" i="2"/>
  <c r="AE719" i="2"/>
  <c r="AD719" i="2"/>
  <c r="AC719" i="2"/>
  <c r="AB719" i="2"/>
  <c r="AA719" i="2"/>
  <c r="Z719" i="2"/>
  <c r="Y719" i="2"/>
  <c r="W719" i="2"/>
  <c r="U719" i="2"/>
  <c r="S719" i="2"/>
  <c r="R719" i="2"/>
  <c r="Q719" i="2"/>
  <c r="P719" i="2"/>
  <c r="X719" i="2" s="1"/>
  <c r="O719" i="2"/>
  <c r="T719" i="2" s="1"/>
  <c r="N719" i="2"/>
  <c r="K719" i="2"/>
  <c r="V719" i="2" s="1"/>
  <c r="J719" i="2"/>
  <c r="AJ719" i="2" s="1"/>
  <c r="I719" i="2"/>
  <c r="AL718" i="2"/>
  <c r="AJ718" i="2"/>
  <c r="AI718" i="2"/>
  <c r="AH718" i="2"/>
  <c r="AG718" i="2"/>
  <c r="AF718" i="2"/>
  <c r="AC718" i="2"/>
  <c r="AB718" i="2"/>
  <c r="AA718" i="2"/>
  <c r="W718" i="2"/>
  <c r="S718" i="2"/>
  <c r="Q718" i="2"/>
  <c r="P718" i="2"/>
  <c r="X718" i="2" s="1"/>
  <c r="O718" i="2"/>
  <c r="T718" i="2" s="1"/>
  <c r="N718" i="2"/>
  <c r="K718" i="2"/>
  <c r="J718" i="2"/>
  <c r="Y718" i="2" s="1"/>
  <c r="I718" i="2"/>
  <c r="AL717" i="2"/>
  <c r="AI717" i="2"/>
  <c r="AH717" i="2"/>
  <c r="AF717" i="2"/>
  <c r="AD717" i="2"/>
  <c r="AC717" i="2"/>
  <c r="AB717" i="2"/>
  <c r="AA717" i="2"/>
  <c r="W717" i="2"/>
  <c r="S717" i="2"/>
  <c r="P717" i="2"/>
  <c r="X717" i="2" s="1"/>
  <c r="O717" i="2"/>
  <c r="T717" i="2" s="1"/>
  <c r="N717" i="2"/>
  <c r="K717" i="2"/>
  <c r="J717" i="2"/>
  <c r="I717" i="2"/>
  <c r="AL716" i="2"/>
  <c r="AI716" i="2"/>
  <c r="AH716" i="2"/>
  <c r="AF716" i="2"/>
  <c r="AC716" i="2"/>
  <c r="AB716" i="2"/>
  <c r="AA716" i="2"/>
  <c r="W716" i="2"/>
  <c r="T716" i="2"/>
  <c r="S716" i="2"/>
  <c r="P716" i="2"/>
  <c r="X716" i="2" s="1"/>
  <c r="O716" i="2"/>
  <c r="N716" i="2"/>
  <c r="K716" i="2"/>
  <c r="J716" i="2"/>
  <c r="I716" i="2"/>
  <c r="AL715" i="2"/>
  <c r="AK715" i="2"/>
  <c r="AI715" i="2"/>
  <c r="AH715" i="2"/>
  <c r="AF715" i="2"/>
  <c r="AE715" i="2"/>
  <c r="AC715" i="2"/>
  <c r="AB715" i="2"/>
  <c r="AA715" i="2"/>
  <c r="Z715" i="2"/>
  <c r="W715" i="2"/>
  <c r="V715" i="2"/>
  <c r="S715" i="2"/>
  <c r="R715" i="2"/>
  <c r="P715" i="2"/>
  <c r="X715" i="2" s="1"/>
  <c r="O715" i="2"/>
  <c r="T715" i="2" s="1"/>
  <c r="N715" i="2"/>
  <c r="K715" i="2"/>
  <c r="J715" i="2"/>
  <c r="I715" i="2"/>
  <c r="AL714" i="2"/>
  <c r="AI714" i="2"/>
  <c r="AH714" i="2"/>
  <c r="AF714" i="2"/>
  <c r="AC714" i="2"/>
  <c r="AB714" i="2"/>
  <c r="AA714" i="2"/>
  <c r="Z714" i="2"/>
  <c r="W714" i="2"/>
  <c r="S714" i="2"/>
  <c r="P714" i="2"/>
  <c r="X714" i="2" s="1"/>
  <c r="O714" i="2"/>
  <c r="T714" i="2" s="1"/>
  <c r="N714" i="2"/>
  <c r="K714" i="2"/>
  <c r="V714" i="2" s="1"/>
  <c r="J714" i="2"/>
  <c r="I714" i="2"/>
  <c r="AL713" i="2"/>
  <c r="AI713" i="2"/>
  <c r="AH713" i="2"/>
  <c r="AF713" i="2"/>
  <c r="AC713" i="2"/>
  <c r="AB713" i="2"/>
  <c r="AA713" i="2"/>
  <c r="W713" i="2"/>
  <c r="S713" i="2"/>
  <c r="P713" i="2"/>
  <c r="X713" i="2" s="1"/>
  <c r="O713" i="2"/>
  <c r="T713" i="2" s="1"/>
  <c r="N713" i="2"/>
  <c r="K713" i="2"/>
  <c r="J713" i="2"/>
  <c r="I713" i="2"/>
  <c r="AL712" i="2"/>
  <c r="AI712" i="2"/>
  <c r="AH712" i="2"/>
  <c r="AG712" i="2"/>
  <c r="AF712" i="2"/>
  <c r="AD712" i="2"/>
  <c r="AC712" i="2"/>
  <c r="AB712" i="2"/>
  <c r="AA712" i="2"/>
  <c r="W712" i="2"/>
  <c r="U712" i="2"/>
  <c r="T712" i="2"/>
  <c r="S712" i="2"/>
  <c r="Q712" i="2"/>
  <c r="P712" i="2"/>
  <c r="X712" i="2" s="1"/>
  <c r="O712" i="2"/>
  <c r="N712" i="2"/>
  <c r="K712" i="2"/>
  <c r="J712" i="2"/>
  <c r="AJ712" i="2" s="1"/>
  <c r="I712" i="2"/>
  <c r="AL711" i="2"/>
  <c r="AK711" i="2"/>
  <c r="AI711" i="2"/>
  <c r="AH711" i="2"/>
  <c r="AF711" i="2"/>
  <c r="AE711" i="2"/>
  <c r="AC711" i="2"/>
  <c r="AB711" i="2"/>
  <c r="AA711" i="2"/>
  <c r="X711" i="2"/>
  <c r="W711" i="2"/>
  <c r="U711" i="2"/>
  <c r="S711" i="2"/>
  <c r="P711" i="2"/>
  <c r="O711" i="2"/>
  <c r="T711" i="2" s="1"/>
  <c r="N711" i="2"/>
  <c r="K711" i="2"/>
  <c r="R711" i="2" s="1"/>
  <c r="J711" i="2"/>
  <c r="I711" i="2"/>
  <c r="AL710" i="2"/>
  <c r="AK710" i="2"/>
  <c r="AJ710" i="2"/>
  <c r="AI710" i="2"/>
  <c r="AH710" i="2"/>
  <c r="AF710" i="2"/>
  <c r="AC710" i="2"/>
  <c r="AB710" i="2"/>
  <c r="AA710" i="2"/>
  <c r="Z710" i="2"/>
  <c r="W710" i="2"/>
  <c r="U710" i="2"/>
  <c r="S710" i="2"/>
  <c r="P710" i="2"/>
  <c r="X710" i="2" s="1"/>
  <c r="O710" i="2"/>
  <c r="T710" i="2" s="1"/>
  <c r="N710" i="2"/>
  <c r="K710" i="2"/>
  <c r="R710" i="2" s="1"/>
  <c r="J710" i="2"/>
  <c r="AD710" i="2" s="1"/>
  <c r="I710" i="2"/>
  <c r="AL709" i="2"/>
  <c r="AK709" i="2"/>
  <c r="AI709" i="2"/>
  <c r="AH709" i="2"/>
  <c r="AF709" i="2"/>
  <c r="AC709" i="2"/>
  <c r="AB709" i="2"/>
  <c r="AA709" i="2"/>
  <c r="W709" i="2"/>
  <c r="S709" i="2"/>
  <c r="P709" i="2"/>
  <c r="X709" i="2" s="1"/>
  <c r="O709" i="2"/>
  <c r="T709" i="2" s="1"/>
  <c r="N709" i="2"/>
  <c r="K709" i="2"/>
  <c r="Z709" i="2" s="1"/>
  <c r="J709" i="2"/>
  <c r="I709" i="2"/>
  <c r="AL708" i="2"/>
  <c r="AI708" i="2"/>
  <c r="AH708" i="2"/>
  <c r="AF708" i="2"/>
  <c r="AC708" i="2"/>
  <c r="AB708" i="2"/>
  <c r="AA708" i="2"/>
  <c r="X708" i="2"/>
  <c r="W708" i="2"/>
  <c r="T708" i="2"/>
  <c r="S708" i="2"/>
  <c r="P708" i="2"/>
  <c r="O708" i="2"/>
  <c r="N708" i="2"/>
  <c r="K708" i="2"/>
  <c r="J708" i="2"/>
  <c r="Q708" i="2" s="1"/>
  <c r="I708" i="2"/>
  <c r="AL707" i="2"/>
  <c r="AK707" i="2"/>
  <c r="AI707" i="2"/>
  <c r="AH707" i="2"/>
  <c r="AG707" i="2"/>
  <c r="AF707" i="2"/>
  <c r="AD707" i="2"/>
  <c r="AC707" i="2"/>
  <c r="AB707" i="2"/>
  <c r="AA707" i="2"/>
  <c r="Y707" i="2"/>
  <c r="X707" i="2"/>
  <c r="W707" i="2"/>
  <c r="V707" i="2"/>
  <c r="S707" i="2"/>
  <c r="Q707" i="2"/>
  <c r="P707" i="2"/>
  <c r="O707" i="2"/>
  <c r="T707" i="2" s="1"/>
  <c r="N707" i="2"/>
  <c r="K707" i="2"/>
  <c r="J707" i="2"/>
  <c r="I707" i="2"/>
  <c r="AL706" i="2"/>
  <c r="AK706" i="2"/>
  <c r="AI706" i="2"/>
  <c r="AH706" i="2"/>
  <c r="AF706" i="2"/>
  <c r="AC706" i="2"/>
  <c r="AB706" i="2"/>
  <c r="AA706" i="2"/>
  <c r="W706" i="2"/>
  <c r="S706" i="2"/>
  <c r="P706" i="2"/>
  <c r="X706" i="2" s="1"/>
  <c r="O706" i="2"/>
  <c r="T706" i="2" s="1"/>
  <c r="N706" i="2"/>
  <c r="K706" i="2"/>
  <c r="Z706" i="2" s="1"/>
  <c r="J706" i="2"/>
  <c r="Q706" i="2" s="1"/>
  <c r="I706" i="2"/>
  <c r="AL705" i="2"/>
  <c r="AI705" i="2"/>
  <c r="AH705" i="2"/>
  <c r="AF705" i="2"/>
  <c r="AE705" i="2"/>
  <c r="AC705" i="2"/>
  <c r="AB705" i="2"/>
  <c r="AA705" i="2"/>
  <c r="Z705" i="2"/>
  <c r="W705" i="2"/>
  <c r="S705" i="2"/>
  <c r="P705" i="2"/>
  <c r="X705" i="2" s="1"/>
  <c r="O705" i="2"/>
  <c r="T705" i="2" s="1"/>
  <c r="N705" i="2"/>
  <c r="K705" i="2"/>
  <c r="J705" i="2"/>
  <c r="I705" i="2"/>
  <c r="AL704" i="2"/>
  <c r="AI704" i="2"/>
  <c r="AH704" i="2"/>
  <c r="AF704" i="2"/>
  <c r="AC704" i="2"/>
  <c r="AB704" i="2"/>
  <c r="AA704" i="2"/>
  <c r="Y704" i="2"/>
  <c r="W704" i="2"/>
  <c r="S704" i="2"/>
  <c r="R704" i="2"/>
  <c r="P704" i="2"/>
  <c r="X704" i="2" s="1"/>
  <c r="O704" i="2"/>
  <c r="T704" i="2" s="1"/>
  <c r="N704" i="2"/>
  <c r="K704" i="2"/>
  <c r="J704" i="2"/>
  <c r="I704" i="2"/>
  <c r="AL703" i="2"/>
  <c r="AI703" i="2"/>
  <c r="AH703" i="2"/>
  <c r="AF703" i="2"/>
  <c r="AC703" i="2"/>
  <c r="AB703" i="2"/>
  <c r="AA703" i="2"/>
  <c r="W703" i="2"/>
  <c r="S703" i="2"/>
  <c r="R703" i="2"/>
  <c r="P703" i="2"/>
  <c r="X703" i="2" s="1"/>
  <c r="O703" i="2"/>
  <c r="T703" i="2" s="1"/>
  <c r="N703" i="2"/>
  <c r="K703" i="2"/>
  <c r="J703" i="2"/>
  <c r="AD703" i="2" s="1"/>
  <c r="I703" i="2"/>
  <c r="AL702" i="2"/>
  <c r="AJ702" i="2"/>
  <c r="AI702" i="2"/>
  <c r="AH702" i="2"/>
  <c r="AF702" i="2"/>
  <c r="AC702" i="2"/>
  <c r="AB702" i="2"/>
  <c r="AA702" i="2"/>
  <c r="X702" i="2"/>
  <c r="W702" i="2"/>
  <c r="U702" i="2"/>
  <c r="S702" i="2"/>
  <c r="P702" i="2"/>
  <c r="O702" i="2"/>
  <c r="T702" i="2" s="1"/>
  <c r="N702" i="2"/>
  <c r="K702" i="2"/>
  <c r="J702" i="2"/>
  <c r="I702" i="2"/>
  <c r="AL701" i="2"/>
  <c r="AJ701" i="2"/>
  <c r="AI701" i="2"/>
  <c r="AH701" i="2"/>
  <c r="AF701" i="2"/>
  <c r="AE701" i="2"/>
  <c r="AC701" i="2"/>
  <c r="AB701" i="2"/>
  <c r="AA701" i="2"/>
  <c r="X701" i="2"/>
  <c r="W701" i="2"/>
  <c r="V701" i="2"/>
  <c r="U701" i="2"/>
  <c r="S701" i="2"/>
  <c r="P701" i="2"/>
  <c r="O701" i="2"/>
  <c r="T701" i="2" s="1"/>
  <c r="N701" i="2"/>
  <c r="K701" i="2"/>
  <c r="J701" i="2"/>
  <c r="Q701" i="2" s="1"/>
  <c r="I701" i="2"/>
  <c r="AL700" i="2"/>
  <c r="AI700" i="2"/>
  <c r="AH700" i="2"/>
  <c r="AG700" i="2"/>
  <c r="AF700" i="2"/>
  <c r="AC700" i="2"/>
  <c r="AB700" i="2"/>
  <c r="AA700" i="2"/>
  <c r="W700" i="2"/>
  <c r="T700" i="2"/>
  <c r="S700" i="2"/>
  <c r="P700" i="2"/>
  <c r="X700" i="2" s="1"/>
  <c r="O700" i="2"/>
  <c r="N700" i="2"/>
  <c r="K700" i="2"/>
  <c r="J700" i="2"/>
  <c r="Y700" i="2" s="1"/>
  <c r="I700" i="2"/>
  <c r="AL699" i="2"/>
  <c r="AK699" i="2"/>
  <c r="AI699" i="2"/>
  <c r="AH699" i="2"/>
  <c r="AG699" i="2"/>
  <c r="AF699" i="2"/>
  <c r="AC699" i="2"/>
  <c r="AB699" i="2"/>
  <c r="AA699" i="2"/>
  <c r="X699" i="2"/>
  <c r="W699" i="2"/>
  <c r="S699" i="2"/>
  <c r="P699" i="2"/>
  <c r="O699" i="2"/>
  <c r="T699" i="2" s="1"/>
  <c r="N699" i="2"/>
  <c r="K699" i="2"/>
  <c r="J699" i="2"/>
  <c r="I699" i="2"/>
  <c r="AL698" i="2"/>
  <c r="AI698" i="2"/>
  <c r="AH698" i="2"/>
  <c r="AF698" i="2"/>
  <c r="AC698" i="2"/>
  <c r="AB698" i="2"/>
  <c r="AA698" i="2"/>
  <c r="W698" i="2"/>
  <c r="T698" i="2"/>
  <c r="S698" i="2"/>
  <c r="P698" i="2"/>
  <c r="X698" i="2" s="1"/>
  <c r="O698" i="2"/>
  <c r="N698" i="2"/>
  <c r="K698" i="2"/>
  <c r="J698" i="2"/>
  <c r="I698" i="2"/>
  <c r="AL697" i="2"/>
  <c r="AK697" i="2"/>
  <c r="AI697" i="2"/>
  <c r="AH697" i="2"/>
  <c r="AF697" i="2"/>
  <c r="AE697" i="2"/>
  <c r="AC697" i="2"/>
  <c r="AB697" i="2"/>
  <c r="AA697" i="2"/>
  <c r="Z697" i="2"/>
  <c r="W697" i="2"/>
  <c r="V697" i="2"/>
  <c r="S697" i="2"/>
  <c r="R697" i="2"/>
  <c r="P697" i="2"/>
  <c r="X697" i="2" s="1"/>
  <c r="O697" i="2"/>
  <c r="T697" i="2" s="1"/>
  <c r="N697" i="2"/>
  <c r="K697" i="2"/>
  <c r="J697" i="2"/>
  <c r="Y697" i="2" s="1"/>
  <c r="I697" i="2"/>
  <c r="AL696" i="2"/>
  <c r="AI696" i="2"/>
  <c r="AH696" i="2"/>
  <c r="AF696" i="2"/>
  <c r="AC696" i="2"/>
  <c r="AB696" i="2"/>
  <c r="AA696" i="2"/>
  <c r="W696" i="2"/>
  <c r="U696" i="2"/>
  <c r="S696" i="2"/>
  <c r="P696" i="2"/>
  <c r="X696" i="2" s="1"/>
  <c r="O696" i="2"/>
  <c r="T696" i="2" s="1"/>
  <c r="N696" i="2"/>
  <c r="K696" i="2"/>
  <c r="Z696" i="2" s="1"/>
  <c r="J696" i="2"/>
  <c r="I696" i="2"/>
  <c r="AL695" i="2"/>
  <c r="AI695" i="2"/>
  <c r="AH695" i="2"/>
  <c r="AF695" i="2"/>
  <c r="AC695" i="2"/>
  <c r="AB695" i="2"/>
  <c r="AA695" i="2"/>
  <c r="W695" i="2"/>
  <c r="S695" i="2"/>
  <c r="P695" i="2"/>
  <c r="X695" i="2" s="1"/>
  <c r="O695" i="2"/>
  <c r="T695" i="2" s="1"/>
  <c r="N695" i="2"/>
  <c r="K695" i="2"/>
  <c r="J695" i="2"/>
  <c r="I695" i="2"/>
  <c r="AL694" i="2"/>
  <c r="AI694" i="2"/>
  <c r="AH694" i="2"/>
  <c r="AF694" i="2"/>
  <c r="AC694" i="2"/>
  <c r="AB694" i="2"/>
  <c r="AA694" i="2"/>
  <c r="Z694" i="2"/>
  <c r="X694" i="2"/>
  <c r="W694" i="2"/>
  <c r="U694" i="2"/>
  <c r="S694" i="2"/>
  <c r="R694" i="2"/>
  <c r="P694" i="2"/>
  <c r="O694" i="2"/>
  <c r="T694" i="2" s="1"/>
  <c r="N694" i="2"/>
  <c r="K694" i="2"/>
  <c r="J694" i="2"/>
  <c r="I694" i="2"/>
  <c r="AL693" i="2"/>
  <c r="AI693" i="2"/>
  <c r="AH693" i="2"/>
  <c r="AF693" i="2"/>
  <c r="AC693" i="2"/>
  <c r="AB693" i="2"/>
  <c r="AA693" i="2"/>
  <c r="W693" i="2"/>
  <c r="S693" i="2"/>
  <c r="P693" i="2"/>
  <c r="X693" i="2" s="1"/>
  <c r="O693" i="2"/>
  <c r="T693" i="2" s="1"/>
  <c r="N693" i="2"/>
  <c r="K693" i="2"/>
  <c r="R693" i="2" s="1"/>
  <c r="J693" i="2"/>
  <c r="I693" i="2"/>
  <c r="AL692" i="2"/>
  <c r="AI692" i="2"/>
  <c r="AH692" i="2"/>
  <c r="AF692" i="2"/>
  <c r="AC692" i="2"/>
  <c r="AB692" i="2"/>
  <c r="AA692" i="2"/>
  <c r="W692" i="2"/>
  <c r="S692" i="2"/>
  <c r="P692" i="2"/>
  <c r="X692" i="2" s="1"/>
  <c r="O692" i="2"/>
  <c r="T692" i="2" s="1"/>
  <c r="N692" i="2"/>
  <c r="K692" i="2"/>
  <c r="V692" i="2" s="1"/>
  <c r="J692" i="2"/>
  <c r="I692" i="2"/>
  <c r="AL691" i="2"/>
  <c r="AJ691" i="2"/>
  <c r="AI691" i="2"/>
  <c r="AH691" i="2"/>
  <c r="AF691" i="2"/>
  <c r="AC691" i="2"/>
  <c r="AB691" i="2"/>
  <c r="AA691" i="2"/>
  <c r="W691" i="2"/>
  <c r="S691" i="2"/>
  <c r="P691" i="2"/>
  <c r="X691" i="2" s="1"/>
  <c r="O691" i="2"/>
  <c r="T691" i="2" s="1"/>
  <c r="N691" i="2"/>
  <c r="K691" i="2"/>
  <c r="V691" i="2" s="1"/>
  <c r="J691" i="2"/>
  <c r="U691" i="2" s="1"/>
  <c r="I691" i="2"/>
  <c r="AL690" i="2"/>
  <c r="AI690" i="2"/>
  <c r="AH690" i="2"/>
  <c r="AF690" i="2"/>
  <c r="AC690" i="2"/>
  <c r="AB690" i="2"/>
  <c r="AA690" i="2"/>
  <c r="W690" i="2"/>
  <c r="V690" i="2"/>
  <c r="T690" i="2"/>
  <c r="S690" i="2"/>
  <c r="R690" i="2"/>
  <c r="P690" i="2"/>
  <c r="X690" i="2" s="1"/>
  <c r="O690" i="2"/>
  <c r="N690" i="2"/>
  <c r="K690" i="2"/>
  <c r="J690" i="2"/>
  <c r="I690" i="2"/>
  <c r="AL689" i="2"/>
  <c r="AI689" i="2"/>
  <c r="AH689" i="2"/>
  <c r="AF689" i="2"/>
  <c r="AC689" i="2"/>
  <c r="AB689" i="2"/>
  <c r="AA689" i="2"/>
  <c r="W689" i="2"/>
  <c r="V689" i="2"/>
  <c r="S689" i="2"/>
  <c r="P689" i="2"/>
  <c r="X689" i="2" s="1"/>
  <c r="O689" i="2"/>
  <c r="T689" i="2" s="1"/>
  <c r="N689" i="2"/>
  <c r="K689" i="2"/>
  <c r="J689" i="2"/>
  <c r="I689" i="2"/>
  <c r="AL688" i="2"/>
  <c r="AI688" i="2"/>
  <c r="AH688" i="2"/>
  <c r="AF688" i="2"/>
  <c r="AC688" i="2"/>
  <c r="AB688" i="2"/>
  <c r="AA688" i="2"/>
  <c r="Z688" i="2"/>
  <c r="W688" i="2"/>
  <c r="S688" i="2"/>
  <c r="P688" i="2"/>
  <c r="X688" i="2" s="1"/>
  <c r="O688" i="2"/>
  <c r="T688" i="2" s="1"/>
  <c r="N688" i="2"/>
  <c r="K688" i="2"/>
  <c r="J688" i="2"/>
  <c r="I688" i="2"/>
  <c r="AL687" i="2"/>
  <c r="AI687" i="2"/>
  <c r="AH687" i="2"/>
  <c r="AF687" i="2"/>
  <c r="AC687" i="2"/>
  <c r="AB687" i="2"/>
  <c r="AA687" i="2"/>
  <c r="Z687" i="2"/>
  <c r="X687" i="2"/>
  <c r="W687" i="2"/>
  <c r="S687" i="2"/>
  <c r="R687" i="2"/>
  <c r="P687" i="2"/>
  <c r="O687" i="2"/>
  <c r="T687" i="2" s="1"/>
  <c r="N687" i="2"/>
  <c r="K687" i="2"/>
  <c r="J687" i="2"/>
  <c r="I687" i="2"/>
  <c r="AL686" i="2"/>
  <c r="AI686" i="2"/>
  <c r="AH686" i="2"/>
  <c r="AG686" i="2"/>
  <c r="AF686" i="2"/>
  <c r="AC686" i="2"/>
  <c r="AB686" i="2"/>
  <c r="AA686" i="2"/>
  <c r="X686" i="2"/>
  <c r="W686" i="2"/>
  <c r="S686" i="2"/>
  <c r="P686" i="2"/>
  <c r="O686" i="2"/>
  <c r="T686" i="2" s="1"/>
  <c r="N686" i="2"/>
  <c r="K686" i="2"/>
  <c r="J686" i="2"/>
  <c r="Y686" i="2" s="1"/>
  <c r="I686" i="2"/>
  <c r="AL685" i="2"/>
  <c r="AJ685" i="2"/>
  <c r="AI685" i="2"/>
  <c r="AH685" i="2"/>
  <c r="AF685" i="2"/>
  <c r="AC685" i="2"/>
  <c r="AB685" i="2"/>
  <c r="AA685" i="2"/>
  <c r="W685" i="2"/>
  <c r="U685" i="2"/>
  <c r="S685" i="2"/>
  <c r="P685" i="2"/>
  <c r="X685" i="2" s="1"/>
  <c r="O685" i="2"/>
  <c r="T685" i="2" s="1"/>
  <c r="N685" i="2"/>
  <c r="K685" i="2"/>
  <c r="J685" i="2"/>
  <c r="Y685" i="2" s="1"/>
  <c r="I685" i="2"/>
  <c r="AL684" i="2"/>
  <c r="AK684" i="2"/>
  <c r="AJ684" i="2"/>
  <c r="AI684" i="2"/>
  <c r="AH684" i="2"/>
  <c r="AF684" i="2"/>
  <c r="AC684" i="2"/>
  <c r="AB684" i="2"/>
  <c r="AA684" i="2"/>
  <c r="W684" i="2"/>
  <c r="S684" i="2"/>
  <c r="R684" i="2"/>
  <c r="P684" i="2"/>
  <c r="X684" i="2" s="1"/>
  <c r="O684" i="2"/>
  <c r="T684" i="2" s="1"/>
  <c r="N684" i="2"/>
  <c r="K684" i="2"/>
  <c r="J684" i="2"/>
  <c r="I684" i="2"/>
  <c r="AL683" i="2"/>
  <c r="AI683" i="2"/>
  <c r="AH683" i="2"/>
  <c r="AF683" i="2"/>
  <c r="AC683" i="2"/>
  <c r="AB683" i="2"/>
  <c r="AA683" i="2"/>
  <c r="X683" i="2"/>
  <c r="W683" i="2"/>
  <c r="S683" i="2"/>
  <c r="P683" i="2"/>
  <c r="O683" i="2"/>
  <c r="T683" i="2" s="1"/>
  <c r="N683" i="2"/>
  <c r="K683" i="2"/>
  <c r="J683" i="2"/>
  <c r="I683" i="2"/>
  <c r="AL682" i="2"/>
  <c r="AI682" i="2"/>
  <c r="AH682" i="2"/>
  <c r="AF682" i="2"/>
  <c r="AC682" i="2"/>
  <c r="AB682" i="2"/>
  <c r="AA682" i="2"/>
  <c r="Z682" i="2"/>
  <c r="W682" i="2"/>
  <c r="U682" i="2"/>
  <c r="T682" i="2"/>
  <c r="S682" i="2"/>
  <c r="R682" i="2"/>
  <c r="P682" i="2"/>
  <c r="X682" i="2" s="1"/>
  <c r="O682" i="2"/>
  <c r="N682" i="2"/>
  <c r="K682" i="2"/>
  <c r="J682" i="2"/>
  <c r="I682" i="2"/>
  <c r="AL681" i="2"/>
  <c r="AI681" i="2"/>
  <c r="AH681" i="2"/>
  <c r="AG681" i="2"/>
  <c r="AF681" i="2"/>
  <c r="AD681" i="2"/>
  <c r="AC681" i="2"/>
  <c r="AB681" i="2"/>
  <c r="AA681" i="2"/>
  <c r="Z681" i="2"/>
  <c r="Y681" i="2"/>
  <c r="W681" i="2"/>
  <c r="U681" i="2"/>
  <c r="S681" i="2"/>
  <c r="P681" i="2"/>
  <c r="X681" i="2" s="1"/>
  <c r="O681" i="2"/>
  <c r="T681" i="2" s="1"/>
  <c r="N681" i="2"/>
  <c r="K681" i="2"/>
  <c r="J681" i="2"/>
  <c r="Q681" i="2" s="1"/>
  <c r="I681" i="2"/>
  <c r="AL680" i="2"/>
  <c r="AI680" i="2"/>
  <c r="AH680" i="2"/>
  <c r="AG680" i="2"/>
  <c r="AF680" i="2"/>
  <c r="AC680" i="2"/>
  <c r="AB680" i="2"/>
  <c r="AA680" i="2"/>
  <c r="W680" i="2"/>
  <c r="T680" i="2"/>
  <c r="S680" i="2"/>
  <c r="P680" i="2"/>
  <c r="X680" i="2" s="1"/>
  <c r="O680" i="2"/>
  <c r="N680" i="2"/>
  <c r="K680" i="2"/>
  <c r="J680" i="2"/>
  <c r="I680" i="2"/>
  <c r="AL679" i="2"/>
  <c r="AI679" i="2"/>
  <c r="AH679" i="2"/>
  <c r="AG679" i="2"/>
  <c r="AF679" i="2"/>
  <c r="AC679" i="2"/>
  <c r="AB679" i="2"/>
  <c r="AA679" i="2"/>
  <c r="W679" i="2"/>
  <c r="V679" i="2"/>
  <c r="S679" i="2"/>
  <c r="P679" i="2"/>
  <c r="X679" i="2" s="1"/>
  <c r="O679" i="2"/>
  <c r="T679" i="2" s="1"/>
  <c r="N679" i="2"/>
  <c r="K679" i="2"/>
  <c r="J679" i="2"/>
  <c r="Y679" i="2" s="1"/>
  <c r="I679" i="2"/>
  <c r="AL678" i="2"/>
  <c r="AI678" i="2"/>
  <c r="AH678" i="2"/>
  <c r="AF678" i="2"/>
  <c r="AC678" i="2"/>
  <c r="AB678" i="2"/>
  <c r="AA678" i="2"/>
  <c r="W678" i="2"/>
  <c r="S678" i="2"/>
  <c r="P678" i="2"/>
  <c r="X678" i="2" s="1"/>
  <c r="O678" i="2"/>
  <c r="T678" i="2" s="1"/>
  <c r="N678" i="2"/>
  <c r="K678" i="2"/>
  <c r="J678" i="2"/>
  <c r="AG678" i="2" s="1"/>
  <c r="I678" i="2"/>
  <c r="AL677" i="2"/>
  <c r="AI677" i="2"/>
  <c r="AH677" i="2"/>
  <c r="AF677" i="2"/>
  <c r="AC677" i="2"/>
  <c r="AB677" i="2"/>
  <c r="AA677" i="2"/>
  <c r="W677" i="2"/>
  <c r="S677" i="2"/>
  <c r="P677" i="2"/>
  <c r="X677" i="2" s="1"/>
  <c r="O677" i="2"/>
  <c r="T677" i="2" s="1"/>
  <c r="N677" i="2"/>
  <c r="K677" i="2"/>
  <c r="J677" i="2"/>
  <c r="AJ677" i="2" s="1"/>
  <c r="I677" i="2"/>
  <c r="AL676" i="2"/>
  <c r="AI676" i="2"/>
  <c r="AH676" i="2"/>
  <c r="AF676" i="2"/>
  <c r="AC676" i="2"/>
  <c r="AB676" i="2"/>
  <c r="AA676" i="2"/>
  <c r="W676" i="2"/>
  <c r="V676" i="2"/>
  <c r="T676" i="2"/>
  <c r="S676" i="2"/>
  <c r="P676" i="2"/>
  <c r="X676" i="2" s="1"/>
  <c r="O676" i="2"/>
  <c r="N676" i="2"/>
  <c r="K676" i="2"/>
  <c r="J676" i="2"/>
  <c r="I676" i="2"/>
  <c r="AL675" i="2"/>
  <c r="AI675" i="2"/>
  <c r="AH675" i="2"/>
  <c r="AF675" i="2"/>
  <c r="AC675" i="2"/>
  <c r="AB675" i="2"/>
  <c r="AA675" i="2"/>
  <c r="W675" i="2"/>
  <c r="S675" i="2"/>
  <c r="P675" i="2"/>
  <c r="X675" i="2" s="1"/>
  <c r="O675" i="2"/>
  <c r="T675" i="2" s="1"/>
  <c r="N675" i="2"/>
  <c r="K675" i="2"/>
  <c r="J675" i="2"/>
  <c r="I675" i="2"/>
  <c r="AL674" i="2"/>
  <c r="AI674" i="2"/>
  <c r="AH674" i="2"/>
  <c r="AG674" i="2"/>
  <c r="AF674" i="2"/>
  <c r="AC674" i="2"/>
  <c r="AB674" i="2"/>
  <c r="AA674" i="2"/>
  <c r="W674" i="2"/>
  <c r="S674" i="2"/>
  <c r="Q674" i="2"/>
  <c r="P674" i="2"/>
  <c r="X674" i="2" s="1"/>
  <c r="O674" i="2"/>
  <c r="T674" i="2" s="1"/>
  <c r="N674" i="2"/>
  <c r="K674" i="2"/>
  <c r="Z674" i="2" s="1"/>
  <c r="J674" i="2"/>
  <c r="I674" i="2"/>
  <c r="AL673" i="2"/>
  <c r="AI673" i="2"/>
  <c r="AH673" i="2"/>
  <c r="AG673" i="2"/>
  <c r="AF673" i="2"/>
  <c r="AC673" i="2"/>
  <c r="AB673" i="2"/>
  <c r="AA673" i="2"/>
  <c r="Z673" i="2"/>
  <c r="W673" i="2"/>
  <c r="S673" i="2"/>
  <c r="P673" i="2"/>
  <c r="X673" i="2" s="1"/>
  <c r="O673" i="2"/>
  <c r="T673" i="2" s="1"/>
  <c r="N673" i="2"/>
  <c r="K673" i="2"/>
  <c r="J673" i="2"/>
  <c r="I673" i="2"/>
  <c r="AL672" i="2"/>
  <c r="AI672" i="2"/>
  <c r="AH672" i="2"/>
  <c r="AF672" i="2"/>
  <c r="AC672" i="2"/>
  <c r="AB672" i="2"/>
  <c r="AA672" i="2"/>
  <c r="W672" i="2"/>
  <c r="S672" i="2"/>
  <c r="R672" i="2"/>
  <c r="P672" i="2"/>
  <c r="X672" i="2" s="1"/>
  <c r="O672" i="2"/>
  <c r="T672" i="2" s="1"/>
  <c r="N672" i="2"/>
  <c r="K672" i="2"/>
  <c r="J672" i="2"/>
  <c r="I672" i="2"/>
  <c r="AL671" i="2"/>
  <c r="AJ671" i="2"/>
  <c r="AI671" i="2"/>
  <c r="AH671" i="2"/>
  <c r="AG671" i="2"/>
  <c r="AF671" i="2"/>
  <c r="AC671" i="2"/>
  <c r="AB671" i="2"/>
  <c r="AA671" i="2"/>
  <c r="W671" i="2"/>
  <c r="S671" i="2"/>
  <c r="P671" i="2"/>
  <c r="X671" i="2" s="1"/>
  <c r="O671" i="2"/>
  <c r="T671" i="2" s="1"/>
  <c r="N671" i="2"/>
  <c r="K671" i="2"/>
  <c r="R671" i="2" s="1"/>
  <c r="J671" i="2"/>
  <c r="Q671" i="2" s="1"/>
  <c r="I671" i="2"/>
  <c r="AL670" i="2"/>
  <c r="AK670" i="2"/>
  <c r="AI670" i="2"/>
  <c r="AH670" i="2"/>
  <c r="AF670" i="2"/>
  <c r="AC670" i="2"/>
  <c r="AB670" i="2"/>
  <c r="AA670" i="2"/>
  <c r="Z670" i="2"/>
  <c r="W670" i="2"/>
  <c r="T670" i="2"/>
  <c r="S670" i="2"/>
  <c r="Q670" i="2"/>
  <c r="P670" i="2"/>
  <c r="X670" i="2" s="1"/>
  <c r="O670" i="2"/>
  <c r="N670" i="2"/>
  <c r="K670" i="2"/>
  <c r="V670" i="2" s="1"/>
  <c r="J670" i="2"/>
  <c r="AJ670" i="2" s="1"/>
  <c r="I670" i="2"/>
  <c r="AL669" i="2"/>
  <c r="AI669" i="2"/>
  <c r="AH669" i="2"/>
  <c r="AF669" i="2"/>
  <c r="AC669" i="2"/>
  <c r="AB669" i="2"/>
  <c r="AA669" i="2"/>
  <c r="Z669" i="2"/>
  <c r="Y669" i="2"/>
  <c r="W669" i="2"/>
  <c r="V669" i="2"/>
  <c r="S669" i="2"/>
  <c r="P669" i="2"/>
  <c r="X669" i="2" s="1"/>
  <c r="O669" i="2"/>
  <c r="T669" i="2" s="1"/>
  <c r="N669" i="2"/>
  <c r="K669" i="2"/>
  <c r="J669" i="2"/>
  <c r="I669" i="2"/>
  <c r="AL668" i="2"/>
  <c r="AI668" i="2"/>
  <c r="AH668" i="2"/>
  <c r="AF668" i="2"/>
  <c r="AC668" i="2"/>
  <c r="AB668" i="2"/>
  <c r="AA668" i="2"/>
  <c r="Z668" i="2"/>
  <c r="W668" i="2"/>
  <c r="T668" i="2"/>
  <c r="S668" i="2"/>
  <c r="P668" i="2"/>
  <c r="X668" i="2" s="1"/>
  <c r="O668" i="2"/>
  <c r="N668" i="2"/>
  <c r="K668" i="2"/>
  <c r="J668" i="2"/>
  <c r="Y668" i="2" s="1"/>
  <c r="I668" i="2"/>
  <c r="AL667" i="2"/>
  <c r="AI667" i="2"/>
  <c r="AH667" i="2"/>
  <c r="AF667" i="2"/>
  <c r="AC667" i="2"/>
  <c r="AB667" i="2"/>
  <c r="AA667" i="2"/>
  <c r="W667" i="2"/>
  <c r="S667" i="2"/>
  <c r="P667" i="2"/>
  <c r="X667" i="2" s="1"/>
  <c r="O667" i="2"/>
  <c r="T667" i="2" s="1"/>
  <c r="N667" i="2"/>
  <c r="K667" i="2"/>
  <c r="J667" i="2"/>
  <c r="I667" i="2"/>
  <c r="AL666" i="2"/>
  <c r="AI666" i="2"/>
  <c r="AH666" i="2"/>
  <c r="AF666" i="2"/>
  <c r="AC666" i="2"/>
  <c r="AB666" i="2"/>
  <c r="AA666" i="2"/>
  <c r="W666" i="2"/>
  <c r="S666" i="2"/>
  <c r="P666" i="2"/>
  <c r="X666" i="2" s="1"/>
  <c r="O666" i="2"/>
  <c r="T666" i="2" s="1"/>
  <c r="N666" i="2"/>
  <c r="K666" i="2"/>
  <c r="R666" i="2" s="1"/>
  <c r="J666" i="2"/>
  <c r="I666" i="2"/>
  <c r="AL665" i="2"/>
  <c r="AI665" i="2"/>
  <c r="AH665" i="2"/>
  <c r="AF665" i="2"/>
  <c r="AC665" i="2"/>
  <c r="AB665" i="2"/>
  <c r="AA665" i="2"/>
  <c r="Y665" i="2"/>
  <c r="W665" i="2"/>
  <c r="S665" i="2"/>
  <c r="P665" i="2"/>
  <c r="X665" i="2" s="1"/>
  <c r="O665" i="2"/>
  <c r="T665" i="2" s="1"/>
  <c r="N665" i="2"/>
  <c r="K665" i="2"/>
  <c r="AE665" i="2" s="1"/>
  <c r="J665" i="2"/>
  <c r="I665" i="2"/>
  <c r="AL664" i="2"/>
  <c r="AJ664" i="2"/>
  <c r="AI664" i="2"/>
  <c r="AH664" i="2"/>
  <c r="AF664" i="2"/>
  <c r="AC664" i="2"/>
  <c r="AB664" i="2"/>
  <c r="AA664" i="2"/>
  <c r="W664" i="2"/>
  <c r="U664" i="2"/>
  <c r="S664" i="2"/>
  <c r="P664" i="2"/>
  <c r="X664" i="2" s="1"/>
  <c r="O664" i="2"/>
  <c r="T664" i="2" s="1"/>
  <c r="N664" i="2"/>
  <c r="K664" i="2"/>
  <c r="J664" i="2"/>
  <c r="I664" i="2"/>
  <c r="AL663" i="2"/>
  <c r="AI663" i="2"/>
  <c r="AH663" i="2"/>
  <c r="AF663" i="2"/>
  <c r="AC663" i="2"/>
  <c r="AB663" i="2"/>
  <c r="AA663" i="2"/>
  <c r="X663" i="2"/>
  <c r="W663" i="2"/>
  <c r="S663" i="2"/>
  <c r="P663" i="2"/>
  <c r="O663" i="2"/>
  <c r="T663" i="2" s="1"/>
  <c r="N663" i="2"/>
  <c r="K663" i="2"/>
  <c r="AE663" i="2" s="1"/>
  <c r="J663" i="2"/>
  <c r="AJ663" i="2" s="1"/>
  <c r="I663" i="2"/>
  <c r="AL662" i="2"/>
  <c r="AI662" i="2"/>
  <c r="AH662" i="2"/>
  <c r="AF662" i="2"/>
  <c r="AC662" i="2"/>
  <c r="AB662" i="2"/>
  <c r="AA662" i="2"/>
  <c r="Z662" i="2"/>
  <c r="W662" i="2"/>
  <c r="V662" i="2"/>
  <c r="S662" i="2"/>
  <c r="Q662" i="2"/>
  <c r="P662" i="2"/>
  <c r="X662" i="2" s="1"/>
  <c r="O662" i="2"/>
  <c r="T662" i="2" s="1"/>
  <c r="N662" i="2"/>
  <c r="K662" i="2"/>
  <c r="J662" i="2"/>
  <c r="AJ662" i="2" s="1"/>
  <c r="I662" i="2"/>
  <c r="AL661" i="2"/>
  <c r="AI661" i="2"/>
  <c r="AH661" i="2"/>
  <c r="AF661" i="2"/>
  <c r="AC661" i="2"/>
  <c r="AB661" i="2"/>
  <c r="AA661" i="2"/>
  <c r="W661" i="2"/>
  <c r="S661" i="2"/>
  <c r="P661" i="2"/>
  <c r="X661" i="2" s="1"/>
  <c r="O661" i="2"/>
  <c r="T661" i="2" s="1"/>
  <c r="N661" i="2"/>
  <c r="K661" i="2"/>
  <c r="J661" i="2"/>
  <c r="AJ661" i="2" s="1"/>
  <c r="I661" i="2"/>
  <c r="AL660" i="2"/>
  <c r="AK660" i="2"/>
  <c r="AI660" i="2"/>
  <c r="AH660" i="2"/>
  <c r="AF660" i="2"/>
  <c r="AC660" i="2"/>
  <c r="AB660" i="2"/>
  <c r="AA660" i="2"/>
  <c r="X660" i="2"/>
  <c r="W660" i="2"/>
  <c r="V660" i="2"/>
  <c r="S660" i="2"/>
  <c r="P660" i="2"/>
  <c r="O660" i="2"/>
  <c r="T660" i="2" s="1"/>
  <c r="N660" i="2"/>
  <c r="K660" i="2"/>
  <c r="R660" i="2" s="1"/>
  <c r="J660" i="2"/>
  <c r="U660" i="2" s="1"/>
  <c r="I660" i="2"/>
  <c r="AL659" i="2"/>
  <c r="AI659" i="2"/>
  <c r="AH659" i="2"/>
  <c r="AG659" i="2"/>
  <c r="AF659" i="2"/>
  <c r="AE659" i="2"/>
  <c r="AC659" i="2"/>
  <c r="AB659" i="2"/>
  <c r="AA659" i="2"/>
  <c r="Y659" i="2"/>
  <c r="W659" i="2"/>
  <c r="S659" i="2"/>
  <c r="Q659" i="2"/>
  <c r="P659" i="2"/>
  <c r="X659" i="2" s="1"/>
  <c r="O659" i="2"/>
  <c r="T659" i="2" s="1"/>
  <c r="N659" i="2"/>
  <c r="K659" i="2"/>
  <c r="J659" i="2"/>
  <c r="I659" i="2"/>
  <c r="AL658" i="2"/>
  <c r="AI658" i="2"/>
  <c r="AH658" i="2"/>
  <c r="AG658" i="2"/>
  <c r="AF658" i="2"/>
  <c r="AC658" i="2"/>
  <c r="AB658" i="2"/>
  <c r="AA658" i="2"/>
  <c r="W658" i="2"/>
  <c r="S658" i="2"/>
  <c r="P658" i="2"/>
  <c r="X658" i="2" s="1"/>
  <c r="O658" i="2"/>
  <c r="T658" i="2" s="1"/>
  <c r="N658" i="2"/>
  <c r="K658" i="2"/>
  <c r="J658" i="2"/>
  <c r="AD658" i="2" s="1"/>
  <c r="I658" i="2"/>
  <c r="AL657" i="2"/>
  <c r="AI657" i="2"/>
  <c r="AH657" i="2"/>
  <c r="AF657" i="2"/>
  <c r="AC657" i="2"/>
  <c r="AB657" i="2"/>
  <c r="AA657" i="2"/>
  <c r="Z657" i="2"/>
  <c r="Y657" i="2"/>
  <c r="W657" i="2"/>
  <c r="S657" i="2"/>
  <c r="Q657" i="2"/>
  <c r="P657" i="2"/>
  <c r="X657" i="2" s="1"/>
  <c r="O657" i="2"/>
  <c r="T657" i="2" s="1"/>
  <c r="N657" i="2"/>
  <c r="K657" i="2"/>
  <c r="J657" i="2"/>
  <c r="I657" i="2"/>
  <c r="AL656" i="2"/>
  <c r="AJ656" i="2"/>
  <c r="AI656" i="2"/>
  <c r="AH656" i="2"/>
  <c r="AF656" i="2"/>
  <c r="AD656" i="2"/>
  <c r="AC656" i="2"/>
  <c r="AB656" i="2"/>
  <c r="AA656" i="2"/>
  <c r="Y656" i="2"/>
  <c r="W656" i="2"/>
  <c r="S656" i="2"/>
  <c r="Q656" i="2"/>
  <c r="P656" i="2"/>
  <c r="X656" i="2" s="1"/>
  <c r="O656" i="2"/>
  <c r="T656" i="2" s="1"/>
  <c r="N656" i="2"/>
  <c r="K656" i="2"/>
  <c r="J656" i="2"/>
  <c r="AG656" i="2" s="1"/>
  <c r="I656" i="2"/>
  <c r="AL655" i="2"/>
  <c r="AI655" i="2"/>
  <c r="AH655" i="2"/>
  <c r="AF655" i="2"/>
  <c r="AE655" i="2"/>
  <c r="AC655" i="2"/>
  <c r="AB655" i="2"/>
  <c r="AA655" i="2"/>
  <c r="X655" i="2"/>
  <c r="W655" i="2"/>
  <c r="S655" i="2"/>
  <c r="P655" i="2"/>
  <c r="O655" i="2"/>
  <c r="T655" i="2" s="1"/>
  <c r="N655" i="2"/>
  <c r="K655" i="2"/>
  <c r="J655" i="2"/>
  <c r="I655" i="2"/>
  <c r="AL654" i="2"/>
  <c r="AI654" i="2"/>
  <c r="AH654" i="2"/>
  <c r="AG654" i="2"/>
  <c r="AF654" i="2"/>
  <c r="AD654" i="2"/>
  <c r="AC654" i="2"/>
  <c r="AB654" i="2"/>
  <c r="AA654" i="2"/>
  <c r="X654" i="2"/>
  <c r="W654" i="2"/>
  <c r="S654" i="2"/>
  <c r="Q654" i="2"/>
  <c r="P654" i="2"/>
  <c r="O654" i="2"/>
  <c r="T654" i="2" s="1"/>
  <c r="N654" i="2"/>
  <c r="K654" i="2"/>
  <c r="J654" i="2"/>
  <c r="U654" i="2" s="1"/>
  <c r="I654" i="2"/>
  <c r="AL653" i="2"/>
  <c r="AI653" i="2"/>
  <c r="AH653" i="2"/>
  <c r="AF653" i="2"/>
  <c r="AE653" i="2"/>
  <c r="AC653" i="2"/>
  <c r="AB653" i="2"/>
  <c r="AA653" i="2"/>
  <c r="X653" i="2"/>
  <c r="W653" i="2"/>
  <c r="S653" i="2"/>
  <c r="P653" i="2"/>
  <c r="O653" i="2"/>
  <c r="T653" i="2" s="1"/>
  <c r="N653" i="2"/>
  <c r="K653" i="2"/>
  <c r="J653" i="2"/>
  <c r="I653" i="2"/>
  <c r="AL652" i="2"/>
  <c r="AI652" i="2"/>
  <c r="AH652" i="2"/>
  <c r="AF652" i="2"/>
  <c r="AC652" i="2"/>
  <c r="AB652" i="2"/>
  <c r="AA652" i="2"/>
  <c r="X652" i="2"/>
  <c r="W652" i="2"/>
  <c r="T652" i="2"/>
  <c r="S652" i="2"/>
  <c r="P652" i="2"/>
  <c r="O652" i="2"/>
  <c r="N652" i="2"/>
  <c r="K652" i="2"/>
  <c r="J652" i="2"/>
  <c r="I652" i="2"/>
  <c r="AL651" i="2"/>
  <c r="AK651" i="2"/>
  <c r="AI651" i="2"/>
  <c r="AH651" i="2"/>
  <c r="AF651" i="2"/>
  <c r="AC651" i="2"/>
  <c r="AB651" i="2"/>
  <c r="AA651" i="2"/>
  <c r="Z651" i="2"/>
  <c r="W651" i="2"/>
  <c r="V651" i="2"/>
  <c r="S651" i="2"/>
  <c r="R651" i="2"/>
  <c r="P651" i="2"/>
  <c r="X651" i="2" s="1"/>
  <c r="O651" i="2"/>
  <c r="T651" i="2" s="1"/>
  <c r="N651" i="2"/>
  <c r="K651" i="2"/>
  <c r="AE651" i="2" s="1"/>
  <c r="J651" i="2"/>
  <c r="I651" i="2"/>
  <c r="AL650" i="2"/>
  <c r="AK650" i="2"/>
  <c r="AI650" i="2"/>
  <c r="AH650" i="2"/>
  <c r="AF650" i="2"/>
  <c r="AC650" i="2"/>
  <c r="AB650" i="2"/>
  <c r="AA650" i="2"/>
  <c r="Z650" i="2"/>
  <c r="X650" i="2"/>
  <c r="W650" i="2"/>
  <c r="V650" i="2"/>
  <c r="T650" i="2"/>
  <c r="S650" i="2"/>
  <c r="R650" i="2"/>
  <c r="P650" i="2"/>
  <c r="O650" i="2"/>
  <c r="N650" i="2"/>
  <c r="K650" i="2"/>
  <c r="AE650" i="2" s="1"/>
  <c r="J650" i="2"/>
  <c r="U650" i="2" s="1"/>
  <c r="I650" i="2"/>
  <c r="AL649" i="2"/>
  <c r="AI649" i="2"/>
  <c r="AH649" i="2"/>
  <c r="AF649" i="2"/>
  <c r="AC649" i="2"/>
  <c r="AB649" i="2"/>
  <c r="AA649" i="2"/>
  <c r="Z649" i="2"/>
  <c r="Y649" i="2"/>
  <c r="W649" i="2"/>
  <c r="V649" i="2"/>
  <c r="U649" i="2"/>
  <c r="S649" i="2"/>
  <c r="Q649" i="2"/>
  <c r="P649" i="2"/>
  <c r="X649" i="2" s="1"/>
  <c r="O649" i="2"/>
  <c r="T649" i="2" s="1"/>
  <c r="N649" i="2"/>
  <c r="K649" i="2"/>
  <c r="R649" i="2" s="1"/>
  <c r="J649" i="2"/>
  <c r="I649" i="2"/>
  <c r="AL648" i="2"/>
  <c r="AI648" i="2"/>
  <c r="AH648" i="2"/>
  <c r="AF648" i="2"/>
  <c r="AC648" i="2"/>
  <c r="AB648" i="2"/>
  <c r="AA648" i="2"/>
  <c r="W648" i="2"/>
  <c r="S648" i="2"/>
  <c r="R648" i="2"/>
  <c r="P648" i="2"/>
  <c r="X648" i="2" s="1"/>
  <c r="O648" i="2"/>
  <c r="T648" i="2" s="1"/>
  <c r="N648" i="2"/>
  <c r="K648" i="2"/>
  <c r="J648" i="2"/>
  <c r="I648" i="2"/>
  <c r="AL647" i="2"/>
  <c r="AI647" i="2"/>
  <c r="AH647" i="2"/>
  <c r="AF647" i="2"/>
  <c r="AC647" i="2"/>
  <c r="AB647" i="2"/>
  <c r="AA647" i="2"/>
  <c r="W647" i="2"/>
  <c r="S647" i="2"/>
  <c r="P647" i="2"/>
  <c r="X647" i="2" s="1"/>
  <c r="O647" i="2"/>
  <c r="T647" i="2" s="1"/>
  <c r="N647" i="2"/>
  <c r="K647" i="2"/>
  <c r="J647" i="2"/>
  <c r="I647" i="2"/>
  <c r="AL646" i="2"/>
  <c r="AI646" i="2"/>
  <c r="AH646" i="2"/>
  <c r="AF646" i="2"/>
  <c r="AC646" i="2"/>
  <c r="AB646" i="2"/>
  <c r="AA646" i="2"/>
  <c r="W646" i="2"/>
  <c r="U646" i="2"/>
  <c r="S646" i="2"/>
  <c r="P646" i="2"/>
  <c r="X646" i="2" s="1"/>
  <c r="O646" i="2"/>
  <c r="T646" i="2" s="1"/>
  <c r="N646" i="2"/>
  <c r="K646" i="2"/>
  <c r="J646" i="2"/>
  <c r="I646" i="2"/>
  <c r="AL645" i="2"/>
  <c r="AK645" i="2"/>
  <c r="AI645" i="2"/>
  <c r="AH645" i="2"/>
  <c r="AF645" i="2"/>
  <c r="AC645" i="2"/>
  <c r="AB645" i="2"/>
  <c r="AA645" i="2"/>
  <c r="X645" i="2"/>
  <c r="W645" i="2"/>
  <c r="S645" i="2"/>
  <c r="P645" i="2"/>
  <c r="O645" i="2"/>
  <c r="T645" i="2" s="1"/>
  <c r="N645" i="2"/>
  <c r="K645" i="2"/>
  <c r="J645" i="2"/>
  <c r="Q645" i="2" s="1"/>
  <c r="I645" i="2"/>
  <c r="AL644" i="2"/>
  <c r="AI644" i="2"/>
  <c r="AH644" i="2"/>
  <c r="AF644" i="2"/>
  <c r="AC644" i="2"/>
  <c r="AB644" i="2"/>
  <c r="AA644" i="2"/>
  <c r="W644" i="2"/>
  <c r="V644" i="2"/>
  <c r="S644" i="2"/>
  <c r="Q644" i="2"/>
  <c r="P644" i="2"/>
  <c r="X644" i="2" s="1"/>
  <c r="O644" i="2"/>
  <c r="T644" i="2" s="1"/>
  <c r="N644" i="2"/>
  <c r="K644" i="2"/>
  <c r="R644" i="2" s="1"/>
  <c r="J644" i="2"/>
  <c r="I644" i="2"/>
  <c r="AL643" i="2"/>
  <c r="AK643" i="2"/>
  <c r="AI643" i="2"/>
  <c r="AH643" i="2"/>
  <c r="AG643" i="2"/>
  <c r="AF643" i="2"/>
  <c r="AC643" i="2"/>
  <c r="AB643" i="2"/>
  <c r="AA643" i="2"/>
  <c r="Y643" i="2"/>
  <c r="W643" i="2"/>
  <c r="U643" i="2"/>
  <c r="S643" i="2"/>
  <c r="R643" i="2"/>
  <c r="Q643" i="2"/>
  <c r="P643" i="2"/>
  <c r="X643" i="2" s="1"/>
  <c r="O643" i="2"/>
  <c r="T643" i="2" s="1"/>
  <c r="N643" i="2"/>
  <c r="K643" i="2"/>
  <c r="J643" i="2"/>
  <c r="I643" i="2"/>
  <c r="AL642" i="2"/>
  <c r="AK642" i="2"/>
  <c r="AJ642" i="2"/>
  <c r="AI642" i="2"/>
  <c r="AH642" i="2"/>
  <c r="AF642" i="2"/>
  <c r="AC642" i="2"/>
  <c r="AB642" i="2"/>
  <c r="AA642" i="2"/>
  <c r="Y642" i="2"/>
  <c r="W642" i="2"/>
  <c r="U642" i="2"/>
  <c r="S642" i="2"/>
  <c r="R642" i="2"/>
  <c r="P642" i="2"/>
  <c r="X642" i="2" s="1"/>
  <c r="O642" i="2"/>
  <c r="T642" i="2" s="1"/>
  <c r="N642" i="2"/>
  <c r="K642" i="2"/>
  <c r="J642" i="2"/>
  <c r="AG642" i="2" s="1"/>
  <c r="I642" i="2"/>
  <c r="AL641" i="2"/>
  <c r="AI641" i="2"/>
  <c r="AH641" i="2"/>
  <c r="AF641" i="2"/>
  <c r="AC641" i="2"/>
  <c r="AB641" i="2"/>
  <c r="AA641" i="2"/>
  <c r="W641" i="2"/>
  <c r="S641" i="2"/>
  <c r="P641" i="2"/>
  <c r="X641" i="2" s="1"/>
  <c r="O641" i="2"/>
  <c r="T641" i="2" s="1"/>
  <c r="N641" i="2"/>
  <c r="K641" i="2"/>
  <c r="J641" i="2"/>
  <c r="I641" i="2"/>
  <c r="AL640" i="2"/>
  <c r="AI640" i="2"/>
  <c r="AH640" i="2"/>
  <c r="AG640" i="2"/>
  <c r="AF640" i="2"/>
  <c r="AC640" i="2"/>
  <c r="AB640" i="2"/>
  <c r="AA640" i="2"/>
  <c r="W640" i="2"/>
  <c r="U640" i="2"/>
  <c r="S640" i="2"/>
  <c r="Q640" i="2"/>
  <c r="P640" i="2"/>
  <c r="X640" i="2" s="1"/>
  <c r="O640" i="2"/>
  <c r="T640" i="2" s="1"/>
  <c r="N640" i="2"/>
  <c r="K640" i="2"/>
  <c r="J640" i="2"/>
  <c r="I640" i="2"/>
  <c r="AL639" i="2"/>
  <c r="AI639" i="2"/>
  <c r="AH639" i="2"/>
  <c r="AG639" i="2"/>
  <c r="AF639" i="2"/>
  <c r="AC639" i="2"/>
  <c r="AB639" i="2"/>
  <c r="AA639" i="2"/>
  <c r="Z639" i="2"/>
  <c r="Y639" i="2"/>
  <c r="W639" i="2"/>
  <c r="U639" i="2"/>
  <c r="S639" i="2"/>
  <c r="R639" i="2"/>
  <c r="P639" i="2"/>
  <c r="X639" i="2" s="1"/>
  <c r="O639" i="2"/>
  <c r="T639" i="2" s="1"/>
  <c r="N639" i="2"/>
  <c r="K639" i="2"/>
  <c r="J639" i="2"/>
  <c r="I639" i="2"/>
  <c r="AL638" i="2"/>
  <c r="AJ638" i="2"/>
  <c r="AI638" i="2"/>
  <c r="AH638" i="2"/>
  <c r="AG638" i="2"/>
  <c r="AF638" i="2"/>
  <c r="AD638" i="2"/>
  <c r="AC638" i="2"/>
  <c r="AB638" i="2"/>
  <c r="AA638" i="2"/>
  <c r="Y638" i="2"/>
  <c r="W638" i="2"/>
  <c r="U638" i="2"/>
  <c r="T638" i="2"/>
  <c r="S638" i="2"/>
  <c r="P638" i="2"/>
  <c r="X638" i="2" s="1"/>
  <c r="O638" i="2"/>
  <c r="N638" i="2"/>
  <c r="K638" i="2"/>
  <c r="J638" i="2"/>
  <c r="Q638" i="2" s="1"/>
  <c r="I638" i="2"/>
  <c r="AL637" i="2"/>
  <c r="AJ637" i="2"/>
  <c r="AI637" i="2"/>
  <c r="AH637" i="2"/>
  <c r="AG637" i="2"/>
  <c r="AF637" i="2"/>
  <c r="AE637" i="2"/>
  <c r="AD637" i="2"/>
  <c r="AC637" i="2"/>
  <c r="AB637" i="2"/>
  <c r="AA637" i="2"/>
  <c r="Y637" i="2"/>
  <c r="W637" i="2"/>
  <c r="V637" i="2"/>
  <c r="U637" i="2"/>
  <c r="S637" i="2"/>
  <c r="R637" i="2"/>
  <c r="Q637" i="2"/>
  <c r="P637" i="2"/>
  <c r="X637" i="2" s="1"/>
  <c r="O637" i="2"/>
  <c r="T637" i="2" s="1"/>
  <c r="N637" i="2"/>
  <c r="K637" i="2"/>
  <c r="J637" i="2"/>
  <c r="I637" i="2"/>
  <c r="AL636" i="2"/>
  <c r="AI636" i="2"/>
  <c r="AH636" i="2"/>
  <c r="AG636" i="2"/>
  <c r="AF636" i="2"/>
  <c r="AC636" i="2"/>
  <c r="AB636" i="2"/>
  <c r="AA636" i="2"/>
  <c r="Y636" i="2"/>
  <c r="W636" i="2"/>
  <c r="U636" i="2"/>
  <c r="S636" i="2"/>
  <c r="R636" i="2"/>
  <c r="Q636" i="2"/>
  <c r="P636" i="2"/>
  <c r="X636" i="2" s="1"/>
  <c r="O636" i="2"/>
  <c r="T636" i="2" s="1"/>
  <c r="N636" i="2"/>
  <c r="K636" i="2"/>
  <c r="J636" i="2"/>
  <c r="I636" i="2"/>
  <c r="AL635" i="2"/>
  <c r="AI635" i="2"/>
  <c r="AH635" i="2"/>
  <c r="AF635" i="2"/>
  <c r="AC635" i="2"/>
  <c r="AB635" i="2"/>
  <c r="AA635" i="2"/>
  <c r="Y635" i="2"/>
  <c r="W635" i="2"/>
  <c r="S635" i="2"/>
  <c r="P635" i="2"/>
  <c r="X635" i="2" s="1"/>
  <c r="O635" i="2"/>
  <c r="T635" i="2" s="1"/>
  <c r="N635" i="2"/>
  <c r="K635" i="2"/>
  <c r="J635" i="2"/>
  <c r="AG635" i="2" s="1"/>
  <c r="I635" i="2"/>
  <c r="AL634" i="2"/>
  <c r="AI634" i="2"/>
  <c r="AH634" i="2"/>
  <c r="AF634" i="2"/>
  <c r="AC634" i="2"/>
  <c r="AB634" i="2"/>
  <c r="AA634" i="2"/>
  <c r="W634" i="2"/>
  <c r="V634" i="2"/>
  <c r="S634" i="2"/>
  <c r="P634" i="2"/>
  <c r="X634" i="2" s="1"/>
  <c r="O634" i="2"/>
  <c r="T634" i="2" s="1"/>
  <c r="N634" i="2"/>
  <c r="K634" i="2"/>
  <c r="R634" i="2" s="1"/>
  <c r="J634" i="2"/>
  <c r="AG634" i="2" s="1"/>
  <c r="I634" i="2"/>
  <c r="AL633" i="2"/>
  <c r="AI633" i="2"/>
  <c r="AH633" i="2"/>
  <c r="AF633" i="2"/>
  <c r="AC633" i="2"/>
  <c r="AB633" i="2"/>
  <c r="AA633" i="2"/>
  <c r="W633" i="2"/>
  <c r="S633" i="2"/>
  <c r="R633" i="2"/>
  <c r="P633" i="2"/>
  <c r="X633" i="2" s="1"/>
  <c r="O633" i="2"/>
  <c r="T633" i="2" s="1"/>
  <c r="N633" i="2"/>
  <c r="K633" i="2"/>
  <c r="J633" i="2"/>
  <c r="AJ633" i="2" s="1"/>
  <c r="I633" i="2"/>
  <c r="AL632" i="2"/>
  <c r="AK632" i="2"/>
  <c r="AI632" i="2"/>
  <c r="AH632" i="2"/>
  <c r="AF632" i="2"/>
  <c r="AC632" i="2"/>
  <c r="AB632" i="2"/>
  <c r="AA632" i="2"/>
  <c r="X632" i="2"/>
  <c r="W632" i="2"/>
  <c r="V632" i="2"/>
  <c r="T632" i="2"/>
  <c r="S632" i="2"/>
  <c r="P632" i="2"/>
  <c r="O632" i="2"/>
  <c r="N632" i="2"/>
  <c r="K632" i="2"/>
  <c r="Z632" i="2" s="1"/>
  <c r="J632" i="2"/>
  <c r="I632" i="2"/>
  <c r="AL631" i="2"/>
  <c r="AI631" i="2"/>
  <c r="AH631" i="2"/>
  <c r="AF631" i="2"/>
  <c r="AC631" i="2"/>
  <c r="AB631" i="2"/>
  <c r="AA631" i="2"/>
  <c r="W631" i="2"/>
  <c r="S631" i="2"/>
  <c r="P631" i="2"/>
  <c r="X631" i="2" s="1"/>
  <c r="O631" i="2"/>
  <c r="T631" i="2" s="1"/>
  <c r="N631" i="2"/>
  <c r="K631" i="2"/>
  <c r="J631" i="2"/>
  <c r="I631" i="2"/>
  <c r="AL630" i="2"/>
  <c r="AI630" i="2"/>
  <c r="AH630" i="2"/>
  <c r="AF630" i="2"/>
  <c r="AD630" i="2"/>
  <c r="AC630" i="2"/>
  <c r="AB630" i="2"/>
  <c r="AA630" i="2"/>
  <c r="Y630" i="2"/>
  <c r="W630" i="2"/>
  <c r="S630" i="2"/>
  <c r="P630" i="2"/>
  <c r="X630" i="2" s="1"/>
  <c r="O630" i="2"/>
  <c r="T630" i="2" s="1"/>
  <c r="N630" i="2"/>
  <c r="K630" i="2"/>
  <c r="V630" i="2" s="1"/>
  <c r="J630" i="2"/>
  <c r="I630" i="2"/>
  <c r="AL629" i="2"/>
  <c r="AI629" i="2"/>
  <c r="AH629" i="2"/>
  <c r="AG629" i="2"/>
  <c r="AF629" i="2"/>
  <c r="AD629" i="2"/>
  <c r="AC629" i="2"/>
  <c r="AB629" i="2"/>
  <c r="AA629" i="2"/>
  <c r="W629" i="2"/>
  <c r="U629" i="2"/>
  <c r="S629" i="2"/>
  <c r="P629" i="2"/>
  <c r="X629" i="2" s="1"/>
  <c r="O629" i="2"/>
  <c r="T629" i="2" s="1"/>
  <c r="N629" i="2"/>
  <c r="K629" i="2"/>
  <c r="R629" i="2" s="1"/>
  <c r="J629" i="2"/>
  <c r="I629" i="2"/>
  <c r="AL628" i="2"/>
  <c r="AK628" i="2"/>
  <c r="AI628" i="2"/>
  <c r="AH628" i="2"/>
  <c r="AG628" i="2"/>
  <c r="AF628" i="2"/>
  <c r="AC628" i="2"/>
  <c r="AB628" i="2"/>
  <c r="AA628" i="2"/>
  <c r="Z628" i="2"/>
  <c r="W628" i="2"/>
  <c r="S628" i="2"/>
  <c r="P628" i="2"/>
  <c r="X628" i="2" s="1"/>
  <c r="O628" i="2"/>
  <c r="T628" i="2" s="1"/>
  <c r="N628" i="2"/>
  <c r="K628" i="2"/>
  <c r="AE628" i="2" s="1"/>
  <c r="J628" i="2"/>
  <c r="I628" i="2"/>
  <c r="AL627" i="2"/>
  <c r="AK627" i="2"/>
  <c r="AI627" i="2"/>
  <c r="AH627" i="2"/>
  <c r="AF627" i="2"/>
  <c r="AE627" i="2"/>
  <c r="AC627" i="2"/>
  <c r="AB627" i="2"/>
  <c r="AA627" i="2"/>
  <c r="Z627" i="2"/>
  <c r="W627" i="2"/>
  <c r="S627" i="2"/>
  <c r="P627" i="2"/>
  <c r="X627" i="2" s="1"/>
  <c r="O627" i="2"/>
  <c r="T627" i="2" s="1"/>
  <c r="N627" i="2"/>
  <c r="K627" i="2"/>
  <c r="V627" i="2" s="1"/>
  <c r="J627" i="2"/>
  <c r="I627" i="2"/>
  <c r="AL626" i="2"/>
  <c r="AI626" i="2"/>
  <c r="AH626" i="2"/>
  <c r="AF626" i="2"/>
  <c r="AC626" i="2"/>
  <c r="AB626" i="2"/>
  <c r="AA626" i="2"/>
  <c r="Y626" i="2"/>
  <c r="W626" i="2"/>
  <c r="T626" i="2"/>
  <c r="S626" i="2"/>
  <c r="P626" i="2"/>
  <c r="X626" i="2" s="1"/>
  <c r="O626" i="2"/>
  <c r="N626" i="2"/>
  <c r="K626" i="2"/>
  <c r="R626" i="2" s="1"/>
  <c r="J626" i="2"/>
  <c r="I626" i="2"/>
  <c r="AL625" i="2"/>
  <c r="AI625" i="2"/>
  <c r="AH625" i="2"/>
  <c r="AG625" i="2"/>
  <c r="AF625" i="2"/>
  <c r="AD625" i="2"/>
  <c r="AC625" i="2"/>
  <c r="AB625" i="2"/>
  <c r="AA625" i="2"/>
  <c r="Z625" i="2"/>
  <c r="W625" i="2"/>
  <c r="S625" i="2"/>
  <c r="P625" i="2"/>
  <c r="X625" i="2" s="1"/>
  <c r="O625" i="2"/>
  <c r="T625" i="2" s="1"/>
  <c r="N625" i="2"/>
  <c r="K625" i="2"/>
  <c r="J625" i="2"/>
  <c r="I625" i="2"/>
  <c r="AL624" i="2"/>
  <c r="AI624" i="2"/>
  <c r="AH624" i="2"/>
  <c r="AF624" i="2"/>
  <c r="AC624" i="2"/>
  <c r="AB624" i="2"/>
  <c r="AA624" i="2"/>
  <c r="W624" i="2"/>
  <c r="T624" i="2"/>
  <c r="S624" i="2"/>
  <c r="P624" i="2"/>
  <c r="X624" i="2" s="1"/>
  <c r="O624" i="2"/>
  <c r="N624" i="2"/>
  <c r="K624" i="2"/>
  <c r="J624" i="2"/>
  <c r="I624" i="2"/>
  <c r="AL623" i="2"/>
  <c r="AK623" i="2"/>
  <c r="AI623" i="2"/>
  <c r="AH623" i="2"/>
  <c r="AF623" i="2"/>
  <c r="AE623" i="2"/>
  <c r="AC623" i="2"/>
  <c r="AB623" i="2"/>
  <c r="AA623" i="2"/>
  <c r="X623" i="2"/>
  <c r="W623" i="2"/>
  <c r="V623" i="2"/>
  <c r="U623" i="2"/>
  <c r="S623" i="2"/>
  <c r="R623" i="2"/>
  <c r="P623" i="2"/>
  <c r="O623" i="2"/>
  <c r="T623" i="2" s="1"/>
  <c r="N623" i="2"/>
  <c r="K623" i="2"/>
  <c r="Z623" i="2" s="1"/>
  <c r="J623" i="2"/>
  <c r="I623" i="2"/>
  <c r="AL622" i="2"/>
  <c r="AK622" i="2"/>
  <c r="AJ622" i="2"/>
  <c r="AI622" i="2"/>
  <c r="AH622" i="2"/>
  <c r="AF622" i="2"/>
  <c r="AD622" i="2"/>
  <c r="AC622" i="2"/>
  <c r="AB622" i="2"/>
  <c r="AA622" i="2"/>
  <c r="X622" i="2"/>
  <c r="W622" i="2"/>
  <c r="U622" i="2"/>
  <c r="T622" i="2"/>
  <c r="S622" i="2"/>
  <c r="P622" i="2"/>
  <c r="O622" i="2"/>
  <c r="N622" i="2"/>
  <c r="K622" i="2"/>
  <c r="J622" i="2"/>
  <c r="AG622" i="2" s="1"/>
  <c r="I622" i="2"/>
  <c r="AL621" i="2"/>
  <c r="AJ621" i="2"/>
  <c r="AI621" i="2"/>
  <c r="AH621" i="2"/>
  <c r="AF621" i="2"/>
  <c r="AC621" i="2"/>
  <c r="AB621" i="2"/>
  <c r="AA621" i="2"/>
  <c r="Y621" i="2"/>
  <c r="X621" i="2"/>
  <c r="W621" i="2"/>
  <c r="V621" i="2"/>
  <c r="S621" i="2"/>
  <c r="P621" i="2"/>
  <c r="O621" i="2"/>
  <c r="T621" i="2" s="1"/>
  <c r="N621" i="2"/>
  <c r="K621" i="2"/>
  <c r="R621" i="2" s="1"/>
  <c r="J621" i="2"/>
  <c r="I621" i="2"/>
  <c r="AL620" i="2"/>
  <c r="AJ620" i="2"/>
  <c r="AI620" i="2"/>
  <c r="AH620" i="2"/>
  <c r="AF620" i="2"/>
  <c r="AD620" i="2"/>
  <c r="AC620" i="2"/>
  <c r="AB620" i="2"/>
  <c r="AA620" i="2"/>
  <c r="Z620" i="2"/>
  <c r="Y620" i="2"/>
  <c r="X620" i="2"/>
  <c r="W620" i="2"/>
  <c r="S620" i="2"/>
  <c r="P620" i="2"/>
  <c r="O620" i="2"/>
  <c r="T620" i="2" s="1"/>
  <c r="N620" i="2"/>
  <c r="K620" i="2"/>
  <c r="R620" i="2" s="1"/>
  <c r="J620" i="2"/>
  <c r="U620" i="2" s="1"/>
  <c r="I620" i="2"/>
  <c r="AL619" i="2"/>
  <c r="AJ619" i="2"/>
  <c r="AI619" i="2"/>
  <c r="AH619" i="2"/>
  <c r="AG619" i="2"/>
  <c r="AF619" i="2"/>
  <c r="AD619" i="2"/>
  <c r="AC619" i="2"/>
  <c r="AB619" i="2"/>
  <c r="AA619" i="2"/>
  <c r="W619" i="2"/>
  <c r="U619" i="2"/>
  <c r="S619" i="2"/>
  <c r="P619" i="2"/>
  <c r="X619" i="2" s="1"/>
  <c r="O619" i="2"/>
  <c r="T619" i="2" s="1"/>
  <c r="N619" i="2"/>
  <c r="K619" i="2"/>
  <c r="AK619" i="2" s="1"/>
  <c r="J619" i="2"/>
  <c r="Y619" i="2" s="1"/>
  <c r="I619" i="2"/>
  <c r="AL618" i="2"/>
  <c r="AI618" i="2"/>
  <c r="AH618" i="2"/>
  <c r="AF618" i="2"/>
  <c r="AC618" i="2"/>
  <c r="AB618" i="2"/>
  <c r="AA618" i="2"/>
  <c r="X618" i="2"/>
  <c r="W618" i="2"/>
  <c r="S618" i="2"/>
  <c r="R618" i="2"/>
  <c r="P618" i="2"/>
  <c r="O618" i="2"/>
  <c r="T618" i="2" s="1"/>
  <c r="N618" i="2"/>
  <c r="K618" i="2"/>
  <c r="J618" i="2"/>
  <c r="Y618" i="2" s="1"/>
  <c r="I618" i="2"/>
  <c r="AL617" i="2"/>
  <c r="AK617" i="2"/>
  <c r="AI617" i="2"/>
  <c r="AH617" i="2"/>
  <c r="AF617" i="2"/>
  <c r="AC617" i="2"/>
  <c r="AB617" i="2"/>
  <c r="AA617" i="2"/>
  <c r="Z617" i="2"/>
  <c r="W617" i="2"/>
  <c r="V617" i="2"/>
  <c r="S617" i="2"/>
  <c r="P617" i="2"/>
  <c r="X617" i="2" s="1"/>
  <c r="O617" i="2"/>
  <c r="T617" i="2" s="1"/>
  <c r="N617" i="2"/>
  <c r="K617" i="2"/>
  <c r="R617" i="2" s="1"/>
  <c r="J617" i="2"/>
  <c r="I617" i="2"/>
  <c r="AL616" i="2"/>
  <c r="AI616" i="2"/>
  <c r="AH616" i="2"/>
  <c r="AF616" i="2"/>
  <c r="AC616" i="2"/>
  <c r="AB616" i="2"/>
  <c r="AA616" i="2"/>
  <c r="W616" i="2"/>
  <c r="S616" i="2"/>
  <c r="P616" i="2"/>
  <c r="X616" i="2" s="1"/>
  <c r="O616" i="2"/>
  <c r="T616" i="2" s="1"/>
  <c r="N616" i="2"/>
  <c r="K616" i="2"/>
  <c r="J616" i="2"/>
  <c r="I616" i="2"/>
  <c r="AL615" i="2"/>
  <c r="AI615" i="2"/>
  <c r="AH615" i="2"/>
  <c r="AF615" i="2"/>
  <c r="AC615" i="2"/>
  <c r="AB615" i="2"/>
  <c r="AA615" i="2"/>
  <c r="W615" i="2"/>
  <c r="S615" i="2"/>
  <c r="Q615" i="2"/>
  <c r="P615" i="2"/>
  <c r="X615" i="2" s="1"/>
  <c r="O615" i="2"/>
  <c r="T615" i="2" s="1"/>
  <c r="N615" i="2"/>
  <c r="K615" i="2"/>
  <c r="J615" i="2"/>
  <c r="I615" i="2"/>
  <c r="AL614" i="2"/>
  <c r="AK614" i="2"/>
  <c r="AI614" i="2"/>
  <c r="AH614" i="2"/>
  <c r="AF614" i="2"/>
  <c r="AC614" i="2"/>
  <c r="AB614" i="2"/>
  <c r="AA614" i="2"/>
  <c r="Z614" i="2"/>
  <c r="W614" i="2"/>
  <c r="V614" i="2"/>
  <c r="S614" i="2"/>
  <c r="R614" i="2"/>
  <c r="Q614" i="2"/>
  <c r="P614" i="2"/>
  <c r="X614" i="2" s="1"/>
  <c r="O614" i="2"/>
  <c r="T614" i="2" s="1"/>
  <c r="N614" i="2"/>
  <c r="K614" i="2"/>
  <c r="AE614" i="2" s="1"/>
  <c r="J614" i="2"/>
  <c r="U614" i="2" s="1"/>
  <c r="I614" i="2"/>
  <c r="AL613" i="2"/>
  <c r="AK613" i="2"/>
  <c r="AI613" i="2"/>
  <c r="AH613" i="2"/>
  <c r="AF613" i="2"/>
  <c r="AE613" i="2"/>
  <c r="AC613" i="2"/>
  <c r="AB613" i="2"/>
  <c r="AA613" i="2"/>
  <c r="Z613" i="2"/>
  <c r="X613" i="2"/>
  <c r="W613" i="2"/>
  <c r="V613" i="2"/>
  <c r="U613" i="2"/>
  <c r="S613" i="2"/>
  <c r="R613" i="2"/>
  <c r="Q613" i="2"/>
  <c r="P613" i="2"/>
  <c r="O613" i="2"/>
  <c r="T613" i="2" s="1"/>
  <c r="N613" i="2"/>
  <c r="K613" i="2"/>
  <c r="J613" i="2"/>
  <c r="I613" i="2"/>
  <c r="AL612" i="2"/>
  <c r="AK612" i="2"/>
  <c r="AI612" i="2"/>
  <c r="AH612" i="2"/>
  <c r="AF612" i="2"/>
  <c r="AC612" i="2"/>
  <c r="AB612" i="2"/>
  <c r="AA612" i="2"/>
  <c r="Z612" i="2"/>
  <c r="Y612" i="2"/>
  <c r="X612" i="2"/>
  <c r="W612" i="2"/>
  <c r="T612" i="2"/>
  <c r="S612" i="2"/>
  <c r="Q612" i="2"/>
  <c r="P612" i="2"/>
  <c r="O612" i="2"/>
  <c r="N612" i="2"/>
  <c r="K612" i="2"/>
  <c r="J612" i="2"/>
  <c r="AJ612" i="2" s="1"/>
  <c r="I612" i="2"/>
  <c r="AL611" i="2"/>
  <c r="AK611" i="2"/>
  <c r="AI611" i="2"/>
  <c r="AH611" i="2"/>
  <c r="AF611" i="2"/>
  <c r="AE611" i="2"/>
  <c r="AC611" i="2"/>
  <c r="AB611" i="2"/>
  <c r="AA611" i="2"/>
  <c r="Y611" i="2"/>
  <c r="W611" i="2"/>
  <c r="S611" i="2"/>
  <c r="R611" i="2"/>
  <c r="P611" i="2"/>
  <c r="X611" i="2" s="1"/>
  <c r="O611" i="2"/>
  <c r="T611" i="2" s="1"/>
  <c r="N611" i="2"/>
  <c r="K611" i="2"/>
  <c r="J611" i="2"/>
  <c r="AJ611" i="2" s="1"/>
  <c r="I611" i="2"/>
  <c r="AL610" i="2"/>
  <c r="AI610" i="2"/>
  <c r="AH610" i="2"/>
  <c r="AG610" i="2"/>
  <c r="AF610" i="2"/>
  <c r="AC610" i="2"/>
  <c r="AB610" i="2"/>
  <c r="AA610" i="2"/>
  <c r="X610" i="2"/>
  <c r="W610" i="2"/>
  <c r="U610" i="2"/>
  <c r="S610" i="2"/>
  <c r="P610" i="2"/>
  <c r="O610" i="2"/>
  <c r="T610" i="2" s="1"/>
  <c r="N610" i="2"/>
  <c r="K610" i="2"/>
  <c r="AK610" i="2" s="1"/>
  <c r="J610" i="2"/>
  <c r="I610" i="2"/>
  <c r="AL609" i="2"/>
  <c r="AI609" i="2"/>
  <c r="AH609" i="2"/>
  <c r="AF609" i="2"/>
  <c r="AC609" i="2"/>
  <c r="AB609" i="2"/>
  <c r="AA609" i="2"/>
  <c r="X609" i="2"/>
  <c r="W609" i="2"/>
  <c r="S609" i="2"/>
  <c r="R609" i="2"/>
  <c r="Q609" i="2"/>
  <c r="P609" i="2"/>
  <c r="O609" i="2"/>
  <c r="T609" i="2" s="1"/>
  <c r="N609" i="2"/>
  <c r="K609" i="2"/>
  <c r="J609" i="2"/>
  <c r="I609" i="2"/>
  <c r="AL608" i="2"/>
  <c r="AI608" i="2"/>
  <c r="AH608" i="2"/>
  <c r="AF608" i="2"/>
  <c r="AC608" i="2"/>
  <c r="AB608" i="2"/>
  <c r="AA608" i="2"/>
  <c r="Y608" i="2"/>
  <c r="X608" i="2"/>
  <c r="W608" i="2"/>
  <c r="S608" i="2"/>
  <c r="P608" i="2"/>
  <c r="O608" i="2"/>
  <c r="T608" i="2" s="1"/>
  <c r="N608" i="2"/>
  <c r="K608" i="2"/>
  <c r="J608" i="2"/>
  <c r="I608" i="2"/>
  <c r="AL607" i="2"/>
  <c r="AI607" i="2"/>
  <c r="AH607" i="2"/>
  <c r="AF607" i="2"/>
  <c r="AC607" i="2"/>
  <c r="AB607" i="2"/>
  <c r="AA607" i="2"/>
  <c r="W607" i="2"/>
  <c r="S607" i="2"/>
  <c r="P607" i="2"/>
  <c r="X607" i="2" s="1"/>
  <c r="O607" i="2"/>
  <c r="T607" i="2" s="1"/>
  <c r="N607" i="2"/>
  <c r="K607" i="2"/>
  <c r="J607" i="2"/>
  <c r="I607" i="2"/>
  <c r="AL606" i="2"/>
  <c r="AK606" i="2"/>
  <c r="AI606" i="2"/>
  <c r="AH606" i="2"/>
  <c r="AF606" i="2"/>
  <c r="AC606" i="2"/>
  <c r="AB606" i="2"/>
  <c r="AA606" i="2"/>
  <c r="W606" i="2"/>
  <c r="V606" i="2"/>
  <c r="S606" i="2"/>
  <c r="R606" i="2"/>
  <c r="P606" i="2"/>
  <c r="X606" i="2" s="1"/>
  <c r="O606" i="2"/>
  <c r="T606" i="2" s="1"/>
  <c r="N606" i="2"/>
  <c r="K606" i="2"/>
  <c r="J606" i="2"/>
  <c r="I606" i="2"/>
  <c r="AL605" i="2"/>
  <c r="AI605" i="2"/>
  <c r="AH605" i="2"/>
  <c r="AF605" i="2"/>
  <c r="AE605" i="2"/>
  <c r="AC605" i="2"/>
  <c r="AB605" i="2"/>
  <c r="AA605" i="2"/>
  <c r="W605" i="2"/>
  <c r="S605" i="2"/>
  <c r="P605" i="2"/>
  <c r="X605" i="2" s="1"/>
  <c r="O605" i="2"/>
  <c r="T605" i="2" s="1"/>
  <c r="N605" i="2"/>
  <c r="K605" i="2"/>
  <c r="Z605" i="2" s="1"/>
  <c r="J605" i="2"/>
  <c r="I605" i="2"/>
  <c r="AL604" i="2"/>
  <c r="AK604" i="2"/>
  <c r="AJ604" i="2"/>
  <c r="AI604" i="2"/>
  <c r="AH604" i="2"/>
  <c r="AF604" i="2"/>
  <c r="AD604" i="2"/>
  <c r="AC604" i="2"/>
  <c r="AB604" i="2"/>
  <c r="AA604" i="2"/>
  <c r="Y604" i="2"/>
  <c r="W604" i="2"/>
  <c r="U604" i="2"/>
  <c r="S604" i="2"/>
  <c r="Q604" i="2"/>
  <c r="P604" i="2"/>
  <c r="X604" i="2" s="1"/>
  <c r="O604" i="2"/>
  <c r="T604" i="2" s="1"/>
  <c r="N604" i="2"/>
  <c r="K604" i="2"/>
  <c r="R604" i="2" s="1"/>
  <c r="J604" i="2"/>
  <c r="AG604" i="2" s="1"/>
  <c r="I604" i="2"/>
  <c r="AL603" i="2"/>
  <c r="AI603" i="2"/>
  <c r="AH603" i="2"/>
  <c r="AF603" i="2"/>
  <c r="AC603" i="2"/>
  <c r="AB603" i="2"/>
  <c r="AA603" i="2"/>
  <c r="W603" i="2"/>
  <c r="U603" i="2"/>
  <c r="S603" i="2"/>
  <c r="R603" i="2"/>
  <c r="P603" i="2"/>
  <c r="X603" i="2" s="1"/>
  <c r="O603" i="2"/>
  <c r="T603" i="2" s="1"/>
  <c r="N603" i="2"/>
  <c r="K603" i="2"/>
  <c r="Z603" i="2" s="1"/>
  <c r="J603" i="2"/>
  <c r="I603" i="2"/>
  <c r="AL602" i="2"/>
  <c r="AK602" i="2"/>
  <c r="AJ602" i="2"/>
  <c r="AI602" i="2"/>
  <c r="AH602" i="2"/>
  <c r="AF602" i="2"/>
  <c r="AC602" i="2"/>
  <c r="AB602" i="2"/>
  <c r="AA602" i="2"/>
  <c r="W602" i="2"/>
  <c r="U602" i="2"/>
  <c r="S602" i="2"/>
  <c r="P602" i="2"/>
  <c r="X602" i="2" s="1"/>
  <c r="O602" i="2"/>
  <c r="T602" i="2" s="1"/>
  <c r="N602" i="2"/>
  <c r="K602" i="2"/>
  <c r="J602" i="2"/>
  <c r="AG602" i="2" s="1"/>
  <c r="I602" i="2"/>
  <c r="AL601" i="2"/>
  <c r="AJ601" i="2"/>
  <c r="AI601" i="2"/>
  <c r="AH601" i="2"/>
  <c r="AG601" i="2"/>
  <c r="AF601" i="2"/>
  <c r="AD601" i="2"/>
  <c r="AC601" i="2"/>
  <c r="AB601" i="2"/>
  <c r="AA601" i="2"/>
  <c r="W601" i="2"/>
  <c r="V601" i="2"/>
  <c r="U601" i="2"/>
  <c r="S601" i="2"/>
  <c r="R601" i="2"/>
  <c r="Q601" i="2"/>
  <c r="P601" i="2"/>
  <c r="X601" i="2" s="1"/>
  <c r="O601" i="2"/>
  <c r="T601" i="2" s="1"/>
  <c r="N601" i="2"/>
  <c r="K601" i="2"/>
  <c r="J601" i="2"/>
  <c r="Y601" i="2" s="1"/>
  <c r="I601" i="2"/>
  <c r="AL600" i="2"/>
  <c r="AI600" i="2"/>
  <c r="AH600" i="2"/>
  <c r="AF600" i="2"/>
  <c r="AD600" i="2"/>
  <c r="AC600" i="2"/>
  <c r="AB600" i="2"/>
  <c r="AA600" i="2"/>
  <c r="W600" i="2"/>
  <c r="V600" i="2"/>
  <c r="U600" i="2"/>
  <c r="S600" i="2"/>
  <c r="R600" i="2"/>
  <c r="P600" i="2"/>
  <c r="X600" i="2" s="1"/>
  <c r="O600" i="2"/>
  <c r="T600" i="2" s="1"/>
  <c r="N600" i="2"/>
  <c r="K600" i="2"/>
  <c r="J600" i="2"/>
  <c r="I600" i="2"/>
  <c r="AL599" i="2"/>
  <c r="AI599" i="2"/>
  <c r="AH599" i="2"/>
  <c r="AF599" i="2"/>
  <c r="AE599" i="2"/>
  <c r="AD599" i="2"/>
  <c r="AC599" i="2"/>
  <c r="AB599" i="2"/>
  <c r="AA599" i="2"/>
  <c r="Z599" i="2"/>
  <c r="W599" i="2"/>
  <c r="V599" i="2"/>
  <c r="S599" i="2"/>
  <c r="R599" i="2"/>
  <c r="P599" i="2"/>
  <c r="X599" i="2" s="1"/>
  <c r="O599" i="2"/>
  <c r="T599" i="2" s="1"/>
  <c r="N599" i="2"/>
  <c r="K599" i="2"/>
  <c r="AK599" i="2" s="1"/>
  <c r="J599" i="2"/>
  <c r="I599" i="2"/>
  <c r="AL598" i="2"/>
  <c r="AJ598" i="2"/>
  <c r="AI598" i="2"/>
  <c r="AH598" i="2"/>
  <c r="AG598" i="2"/>
  <c r="AF598" i="2"/>
  <c r="AD598" i="2"/>
  <c r="AC598" i="2"/>
  <c r="AB598" i="2"/>
  <c r="AA598" i="2"/>
  <c r="W598" i="2"/>
  <c r="U598" i="2"/>
  <c r="S598" i="2"/>
  <c r="Q598" i="2"/>
  <c r="P598" i="2"/>
  <c r="X598" i="2" s="1"/>
  <c r="O598" i="2"/>
  <c r="T598" i="2" s="1"/>
  <c r="N598" i="2"/>
  <c r="K598" i="2"/>
  <c r="J598" i="2"/>
  <c r="Y598" i="2" s="1"/>
  <c r="I598" i="2"/>
  <c r="AL597" i="2"/>
  <c r="AI597" i="2"/>
  <c r="AH597" i="2"/>
  <c r="AF597" i="2"/>
  <c r="AC597" i="2"/>
  <c r="AB597" i="2"/>
  <c r="AA597" i="2"/>
  <c r="W597" i="2"/>
  <c r="S597" i="2"/>
  <c r="P597" i="2"/>
  <c r="X597" i="2" s="1"/>
  <c r="O597" i="2"/>
  <c r="T597" i="2" s="1"/>
  <c r="N597" i="2"/>
  <c r="K597" i="2"/>
  <c r="J597" i="2"/>
  <c r="I597" i="2"/>
  <c r="AL596" i="2"/>
  <c r="AI596" i="2"/>
  <c r="AH596" i="2"/>
  <c r="AF596" i="2"/>
  <c r="AC596" i="2"/>
  <c r="AB596" i="2"/>
  <c r="AA596" i="2"/>
  <c r="W596" i="2"/>
  <c r="S596" i="2"/>
  <c r="P596" i="2"/>
  <c r="X596" i="2" s="1"/>
  <c r="O596" i="2"/>
  <c r="T596" i="2" s="1"/>
  <c r="N596" i="2"/>
  <c r="K596" i="2"/>
  <c r="Z596" i="2" s="1"/>
  <c r="J596" i="2"/>
  <c r="I596" i="2"/>
  <c r="AL595" i="2"/>
  <c r="AI595" i="2"/>
  <c r="AH595" i="2"/>
  <c r="AF595" i="2"/>
  <c r="AC595" i="2"/>
  <c r="AB595" i="2"/>
  <c r="AA595" i="2"/>
  <c r="X595" i="2"/>
  <c r="W595" i="2"/>
  <c r="S595" i="2"/>
  <c r="P595" i="2"/>
  <c r="O595" i="2"/>
  <c r="T595" i="2" s="1"/>
  <c r="N595" i="2"/>
  <c r="K595" i="2"/>
  <c r="R595" i="2" s="1"/>
  <c r="J595" i="2"/>
  <c r="U595" i="2" s="1"/>
  <c r="I595" i="2"/>
  <c r="AL594" i="2"/>
  <c r="AI594" i="2"/>
  <c r="AH594" i="2"/>
  <c r="AF594" i="2"/>
  <c r="AC594" i="2"/>
  <c r="AB594" i="2"/>
  <c r="AA594" i="2"/>
  <c r="Z594" i="2"/>
  <c r="X594" i="2"/>
  <c r="W594" i="2"/>
  <c r="S594" i="2"/>
  <c r="P594" i="2"/>
  <c r="O594" i="2"/>
  <c r="T594" i="2" s="1"/>
  <c r="N594" i="2"/>
  <c r="K594" i="2"/>
  <c r="J594" i="2"/>
  <c r="I594" i="2"/>
  <c r="AL593" i="2"/>
  <c r="AJ593" i="2"/>
  <c r="AI593" i="2"/>
  <c r="AH593" i="2"/>
  <c r="AF593" i="2"/>
  <c r="AD593" i="2"/>
  <c r="AC593" i="2"/>
  <c r="AB593" i="2"/>
  <c r="AA593" i="2"/>
  <c r="Z593" i="2"/>
  <c r="X593" i="2"/>
  <c r="W593" i="2"/>
  <c r="S593" i="2"/>
  <c r="P593" i="2"/>
  <c r="O593" i="2"/>
  <c r="T593" i="2" s="1"/>
  <c r="N593" i="2"/>
  <c r="K593" i="2"/>
  <c r="AE593" i="2" s="1"/>
  <c r="J593" i="2"/>
  <c r="Q593" i="2" s="1"/>
  <c r="I593" i="2"/>
  <c r="AL592" i="2"/>
  <c r="AI592" i="2"/>
  <c r="AH592" i="2"/>
  <c r="AG592" i="2"/>
  <c r="AF592" i="2"/>
  <c r="AC592" i="2"/>
  <c r="AB592" i="2"/>
  <c r="AA592" i="2"/>
  <c r="Y592" i="2"/>
  <c r="W592" i="2"/>
  <c r="U592" i="2"/>
  <c r="S592" i="2"/>
  <c r="Q592" i="2"/>
  <c r="P592" i="2"/>
  <c r="X592" i="2" s="1"/>
  <c r="O592" i="2"/>
  <c r="T592" i="2" s="1"/>
  <c r="N592" i="2"/>
  <c r="K592" i="2"/>
  <c r="R592" i="2" s="1"/>
  <c r="J592" i="2"/>
  <c r="AJ592" i="2" s="1"/>
  <c r="I592" i="2"/>
  <c r="AL591" i="2"/>
  <c r="AK591" i="2"/>
  <c r="AI591" i="2"/>
  <c r="AH591" i="2"/>
  <c r="AG591" i="2"/>
  <c r="AF591" i="2"/>
  <c r="AC591" i="2"/>
  <c r="AB591" i="2"/>
  <c r="AA591" i="2"/>
  <c r="Z591" i="2"/>
  <c r="Y591" i="2"/>
  <c r="W591" i="2"/>
  <c r="S591" i="2"/>
  <c r="P591" i="2"/>
  <c r="X591" i="2" s="1"/>
  <c r="O591" i="2"/>
  <c r="T591" i="2" s="1"/>
  <c r="N591" i="2"/>
  <c r="K591" i="2"/>
  <c r="AE591" i="2" s="1"/>
  <c r="J591" i="2"/>
  <c r="I591" i="2"/>
  <c r="AL590" i="2"/>
  <c r="AI590" i="2"/>
  <c r="AH590" i="2"/>
  <c r="AG590" i="2"/>
  <c r="AF590" i="2"/>
  <c r="AC590" i="2"/>
  <c r="AB590" i="2"/>
  <c r="AA590" i="2"/>
  <c r="W590" i="2"/>
  <c r="S590" i="2"/>
  <c r="P590" i="2"/>
  <c r="X590" i="2" s="1"/>
  <c r="O590" i="2"/>
  <c r="T590" i="2" s="1"/>
  <c r="N590" i="2"/>
  <c r="K590" i="2"/>
  <c r="J590" i="2"/>
  <c r="I590" i="2"/>
  <c r="AL589" i="2"/>
  <c r="AJ589" i="2"/>
  <c r="AI589" i="2"/>
  <c r="AH589" i="2"/>
  <c r="AG589" i="2"/>
  <c r="AF589" i="2"/>
  <c r="AC589" i="2"/>
  <c r="AB589" i="2"/>
  <c r="AA589" i="2"/>
  <c r="X589" i="2"/>
  <c r="W589" i="2"/>
  <c r="S589" i="2"/>
  <c r="Q589" i="2"/>
  <c r="P589" i="2"/>
  <c r="O589" i="2"/>
  <c r="T589" i="2" s="1"/>
  <c r="N589" i="2"/>
  <c r="K589" i="2"/>
  <c r="J589" i="2"/>
  <c r="Y589" i="2" s="1"/>
  <c r="I589" i="2"/>
  <c r="AL588" i="2"/>
  <c r="AJ588" i="2"/>
  <c r="AI588" i="2"/>
  <c r="AH588" i="2"/>
  <c r="AG588" i="2"/>
  <c r="AF588" i="2"/>
  <c r="AC588" i="2"/>
  <c r="AB588" i="2"/>
  <c r="AA588" i="2"/>
  <c r="X588" i="2"/>
  <c r="W588" i="2"/>
  <c r="V588" i="2"/>
  <c r="U588" i="2"/>
  <c r="S588" i="2"/>
  <c r="Q588" i="2"/>
  <c r="P588" i="2"/>
  <c r="O588" i="2"/>
  <c r="T588" i="2" s="1"/>
  <c r="N588" i="2"/>
  <c r="K588" i="2"/>
  <c r="J588" i="2"/>
  <c r="AD588" i="2" s="1"/>
  <c r="I588" i="2"/>
  <c r="AL587" i="2"/>
  <c r="AJ587" i="2"/>
  <c r="AI587" i="2"/>
  <c r="AH587" i="2"/>
  <c r="AG587" i="2"/>
  <c r="AF587" i="2"/>
  <c r="AC587" i="2"/>
  <c r="AB587" i="2"/>
  <c r="AA587" i="2"/>
  <c r="W587" i="2"/>
  <c r="S587" i="2"/>
  <c r="P587" i="2"/>
  <c r="X587" i="2" s="1"/>
  <c r="O587" i="2"/>
  <c r="T587" i="2" s="1"/>
  <c r="N587" i="2"/>
  <c r="K587" i="2"/>
  <c r="J587" i="2"/>
  <c r="I587" i="2"/>
  <c r="AL586" i="2"/>
  <c r="AK586" i="2"/>
  <c r="AI586" i="2"/>
  <c r="AH586" i="2"/>
  <c r="AG586" i="2"/>
  <c r="AF586" i="2"/>
  <c r="AC586" i="2"/>
  <c r="AB586" i="2"/>
  <c r="AA586" i="2"/>
  <c r="W586" i="2"/>
  <c r="S586" i="2"/>
  <c r="R586" i="2"/>
  <c r="P586" i="2"/>
  <c r="X586" i="2" s="1"/>
  <c r="O586" i="2"/>
  <c r="T586" i="2" s="1"/>
  <c r="N586" i="2"/>
  <c r="K586" i="2"/>
  <c r="V586" i="2" s="1"/>
  <c r="J586" i="2"/>
  <c r="AJ586" i="2" s="1"/>
  <c r="I586" i="2"/>
  <c r="AL585" i="2"/>
  <c r="AI585" i="2"/>
  <c r="AH585" i="2"/>
  <c r="AF585" i="2"/>
  <c r="AC585" i="2"/>
  <c r="AB585" i="2"/>
  <c r="AA585" i="2"/>
  <c r="W585" i="2"/>
  <c r="S585" i="2"/>
  <c r="P585" i="2"/>
  <c r="X585" i="2" s="1"/>
  <c r="O585" i="2"/>
  <c r="T585" i="2" s="1"/>
  <c r="N585" i="2"/>
  <c r="K585" i="2"/>
  <c r="J585" i="2"/>
  <c r="U585" i="2" s="1"/>
  <c r="I585" i="2"/>
  <c r="AL584" i="2"/>
  <c r="AJ584" i="2"/>
  <c r="AI584" i="2"/>
  <c r="AH584" i="2"/>
  <c r="AG584" i="2"/>
  <c r="AF584" i="2"/>
  <c r="AC584" i="2"/>
  <c r="AB584" i="2"/>
  <c r="AA584" i="2"/>
  <c r="Z584" i="2"/>
  <c r="Y584" i="2"/>
  <c r="W584" i="2"/>
  <c r="V584" i="2"/>
  <c r="U584" i="2"/>
  <c r="T584" i="2"/>
  <c r="S584" i="2"/>
  <c r="R584" i="2"/>
  <c r="P584" i="2"/>
  <c r="X584" i="2" s="1"/>
  <c r="O584" i="2"/>
  <c r="N584" i="2"/>
  <c r="K584" i="2"/>
  <c r="AE584" i="2" s="1"/>
  <c r="J584" i="2"/>
  <c r="Q584" i="2" s="1"/>
  <c r="I584" i="2"/>
  <c r="AL583" i="2"/>
  <c r="AI583" i="2"/>
  <c r="AH583" i="2"/>
  <c r="AF583" i="2"/>
  <c r="AC583" i="2"/>
  <c r="AB583" i="2"/>
  <c r="AA583" i="2"/>
  <c r="Z583" i="2"/>
  <c r="X583" i="2"/>
  <c r="W583" i="2"/>
  <c r="S583" i="2"/>
  <c r="P583" i="2"/>
  <c r="O583" i="2"/>
  <c r="T583" i="2" s="1"/>
  <c r="N583" i="2"/>
  <c r="K583" i="2"/>
  <c r="J583" i="2"/>
  <c r="Y583" i="2" s="1"/>
  <c r="I583" i="2"/>
  <c r="AL582" i="2"/>
  <c r="AI582" i="2"/>
  <c r="AH582" i="2"/>
  <c r="AF582" i="2"/>
  <c r="AC582" i="2"/>
  <c r="AB582" i="2"/>
  <c r="AA582" i="2"/>
  <c r="W582" i="2"/>
  <c r="V582" i="2"/>
  <c r="S582" i="2"/>
  <c r="P582" i="2"/>
  <c r="X582" i="2" s="1"/>
  <c r="O582" i="2"/>
  <c r="T582" i="2" s="1"/>
  <c r="N582" i="2"/>
  <c r="K582" i="2"/>
  <c r="Z582" i="2" s="1"/>
  <c r="J582" i="2"/>
  <c r="I582" i="2"/>
  <c r="AL581" i="2"/>
  <c r="AI581" i="2"/>
  <c r="AH581" i="2"/>
  <c r="AF581" i="2"/>
  <c r="AC581" i="2"/>
  <c r="AB581" i="2"/>
  <c r="AA581" i="2"/>
  <c r="W581" i="2"/>
  <c r="S581" i="2"/>
  <c r="P581" i="2"/>
  <c r="X581" i="2" s="1"/>
  <c r="O581" i="2"/>
  <c r="T581" i="2" s="1"/>
  <c r="N581" i="2"/>
  <c r="K581" i="2"/>
  <c r="AK581" i="2" s="1"/>
  <c r="J581" i="2"/>
  <c r="U581" i="2" s="1"/>
  <c r="I581" i="2"/>
  <c r="AL580" i="2"/>
  <c r="AI580" i="2"/>
  <c r="AH580" i="2"/>
  <c r="AG580" i="2"/>
  <c r="AF580" i="2"/>
  <c r="AC580" i="2"/>
  <c r="AB580" i="2"/>
  <c r="AA580" i="2"/>
  <c r="X580" i="2"/>
  <c r="W580" i="2"/>
  <c r="U580" i="2"/>
  <c r="S580" i="2"/>
  <c r="P580" i="2"/>
  <c r="O580" i="2"/>
  <c r="T580" i="2" s="1"/>
  <c r="N580" i="2"/>
  <c r="K580" i="2"/>
  <c r="J580" i="2"/>
  <c r="I580" i="2"/>
  <c r="AL579" i="2"/>
  <c r="AK579" i="2"/>
  <c r="AJ579" i="2"/>
  <c r="AI579" i="2"/>
  <c r="AH579" i="2"/>
  <c r="AF579" i="2"/>
  <c r="AE579" i="2"/>
  <c r="AC579" i="2"/>
  <c r="AB579" i="2"/>
  <c r="AA579" i="2"/>
  <c r="Z579" i="2"/>
  <c r="Y579" i="2"/>
  <c r="W579" i="2"/>
  <c r="V579" i="2"/>
  <c r="S579" i="2"/>
  <c r="P579" i="2"/>
  <c r="X579" i="2" s="1"/>
  <c r="O579" i="2"/>
  <c r="T579" i="2" s="1"/>
  <c r="N579" i="2"/>
  <c r="K579" i="2"/>
  <c r="R579" i="2" s="1"/>
  <c r="J579" i="2"/>
  <c r="I579" i="2"/>
  <c r="AL578" i="2"/>
  <c r="AJ578" i="2"/>
  <c r="AI578" i="2"/>
  <c r="AH578" i="2"/>
  <c r="AG578" i="2"/>
  <c r="AF578" i="2"/>
  <c r="AC578" i="2"/>
  <c r="AB578" i="2"/>
  <c r="AA578" i="2"/>
  <c r="W578" i="2"/>
  <c r="U578" i="2"/>
  <c r="S578" i="2"/>
  <c r="P578" i="2"/>
  <c r="X578" i="2" s="1"/>
  <c r="O578" i="2"/>
  <c r="T578" i="2" s="1"/>
  <c r="N578" i="2"/>
  <c r="K578" i="2"/>
  <c r="J578" i="2"/>
  <c r="Q578" i="2" s="1"/>
  <c r="I578" i="2"/>
  <c r="AL577" i="2"/>
  <c r="AK577" i="2"/>
  <c r="AJ577" i="2"/>
  <c r="AI577" i="2"/>
  <c r="AH577" i="2"/>
  <c r="AG577" i="2"/>
  <c r="AF577" i="2"/>
  <c r="AE577" i="2"/>
  <c r="AD577" i="2"/>
  <c r="AC577" i="2"/>
  <c r="AB577" i="2"/>
  <c r="AA577" i="2"/>
  <c r="Y577" i="2"/>
  <c r="W577" i="2"/>
  <c r="U577" i="2"/>
  <c r="S577" i="2"/>
  <c r="R577" i="2"/>
  <c r="Q577" i="2"/>
  <c r="P577" i="2"/>
  <c r="X577" i="2" s="1"/>
  <c r="O577" i="2"/>
  <c r="T577" i="2" s="1"/>
  <c r="N577" i="2"/>
  <c r="K577" i="2"/>
  <c r="J577" i="2"/>
  <c r="I577" i="2"/>
  <c r="AL576" i="2"/>
  <c r="AK576" i="2"/>
  <c r="AJ576" i="2"/>
  <c r="AI576" i="2"/>
  <c r="AH576" i="2"/>
  <c r="AG576" i="2"/>
  <c r="AF576" i="2"/>
  <c r="AC576" i="2"/>
  <c r="AB576" i="2"/>
  <c r="AA576" i="2"/>
  <c r="W576" i="2"/>
  <c r="U576" i="2"/>
  <c r="S576" i="2"/>
  <c r="R576" i="2"/>
  <c r="Q576" i="2"/>
  <c r="P576" i="2"/>
  <c r="X576" i="2" s="1"/>
  <c r="O576" i="2"/>
  <c r="T576" i="2" s="1"/>
  <c r="N576" i="2"/>
  <c r="K576" i="2"/>
  <c r="J576" i="2"/>
  <c r="I576" i="2"/>
  <c r="AL575" i="2"/>
  <c r="AJ575" i="2"/>
  <c r="AI575" i="2"/>
  <c r="AH575" i="2"/>
  <c r="AG575" i="2"/>
  <c r="AF575" i="2"/>
  <c r="AE575" i="2"/>
  <c r="AD575" i="2"/>
  <c r="AC575" i="2"/>
  <c r="AB575" i="2"/>
  <c r="AA575" i="2"/>
  <c r="Z575" i="2"/>
  <c r="W575" i="2"/>
  <c r="S575" i="2"/>
  <c r="R575" i="2"/>
  <c r="P575" i="2"/>
  <c r="X575" i="2" s="1"/>
  <c r="O575" i="2"/>
  <c r="T575" i="2" s="1"/>
  <c r="N575" i="2"/>
  <c r="K575" i="2"/>
  <c r="V575" i="2" s="1"/>
  <c r="J575" i="2"/>
  <c r="I575" i="2"/>
  <c r="AL574" i="2"/>
  <c r="AK574" i="2"/>
  <c r="AJ574" i="2"/>
  <c r="AI574" i="2"/>
  <c r="AH574" i="2"/>
  <c r="AG574" i="2"/>
  <c r="AF574" i="2"/>
  <c r="AD574" i="2"/>
  <c r="AC574" i="2"/>
  <c r="AB574" i="2"/>
  <c r="AA574" i="2"/>
  <c r="Z574" i="2"/>
  <c r="Y574" i="2"/>
  <c r="W574" i="2"/>
  <c r="S574" i="2"/>
  <c r="R574" i="2"/>
  <c r="Q574" i="2"/>
  <c r="P574" i="2"/>
  <c r="X574" i="2" s="1"/>
  <c r="O574" i="2"/>
  <c r="T574" i="2" s="1"/>
  <c r="N574" i="2"/>
  <c r="K574" i="2"/>
  <c r="J574" i="2"/>
  <c r="U574" i="2" s="1"/>
  <c r="I574" i="2"/>
  <c r="AL573" i="2"/>
  <c r="AI573" i="2"/>
  <c r="AH573" i="2"/>
  <c r="AG573" i="2"/>
  <c r="AF573" i="2"/>
  <c r="AD573" i="2"/>
  <c r="AC573" i="2"/>
  <c r="AB573" i="2"/>
  <c r="AA573" i="2"/>
  <c r="Z573" i="2"/>
  <c r="X573" i="2"/>
  <c r="W573" i="2"/>
  <c r="V573" i="2"/>
  <c r="U573" i="2"/>
  <c r="S573" i="2"/>
  <c r="Q573" i="2"/>
  <c r="P573" i="2"/>
  <c r="O573" i="2"/>
  <c r="T573" i="2" s="1"/>
  <c r="N573" i="2"/>
  <c r="K573" i="2"/>
  <c r="J573" i="2"/>
  <c r="AJ573" i="2" s="1"/>
  <c r="I573" i="2"/>
  <c r="AL572" i="2"/>
  <c r="AI572" i="2"/>
  <c r="AH572" i="2"/>
  <c r="AF572" i="2"/>
  <c r="AD572" i="2"/>
  <c r="AC572" i="2"/>
  <c r="AB572" i="2"/>
  <c r="AA572" i="2"/>
  <c r="Z572" i="2"/>
  <c r="W572" i="2"/>
  <c r="T572" i="2"/>
  <c r="S572" i="2"/>
  <c r="R572" i="2"/>
  <c r="P572" i="2"/>
  <c r="X572" i="2" s="1"/>
  <c r="O572" i="2"/>
  <c r="N572" i="2"/>
  <c r="K572" i="2"/>
  <c r="AE572" i="2" s="1"/>
  <c r="J572" i="2"/>
  <c r="Y572" i="2" s="1"/>
  <c r="I572" i="2"/>
  <c r="AL571" i="2"/>
  <c r="AJ571" i="2"/>
  <c r="AI571" i="2"/>
  <c r="AH571" i="2"/>
  <c r="AG571" i="2"/>
  <c r="AF571" i="2"/>
  <c r="AC571" i="2"/>
  <c r="AB571" i="2"/>
  <c r="AA571" i="2"/>
  <c r="W571" i="2"/>
  <c r="U571" i="2"/>
  <c r="S571" i="2"/>
  <c r="P571" i="2"/>
  <c r="X571" i="2" s="1"/>
  <c r="O571" i="2"/>
  <c r="T571" i="2" s="1"/>
  <c r="N571" i="2"/>
  <c r="K571" i="2"/>
  <c r="AE571" i="2" s="1"/>
  <c r="J571" i="2"/>
  <c r="I571" i="2"/>
  <c r="AL570" i="2"/>
  <c r="AI570" i="2"/>
  <c r="AH570" i="2"/>
  <c r="AG570" i="2"/>
  <c r="AF570" i="2"/>
  <c r="AC570" i="2"/>
  <c r="AB570" i="2"/>
  <c r="AA570" i="2"/>
  <c r="W570" i="2"/>
  <c r="S570" i="2"/>
  <c r="P570" i="2"/>
  <c r="X570" i="2" s="1"/>
  <c r="O570" i="2"/>
  <c r="T570" i="2" s="1"/>
  <c r="N570" i="2"/>
  <c r="K570" i="2"/>
  <c r="J570" i="2"/>
  <c r="Q570" i="2" s="1"/>
  <c r="I570" i="2"/>
  <c r="AL569" i="2"/>
  <c r="AJ569" i="2"/>
  <c r="AI569" i="2"/>
  <c r="AH569" i="2"/>
  <c r="AF569" i="2"/>
  <c r="AD569" i="2"/>
  <c r="AC569" i="2"/>
  <c r="AB569" i="2"/>
  <c r="AA569" i="2"/>
  <c r="W569" i="2"/>
  <c r="V569" i="2"/>
  <c r="U569" i="2"/>
  <c r="S569" i="2"/>
  <c r="R569" i="2"/>
  <c r="P569" i="2"/>
  <c r="X569" i="2" s="1"/>
  <c r="O569" i="2"/>
  <c r="T569" i="2" s="1"/>
  <c r="N569" i="2"/>
  <c r="K569" i="2"/>
  <c r="Z569" i="2" s="1"/>
  <c r="J569" i="2"/>
  <c r="Y569" i="2" s="1"/>
  <c r="I569" i="2"/>
  <c r="AL568" i="2"/>
  <c r="AK568" i="2"/>
  <c r="AI568" i="2"/>
  <c r="AH568" i="2"/>
  <c r="AF568" i="2"/>
  <c r="AD568" i="2"/>
  <c r="AC568" i="2"/>
  <c r="AB568" i="2"/>
  <c r="AA568" i="2"/>
  <c r="W568" i="2"/>
  <c r="U568" i="2"/>
  <c r="T568" i="2"/>
  <c r="S568" i="2"/>
  <c r="Q568" i="2"/>
  <c r="P568" i="2"/>
  <c r="X568" i="2" s="1"/>
  <c r="O568" i="2"/>
  <c r="N568" i="2"/>
  <c r="K568" i="2"/>
  <c r="J568" i="2"/>
  <c r="I568" i="2"/>
  <c r="AL567" i="2"/>
  <c r="AJ567" i="2"/>
  <c r="AI567" i="2"/>
  <c r="AH567" i="2"/>
  <c r="AF567" i="2"/>
  <c r="AC567" i="2"/>
  <c r="AB567" i="2"/>
  <c r="AA567" i="2"/>
  <c r="Z567" i="2"/>
  <c r="W567" i="2"/>
  <c r="V567" i="2"/>
  <c r="U567" i="2"/>
  <c r="S567" i="2"/>
  <c r="R567" i="2"/>
  <c r="Q567" i="2"/>
  <c r="P567" i="2"/>
  <c r="X567" i="2" s="1"/>
  <c r="O567" i="2"/>
  <c r="T567" i="2" s="1"/>
  <c r="N567" i="2"/>
  <c r="K567" i="2"/>
  <c r="AK567" i="2" s="1"/>
  <c r="J567" i="2"/>
  <c r="AD567" i="2" s="1"/>
  <c r="I567" i="2"/>
  <c r="AL566" i="2"/>
  <c r="AI566" i="2"/>
  <c r="AH566" i="2"/>
  <c r="AF566" i="2"/>
  <c r="AC566" i="2"/>
  <c r="AB566" i="2"/>
  <c r="AA566" i="2"/>
  <c r="W566" i="2"/>
  <c r="S566" i="2"/>
  <c r="R566" i="2"/>
  <c r="P566" i="2"/>
  <c r="X566" i="2" s="1"/>
  <c r="O566" i="2"/>
  <c r="T566" i="2" s="1"/>
  <c r="N566" i="2"/>
  <c r="K566" i="2"/>
  <c r="J566" i="2"/>
  <c r="Y566" i="2" s="1"/>
  <c r="I566" i="2"/>
  <c r="AL565" i="2"/>
  <c r="AI565" i="2"/>
  <c r="AH565" i="2"/>
  <c r="AG565" i="2"/>
  <c r="AF565" i="2"/>
  <c r="AC565" i="2"/>
  <c r="AB565" i="2"/>
  <c r="AA565" i="2"/>
  <c r="W565" i="2"/>
  <c r="S565" i="2"/>
  <c r="P565" i="2"/>
  <c r="X565" i="2" s="1"/>
  <c r="O565" i="2"/>
  <c r="T565" i="2" s="1"/>
  <c r="N565" i="2"/>
  <c r="K565" i="2"/>
  <c r="R565" i="2" s="1"/>
  <c r="J565" i="2"/>
  <c r="I565" i="2"/>
  <c r="AL564" i="2"/>
  <c r="AI564" i="2"/>
  <c r="AH564" i="2"/>
  <c r="AF564" i="2"/>
  <c r="AC564" i="2"/>
  <c r="AB564" i="2"/>
  <c r="AA564" i="2"/>
  <c r="X564" i="2"/>
  <c r="W564" i="2"/>
  <c r="S564" i="2"/>
  <c r="P564" i="2"/>
  <c r="O564" i="2"/>
  <c r="T564" i="2" s="1"/>
  <c r="N564" i="2"/>
  <c r="K564" i="2"/>
  <c r="J564" i="2"/>
  <c r="I564" i="2"/>
  <c r="AL563" i="2"/>
  <c r="AI563" i="2"/>
  <c r="AH563" i="2"/>
  <c r="AF563" i="2"/>
  <c r="AE563" i="2"/>
  <c r="AC563" i="2"/>
  <c r="AB563" i="2"/>
  <c r="AA563" i="2"/>
  <c r="W563" i="2"/>
  <c r="S563" i="2"/>
  <c r="P563" i="2"/>
  <c r="X563" i="2" s="1"/>
  <c r="O563" i="2"/>
  <c r="T563" i="2" s="1"/>
  <c r="N563" i="2"/>
  <c r="K563" i="2"/>
  <c r="Z563" i="2" s="1"/>
  <c r="J563" i="2"/>
  <c r="I563" i="2"/>
  <c r="AL562" i="2"/>
  <c r="AI562" i="2"/>
  <c r="AH562" i="2"/>
  <c r="AG562" i="2"/>
  <c r="AF562" i="2"/>
  <c r="AC562" i="2"/>
  <c r="AB562" i="2"/>
  <c r="AA562" i="2"/>
  <c r="W562" i="2"/>
  <c r="S562" i="2"/>
  <c r="P562" i="2"/>
  <c r="X562" i="2" s="1"/>
  <c r="O562" i="2"/>
  <c r="T562" i="2" s="1"/>
  <c r="N562" i="2"/>
  <c r="K562" i="2"/>
  <c r="J562" i="2"/>
  <c r="Y562" i="2" s="1"/>
  <c r="I562" i="2"/>
  <c r="AL561" i="2"/>
  <c r="AI561" i="2"/>
  <c r="AH561" i="2"/>
  <c r="AF561" i="2"/>
  <c r="AC561" i="2"/>
  <c r="AB561" i="2"/>
  <c r="AA561" i="2"/>
  <c r="X561" i="2"/>
  <c r="W561" i="2"/>
  <c r="S561" i="2"/>
  <c r="P561" i="2"/>
  <c r="O561" i="2"/>
  <c r="T561" i="2" s="1"/>
  <c r="N561" i="2"/>
  <c r="K561" i="2"/>
  <c r="J561" i="2"/>
  <c r="I561" i="2"/>
  <c r="AL560" i="2"/>
  <c r="AI560" i="2"/>
  <c r="AH560" i="2"/>
  <c r="AF560" i="2"/>
  <c r="AD560" i="2"/>
  <c r="AC560" i="2"/>
  <c r="AB560" i="2"/>
  <c r="AA560" i="2"/>
  <c r="W560" i="2"/>
  <c r="S560" i="2"/>
  <c r="P560" i="2"/>
  <c r="X560" i="2" s="1"/>
  <c r="O560" i="2"/>
  <c r="T560" i="2" s="1"/>
  <c r="N560" i="2"/>
  <c r="K560" i="2"/>
  <c r="J560" i="2"/>
  <c r="I560" i="2"/>
  <c r="AL559" i="2"/>
  <c r="AI559" i="2"/>
  <c r="AH559" i="2"/>
  <c r="AF559" i="2"/>
  <c r="AC559" i="2"/>
  <c r="AB559" i="2"/>
  <c r="AA559" i="2"/>
  <c r="Y559" i="2"/>
  <c r="X559" i="2"/>
  <c r="W559" i="2"/>
  <c r="U559" i="2"/>
  <c r="S559" i="2"/>
  <c r="P559" i="2"/>
  <c r="O559" i="2"/>
  <c r="T559" i="2" s="1"/>
  <c r="N559" i="2"/>
  <c r="K559" i="2"/>
  <c r="AK559" i="2" s="1"/>
  <c r="J559" i="2"/>
  <c r="AD559" i="2" s="1"/>
  <c r="I559" i="2"/>
  <c r="AL558" i="2"/>
  <c r="AK558" i="2"/>
  <c r="AI558" i="2"/>
  <c r="AH558" i="2"/>
  <c r="AF558" i="2"/>
  <c r="AC558" i="2"/>
  <c r="AB558" i="2"/>
  <c r="AA558" i="2"/>
  <c r="W558" i="2"/>
  <c r="S558" i="2"/>
  <c r="P558" i="2"/>
  <c r="X558" i="2" s="1"/>
  <c r="O558" i="2"/>
  <c r="T558" i="2" s="1"/>
  <c r="N558" i="2"/>
  <c r="K558" i="2"/>
  <c r="J558" i="2"/>
  <c r="AJ558" i="2" s="1"/>
  <c r="I558" i="2"/>
  <c r="AL557" i="2"/>
  <c r="AI557" i="2"/>
  <c r="AH557" i="2"/>
  <c r="AF557" i="2"/>
  <c r="AC557" i="2"/>
  <c r="AB557" i="2"/>
  <c r="AA557" i="2"/>
  <c r="W557" i="2"/>
  <c r="S557" i="2"/>
  <c r="P557" i="2"/>
  <c r="X557" i="2" s="1"/>
  <c r="O557" i="2"/>
  <c r="T557" i="2" s="1"/>
  <c r="N557" i="2"/>
  <c r="K557" i="2"/>
  <c r="J557" i="2"/>
  <c r="I557" i="2"/>
  <c r="AL556" i="2"/>
  <c r="AI556" i="2"/>
  <c r="AH556" i="2"/>
  <c r="AF556" i="2"/>
  <c r="AD556" i="2"/>
  <c r="AC556" i="2"/>
  <c r="AB556" i="2"/>
  <c r="AA556" i="2"/>
  <c r="Y556" i="2"/>
  <c r="W556" i="2"/>
  <c r="S556" i="2"/>
  <c r="P556" i="2"/>
  <c r="X556" i="2" s="1"/>
  <c r="O556" i="2"/>
  <c r="T556" i="2" s="1"/>
  <c r="N556" i="2"/>
  <c r="K556" i="2"/>
  <c r="R556" i="2" s="1"/>
  <c r="J556" i="2"/>
  <c r="AG556" i="2" s="1"/>
  <c r="I556" i="2"/>
  <c r="AL555" i="2"/>
  <c r="AK555" i="2"/>
  <c r="AI555" i="2"/>
  <c r="AH555" i="2"/>
  <c r="AF555" i="2"/>
  <c r="AC555" i="2"/>
  <c r="AB555" i="2"/>
  <c r="AA555" i="2"/>
  <c r="W555" i="2"/>
  <c r="S555" i="2"/>
  <c r="P555" i="2"/>
  <c r="X555" i="2" s="1"/>
  <c r="O555" i="2"/>
  <c r="T555" i="2" s="1"/>
  <c r="N555" i="2"/>
  <c r="K555" i="2"/>
  <c r="J555" i="2"/>
  <c r="I555" i="2"/>
  <c r="AL554" i="2"/>
  <c r="AI554" i="2"/>
  <c r="AH554" i="2"/>
  <c r="AG554" i="2"/>
  <c r="AF554" i="2"/>
  <c r="AD554" i="2"/>
  <c r="AC554" i="2"/>
  <c r="AB554" i="2"/>
  <c r="AA554" i="2"/>
  <c r="Z554" i="2"/>
  <c r="Y554" i="2"/>
  <c r="W554" i="2"/>
  <c r="S554" i="2"/>
  <c r="P554" i="2"/>
  <c r="X554" i="2" s="1"/>
  <c r="O554" i="2"/>
  <c r="T554" i="2" s="1"/>
  <c r="N554" i="2"/>
  <c r="K554" i="2"/>
  <c r="J554" i="2"/>
  <c r="U554" i="2" s="1"/>
  <c r="I554" i="2"/>
  <c r="AL553" i="2"/>
  <c r="AJ553" i="2"/>
  <c r="AI553" i="2"/>
  <c r="AH553" i="2"/>
  <c r="AF553" i="2"/>
  <c r="AD553" i="2"/>
  <c r="AC553" i="2"/>
  <c r="AB553" i="2"/>
  <c r="AA553" i="2"/>
  <c r="Y553" i="2"/>
  <c r="W553" i="2"/>
  <c r="S553" i="2"/>
  <c r="Q553" i="2"/>
  <c r="P553" i="2"/>
  <c r="X553" i="2" s="1"/>
  <c r="O553" i="2"/>
  <c r="T553" i="2" s="1"/>
  <c r="N553" i="2"/>
  <c r="K553" i="2"/>
  <c r="AK553" i="2" s="1"/>
  <c r="J553" i="2"/>
  <c r="I553" i="2"/>
  <c r="AL552" i="2"/>
  <c r="AI552" i="2"/>
  <c r="AH552" i="2"/>
  <c r="AF552" i="2"/>
  <c r="AC552" i="2"/>
  <c r="AB552" i="2"/>
  <c r="AA552" i="2"/>
  <c r="W552" i="2"/>
  <c r="S552" i="2"/>
  <c r="Q552" i="2"/>
  <c r="P552" i="2"/>
  <c r="X552" i="2" s="1"/>
  <c r="O552" i="2"/>
  <c r="T552" i="2" s="1"/>
  <c r="N552" i="2"/>
  <c r="K552" i="2"/>
  <c r="J552" i="2"/>
  <c r="I552" i="2"/>
  <c r="AL551" i="2"/>
  <c r="AI551" i="2"/>
  <c r="AH551" i="2"/>
  <c r="AG551" i="2"/>
  <c r="AF551" i="2"/>
  <c r="AC551" i="2"/>
  <c r="AB551" i="2"/>
  <c r="AA551" i="2"/>
  <c r="Y551" i="2"/>
  <c r="W551" i="2"/>
  <c r="U551" i="2"/>
  <c r="S551" i="2"/>
  <c r="P551" i="2"/>
  <c r="X551" i="2" s="1"/>
  <c r="O551" i="2"/>
  <c r="T551" i="2" s="1"/>
  <c r="N551" i="2"/>
  <c r="K551" i="2"/>
  <c r="J551" i="2"/>
  <c r="AJ551" i="2" s="1"/>
  <c r="I551" i="2"/>
  <c r="AL550" i="2"/>
  <c r="AK550" i="2"/>
  <c r="AI550" i="2"/>
  <c r="AH550" i="2"/>
  <c r="AF550" i="2"/>
  <c r="AC550" i="2"/>
  <c r="AB550" i="2"/>
  <c r="AA550" i="2"/>
  <c r="Z550" i="2"/>
  <c r="W550" i="2"/>
  <c r="V550" i="2"/>
  <c r="S550" i="2"/>
  <c r="R550" i="2"/>
  <c r="P550" i="2"/>
  <c r="X550" i="2" s="1"/>
  <c r="O550" i="2"/>
  <c r="T550" i="2" s="1"/>
  <c r="N550" i="2"/>
  <c r="K550" i="2"/>
  <c r="AE550" i="2" s="1"/>
  <c r="J550" i="2"/>
  <c r="I550" i="2"/>
  <c r="AL549" i="2"/>
  <c r="AI549" i="2"/>
  <c r="AH549" i="2"/>
  <c r="AF549" i="2"/>
  <c r="AC549" i="2"/>
  <c r="AB549" i="2"/>
  <c r="AA549" i="2"/>
  <c r="Y549" i="2"/>
  <c r="W549" i="2"/>
  <c r="V549" i="2"/>
  <c r="S549" i="2"/>
  <c r="Q549" i="2"/>
  <c r="P549" i="2"/>
  <c r="X549" i="2" s="1"/>
  <c r="O549" i="2"/>
  <c r="T549" i="2" s="1"/>
  <c r="N549" i="2"/>
  <c r="K549" i="2"/>
  <c r="Z549" i="2" s="1"/>
  <c r="J549" i="2"/>
  <c r="I549" i="2"/>
  <c r="AL548" i="2"/>
  <c r="AI548" i="2"/>
  <c r="AH548" i="2"/>
  <c r="AF548" i="2"/>
  <c r="AD548" i="2"/>
  <c r="AC548" i="2"/>
  <c r="AB548" i="2"/>
  <c r="AA548" i="2"/>
  <c r="W548" i="2"/>
  <c r="U548" i="2"/>
  <c r="S548" i="2"/>
  <c r="P548" i="2"/>
  <c r="X548" i="2" s="1"/>
  <c r="O548" i="2"/>
  <c r="T548" i="2" s="1"/>
  <c r="N548" i="2"/>
  <c r="K548" i="2"/>
  <c r="J548" i="2"/>
  <c r="AJ548" i="2" s="1"/>
  <c r="I548" i="2"/>
  <c r="AL547" i="2"/>
  <c r="AI547" i="2"/>
  <c r="AH547" i="2"/>
  <c r="AF547" i="2"/>
  <c r="AC547" i="2"/>
  <c r="AB547" i="2"/>
  <c r="AA547" i="2"/>
  <c r="X547" i="2"/>
  <c r="W547" i="2"/>
  <c r="T547" i="2"/>
  <c r="S547" i="2"/>
  <c r="P547" i="2"/>
  <c r="O547" i="2"/>
  <c r="N547" i="2"/>
  <c r="K547" i="2"/>
  <c r="J547" i="2"/>
  <c r="I547" i="2"/>
  <c r="AL546" i="2"/>
  <c r="AI546" i="2"/>
  <c r="AH546" i="2"/>
  <c r="AF546" i="2"/>
  <c r="AC546" i="2"/>
  <c r="AB546" i="2"/>
  <c r="AA546" i="2"/>
  <c r="X546" i="2"/>
  <c r="W546" i="2"/>
  <c r="S546" i="2"/>
  <c r="Q546" i="2"/>
  <c r="P546" i="2"/>
  <c r="O546" i="2"/>
  <c r="T546" i="2" s="1"/>
  <c r="N546" i="2"/>
  <c r="K546" i="2"/>
  <c r="AK546" i="2" s="1"/>
  <c r="J546" i="2"/>
  <c r="I546" i="2"/>
  <c r="AL545" i="2"/>
  <c r="AI545" i="2"/>
  <c r="AH545" i="2"/>
  <c r="AF545" i="2"/>
  <c r="AC545" i="2"/>
  <c r="AB545" i="2"/>
  <c r="AA545" i="2"/>
  <c r="X545" i="2"/>
  <c r="W545" i="2"/>
  <c r="T545" i="2"/>
  <c r="S545" i="2"/>
  <c r="P545" i="2"/>
  <c r="O545" i="2"/>
  <c r="N545" i="2"/>
  <c r="K545" i="2"/>
  <c r="J545" i="2"/>
  <c r="I545" i="2"/>
  <c r="AL544" i="2"/>
  <c r="AK544" i="2"/>
  <c r="AI544" i="2"/>
  <c r="AH544" i="2"/>
  <c r="AF544" i="2"/>
  <c r="AC544" i="2"/>
  <c r="AB544" i="2"/>
  <c r="AA544" i="2"/>
  <c r="Y544" i="2"/>
  <c r="X544" i="2"/>
  <c r="W544" i="2"/>
  <c r="S544" i="2"/>
  <c r="P544" i="2"/>
  <c r="O544" i="2"/>
  <c r="T544" i="2" s="1"/>
  <c r="N544" i="2"/>
  <c r="K544" i="2"/>
  <c r="J544" i="2"/>
  <c r="I544" i="2"/>
  <c r="AL543" i="2"/>
  <c r="AI543" i="2"/>
  <c r="AH543" i="2"/>
  <c r="AF543" i="2"/>
  <c r="AE543" i="2"/>
  <c r="AC543" i="2"/>
  <c r="AB543" i="2"/>
  <c r="AA543" i="2"/>
  <c r="W543" i="2"/>
  <c r="V543" i="2"/>
  <c r="T543" i="2"/>
  <c r="S543" i="2"/>
  <c r="P543" i="2"/>
  <c r="X543" i="2" s="1"/>
  <c r="O543" i="2"/>
  <c r="N543" i="2"/>
  <c r="K543" i="2"/>
  <c r="J543" i="2"/>
  <c r="I543" i="2"/>
  <c r="AL542" i="2"/>
  <c r="AK542" i="2"/>
  <c r="AI542" i="2"/>
  <c r="AH542" i="2"/>
  <c r="AF542" i="2"/>
  <c r="AC542" i="2"/>
  <c r="AB542" i="2"/>
  <c r="AA542" i="2"/>
  <c r="W542" i="2"/>
  <c r="V542" i="2"/>
  <c r="S542" i="2"/>
  <c r="P542" i="2"/>
  <c r="X542" i="2" s="1"/>
  <c r="O542" i="2"/>
  <c r="T542" i="2" s="1"/>
  <c r="N542" i="2"/>
  <c r="K542" i="2"/>
  <c r="J542" i="2"/>
  <c r="I542" i="2"/>
  <c r="AL541" i="2"/>
  <c r="AJ541" i="2"/>
  <c r="AI541" i="2"/>
  <c r="AH541" i="2"/>
  <c r="AG541" i="2"/>
  <c r="AF541" i="2"/>
  <c r="AE541" i="2"/>
  <c r="AD541" i="2"/>
  <c r="AC541" i="2"/>
  <c r="AB541" i="2"/>
  <c r="AA541" i="2"/>
  <c r="X541" i="2"/>
  <c r="W541" i="2"/>
  <c r="T541" i="2"/>
  <c r="S541" i="2"/>
  <c r="R541" i="2"/>
  <c r="P541" i="2"/>
  <c r="O541" i="2"/>
  <c r="N541" i="2"/>
  <c r="K541" i="2"/>
  <c r="J541" i="2"/>
  <c r="I541" i="2"/>
  <c r="AL540" i="2"/>
  <c r="AI540" i="2"/>
  <c r="AH540" i="2"/>
  <c r="AG540" i="2"/>
  <c r="AF540" i="2"/>
  <c r="AC540" i="2"/>
  <c r="AB540" i="2"/>
  <c r="AA540" i="2"/>
  <c r="X540" i="2"/>
  <c r="W540" i="2"/>
  <c r="T540" i="2"/>
  <c r="S540" i="2"/>
  <c r="P540" i="2"/>
  <c r="O540" i="2"/>
  <c r="N540" i="2"/>
  <c r="K540" i="2"/>
  <c r="AE540" i="2" s="1"/>
  <c r="J540" i="2"/>
  <c r="U540" i="2" s="1"/>
  <c r="I540" i="2"/>
  <c r="AL539" i="2"/>
  <c r="AI539" i="2"/>
  <c r="AH539" i="2"/>
  <c r="AF539" i="2"/>
  <c r="AD539" i="2"/>
  <c r="AC539" i="2"/>
  <c r="AB539" i="2"/>
  <c r="AA539" i="2"/>
  <c r="Z539" i="2"/>
  <c r="W539" i="2"/>
  <c r="S539" i="2"/>
  <c r="P539" i="2"/>
  <c r="X539" i="2" s="1"/>
  <c r="O539" i="2"/>
  <c r="T539" i="2" s="1"/>
  <c r="N539" i="2"/>
  <c r="K539" i="2"/>
  <c r="J539" i="2"/>
  <c r="I539" i="2"/>
  <c r="AL538" i="2"/>
  <c r="AK538" i="2"/>
  <c r="AJ538" i="2"/>
  <c r="AI538" i="2"/>
  <c r="AH538" i="2"/>
  <c r="AG538" i="2"/>
  <c r="AF538" i="2"/>
  <c r="AE538" i="2"/>
  <c r="AC538" i="2"/>
  <c r="AB538" i="2"/>
  <c r="AA538" i="2"/>
  <c r="W538" i="2"/>
  <c r="V538" i="2"/>
  <c r="S538" i="2"/>
  <c r="R538" i="2"/>
  <c r="Q538" i="2"/>
  <c r="P538" i="2"/>
  <c r="X538" i="2" s="1"/>
  <c r="O538" i="2"/>
  <c r="T538" i="2" s="1"/>
  <c r="N538" i="2"/>
  <c r="K538" i="2"/>
  <c r="Z538" i="2" s="1"/>
  <c r="J538" i="2"/>
  <c r="I538" i="2"/>
  <c r="AL537" i="2"/>
  <c r="AJ537" i="2"/>
  <c r="AI537" i="2"/>
  <c r="AH537" i="2"/>
  <c r="AG537" i="2"/>
  <c r="AF537" i="2"/>
  <c r="AC537" i="2"/>
  <c r="AB537" i="2"/>
  <c r="AA537" i="2"/>
  <c r="Y537" i="2"/>
  <c r="W537" i="2"/>
  <c r="U537" i="2"/>
  <c r="S537" i="2"/>
  <c r="P537" i="2"/>
  <c r="X537" i="2" s="1"/>
  <c r="O537" i="2"/>
  <c r="T537" i="2" s="1"/>
  <c r="N537" i="2"/>
  <c r="K537" i="2"/>
  <c r="J537" i="2"/>
  <c r="AD537" i="2" s="1"/>
  <c r="I537" i="2"/>
  <c r="AL536" i="2"/>
  <c r="AK536" i="2"/>
  <c r="AI536" i="2"/>
  <c r="AH536" i="2"/>
  <c r="AF536" i="2"/>
  <c r="AE536" i="2"/>
  <c r="AC536" i="2"/>
  <c r="AB536" i="2"/>
  <c r="AA536" i="2"/>
  <c r="W536" i="2"/>
  <c r="S536" i="2"/>
  <c r="P536" i="2"/>
  <c r="X536" i="2" s="1"/>
  <c r="O536" i="2"/>
  <c r="T536" i="2" s="1"/>
  <c r="N536" i="2"/>
  <c r="K536" i="2"/>
  <c r="J536" i="2"/>
  <c r="I536" i="2"/>
  <c r="AL535" i="2"/>
  <c r="AI535" i="2"/>
  <c r="AH535" i="2"/>
  <c r="AF535" i="2"/>
  <c r="AC535" i="2"/>
  <c r="AB535" i="2"/>
  <c r="AA535" i="2"/>
  <c r="Z535" i="2"/>
  <c r="W535" i="2"/>
  <c r="V535" i="2"/>
  <c r="T535" i="2"/>
  <c r="S535" i="2"/>
  <c r="R535" i="2"/>
  <c r="P535" i="2"/>
  <c r="X535" i="2" s="1"/>
  <c r="O535" i="2"/>
  <c r="N535" i="2"/>
  <c r="K535" i="2"/>
  <c r="AK535" i="2" s="1"/>
  <c r="J535" i="2"/>
  <c r="I535" i="2"/>
  <c r="AL534" i="2"/>
  <c r="AK534" i="2"/>
  <c r="AI534" i="2"/>
  <c r="AH534" i="2"/>
  <c r="AF534" i="2"/>
  <c r="AC534" i="2"/>
  <c r="AB534" i="2"/>
  <c r="AA534" i="2"/>
  <c r="X534" i="2"/>
  <c r="W534" i="2"/>
  <c r="V534" i="2"/>
  <c r="S534" i="2"/>
  <c r="R534" i="2"/>
  <c r="P534" i="2"/>
  <c r="O534" i="2"/>
  <c r="T534" i="2" s="1"/>
  <c r="N534" i="2"/>
  <c r="K534" i="2"/>
  <c r="Z534" i="2" s="1"/>
  <c r="J534" i="2"/>
  <c r="AJ534" i="2" s="1"/>
  <c r="I534" i="2"/>
  <c r="AL533" i="2"/>
  <c r="AI533" i="2"/>
  <c r="AH533" i="2"/>
  <c r="AF533" i="2"/>
  <c r="AE533" i="2"/>
  <c r="AC533" i="2"/>
  <c r="AB533" i="2"/>
  <c r="AA533" i="2"/>
  <c r="Z533" i="2"/>
  <c r="W533" i="2"/>
  <c r="V533" i="2"/>
  <c r="T533" i="2"/>
  <c r="S533" i="2"/>
  <c r="R533" i="2"/>
  <c r="P533" i="2"/>
  <c r="X533" i="2" s="1"/>
  <c r="O533" i="2"/>
  <c r="N533" i="2"/>
  <c r="K533" i="2"/>
  <c r="AK533" i="2" s="1"/>
  <c r="J533" i="2"/>
  <c r="I533" i="2"/>
  <c r="AL532" i="2"/>
  <c r="AI532" i="2"/>
  <c r="AH532" i="2"/>
  <c r="AF532" i="2"/>
  <c r="AC532" i="2"/>
  <c r="AB532" i="2"/>
  <c r="AA532" i="2"/>
  <c r="W532" i="2"/>
  <c r="S532" i="2"/>
  <c r="Q532" i="2"/>
  <c r="P532" i="2"/>
  <c r="X532" i="2" s="1"/>
  <c r="O532" i="2"/>
  <c r="T532" i="2" s="1"/>
  <c r="N532" i="2"/>
  <c r="K532" i="2"/>
  <c r="J532" i="2"/>
  <c r="I532" i="2"/>
  <c r="AL531" i="2"/>
  <c r="AI531" i="2"/>
  <c r="AH531" i="2"/>
  <c r="AF531" i="2"/>
  <c r="AC531" i="2"/>
  <c r="AB531" i="2"/>
  <c r="AA531" i="2"/>
  <c r="W531" i="2"/>
  <c r="S531" i="2"/>
  <c r="Q531" i="2"/>
  <c r="P531" i="2"/>
  <c r="X531" i="2" s="1"/>
  <c r="O531" i="2"/>
  <c r="T531" i="2" s="1"/>
  <c r="N531" i="2"/>
  <c r="K531" i="2"/>
  <c r="J531" i="2"/>
  <c r="I531" i="2"/>
  <c r="AL530" i="2"/>
  <c r="AI530" i="2"/>
  <c r="AH530" i="2"/>
  <c r="AF530" i="2"/>
  <c r="AC530" i="2"/>
  <c r="AB530" i="2"/>
  <c r="AA530" i="2"/>
  <c r="X530" i="2"/>
  <c r="W530" i="2"/>
  <c r="S530" i="2"/>
  <c r="P530" i="2"/>
  <c r="O530" i="2"/>
  <c r="T530" i="2" s="1"/>
  <c r="N530" i="2"/>
  <c r="K530" i="2"/>
  <c r="J530" i="2"/>
  <c r="I530" i="2"/>
  <c r="AL529" i="2"/>
  <c r="AI529" i="2"/>
  <c r="AH529" i="2"/>
  <c r="AF529" i="2"/>
  <c r="AE529" i="2"/>
  <c r="AD529" i="2"/>
  <c r="AC529" i="2"/>
  <c r="AB529" i="2"/>
  <c r="AA529" i="2"/>
  <c r="W529" i="2"/>
  <c r="V529" i="2"/>
  <c r="S529" i="2"/>
  <c r="P529" i="2"/>
  <c r="X529" i="2" s="1"/>
  <c r="O529" i="2"/>
  <c r="T529" i="2" s="1"/>
  <c r="N529" i="2"/>
  <c r="K529" i="2"/>
  <c r="J529" i="2"/>
  <c r="I529" i="2"/>
  <c r="AL528" i="2"/>
  <c r="AI528" i="2"/>
  <c r="AH528" i="2"/>
  <c r="AF528" i="2"/>
  <c r="AC528" i="2"/>
  <c r="AB528" i="2"/>
  <c r="AA528" i="2"/>
  <c r="W528" i="2"/>
  <c r="S528" i="2"/>
  <c r="P528" i="2"/>
  <c r="X528" i="2" s="1"/>
  <c r="O528" i="2"/>
  <c r="T528" i="2" s="1"/>
  <c r="N528" i="2"/>
  <c r="K528" i="2"/>
  <c r="J528" i="2"/>
  <c r="I528" i="2"/>
  <c r="AL527" i="2"/>
  <c r="AJ527" i="2"/>
  <c r="AI527" i="2"/>
  <c r="AH527" i="2"/>
  <c r="AG527" i="2"/>
  <c r="AF527" i="2"/>
  <c r="AD527" i="2"/>
  <c r="AC527" i="2"/>
  <c r="AB527" i="2"/>
  <c r="AA527" i="2"/>
  <c r="W527" i="2"/>
  <c r="V527" i="2"/>
  <c r="U527" i="2"/>
  <c r="S527" i="2"/>
  <c r="R527" i="2"/>
  <c r="Q527" i="2"/>
  <c r="P527" i="2"/>
  <c r="X527" i="2" s="1"/>
  <c r="O527" i="2"/>
  <c r="T527" i="2" s="1"/>
  <c r="N527" i="2"/>
  <c r="K527" i="2"/>
  <c r="J527" i="2"/>
  <c r="Y527" i="2" s="1"/>
  <c r="I527" i="2"/>
  <c r="AL526" i="2"/>
  <c r="AI526" i="2"/>
  <c r="AH526" i="2"/>
  <c r="AF526" i="2"/>
  <c r="AC526" i="2"/>
  <c r="AB526" i="2"/>
  <c r="AA526" i="2"/>
  <c r="W526" i="2"/>
  <c r="S526" i="2"/>
  <c r="P526" i="2"/>
  <c r="X526" i="2" s="1"/>
  <c r="O526" i="2"/>
  <c r="T526" i="2" s="1"/>
  <c r="N526" i="2"/>
  <c r="K526" i="2"/>
  <c r="J526" i="2"/>
  <c r="I526" i="2"/>
  <c r="AL525" i="2"/>
  <c r="AI525" i="2"/>
  <c r="AH525" i="2"/>
  <c r="AF525" i="2"/>
  <c r="AD525" i="2"/>
  <c r="AC525" i="2"/>
  <c r="AB525" i="2"/>
  <c r="AA525" i="2"/>
  <c r="Y525" i="2"/>
  <c r="W525" i="2"/>
  <c r="S525" i="2"/>
  <c r="P525" i="2"/>
  <c r="X525" i="2" s="1"/>
  <c r="O525" i="2"/>
  <c r="T525" i="2" s="1"/>
  <c r="N525" i="2"/>
  <c r="K525" i="2"/>
  <c r="J525" i="2"/>
  <c r="I525" i="2"/>
  <c r="AL524" i="2"/>
  <c r="AI524" i="2"/>
  <c r="AH524" i="2"/>
  <c r="AF524" i="2"/>
  <c r="AC524" i="2"/>
  <c r="AB524" i="2"/>
  <c r="AA524" i="2"/>
  <c r="W524" i="2"/>
  <c r="T524" i="2"/>
  <c r="S524" i="2"/>
  <c r="Q524" i="2"/>
  <c r="P524" i="2"/>
  <c r="X524" i="2" s="1"/>
  <c r="O524" i="2"/>
  <c r="N524" i="2"/>
  <c r="K524" i="2"/>
  <c r="Z524" i="2" s="1"/>
  <c r="J524" i="2"/>
  <c r="I524" i="2"/>
  <c r="AL523" i="2"/>
  <c r="AJ523" i="2"/>
  <c r="AI523" i="2"/>
  <c r="AH523" i="2"/>
  <c r="AF523" i="2"/>
  <c r="AC523" i="2"/>
  <c r="AB523" i="2"/>
  <c r="AA523" i="2"/>
  <c r="Y523" i="2"/>
  <c r="X523" i="2"/>
  <c r="W523" i="2"/>
  <c r="V523" i="2"/>
  <c r="U523" i="2"/>
  <c r="S523" i="2"/>
  <c r="P523" i="2"/>
  <c r="O523" i="2"/>
  <c r="T523" i="2" s="1"/>
  <c r="N523" i="2"/>
  <c r="K523" i="2"/>
  <c r="J523" i="2"/>
  <c r="AG523" i="2" s="1"/>
  <c r="I523" i="2"/>
  <c r="AL522" i="2"/>
  <c r="AI522" i="2"/>
  <c r="AH522" i="2"/>
  <c r="AF522" i="2"/>
  <c r="AC522" i="2"/>
  <c r="AB522" i="2"/>
  <c r="AA522" i="2"/>
  <c r="Y522" i="2"/>
  <c r="X522" i="2"/>
  <c r="W522" i="2"/>
  <c r="U522" i="2"/>
  <c r="T522" i="2"/>
  <c r="S522" i="2"/>
  <c r="P522" i="2"/>
  <c r="O522" i="2"/>
  <c r="N522" i="2"/>
  <c r="K522" i="2"/>
  <c r="J522" i="2"/>
  <c r="I522" i="2"/>
  <c r="AL521" i="2"/>
  <c r="AJ521" i="2"/>
  <c r="AI521" i="2"/>
  <c r="AH521" i="2"/>
  <c r="AF521" i="2"/>
  <c r="AC521" i="2"/>
  <c r="AB521" i="2"/>
  <c r="AA521" i="2"/>
  <c r="Y521" i="2"/>
  <c r="X521" i="2"/>
  <c r="W521" i="2"/>
  <c r="V521" i="2"/>
  <c r="U521" i="2"/>
  <c r="S521" i="2"/>
  <c r="P521" i="2"/>
  <c r="O521" i="2"/>
  <c r="T521" i="2" s="1"/>
  <c r="N521" i="2"/>
  <c r="K521" i="2"/>
  <c r="J521" i="2"/>
  <c r="I521" i="2"/>
  <c r="AL520" i="2"/>
  <c r="AI520" i="2"/>
  <c r="AH520" i="2"/>
  <c r="AF520" i="2"/>
  <c r="AE520" i="2"/>
  <c r="AC520" i="2"/>
  <c r="AB520" i="2"/>
  <c r="AA520" i="2"/>
  <c r="X520" i="2"/>
  <c r="W520" i="2"/>
  <c r="U520" i="2"/>
  <c r="T520" i="2"/>
  <c r="S520" i="2"/>
  <c r="P520" i="2"/>
  <c r="O520" i="2"/>
  <c r="N520" i="2"/>
  <c r="K520" i="2"/>
  <c r="Z520" i="2" s="1"/>
  <c r="J520" i="2"/>
  <c r="AD520" i="2" s="1"/>
  <c r="I520" i="2"/>
  <c r="AL519" i="2"/>
  <c r="AI519" i="2"/>
  <c r="AH519" i="2"/>
  <c r="AF519" i="2"/>
  <c r="AE519" i="2"/>
  <c r="AC519" i="2"/>
  <c r="AB519" i="2"/>
  <c r="AA519" i="2"/>
  <c r="X519" i="2"/>
  <c r="W519" i="2"/>
  <c r="V519" i="2"/>
  <c r="S519" i="2"/>
  <c r="R519" i="2"/>
  <c r="Q519" i="2"/>
  <c r="P519" i="2"/>
  <c r="O519" i="2"/>
  <c r="T519" i="2" s="1"/>
  <c r="N519" i="2"/>
  <c r="K519" i="2"/>
  <c r="Z519" i="2" s="1"/>
  <c r="J519" i="2"/>
  <c r="I519" i="2"/>
  <c r="AL518" i="2"/>
  <c r="AI518" i="2"/>
  <c r="AH518" i="2"/>
  <c r="AG518" i="2"/>
  <c r="AF518" i="2"/>
  <c r="AC518" i="2"/>
  <c r="AB518" i="2"/>
  <c r="AA518" i="2"/>
  <c r="Y518" i="2"/>
  <c r="W518" i="2"/>
  <c r="S518" i="2"/>
  <c r="P518" i="2"/>
  <c r="X518" i="2" s="1"/>
  <c r="O518" i="2"/>
  <c r="T518" i="2" s="1"/>
  <c r="N518" i="2"/>
  <c r="K518" i="2"/>
  <c r="J518" i="2"/>
  <c r="AD518" i="2" s="1"/>
  <c r="I518" i="2"/>
  <c r="AL517" i="2"/>
  <c r="AJ517" i="2"/>
  <c r="AI517" i="2"/>
  <c r="AH517" i="2"/>
  <c r="AG517" i="2"/>
  <c r="AF517" i="2"/>
  <c r="AD517" i="2"/>
  <c r="AC517" i="2"/>
  <c r="AB517" i="2"/>
  <c r="AA517" i="2"/>
  <c r="W517" i="2"/>
  <c r="U517" i="2"/>
  <c r="S517" i="2"/>
  <c r="Q517" i="2"/>
  <c r="P517" i="2"/>
  <c r="X517" i="2" s="1"/>
  <c r="O517" i="2"/>
  <c r="T517" i="2" s="1"/>
  <c r="N517" i="2"/>
  <c r="K517" i="2"/>
  <c r="J517" i="2"/>
  <c r="Y517" i="2" s="1"/>
  <c r="I517" i="2"/>
  <c r="AL516" i="2"/>
  <c r="AI516" i="2"/>
  <c r="AH516" i="2"/>
  <c r="AF516" i="2"/>
  <c r="AE516" i="2"/>
  <c r="AC516" i="2"/>
  <c r="AB516" i="2"/>
  <c r="AA516" i="2"/>
  <c r="W516" i="2"/>
  <c r="T516" i="2"/>
  <c r="S516" i="2"/>
  <c r="P516" i="2"/>
  <c r="X516" i="2" s="1"/>
  <c r="O516" i="2"/>
  <c r="N516" i="2"/>
  <c r="K516" i="2"/>
  <c r="V516" i="2" s="1"/>
  <c r="J516" i="2"/>
  <c r="I516" i="2"/>
  <c r="AL515" i="2"/>
  <c r="AI515" i="2"/>
  <c r="AH515" i="2"/>
  <c r="AG515" i="2"/>
  <c r="AF515" i="2"/>
  <c r="AE515" i="2"/>
  <c r="AD515" i="2"/>
  <c r="AC515" i="2"/>
  <c r="AB515" i="2"/>
  <c r="AA515" i="2"/>
  <c r="W515" i="2"/>
  <c r="V515" i="2"/>
  <c r="U515" i="2"/>
  <c r="S515" i="2"/>
  <c r="R515" i="2"/>
  <c r="Q515" i="2"/>
  <c r="P515" i="2"/>
  <c r="X515" i="2" s="1"/>
  <c r="O515" i="2"/>
  <c r="T515" i="2" s="1"/>
  <c r="N515" i="2"/>
  <c r="K515" i="2"/>
  <c r="Z515" i="2" s="1"/>
  <c r="J515" i="2"/>
  <c r="Y515" i="2" s="1"/>
  <c r="I515" i="2"/>
  <c r="AL514" i="2"/>
  <c r="AI514" i="2"/>
  <c r="AH514" i="2"/>
  <c r="AF514" i="2"/>
  <c r="AC514" i="2"/>
  <c r="AB514" i="2"/>
  <c r="AA514" i="2"/>
  <c r="W514" i="2"/>
  <c r="T514" i="2"/>
  <c r="S514" i="2"/>
  <c r="P514" i="2"/>
  <c r="X514" i="2" s="1"/>
  <c r="O514" i="2"/>
  <c r="N514" i="2"/>
  <c r="K514" i="2"/>
  <c r="J514" i="2"/>
  <c r="I514" i="2"/>
  <c r="AL513" i="2"/>
  <c r="AI513" i="2"/>
  <c r="AH513" i="2"/>
  <c r="AF513" i="2"/>
  <c r="AC513" i="2"/>
  <c r="AB513" i="2"/>
  <c r="AA513" i="2"/>
  <c r="W513" i="2"/>
  <c r="V513" i="2"/>
  <c r="U513" i="2"/>
  <c r="S513" i="2"/>
  <c r="P513" i="2"/>
  <c r="X513" i="2" s="1"/>
  <c r="O513" i="2"/>
  <c r="T513" i="2" s="1"/>
  <c r="N513" i="2"/>
  <c r="K513" i="2"/>
  <c r="AK513" i="2" s="1"/>
  <c r="J513" i="2"/>
  <c r="I513" i="2"/>
  <c r="AL512" i="2"/>
  <c r="AI512" i="2"/>
  <c r="AH512" i="2"/>
  <c r="AG512" i="2"/>
  <c r="AF512" i="2"/>
  <c r="AD512" i="2"/>
  <c r="AC512" i="2"/>
  <c r="AB512" i="2"/>
  <c r="AA512" i="2"/>
  <c r="Z512" i="2"/>
  <c r="W512" i="2"/>
  <c r="U512" i="2"/>
  <c r="T512" i="2"/>
  <c r="S512" i="2"/>
  <c r="Q512" i="2"/>
  <c r="P512" i="2"/>
  <c r="X512" i="2" s="1"/>
  <c r="O512" i="2"/>
  <c r="N512" i="2"/>
  <c r="K512" i="2"/>
  <c r="J512" i="2"/>
  <c r="AJ512" i="2" s="1"/>
  <c r="I512" i="2"/>
  <c r="AL511" i="2"/>
  <c r="AK511" i="2"/>
  <c r="AJ511" i="2"/>
  <c r="AI511" i="2"/>
  <c r="AH511" i="2"/>
  <c r="AG511" i="2"/>
  <c r="AF511" i="2"/>
  <c r="AE511" i="2"/>
  <c r="AD511" i="2"/>
  <c r="AC511" i="2"/>
  <c r="AB511" i="2"/>
  <c r="AA511" i="2"/>
  <c r="Y511" i="2"/>
  <c r="X511" i="2"/>
  <c r="W511" i="2"/>
  <c r="U511" i="2"/>
  <c r="T511" i="2"/>
  <c r="S511" i="2"/>
  <c r="Q511" i="2"/>
  <c r="P511" i="2"/>
  <c r="O511" i="2"/>
  <c r="N511" i="2"/>
  <c r="K511" i="2"/>
  <c r="J511" i="2"/>
  <c r="I511" i="2"/>
  <c r="AL510" i="2"/>
  <c r="AI510" i="2"/>
  <c r="AH510" i="2"/>
  <c r="AF510" i="2"/>
  <c r="AE510" i="2"/>
  <c r="AC510" i="2"/>
  <c r="AB510" i="2"/>
  <c r="AA510" i="2"/>
  <c r="Y510" i="2"/>
  <c r="W510" i="2"/>
  <c r="U510" i="2"/>
  <c r="T510" i="2"/>
  <c r="S510" i="2"/>
  <c r="P510" i="2"/>
  <c r="X510" i="2" s="1"/>
  <c r="O510" i="2"/>
  <c r="N510" i="2"/>
  <c r="K510" i="2"/>
  <c r="V510" i="2" s="1"/>
  <c r="J510" i="2"/>
  <c r="I510" i="2"/>
  <c r="AL509" i="2"/>
  <c r="AJ509" i="2"/>
  <c r="AI509" i="2"/>
  <c r="AH509" i="2"/>
  <c r="AG509" i="2"/>
  <c r="AF509" i="2"/>
  <c r="AE509" i="2"/>
  <c r="AD509" i="2"/>
  <c r="AC509" i="2"/>
  <c r="AB509" i="2"/>
  <c r="AA509" i="2"/>
  <c r="W509" i="2"/>
  <c r="V509" i="2"/>
  <c r="U509" i="2"/>
  <c r="S509" i="2"/>
  <c r="Q509" i="2"/>
  <c r="P509" i="2"/>
  <c r="X509" i="2" s="1"/>
  <c r="O509" i="2"/>
  <c r="T509" i="2" s="1"/>
  <c r="N509" i="2"/>
  <c r="K509" i="2"/>
  <c r="AK509" i="2" s="1"/>
  <c r="J509" i="2"/>
  <c r="Y509" i="2" s="1"/>
  <c r="I509" i="2"/>
  <c r="AL508" i="2"/>
  <c r="AI508" i="2"/>
  <c r="AH508" i="2"/>
  <c r="AF508" i="2"/>
  <c r="AD508" i="2"/>
  <c r="AC508" i="2"/>
  <c r="AB508" i="2"/>
  <c r="AA508" i="2"/>
  <c r="W508" i="2"/>
  <c r="V508" i="2"/>
  <c r="T508" i="2"/>
  <c r="S508" i="2"/>
  <c r="P508" i="2"/>
  <c r="X508" i="2" s="1"/>
  <c r="O508" i="2"/>
  <c r="N508" i="2"/>
  <c r="K508" i="2"/>
  <c r="J508" i="2"/>
  <c r="I508" i="2"/>
  <c r="AL507" i="2"/>
  <c r="AI507" i="2"/>
  <c r="AH507" i="2"/>
  <c r="AF507" i="2"/>
  <c r="AC507" i="2"/>
  <c r="AB507" i="2"/>
  <c r="AA507" i="2"/>
  <c r="W507" i="2"/>
  <c r="S507" i="2"/>
  <c r="P507" i="2"/>
  <c r="X507" i="2" s="1"/>
  <c r="O507" i="2"/>
  <c r="T507" i="2" s="1"/>
  <c r="N507" i="2"/>
  <c r="K507" i="2"/>
  <c r="J507" i="2"/>
  <c r="I507" i="2"/>
  <c r="AL506" i="2"/>
  <c r="AI506" i="2"/>
  <c r="AH506" i="2"/>
  <c r="AF506" i="2"/>
  <c r="AC506" i="2"/>
  <c r="AB506" i="2"/>
  <c r="AA506" i="2"/>
  <c r="W506" i="2"/>
  <c r="S506" i="2"/>
  <c r="P506" i="2"/>
  <c r="X506" i="2" s="1"/>
  <c r="O506" i="2"/>
  <c r="T506" i="2" s="1"/>
  <c r="N506" i="2"/>
  <c r="K506" i="2"/>
  <c r="J506" i="2"/>
  <c r="Y506" i="2" s="1"/>
  <c r="I506" i="2"/>
  <c r="AL505" i="2"/>
  <c r="AI505" i="2"/>
  <c r="AH505" i="2"/>
  <c r="AF505" i="2"/>
  <c r="AC505" i="2"/>
  <c r="AB505" i="2"/>
  <c r="AA505" i="2"/>
  <c r="Y505" i="2"/>
  <c r="W505" i="2"/>
  <c r="S505" i="2"/>
  <c r="P505" i="2"/>
  <c r="X505" i="2" s="1"/>
  <c r="O505" i="2"/>
  <c r="T505" i="2" s="1"/>
  <c r="N505" i="2"/>
  <c r="K505" i="2"/>
  <c r="J505" i="2"/>
  <c r="I505" i="2"/>
  <c r="AL504" i="2"/>
  <c r="AI504" i="2"/>
  <c r="AH504" i="2"/>
  <c r="AF504" i="2"/>
  <c r="AC504" i="2"/>
  <c r="AB504" i="2"/>
  <c r="AA504" i="2"/>
  <c r="Y504" i="2"/>
  <c r="W504" i="2"/>
  <c r="T504" i="2"/>
  <c r="S504" i="2"/>
  <c r="P504" i="2"/>
  <c r="X504" i="2" s="1"/>
  <c r="O504" i="2"/>
  <c r="N504" i="2"/>
  <c r="K504" i="2"/>
  <c r="AE504" i="2" s="1"/>
  <c r="J504" i="2"/>
  <c r="AG504" i="2" s="1"/>
  <c r="I504" i="2"/>
  <c r="AL503" i="2"/>
  <c r="AK503" i="2"/>
  <c r="AI503" i="2"/>
  <c r="AH503" i="2"/>
  <c r="AF503" i="2"/>
  <c r="AC503" i="2"/>
  <c r="AB503" i="2"/>
  <c r="AA503" i="2"/>
  <c r="W503" i="2"/>
  <c r="V503" i="2"/>
  <c r="S503" i="2"/>
  <c r="P503" i="2"/>
  <c r="X503" i="2" s="1"/>
  <c r="O503" i="2"/>
  <c r="T503" i="2" s="1"/>
  <c r="N503" i="2"/>
  <c r="K503" i="2"/>
  <c r="J503" i="2"/>
  <c r="I503" i="2"/>
  <c r="AL502" i="2"/>
  <c r="AI502" i="2"/>
  <c r="AH502" i="2"/>
  <c r="AF502" i="2"/>
  <c r="AC502" i="2"/>
  <c r="AB502" i="2"/>
  <c r="AA502" i="2"/>
  <c r="W502" i="2"/>
  <c r="S502" i="2"/>
  <c r="P502" i="2"/>
  <c r="X502" i="2" s="1"/>
  <c r="O502" i="2"/>
  <c r="T502" i="2" s="1"/>
  <c r="N502" i="2"/>
  <c r="K502" i="2"/>
  <c r="J502" i="2"/>
  <c r="I502" i="2"/>
  <c r="AL501" i="2"/>
  <c r="AI501" i="2"/>
  <c r="AH501" i="2"/>
  <c r="AG501" i="2"/>
  <c r="AF501" i="2"/>
  <c r="AC501" i="2"/>
  <c r="AB501" i="2"/>
  <c r="AA501" i="2"/>
  <c r="W501" i="2"/>
  <c r="S501" i="2"/>
  <c r="Q501" i="2"/>
  <c r="P501" i="2"/>
  <c r="X501" i="2" s="1"/>
  <c r="O501" i="2"/>
  <c r="T501" i="2" s="1"/>
  <c r="N501" i="2"/>
  <c r="K501" i="2"/>
  <c r="AK501" i="2" s="1"/>
  <c r="J501" i="2"/>
  <c r="I501" i="2"/>
  <c r="AL500" i="2"/>
  <c r="AI500" i="2"/>
  <c r="AH500" i="2"/>
  <c r="AF500" i="2"/>
  <c r="AC500" i="2"/>
  <c r="AB500" i="2"/>
  <c r="AA500" i="2"/>
  <c r="Z500" i="2"/>
  <c r="W500" i="2"/>
  <c r="T500" i="2"/>
  <c r="S500" i="2"/>
  <c r="P500" i="2"/>
  <c r="X500" i="2" s="1"/>
  <c r="O500" i="2"/>
  <c r="N500" i="2"/>
  <c r="K500" i="2"/>
  <c r="AE500" i="2" s="1"/>
  <c r="J500" i="2"/>
  <c r="Y500" i="2" s="1"/>
  <c r="I500" i="2"/>
  <c r="AL499" i="2"/>
  <c r="AI499" i="2"/>
  <c r="AH499" i="2"/>
  <c r="AF499" i="2"/>
  <c r="AC499" i="2"/>
  <c r="AB499" i="2"/>
  <c r="AA499" i="2"/>
  <c r="Y499" i="2"/>
  <c r="W499" i="2"/>
  <c r="U499" i="2"/>
  <c r="S499" i="2"/>
  <c r="P499" i="2"/>
  <c r="X499" i="2" s="1"/>
  <c r="O499" i="2"/>
  <c r="T499" i="2" s="1"/>
  <c r="N499" i="2"/>
  <c r="K499" i="2"/>
  <c r="J499" i="2"/>
  <c r="I499" i="2"/>
  <c r="AL498" i="2"/>
  <c r="AI498" i="2"/>
  <c r="AH498" i="2"/>
  <c r="AF498" i="2"/>
  <c r="AC498" i="2"/>
  <c r="AB498" i="2"/>
  <c r="AA498" i="2"/>
  <c r="Z498" i="2"/>
  <c r="W498" i="2"/>
  <c r="V498" i="2"/>
  <c r="U498" i="2"/>
  <c r="S498" i="2"/>
  <c r="Q498" i="2"/>
  <c r="P498" i="2"/>
  <c r="X498" i="2" s="1"/>
  <c r="O498" i="2"/>
  <c r="T498" i="2" s="1"/>
  <c r="N498" i="2"/>
  <c r="K498" i="2"/>
  <c r="J498" i="2"/>
  <c r="AD498" i="2" s="1"/>
  <c r="I498" i="2"/>
  <c r="AL497" i="2"/>
  <c r="AJ497" i="2"/>
  <c r="AI497" i="2"/>
  <c r="AH497" i="2"/>
  <c r="AG497" i="2"/>
  <c r="AF497" i="2"/>
  <c r="AC497" i="2"/>
  <c r="AB497" i="2"/>
  <c r="AA497" i="2"/>
  <c r="W497" i="2"/>
  <c r="V497" i="2"/>
  <c r="U497" i="2"/>
  <c r="S497" i="2"/>
  <c r="P497" i="2"/>
  <c r="X497" i="2" s="1"/>
  <c r="O497" i="2"/>
  <c r="T497" i="2" s="1"/>
  <c r="N497" i="2"/>
  <c r="K497" i="2"/>
  <c r="J497" i="2"/>
  <c r="I497" i="2"/>
  <c r="AL496" i="2"/>
  <c r="AI496" i="2"/>
  <c r="AH496" i="2"/>
  <c r="AF496" i="2"/>
  <c r="AC496" i="2"/>
  <c r="AB496" i="2"/>
  <c r="AA496" i="2"/>
  <c r="Y496" i="2"/>
  <c r="W496" i="2"/>
  <c r="S496" i="2"/>
  <c r="P496" i="2"/>
  <c r="X496" i="2" s="1"/>
  <c r="O496" i="2"/>
  <c r="T496" i="2" s="1"/>
  <c r="N496" i="2"/>
  <c r="K496" i="2"/>
  <c r="J496" i="2"/>
  <c r="Q496" i="2" s="1"/>
  <c r="I496" i="2"/>
  <c r="AL495" i="2"/>
  <c r="AK495" i="2"/>
  <c r="AI495" i="2"/>
  <c r="AH495" i="2"/>
  <c r="AF495" i="2"/>
  <c r="AC495" i="2"/>
  <c r="AB495" i="2"/>
  <c r="AA495" i="2"/>
  <c r="X495" i="2"/>
  <c r="W495" i="2"/>
  <c r="T495" i="2"/>
  <c r="S495" i="2"/>
  <c r="P495" i="2"/>
  <c r="O495" i="2"/>
  <c r="N495" i="2"/>
  <c r="K495" i="2"/>
  <c r="J495" i="2"/>
  <c r="I495" i="2"/>
  <c r="AL494" i="2"/>
  <c r="AI494" i="2"/>
  <c r="AH494" i="2"/>
  <c r="AG494" i="2"/>
  <c r="AF494" i="2"/>
  <c r="AE494" i="2"/>
  <c r="AC494" i="2"/>
  <c r="AB494" i="2"/>
  <c r="AA494" i="2"/>
  <c r="Y494" i="2"/>
  <c r="W494" i="2"/>
  <c r="U494" i="2"/>
  <c r="S494" i="2"/>
  <c r="P494" i="2"/>
  <c r="X494" i="2" s="1"/>
  <c r="O494" i="2"/>
  <c r="T494" i="2" s="1"/>
  <c r="N494" i="2"/>
  <c r="K494" i="2"/>
  <c r="J494" i="2"/>
  <c r="I494" i="2"/>
  <c r="AL493" i="2"/>
  <c r="AJ493" i="2"/>
  <c r="AI493" i="2"/>
  <c r="AH493" i="2"/>
  <c r="AF493" i="2"/>
  <c r="AE493" i="2"/>
  <c r="AC493" i="2"/>
  <c r="AB493" i="2"/>
  <c r="AA493" i="2"/>
  <c r="W493" i="2"/>
  <c r="V493" i="2"/>
  <c r="S493" i="2"/>
  <c r="R493" i="2"/>
  <c r="P493" i="2"/>
  <c r="X493" i="2" s="1"/>
  <c r="O493" i="2"/>
  <c r="T493" i="2" s="1"/>
  <c r="N493" i="2"/>
  <c r="K493" i="2"/>
  <c r="J493" i="2"/>
  <c r="I493" i="2"/>
  <c r="AL492" i="2"/>
  <c r="AI492" i="2"/>
  <c r="AH492" i="2"/>
  <c r="AG492" i="2"/>
  <c r="AF492" i="2"/>
  <c r="AD492" i="2"/>
  <c r="AC492" i="2"/>
  <c r="AB492" i="2"/>
  <c r="AA492" i="2"/>
  <c r="W492" i="2"/>
  <c r="U492" i="2"/>
  <c r="S492" i="2"/>
  <c r="P492" i="2"/>
  <c r="X492" i="2" s="1"/>
  <c r="O492" i="2"/>
  <c r="T492" i="2" s="1"/>
  <c r="N492" i="2"/>
  <c r="K492" i="2"/>
  <c r="J492" i="2"/>
  <c r="I492" i="2"/>
  <c r="AL491" i="2"/>
  <c r="AJ491" i="2"/>
  <c r="AI491" i="2"/>
  <c r="AH491" i="2"/>
  <c r="AG491" i="2"/>
  <c r="AF491" i="2"/>
  <c r="AD491" i="2"/>
  <c r="AC491" i="2"/>
  <c r="AB491" i="2"/>
  <c r="AA491" i="2"/>
  <c r="Y491" i="2"/>
  <c r="W491" i="2"/>
  <c r="U491" i="2"/>
  <c r="S491" i="2"/>
  <c r="Q491" i="2"/>
  <c r="P491" i="2"/>
  <c r="X491" i="2" s="1"/>
  <c r="O491" i="2"/>
  <c r="T491" i="2" s="1"/>
  <c r="N491" i="2"/>
  <c r="K491" i="2"/>
  <c r="J491" i="2"/>
  <c r="I491" i="2"/>
  <c r="AL490" i="2"/>
  <c r="AI490" i="2"/>
  <c r="AH490" i="2"/>
  <c r="AF490" i="2"/>
  <c r="AC490" i="2"/>
  <c r="AB490" i="2"/>
  <c r="AA490" i="2"/>
  <c r="W490" i="2"/>
  <c r="S490" i="2"/>
  <c r="P490" i="2"/>
  <c r="X490" i="2" s="1"/>
  <c r="O490" i="2"/>
  <c r="T490" i="2" s="1"/>
  <c r="N490" i="2"/>
  <c r="K490" i="2"/>
  <c r="J490" i="2"/>
  <c r="I490" i="2"/>
  <c r="AL489" i="2"/>
  <c r="AI489" i="2"/>
  <c r="AH489" i="2"/>
  <c r="AG489" i="2"/>
  <c r="AF489" i="2"/>
  <c r="AE489" i="2"/>
  <c r="AD489" i="2"/>
  <c r="AC489" i="2"/>
  <c r="AB489" i="2"/>
  <c r="AA489" i="2"/>
  <c r="Y489" i="2"/>
  <c r="W489" i="2"/>
  <c r="U489" i="2"/>
  <c r="S489" i="2"/>
  <c r="R489" i="2"/>
  <c r="Q489" i="2"/>
  <c r="P489" i="2"/>
  <c r="X489" i="2" s="1"/>
  <c r="O489" i="2"/>
  <c r="T489" i="2" s="1"/>
  <c r="N489" i="2"/>
  <c r="K489" i="2"/>
  <c r="J489" i="2"/>
  <c r="AJ489" i="2" s="1"/>
  <c r="I489" i="2"/>
  <c r="AL488" i="2"/>
  <c r="AI488" i="2"/>
  <c r="AH488" i="2"/>
  <c r="AG488" i="2"/>
  <c r="AF488" i="2"/>
  <c r="AE488" i="2"/>
  <c r="AC488" i="2"/>
  <c r="AB488" i="2"/>
  <c r="AA488" i="2"/>
  <c r="W488" i="2"/>
  <c r="U488" i="2"/>
  <c r="S488" i="2"/>
  <c r="Q488" i="2"/>
  <c r="P488" i="2"/>
  <c r="X488" i="2" s="1"/>
  <c r="O488" i="2"/>
  <c r="T488" i="2" s="1"/>
  <c r="N488" i="2"/>
  <c r="K488" i="2"/>
  <c r="Z488" i="2" s="1"/>
  <c r="J488" i="2"/>
  <c r="I488" i="2"/>
  <c r="AL487" i="2"/>
  <c r="AK487" i="2"/>
  <c r="AJ487" i="2"/>
  <c r="AI487" i="2"/>
  <c r="AH487" i="2"/>
  <c r="AF487" i="2"/>
  <c r="AC487" i="2"/>
  <c r="AB487" i="2"/>
  <c r="AA487" i="2"/>
  <c r="Y487" i="2"/>
  <c r="W487" i="2"/>
  <c r="U487" i="2"/>
  <c r="S487" i="2"/>
  <c r="Q487" i="2"/>
  <c r="P487" i="2"/>
  <c r="X487" i="2" s="1"/>
  <c r="O487" i="2"/>
  <c r="T487" i="2" s="1"/>
  <c r="N487" i="2"/>
  <c r="K487" i="2"/>
  <c r="J487" i="2"/>
  <c r="AD487" i="2" s="1"/>
  <c r="I487" i="2"/>
  <c r="AL486" i="2"/>
  <c r="AI486" i="2"/>
  <c r="AH486" i="2"/>
  <c r="AG486" i="2"/>
  <c r="AF486" i="2"/>
  <c r="AC486" i="2"/>
  <c r="AB486" i="2"/>
  <c r="AA486" i="2"/>
  <c r="W486" i="2"/>
  <c r="U486" i="2"/>
  <c r="S486" i="2"/>
  <c r="Q486" i="2"/>
  <c r="P486" i="2"/>
  <c r="X486" i="2" s="1"/>
  <c r="O486" i="2"/>
  <c r="T486" i="2" s="1"/>
  <c r="N486" i="2"/>
  <c r="K486" i="2"/>
  <c r="AE486" i="2" s="1"/>
  <c r="J486" i="2"/>
  <c r="I486" i="2"/>
  <c r="AL485" i="2"/>
  <c r="AI485" i="2"/>
  <c r="AH485" i="2"/>
  <c r="AF485" i="2"/>
  <c r="AD485" i="2"/>
  <c r="AC485" i="2"/>
  <c r="AB485" i="2"/>
  <c r="AA485" i="2"/>
  <c r="W485" i="2"/>
  <c r="V485" i="2"/>
  <c r="S485" i="2"/>
  <c r="R485" i="2"/>
  <c r="P485" i="2"/>
  <c r="X485" i="2" s="1"/>
  <c r="O485" i="2"/>
  <c r="T485" i="2" s="1"/>
  <c r="N485" i="2"/>
  <c r="K485" i="2"/>
  <c r="AE485" i="2" s="1"/>
  <c r="J485" i="2"/>
  <c r="Q485" i="2" s="1"/>
  <c r="I485" i="2"/>
  <c r="AL484" i="2"/>
  <c r="AI484" i="2"/>
  <c r="AH484" i="2"/>
  <c r="AF484" i="2"/>
  <c r="AC484" i="2"/>
  <c r="AB484" i="2"/>
  <c r="AA484" i="2"/>
  <c r="W484" i="2"/>
  <c r="T484" i="2"/>
  <c r="S484" i="2"/>
  <c r="P484" i="2"/>
  <c r="X484" i="2" s="1"/>
  <c r="O484" i="2"/>
  <c r="N484" i="2"/>
  <c r="K484" i="2"/>
  <c r="AE484" i="2" s="1"/>
  <c r="J484" i="2"/>
  <c r="I484" i="2"/>
  <c r="AL483" i="2"/>
  <c r="AI483" i="2"/>
  <c r="AH483" i="2"/>
  <c r="AG483" i="2"/>
  <c r="AF483" i="2"/>
  <c r="AD483" i="2"/>
  <c r="AC483" i="2"/>
  <c r="AB483" i="2"/>
  <c r="AA483" i="2"/>
  <c r="W483" i="2"/>
  <c r="S483" i="2"/>
  <c r="P483" i="2"/>
  <c r="X483" i="2" s="1"/>
  <c r="O483" i="2"/>
  <c r="T483" i="2" s="1"/>
  <c r="N483" i="2"/>
  <c r="K483" i="2"/>
  <c r="J483" i="2"/>
  <c r="I483" i="2"/>
  <c r="AL482" i="2"/>
  <c r="AI482" i="2"/>
  <c r="AH482" i="2"/>
  <c r="AG482" i="2"/>
  <c r="AF482" i="2"/>
  <c r="AE482" i="2"/>
  <c r="AC482" i="2"/>
  <c r="AB482" i="2"/>
  <c r="AA482" i="2"/>
  <c r="Z482" i="2"/>
  <c r="Y482" i="2"/>
  <c r="W482" i="2"/>
  <c r="V482" i="2"/>
  <c r="U482" i="2"/>
  <c r="S482" i="2"/>
  <c r="R482" i="2"/>
  <c r="Q482" i="2"/>
  <c r="P482" i="2"/>
  <c r="X482" i="2" s="1"/>
  <c r="O482" i="2"/>
  <c r="T482" i="2" s="1"/>
  <c r="N482" i="2"/>
  <c r="K482" i="2"/>
  <c r="AK482" i="2" s="1"/>
  <c r="J482" i="2"/>
  <c r="AD482" i="2" s="1"/>
  <c r="I482" i="2"/>
  <c r="AL481" i="2"/>
  <c r="AJ481" i="2"/>
  <c r="AI481" i="2"/>
  <c r="AH481" i="2"/>
  <c r="AG481" i="2"/>
  <c r="AF481" i="2"/>
  <c r="AD481" i="2"/>
  <c r="AC481" i="2"/>
  <c r="AB481" i="2"/>
  <c r="AA481" i="2"/>
  <c r="W481" i="2"/>
  <c r="T481" i="2"/>
  <c r="S481" i="2"/>
  <c r="P481" i="2"/>
  <c r="X481" i="2" s="1"/>
  <c r="O481" i="2"/>
  <c r="N481" i="2"/>
  <c r="K481" i="2"/>
  <c r="J481" i="2"/>
  <c r="Q481" i="2" s="1"/>
  <c r="I481" i="2"/>
  <c r="AL480" i="2"/>
  <c r="AJ480" i="2"/>
  <c r="AI480" i="2"/>
  <c r="AH480" i="2"/>
  <c r="AG480" i="2"/>
  <c r="AF480" i="2"/>
  <c r="AE480" i="2"/>
  <c r="AC480" i="2"/>
  <c r="AB480" i="2"/>
  <c r="AA480" i="2"/>
  <c r="Z480" i="2"/>
  <c r="W480" i="2"/>
  <c r="S480" i="2"/>
  <c r="P480" i="2"/>
  <c r="X480" i="2" s="1"/>
  <c r="O480" i="2"/>
  <c r="T480" i="2" s="1"/>
  <c r="N480" i="2"/>
  <c r="K480" i="2"/>
  <c r="AK480" i="2" s="1"/>
  <c r="J480" i="2"/>
  <c r="I480" i="2"/>
  <c r="AL479" i="2"/>
  <c r="AK479" i="2"/>
  <c r="AJ479" i="2"/>
  <c r="AI479" i="2"/>
  <c r="AH479" i="2"/>
  <c r="AG479" i="2"/>
  <c r="AF479" i="2"/>
  <c r="AD479" i="2"/>
  <c r="AC479" i="2"/>
  <c r="AB479" i="2"/>
  <c r="AA479" i="2"/>
  <c r="Y479" i="2"/>
  <c r="W479" i="2"/>
  <c r="U479" i="2"/>
  <c r="S479" i="2"/>
  <c r="Q479" i="2"/>
  <c r="P479" i="2"/>
  <c r="X479" i="2" s="1"/>
  <c r="O479" i="2"/>
  <c r="T479" i="2" s="1"/>
  <c r="N479" i="2"/>
  <c r="K479" i="2"/>
  <c r="J479" i="2"/>
  <c r="I479" i="2"/>
  <c r="AL478" i="2"/>
  <c r="AI478" i="2"/>
  <c r="AH478" i="2"/>
  <c r="AF478" i="2"/>
  <c r="AC478" i="2"/>
  <c r="AB478" i="2"/>
  <c r="AA478" i="2"/>
  <c r="Y478" i="2"/>
  <c r="W478" i="2"/>
  <c r="S478" i="2"/>
  <c r="P478" i="2"/>
  <c r="X478" i="2" s="1"/>
  <c r="O478" i="2"/>
  <c r="T478" i="2" s="1"/>
  <c r="N478" i="2"/>
  <c r="K478" i="2"/>
  <c r="J478" i="2"/>
  <c r="I478" i="2"/>
  <c r="AL477" i="2"/>
  <c r="AI477" i="2"/>
  <c r="AH477" i="2"/>
  <c r="AG477" i="2"/>
  <c r="AF477" i="2"/>
  <c r="AD477" i="2"/>
  <c r="AC477" i="2"/>
  <c r="AB477" i="2"/>
  <c r="AA477" i="2"/>
  <c r="W477" i="2"/>
  <c r="V477" i="2"/>
  <c r="S477" i="2"/>
  <c r="P477" i="2"/>
  <c r="X477" i="2" s="1"/>
  <c r="O477" i="2"/>
  <c r="T477" i="2" s="1"/>
  <c r="N477" i="2"/>
  <c r="K477" i="2"/>
  <c r="AK477" i="2" s="1"/>
  <c r="J477" i="2"/>
  <c r="I477" i="2"/>
  <c r="AL476" i="2"/>
  <c r="AI476" i="2"/>
  <c r="AH476" i="2"/>
  <c r="AF476" i="2"/>
  <c r="AC476" i="2"/>
  <c r="AB476" i="2"/>
  <c r="AA476" i="2"/>
  <c r="Z476" i="2"/>
  <c r="W476" i="2"/>
  <c r="S476" i="2"/>
  <c r="P476" i="2"/>
  <c r="X476" i="2" s="1"/>
  <c r="O476" i="2"/>
  <c r="T476" i="2" s="1"/>
  <c r="N476" i="2"/>
  <c r="K476" i="2"/>
  <c r="V476" i="2" s="1"/>
  <c r="J476" i="2"/>
  <c r="I476" i="2"/>
  <c r="AL475" i="2"/>
  <c r="AI475" i="2"/>
  <c r="AH475" i="2"/>
  <c r="AF475" i="2"/>
  <c r="AC475" i="2"/>
  <c r="AB475" i="2"/>
  <c r="AA475" i="2"/>
  <c r="W475" i="2"/>
  <c r="T475" i="2"/>
  <c r="S475" i="2"/>
  <c r="P475" i="2"/>
  <c r="X475" i="2" s="1"/>
  <c r="O475" i="2"/>
  <c r="N475" i="2"/>
  <c r="K475" i="2"/>
  <c r="J475" i="2"/>
  <c r="I475" i="2"/>
  <c r="AL474" i="2"/>
  <c r="AI474" i="2"/>
  <c r="AH474" i="2"/>
  <c r="AG474" i="2"/>
  <c r="AF474" i="2"/>
  <c r="AC474" i="2"/>
  <c r="AB474" i="2"/>
  <c r="AA474" i="2"/>
  <c r="Y474" i="2"/>
  <c r="W474" i="2"/>
  <c r="S474" i="2"/>
  <c r="P474" i="2"/>
  <c r="X474" i="2" s="1"/>
  <c r="O474" i="2"/>
  <c r="T474" i="2" s="1"/>
  <c r="N474" i="2"/>
  <c r="K474" i="2"/>
  <c r="J474" i="2"/>
  <c r="I474" i="2"/>
  <c r="AL473" i="2"/>
  <c r="AI473" i="2"/>
  <c r="AH473" i="2"/>
  <c r="AG473" i="2"/>
  <c r="AF473" i="2"/>
  <c r="AE473" i="2"/>
  <c r="AD473" i="2"/>
  <c r="AC473" i="2"/>
  <c r="AB473" i="2"/>
  <c r="AA473" i="2"/>
  <c r="Y473" i="2"/>
  <c r="W473" i="2"/>
  <c r="U473" i="2"/>
  <c r="S473" i="2"/>
  <c r="R473" i="2"/>
  <c r="Q473" i="2"/>
  <c r="P473" i="2"/>
  <c r="X473" i="2" s="1"/>
  <c r="O473" i="2"/>
  <c r="T473" i="2" s="1"/>
  <c r="N473" i="2"/>
  <c r="K473" i="2"/>
  <c r="J473" i="2"/>
  <c r="AJ473" i="2" s="1"/>
  <c r="I473" i="2"/>
  <c r="AL472" i="2"/>
  <c r="AI472" i="2"/>
  <c r="AH472" i="2"/>
  <c r="AG472" i="2"/>
  <c r="AF472" i="2"/>
  <c r="AE472" i="2"/>
  <c r="AD472" i="2"/>
  <c r="AC472" i="2"/>
  <c r="AB472" i="2"/>
  <c r="AA472" i="2"/>
  <c r="Z472" i="2"/>
  <c r="W472" i="2"/>
  <c r="V472" i="2"/>
  <c r="S472" i="2"/>
  <c r="R472" i="2"/>
  <c r="P472" i="2"/>
  <c r="X472" i="2" s="1"/>
  <c r="O472" i="2"/>
  <c r="T472" i="2" s="1"/>
  <c r="N472" i="2"/>
  <c r="K472" i="2"/>
  <c r="AK472" i="2" s="1"/>
  <c r="J472" i="2"/>
  <c r="I472" i="2"/>
  <c r="AL471" i="2"/>
  <c r="AK471" i="2"/>
  <c r="AI471" i="2"/>
  <c r="AH471" i="2"/>
  <c r="AG471" i="2"/>
  <c r="AF471" i="2"/>
  <c r="AD471" i="2"/>
  <c r="AC471" i="2"/>
  <c r="AB471" i="2"/>
  <c r="AA471" i="2"/>
  <c r="Y471" i="2"/>
  <c r="W471" i="2"/>
  <c r="U471" i="2"/>
  <c r="S471" i="2"/>
  <c r="R471" i="2"/>
  <c r="Q471" i="2"/>
  <c r="P471" i="2"/>
  <c r="X471" i="2" s="1"/>
  <c r="O471" i="2"/>
  <c r="T471" i="2" s="1"/>
  <c r="N471" i="2"/>
  <c r="K471" i="2"/>
  <c r="J471" i="2"/>
  <c r="AJ471" i="2" s="1"/>
  <c r="I471" i="2"/>
  <c r="AL470" i="2"/>
  <c r="AI470" i="2"/>
  <c r="AH470" i="2"/>
  <c r="AG470" i="2"/>
  <c r="AF470" i="2"/>
  <c r="AE470" i="2"/>
  <c r="AC470" i="2"/>
  <c r="AB470" i="2"/>
  <c r="AA470" i="2"/>
  <c r="Y470" i="2"/>
  <c r="W470" i="2"/>
  <c r="V470" i="2"/>
  <c r="U470" i="2"/>
  <c r="T470" i="2"/>
  <c r="S470" i="2"/>
  <c r="Q470" i="2"/>
  <c r="P470" i="2"/>
  <c r="X470" i="2" s="1"/>
  <c r="O470" i="2"/>
  <c r="N470" i="2"/>
  <c r="K470" i="2"/>
  <c r="Z470" i="2" s="1"/>
  <c r="J470" i="2"/>
  <c r="I470" i="2"/>
  <c r="AL469" i="2"/>
  <c r="AK469" i="2"/>
  <c r="AJ469" i="2"/>
  <c r="AI469" i="2"/>
  <c r="AH469" i="2"/>
  <c r="AG469" i="2"/>
  <c r="AF469" i="2"/>
  <c r="AE469" i="2"/>
  <c r="AC469" i="2"/>
  <c r="AB469" i="2"/>
  <c r="AA469" i="2"/>
  <c r="Y469" i="2"/>
  <c r="W469" i="2"/>
  <c r="V469" i="2"/>
  <c r="U469" i="2"/>
  <c r="S469" i="2"/>
  <c r="P469" i="2"/>
  <c r="X469" i="2" s="1"/>
  <c r="O469" i="2"/>
  <c r="T469" i="2" s="1"/>
  <c r="N469" i="2"/>
  <c r="K469" i="2"/>
  <c r="R469" i="2" s="1"/>
  <c r="J469" i="2"/>
  <c r="I469" i="2"/>
  <c r="AL468" i="2"/>
  <c r="AK468" i="2"/>
  <c r="AI468" i="2"/>
  <c r="AH468" i="2"/>
  <c r="AG468" i="2"/>
  <c r="AF468" i="2"/>
  <c r="AC468" i="2"/>
  <c r="AB468" i="2"/>
  <c r="AA468" i="2"/>
  <c r="Z468" i="2"/>
  <c r="Y468" i="2"/>
  <c r="W468" i="2"/>
  <c r="U468" i="2"/>
  <c r="S468" i="2"/>
  <c r="R468" i="2"/>
  <c r="Q468" i="2"/>
  <c r="P468" i="2"/>
  <c r="X468" i="2" s="1"/>
  <c r="O468" i="2"/>
  <c r="T468" i="2" s="1"/>
  <c r="N468" i="2"/>
  <c r="K468" i="2"/>
  <c r="J468" i="2"/>
  <c r="AD468" i="2" s="1"/>
  <c r="I468" i="2"/>
  <c r="AL467" i="2"/>
  <c r="AJ467" i="2"/>
  <c r="AI467" i="2"/>
  <c r="AH467" i="2"/>
  <c r="AG467" i="2"/>
  <c r="AF467" i="2"/>
  <c r="AD467" i="2"/>
  <c r="AC467" i="2"/>
  <c r="AB467" i="2"/>
  <c r="AA467" i="2"/>
  <c r="W467" i="2"/>
  <c r="S467" i="2"/>
  <c r="Q467" i="2"/>
  <c r="P467" i="2"/>
  <c r="X467" i="2" s="1"/>
  <c r="O467" i="2"/>
  <c r="T467" i="2" s="1"/>
  <c r="N467" i="2"/>
  <c r="K467" i="2"/>
  <c r="J467" i="2"/>
  <c r="U467" i="2" s="1"/>
  <c r="I467" i="2"/>
  <c r="AL466" i="2"/>
  <c r="AI466" i="2"/>
  <c r="AH466" i="2"/>
  <c r="AG466" i="2"/>
  <c r="AF466" i="2"/>
  <c r="AC466" i="2"/>
  <c r="AB466" i="2"/>
  <c r="AA466" i="2"/>
  <c r="W466" i="2"/>
  <c r="S466" i="2"/>
  <c r="P466" i="2"/>
  <c r="X466" i="2" s="1"/>
  <c r="O466" i="2"/>
  <c r="T466" i="2" s="1"/>
  <c r="N466" i="2"/>
  <c r="K466" i="2"/>
  <c r="J466" i="2"/>
  <c r="I466" i="2"/>
  <c r="AL465" i="2"/>
  <c r="AI465" i="2"/>
  <c r="AH465" i="2"/>
  <c r="AF465" i="2"/>
  <c r="AC465" i="2"/>
  <c r="AB465" i="2"/>
  <c r="AA465" i="2"/>
  <c r="Y465" i="2"/>
  <c r="W465" i="2"/>
  <c r="S465" i="2"/>
  <c r="P465" i="2"/>
  <c r="X465" i="2" s="1"/>
  <c r="O465" i="2"/>
  <c r="T465" i="2" s="1"/>
  <c r="N465" i="2"/>
  <c r="K465" i="2"/>
  <c r="J465" i="2"/>
  <c r="AD465" i="2" s="1"/>
  <c r="I465" i="2"/>
  <c r="AL464" i="2"/>
  <c r="AJ464" i="2"/>
  <c r="AI464" i="2"/>
  <c r="AH464" i="2"/>
  <c r="AG464" i="2"/>
  <c r="AF464" i="2"/>
  <c r="AC464" i="2"/>
  <c r="AB464" i="2"/>
  <c r="AA464" i="2"/>
  <c r="Y464" i="2"/>
  <c r="W464" i="2"/>
  <c r="U464" i="2"/>
  <c r="S464" i="2"/>
  <c r="Q464" i="2"/>
  <c r="P464" i="2"/>
  <c r="X464" i="2" s="1"/>
  <c r="O464" i="2"/>
  <c r="T464" i="2" s="1"/>
  <c r="N464" i="2"/>
  <c r="K464" i="2"/>
  <c r="J464" i="2"/>
  <c r="AD464" i="2" s="1"/>
  <c r="I464" i="2"/>
  <c r="AL463" i="2"/>
  <c r="AJ463" i="2"/>
  <c r="AI463" i="2"/>
  <c r="AH463" i="2"/>
  <c r="AG463" i="2"/>
  <c r="AF463" i="2"/>
  <c r="AC463" i="2"/>
  <c r="AB463" i="2"/>
  <c r="AA463" i="2"/>
  <c r="W463" i="2"/>
  <c r="U463" i="2"/>
  <c r="T463" i="2"/>
  <c r="S463" i="2"/>
  <c r="P463" i="2"/>
  <c r="X463" i="2" s="1"/>
  <c r="O463" i="2"/>
  <c r="N463" i="2"/>
  <c r="K463" i="2"/>
  <c r="J463" i="2"/>
  <c r="I463" i="2"/>
  <c r="AL462" i="2"/>
  <c r="AJ462" i="2"/>
  <c r="AI462" i="2"/>
  <c r="AH462" i="2"/>
  <c r="AF462" i="2"/>
  <c r="AE462" i="2"/>
  <c r="AC462" i="2"/>
  <c r="AB462" i="2"/>
  <c r="AA462" i="2"/>
  <c r="W462" i="2"/>
  <c r="S462" i="2"/>
  <c r="R462" i="2"/>
  <c r="Q462" i="2"/>
  <c r="P462" i="2"/>
  <c r="X462" i="2" s="1"/>
  <c r="O462" i="2"/>
  <c r="T462" i="2" s="1"/>
  <c r="N462" i="2"/>
  <c r="K462" i="2"/>
  <c r="J462" i="2"/>
  <c r="AG462" i="2" s="1"/>
  <c r="I462" i="2"/>
  <c r="AL461" i="2"/>
  <c r="AI461" i="2"/>
  <c r="AH461" i="2"/>
  <c r="AF461" i="2"/>
  <c r="AC461" i="2"/>
  <c r="AB461" i="2"/>
  <c r="AA461" i="2"/>
  <c r="X461" i="2"/>
  <c r="W461" i="2"/>
  <c r="S461" i="2"/>
  <c r="P461" i="2"/>
  <c r="O461" i="2"/>
  <c r="T461" i="2" s="1"/>
  <c r="N461" i="2"/>
  <c r="K461" i="2"/>
  <c r="AE461" i="2" s="1"/>
  <c r="J461" i="2"/>
  <c r="I461" i="2"/>
  <c r="AL460" i="2"/>
  <c r="AJ460" i="2"/>
  <c r="AI460" i="2"/>
  <c r="AH460" i="2"/>
  <c r="AF460" i="2"/>
  <c r="AC460" i="2"/>
  <c r="AB460" i="2"/>
  <c r="AA460" i="2"/>
  <c r="W460" i="2"/>
  <c r="T460" i="2"/>
  <c r="S460" i="2"/>
  <c r="R460" i="2"/>
  <c r="P460" i="2"/>
  <c r="X460" i="2" s="1"/>
  <c r="O460" i="2"/>
  <c r="N460" i="2"/>
  <c r="K460" i="2"/>
  <c r="J460" i="2"/>
  <c r="I460" i="2"/>
  <c r="AL459" i="2"/>
  <c r="AI459" i="2"/>
  <c r="AH459" i="2"/>
  <c r="AG459" i="2"/>
  <c r="AF459" i="2"/>
  <c r="AC459" i="2"/>
  <c r="AB459" i="2"/>
  <c r="AA459" i="2"/>
  <c r="Z459" i="2"/>
  <c r="X459" i="2"/>
  <c r="W459" i="2"/>
  <c r="V459" i="2"/>
  <c r="U459" i="2"/>
  <c r="T459" i="2"/>
  <c r="S459" i="2"/>
  <c r="P459" i="2"/>
  <c r="O459" i="2"/>
  <c r="N459" i="2"/>
  <c r="K459" i="2"/>
  <c r="J459" i="2"/>
  <c r="Q459" i="2" s="1"/>
  <c r="I459" i="2"/>
  <c r="AL458" i="2"/>
  <c r="AJ458" i="2"/>
  <c r="AI458" i="2"/>
  <c r="AH458" i="2"/>
  <c r="AF458" i="2"/>
  <c r="AC458" i="2"/>
  <c r="AB458" i="2"/>
  <c r="AA458" i="2"/>
  <c r="W458" i="2"/>
  <c r="V458" i="2"/>
  <c r="U458" i="2"/>
  <c r="S458" i="2"/>
  <c r="P458" i="2"/>
  <c r="X458" i="2" s="1"/>
  <c r="O458" i="2"/>
  <c r="T458" i="2" s="1"/>
  <c r="N458" i="2"/>
  <c r="K458" i="2"/>
  <c r="Z458" i="2" s="1"/>
  <c r="J458" i="2"/>
  <c r="Y458" i="2" s="1"/>
  <c r="I458" i="2"/>
  <c r="AL457" i="2"/>
  <c r="AK457" i="2"/>
  <c r="AI457" i="2"/>
  <c r="AH457" i="2"/>
  <c r="AG457" i="2"/>
  <c r="AF457" i="2"/>
  <c r="AD457" i="2"/>
  <c r="AC457" i="2"/>
  <c r="AB457" i="2"/>
  <c r="AA457" i="2"/>
  <c r="Z457" i="2"/>
  <c r="W457" i="2"/>
  <c r="V457" i="2"/>
  <c r="U457" i="2"/>
  <c r="S457" i="2"/>
  <c r="R457" i="2"/>
  <c r="Q457" i="2"/>
  <c r="P457" i="2"/>
  <c r="X457" i="2" s="1"/>
  <c r="O457" i="2"/>
  <c r="T457" i="2" s="1"/>
  <c r="N457" i="2"/>
  <c r="K457" i="2"/>
  <c r="AE457" i="2" s="1"/>
  <c r="J457" i="2"/>
  <c r="I457" i="2"/>
  <c r="AL456" i="2"/>
  <c r="AI456" i="2"/>
  <c r="AH456" i="2"/>
  <c r="AG456" i="2"/>
  <c r="AF456" i="2"/>
  <c r="AC456" i="2"/>
  <c r="AB456" i="2"/>
  <c r="AA456" i="2"/>
  <c r="W456" i="2"/>
  <c r="U456" i="2"/>
  <c r="S456" i="2"/>
  <c r="Q456" i="2"/>
  <c r="P456" i="2"/>
  <c r="X456" i="2" s="1"/>
  <c r="O456" i="2"/>
  <c r="T456" i="2" s="1"/>
  <c r="N456" i="2"/>
  <c r="K456" i="2"/>
  <c r="J456" i="2"/>
  <c r="AJ456" i="2" s="1"/>
  <c r="I456" i="2"/>
  <c r="AL455" i="2"/>
  <c r="AI455" i="2"/>
  <c r="AH455" i="2"/>
  <c r="AF455" i="2"/>
  <c r="AD455" i="2"/>
  <c r="AC455" i="2"/>
  <c r="AB455" i="2"/>
  <c r="AA455" i="2"/>
  <c r="W455" i="2"/>
  <c r="U455" i="2"/>
  <c r="T455" i="2"/>
  <c r="S455" i="2"/>
  <c r="P455" i="2"/>
  <c r="X455" i="2" s="1"/>
  <c r="O455" i="2"/>
  <c r="N455" i="2"/>
  <c r="K455" i="2"/>
  <c r="J455" i="2"/>
  <c r="Y455" i="2" s="1"/>
  <c r="I455" i="2"/>
  <c r="AL454" i="2"/>
  <c r="AK454" i="2"/>
  <c r="AI454" i="2"/>
  <c r="AH454" i="2"/>
  <c r="AG454" i="2"/>
  <c r="AF454" i="2"/>
  <c r="AE454" i="2"/>
  <c r="AC454" i="2"/>
  <c r="AB454" i="2"/>
  <c r="AA454" i="2"/>
  <c r="W454" i="2"/>
  <c r="V454" i="2"/>
  <c r="S454" i="2"/>
  <c r="P454" i="2"/>
  <c r="X454" i="2" s="1"/>
  <c r="O454" i="2"/>
  <c r="T454" i="2" s="1"/>
  <c r="N454" i="2"/>
  <c r="K454" i="2"/>
  <c r="J454" i="2"/>
  <c r="I454" i="2"/>
  <c r="AL453" i="2"/>
  <c r="AJ453" i="2"/>
  <c r="AI453" i="2"/>
  <c r="AH453" i="2"/>
  <c r="AG453" i="2"/>
  <c r="AF453" i="2"/>
  <c r="AC453" i="2"/>
  <c r="AB453" i="2"/>
  <c r="AA453" i="2"/>
  <c r="Y453" i="2"/>
  <c r="W453" i="2"/>
  <c r="U453" i="2"/>
  <c r="S453" i="2"/>
  <c r="Q453" i="2"/>
  <c r="P453" i="2"/>
  <c r="X453" i="2" s="1"/>
  <c r="O453" i="2"/>
  <c r="T453" i="2" s="1"/>
  <c r="N453" i="2"/>
  <c r="K453" i="2"/>
  <c r="V453" i="2" s="1"/>
  <c r="J453" i="2"/>
  <c r="AD453" i="2" s="1"/>
  <c r="I453" i="2"/>
  <c r="AL452" i="2"/>
  <c r="AI452" i="2"/>
  <c r="AH452" i="2"/>
  <c r="AG452" i="2"/>
  <c r="AF452" i="2"/>
  <c r="AC452" i="2"/>
  <c r="AB452" i="2"/>
  <c r="AA452" i="2"/>
  <c r="X452" i="2"/>
  <c r="W452" i="2"/>
  <c r="S452" i="2"/>
  <c r="P452" i="2"/>
  <c r="O452" i="2"/>
  <c r="T452" i="2" s="1"/>
  <c r="N452" i="2"/>
  <c r="K452" i="2"/>
  <c r="J452" i="2"/>
  <c r="AD452" i="2" s="1"/>
  <c r="I452" i="2"/>
  <c r="AL451" i="2"/>
  <c r="AI451" i="2"/>
  <c r="AH451" i="2"/>
  <c r="AF451" i="2"/>
  <c r="AC451" i="2"/>
  <c r="AB451" i="2"/>
  <c r="AA451" i="2"/>
  <c r="Y451" i="2"/>
  <c r="X451" i="2"/>
  <c r="W451" i="2"/>
  <c r="S451" i="2"/>
  <c r="P451" i="2"/>
  <c r="O451" i="2"/>
  <c r="T451" i="2" s="1"/>
  <c r="N451" i="2"/>
  <c r="K451" i="2"/>
  <c r="AE451" i="2" s="1"/>
  <c r="J451" i="2"/>
  <c r="I451" i="2"/>
  <c r="AL450" i="2"/>
  <c r="AI450" i="2"/>
  <c r="AH450" i="2"/>
  <c r="AG450" i="2"/>
  <c r="AF450" i="2"/>
  <c r="AC450" i="2"/>
  <c r="AB450" i="2"/>
  <c r="AA450" i="2"/>
  <c r="X450" i="2"/>
  <c r="W450" i="2"/>
  <c r="U450" i="2"/>
  <c r="S450" i="2"/>
  <c r="P450" i="2"/>
  <c r="O450" i="2"/>
  <c r="T450" i="2" s="1"/>
  <c r="N450" i="2"/>
  <c r="K450" i="2"/>
  <c r="R450" i="2" s="1"/>
  <c r="J450" i="2"/>
  <c r="I450" i="2"/>
  <c r="AL449" i="2"/>
  <c r="AK449" i="2"/>
  <c r="AI449" i="2"/>
  <c r="AH449" i="2"/>
  <c r="AF449" i="2"/>
  <c r="AC449" i="2"/>
  <c r="AB449" i="2"/>
  <c r="AA449" i="2"/>
  <c r="W449" i="2"/>
  <c r="V449" i="2"/>
  <c r="T449" i="2"/>
  <c r="S449" i="2"/>
  <c r="R449" i="2"/>
  <c r="P449" i="2"/>
  <c r="X449" i="2" s="1"/>
  <c r="O449" i="2"/>
  <c r="N449" i="2"/>
  <c r="K449" i="2"/>
  <c r="Z449" i="2" s="1"/>
  <c r="J449" i="2"/>
  <c r="AJ449" i="2" s="1"/>
  <c r="I449" i="2"/>
  <c r="AL448" i="2"/>
  <c r="AJ448" i="2"/>
  <c r="AI448" i="2"/>
  <c r="AH448" i="2"/>
  <c r="AF448" i="2"/>
  <c r="AC448" i="2"/>
  <c r="AB448" i="2"/>
  <c r="AA448" i="2"/>
  <c r="Y448" i="2"/>
  <c r="X448" i="2"/>
  <c r="W448" i="2"/>
  <c r="U448" i="2"/>
  <c r="T448" i="2"/>
  <c r="S448" i="2"/>
  <c r="Q448" i="2"/>
  <c r="P448" i="2"/>
  <c r="O448" i="2"/>
  <c r="N448" i="2"/>
  <c r="K448" i="2"/>
  <c r="J448" i="2"/>
  <c r="I448" i="2"/>
  <c r="AL447" i="2"/>
  <c r="AI447" i="2"/>
  <c r="AH447" i="2"/>
  <c r="AF447" i="2"/>
  <c r="AC447" i="2"/>
  <c r="AB447" i="2"/>
  <c r="AA447" i="2"/>
  <c r="Z447" i="2"/>
  <c r="W447" i="2"/>
  <c r="S447" i="2"/>
  <c r="P447" i="2"/>
  <c r="X447" i="2" s="1"/>
  <c r="O447" i="2"/>
  <c r="T447" i="2" s="1"/>
  <c r="N447" i="2"/>
  <c r="K447" i="2"/>
  <c r="J447" i="2"/>
  <c r="I447" i="2"/>
  <c r="AL446" i="2"/>
  <c r="AK446" i="2"/>
  <c r="AI446" i="2"/>
  <c r="AH446" i="2"/>
  <c r="AF446" i="2"/>
  <c r="AE446" i="2"/>
  <c r="AC446" i="2"/>
  <c r="AB446" i="2"/>
  <c r="AA446" i="2"/>
  <c r="X446" i="2"/>
  <c r="W446" i="2"/>
  <c r="V446" i="2"/>
  <c r="U446" i="2"/>
  <c r="S446" i="2"/>
  <c r="R446" i="2"/>
  <c r="Q446" i="2"/>
  <c r="P446" i="2"/>
  <c r="O446" i="2"/>
  <c r="T446" i="2" s="1"/>
  <c r="N446" i="2"/>
  <c r="K446" i="2"/>
  <c r="Z446" i="2" s="1"/>
  <c r="J446" i="2"/>
  <c r="AJ446" i="2" s="1"/>
  <c r="I446" i="2"/>
  <c r="AL445" i="2"/>
  <c r="AI445" i="2"/>
  <c r="AH445" i="2"/>
  <c r="AF445" i="2"/>
  <c r="AC445" i="2"/>
  <c r="AB445" i="2"/>
  <c r="AA445" i="2"/>
  <c r="W445" i="2"/>
  <c r="S445" i="2"/>
  <c r="P445" i="2"/>
  <c r="X445" i="2" s="1"/>
  <c r="O445" i="2"/>
  <c r="T445" i="2" s="1"/>
  <c r="N445" i="2"/>
  <c r="K445" i="2"/>
  <c r="AK445" i="2" s="1"/>
  <c r="J445" i="2"/>
  <c r="I445" i="2"/>
  <c r="AL444" i="2"/>
  <c r="AJ444" i="2"/>
  <c r="AI444" i="2"/>
  <c r="AH444" i="2"/>
  <c r="AF444" i="2"/>
  <c r="AD444" i="2"/>
  <c r="AC444" i="2"/>
  <c r="AB444" i="2"/>
  <c r="AA444" i="2"/>
  <c r="Z444" i="2"/>
  <c r="Y444" i="2"/>
  <c r="W444" i="2"/>
  <c r="S444" i="2"/>
  <c r="R444" i="2"/>
  <c r="Q444" i="2"/>
  <c r="P444" i="2"/>
  <c r="X444" i="2" s="1"/>
  <c r="O444" i="2"/>
  <c r="T444" i="2" s="1"/>
  <c r="N444" i="2"/>
  <c r="K444" i="2"/>
  <c r="J444" i="2"/>
  <c r="AG444" i="2" s="1"/>
  <c r="I444" i="2"/>
  <c r="AL443" i="2"/>
  <c r="AI443" i="2"/>
  <c r="AH443" i="2"/>
  <c r="AF443" i="2"/>
  <c r="AD443" i="2"/>
  <c r="AC443" i="2"/>
  <c r="AB443" i="2"/>
  <c r="AA443" i="2"/>
  <c r="W443" i="2"/>
  <c r="S443" i="2"/>
  <c r="P443" i="2"/>
  <c r="X443" i="2" s="1"/>
  <c r="O443" i="2"/>
  <c r="T443" i="2" s="1"/>
  <c r="N443" i="2"/>
  <c r="K443" i="2"/>
  <c r="AE443" i="2" s="1"/>
  <c r="J443" i="2"/>
  <c r="I443" i="2"/>
  <c r="AL442" i="2"/>
  <c r="AI442" i="2"/>
  <c r="AH442" i="2"/>
  <c r="AF442" i="2"/>
  <c r="AC442" i="2"/>
  <c r="AB442" i="2"/>
  <c r="AA442" i="2"/>
  <c r="W442" i="2"/>
  <c r="S442" i="2"/>
  <c r="P442" i="2"/>
  <c r="X442" i="2" s="1"/>
  <c r="O442" i="2"/>
  <c r="T442" i="2" s="1"/>
  <c r="N442" i="2"/>
  <c r="K442" i="2"/>
  <c r="Z442" i="2" s="1"/>
  <c r="J442" i="2"/>
  <c r="I442" i="2"/>
  <c r="AL441" i="2"/>
  <c r="AI441" i="2"/>
  <c r="AH441" i="2"/>
  <c r="AG441" i="2"/>
  <c r="AF441" i="2"/>
  <c r="AD441" i="2"/>
  <c r="AC441" i="2"/>
  <c r="AB441" i="2"/>
  <c r="AA441" i="2"/>
  <c r="Y441" i="2"/>
  <c r="W441" i="2"/>
  <c r="S441" i="2"/>
  <c r="R441" i="2"/>
  <c r="P441" i="2"/>
  <c r="X441" i="2" s="1"/>
  <c r="O441" i="2"/>
  <c r="T441" i="2" s="1"/>
  <c r="N441" i="2"/>
  <c r="K441" i="2"/>
  <c r="AE441" i="2" s="1"/>
  <c r="J441" i="2"/>
  <c r="I441" i="2"/>
  <c r="AL440" i="2"/>
  <c r="AJ440" i="2"/>
  <c r="AI440" i="2"/>
  <c r="AH440" i="2"/>
  <c r="AF440" i="2"/>
  <c r="AC440" i="2"/>
  <c r="AB440" i="2"/>
  <c r="AA440" i="2"/>
  <c r="X440" i="2"/>
  <c r="W440" i="2"/>
  <c r="S440" i="2"/>
  <c r="P440" i="2"/>
  <c r="O440" i="2"/>
  <c r="T440" i="2" s="1"/>
  <c r="N440" i="2"/>
  <c r="K440" i="2"/>
  <c r="J440" i="2"/>
  <c r="I440" i="2"/>
  <c r="AL439" i="2"/>
  <c r="AI439" i="2"/>
  <c r="AH439" i="2"/>
  <c r="AF439" i="2"/>
  <c r="AC439" i="2"/>
  <c r="AB439" i="2"/>
  <c r="AA439" i="2"/>
  <c r="Y439" i="2"/>
  <c r="W439" i="2"/>
  <c r="S439" i="2"/>
  <c r="P439" i="2"/>
  <c r="X439" i="2" s="1"/>
  <c r="O439" i="2"/>
  <c r="T439" i="2" s="1"/>
  <c r="N439" i="2"/>
  <c r="K439" i="2"/>
  <c r="AK439" i="2" s="1"/>
  <c r="J439" i="2"/>
  <c r="U439" i="2" s="1"/>
  <c r="I439" i="2"/>
  <c r="AL438" i="2"/>
  <c r="AJ438" i="2"/>
  <c r="AI438" i="2"/>
  <c r="AH438" i="2"/>
  <c r="AF438" i="2"/>
  <c r="AC438" i="2"/>
  <c r="AB438" i="2"/>
  <c r="AA438" i="2"/>
  <c r="Z438" i="2"/>
  <c r="Y438" i="2"/>
  <c r="W438" i="2"/>
  <c r="V438" i="2"/>
  <c r="U438" i="2"/>
  <c r="S438" i="2"/>
  <c r="Q438" i="2"/>
  <c r="P438" i="2"/>
  <c r="X438" i="2" s="1"/>
  <c r="O438" i="2"/>
  <c r="T438" i="2" s="1"/>
  <c r="N438" i="2"/>
  <c r="K438" i="2"/>
  <c r="J438" i="2"/>
  <c r="I438" i="2"/>
  <c r="AL437" i="2"/>
  <c r="AK437" i="2"/>
  <c r="AI437" i="2"/>
  <c r="AH437" i="2"/>
  <c r="AF437" i="2"/>
  <c r="AC437" i="2"/>
  <c r="AB437" i="2"/>
  <c r="AA437" i="2"/>
  <c r="W437" i="2"/>
  <c r="S437" i="2"/>
  <c r="P437" i="2"/>
  <c r="X437" i="2" s="1"/>
  <c r="O437" i="2"/>
  <c r="T437" i="2" s="1"/>
  <c r="N437" i="2"/>
  <c r="K437" i="2"/>
  <c r="J437" i="2"/>
  <c r="AD437" i="2" s="1"/>
  <c r="I437" i="2"/>
  <c r="AL436" i="2"/>
  <c r="AJ436" i="2"/>
  <c r="AI436" i="2"/>
  <c r="AH436" i="2"/>
  <c r="AF436" i="2"/>
  <c r="AD436" i="2"/>
  <c r="AC436" i="2"/>
  <c r="AB436" i="2"/>
  <c r="AA436" i="2"/>
  <c r="W436" i="2"/>
  <c r="U436" i="2"/>
  <c r="S436" i="2"/>
  <c r="Q436" i="2"/>
  <c r="P436" i="2"/>
  <c r="X436" i="2" s="1"/>
  <c r="O436" i="2"/>
  <c r="T436" i="2" s="1"/>
  <c r="N436" i="2"/>
  <c r="K436" i="2"/>
  <c r="J436" i="2"/>
  <c r="AG436" i="2" s="1"/>
  <c r="I436" i="2"/>
  <c r="AL435" i="2"/>
  <c r="AI435" i="2"/>
  <c r="AH435" i="2"/>
  <c r="AF435" i="2"/>
  <c r="AE435" i="2"/>
  <c r="AC435" i="2"/>
  <c r="AB435" i="2"/>
  <c r="AA435" i="2"/>
  <c r="Y435" i="2"/>
  <c r="W435" i="2"/>
  <c r="T435" i="2"/>
  <c r="S435" i="2"/>
  <c r="R435" i="2"/>
  <c r="P435" i="2"/>
  <c r="X435" i="2" s="1"/>
  <c r="O435" i="2"/>
  <c r="N435" i="2"/>
  <c r="K435" i="2"/>
  <c r="J435" i="2"/>
  <c r="I435" i="2"/>
  <c r="AL434" i="2"/>
  <c r="AJ434" i="2"/>
  <c r="AI434" i="2"/>
  <c r="AH434" i="2"/>
  <c r="AF434" i="2"/>
  <c r="AD434" i="2"/>
  <c r="AC434" i="2"/>
  <c r="AB434" i="2"/>
  <c r="AA434" i="2"/>
  <c r="Y434" i="2"/>
  <c r="X434" i="2"/>
  <c r="W434" i="2"/>
  <c r="U434" i="2"/>
  <c r="T434" i="2"/>
  <c r="S434" i="2"/>
  <c r="P434" i="2"/>
  <c r="O434" i="2"/>
  <c r="N434" i="2"/>
  <c r="K434" i="2"/>
  <c r="J434" i="2"/>
  <c r="I434" i="2"/>
  <c r="AL433" i="2"/>
  <c r="AI433" i="2"/>
  <c r="AH433" i="2"/>
  <c r="AF433" i="2"/>
  <c r="AC433" i="2"/>
  <c r="AB433" i="2"/>
  <c r="AA433" i="2"/>
  <c r="W433" i="2"/>
  <c r="T433" i="2"/>
  <c r="S433" i="2"/>
  <c r="P433" i="2"/>
  <c r="X433" i="2" s="1"/>
  <c r="O433" i="2"/>
  <c r="N433" i="2"/>
  <c r="K433" i="2"/>
  <c r="R433" i="2" s="1"/>
  <c r="J433" i="2"/>
  <c r="I433" i="2"/>
  <c r="AL432" i="2"/>
  <c r="AI432" i="2"/>
  <c r="AH432" i="2"/>
  <c r="AF432" i="2"/>
  <c r="AC432" i="2"/>
  <c r="AB432" i="2"/>
  <c r="AA432" i="2"/>
  <c r="W432" i="2"/>
  <c r="U432" i="2"/>
  <c r="T432" i="2"/>
  <c r="S432" i="2"/>
  <c r="P432" i="2"/>
  <c r="X432" i="2" s="1"/>
  <c r="O432" i="2"/>
  <c r="N432" i="2"/>
  <c r="K432" i="2"/>
  <c r="Z432" i="2" s="1"/>
  <c r="J432" i="2"/>
  <c r="I432" i="2"/>
  <c r="AL431" i="2"/>
  <c r="AK431" i="2"/>
  <c r="AI431" i="2"/>
  <c r="AH431" i="2"/>
  <c r="AF431" i="2"/>
  <c r="AC431" i="2"/>
  <c r="AB431" i="2"/>
  <c r="AA431" i="2"/>
  <c r="W431" i="2"/>
  <c r="S431" i="2"/>
  <c r="R431" i="2"/>
  <c r="P431" i="2"/>
  <c r="X431" i="2" s="1"/>
  <c r="O431" i="2"/>
  <c r="T431" i="2" s="1"/>
  <c r="N431" i="2"/>
  <c r="K431" i="2"/>
  <c r="J431" i="2"/>
  <c r="I431" i="2"/>
  <c r="AL430" i="2"/>
  <c r="AJ430" i="2"/>
  <c r="AI430" i="2"/>
  <c r="AH430" i="2"/>
  <c r="AF430" i="2"/>
  <c r="AC430" i="2"/>
  <c r="AB430" i="2"/>
  <c r="AA430" i="2"/>
  <c r="W430" i="2"/>
  <c r="V430" i="2"/>
  <c r="U430" i="2"/>
  <c r="S430" i="2"/>
  <c r="P430" i="2"/>
  <c r="X430" i="2" s="1"/>
  <c r="O430" i="2"/>
  <c r="T430" i="2" s="1"/>
  <c r="N430" i="2"/>
  <c r="K430" i="2"/>
  <c r="Z430" i="2" s="1"/>
  <c r="J430" i="2"/>
  <c r="I430" i="2"/>
  <c r="AL429" i="2"/>
  <c r="AJ429" i="2"/>
  <c r="AI429" i="2"/>
  <c r="AH429" i="2"/>
  <c r="AF429" i="2"/>
  <c r="AC429" i="2"/>
  <c r="AB429" i="2"/>
  <c r="AA429" i="2"/>
  <c r="W429" i="2"/>
  <c r="S429" i="2"/>
  <c r="P429" i="2"/>
  <c r="X429" i="2" s="1"/>
  <c r="O429" i="2"/>
  <c r="T429" i="2" s="1"/>
  <c r="N429" i="2"/>
  <c r="K429" i="2"/>
  <c r="J429" i="2"/>
  <c r="Y429" i="2" s="1"/>
  <c r="I429" i="2"/>
  <c r="AL428" i="2"/>
  <c r="AI428" i="2"/>
  <c r="AH428" i="2"/>
  <c r="AF428" i="2"/>
  <c r="AD428" i="2"/>
  <c r="AC428" i="2"/>
  <c r="AB428" i="2"/>
  <c r="AA428" i="2"/>
  <c r="Y428" i="2"/>
  <c r="X428" i="2"/>
  <c r="W428" i="2"/>
  <c r="T428" i="2"/>
  <c r="S428" i="2"/>
  <c r="P428" i="2"/>
  <c r="O428" i="2"/>
  <c r="N428" i="2"/>
  <c r="K428" i="2"/>
  <c r="J428" i="2"/>
  <c r="I428" i="2"/>
  <c r="AL427" i="2"/>
  <c r="AK427" i="2"/>
  <c r="AI427" i="2"/>
  <c r="AH427" i="2"/>
  <c r="AG427" i="2"/>
  <c r="AF427" i="2"/>
  <c r="AE427" i="2"/>
  <c r="AC427" i="2"/>
  <c r="AB427" i="2"/>
  <c r="AA427" i="2"/>
  <c r="X427" i="2"/>
  <c r="W427" i="2"/>
  <c r="T427" i="2"/>
  <c r="S427" i="2"/>
  <c r="P427" i="2"/>
  <c r="O427" i="2"/>
  <c r="N427" i="2"/>
  <c r="K427" i="2"/>
  <c r="J427" i="2"/>
  <c r="AD427" i="2" s="1"/>
  <c r="I427" i="2"/>
  <c r="AL426" i="2"/>
  <c r="AI426" i="2"/>
  <c r="AH426" i="2"/>
  <c r="AF426" i="2"/>
  <c r="AC426" i="2"/>
  <c r="AB426" i="2"/>
  <c r="AA426" i="2"/>
  <c r="Z426" i="2"/>
  <c r="Y426" i="2"/>
  <c r="W426" i="2"/>
  <c r="V426" i="2"/>
  <c r="T426" i="2"/>
  <c r="S426" i="2"/>
  <c r="P426" i="2"/>
  <c r="X426" i="2" s="1"/>
  <c r="O426" i="2"/>
  <c r="N426" i="2"/>
  <c r="K426" i="2"/>
  <c r="AK426" i="2" s="1"/>
  <c r="J426" i="2"/>
  <c r="I426" i="2"/>
  <c r="AL425" i="2"/>
  <c r="AI425" i="2"/>
  <c r="AH425" i="2"/>
  <c r="AF425" i="2"/>
  <c r="AE425" i="2"/>
  <c r="AC425" i="2"/>
  <c r="AB425" i="2"/>
  <c r="AA425" i="2"/>
  <c r="Y425" i="2"/>
  <c r="W425" i="2"/>
  <c r="S425" i="2"/>
  <c r="P425" i="2"/>
  <c r="X425" i="2" s="1"/>
  <c r="O425" i="2"/>
  <c r="T425" i="2" s="1"/>
  <c r="N425" i="2"/>
  <c r="K425" i="2"/>
  <c r="J425" i="2"/>
  <c r="I425" i="2"/>
  <c r="AL424" i="2"/>
  <c r="AI424" i="2"/>
  <c r="AH424" i="2"/>
  <c r="AF424" i="2"/>
  <c r="AE424" i="2"/>
  <c r="AC424" i="2"/>
  <c r="AB424" i="2"/>
  <c r="AA424" i="2"/>
  <c r="Y424" i="2"/>
  <c r="X424" i="2"/>
  <c r="W424" i="2"/>
  <c r="V424" i="2"/>
  <c r="U424" i="2"/>
  <c r="T424" i="2"/>
  <c r="S424" i="2"/>
  <c r="P424" i="2"/>
  <c r="O424" i="2"/>
  <c r="N424" i="2"/>
  <c r="K424" i="2"/>
  <c r="J424" i="2"/>
  <c r="AJ424" i="2" s="1"/>
  <c r="I424" i="2"/>
  <c r="AL423" i="2"/>
  <c r="AK423" i="2"/>
  <c r="AJ423" i="2"/>
  <c r="AI423" i="2"/>
  <c r="AH423" i="2"/>
  <c r="AF423" i="2"/>
  <c r="AC423" i="2"/>
  <c r="AB423" i="2"/>
  <c r="AA423" i="2"/>
  <c r="W423" i="2"/>
  <c r="T423" i="2"/>
  <c r="S423" i="2"/>
  <c r="P423" i="2"/>
  <c r="X423" i="2" s="1"/>
  <c r="O423" i="2"/>
  <c r="N423" i="2"/>
  <c r="K423" i="2"/>
  <c r="J423" i="2"/>
  <c r="AD423" i="2" s="1"/>
  <c r="I423" i="2"/>
  <c r="AL422" i="2"/>
  <c r="AJ422" i="2"/>
  <c r="AI422" i="2"/>
  <c r="AH422" i="2"/>
  <c r="AF422" i="2"/>
  <c r="AE422" i="2"/>
  <c r="AC422" i="2"/>
  <c r="AB422" i="2"/>
  <c r="AA422" i="2"/>
  <c r="X422" i="2"/>
  <c r="W422" i="2"/>
  <c r="V422" i="2"/>
  <c r="U422" i="2"/>
  <c r="T422" i="2"/>
  <c r="S422" i="2"/>
  <c r="R422" i="2"/>
  <c r="P422" i="2"/>
  <c r="O422" i="2"/>
  <c r="N422" i="2"/>
  <c r="K422" i="2"/>
  <c r="J422" i="2"/>
  <c r="I422" i="2"/>
  <c r="AL421" i="2"/>
  <c r="AI421" i="2"/>
  <c r="AH421" i="2"/>
  <c r="AG421" i="2"/>
  <c r="AF421" i="2"/>
  <c r="AD421" i="2"/>
  <c r="AC421" i="2"/>
  <c r="AB421" i="2"/>
  <c r="AA421" i="2"/>
  <c r="W421" i="2"/>
  <c r="T421" i="2"/>
  <c r="S421" i="2"/>
  <c r="P421" i="2"/>
  <c r="X421" i="2" s="1"/>
  <c r="O421" i="2"/>
  <c r="N421" i="2"/>
  <c r="K421" i="2"/>
  <c r="J421" i="2"/>
  <c r="AJ421" i="2" s="1"/>
  <c r="I421" i="2"/>
  <c r="AL420" i="2"/>
  <c r="AI420" i="2"/>
  <c r="AH420" i="2"/>
  <c r="AF420" i="2"/>
  <c r="AC420" i="2"/>
  <c r="AB420" i="2"/>
  <c r="AA420" i="2"/>
  <c r="W420" i="2"/>
  <c r="S420" i="2"/>
  <c r="P420" i="2"/>
  <c r="X420" i="2" s="1"/>
  <c r="O420" i="2"/>
  <c r="T420" i="2" s="1"/>
  <c r="N420" i="2"/>
  <c r="K420" i="2"/>
  <c r="J420" i="2"/>
  <c r="I420" i="2"/>
  <c r="AL419" i="2"/>
  <c r="AI419" i="2"/>
  <c r="AH419" i="2"/>
  <c r="AF419" i="2"/>
  <c r="AC419" i="2"/>
  <c r="AB419" i="2"/>
  <c r="AA419" i="2"/>
  <c r="W419" i="2"/>
  <c r="T419" i="2"/>
  <c r="S419" i="2"/>
  <c r="P419" i="2"/>
  <c r="X419" i="2" s="1"/>
  <c r="O419" i="2"/>
  <c r="N419" i="2"/>
  <c r="K419" i="2"/>
  <c r="J419" i="2"/>
  <c r="AJ419" i="2" s="1"/>
  <c r="I419" i="2"/>
  <c r="AL418" i="2"/>
  <c r="AI418" i="2"/>
  <c r="AH418" i="2"/>
  <c r="AF418" i="2"/>
  <c r="AC418" i="2"/>
  <c r="AB418" i="2"/>
  <c r="AA418" i="2"/>
  <c r="Z418" i="2"/>
  <c r="Y418" i="2"/>
  <c r="X418" i="2"/>
  <c r="W418" i="2"/>
  <c r="S418" i="2"/>
  <c r="P418" i="2"/>
  <c r="O418" i="2"/>
  <c r="T418" i="2" s="1"/>
  <c r="N418" i="2"/>
  <c r="K418" i="2"/>
  <c r="J418" i="2"/>
  <c r="I418" i="2"/>
  <c r="AL417" i="2"/>
  <c r="AI417" i="2"/>
  <c r="AH417" i="2"/>
  <c r="AF417" i="2"/>
  <c r="AC417" i="2"/>
  <c r="AB417" i="2"/>
  <c r="AA417" i="2"/>
  <c r="W417" i="2"/>
  <c r="S417" i="2"/>
  <c r="P417" i="2"/>
  <c r="X417" i="2" s="1"/>
  <c r="O417" i="2"/>
  <c r="T417" i="2" s="1"/>
  <c r="N417" i="2"/>
  <c r="K417" i="2"/>
  <c r="J417" i="2"/>
  <c r="I417" i="2"/>
  <c r="AL416" i="2"/>
  <c r="AJ416" i="2"/>
  <c r="AI416" i="2"/>
  <c r="AH416" i="2"/>
  <c r="AF416" i="2"/>
  <c r="AD416" i="2"/>
  <c r="AC416" i="2"/>
  <c r="AB416" i="2"/>
  <c r="AA416" i="2"/>
  <c r="Y416" i="2"/>
  <c r="W416" i="2"/>
  <c r="S416" i="2"/>
  <c r="Q416" i="2"/>
  <c r="P416" i="2"/>
  <c r="X416" i="2" s="1"/>
  <c r="O416" i="2"/>
  <c r="T416" i="2" s="1"/>
  <c r="N416" i="2"/>
  <c r="K416" i="2"/>
  <c r="J416" i="2"/>
  <c r="AG416" i="2" s="1"/>
  <c r="I416" i="2"/>
  <c r="AL415" i="2"/>
  <c r="AK415" i="2"/>
  <c r="AI415" i="2"/>
  <c r="AH415" i="2"/>
  <c r="AF415" i="2"/>
  <c r="AE415" i="2"/>
  <c r="AC415" i="2"/>
  <c r="AB415" i="2"/>
  <c r="AA415" i="2"/>
  <c r="W415" i="2"/>
  <c r="U415" i="2"/>
  <c r="S415" i="2"/>
  <c r="P415" i="2"/>
  <c r="X415" i="2" s="1"/>
  <c r="O415" i="2"/>
  <c r="T415" i="2" s="1"/>
  <c r="N415" i="2"/>
  <c r="K415" i="2"/>
  <c r="R415" i="2" s="1"/>
  <c r="J415" i="2"/>
  <c r="Y415" i="2" s="1"/>
  <c r="I415" i="2"/>
  <c r="AL414" i="2"/>
  <c r="AI414" i="2"/>
  <c r="AH414" i="2"/>
  <c r="AF414" i="2"/>
  <c r="AC414" i="2"/>
  <c r="AB414" i="2"/>
  <c r="AA414" i="2"/>
  <c r="Y414" i="2"/>
  <c r="X414" i="2"/>
  <c r="W414" i="2"/>
  <c r="T414" i="2"/>
  <c r="S414" i="2"/>
  <c r="P414" i="2"/>
  <c r="O414" i="2"/>
  <c r="N414" i="2"/>
  <c r="K414" i="2"/>
  <c r="J414" i="2"/>
  <c r="I414" i="2"/>
  <c r="AL413" i="2"/>
  <c r="AJ413" i="2"/>
  <c r="AI413" i="2"/>
  <c r="AH413" i="2"/>
  <c r="AG413" i="2"/>
  <c r="AF413" i="2"/>
  <c r="AE413" i="2"/>
  <c r="AD413" i="2"/>
  <c r="AC413" i="2"/>
  <c r="AB413" i="2"/>
  <c r="AA413" i="2"/>
  <c r="Y413" i="2"/>
  <c r="W413" i="2"/>
  <c r="U413" i="2"/>
  <c r="S413" i="2"/>
  <c r="R413" i="2"/>
  <c r="P413" i="2"/>
  <c r="X413" i="2" s="1"/>
  <c r="O413" i="2"/>
  <c r="T413" i="2" s="1"/>
  <c r="N413" i="2"/>
  <c r="K413" i="2"/>
  <c r="J413" i="2"/>
  <c r="Q413" i="2" s="1"/>
  <c r="I413" i="2"/>
  <c r="AL412" i="2"/>
  <c r="AJ412" i="2"/>
  <c r="AI412" i="2"/>
  <c r="AH412" i="2"/>
  <c r="AF412" i="2"/>
  <c r="AD412" i="2"/>
  <c r="AC412" i="2"/>
  <c r="AB412" i="2"/>
  <c r="AA412" i="2"/>
  <c r="Y412" i="2"/>
  <c r="W412" i="2"/>
  <c r="U412" i="2"/>
  <c r="T412" i="2"/>
  <c r="S412" i="2"/>
  <c r="R412" i="2"/>
  <c r="Q412" i="2"/>
  <c r="P412" i="2"/>
  <c r="X412" i="2" s="1"/>
  <c r="O412" i="2"/>
  <c r="N412" i="2"/>
  <c r="K412" i="2"/>
  <c r="J412" i="2"/>
  <c r="AG412" i="2" s="1"/>
  <c r="I412" i="2"/>
  <c r="AL411" i="2"/>
  <c r="AJ411" i="2"/>
  <c r="AI411" i="2"/>
  <c r="AH411" i="2"/>
  <c r="AG411" i="2"/>
  <c r="AF411" i="2"/>
  <c r="AD411" i="2"/>
  <c r="AC411" i="2"/>
  <c r="AB411" i="2"/>
  <c r="AA411" i="2"/>
  <c r="W411" i="2"/>
  <c r="U411" i="2"/>
  <c r="S411" i="2"/>
  <c r="R411" i="2"/>
  <c r="P411" i="2"/>
  <c r="X411" i="2" s="1"/>
  <c r="O411" i="2"/>
  <c r="T411" i="2" s="1"/>
  <c r="N411" i="2"/>
  <c r="K411" i="2"/>
  <c r="J411" i="2"/>
  <c r="Q411" i="2" s="1"/>
  <c r="I411" i="2"/>
  <c r="AL410" i="2"/>
  <c r="AJ410" i="2"/>
  <c r="AI410" i="2"/>
  <c r="AH410" i="2"/>
  <c r="AF410" i="2"/>
  <c r="AD410" i="2"/>
  <c r="AC410" i="2"/>
  <c r="AB410" i="2"/>
  <c r="AA410" i="2"/>
  <c r="Y410" i="2"/>
  <c r="W410" i="2"/>
  <c r="U410" i="2"/>
  <c r="S410" i="2"/>
  <c r="Q410" i="2"/>
  <c r="P410" i="2"/>
  <c r="X410" i="2" s="1"/>
  <c r="O410" i="2"/>
  <c r="T410" i="2" s="1"/>
  <c r="N410" i="2"/>
  <c r="K410" i="2"/>
  <c r="J410" i="2"/>
  <c r="AG410" i="2" s="1"/>
  <c r="I410" i="2"/>
  <c r="AL409" i="2"/>
  <c r="AI409" i="2"/>
  <c r="AH409" i="2"/>
  <c r="AF409" i="2"/>
  <c r="AC409" i="2"/>
  <c r="AB409" i="2"/>
  <c r="AA409" i="2"/>
  <c r="W409" i="2"/>
  <c r="S409" i="2"/>
  <c r="P409" i="2"/>
  <c r="X409" i="2" s="1"/>
  <c r="O409" i="2"/>
  <c r="T409" i="2" s="1"/>
  <c r="N409" i="2"/>
  <c r="K409" i="2"/>
  <c r="J409" i="2"/>
  <c r="I409" i="2"/>
  <c r="AL408" i="2"/>
  <c r="AI408" i="2"/>
  <c r="AH408" i="2"/>
  <c r="AF408" i="2"/>
  <c r="AC408" i="2"/>
  <c r="AB408" i="2"/>
  <c r="AA408" i="2"/>
  <c r="Z408" i="2"/>
  <c r="W408" i="2"/>
  <c r="S408" i="2"/>
  <c r="P408" i="2"/>
  <c r="X408" i="2" s="1"/>
  <c r="O408" i="2"/>
  <c r="T408" i="2" s="1"/>
  <c r="N408" i="2"/>
  <c r="K408" i="2"/>
  <c r="J408" i="2"/>
  <c r="I408" i="2"/>
  <c r="AL407" i="2"/>
  <c r="AJ407" i="2"/>
  <c r="AI407" i="2"/>
  <c r="AH407" i="2"/>
  <c r="AF407" i="2"/>
  <c r="AC407" i="2"/>
  <c r="AB407" i="2"/>
  <c r="AA407" i="2"/>
  <c r="W407" i="2"/>
  <c r="T407" i="2"/>
  <c r="S407" i="2"/>
  <c r="P407" i="2"/>
  <c r="X407" i="2" s="1"/>
  <c r="O407" i="2"/>
  <c r="N407" i="2"/>
  <c r="K407" i="2"/>
  <c r="AK407" i="2" s="1"/>
  <c r="J407" i="2"/>
  <c r="I407" i="2"/>
  <c r="AL406" i="2"/>
  <c r="AJ406" i="2"/>
  <c r="AI406" i="2"/>
  <c r="AH406" i="2"/>
  <c r="AF406" i="2"/>
  <c r="AC406" i="2"/>
  <c r="AB406" i="2"/>
  <c r="AA406" i="2"/>
  <c r="Y406" i="2"/>
  <c r="W406" i="2"/>
  <c r="U406" i="2"/>
  <c r="S406" i="2"/>
  <c r="R406" i="2"/>
  <c r="Q406" i="2"/>
  <c r="P406" i="2"/>
  <c r="X406" i="2" s="1"/>
  <c r="O406" i="2"/>
  <c r="T406" i="2" s="1"/>
  <c r="N406" i="2"/>
  <c r="K406" i="2"/>
  <c r="V406" i="2" s="1"/>
  <c r="J406" i="2"/>
  <c r="I406" i="2"/>
  <c r="AL405" i="2"/>
  <c r="AI405" i="2"/>
  <c r="AH405" i="2"/>
  <c r="AF405" i="2"/>
  <c r="AC405" i="2"/>
  <c r="AB405" i="2"/>
  <c r="AA405" i="2"/>
  <c r="X405" i="2"/>
  <c r="W405" i="2"/>
  <c r="S405" i="2"/>
  <c r="P405" i="2"/>
  <c r="O405" i="2"/>
  <c r="T405" i="2" s="1"/>
  <c r="N405" i="2"/>
  <c r="K405" i="2"/>
  <c r="J405" i="2"/>
  <c r="U405" i="2" s="1"/>
  <c r="I405" i="2"/>
  <c r="AL404" i="2"/>
  <c r="AJ404" i="2"/>
  <c r="AI404" i="2"/>
  <c r="AH404" i="2"/>
  <c r="AF404" i="2"/>
  <c r="AC404" i="2"/>
  <c r="AB404" i="2"/>
  <c r="AA404" i="2"/>
  <c r="Y404" i="2"/>
  <c r="W404" i="2"/>
  <c r="U404" i="2"/>
  <c r="T404" i="2"/>
  <c r="S404" i="2"/>
  <c r="Q404" i="2"/>
  <c r="P404" i="2"/>
  <c r="X404" i="2" s="1"/>
  <c r="O404" i="2"/>
  <c r="N404" i="2"/>
  <c r="K404" i="2"/>
  <c r="V404" i="2" s="1"/>
  <c r="J404" i="2"/>
  <c r="AG404" i="2" s="1"/>
  <c r="I404" i="2"/>
  <c r="AL403" i="2"/>
  <c r="AI403" i="2"/>
  <c r="AH403" i="2"/>
  <c r="AF403" i="2"/>
  <c r="AC403" i="2"/>
  <c r="AB403" i="2"/>
  <c r="AA403" i="2"/>
  <c r="W403" i="2"/>
  <c r="S403" i="2"/>
  <c r="P403" i="2"/>
  <c r="X403" i="2" s="1"/>
  <c r="O403" i="2"/>
  <c r="T403" i="2" s="1"/>
  <c r="N403" i="2"/>
  <c r="K403" i="2"/>
  <c r="AE403" i="2" s="1"/>
  <c r="J403" i="2"/>
  <c r="I403" i="2"/>
  <c r="AL402" i="2"/>
  <c r="AI402" i="2"/>
  <c r="AH402" i="2"/>
  <c r="AF402" i="2"/>
  <c r="AE402" i="2"/>
  <c r="AD402" i="2"/>
  <c r="AC402" i="2"/>
  <c r="AB402" i="2"/>
  <c r="AA402" i="2"/>
  <c r="Y402" i="2"/>
  <c r="W402" i="2"/>
  <c r="V402" i="2"/>
  <c r="U402" i="2"/>
  <c r="T402" i="2"/>
  <c r="S402" i="2"/>
  <c r="R402" i="2"/>
  <c r="Q402" i="2"/>
  <c r="P402" i="2"/>
  <c r="X402" i="2" s="1"/>
  <c r="O402" i="2"/>
  <c r="N402" i="2"/>
  <c r="K402" i="2"/>
  <c r="J402" i="2"/>
  <c r="AG402" i="2" s="1"/>
  <c r="I402" i="2"/>
  <c r="AL401" i="2"/>
  <c r="AK401" i="2"/>
  <c r="AJ401" i="2"/>
  <c r="AI401" i="2"/>
  <c r="AH401" i="2"/>
  <c r="AF401" i="2"/>
  <c r="AE401" i="2"/>
  <c r="AC401" i="2"/>
  <c r="AB401" i="2"/>
  <c r="AA401" i="2"/>
  <c r="Y401" i="2"/>
  <c r="W401" i="2"/>
  <c r="S401" i="2"/>
  <c r="R401" i="2"/>
  <c r="P401" i="2"/>
  <c r="X401" i="2" s="1"/>
  <c r="O401" i="2"/>
  <c r="T401" i="2" s="1"/>
  <c r="N401" i="2"/>
  <c r="K401" i="2"/>
  <c r="J401" i="2"/>
  <c r="AD401" i="2" s="1"/>
  <c r="I401" i="2"/>
  <c r="AL400" i="2"/>
  <c r="AJ400" i="2"/>
  <c r="AI400" i="2"/>
  <c r="AH400" i="2"/>
  <c r="AF400" i="2"/>
  <c r="AC400" i="2"/>
  <c r="AB400" i="2"/>
  <c r="AA400" i="2"/>
  <c r="Z400" i="2"/>
  <c r="Y400" i="2"/>
  <c r="X400" i="2"/>
  <c r="W400" i="2"/>
  <c r="V400" i="2"/>
  <c r="U400" i="2"/>
  <c r="S400" i="2"/>
  <c r="R400" i="2"/>
  <c r="P400" i="2"/>
  <c r="O400" i="2"/>
  <c r="T400" i="2" s="1"/>
  <c r="N400" i="2"/>
  <c r="K400" i="2"/>
  <c r="AK400" i="2" s="1"/>
  <c r="J400" i="2"/>
  <c r="I400" i="2"/>
  <c r="AL399" i="2"/>
  <c r="AK399" i="2"/>
  <c r="AI399" i="2"/>
  <c r="AH399" i="2"/>
  <c r="AF399" i="2"/>
  <c r="AC399" i="2"/>
  <c r="AB399" i="2"/>
  <c r="AA399" i="2"/>
  <c r="W399" i="2"/>
  <c r="T399" i="2"/>
  <c r="S399" i="2"/>
  <c r="R399" i="2"/>
  <c r="P399" i="2"/>
  <c r="X399" i="2" s="1"/>
  <c r="O399" i="2"/>
  <c r="N399" i="2"/>
  <c r="K399" i="2"/>
  <c r="J399" i="2"/>
  <c r="I399" i="2"/>
  <c r="AL398" i="2"/>
  <c r="AI398" i="2"/>
  <c r="AH398" i="2"/>
  <c r="AF398" i="2"/>
  <c r="AE398" i="2"/>
  <c r="AC398" i="2"/>
  <c r="AB398" i="2"/>
  <c r="AA398" i="2"/>
  <c r="Z398" i="2"/>
  <c r="Y398" i="2"/>
  <c r="W398" i="2"/>
  <c r="V398" i="2"/>
  <c r="U398" i="2"/>
  <c r="T398" i="2"/>
  <c r="S398" i="2"/>
  <c r="R398" i="2"/>
  <c r="P398" i="2"/>
  <c r="X398" i="2" s="1"/>
  <c r="O398" i="2"/>
  <c r="N398" i="2"/>
  <c r="K398" i="2"/>
  <c r="AK398" i="2" s="1"/>
  <c r="J398" i="2"/>
  <c r="AJ398" i="2" s="1"/>
  <c r="I398" i="2"/>
  <c r="AL397" i="2"/>
  <c r="AJ397" i="2"/>
  <c r="AI397" i="2"/>
  <c r="AH397" i="2"/>
  <c r="AF397" i="2"/>
  <c r="AC397" i="2"/>
  <c r="AB397" i="2"/>
  <c r="AA397" i="2"/>
  <c r="Y397" i="2"/>
  <c r="W397" i="2"/>
  <c r="U397" i="2"/>
  <c r="S397" i="2"/>
  <c r="P397" i="2"/>
  <c r="X397" i="2" s="1"/>
  <c r="O397" i="2"/>
  <c r="T397" i="2" s="1"/>
  <c r="N397" i="2"/>
  <c r="K397" i="2"/>
  <c r="J397" i="2"/>
  <c r="I397" i="2"/>
  <c r="AL396" i="2"/>
  <c r="AJ396" i="2"/>
  <c r="AI396" i="2"/>
  <c r="AH396" i="2"/>
  <c r="AF396" i="2"/>
  <c r="AC396" i="2"/>
  <c r="AB396" i="2"/>
  <c r="AA396" i="2"/>
  <c r="X396" i="2"/>
  <c r="W396" i="2"/>
  <c r="U396" i="2"/>
  <c r="S396" i="2"/>
  <c r="R396" i="2"/>
  <c r="Q396" i="2"/>
  <c r="P396" i="2"/>
  <c r="O396" i="2"/>
  <c r="T396" i="2" s="1"/>
  <c r="N396" i="2"/>
  <c r="K396" i="2"/>
  <c r="AE396" i="2" s="1"/>
  <c r="J396" i="2"/>
  <c r="I396" i="2"/>
  <c r="AL395" i="2"/>
  <c r="AI395" i="2"/>
  <c r="AH395" i="2"/>
  <c r="AF395" i="2"/>
  <c r="AC395" i="2"/>
  <c r="AB395" i="2"/>
  <c r="AA395" i="2"/>
  <c r="W395" i="2"/>
  <c r="S395" i="2"/>
  <c r="P395" i="2"/>
  <c r="X395" i="2" s="1"/>
  <c r="O395" i="2"/>
  <c r="T395" i="2" s="1"/>
  <c r="N395" i="2"/>
  <c r="K395" i="2"/>
  <c r="J395" i="2"/>
  <c r="I395" i="2"/>
  <c r="AL394" i="2"/>
  <c r="AJ394" i="2"/>
  <c r="AI394" i="2"/>
  <c r="AH394" i="2"/>
  <c r="AF394" i="2"/>
  <c r="AC394" i="2"/>
  <c r="AB394" i="2"/>
  <c r="AA394" i="2"/>
  <c r="Y394" i="2"/>
  <c r="W394" i="2"/>
  <c r="S394" i="2"/>
  <c r="P394" i="2"/>
  <c r="X394" i="2" s="1"/>
  <c r="O394" i="2"/>
  <c r="T394" i="2" s="1"/>
  <c r="N394" i="2"/>
  <c r="K394" i="2"/>
  <c r="AE394" i="2" s="1"/>
  <c r="J394" i="2"/>
  <c r="Q394" i="2" s="1"/>
  <c r="I394" i="2"/>
  <c r="AL393" i="2"/>
  <c r="AK393" i="2"/>
  <c r="AI393" i="2"/>
  <c r="AH393" i="2"/>
  <c r="AF393" i="2"/>
  <c r="AE393" i="2"/>
  <c r="AC393" i="2"/>
  <c r="AB393" i="2"/>
  <c r="AA393" i="2"/>
  <c r="W393" i="2"/>
  <c r="S393" i="2"/>
  <c r="R393" i="2"/>
  <c r="P393" i="2"/>
  <c r="X393" i="2" s="1"/>
  <c r="O393" i="2"/>
  <c r="T393" i="2" s="1"/>
  <c r="N393" i="2"/>
  <c r="K393" i="2"/>
  <c r="J393" i="2"/>
  <c r="I393" i="2"/>
  <c r="AL392" i="2"/>
  <c r="AI392" i="2"/>
  <c r="AH392" i="2"/>
  <c r="AF392" i="2"/>
  <c r="AC392" i="2"/>
  <c r="AB392" i="2"/>
  <c r="AA392" i="2"/>
  <c r="Y392" i="2"/>
  <c r="W392" i="2"/>
  <c r="V392" i="2"/>
  <c r="S392" i="2"/>
  <c r="Q392" i="2"/>
  <c r="P392" i="2"/>
  <c r="X392" i="2" s="1"/>
  <c r="O392" i="2"/>
  <c r="T392" i="2" s="1"/>
  <c r="N392" i="2"/>
  <c r="K392" i="2"/>
  <c r="R392" i="2" s="1"/>
  <c r="J392" i="2"/>
  <c r="I392" i="2"/>
  <c r="AL391" i="2"/>
  <c r="AK391" i="2"/>
  <c r="AI391" i="2"/>
  <c r="AH391" i="2"/>
  <c r="AF391" i="2"/>
  <c r="AC391" i="2"/>
  <c r="AB391" i="2"/>
  <c r="AA391" i="2"/>
  <c r="X391" i="2"/>
  <c r="W391" i="2"/>
  <c r="S391" i="2"/>
  <c r="R391" i="2"/>
  <c r="P391" i="2"/>
  <c r="O391" i="2"/>
  <c r="T391" i="2" s="1"/>
  <c r="N391" i="2"/>
  <c r="K391" i="2"/>
  <c r="AE391" i="2" s="1"/>
  <c r="J391" i="2"/>
  <c r="Y391" i="2" s="1"/>
  <c r="I391" i="2"/>
  <c r="AL390" i="2"/>
  <c r="AJ390" i="2"/>
  <c r="AI390" i="2"/>
  <c r="AH390" i="2"/>
  <c r="AF390" i="2"/>
  <c r="AD390" i="2"/>
  <c r="AC390" i="2"/>
  <c r="AB390" i="2"/>
  <c r="AA390" i="2"/>
  <c r="Y390" i="2"/>
  <c r="W390" i="2"/>
  <c r="U390" i="2"/>
  <c r="T390" i="2"/>
  <c r="S390" i="2"/>
  <c r="Q390" i="2"/>
  <c r="P390" i="2"/>
  <c r="X390" i="2" s="1"/>
  <c r="O390" i="2"/>
  <c r="N390" i="2"/>
  <c r="K390" i="2"/>
  <c r="J390" i="2"/>
  <c r="AG390" i="2" s="1"/>
  <c r="I390" i="2"/>
  <c r="AL389" i="2"/>
  <c r="AI389" i="2"/>
  <c r="AH389" i="2"/>
  <c r="AG389" i="2"/>
  <c r="AF389" i="2"/>
  <c r="AD389" i="2"/>
  <c r="AC389" i="2"/>
  <c r="AB389" i="2"/>
  <c r="AA389" i="2"/>
  <c r="Y389" i="2"/>
  <c r="W389" i="2"/>
  <c r="U389" i="2"/>
  <c r="S389" i="2"/>
  <c r="P389" i="2"/>
  <c r="X389" i="2" s="1"/>
  <c r="O389" i="2"/>
  <c r="T389" i="2" s="1"/>
  <c r="N389" i="2"/>
  <c r="K389" i="2"/>
  <c r="J389" i="2"/>
  <c r="I389" i="2"/>
  <c r="AL388" i="2"/>
  <c r="AJ388" i="2"/>
  <c r="AI388" i="2"/>
  <c r="AH388" i="2"/>
  <c r="AF388" i="2"/>
  <c r="AD388" i="2"/>
  <c r="AC388" i="2"/>
  <c r="AB388" i="2"/>
  <c r="AA388" i="2"/>
  <c r="W388" i="2"/>
  <c r="U388" i="2"/>
  <c r="S388" i="2"/>
  <c r="Q388" i="2"/>
  <c r="P388" i="2"/>
  <c r="X388" i="2" s="1"/>
  <c r="O388" i="2"/>
  <c r="T388" i="2" s="1"/>
  <c r="N388" i="2"/>
  <c r="K388" i="2"/>
  <c r="Z388" i="2" s="1"/>
  <c r="J388" i="2"/>
  <c r="I388" i="2"/>
  <c r="AL387" i="2"/>
  <c r="AK387" i="2"/>
  <c r="AI387" i="2"/>
  <c r="AH387" i="2"/>
  <c r="AF387" i="2"/>
  <c r="AD387" i="2"/>
  <c r="AC387" i="2"/>
  <c r="AB387" i="2"/>
  <c r="AA387" i="2"/>
  <c r="W387" i="2"/>
  <c r="S387" i="2"/>
  <c r="P387" i="2"/>
  <c r="X387" i="2" s="1"/>
  <c r="O387" i="2"/>
  <c r="T387" i="2" s="1"/>
  <c r="N387" i="2"/>
  <c r="K387" i="2"/>
  <c r="R387" i="2" s="1"/>
  <c r="J387" i="2"/>
  <c r="AJ387" i="2" s="1"/>
  <c r="I387" i="2"/>
  <c r="AL386" i="2"/>
  <c r="AI386" i="2"/>
  <c r="AH386" i="2"/>
  <c r="AF386" i="2"/>
  <c r="AE386" i="2"/>
  <c r="AD386" i="2"/>
  <c r="AC386" i="2"/>
  <c r="AB386" i="2"/>
  <c r="AA386" i="2"/>
  <c r="Y386" i="2"/>
  <c r="W386" i="2"/>
  <c r="U386" i="2"/>
  <c r="S386" i="2"/>
  <c r="Q386" i="2"/>
  <c r="P386" i="2"/>
  <c r="X386" i="2" s="1"/>
  <c r="O386" i="2"/>
  <c r="T386" i="2" s="1"/>
  <c r="N386" i="2"/>
  <c r="K386" i="2"/>
  <c r="J386" i="2"/>
  <c r="AG386" i="2" s="1"/>
  <c r="I386" i="2"/>
  <c r="AL385" i="2"/>
  <c r="AJ385" i="2"/>
  <c r="AI385" i="2"/>
  <c r="AH385" i="2"/>
  <c r="AG385" i="2"/>
  <c r="AF385" i="2"/>
  <c r="AD385" i="2"/>
  <c r="AC385" i="2"/>
  <c r="AB385" i="2"/>
  <c r="AA385" i="2"/>
  <c r="Y385" i="2"/>
  <c r="W385" i="2"/>
  <c r="S385" i="2"/>
  <c r="P385" i="2"/>
  <c r="X385" i="2" s="1"/>
  <c r="O385" i="2"/>
  <c r="T385" i="2" s="1"/>
  <c r="N385" i="2"/>
  <c r="K385" i="2"/>
  <c r="J385" i="2"/>
  <c r="I385" i="2"/>
  <c r="AL384" i="2"/>
  <c r="AI384" i="2"/>
  <c r="AH384" i="2"/>
  <c r="AF384" i="2"/>
  <c r="AC384" i="2"/>
  <c r="AB384" i="2"/>
  <c r="AA384" i="2"/>
  <c r="W384" i="2"/>
  <c r="U384" i="2"/>
  <c r="T384" i="2"/>
  <c r="S384" i="2"/>
  <c r="P384" i="2"/>
  <c r="X384" i="2" s="1"/>
  <c r="O384" i="2"/>
  <c r="N384" i="2"/>
  <c r="K384" i="2"/>
  <c r="J384" i="2"/>
  <c r="I384" i="2"/>
  <c r="AL383" i="2"/>
  <c r="AI383" i="2"/>
  <c r="AH383" i="2"/>
  <c r="AF383" i="2"/>
  <c r="AC383" i="2"/>
  <c r="AB383" i="2"/>
  <c r="AA383" i="2"/>
  <c r="W383" i="2"/>
  <c r="T383" i="2"/>
  <c r="S383" i="2"/>
  <c r="P383" i="2"/>
  <c r="X383" i="2" s="1"/>
  <c r="O383" i="2"/>
  <c r="N383" i="2"/>
  <c r="K383" i="2"/>
  <c r="J383" i="2"/>
  <c r="I383" i="2"/>
  <c r="AL382" i="2"/>
  <c r="AI382" i="2"/>
  <c r="AH382" i="2"/>
  <c r="AF382" i="2"/>
  <c r="AD382" i="2"/>
  <c r="AC382" i="2"/>
  <c r="AB382" i="2"/>
  <c r="AA382" i="2"/>
  <c r="W382" i="2"/>
  <c r="V382" i="2"/>
  <c r="T382" i="2"/>
  <c r="S382" i="2"/>
  <c r="R382" i="2"/>
  <c r="Q382" i="2"/>
  <c r="P382" i="2"/>
  <c r="X382" i="2" s="1"/>
  <c r="O382" i="2"/>
  <c r="N382" i="2"/>
  <c r="K382" i="2"/>
  <c r="AK382" i="2" s="1"/>
  <c r="J382" i="2"/>
  <c r="I382" i="2"/>
  <c r="AL381" i="2"/>
  <c r="AJ381" i="2"/>
  <c r="AI381" i="2"/>
  <c r="AH381" i="2"/>
  <c r="AF381" i="2"/>
  <c r="AC381" i="2"/>
  <c r="AB381" i="2"/>
  <c r="AA381" i="2"/>
  <c r="W381" i="2"/>
  <c r="S381" i="2"/>
  <c r="P381" i="2"/>
  <c r="X381" i="2" s="1"/>
  <c r="O381" i="2"/>
  <c r="T381" i="2" s="1"/>
  <c r="N381" i="2"/>
  <c r="K381" i="2"/>
  <c r="J381" i="2"/>
  <c r="I381" i="2"/>
  <c r="AL380" i="2"/>
  <c r="AI380" i="2"/>
  <c r="AH380" i="2"/>
  <c r="AF380" i="2"/>
  <c r="AC380" i="2"/>
  <c r="AB380" i="2"/>
  <c r="AA380" i="2"/>
  <c r="W380" i="2"/>
  <c r="S380" i="2"/>
  <c r="R380" i="2"/>
  <c r="P380" i="2"/>
  <c r="X380" i="2" s="1"/>
  <c r="O380" i="2"/>
  <c r="T380" i="2" s="1"/>
  <c r="N380" i="2"/>
  <c r="K380" i="2"/>
  <c r="AE380" i="2" s="1"/>
  <c r="J380" i="2"/>
  <c r="I380" i="2"/>
  <c r="AL379" i="2"/>
  <c r="AI379" i="2"/>
  <c r="AH379" i="2"/>
  <c r="AF379" i="2"/>
  <c r="AC379" i="2"/>
  <c r="AB379" i="2"/>
  <c r="AA379" i="2"/>
  <c r="X379" i="2"/>
  <c r="W379" i="2"/>
  <c r="S379" i="2"/>
  <c r="P379" i="2"/>
  <c r="O379" i="2"/>
  <c r="T379" i="2" s="1"/>
  <c r="N379" i="2"/>
  <c r="K379" i="2"/>
  <c r="J379" i="2"/>
  <c r="I379" i="2"/>
  <c r="AL378" i="2"/>
  <c r="AI378" i="2"/>
  <c r="AH378" i="2"/>
  <c r="AF378" i="2"/>
  <c r="AC378" i="2"/>
  <c r="AB378" i="2"/>
  <c r="AA378" i="2"/>
  <c r="X378" i="2"/>
  <c r="W378" i="2"/>
  <c r="S378" i="2"/>
  <c r="P378" i="2"/>
  <c r="O378" i="2"/>
  <c r="T378" i="2" s="1"/>
  <c r="N378" i="2"/>
  <c r="K378" i="2"/>
  <c r="J378" i="2"/>
  <c r="I378" i="2"/>
  <c r="AL377" i="2"/>
  <c r="AJ377" i="2"/>
  <c r="AI377" i="2"/>
  <c r="AH377" i="2"/>
  <c r="AF377" i="2"/>
  <c r="AC377" i="2"/>
  <c r="AB377" i="2"/>
  <c r="AA377" i="2"/>
  <c r="W377" i="2"/>
  <c r="S377" i="2"/>
  <c r="P377" i="2"/>
  <c r="X377" i="2" s="1"/>
  <c r="O377" i="2"/>
  <c r="T377" i="2" s="1"/>
  <c r="N377" i="2"/>
  <c r="K377" i="2"/>
  <c r="AK377" i="2" s="1"/>
  <c r="J377" i="2"/>
  <c r="Y377" i="2" s="1"/>
  <c r="I377" i="2"/>
  <c r="AL376" i="2"/>
  <c r="AJ376" i="2"/>
  <c r="AI376" i="2"/>
  <c r="AH376" i="2"/>
  <c r="AF376" i="2"/>
  <c r="AE376" i="2"/>
  <c r="AC376" i="2"/>
  <c r="AB376" i="2"/>
  <c r="AA376" i="2"/>
  <c r="Z376" i="2"/>
  <c r="Y376" i="2"/>
  <c r="W376" i="2"/>
  <c r="V376" i="2"/>
  <c r="S376" i="2"/>
  <c r="R376" i="2"/>
  <c r="Q376" i="2"/>
  <c r="P376" i="2"/>
  <c r="X376" i="2" s="1"/>
  <c r="O376" i="2"/>
  <c r="T376" i="2" s="1"/>
  <c r="N376" i="2"/>
  <c r="K376" i="2"/>
  <c r="AK376" i="2" s="1"/>
  <c r="J376" i="2"/>
  <c r="I376" i="2"/>
  <c r="AL375" i="2"/>
  <c r="AJ375" i="2"/>
  <c r="AI375" i="2"/>
  <c r="AH375" i="2"/>
  <c r="AG375" i="2"/>
  <c r="AF375" i="2"/>
  <c r="AC375" i="2"/>
  <c r="AB375" i="2"/>
  <c r="AA375" i="2"/>
  <c r="Y375" i="2"/>
  <c r="W375" i="2"/>
  <c r="S375" i="2"/>
  <c r="P375" i="2"/>
  <c r="X375" i="2" s="1"/>
  <c r="O375" i="2"/>
  <c r="T375" i="2" s="1"/>
  <c r="N375" i="2"/>
  <c r="K375" i="2"/>
  <c r="J375" i="2"/>
  <c r="Q375" i="2" s="1"/>
  <c r="I375" i="2"/>
  <c r="AL374" i="2"/>
  <c r="AI374" i="2"/>
  <c r="AH374" i="2"/>
  <c r="AF374" i="2"/>
  <c r="AE374" i="2"/>
  <c r="AD374" i="2"/>
  <c r="AC374" i="2"/>
  <c r="AB374" i="2"/>
  <c r="AA374" i="2"/>
  <c r="W374" i="2"/>
  <c r="U374" i="2"/>
  <c r="S374" i="2"/>
  <c r="Q374" i="2"/>
  <c r="P374" i="2"/>
  <c r="X374" i="2" s="1"/>
  <c r="O374" i="2"/>
  <c r="T374" i="2" s="1"/>
  <c r="N374" i="2"/>
  <c r="K374" i="2"/>
  <c r="V374" i="2" s="1"/>
  <c r="J374" i="2"/>
  <c r="AG374" i="2" s="1"/>
  <c r="I374" i="2"/>
  <c r="AL373" i="2"/>
  <c r="AI373" i="2"/>
  <c r="AH373" i="2"/>
  <c r="AF373" i="2"/>
  <c r="AD373" i="2"/>
  <c r="AC373" i="2"/>
  <c r="AB373" i="2"/>
  <c r="AA373" i="2"/>
  <c r="W373" i="2"/>
  <c r="S373" i="2"/>
  <c r="P373" i="2"/>
  <c r="X373" i="2" s="1"/>
  <c r="O373" i="2"/>
  <c r="T373" i="2" s="1"/>
  <c r="N373" i="2"/>
  <c r="K373" i="2"/>
  <c r="J373" i="2"/>
  <c r="I373" i="2"/>
  <c r="AL372" i="2"/>
  <c r="AJ372" i="2"/>
  <c r="AI372" i="2"/>
  <c r="AH372" i="2"/>
  <c r="AF372" i="2"/>
  <c r="AC372" i="2"/>
  <c r="AB372" i="2"/>
  <c r="AA372" i="2"/>
  <c r="Z372" i="2"/>
  <c r="Y372" i="2"/>
  <c r="X372" i="2"/>
  <c r="W372" i="2"/>
  <c r="S372" i="2"/>
  <c r="P372" i="2"/>
  <c r="O372" i="2"/>
  <c r="T372" i="2" s="1"/>
  <c r="N372" i="2"/>
  <c r="K372" i="2"/>
  <c r="J372" i="2"/>
  <c r="AG372" i="2" s="1"/>
  <c r="I372" i="2"/>
  <c r="AL371" i="2"/>
  <c r="AK371" i="2"/>
  <c r="AI371" i="2"/>
  <c r="AH371" i="2"/>
  <c r="AF371" i="2"/>
  <c r="AC371" i="2"/>
  <c r="AB371" i="2"/>
  <c r="AA371" i="2"/>
  <c r="W371" i="2"/>
  <c r="S371" i="2"/>
  <c r="R371" i="2"/>
  <c r="P371" i="2"/>
  <c r="X371" i="2" s="1"/>
  <c r="O371" i="2"/>
  <c r="T371" i="2" s="1"/>
  <c r="N371" i="2"/>
  <c r="K371" i="2"/>
  <c r="J371" i="2"/>
  <c r="I371" i="2"/>
  <c r="AL370" i="2"/>
  <c r="AJ370" i="2"/>
  <c r="AI370" i="2"/>
  <c r="AH370" i="2"/>
  <c r="AF370" i="2"/>
  <c r="AC370" i="2"/>
  <c r="AB370" i="2"/>
  <c r="AA370" i="2"/>
  <c r="W370" i="2"/>
  <c r="S370" i="2"/>
  <c r="P370" i="2"/>
  <c r="X370" i="2" s="1"/>
  <c r="O370" i="2"/>
  <c r="T370" i="2" s="1"/>
  <c r="N370" i="2"/>
  <c r="K370" i="2"/>
  <c r="V370" i="2" s="1"/>
  <c r="J370" i="2"/>
  <c r="U370" i="2" s="1"/>
  <c r="I370" i="2"/>
  <c r="AL369" i="2"/>
  <c r="AI369" i="2"/>
  <c r="AH369" i="2"/>
  <c r="AF369" i="2"/>
  <c r="AE369" i="2"/>
  <c r="AC369" i="2"/>
  <c r="AB369" i="2"/>
  <c r="AA369" i="2"/>
  <c r="X369" i="2"/>
  <c r="W369" i="2"/>
  <c r="S369" i="2"/>
  <c r="R369" i="2"/>
  <c r="P369" i="2"/>
  <c r="O369" i="2"/>
  <c r="T369" i="2" s="1"/>
  <c r="N369" i="2"/>
  <c r="K369" i="2"/>
  <c r="AK369" i="2" s="1"/>
  <c r="J369" i="2"/>
  <c r="I369" i="2"/>
  <c r="AL368" i="2"/>
  <c r="AI368" i="2"/>
  <c r="AH368" i="2"/>
  <c r="AF368" i="2"/>
  <c r="AC368" i="2"/>
  <c r="AB368" i="2"/>
  <c r="AA368" i="2"/>
  <c r="W368" i="2"/>
  <c r="T368" i="2"/>
  <c r="S368" i="2"/>
  <c r="P368" i="2"/>
  <c r="X368" i="2" s="1"/>
  <c r="O368" i="2"/>
  <c r="N368" i="2"/>
  <c r="K368" i="2"/>
  <c r="J368" i="2"/>
  <c r="I368" i="2"/>
  <c r="AL367" i="2"/>
  <c r="AI367" i="2"/>
  <c r="AH367" i="2"/>
  <c r="AF367" i="2"/>
  <c r="AC367" i="2"/>
  <c r="AB367" i="2"/>
  <c r="AA367" i="2"/>
  <c r="X367" i="2"/>
  <c r="W367" i="2"/>
  <c r="S367" i="2"/>
  <c r="P367" i="2"/>
  <c r="O367" i="2"/>
  <c r="T367" i="2" s="1"/>
  <c r="N367" i="2"/>
  <c r="K367" i="2"/>
  <c r="J367" i="2"/>
  <c r="I367" i="2"/>
  <c r="AL366" i="2"/>
  <c r="AI366" i="2"/>
  <c r="AH366" i="2"/>
  <c r="AF366" i="2"/>
  <c r="AC366" i="2"/>
  <c r="AB366" i="2"/>
  <c r="AA366" i="2"/>
  <c r="Z366" i="2"/>
  <c r="W366" i="2"/>
  <c r="S366" i="2"/>
  <c r="R366" i="2"/>
  <c r="P366" i="2"/>
  <c r="X366" i="2" s="1"/>
  <c r="O366" i="2"/>
  <c r="T366" i="2" s="1"/>
  <c r="N366" i="2"/>
  <c r="K366" i="2"/>
  <c r="V366" i="2" s="1"/>
  <c r="J366" i="2"/>
  <c r="I366" i="2"/>
  <c r="AL365" i="2"/>
  <c r="AI365" i="2"/>
  <c r="AH365" i="2"/>
  <c r="AF365" i="2"/>
  <c r="AC365" i="2"/>
  <c r="AB365" i="2"/>
  <c r="AA365" i="2"/>
  <c r="W365" i="2"/>
  <c r="S365" i="2"/>
  <c r="P365" i="2"/>
  <c r="X365" i="2" s="1"/>
  <c r="O365" i="2"/>
  <c r="T365" i="2" s="1"/>
  <c r="N365" i="2"/>
  <c r="K365" i="2"/>
  <c r="AK365" i="2" s="1"/>
  <c r="J365" i="2"/>
  <c r="AG365" i="2" s="1"/>
  <c r="I365" i="2"/>
  <c r="AL364" i="2"/>
  <c r="AI364" i="2"/>
  <c r="AH364" i="2"/>
  <c r="AF364" i="2"/>
  <c r="AC364" i="2"/>
  <c r="AB364" i="2"/>
  <c r="AA364" i="2"/>
  <c r="Y364" i="2"/>
  <c r="W364" i="2"/>
  <c r="V364" i="2"/>
  <c r="S364" i="2"/>
  <c r="P364" i="2"/>
  <c r="X364" i="2" s="1"/>
  <c r="O364" i="2"/>
  <c r="T364" i="2" s="1"/>
  <c r="N364" i="2"/>
  <c r="K364" i="2"/>
  <c r="J364" i="2"/>
  <c r="I364" i="2"/>
  <c r="AL363" i="2"/>
  <c r="AI363" i="2"/>
  <c r="AH363" i="2"/>
  <c r="AF363" i="2"/>
  <c r="AC363" i="2"/>
  <c r="AB363" i="2"/>
  <c r="AA363" i="2"/>
  <c r="W363" i="2"/>
  <c r="S363" i="2"/>
  <c r="P363" i="2"/>
  <c r="X363" i="2" s="1"/>
  <c r="O363" i="2"/>
  <c r="T363" i="2" s="1"/>
  <c r="N363" i="2"/>
  <c r="K363" i="2"/>
  <c r="J363" i="2"/>
  <c r="I363" i="2"/>
  <c r="AL362" i="2"/>
  <c r="AI362" i="2"/>
  <c r="AH362" i="2"/>
  <c r="AF362" i="2"/>
  <c r="AC362" i="2"/>
  <c r="AB362" i="2"/>
  <c r="AA362" i="2"/>
  <c r="Y362" i="2"/>
  <c r="W362" i="2"/>
  <c r="S362" i="2"/>
  <c r="R362" i="2"/>
  <c r="Q362" i="2"/>
  <c r="P362" i="2"/>
  <c r="X362" i="2" s="1"/>
  <c r="O362" i="2"/>
  <c r="T362" i="2" s="1"/>
  <c r="N362" i="2"/>
  <c r="K362" i="2"/>
  <c r="J362" i="2"/>
  <c r="AJ362" i="2" s="1"/>
  <c r="I362" i="2"/>
  <c r="AL361" i="2"/>
  <c r="AJ361" i="2"/>
  <c r="AI361" i="2"/>
  <c r="AH361" i="2"/>
  <c r="AG361" i="2"/>
  <c r="AF361" i="2"/>
  <c r="AD361" i="2"/>
  <c r="AC361" i="2"/>
  <c r="AB361" i="2"/>
  <c r="AA361" i="2"/>
  <c r="Y361" i="2"/>
  <c r="W361" i="2"/>
  <c r="S361" i="2"/>
  <c r="R361" i="2"/>
  <c r="P361" i="2"/>
  <c r="X361" i="2" s="1"/>
  <c r="O361" i="2"/>
  <c r="T361" i="2" s="1"/>
  <c r="N361" i="2"/>
  <c r="K361" i="2"/>
  <c r="J361" i="2"/>
  <c r="Q361" i="2" s="1"/>
  <c r="I361" i="2"/>
  <c r="AL360" i="2"/>
  <c r="AI360" i="2"/>
  <c r="AH360" i="2"/>
  <c r="AF360" i="2"/>
  <c r="AE360" i="2"/>
  <c r="AD360" i="2"/>
  <c r="AC360" i="2"/>
  <c r="AB360" i="2"/>
  <c r="AA360" i="2"/>
  <c r="Z360" i="2"/>
  <c r="W360" i="2"/>
  <c r="V360" i="2"/>
  <c r="U360" i="2"/>
  <c r="S360" i="2"/>
  <c r="R360" i="2"/>
  <c r="Q360" i="2"/>
  <c r="P360" i="2"/>
  <c r="X360" i="2" s="1"/>
  <c r="O360" i="2"/>
  <c r="T360" i="2" s="1"/>
  <c r="N360" i="2"/>
  <c r="K360" i="2"/>
  <c r="AK360" i="2" s="1"/>
  <c r="J360" i="2"/>
  <c r="AG360" i="2" s="1"/>
  <c r="I360" i="2"/>
  <c r="AL359" i="2"/>
  <c r="AJ359" i="2"/>
  <c r="AI359" i="2"/>
  <c r="AH359" i="2"/>
  <c r="AF359" i="2"/>
  <c r="AD359" i="2"/>
  <c r="AC359" i="2"/>
  <c r="AB359" i="2"/>
  <c r="AA359" i="2"/>
  <c r="Y359" i="2"/>
  <c r="W359" i="2"/>
  <c r="U359" i="2"/>
  <c r="S359" i="2"/>
  <c r="P359" i="2"/>
  <c r="X359" i="2" s="1"/>
  <c r="O359" i="2"/>
  <c r="T359" i="2" s="1"/>
  <c r="N359" i="2"/>
  <c r="K359" i="2"/>
  <c r="AE359" i="2" s="1"/>
  <c r="J359" i="2"/>
  <c r="I359" i="2"/>
  <c r="AL358" i="2"/>
  <c r="AJ358" i="2"/>
  <c r="AI358" i="2"/>
  <c r="AH358" i="2"/>
  <c r="AF358" i="2"/>
  <c r="AD358" i="2"/>
  <c r="AC358" i="2"/>
  <c r="AB358" i="2"/>
  <c r="AA358" i="2"/>
  <c r="W358" i="2"/>
  <c r="U358" i="2"/>
  <c r="T358" i="2"/>
  <c r="S358" i="2"/>
  <c r="Q358" i="2"/>
  <c r="P358" i="2"/>
  <c r="X358" i="2" s="1"/>
  <c r="O358" i="2"/>
  <c r="N358" i="2"/>
  <c r="K358" i="2"/>
  <c r="J358" i="2"/>
  <c r="AG358" i="2" s="1"/>
  <c r="I358" i="2"/>
  <c r="AL357" i="2"/>
  <c r="AI357" i="2"/>
  <c r="AH357" i="2"/>
  <c r="AF357" i="2"/>
  <c r="AC357" i="2"/>
  <c r="AB357" i="2"/>
  <c r="AA357" i="2"/>
  <c r="W357" i="2"/>
  <c r="S357" i="2"/>
  <c r="P357" i="2"/>
  <c r="X357" i="2" s="1"/>
  <c r="O357" i="2"/>
  <c r="T357" i="2" s="1"/>
  <c r="N357" i="2"/>
  <c r="K357" i="2"/>
  <c r="AE357" i="2" s="1"/>
  <c r="J357" i="2"/>
  <c r="I357" i="2"/>
  <c r="AL356" i="2"/>
  <c r="AJ356" i="2"/>
  <c r="AI356" i="2"/>
  <c r="AH356" i="2"/>
  <c r="AF356" i="2"/>
  <c r="AD356" i="2"/>
  <c r="AC356" i="2"/>
  <c r="AB356" i="2"/>
  <c r="AA356" i="2"/>
  <c r="Y356" i="2"/>
  <c r="X356" i="2"/>
  <c r="W356" i="2"/>
  <c r="S356" i="2"/>
  <c r="Q356" i="2"/>
  <c r="P356" i="2"/>
  <c r="O356" i="2"/>
  <c r="T356" i="2" s="1"/>
  <c r="N356" i="2"/>
  <c r="K356" i="2"/>
  <c r="J356" i="2"/>
  <c r="AG356" i="2" s="1"/>
  <c r="I356" i="2"/>
  <c r="AL355" i="2"/>
  <c r="AI355" i="2"/>
  <c r="AH355" i="2"/>
  <c r="AF355" i="2"/>
  <c r="AE355" i="2"/>
  <c r="AC355" i="2"/>
  <c r="AB355" i="2"/>
  <c r="AA355" i="2"/>
  <c r="W355" i="2"/>
  <c r="S355" i="2"/>
  <c r="R355" i="2"/>
  <c r="P355" i="2"/>
  <c r="X355" i="2" s="1"/>
  <c r="O355" i="2"/>
  <c r="T355" i="2" s="1"/>
  <c r="N355" i="2"/>
  <c r="K355" i="2"/>
  <c r="AK355" i="2" s="1"/>
  <c r="J355" i="2"/>
  <c r="I355" i="2"/>
  <c r="AL354" i="2"/>
  <c r="AJ354" i="2"/>
  <c r="AI354" i="2"/>
  <c r="AH354" i="2"/>
  <c r="AF354" i="2"/>
  <c r="AD354" i="2"/>
  <c r="AC354" i="2"/>
  <c r="AB354" i="2"/>
  <c r="AA354" i="2"/>
  <c r="Z354" i="2"/>
  <c r="Y354" i="2"/>
  <c r="W354" i="2"/>
  <c r="V354" i="2"/>
  <c r="U354" i="2"/>
  <c r="T354" i="2"/>
  <c r="S354" i="2"/>
  <c r="R354" i="2"/>
  <c r="Q354" i="2"/>
  <c r="P354" i="2"/>
  <c r="X354" i="2" s="1"/>
  <c r="O354" i="2"/>
  <c r="N354" i="2"/>
  <c r="K354" i="2"/>
  <c r="AK354" i="2" s="1"/>
  <c r="J354" i="2"/>
  <c r="AG354" i="2" s="1"/>
  <c r="I354" i="2"/>
  <c r="AL353" i="2"/>
  <c r="AI353" i="2"/>
  <c r="AH353" i="2"/>
  <c r="AG353" i="2"/>
  <c r="AF353" i="2"/>
  <c r="AD353" i="2"/>
  <c r="AC353" i="2"/>
  <c r="AB353" i="2"/>
  <c r="AA353" i="2"/>
  <c r="Y353" i="2"/>
  <c r="X353" i="2"/>
  <c r="W353" i="2"/>
  <c r="U353" i="2"/>
  <c r="S353" i="2"/>
  <c r="P353" i="2"/>
  <c r="O353" i="2"/>
  <c r="T353" i="2" s="1"/>
  <c r="N353" i="2"/>
  <c r="K353" i="2"/>
  <c r="J353" i="2"/>
  <c r="Q353" i="2" s="1"/>
  <c r="I353" i="2"/>
  <c r="AL352" i="2"/>
  <c r="AJ352" i="2"/>
  <c r="AI352" i="2"/>
  <c r="AH352" i="2"/>
  <c r="AF352" i="2"/>
  <c r="AD352" i="2"/>
  <c r="AC352" i="2"/>
  <c r="AB352" i="2"/>
  <c r="AA352" i="2"/>
  <c r="W352" i="2"/>
  <c r="U352" i="2"/>
  <c r="T352" i="2"/>
  <c r="S352" i="2"/>
  <c r="Q352" i="2"/>
  <c r="P352" i="2"/>
  <c r="X352" i="2" s="1"/>
  <c r="O352" i="2"/>
  <c r="N352" i="2"/>
  <c r="K352" i="2"/>
  <c r="J352" i="2"/>
  <c r="AG352" i="2" s="1"/>
  <c r="I352" i="2"/>
  <c r="AL351" i="2"/>
  <c r="AI351" i="2"/>
  <c r="AH351" i="2"/>
  <c r="AF351" i="2"/>
  <c r="AD351" i="2"/>
  <c r="AC351" i="2"/>
  <c r="AB351" i="2"/>
  <c r="AA351" i="2"/>
  <c r="W351" i="2"/>
  <c r="S351" i="2"/>
  <c r="P351" i="2"/>
  <c r="X351" i="2" s="1"/>
  <c r="O351" i="2"/>
  <c r="T351" i="2" s="1"/>
  <c r="N351" i="2"/>
  <c r="K351" i="2"/>
  <c r="J351" i="2"/>
  <c r="I351" i="2"/>
  <c r="AL350" i="2"/>
  <c r="AI350" i="2"/>
  <c r="AH350" i="2"/>
  <c r="AF350" i="2"/>
  <c r="AC350" i="2"/>
  <c r="AB350" i="2"/>
  <c r="AA350" i="2"/>
  <c r="Y350" i="2"/>
  <c r="W350" i="2"/>
  <c r="S350" i="2"/>
  <c r="P350" i="2"/>
  <c r="X350" i="2" s="1"/>
  <c r="O350" i="2"/>
  <c r="T350" i="2" s="1"/>
  <c r="N350" i="2"/>
  <c r="K350" i="2"/>
  <c r="J350" i="2"/>
  <c r="I350" i="2"/>
  <c r="AL349" i="2"/>
  <c r="AI349" i="2"/>
  <c r="AH349" i="2"/>
  <c r="AF349" i="2"/>
  <c r="AC349" i="2"/>
  <c r="AB349" i="2"/>
  <c r="AA349" i="2"/>
  <c r="W349" i="2"/>
  <c r="S349" i="2"/>
  <c r="P349" i="2"/>
  <c r="X349" i="2" s="1"/>
  <c r="O349" i="2"/>
  <c r="T349" i="2" s="1"/>
  <c r="N349" i="2"/>
  <c r="K349" i="2"/>
  <c r="R349" i="2" s="1"/>
  <c r="J349" i="2"/>
  <c r="I349" i="2"/>
  <c r="AL348" i="2"/>
  <c r="AI348" i="2"/>
  <c r="AH348" i="2"/>
  <c r="AF348" i="2"/>
  <c r="AC348" i="2"/>
  <c r="AB348" i="2"/>
  <c r="AA348" i="2"/>
  <c r="Z348" i="2"/>
  <c r="Y348" i="2"/>
  <c r="X348" i="2"/>
  <c r="W348" i="2"/>
  <c r="S348" i="2"/>
  <c r="Q348" i="2"/>
  <c r="P348" i="2"/>
  <c r="O348" i="2"/>
  <c r="T348" i="2" s="1"/>
  <c r="N348" i="2"/>
  <c r="K348" i="2"/>
  <c r="J348" i="2"/>
  <c r="I348" i="2"/>
  <c r="AL347" i="2"/>
  <c r="AK347" i="2"/>
  <c r="AI347" i="2"/>
  <c r="AH347" i="2"/>
  <c r="AF347" i="2"/>
  <c r="AE347" i="2"/>
  <c r="AC347" i="2"/>
  <c r="AB347" i="2"/>
  <c r="AA347" i="2"/>
  <c r="Y347" i="2"/>
  <c r="X347" i="2"/>
  <c r="W347" i="2"/>
  <c r="S347" i="2"/>
  <c r="P347" i="2"/>
  <c r="O347" i="2"/>
  <c r="T347" i="2" s="1"/>
  <c r="N347" i="2"/>
  <c r="K347" i="2"/>
  <c r="R347" i="2" s="1"/>
  <c r="J347" i="2"/>
  <c r="I347" i="2"/>
  <c r="AL346" i="2"/>
  <c r="AI346" i="2"/>
  <c r="AH346" i="2"/>
  <c r="AF346" i="2"/>
  <c r="AD346" i="2"/>
  <c r="AC346" i="2"/>
  <c r="AB346" i="2"/>
  <c r="AA346" i="2"/>
  <c r="W346" i="2"/>
  <c r="S346" i="2"/>
  <c r="P346" i="2"/>
  <c r="X346" i="2" s="1"/>
  <c r="O346" i="2"/>
  <c r="T346" i="2" s="1"/>
  <c r="N346" i="2"/>
  <c r="K346" i="2"/>
  <c r="AE346" i="2" s="1"/>
  <c r="J346" i="2"/>
  <c r="I346" i="2"/>
  <c r="AL345" i="2"/>
  <c r="AI345" i="2"/>
  <c r="AH345" i="2"/>
  <c r="AF345" i="2"/>
  <c r="AC345" i="2"/>
  <c r="AB345" i="2"/>
  <c r="AA345" i="2"/>
  <c r="Y345" i="2"/>
  <c r="W345" i="2"/>
  <c r="S345" i="2"/>
  <c r="P345" i="2"/>
  <c r="X345" i="2" s="1"/>
  <c r="O345" i="2"/>
  <c r="T345" i="2" s="1"/>
  <c r="N345" i="2"/>
  <c r="K345" i="2"/>
  <c r="R345" i="2" s="1"/>
  <c r="J345" i="2"/>
  <c r="I345" i="2"/>
  <c r="AL344" i="2"/>
  <c r="AJ344" i="2"/>
  <c r="AI344" i="2"/>
  <c r="AH344" i="2"/>
  <c r="AF344" i="2"/>
  <c r="AC344" i="2"/>
  <c r="AB344" i="2"/>
  <c r="AA344" i="2"/>
  <c r="X344" i="2"/>
  <c r="W344" i="2"/>
  <c r="S344" i="2"/>
  <c r="P344" i="2"/>
  <c r="O344" i="2"/>
  <c r="T344" i="2" s="1"/>
  <c r="N344" i="2"/>
  <c r="K344" i="2"/>
  <c r="J344" i="2"/>
  <c r="U344" i="2" s="1"/>
  <c r="I344" i="2"/>
  <c r="AL343" i="2"/>
  <c r="AK343" i="2"/>
  <c r="AI343" i="2"/>
  <c r="AH343" i="2"/>
  <c r="AG343" i="2"/>
  <c r="AF343" i="2"/>
  <c r="AC343" i="2"/>
  <c r="AB343" i="2"/>
  <c r="AA343" i="2"/>
  <c r="W343" i="2"/>
  <c r="T343" i="2"/>
  <c r="S343" i="2"/>
  <c r="P343" i="2"/>
  <c r="X343" i="2" s="1"/>
  <c r="O343" i="2"/>
  <c r="N343" i="2"/>
  <c r="K343" i="2"/>
  <c r="J343" i="2"/>
  <c r="I343" i="2"/>
  <c r="AL342" i="2"/>
  <c r="AI342" i="2"/>
  <c r="AH342" i="2"/>
  <c r="AF342" i="2"/>
  <c r="AE342" i="2"/>
  <c r="AC342" i="2"/>
  <c r="AB342" i="2"/>
  <c r="AA342" i="2"/>
  <c r="X342" i="2"/>
  <c r="W342" i="2"/>
  <c r="U342" i="2"/>
  <c r="T342" i="2"/>
  <c r="S342" i="2"/>
  <c r="P342" i="2"/>
  <c r="O342" i="2"/>
  <c r="N342" i="2"/>
  <c r="K342" i="2"/>
  <c r="J342" i="2"/>
  <c r="I342" i="2"/>
  <c r="AL341" i="2"/>
  <c r="AK341" i="2"/>
  <c r="AI341" i="2"/>
  <c r="AH341" i="2"/>
  <c r="AF341" i="2"/>
  <c r="AE341" i="2"/>
  <c r="AC341" i="2"/>
  <c r="AB341" i="2"/>
  <c r="AA341" i="2"/>
  <c r="Y341" i="2"/>
  <c r="W341" i="2"/>
  <c r="S341" i="2"/>
  <c r="P341" i="2"/>
  <c r="X341" i="2" s="1"/>
  <c r="O341" i="2"/>
  <c r="T341" i="2" s="1"/>
  <c r="N341" i="2"/>
  <c r="K341" i="2"/>
  <c r="R341" i="2" s="1"/>
  <c r="J341" i="2"/>
  <c r="I341" i="2"/>
  <c r="AL340" i="2"/>
  <c r="AJ340" i="2"/>
  <c r="AI340" i="2"/>
  <c r="AH340" i="2"/>
  <c r="AF340" i="2"/>
  <c r="AC340" i="2"/>
  <c r="AB340" i="2"/>
  <c r="AA340" i="2"/>
  <c r="W340" i="2"/>
  <c r="V340" i="2"/>
  <c r="U340" i="2"/>
  <c r="S340" i="2"/>
  <c r="P340" i="2"/>
  <c r="X340" i="2" s="1"/>
  <c r="O340" i="2"/>
  <c r="T340" i="2" s="1"/>
  <c r="N340" i="2"/>
  <c r="K340" i="2"/>
  <c r="J340" i="2"/>
  <c r="I340" i="2"/>
  <c r="AL339" i="2"/>
  <c r="AI339" i="2"/>
  <c r="AH339" i="2"/>
  <c r="AF339" i="2"/>
  <c r="AC339" i="2"/>
  <c r="AB339" i="2"/>
  <c r="AA339" i="2"/>
  <c r="X339" i="2"/>
  <c r="W339" i="2"/>
  <c r="S339" i="2"/>
  <c r="P339" i="2"/>
  <c r="O339" i="2"/>
  <c r="T339" i="2" s="1"/>
  <c r="N339" i="2"/>
  <c r="K339" i="2"/>
  <c r="J339" i="2"/>
  <c r="I339" i="2"/>
  <c r="AL338" i="2"/>
  <c r="AI338" i="2"/>
  <c r="AH338" i="2"/>
  <c r="AF338" i="2"/>
  <c r="AE338" i="2"/>
  <c r="AC338" i="2"/>
  <c r="AB338" i="2"/>
  <c r="AA338" i="2"/>
  <c r="Z338" i="2"/>
  <c r="Y338" i="2"/>
  <c r="W338" i="2"/>
  <c r="T338" i="2"/>
  <c r="S338" i="2"/>
  <c r="R338" i="2"/>
  <c r="P338" i="2"/>
  <c r="X338" i="2" s="1"/>
  <c r="O338" i="2"/>
  <c r="N338" i="2"/>
  <c r="K338" i="2"/>
  <c r="AK338" i="2" s="1"/>
  <c r="J338" i="2"/>
  <c r="I338" i="2"/>
  <c r="AL337" i="2"/>
  <c r="AI337" i="2"/>
  <c r="AH337" i="2"/>
  <c r="AF337" i="2"/>
  <c r="AC337" i="2"/>
  <c r="AB337" i="2"/>
  <c r="AA337" i="2"/>
  <c r="X337" i="2"/>
  <c r="W337" i="2"/>
  <c r="S337" i="2"/>
  <c r="P337" i="2"/>
  <c r="O337" i="2"/>
  <c r="T337" i="2" s="1"/>
  <c r="N337" i="2"/>
  <c r="K337" i="2"/>
  <c r="AK337" i="2" s="1"/>
  <c r="J337" i="2"/>
  <c r="I337" i="2"/>
  <c r="AL336" i="2"/>
  <c r="AI336" i="2"/>
  <c r="AH336" i="2"/>
  <c r="AF336" i="2"/>
  <c r="AC336" i="2"/>
  <c r="AB336" i="2"/>
  <c r="AA336" i="2"/>
  <c r="W336" i="2"/>
  <c r="T336" i="2"/>
  <c r="S336" i="2"/>
  <c r="P336" i="2"/>
  <c r="X336" i="2" s="1"/>
  <c r="O336" i="2"/>
  <c r="N336" i="2"/>
  <c r="K336" i="2"/>
  <c r="AE336" i="2" s="1"/>
  <c r="J336" i="2"/>
  <c r="AJ336" i="2" s="1"/>
  <c r="I336" i="2"/>
  <c r="AL335" i="2"/>
  <c r="AK335" i="2"/>
  <c r="AI335" i="2"/>
  <c r="AH335" i="2"/>
  <c r="AF335" i="2"/>
  <c r="AC335" i="2"/>
  <c r="AB335" i="2"/>
  <c r="AA335" i="2"/>
  <c r="X335" i="2"/>
  <c r="W335" i="2"/>
  <c r="U335" i="2"/>
  <c r="S335" i="2"/>
  <c r="P335" i="2"/>
  <c r="O335" i="2"/>
  <c r="T335" i="2" s="1"/>
  <c r="N335" i="2"/>
  <c r="K335" i="2"/>
  <c r="J335" i="2"/>
  <c r="I335" i="2"/>
  <c r="AL334" i="2"/>
  <c r="AJ334" i="2"/>
  <c r="AI334" i="2"/>
  <c r="AH334" i="2"/>
  <c r="AF334" i="2"/>
  <c r="AD334" i="2"/>
  <c r="AC334" i="2"/>
  <c r="AB334" i="2"/>
  <c r="AA334" i="2"/>
  <c r="Z334" i="2"/>
  <c r="Y334" i="2"/>
  <c r="X334" i="2"/>
  <c r="W334" i="2"/>
  <c r="S334" i="2"/>
  <c r="R334" i="2"/>
  <c r="Q334" i="2"/>
  <c r="P334" i="2"/>
  <c r="O334" i="2"/>
  <c r="T334" i="2" s="1"/>
  <c r="N334" i="2"/>
  <c r="K334" i="2"/>
  <c r="J334" i="2"/>
  <c r="AG334" i="2" s="1"/>
  <c r="I334" i="2"/>
  <c r="AL333" i="2"/>
  <c r="AI333" i="2"/>
  <c r="AH333" i="2"/>
  <c r="AF333" i="2"/>
  <c r="AC333" i="2"/>
  <c r="AB333" i="2"/>
  <c r="AA333" i="2"/>
  <c r="W333" i="2"/>
  <c r="T333" i="2"/>
  <c r="S333" i="2"/>
  <c r="P333" i="2"/>
  <c r="X333" i="2" s="1"/>
  <c r="O333" i="2"/>
  <c r="N333" i="2"/>
  <c r="K333" i="2"/>
  <c r="J333" i="2"/>
  <c r="I333" i="2"/>
  <c r="AL332" i="2"/>
  <c r="AI332" i="2"/>
  <c r="AH332" i="2"/>
  <c r="AF332" i="2"/>
  <c r="AC332" i="2"/>
  <c r="AB332" i="2"/>
  <c r="AA332" i="2"/>
  <c r="W332" i="2"/>
  <c r="V332" i="2"/>
  <c r="S332" i="2"/>
  <c r="P332" i="2"/>
  <c r="X332" i="2" s="1"/>
  <c r="O332" i="2"/>
  <c r="T332" i="2" s="1"/>
  <c r="N332" i="2"/>
  <c r="K332" i="2"/>
  <c r="J332" i="2"/>
  <c r="I332" i="2"/>
  <c r="AL331" i="2"/>
  <c r="AI331" i="2"/>
  <c r="AH331" i="2"/>
  <c r="AF331" i="2"/>
  <c r="AD331" i="2"/>
  <c r="AC331" i="2"/>
  <c r="AB331" i="2"/>
  <c r="AA331" i="2"/>
  <c r="Y331" i="2"/>
  <c r="X331" i="2"/>
  <c r="W331" i="2"/>
  <c r="S331" i="2"/>
  <c r="P331" i="2"/>
  <c r="O331" i="2"/>
  <c r="T331" i="2" s="1"/>
  <c r="N331" i="2"/>
  <c r="K331" i="2"/>
  <c r="J331" i="2"/>
  <c r="I331" i="2"/>
  <c r="AL330" i="2"/>
  <c r="AI330" i="2"/>
  <c r="AH330" i="2"/>
  <c r="AF330" i="2"/>
  <c r="AC330" i="2"/>
  <c r="AB330" i="2"/>
  <c r="AA330" i="2"/>
  <c r="W330" i="2"/>
  <c r="S330" i="2"/>
  <c r="P330" i="2"/>
  <c r="X330" i="2" s="1"/>
  <c r="O330" i="2"/>
  <c r="T330" i="2" s="1"/>
  <c r="N330" i="2"/>
  <c r="K330" i="2"/>
  <c r="AE330" i="2" s="1"/>
  <c r="J330" i="2"/>
  <c r="AJ330" i="2" s="1"/>
  <c r="I330" i="2"/>
  <c r="AL329" i="2"/>
  <c r="AI329" i="2"/>
  <c r="AH329" i="2"/>
  <c r="AF329" i="2"/>
  <c r="AC329" i="2"/>
  <c r="AB329" i="2"/>
  <c r="AA329" i="2"/>
  <c r="X329" i="2"/>
  <c r="W329" i="2"/>
  <c r="S329" i="2"/>
  <c r="P329" i="2"/>
  <c r="O329" i="2"/>
  <c r="T329" i="2" s="1"/>
  <c r="N329" i="2"/>
  <c r="K329" i="2"/>
  <c r="J329" i="2"/>
  <c r="I329" i="2"/>
  <c r="AL328" i="2"/>
  <c r="AJ328" i="2"/>
  <c r="AI328" i="2"/>
  <c r="AH328" i="2"/>
  <c r="AF328" i="2"/>
  <c r="AD328" i="2"/>
  <c r="AC328" i="2"/>
  <c r="AB328" i="2"/>
  <c r="AA328" i="2"/>
  <c r="Z328" i="2"/>
  <c r="W328" i="2"/>
  <c r="V328" i="2"/>
  <c r="T328" i="2"/>
  <c r="S328" i="2"/>
  <c r="R328" i="2"/>
  <c r="Q328" i="2"/>
  <c r="P328" i="2"/>
  <c r="X328" i="2" s="1"/>
  <c r="O328" i="2"/>
  <c r="N328" i="2"/>
  <c r="K328" i="2"/>
  <c r="J328" i="2"/>
  <c r="I328" i="2"/>
  <c r="AL327" i="2"/>
  <c r="AK327" i="2"/>
  <c r="AI327" i="2"/>
  <c r="AH327" i="2"/>
  <c r="AG327" i="2"/>
  <c r="AF327" i="2"/>
  <c r="AE327" i="2"/>
  <c r="AD327" i="2"/>
  <c r="AC327" i="2"/>
  <c r="AB327" i="2"/>
  <c r="AA327" i="2"/>
  <c r="W327" i="2"/>
  <c r="U327" i="2"/>
  <c r="S327" i="2"/>
  <c r="R327" i="2"/>
  <c r="P327" i="2"/>
  <c r="X327" i="2" s="1"/>
  <c r="O327" i="2"/>
  <c r="T327" i="2" s="1"/>
  <c r="N327" i="2"/>
  <c r="K327" i="2"/>
  <c r="J327" i="2"/>
  <c r="I327" i="2"/>
  <c r="AL326" i="2"/>
  <c r="AJ326" i="2"/>
  <c r="AI326" i="2"/>
  <c r="AH326" i="2"/>
  <c r="AF326" i="2"/>
  <c r="AD326" i="2"/>
  <c r="AC326" i="2"/>
  <c r="AB326" i="2"/>
  <c r="AA326" i="2"/>
  <c r="W326" i="2"/>
  <c r="T326" i="2"/>
  <c r="S326" i="2"/>
  <c r="P326" i="2"/>
  <c r="X326" i="2" s="1"/>
  <c r="O326" i="2"/>
  <c r="N326" i="2"/>
  <c r="K326" i="2"/>
  <c r="J326" i="2"/>
  <c r="I326" i="2"/>
  <c r="AL325" i="2"/>
  <c r="AK325" i="2"/>
  <c r="AI325" i="2"/>
  <c r="AH325" i="2"/>
  <c r="AF325" i="2"/>
  <c r="AC325" i="2"/>
  <c r="AB325" i="2"/>
  <c r="AA325" i="2"/>
  <c r="X325" i="2"/>
  <c r="W325" i="2"/>
  <c r="S325" i="2"/>
  <c r="P325" i="2"/>
  <c r="O325" i="2"/>
  <c r="T325" i="2" s="1"/>
  <c r="N325" i="2"/>
  <c r="K325" i="2"/>
  <c r="J325" i="2"/>
  <c r="I325" i="2"/>
  <c r="AL324" i="2"/>
  <c r="AI324" i="2"/>
  <c r="AH324" i="2"/>
  <c r="AF324" i="2"/>
  <c r="AC324" i="2"/>
  <c r="AB324" i="2"/>
  <c r="AA324" i="2"/>
  <c r="W324" i="2"/>
  <c r="S324" i="2"/>
  <c r="P324" i="2"/>
  <c r="X324" i="2" s="1"/>
  <c r="O324" i="2"/>
  <c r="T324" i="2" s="1"/>
  <c r="N324" i="2"/>
  <c r="K324" i="2"/>
  <c r="J324" i="2"/>
  <c r="I324" i="2"/>
  <c r="AL323" i="2"/>
  <c r="AJ323" i="2"/>
  <c r="AI323" i="2"/>
  <c r="AH323" i="2"/>
  <c r="AF323" i="2"/>
  <c r="AC323" i="2"/>
  <c r="AB323" i="2"/>
  <c r="AA323" i="2"/>
  <c r="W323" i="2"/>
  <c r="S323" i="2"/>
  <c r="P323" i="2"/>
  <c r="X323" i="2" s="1"/>
  <c r="O323" i="2"/>
  <c r="T323" i="2" s="1"/>
  <c r="N323" i="2"/>
  <c r="K323" i="2"/>
  <c r="J323" i="2"/>
  <c r="Y323" i="2" s="1"/>
  <c r="I323" i="2"/>
  <c r="AL322" i="2"/>
  <c r="AI322" i="2"/>
  <c r="AH322" i="2"/>
  <c r="AF322" i="2"/>
  <c r="AC322" i="2"/>
  <c r="AB322" i="2"/>
  <c r="AA322" i="2"/>
  <c r="W322" i="2"/>
  <c r="V322" i="2"/>
  <c r="S322" i="2"/>
  <c r="P322" i="2"/>
  <c r="X322" i="2" s="1"/>
  <c r="O322" i="2"/>
  <c r="T322" i="2" s="1"/>
  <c r="N322" i="2"/>
  <c r="K322" i="2"/>
  <c r="J322" i="2"/>
  <c r="I322" i="2"/>
  <c r="AL321" i="2"/>
  <c r="AI321" i="2"/>
  <c r="AH321" i="2"/>
  <c r="AF321" i="2"/>
  <c r="AC321" i="2"/>
  <c r="AB321" i="2"/>
  <c r="AA321" i="2"/>
  <c r="W321" i="2"/>
  <c r="T321" i="2"/>
  <c r="S321" i="2"/>
  <c r="P321" i="2"/>
  <c r="X321" i="2" s="1"/>
  <c r="O321" i="2"/>
  <c r="N321" i="2"/>
  <c r="K321" i="2"/>
  <c r="J321" i="2"/>
  <c r="I321" i="2"/>
  <c r="AL320" i="2"/>
  <c r="AJ320" i="2"/>
  <c r="AI320" i="2"/>
  <c r="AH320" i="2"/>
  <c r="AF320" i="2"/>
  <c r="AE320" i="2"/>
  <c r="AC320" i="2"/>
  <c r="AB320" i="2"/>
  <c r="AA320" i="2"/>
  <c r="Y320" i="2"/>
  <c r="X320" i="2"/>
  <c r="W320" i="2"/>
  <c r="V320" i="2"/>
  <c r="U320" i="2"/>
  <c r="T320" i="2"/>
  <c r="S320" i="2"/>
  <c r="P320" i="2"/>
  <c r="O320" i="2"/>
  <c r="N320" i="2"/>
  <c r="K320" i="2"/>
  <c r="J320" i="2"/>
  <c r="I320" i="2"/>
  <c r="AL319" i="2"/>
  <c r="AI319" i="2"/>
  <c r="AH319" i="2"/>
  <c r="AF319" i="2"/>
  <c r="AC319" i="2"/>
  <c r="AB319" i="2"/>
  <c r="AA319" i="2"/>
  <c r="W319" i="2"/>
  <c r="S319" i="2"/>
  <c r="P319" i="2"/>
  <c r="X319" i="2" s="1"/>
  <c r="O319" i="2"/>
  <c r="T319" i="2" s="1"/>
  <c r="N319" i="2"/>
  <c r="K319" i="2"/>
  <c r="AE319" i="2" s="1"/>
  <c r="J319" i="2"/>
  <c r="I319" i="2"/>
  <c r="AL318" i="2"/>
  <c r="AJ318" i="2"/>
  <c r="AI318" i="2"/>
  <c r="AH318" i="2"/>
  <c r="AF318" i="2"/>
  <c r="AC318" i="2"/>
  <c r="AB318" i="2"/>
  <c r="AA318" i="2"/>
  <c r="W318" i="2"/>
  <c r="U318" i="2"/>
  <c r="T318" i="2"/>
  <c r="S318" i="2"/>
  <c r="P318" i="2"/>
  <c r="X318" i="2" s="1"/>
  <c r="O318" i="2"/>
  <c r="N318" i="2"/>
  <c r="K318" i="2"/>
  <c r="J318" i="2"/>
  <c r="I318" i="2"/>
  <c r="AL317" i="2"/>
  <c r="AK317" i="2"/>
  <c r="AI317" i="2"/>
  <c r="AH317" i="2"/>
  <c r="AF317" i="2"/>
  <c r="AE317" i="2"/>
  <c r="AC317" i="2"/>
  <c r="AB317" i="2"/>
  <c r="AA317" i="2"/>
  <c r="Y317" i="2"/>
  <c r="W317" i="2"/>
  <c r="S317" i="2"/>
  <c r="P317" i="2"/>
  <c r="X317" i="2" s="1"/>
  <c r="O317" i="2"/>
  <c r="T317" i="2" s="1"/>
  <c r="N317" i="2"/>
  <c r="K317" i="2"/>
  <c r="J317" i="2"/>
  <c r="I317" i="2"/>
  <c r="AL316" i="2"/>
  <c r="AJ316" i="2"/>
  <c r="AI316" i="2"/>
  <c r="AH316" i="2"/>
  <c r="AF316" i="2"/>
  <c r="AE316" i="2"/>
  <c r="AC316" i="2"/>
  <c r="AB316" i="2"/>
  <c r="AA316" i="2"/>
  <c r="Y316" i="2"/>
  <c r="X316" i="2"/>
  <c r="W316" i="2"/>
  <c r="V316" i="2"/>
  <c r="U316" i="2"/>
  <c r="S316" i="2"/>
  <c r="P316" i="2"/>
  <c r="O316" i="2"/>
  <c r="T316" i="2" s="1"/>
  <c r="N316" i="2"/>
  <c r="K316" i="2"/>
  <c r="J316" i="2"/>
  <c r="I316" i="2"/>
  <c r="AL315" i="2"/>
  <c r="AI315" i="2"/>
  <c r="AH315" i="2"/>
  <c r="AF315" i="2"/>
  <c r="AE315" i="2"/>
  <c r="AC315" i="2"/>
  <c r="AB315" i="2"/>
  <c r="AA315" i="2"/>
  <c r="W315" i="2"/>
  <c r="U315" i="2"/>
  <c r="S315" i="2"/>
  <c r="P315" i="2"/>
  <c r="X315" i="2" s="1"/>
  <c r="O315" i="2"/>
  <c r="T315" i="2" s="1"/>
  <c r="N315" i="2"/>
  <c r="K315" i="2"/>
  <c r="J315" i="2"/>
  <c r="I315" i="2"/>
  <c r="AL314" i="2"/>
  <c r="AJ314" i="2"/>
  <c r="AI314" i="2"/>
  <c r="AH314" i="2"/>
  <c r="AF314" i="2"/>
  <c r="AD314" i="2"/>
  <c r="AC314" i="2"/>
  <c r="AB314" i="2"/>
  <c r="AA314" i="2"/>
  <c r="W314" i="2"/>
  <c r="V314" i="2"/>
  <c r="T314" i="2"/>
  <c r="S314" i="2"/>
  <c r="R314" i="2"/>
  <c r="Q314" i="2"/>
  <c r="P314" i="2"/>
  <c r="X314" i="2" s="1"/>
  <c r="O314" i="2"/>
  <c r="N314" i="2"/>
  <c r="K314" i="2"/>
  <c r="J314" i="2"/>
  <c r="I314" i="2"/>
  <c r="AL313" i="2"/>
  <c r="AK313" i="2"/>
  <c r="AI313" i="2"/>
  <c r="AH313" i="2"/>
  <c r="AF313" i="2"/>
  <c r="AE313" i="2"/>
  <c r="AC313" i="2"/>
  <c r="AB313" i="2"/>
  <c r="AA313" i="2"/>
  <c r="W313" i="2"/>
  <c r="T313" i="2"/>
  <c r="S313" i="2"/>
  <c r="R313" i="2"/>
  <c r="P313" i="2"/>
  <c r="X313" i="2" s="1"/>
  <c r="O313" i="2"/>
  <c r="N313" i="2"/>
  <c r="K313" i="2"/>
  <c r="J313" i="2"/>
  <c r="AD313" i="2" s="1"/>
  <c r="I313" i="2"/>
  <c r="AL312" i="2"/>
  <c r="AJ312" i="2"/>
  <c r="AI312" i="2"/>
  <c r="AH312" i="2"/>
  <c r="AF312" i="2"/>
  <c r="AD312" i="2"/>
  <c r="AC312" i="2"/>
  <c r="AB312" i="2"/>
  <c r="AA312" i="2"/>
  <c r="Z312" i="2"/>
  <c r="W312" i="2"/>
  <c r="V312" i="2"/>
  <c r="U312" i="2"/>
  <c r="S312" i="2"/>
  <c r="P312" i="2"/>
  <c r="X312" i="2" s="1"/>
  <c r="O312" i="2"/>
  <c r="T312" i="2" s="1"/>
  <c r="N312" i="2"/>
  <c r="K312" i="2"/>
  <c r="J312" i="2"/>
  <c r="I312" i="2"/>
  <c r="AL311" i="2"/>
  <c r="AI311" i="2"/>
  <c r="AH311" i="2"/>
  <c r="AG311" i="2"/>
  <c r="AF311" i="2"/>
  <c r="AC311" i="2"/>
  <c r="AB311" i="2"/>
  <c r="AA311" i="2"/>
  <c r="W311" i="2"/>
  <c r="T311" i="2"/>
  <c r="S311" i="2"/>
  <c r="P311" i="2"/>
  <c r="X311" i="2" s="1"/>
  <c r="O311" i="2"/>
  <c r="N311" i="2"/>
  <c r="K311" i="2"/>
  <c r="J311" i="2"/>
  <c r="Y311" i="2" s="1"/>
  <c r="I311" i="2"/>
  <c r="AL310" i="2"/>
  <c r="AJ310" i="2"/>
  <c r="AI310" i="2"/>
  <c r="AH310" i="2"/>
  <c r="AF310" i="2"/>
  <c r="AC310" i="2"/>
  <c r="AB310" i="2"/>
  <c r="AA310" i="2"/>
  <c r="Y310" i="2"/>
  <c r="X310" i="2"/>
  <c r="W310" i="2"/>
  <c r="S310" i="2"/>
  <c r="P310" i="2"/>
  <c r="O310" i="2"/>
  <c r="T310" i="2" s="1"/>
  <c r="N310" i="2"/>
  <c r="K310" i="2"/>
  <c r="J310" i="2"/>
  <c r="I310" i="2"/>
  <c r="AL309" i="2"/>
  <c r="AI309" i="2"/>
  <c r="AH309" i="2"/>
  <c r="AF309" i="2"/>
  <c r="AC309" i="2"/>
  <c r="AB309" i="2"/>
  <c r="AA309" i="2"/>
  <c r="X309" i="2"/>
  <c r="W309" i="2"/>
  <c r="S309" i="2"/>
  <c r="P309" i="2"/>
  <c r="O309" i="2"/>
  <c r="T309" i="2" s="1"/>
  <c r="N309" i="2"/>
  <c r="K309" i="2"/>
  <c r="J309" i="2"/>
  <c r="I309" i="2"/>
  <c r="AL308" i="2"/>
  <c r="AJ308" i="2"/>
  <c r="AI308" i="2"/>
  <c r="AH308" i="2"/>
  <c r="AF308" i="2"/>
  <c r="AC308" i="2"/>
  <c r="AB308" i="2"/>
  <c r="AA308" i="2"/>
  <c r="W308" i="2"/>
  <c r="U308" i="2"/>
  <c r="T308" i="2"/>
  <c r="S308" i="2"/>
  <c r="P308" i="2"/>
  <c r="X308" i="2" s="1"/>
  <c r="O308" i="2"/>
  <c r="N308" i="2"/>
  <c r="K308" i="2"/>
  <c r="AE308" i="2" s="1"/>
  <c r="J308" i="2"/>
  <c r="I308" i="2"/>
  <c r="AL307" i="2"/>
  <c r="AI307" i="2"/>
  <c r="AH307" i="2"/>
  <c r="AF307" i="2"/>
  <c r="AC307" i="2"/>
  <c r="AB307" i="2"/>
  <c r="AA307" i="2"/>
  <c r="W307" i="2"/>
  <c r="S307" i="2"/>
  <c r="P307" i="2"/>
  <c r="X307" i="2" s="1"/>
  <c r="O307" i="2"/>
  <c r="T307" i="2" s="1"/>
  <c r="N307" i="2"/>
  <c r="K307" i="2"/>
  <c r="J307" i="2"/>
  <c r="I307" i="2"/>
  <c r="AL306" i="2"/>
  <c r="AI306" i="2"/>
  <c r="AH306" i="2"/>
  <c r="AF306" i="2"/>
  <c r="AD306" i="2"/>
  <c r="AC306" i="2"/>
  <c r="AB306" i="2"/>
  <c r="AA306" i="2"/>
  <c r="Z306" i="2"/>
  <c r="Y306" i="2"/>
  <c r="X306" i="2"/>
  <c r="W306" i="2"/>
  <c r="U306" i="2"/>
  <c r="S306" i="2"/>
  <c r="R306" i="2"/>
  <c r="Q306" i="2"/>
  <c r="P306" i="2"/>
  <c r="O306" i="2"/>
  <c r="T306" i="2" s="1"/>
  <c r="N306" i="2"/>
  <c r="K306" i="2"/>
  <c r="V306" i="2" s="1"/>
  <c r="J306" i="2"/>
  <c r="AG306" i="2" s="1"/>
  <c r="I306" i="2"/>
  <c r="AL305" i="2"/>
  <c r="AI305" i="2"/>
  <c r="AH305" i="2"/>
  <c r="AF305" i="2"/>
  <c r="AE305" i="2"/>
  <c r="AC305" i="2"/>
  <c r="AB305" i="2"/>
  <c r="AA305" i="2"/>
  <c r="W305" i="2"/>
  <c r="S305" i="2"/>
  <c r="P305" i="2"/>
  <c r="X305" i="2" s="1"/>
  <c r="O305" i="2"/>
  <c r="T305" i="2" s="1"/>
  <c r="N305" i="2"/>
  <c r="K305" i="2"/>
  <c r="J305" i="2"/>
  <c r="AD305" i="2" s="1"/>
  <c r="I305" i="2"/>
  <c r="AL304" i="2"/>
  <c r="AI304" i="2"/>
  <c r="AH304" i="2"/>
  <c r="AF304" i="2"/>
  <c r="AD304" i="2"/>
  <c r="AC304" i="2"/>
  <c r="AB304" i="2"/>
  <c r="AA304" i="2"/>
  <c r="Y304" i="2"/>
  <c r="W304" i="2"/>
  <c r="S304" i="2"/>
  <c r="P304" i="2"/>
  <c r="X304" i="2" s="1"/>
  <c r="O304" i="2"/>
  <c r="T304" i="2" s="1"/>
  <c r="N304" i="2"/>
  <c r="K304" i="2"/>
  <c r="Z304" i="2" s="1"/>
  <c r="J304" i="2"/>
  <c r="I304" i="2"/>
  <c r="AL303" i="2"/>
  <c r="AI303" i="2"/>
  <c r="AH303" i="2"/>
  <c r="AF303" i="2"/>
  <c r="AC303" i="2"/>
  <c r="AB303" i="2"/>
  <c r="AA303" i="2"/>
  <c r="W303" i="2"/>
  <c r="S303" i="2"/>
  <c r="P303" i="2"/>
  <c r="X303" i="2" s="1"/>
  <c r="O303" i="2"/>
  <c r="T303" i="2" s="1"/>
  <c r="N303" i="2"/>
  <c r="K303" i="2"/>
  <c r="J303" i="2"/>
  <c r="AJ303" i="2" s="1"/>
  <c r="I303" i="2"/>
  <c r="AL302" i="2"/>
  <c r="AJ302" i="2"/>
  <c r="AI302" i="2"/>
  <c r="AH302" i="2"/>
  <c r="AF302" i="2"/>
  <c r="AE302" i="2"/>
  <c r="AD302" i="2"/>
  <c r="AC302" i="2"/>
  <c r="AB302" i="2"/>
  <c r="AA302" i="2"/>
  <c r="Z302" i="2"/>
  <c r="Y302" i="2"/>
  <c r="W302" i="2"/>
  <c r="U302" i="2"/>
  <c r="S302" i="2"/>
  <c r="R302" i="2"/>
  <c r="Q302" i="2"/>
  <c r="P302" i="2"/>
  <c r="X302" i="2" s="1"/>
  <c r="O302" i="2"/>
  <c r="T302" i="2" s="1"/>
  <c r="N302" i="2"/>
  <c r="K302" i="2"/>
  <c r="J302" i="2"/>
  <c r="AG302" i="2" s="1"/>
  <c r="I302" i="2"/>
  <c r="AL301" i="2"/>
  <c r="AJ301" i="2"/>
  <c r="AI301" i="2"/>
  <c r="AH301" i="2"/>
  <c r="AG301" i="2"/>
  <c r="AF301" i="2"/>
  <c r="AD301" i="2"/>
  <c r="AC301" i="2"/>
  <c r="AB301" i="2"/>
  <c r="AA301" i="2"/>
  <c r="Y301" i="2"/>
  <c r="W301" i="2"/>
  <c r="U301" i="2"/>
  <c r="S301" i="2"/>
  <c r="R301" i="2"/>
  <c r="P301" i="2"/>
  <c r="X301" i="2" s="1"/>
  <c r="O301" i="2"/>
  <c r="T301" i="2" s="1"/>
  <c r="N301" i="2"/>
  <c r="K301" i="2"/>
  <c r="J301" i="2"/>
  <c r="Q301" i="2" s="1"/>
  <c r="I301" i="2"/>
  <c r="AL300" i="2"/>
  <c r="AI300" i="2"/>
  <c r="AH300" i="2"/>
  <c r="AF300" i="2"/>
  <c r="AC300" i="2"/>
  <c r="AB300" i="2"/>
  <c r="AA300" i="2"/>
  <c r="X300" i="2"/>
  <c r="W300" i="2"/>
  <c r="S300" i="2"/>
  <c r="P300" i="2"/>
  <c r="O300" i="2"/>
  <c r="T300" i="2" s="1"/>
  <c r="N300" i="2"/>
  <c r="K300" i="2"/>
  <c r="J300" i="2"/>
  <c r="AJ300" i="2" s="1"/>
  <c r="I300" i="2"/>
  <c r="AL299" i="2"/>
  <c r="AK299" i="2"/>
  <c r="AJ299" i="2"/>
  <c r="AI299" i="2"/>
  <c r="AH299" i="2"/>
  <c r="AF299" i="2"/>
  <c r="AC299" i="2"/>
  <c r="AB299" i="2"/>
  <c r="AA299" i="2"/>
  <c r="W299" i="2"/>
  <c r="S299" i="2"/>
  <c r="R299" i="2"/>
  <c r="P299" i="2"/>
  <c r="X299" i="2" s="1"/>
  <c r="O299" i="2"/>
  <c r="T299" i="2" s="1"/>
  <c r="N299" i="2"/>
  <c r="K299" i="2"/>
  <c r="J299" i="2"/>
  <c r="I299" i="2"/>
  <c r="AL298" i="2"/>
  <c r="AJ298" i="2"/>
  <c r="AI298" i="2"/>
  <c r="AH298" i="2"/>
  <c r="AF298" i="2"/>
  <c r="AD298" i="2"/>
  <c r="AC298" i="2"/>
  <c r="AB298" i="2"/>
  <c r="AA298" i="2"/>
  <c r="Y298" i="2"/>
  <c r="W298" i="2"/>
  <c r="U298" i="2"/>
  <c r="S298" i="2"/>
  <c r="Q298" i="2"/>
  <c r="P298" i="2"/>
  <c r="X298" i="2" s="1"/>
  <c r="O298" i="2"/>
  <c r="T298" i="2" s="1"/>
  <c r="N298" i="2"/>
  <c r="K298" i="2"/>
  <c r="AK298" i="2" s="1"/>
  <c r="J298" i="2"/>
  <c r="AG298" i="2" s="1"/>
  <c r="I298" i="2"/>
  <c r="AL297" i="2"/>
  <c r="AJ297" i="2"/>
  <c r="AI297" i="2"/>
  <c r="AH297" i="2"/>
  <c r="AG297" i="2"/>
  <c r="AF297" i="2"/>
  <c r="AE297" i="2"/>
  <c r="AD297" i="2"/>
  <c r="AC297" i="2"/>
  <c r="AB297" i="2"/>
  <c r="AA297" i="2"/>
  <c r="Y297" i="2"/>
  <c r="W297" i="2"/>
  <c r="U297" i="2"/>
  <c r="S297" i="2"/>
  <c r="R297" i="2"/>
  <c r="P297" i="2"/>
  <c r="X297" i="2" s="1"/>
  <c r="O297" i="2"/>
  <c r="T297" i="2" s="1"/>
  <c r="N297" i="2"/>
  <c r="K297" i="2"/>
  <c r="AK297" i="2" s="1"/>
  <c r="J297" i="2"/>
  <c r="Q297" i="2" s="1"/>
  <c r="I297" i="2"/>
  <c r="AL296" i="2"/>
  <c r="AJ296" i="2"/>
  <c r="AI296" i="2"/>
  <c r="AH296" i="2"/>
  <c r="AF296" i="2"/>
  <c r="AC296" i="2"/>
  <c r="AB296" i="2"/>
  <c r="AA296" i="2"/>
  <c r="X296" i="2"/>
  <c r="W296" i="2"/>
  <c r="T296" i="2"/>
  <c r="S296" i="2"/>
  <c r="P296" i="2"/>
  <c r="O296" i="2"/>
  <c r="N296" i="2"/>
  <c r="K296" i="2"/>
  <c r="R296" i="2" s="1"/>
  <c r="J296" i="2"/>
  <c r="Q296" i="2" s="1"/>
  <c r="I296" i="2"/>
  <c r="AL295" i="2"/>
  <c r="AI295" i="2"/>
  <c r="AH295" i="2"/>
  <c r="AF295" i="2"/>
  <c r="AC295" i="2"/>
  <c r="AB295" i="2"/>
  <c r="AA295" i="2"/>
  <c r="W295" i="2"/>
  <c r="S295" i="2"/>
  <c r="P295" i="2"/>
  <c r="X295" i="2" s="1"/>
  <c r="O295" i="2"/>
  <c r="T295" i="2" s="1"/>
  <c r="N295" i="2"/>
  <c r="K295" i="2"/>
  <c r="Z295" i="2" s="1"/>
  <c r="J295" i="2"/>
  <c r="Y295" i="2" s="1"/>
  <c r="I295" i="2"/>
  <c r="AL294" i="2"/>
  <c r="AI294" i="2"/>
  <c r="AH294" i="2"/>
  <c r="AF294" i="2"/>
  <c r="AE294" i="2"/>
  <c r="AD294" i="2"/>
  <c r="AC294" i="2"/>
  <c r="AB294" i="2"/>
  <c r="AA294" i="2"/>
  <c r="W294" i="2"/>
  <c r="S294" i="2"/>
  <c r="Q294" i="2"/>
  <c r="P294" i="2"/>
  <c r="X294" i="2" s="1"/>
  <c r="O294" i="2"/>
  <c r="T294" i="2" s="1"/>
  <c r="N294" i="2"/>
  <c r="K294" i="2"/>
  <c r="R294" i="2" s="1"/>
  <c r="J294" i="2"/>
  <c r="AG294" i="2" s="1"/>
  <c r="I294" i="2"/>
  <c r="AL293" i="2"/>
  <c r="AJ293" i="2"/>
  <c r="AI293" i="2"/>
  <c r="AH293" i="2"/>
  <c r="AG293" i="2"/>
  <c r="AF293" i="2"/>
  <c r="AD293" i="2"/>
  <c r="AC293" i="2"/>
  <c r="AB293" i="2"/>
  <c r="AA293" i="2"/>
  <c r="W293" i="2"/>
  <c r="U293" i="2"/>
  <c r="S293" i="2"/>
  <c r="P293" i="2"/>
  <c r="X293" i="2" s="1"/>
  <c r="O293" i="2"/>
  <c r="T293" i="2" s="1"/>
  <c r="N293" i="2"/>
  <c r="K293" i="2"/>
  <c r="J293" i="2"/>
  <c r="I293" i="2"/>
  <c r="AL292" i="2"/>
  <c r="AJ292" i="2"/>
  <c r="AI292" i="2"/>
  <c r="AH292" i="2"/>
  <c r="AF292" i="2"/>
  <c r="AD292" i="2"/>
  <c r="AC292" i="2"/>
  <c r="AB292" i="2"/>
  <c r="AA292" i="2"/>
  <c r="Y292" i="2"/>
  <c r="W292" i="2"/>
  <c r="U292" i="2"/>
  <c r="S292" i="2"/>
  <c r="Q292" i="2"/>
  <c r="P292" i="2"/>
  <c r="X292" i="2" s="1"/>
  <c r="O292" i="2"/>
  <c r="T292" i="2" s="1"/>
  <c r="N292" i="2"/>
  <c r="K292" i="2"/>
  <c r="V292" i="2" s="1"/>
  <c r="J292" i="2"/>
  <c r="AG292" i="2" s="1"/>
  <c r="I292" i="2"/>
  <c r="AL291" i="2"/>
  <c r="AK291" i="2"/>
  <c r="AI291" i="2"/>
  <c r="AH291" i="2"/>
  <c r="AG291" i="2"/>
  <c r="AF291" i="2"/>
  <c r="AE291" i="2"/>
  <c r="AD291" i="2"/>
  <c r="AC291" i="2"/>
  <c r="AB291" i="2"/>
  <c r="AA291" i="2"/>
  <c r="Y291" i="2"/>
  <c r="W291" i="2"/>
  <c r="U291" i="2"/>
  <c r="S291" i="2"/>
  <c r="P291" i="2"/>
  <c r="X291" i="2" s="1"/>
  <c r="O291" i="2"/>
  <c r="T291" i="2" s="1"/>
  <c r="N291" i="2"/>
  <c r="K291" i="2"/>
  <c r="J291" i="2"/>
  <c r="Q291" i="2" s="1"/>
  <c r="I291" i="2"/>
  <c r="AL290" i="2"/>
  <c r="AK290" i="2"/>
  <c r="AI290" i="2"/>
  <c r="AH290" i="2"/>
  <c r="AF290" i="2"/>
  <c r="AE290" i="2"/>
  <c r="AC290" i="2"/>
  <c r="AB290" i="2"/>
  <c r="AA290" i="2"/>
  <c r="W290" i="2"/>
  <c r="T290" i="2"/>
  <c r="S290" i="2"/>
  <c r="R290" i="2"/>
  <c r="P290" i="2"/>
  <c r="X290" i="2" s="1"/>
  <c r="O290" i="2"/>
  <c r="N290" i="2"/>
  <c r="K290" i="2"/>
  <c r="J290" i="2"/>
  <c r="I290" i="2"/>
  <c r="AL289" i="2"/>
  <c r="AK289" i="2"/>
  <c r="AI289" i="2"/>
  <c r="AH289" i="2"/>
  <c r="AF289" i="2"/>
  <c r="AC289" i="2"/>
  <c r="AB289" i="2"/>
  <c r="AA289" i="2"/>
  <c r="W289" i="2"/>
  <c r="S289" i="2"/>
  <c r="P289" i="2"/>
  <c r="X289" i="2" s="1"/>
  <c r="O289" i="2"/>
  <c r="T289" i="2" s="1"/>
  <c r="N289" i="2"/>
  <c r="K289" i="2"/>
  <c r="J289" i="2"/>
  <c r="I289" i="2"/>
  <c r="AL288" i="2"/>
  <c r="AI288" i="2"/>
  <c r="AH288" i="2"/>
  <c r="AF288" i="2"/>
  <c r="AD288" i="2"/>
  <c r="AC288" i="2"/>
  <c r="AB288" i="2"/>
  <c r="AA288" i="2"/>
  <c r="Y288" i="2"/>
  <c r="W288" i="2"/>
  <c r="S288" i="2"/>
  <c r="P288" i="2"/>
  <c r="X288" i="2" s="1"/>
  <c r="O288" i="2"/>
  <c r="T288" i="2" s="1"/>
  <c r="N288" i="2"/>
  <c r="K288" i="2"/>
  <c r="J288" i="2"/>
  <c r="I288" i="2"/>
  <c r="AL287" i="2"/>
  <c r="AI287" i="2"/>
  <c r="AH287" i="2"/>
  <c r="AF287" i="2"/>
  <c r="AC287" i="2"/>
  <c r="AB287" i="2"/>
  <c r="AA287" i="2"/>
  <c r="W287" i="2"/>
  <c r="T287" i="2"/>
  <c r="S287" i="2"/>
  <c r="P287" i="2"/>
  <c r="X287" i="2" s="1"/>
  <c r="O287" i="2"/>
  <c r="N287" i="2"/>
  <c r="K287" i="2"/>
  <c r="AK287" i="2" s="1"/>
  <c r="J287" i="2"/>
  <c r="I287" i="2"/>
  <c r="AL286" i="2"/>
  <c r="AJ286" i="2"/>
  <c r="AI286" i="2"/>
  <c r="AH286" i="2"/>
  <c r="AF286" i="2"/>
  <c r="AC286" i="2"/>
  <c r="AB286" i="2"/>
  <c r="AA286" i="2"/>
  <c r="Y286" i="2"/>
  <c r="X286" i="2"/>
  <c r="W286" i="2"/>
  <c r="V286" i="2"/>
  <c r="U286" i="2"/>
  <c r="T286" i="2"/>
  <c r="S286" i="2"/>
  <c r="R286" i="2"/>
  <c r="P286" i="2"/>
  <c r="O286" i="2"/>
  <c r="N286" i="2"/>
  <c r="K286" i="2"/>
  <c r="J286" i="2"/>
  <c r="AG286" i="2" s="1"/>
  <c r="I286" i="2"/>
  <c r="AL285" i="2"/>
  <c r="AK285" i="2"/>
  <c r="AI285" i="2"/>
  <c r="AH285" i="2"/>
  <c r="AF285" i="2"/>
  <c r="AC285" i="2"/>
  <c r="AB285" i="2"/>
  <c r="AA285" i="2"/>
  <c r="W285" i="2"/>
  <c r="S285" i="2"/>
  <c r="R285" i="2"/>
  <c r="P285" i="2"/>
  <c r="X285" i="2" s="1"/>
  <c r="O285" i="2"/>
  <c r="T285" i="2" s="1"/>
  <c r="N285" i="2"/>
  <c r="K285" i="2"/>
  <c r="AE285" i="2" s="1"/>
  <c r="J285" i="2"/>
  <c r="I285" i="2"/>
  <c r="AL284" i="2"/>
  <c r="AJ284" i="2"/>
  <c r="AI284" i="2"/>
  <c r="AH284" i="2"/>
  <c r="AF284" i="2"/>
  <c r="AC284" i="2"/>
  <c r="AB284" i="2"/>
  <c r="AA284" i="2"/>
  <c r="Y284" i="2"/>
  <c r="W284" i="2"/>
  <c r="U284" i="2"/>
  <c r="T284" i="2"/>
  <c r="S284" i="2"/>
  <c r="Q284" i="2"/>
  <c r="P284" i="2"/>
  <c r="X284" i="2" s="1"/>
  <c r="O284" i="2"/>
  <c r="N284" i="2"/>
  <c r="K284" i="2"/>
  <c r="V284" i="2" s="1"/>
  <c r="J284" i="2"/>
  <c r="AG284" i="2" s="1"/>
  <c r="I284" i="2"/>
  <c r="AL283" i="2"/>
  <c r="AK283" i="2"/>
  <c r="AI283" i="2"/>
  <c r="AH283" i="2"/>
  <c r="AF283" i="2"/>
  <c r="AC283" i="2"/>
  <c r="AB283" i="2"/>
  <c r="AA283" i="2"/>
  <c r="W283" i="2"/>
  <c r="S283" i="2"/>
  <c r="P283" i="2"/>
  <c r="X283" i="2" s="1"/>
  <c r="O283" i="2"/>
  <c r="T283" i="2" s="1"/>
  <c r="N283" i="2"/>
  <c r="K283" i="2"/>
  <c r="AE283" i="2" s="1"/>
  <c r="J283" i="2"/>
  <c r="AD283" i="2" s="1"/>
  <c r="I283" i="2"/>
  <c r="AL282" i="2"/>
  <c r="AJ282" i="2"/>
  <c r="AI282" i="2"/>
  <c r="AH282" i="2"/>
  <c r="AF282" i="2"/>
  <c r="AE282" i="2"/>
  <c r="AD282" i="2"/>
  <c r="AC282" i="2"/>
  <c r="AB282" i="2"/>
  <c r="AA282" i="2"/>
  <c r="Y282" i="2"/>
  <c r="W282" i="2"/>
  <c r="U282" i="2"/>
  <c r="S282" i="2"/>
  <c r="Q282" i="2"/>
  <c r="P282" i="2"/>
  <c r="X282" i="2" s="1"/>
  <c r="O282" i="2"/>
  <c r="T282" i="2" s="1"/>
  <c r="N282" i="2"/>
  <c r="K282" i="2"/>
  <c r="J282" i="2"/>
  <c r="AG282" i="2" s="1"/>
  <c r="I282" i="2"/>
  <c r="AL281" i="2"/>
  <c r="AI281" i="2"/>
  <c r="AH281" i="2"/>
  <c r="AG281" i="2"/>
  <c r="AF281" i="2"/>
  <c r="AD281" i="2"/>
  <c r="AC281" i="2"/>
  <c r="AB281" i="2"/>
  <c r="AA281" i="2"/>
  <c r="Y281" i="2"/>
  <c r="X281" i="2"/>
  <c r="W281" i="2"/>
  <c r="U281" i="2"/>
  <c r="T281" i="2"/>
  <c r="S281" i="2"/>
  <c r="P281" i="2"/>
  <c r="O281" i="2"/>
  <c r="N281" i="2"/>
  <c r="K281" i="2"/>
  <c r="Z281" i="2" s="1"/>
  <c r="J281" i="2"/>
  <c r="Q281" i="2" s="1"/>
  <c r="I281" i="2"/>
  <c r="AL280" i="2"/>
  <c r="AI280" i="2"/>
  <c r="AH280" i="2"/>
  <c r="AF280" i="2"/>
  <c r="AE280" i="2"/>
  <c r="AC280" i="2"/>
  <c r="AB280" i="2"/>
  <c r="AA280" i="2"/>
  <c r="W280" i="2"/>
  <c r="V280" i="2"/>
  <c r="U280" i="2"/>
  <c r="S280" i="2"/>
  <c r="R280" i="2"/>
  <c r="P280" i="2"/>
  <c r="X280" i="2" s="1"/>
  <c r="O280" i="2"/>
  <c r="T280" i="2" s="1"/>
  <c r="N280" i="2"/>
  <c r="K280" i="2"/>
  <c r="Z280" i="2" s="1"/>
  <c r="J280" i="2"/>
  <c r="I280" i="2"/>
  <c r="AL279" i="2"/>
  <c r="AI279" i="2"/>
  <c r="AH279" i="2"/>
  <c r="AG279" i="2"/>
  <c r="AF279" i="2"/>
  <c r="AC279" i="2"/>
  <c r="AB279" i="2"/>
  <c r="AA279" i="2"/>
  <c r="Z279" i="2"/>
  <c r="Y279" i="2"/>
  <c r="W279" i="2"/>
  <c r="U279" i="2"/>
  <c r="S279" i="2"/>
  <c r="P279" i="2"/>
  <c r="X279" i="2" s="1"/>
  <c r="O279" i="2"/>
  <c r="T279" i="2" s="1"/>
  <c r="N279" i="2"/>
  <c r="K279" i="2"/>
  <c r="J279" i="2"/>
  <c r="Q279" i="2" s="1"/>
  <c r="I279" i="2"/>
  <c r="AL278" i="2"/>
  <c r="AK278" i="2"/>
  <c r="AJ278" i="2"/>
  <c r="AI278" i="2"/>
  <c r="AH278" i="2"/>
  <c r="AF278" i="2"/>
  <c r="AD278" i="2"/>
  <c r="AC278" i="2"/>
  <c r="AB278" i="2"/>
  <c r="AA278" i="2"/>
  <c r="Z278" i="2"/>
  <c r="Y278" i="2"/>
  <c r="W278" i="2"/>
  <c r="S278" i="2"/>
  <c r="P278" i="2"/>
  <c r="X278" i="2" s="1"/>
  <c r="O278" i="2"/>
  <c r="T278" i="2" s="1"/>
  <c r="N278" i="2"/>
  <c r="K278" i="2"/>
  <c r="V278" i="2" s="1"/>
  <c r="J278" i="2"/>
  <c r="I278" i="2"/>
  <c r="AL277" i="2"/>
  <c r="AJ277" i="2"/>
  <c r="AI277" i="2"/>
  <c r="AH277" i="2"/>
  <c r="AF277" i="2"/>
  <c r="AC277" i="2"/>
  <c r="AB277" i="2"/>
  <c r="AA277" i="2"/>
  <c r="Z277" i="2"/>
  <c r="Y277" i="2"/>
  <c r="W277" i="2"/>
  <c r="S277" i="2"/>
  <c r="P277" i="2"/>
  <c r="X277" i="2" s="1"/>
  <c r="O277" i="2"/>
  <c r="T277" i="2" s="1"/>
  <c r="N277" i="2"/>
  <c r="K277" i="2"/>
  <c r="J277" i="2"/>
  <c r="I277" i="2"/>
  <c r="AL276" i="2"/>
  <c r="AI276" i="2"/>
  <c r="AH276" i="2"/>
  <c r="AF276" i="2"/>
  <c r="AD276" i="2"/>
  <c r="AC276" i="2"/>
  <c r="AB276" i="2"/>
  <c r="AA276" i="2"/>
  <c r="W276" i="2"/>
  <c r="V276" i="2"/>
  <c r="S276" i="2"/>
  <c r="P276" i="2"/>
  <c r="X276" i="2" s="1"/>
  <c r="O276" i="2"/>
  <c r="T276" i="2" s="1"/>
  <c r="N276" i="2"/>
  <c r="K276" i="2"/>
  <c r="J276" i="2"/>
  <c r="I276" i="2"/>
  <c r="AL275" i="2"/>
  <c r="AI275" i="2"/>
  <c r="AH275" i="2"/>
  <c r="AF275" i="2"/>
  <c r="AE275" i="2"/>
  <c r="AC275" i="2"/>
  <c r="AB275" i="2"/>
  <c r="AA275" i="2"/>
  <c r="Y275" i="2"/>
  <c r="X275" i="2"/>
  <c r="W275" i="2"/>
  <c r="S275" i="2"/>
  <c r="P275" i="2"/>
  <c r="O275" i="2"/>
  <c r="T275" i="2" s="1"/>
  <c r="N275" i="2"/>
  <c r="K275" i="2"/>
  <c r="R275" i="2" s="1"/>
  <c r="J275" i="2"/>
  <c r="U275" i="2" s="1"/>
  <c r="I275" i="2"/>
  <c r="AL274" i="2"/>
  <c r="AI274" i="2"/>
  <c r="AH274" i="2"/>
  <c r="AF274" i="2"/>
  <c r="AC274" i="2"/>
  <c r="AB274" i="2"/>
  <c r="AA274" i="2"/>
  <c r="Y274" i="2"/>
  <c r="W274" i="2"/>
  <c r="S274" i="2"/>
  <c r="P274" i="2"/>
  <c r="X274" i="2" s="1"/>
  <c r="O274" i="2"/>
  <c r="T274" i="2" s="1"/>
  <c r="N274" i="2"/>
  <c r="K274" i="2"/>
  <c r="J274" i="2"/>
  <c r="I274" i="2"/>
  <c r="AL273" i="2"/>
  <c r="AI273" i="2"/>
  <c r="AH273" i="2"/>
  <c r="AF273" i="2"/>
  <c r="AE273" i="2"/>
  <c r="AC273" i="2"/>
  <c r="AB273" i="2"/>
  <c r="AA273" i="2"/>
  <c r="W273" i="2"/>
  <c r="S273" i="2"/>
  <c r="P273" i="2"/>
  <c r="X273" i="2" s="1"/>
  <c r="O273" i="2"/>
  <c r="T273" i="2" s="1"/>
  <c r="N273" i="2"/>
  <c r="K273" i="2"/>
  <c r="J273" i="2"/>
  <c r="AJ273" i="2" s="1"/>
  <c r="I273" i="2"/>
  <c r="AL272" i="2"/>
  <c r="AJ272" i="2"/>
  <c r="AI272" i="2"/>
  <c r="AH272" i="2"/>
  <c r="AF272" i="2"/>
  <c r="AC272" i="2"/>
  <c r="AB272" i="2"/>
  <c r="AA272" i="2"/>
  <c r="Z272" i="2"/>
  <c r="Y272" i="2"/>
  <c r="W272" i="2"/>
  <c r="V272" i="2"/>
  <c r="S272" i="2"/>
  <c r="P272" i="2"/>
  <c r="X272" i="2" s="1"/>
  <c r="O272" i="2"/>
  <c r="T272" i="2" s="1"/>
  <c r="N272" i="2"/>
  <c r="K272" i="2"/>
  <c r="AK272" i="2" s="1"/>
  <c r="J272" i="2"/>
  <c r="I272" i="2"/>
  <c r="AL271" i="2"/>
  <c r="AI271" i="2"/>
  <c r="AH271" i="2"/>
  <c r="AF271" i="2"/>
  <c r="AE271" i="2"/>
  <c r="AC271" i="2"/>
  <c r="AB271" i="2"/>
  <c r="AA271" i="2"/>
  <c r="Z271" i="2"/>
  <c r="W271" i="2"/>
  <c r="S271" i="2"/>
  <c r="P271" i="2"/>
  <c r="X271" i="2" s="1"/>
  <c r="O271" i="2"/>
  <c r="T271" i="2" s="1"/>
  <c r="N271" i="2"/>
  <c r="K271" i="2"/>
  <c r="V271" i="2" s="1"/>
  <c r="J271" i="2"/>
  <c r="I271" i="2"/>
  <c r="AL270" i="2"/>
  <c r="AI270" i="2"/>
  <c r="AH270" i="2"/>
  <c r="AF270" i="2"/>
  <c r="AC270" i="2"/>
  <c r="AB270" i="2"/>
  <c r="AA270" i="2"/>
  <c r="Y270" i="2"/>
  <c r="W270" i="2"/>
  <c r="U270" i="2"/>
  <c r="S270" i="2"/>
  <c r="P270" i="2"/>
  <c r="X270" i="2" s="1"/>
  <c r="O270" i="2"/>
  <c r="T270" i="2" s="1"/>
  <c r="N270" i="2"/>
  <c r="K270" i="2"/>
  <c r="J270" i="2"/>
  <c r="I270" i="2"/>
  <c r="AL269" i="2"/>
  <c r="AI269" i="2"/>
  <c r="AH269" i="2"/>
  <c r="AF269" i="2"/>
  <c r="AD269" i="2"/>
  <c r="AC269" i="2"/>
  <c r="AB269" i="2"/>
  <c r="AA269" i="2"/>
  <c r="Y269" i="2"/>
  <c r="W269" i="2"/>
  <c r="U269" i="2"/>
  <c r="S269" i="2"/>
  <c r="P269" i="2"/>
  <c r="X269" i="2" s="1"/>
  <c r="O269" i="2"/>
  <c r="T269" i="2" s="1"/>
  <c r="N269" i="2"/>
  <c r="K269" i="2"/>
  <c r="J269" i="2"/>
  <c r="I269" i="2"/>
  <c r="AL268" i="2"/>
  <c r="AK268" i="2"/>
  <c r="AI268" i="2"/>
  <c r="AH268" i="2"/>
  <c r="AF268" i="2"/>
  <c r="AC268" i="2"/>
  <c r="AB268" i="2"/>
  <c r="AA268" i="2"/>
  <c r="Z268" i="2"/>
  <c r="W268" i="2"/>
  <c r="S268" i="2"/>
  <c r="P268" i="2"/>
  <c r="X268" i="2" s="1"/>
  <c r="O268" i="2"/>
  <c r="T268" i="2" s="1"/>
  <c r="N268" i="2"/>
  <c r="K268" i="2"/>
  <c r="V268" i="2" s="1"/>
  <c r="J268" i="2"/>
  <c r="I268" i="2"/>
  <c r="AL267" i="2"/>
  <c r="AI267" i="2"/>
  <c r="AH267" i="2"/>
  <c r="AF267" i="2"/>
  <c r="AC267" i="2"/>
  <c r="AB267" i="2"/>
  <c r="AA267" i="2"/>
  <c r="W267" i="2"/>
  <c r="S267" i="2"/>
  <c r="P267" i="2"/>
  <c r="X267" i="2" s="1"/>
  <c r="O267" i="2"/>
  <c r="T267" i="2" s="1"/>
  <c r="N267" i="2"/>
  <c r="K267" i="2"/>
  <c r="J267" i="2"/>
  <c r="I267" i="2"/>
  <c r="AL266" i="2"/>
  <c r="AJ266" i="2"/>
  <c r="AI266" i="2"/>
  <c r="AH266" i="2"/>
  <c r="AF266" i="2"/>
  <c r="AD266" i="2"/>
  <c r="AC266" i="2"/>
  <c r="AB266" i="2"/>
  <c r="AA266" i="2"/>
  <c r="W266" i="2"/>
  <c r="U266" i="2"/>
  <c r="S266" i="2"/>
  <c r="Q266" i="2"/>
  <c r="P266" i="2"/>
  <c r="X266" i="2" s="1"/>
  <c r="O266" i="2"/>
  <c r="T266" i="2" s="1"/>
  <c r="N266" i="2"/>
  <c r="K266" i="2"/>
  <c r="J266" i="2"/>
  <c r="AG266" i="2" s="1"/>
  <c r="I266" i="2"/>
  <c r="AL265" i="2"/>
  <c r="AK265" i="2"/>
  <c r="AJ265" i="2"/>
  <c r="AI265" i="2"/>
  <c r="AH265" i="2"/>
  <c r="AG265" i="2"/>
  <c r="AF265" i="2"/>
  <c r="AE265" i="2"/>
  <c r="AC265" i="2"/>
  <c r="AB265" i="2"/>
  <c r="AA265" i="2"/>
  <c r="Z265" i="2"/>
  <c r="Y265" i="2"/>
  <c r="W265" i="2"/>
  <c r="T265" i="2"/>
  <c r="S265" i="2"/>
  <c r="R265" i="2"/>
  <c r="P265" i="2"/>
  <c r="X265" i="2" s="1"/>
  <c r="O265" i="2"/>
  <c r="N265" i="2"/>
  <c r="K265" i="2"/>
  <c r="V265" i="2" s="1"/>
  <c r="J265" i="2"/>
  <c r="I265" i="2"/>
  <c r="AL264" i="2"/>
  <c r="AJ264" i="2"/>
  <c r="AI264" i="2"/>
  <c r="AH264" i="2"/>
  <c r="AF264" i="2"/>
  <c r="AD264" i="2"/>
  <c r="AC264" i="2"/>
  <c r="AB264" i="2"/>
  <c r="AA264" i="2"/>
  <c r="Y264" i="2"/>
  <c r="X264" i="2"/>
  <c r="W264" i="2"/>
  <c r="U264" i="2"/>
  <c r="S264" i="2"/>
  <c r="Q264" i="2"/>
  <c r="P264" i="2"/>
  <c r="O264" i="2"/>
  <c r="T264" i="2" s="1"/>
  <c r="N264" i="2"/>
  <c r="K264" i="2"/>
  <c r="AK264" i="2" s="1"/>
  <c r="J264" i="2"/>
  <c r="AG264" i="2" s="1"/>
  <c r="I264" i="2"/>
  <c r="AL263" i="2"/>
  <c r="AK263" i="2"/>
  <c r="AI263" i="2"/>
  <c r="AH263" i="2"/>
  <c r="AF263" i="2"/>
  <c r="AE263" i="2"/>
  <c r="AC263" i="2"/>
  <c r="AB263" i="2"/>
  <c r="AA263" i="2"/>
  <c r="W263" i="2"/>
  <c r="S263" i="2"/>
  <c r="R263" i="2"/>
  <c r="P263" i="2"/>
  <c r="X263" i="2" s="1"/>
  <c r="O263" i="2"/>
  <c r="T263" i="2" s="1"/>
  <c r="N263" i="2"/>
  <c r="K263" i="2"/>
  <c r="J263" i="2"/>
  <c r="Y263" i="2" s="1"/>
  <c r="I263" i="2"/>
  <c r="AL262" i="2"/>
  <c r="AK262" i="2"/>
  <c r="AJ262" i="2"/>
  <c r="AI262" i="2"/>
  <c r="AH262" i="2"/>
  <c r="AF262" i="2"/>
  <c r="AE262" i="2"/>
  <c r="AD262" i="2"/>
  <c r="AC262" i="2"/>
  <c r="AB262" i="2"/>
  <c r="AA262" i="2"/>
  <c r="Y262" i="2"/>
  <c r="X262" i="2"/>
  <c r="W262" i="2"/>
  <c r="V262" i="2"/>
  <c r="U262" i="2"/>
  <c r="S262" i="2"/>
  <c r="Q262" i="2"/>
  <c r="P262" i="2"/>
  <c r="O262" i="2"/>
  <c r="T262" i="2" s="1"/>
  <c r="N262" i="2"/>
  <c r="K262" i="2"/>
  <c r="R262" i="2" s="1"/>
  <c r="J262" i="2"/>
  <c r="AG262" i="2" s="1"/>
  <c r="I262" i="2"/>
  <c r="AL261" i="2"/>
  <c r="AK261" i="2"/>
  <c r="AJ261" i="2"/>
  <c r="AI261" i="2"/>
  <c r="AH261" i="2"/>
  <c r="AF261" i="2"/>
  <c r="AE261" i="2"/>
  <c r="AC261" i="2"/>
  <c r="AB261" i="2"/>
  <c r="AA261" i="2"/>
  <c r="Z261" i="2"/>
  <c r="W261" i="2"/>
  <c r="T261" i="2"/>
  <c r="S261" i="2"/>
  <c r="R261" i="2"/>
  <c r="P261" i="2"/>
  <c r="X261" i="2" s="1"/>
  <c r="O261" i="2"/>
  <c r="N261" i="2"/>
  <c r="K261" i="2"/>
  <c r="V261" i="2" s="1"/>
  <c r="J261" i="2"/>
  <c r="AD261" i="2" s="1"/>
  <c r="I261" i="2"/>
  <c r="AL260" i="2"/>
  <c r="AI260" i="2"/>
  <c r="AH260" i="2"/>
  <c r="AF260" i="2"/>
  <c r="AE260" i="2"/>
  <c r="AC260" i="2"/>
  <c r="AB260" i="2"/>
  <c r="AA260" i="2"/>
  <c r="Z260" i="2"/>
  <c r="Y260" i="2"/>
  <c r="X260" i="2"/>
  <c r="W260" i="2"/>
  <c r="V260" i="2"/>
  <c r="U260" i="2"/>
  <c r="S260" i="2"/>
  <c r="P260" i="2"/>
  <c r="O260" i="2"/>
  <c r="T260" i="2" s="1"/>
  <c r="N260" i="2"/>
  <c r="K260" i="2"/>
  <c r="AK260" i="2" s="1"/>
  <c r="J260" i="2"/>
  <c r="I260" i="2"/>
  <c r="AL259" i="2"/>
  <c r="AI259" i="2"/>
  <c r="AH259" i="2"/>
  <c r="AF259" i="2"/>
  <c r="AD259" i="2"/>
  <c r="AC259" i="2"/>
  <c r="AB259" i="2"/>
  <c r="AA259" i="2"/>
  <c r="X259" i="2"/>
  <c r="W259" i="2"/>
  <c r="S259" i="2"/>
  <c r="P259" i="2"/>
  <c r="O259" i="2"/>
  <c r="T259" i="2" s="1"/>
  <c r="N259" i="2"/>
  <c r="K259" i="2"/>
  <c r="AE259" i="2" s="1"/>
  <c r="J259" i="2"/>
  <c r="I259" i="2"/>
  <c r="AL258" i="2"/>
  <c r="AI258" i="2"/>
  <c r="AH258" i="2"/>
  <c r="AF258" i="2"/>
  <c r="AD258" i="2"/>
  <c r="AC258" i="2"/>
  <c r="AB258" i="2"/>
  <c r="AA258" i="2"/>
  <c r="Y258" i="2"/>
  <c r="W258" i="2"/>
  <c r="U258" i="2"/>
  <c r="S258" i="2"/>
  <c r="Q258" i="2"/>
  <c r="P258" i="2"/>
  <c r="X258" i="2" s="1"/>
  <c r="O258" i="2"/>
  <c r="T258" i="2" s="1"/>
  <c r="N258" i="2"/>
  <c r="K258" i="2"/>
  <c r="J258" i="2"/>
  <c r="AG258" i="2" s="1"/>
  <c r="I258" i="2"/>
  <c r="AL257" i="2"/>
  <c r="AK257" i="2"/>
  <c r="AI257" i="2"/>
  <c r="AH257" i="2"/>
  <c r="AF257" i="2"/>
  <c r="AE257" i="2"/>
  <c r="AC257" i="2"/>
  <c r="AB257" i="2"/>
  <c r="AA257" i="2"/>
  <c r="Z257" i="2"/>
  <c r="X257" i="2"/>
  <c r="W257" i="2"/>
  <c r="U257" i="2"/>
  <c r="T257" i="2"/>
  <c r="S257" i="2"/>
  <c r="P257" i="2"/>
  <c r="O257" i="2"/>
  <c r="N257" i="2"/>
  <c r="K257" i="2"/>
  <c r="V257" i="2" s="1"/>
  <c r="J257" i="2"/>
  <c r="AD257" i="2" s="1"/>
  <c r="I257" i="2"/>
  <c r="AL256" i="2"/>
  <c r="AJ256" i="2"/>
  <c r="AI256" i="2"/>
  <c r="AH256" i="2"/>
  <c r="AF256" i="2"/>
  <c r="AC256" i="2"/>
  <c r="AB256" i="2"/>
  <c r="AA256" i="2"/>
  <c r="Y256" i="2"/>
  <c r="W256" i="2"/>
  <c r="U256" i="2"/>
  <c r="S256" i="2"/>
  <c r="R256" i="2"/>
  <c r="Q256" i="2"/>
  <c r="P256" i="2"/>
  <c r="X256" i="2" s="1"/>
  <c r="O256" i="2"/>
  <c r="T256" i="2" s="1"/>
  <c r="N256" i="2"/>
  <c r="K256" i="2"/>
  <c r="J256" i="2"/>
  <c r="AG256" i="2" s="1"/>
  <c r="I256" i="2"/>
  <c r="AL255" i="2"/>
  <c r="AJ255" i="2"/>
  <c r="AI255" i="2"/>
  <c r="AH255" i="2"/>
  <c r="AF255" i="2"/>
  <c r="AD255" i="2"/>
  <c r="AC255" i="2"/>
  <c r="AB255" i="2"/>
  <c r="AA255" i="2"/>
  <c r="W255" i="2"/>
  <c r="T255" i="2"/>
  <c r="S255" i="2"/>
  <c r="R255" i="2"/>
  <c r="P255" i="2"/>
  <c r="X255" i="2" s="1"/>
  <c r="O255" i="2"/>
  <c r="N255" i="2"/>
  <c r="K255" i="2"/>
  <c r="AK255" i="2" s="1"/>
  <c r="J255" i="2"/>
  <c r="I255" i="2"/>
  <c r="AL254" i="2"/>
  <c r="AI254" i="2"/>
  <c r="AH254" i="2"/>
  <c r="AF254" i="2"/>
  <c r="AE254" i="2"/>
  <c r="AD254" i="2"/>
  <c r="AC254" i="2"/>
  <c r="AB254" i="2"/>
  <c r="AA254" i="2"/>
  <c r="Y254" i="2"/>
  <c r="X254" i="2"/>
  <c r="W254" i="2"/>
  <c r="U254" i="2"/>
  <c r="S254" i="2"/>
  <c r="Q254" i="2"/>
  <c r="P254" i="2"/>
  <c r="O254" i="2"/>
  <c r="T254" i="2" s="1"/>
  <c r="N254" i="2"/>
  <c r="K254" i="2"/>
  <c r="J254" i="2"/>
  <c r="AG254" i="2" s="1"/>
  <c r="I254" i="2"/>
  <c r="AL253" i="2"/>
  <c r="AI253" i="2"/>
  <c r="AH253" i="2"/>
  <c r="AG253" i="2"/>
  <c r="AF253" i="2"/>
  <c r="AD253" i="2"/>
  <c r="AC253" i="2"/>
  <c r="AB253" i="2"/>
  <c r="AA253" i="2"/>
  <c r="Y253" i="2"/>
  <c r="X253" i="2"/>
  <c r="W253" i="2"/>
  <c r="S253" i="2"/>
  <c r="P253" i="2"/>
  <c r="O253" i="2"/>
  <c r="T253" i="2" s="1"/>
  <c r="N253" i="2"/>
  <c r="K253" i="2"/>
  <c r="J253" i="2"/>
  <c r="I253" i="2"/>
  <c r="AL252" i="2"/>
  <c r="AJ252" i="2"/>
  <c r="AI252" i="2"/>
  <c r="AH252" i="2"/>
  <c r="AF252" i="2"/>
  <c r="AD252" i="2"/>
  <c r="AC252" i="2"/>
  <c r="AB252" i="2"/>
  <c r="AA252" i="2"/>
  <c r="Y252" i="2"/>
  <c r="X252" i="2"/>
  <c r="W252" i="2"/>
  <c r="U252" i="2"/>
  <c r="T252" i="2"/>
  <c r="S252" i="2"/>
  <c r="Q252" i="2"/>
  <c r="P252" i="2"/>
  <c r="O252" i="2"/>
  <c r="N252" i="2"/>
  <c r="K252" i="2"/>
  <c r="J252" i="2"/>
  <c r="AG252" i="2" s="1"/>
  <c r="I252" i="2"/>
  <c r="AL251" i="2"/>
  <c r="AJ251" i="2"/>
  <c r="AI251" i="2"/>
  <c r="AH251" i="2"/>
  <c r="AF251" i="2"/>
  <c r="AC251" i="2"/>
  <c r="AB251" i="2"/>
  <c r="AA251" i="2"/>
  <c r="W251" i="2"/>
  <c r="S251" i="2"/>
  <c r="P251" i="2"/>
  <c r="X251" i="2" s="1"/>
  <c r="O251" i="2"/>
  <c r="T251" i="2" s="1"/>
  <c r="N251" i="2"/>
  <c r="K251" i="2"/>
  <c r="J251" i="2"/>
  <c r="AD251" i="2" s="1"/>
  <c r="I251" i="2"/>
  <c r="AL250" i="2"/>
  <c r="AI250" i="2"/>
  <c r="AH250" i="2"/>
  <c r="AF250" i="2"/>
  <c r="AC250" i="2"/>
  <c r="AB250" i="2"/>
  <c r="AA250" i="2"/>
  <c r="Y250" i="2"/>
  <c r="W250" i="2"/>
  <c r="U250" i="2"/>
  <c r="S250" i="2"/>
  <c r="P250" i="2"/>
  <c r="X250" i="2" s="1"/>
  <c r="O250" i="2"/>
  <c r="T250" i="2" s="1"/>
  <c r="N250" i="2"/>
  <c r="K250" i="2"/>
  <c r="J250" i="2"/>
  <c r="I250" i="2"/>
  <c r="AL249" i="2"/>
  <c r="AI249" i="2"/>
  <c r="AH249" i="2"/>
  <c r="AG249" i="2"/>
  <c r="AF249" i="2"/>
  <c r="AD249" i="2"/>
  <c r="AC249" i="2"/>
  <c r="AB249" i="2"/>
  <c r="AA249" i="2"/>
  <c r="W249" i="2"/>
  <c r="U249" i="2"/>
  <c r="T249" i="2"/>
  <c r="S249" i="2"/>
  <c r="P249" i="2"/>
  <c r="X249" i="2" s="1"/>
  <c r="O249" i="2"/>
  <c r="N249" i="2"/>
  <c r="K249" i="2"/>
  <c r="J249" i="2"/>
  <c r="Q249" i="2" s="1"/>
  <c r="I249" i="2"/>
  <c r="AL248" i="2"/>
  <c r="AI248" i="2"/>
  <c r="AH248" i="2"/>
  <c r="AF248" i="2"/>
  <c r="AC248" i="2"/>
  <c r="AB248" i="2"/>
  <c r="AA248" i="2"/>
  <c r="W248" i="2"/>
  <c r="S248" i="2"/>
  <c r="P248" i="2"/>
  <c r="X248" i="2" s="1"/>
  <c r="O248" i="2"/>
  <c r="T248" i="2" s="1"/>
  <c r="N248" i="2"/>
  <c r="K248" i="2"/>
  <c r="J248" i="2"/>
  <c r="I248" i="2"/>
  <c r="AL247" i="2"/>
  <c r="AI247" i="2"/>
  <c r="AH247" i="2"/>
  <c r="AF247" i="2"/>
  <c r="AE247" i="2"/>
  <c r="AD247" i="2"/>
  <c r="AC247" i="2"/>
  <c r="AB247" i="2"/>
  <c r="AA247" i="2"/>
  <c r="Y247" i="2"/>
  <c r="W247" i="2"/>
  <c r="S247" i="2"/>
  <c r="R247" i="2"/>
  <c r="Q247" i="2"/>
  <c r="P247" i="2"/>
  <c r="X247" i="2" s="1"/>
  <c r="O247" i="2"/>
  <c r="T247" i="2" s="1"/>
  <c r="N247" i="2"/>
  <c r="K247" i="2"/>
  <c r="J247" i="2"/>
  <c r="AJ247" i="2" s="1"/>
  <c r="I247" i="2"/>
  <c r="AL246" i="2"/>
  <c r="AI246" i="2"/>
  <c r="AH246" i="2"/>
  <c r="AF246" i="2"/>
  <c r="AE246" i="2"/>
  <c r="AD246" i="2"/>
  <c r="AC246" i="2"/>
  <c r="AB246" i="2"/>
  <c r="AA246" i="2"/>
  <c r="Z246" i="2"/>
  <c r="W246" i="2"/>
  <c r="S246" i="2"/>
  <c r="R246" i="2"/>
  <c r="Q246" i="2"/>
  <c r="P246" i="2"/>
  <c r="X246" i="2" s="1"/>
  <c r="O246" i="2"/>
  <c r="T246" i="2" s="1"/>
  <c r="N246" i="2"/>
  <c r="K246" i="2"/>
  <c r="J246" i="2"/>
  <c r="I246" i="2"/>
  <c r="AL245" i="2"/>
  <c r="AI245" i="2"/>
  <c r="AH245" i="2"/>
  <c r="AF245" i="2"/>
  <c r="AC245" i="2"/>
  <c r="AB245" i="2"/>
  <c r="AA245" i="2"/>
  <c r="W245" i="2"/>
  <c r="S245" i="2"/>
  <c r="P245" i="2"/>
  <c r="X245" i="2" s="1"/>
  <c r="O245" i="2"/>
  <c r="T245" i="2" s="1"/>
  <c r="N245" i="2"/>
  <c r="K245" i="2"/>
  <c r="AK245" i="2" s="1"/>
  <c r="J245" i="2"/>
  <c r="AJ245" i="2" s="1"/>
  <c r="I245" i="2"/>
  <c r="AL244" i="2"/>
  <c r="AJ244" i="2"/>
  <c r="AI244" i="2"/>
  <c r="AH244" i="2"/>
  <c r="AF244" i="2"/>
  <c r="AC244" i="2"/>
  <c r="AB244" i="2"/>
  <c r="AA244" i="2"/>
  <c r="W244" i="2"/>
  <c r="S244" i="2"/>
  <c r="P244" i="2"/>
  <c r="X244" i="2" s="1"/>
  <c r="O244" i="2"/>
  <c r="T244" i="2" s="1"/>
  <c r="N244" i="2"/>
  <c r="K244" i="2"/>
  <c r="Z244" i="2" s="1"/>
  <c r="J244" i="2"/>
  <c r="AD244" i="2" s="1"/>
  <c r="I244" i="2"/>
  <c r="AL243" i="2"/>
  <c r="AI243" i="2"/>
  <c r="AH243" i="2"/>
  <c r="AG243" i="2"/>
  <c r="AF243" i="2"/>
  <c r="AC243" i="2"/>
  <c r="AB243" i="2"/>
  <c r="AA243" i="2"/>
  <c r="X243" i="2"/>
  <c r="W243" i="2"/>
  <c r="S243" i="2"/>
  <c r="P243" i="2"/>
  <c r="O243" i="2"/>
  <c r="T243" i="2" s="1"/>
  <c r="N243" i="2"/>
  <c r="K243" i="2"/>
  <c r="J243" i="2"/>
  <c r="I243" i="2"/>
  <c r="AL242" i="2"/>
  <c r="AI242" i="2"/>
  <c r="AH242" i="2"/>
  <c r="AF242" i="2"/>
  <c r="AD242" i="2"/>
  <c r="AC242" i="2"/>
  <c r="AB242" i="2"/>
  <c r="AA242" i="2"/>
  <c r="Z242" i="2"/>
  <c r="Y242" i="2"/>
  <c r="X242" i="2"/>
  <c r="W242" i="2"/>
  <c r="S242" i="2"/>
  <c r="P242" i="2"/>
  <c r="O242" i="2"/>
  <c r="T242" i="2" s="1"/>
  <c r="N242" i="2"/>
  <c r="K242" i="2"/>
  <c r="J242" i="2"/>
  <c r="I242" i="2"/>
  <c r="AL241" i="2"/>
  <c r="AI241" i="2"/>
  <c r="AH241" i="2"/>
  <c r="AF241" i="2"/>
  <c r="AE241" i="2"/>
  <c r="AC241" i="2"/>
  <c r="AB241" i="2"/>
  <c r="AA241" i="2"/>
  <c r="W241" i="2"/>
  <c r="S241" i="2"/>
  <c r="P241" i="2"/>
  <c r="X241" i="2" s="1"/>
  <c r="O241" i="2"/>
  <c r="T241" i="2" s="1"/>
  <c r="N241" i="2"/>
  <c r="K241" i="2"/>
  <c r="Z241" i="2" s="1"/>
  <c r="J241" i="2"/>
  <c r="I241" i="2"/>
  <c r="AL240" i="2"/>
  <c r="AK240" i="2"/>
  <c r="AI240" i="2"/>
  <c r="AH240" i="2"/>
  <c r="AF240" i="2"/>
  <c r="AD240" i="2"/>
  <c r="AC240" i="2"/>
  <c r="AB240" i="2"/>
  <c r="AA240" i="2"/>
  <c r="Z240" i="2"/>
  <c r="Y240" i="2"/>
  <c r="W240" i="2"/>
  <c r="U240" i="2"/>
  <c r="S240" i="2"/>
  <c r="P240" i="2"/>
  <c r="X240" i="2" s="1"/>
  <c r="O240" i="2"/>
  <c r="T240" i="2" s="1"/>
  <c r="N240" i="2"/>
  <c r="K240" i="2"/>
  <c r="J240" i="2"/>
  <c r="I240" i="2"/>
  <c r="AL239" i="2"/>
  <c r="AI239" i="2"/>
  <c r="AH239" i="2"/>
  <c r="AF239" i="2"/>
  <c r="AC239" i="2"/>
  <c r="AB239" i="2"/>
  <c r="AA239" i="2"/>
  <c r="W239" i="2"/>
  <c r="S239" i="2"/>
  <c r="P239" i="2"/>
  <c r="X239" i="2" s="1"/>
  <c r="O239" i="2"/>
  <c r="T239" i="2" s="1"/>
  <c r="N239" i="2"/>
  <c r="K239" i="2"/>
  <c r="AE239" i="2" s="1"/>
  <c r="J239" i="2"/>
  <c r="I239" i="2"/>
  <c r="AL238" i="2"/>
  <c r="AI238" i="2"/>
  <c r="AH238" i="2"/>
  <c r="AF238" i="2"/>
  <c r="AE238" i="2"/>
  <c r="AC238" i="2"/>
  <c r="AB238" i="2"/>
  <c r="AA238" i="2"/>
  <c r="Z238" i="2"/>
  <c r="W238" i="2"/>
  <c r="S238" i="2"/>
  <c r="Q238" i="2"/>
  <c r="P238" i="2"/>
  <c r="X238" i="2" s="1"/>
  <c r="O238" i="2"/>
  <c r="T238" i="2" s="1"/>
  <c r="N238" i="2"/>
  <c r="K238" i="2"/>
  <c r="J238" i="2"/>
  <c r="Y238" i="2" s="1"/>
  <c r="I238" i="2"/>
  <c r="AL237" i="2"/>
  <c r="AK237" i="2"/>
  <c r="AI237" i="2"/>
  <c r="AH237" i="2"/>
  <c r="AF237" i="2"/>
  <c r="AD237" i="2"/>
  <c r="AC237" i="2"/>
  <c r="AB237" i="2"/>
  <c r="AA237" i="2"/>
  <c r="W237" i="2"/>
  <c r="S237" i="2"/>
  <c r="P237" i="2"/>
  <c r="X237" i="2" s="1"/>
  <c r="O237" i="2"/>
  <c r="T237" i="2" s="1"/>
  <c r="N237" i="2"/>
  <c r="K237" i="2"/>
  <c r="J237" i="2"/>
  <c r="AG237" i="2" s="1"/>
  <c r="I237" i="2"/>
  <c r="AL236" i="2"/>
  <c r="AI236" i="2"/>
  <c r="AH236" i="2"/>
  <c r="AF236" i="2"/>
  <c r="AE236" i="2"/>
  <c r="AD236" i="2"/>
  <c r="AC236" i="2"/>
  <c r="AB236" i="2"/>
  <c r="AA236" i="2"/>
  <c r="Z236" i="2"/>
  <c r="Y236" i="2"/>
  <c r="W236" i="2"/>
  <c r="V236" i="2"/>
  <c r="U236" i="2"/>
  <c r="S236" i="2"/>
  <c r="R236" i="2"/>
  <c r="Q236" i="2"/>
  <c r="P236" i="2"/>
  <c r="X236" i="2" s="1"/>
  <c r="O236" i="2"/>
  <c r="T236" i="2" s="1"/>
  <c r="N236" i="2"/>
  <c r="K236" i="2"/>
  <c r="AK236" i="2" s="1"/>
  <c r="J236" i="2"/>
  <c r="AG236" i="2" s="1"/>
  <c r="I236" i="2"/>
  <c r="AL235" i="2"/>
  <c r="AK235" i="2"/>
  <c r="AI235" i="2"/>
  <c r="AH235" i="2"/>
  <c r="AF235" i="2"/>
  <c r="AE235" i="2"/>
  <c r="AC235" i="2"/>
  <c r="AB235" i="2"/>
  <c r="AA235" i="2"/>
  <c r="W235" i="2"/>
  <c r="S235" i="2"/>
  <c r="P235" i="2"/>
  <c r="X235" i="2" s="1"/>
  <c r="O235" i="2"/>
  <c r="T235" i="2" s="1"/>
  <c r="N235" i="2"/>
  <c r="K235" i="2"/>
  <c r="J235" i="2"/>
  <c r="AG235" i="2" s="1"/>
  <c r="I235" i="2"/>
  <c r="AL234" i="2"/>
  <c r="AI234" i="2"/>
  <c r="AH234" i="2"/>
  <c r="AF234" i="2"/>
  <c r="AC234" i="2"/>
  <c r="AB234" i="2"/>
  <c r="AA234" i="2"/>
  <c r="Z234" i="2"/>
  <c r="W234" i="2"/>
  <c r="S234" i="2"/>
  <c r="P234" i="2"/>
  <c r="X234" i="2" s="1"/>
  <c r="O234" i="2"/>
  <c r="T234" i="2" s="1"/>
  <c r="N234" i="2"/>
  <c r="K234" i="2"/>
  <c r="AK234" i="2" s="1"/>
  <c r="J234" i="2"/>
  <c r="I234" i="2"/>
  <c r="AL233" i="2"/>
  <c r="AI233" i="2"/>
  <c r="AH233" i="2"/>
  <c r="AF233" i="2"/>
  <c r="AC233" i="2"/>
  <c r="AB233" i="2"/>
  <c r="AA233" i="2"/>
  <c r="Y233" i="2"/>
  <c r="W233" i="2"/>
  <c r="S233" i="2"/>
  <c r="Q233" i="2"/>
  <c r="P233" i="2"/>
  <c r="X233" i="2" s="1"/>
  <c r="O233" i="2"/>
  <c r="T233" i="2" s="1"/>
  <c r="N233" i="2"/>
  <c r="K233" i="2"/>
  <c r="R233" i="2" s="1"/>
  <c r="J233" i="2"/>
  <c r="AD233" i="2" s="1"/>
  <c r="I233" i="2"/>
  <c r="AL232" i="2"/>
  <c r="AI232" i="2"/>
  <c r="AH232" i="2"/>
  <c r="AF232" i="2"/>
  <c r="AC232" i="2"/>
  <c r="AB232" i="2"/>
  <c r="AA232" i="2"/>
  <c r="W232" i="2"/>
  <c r="V232" i="2"/>
  <c r="T232" i="2"/>
  <c r="S232" i="2"/>
  <c r="P232" i="2"/>
  <c r="X232" i="2" s="1"/>
  <c r="O232" i="2"/>
  <c r="N232" i="2"/>
  <c r="K232" i="2"/>
  <c r="J232" i="2"/>
  <c r="Y232" i="2" s="1"/>
  <c r="I232" i="2"/>
  <c r="AL231" i="2"/>
  <c r="AI231" i="2"/>
  <c r="AH231" i="2"/>
  <c r="AF231" i="2"/>
  <c r="AD231" i="2"/>
  <c r="AC231" i="2"/>
  <c r="AB231" i="2"/>
  <c r="AA231" i="2"/>
  <c r="W231" i="2"/>
  <c r="S231" i="2"/>
  <c r="P231" i="2"/>
  <c r="X231" i="2" s="1"/>
  <c r="O231" i="2"/>
  <c r="T231" i="2" s="1"/>
  <c r="N231" i="2"/>
  <c r="K231" i="2"/>
  <c r="J231" i="2"/>
  <c r="I231" i="2"/>
  <c r="AL230" i="2"/>
  <c r="AI230" i="2"/>
  <c r="AH230" i="2"/>
  <c r="AF230" i="2"/>
  <c r="AC230" i="2"/>
  <c r="AB230" i="2"/>
  <c r="AA230" i="2"/>
  <c r="Y230" i="2"/>
  <c r="W230" i="2"/>
  <c r="V230" i="2"/>
  <c r="S230" i="2"/>
  <c r="P230" i="2"/>
  <c r="X230" i="2" s="1"/>
  <c r="O230" i="2"/>
  <c r="T230" i="2" s="1"/>
  <c r="N230" i="2"/>
  <c r="K230" i="2"/>
  <c r="J230" i="2"/>
  <c r="I230" i="2"/>
  <c r="AL229" i="2"/>
  <c r="AI229" i="2"/>
  <c r="AH229" i="2"/>
  <c r="AF229" i="2"/>
  <c r="AC229" i="2"/>
  <c r="AB229" i="2"/>
  <c r="AA229" i="2"/>
  <c r="X229" i="2"/>
  <c r="W229" i="2"/>
  <c r="T229" i="2"/>
  <c r="S229" i="2"/>
  <c r="P229" i="2"/>
  <c r="O229" i="2"/>
  <c r="N229" i="2"/>
  <c r="K229" i="2"/>
  <c r="AE229" i="2" s="1"/>
  <c r="J229" i="2"/>
  <c r="I229" i="2"/>
  <c r="AL228" i="2"/>
  <c r="AK228" i="2"/>
  <c r="AI228" i="2"/>
  <c r="AH228" i="2"/>
  <c r="AF228" i="2"/>
  <c r="AE228" i="2"/>
  <c r="AC228" i="2"/>
  <c r="AB228" i="2"/>
  <c r="AA228" i="2"/>
  <c r="W228" i="2"/>
  <c r="S228" i="2"/>
  <c r="R228" i="2"/>
  <c r="Q228" i="2"/>
  <c r="P228" i="2"/>
  <c r="X228" i="2" s="1"/>
  <c r="O228" i="2"/>
  <c r="T228" i="2" s="1"/>
  <c r="N228" i="2"/>
  <c r="K228" i="2"/>
  <c r="J228" i="2"/>
  <c r="I228" i="2"/>
  <c r="AL227" i="2"/>
  <c r="AK227" i="2"/>
  <c r="AI227" i="2"/>
  <c r="AH227" i="2"/>
  <c r="AF227" i="2"/>
  <c r="AC227" i="2"/>
  <c r="AB227" i="2"/>
  <c r="AA227" i="2"/>
  <c r="W227" i="2"/>
  <c r="T227" i="2"/>
  <c r="S227" i="2"/>
  <c r="P227" i="2"/>
  <c r="X227" i="2" s="1"/>
  <c r="O227" i="2"/>
  <c r="N227" i="2"/>
  <c r="K227" i="2"/>
  <c r="J227" i="2"/>
  <c r="I227" i="2"/>
  <c r="AL226" i="2"/>
  <c r="AI226" i="2"/>
  <c r="AH226" i="2"/>
  <c r="AF226" i="2"/>
  <c r="AC226" i="2"/>
  <c r="AB226" i="2"/>
  <c r="AA226" i="2"/>
  <c r="W226" i="2"/>
  <c r="V226" i="2"/>
  <c r="T226" i="2"/>
  <c r="S226" i="2"/>
  <c r="P226" i="2"/>
  <c r="X226" i="2" s="1"/>
  <c r="O226" i="2"/>
  <c r="N226" i="2"/>
  <c r="K226" i="2"/>
  <c r="J226" i="2"/>
  <c r="AJ226" i="2" s="1"/>
  <c r="I226" i="2"/>
  <c r="AL225" i="2"/>
  <c r="AK225" i="2"/>
  <c r="AI225" i="2"/>
  <c r="AH225" i="2"/>
  <c r="AF225" i="2"/>
  <c r="AC225" i="2"/>
  <c r="AB225" i="2"/>
  <c r="AA225" i="2"/>
  <c r="Y225" i="2"/>
  <c r="W225" i="2"/>
  <c r="U225" i="2"/>
  <c r="T225" i="2"/>
  <c r="S225" i="2"/>
  <c r="P225" i="2"/>
  <c r="X225" i="2" s="1"/>
  <c r="O225" i="2"/>
  <c r="N225" i="2"/>
  <c r="K225" i="2"/>
  <c r="J225" i="2"/>
  <c r="I225" i="2"/>
  <c r="AL224" i="2"/>
  <c r="AI224" i="2"/>
  <c r="AH224" i="2"/>
  <c r="AF224" i="2"/>
  <c r="AC224" i="2"/>
  <c r="AB224" i="2"/>
  <c r="AA224" i="2"/>
  <c r="W224" i="2"/>
  <c r="S224" i="2"/>
  <c r="P224" i="2"/>
  <c r="X224" i="2" s="1"/>
  <c r="O224" i="2"/>
  <c r="T224" i="2" s="1"/>
  <c r="N224" i="2"/>
  <c r="K224" i="2"/>
  <c r="AE224" i="2" s="1"/>
  <c r="J224" i="2"/>
  <c r="I224" i="2"/>
  <c r="AL223" i="2"/>
  <c r="AJ223" i="2"/>
  <c r="AI223" i="2"/>
  <c r="AH223" i="2"/>
  <c r="AF223" i="2"/>
  <c r="AE223" i="2"/>
  <c r="AD223" i="2"/>
  <c r="AC223" i="2"/>
  <c r="AB223" i="2"/>
  <c r="AA223" i="2"/>
  <c r="Z223" i="2"/>
  <c r="Y223" i="2"/>
  <c r="W223" i="2"/>
  <c r="S223" i="2"/>
  <c r="P223" i="2"/>
  <c r="X223" i="2" s="1"/>
  <c r="O223" i="2"/>
  <c r="T223" i="2" s="1"/>
  <c r="N223" i="2"/>
  <c r="K223" i="2"/>
  <c r="J223" i="2"/>
  <c r="I223" i="2"/>
  <c r="AL222" i="2"/>
  <c r="AK222" i="2"/>
  <c r="AJ222" i="2"/>
  <c r="AI222" i="2"/>
  <c r="AH222" i="2"/>
  <c r="AF222" i="2"/>
  <c r="AD222" i="2"/>
  <c r="AC222" i="2"/>
  <c r="AB222" i="2"/>
  <c r="AA222" i="2"/>
  <c r="Y222" i="2"/>
  <c r="W222" i="2"/>
  <c r="S222" i="2"/>
  <c r="R222" i="2"/>
  <c r="P222" i="2"/>
  <c r="X222" i="2" s="1"/>
  <c r="O222" i="2"/>
  <c r="T222" i="2" s="1"/>
  <c r="N222" i="2"/>
  <c r="K222" i="2"/>
  <c r="V222" i="2" s="1"/>
  <c r="J222" i="2"/>
  <c r="I222" i="2"/>
  <c r="AL221" i="2"/>
  <c r="AI221" i="2"/>
  <c r="AH221" i="2"/>
  <c r="AF221" i="2"/>
  <c r="AC221" i="2"/>
  <c r="AB221" i="2"/>
  <c r="AA221" i="2"/>
  <c r="W221" i="2"/>
  <c r="U221" i="2"/>
  <c r="T221" i="2"/>
  <c r="S221" i="2"/>
  <c r="P221" i="2"/>
  <c r="X221" i="2" s="1"/>
  <c r="O221" i="2"/>
  <c r="N221" i="2"/>
  <c r="K221" i="2"/>
  <c r="R221" i="2" s="1"/>
  <c r="J221" i="2"/>
  <c r="I221" i="2"/>
  <c r="AL220" i="2"/>
  <c r="AJ220" i="2"/>
  <c r="AI220" i="2"/>
  <c r="AH220" i="2"/>
  <c r="AF220" i="2"/>
  <c r="AD220" i="2"/>
  <c r="AC220" i="2"/>
  <c r="AB220" i="2"/>
  <c r="AA220" i="2"/>
  <c r="X220" i="2"/>
  <c r="W220" i="2"/>
  <c r="S220" i="2"/>
  <c r="P220" i="2"/>
  <c r="O220" i="2"/>
  <c r="T220" i="2" s="1"/>
  <c r="N220" i="2"/>
  <c r="K220" i="2"/>
  <c r="Z220" i="2" s="1"/>
  <c r="J220" i="2"/>
  <c r="U220" i="2" s="1"/>
  <c r="I220" i="2"/>
  <c r="AL219" i="2"/>
  <c r="AI219" i="2"/>
  <c r="AH219" i="2"/>
  <c r="AF219" i="2"/>
  <c r="AC219" i="2"/>
  <c r="AB219" i="2"/>
  <c r="AA219" i="2"/>
  <c r="X219" i="2"/>
  <c r="W219" i="2"/>
  <c r="S219" i="2"/>
  <c r="P219" i="2"/>
  <c r="O219" i="2"/>
  <c r="T219" i="2" s="1"/>
  <c r="N219" i="2"/>
  <c r="K219" i="2"/>
  <c r="J219" i="2"/>
  <c r="I219" i="2"/>
  <c r="AL218" i="2"/>
  <c r="AK218" i="2"/>
  <c r="AI218" i="2"/>
  <c r="AH218" i="2"/>
  <c r="AG218" i="2"/>
  <c r="AF218" i="2"/>
  <c r="AE218" i="2"/>
  <c r="AC218" i="2"/>
  <c r="AB218" i="2"/>
  <c r="AA218" i="2"/>
  <c r="Y218" i="2"/>
  <c r="X218" i="2"/>
  <c r="W218" i="2"/>
  <c r="U218" i="2"/>
  <c r="S218" i="2"/>
  <c r="P218" i="2"/>
  <c r="O218" i="2"/>
  <c r="T218" i="2" s="1"/>
  <c r="N218" i="2"/>
  <c r="K218" i="2"/>
  <c r="J218" i="2"/>
  <c r="Q218" i="2" s="1"/>
  <c r="I218" i="2"/>
  <c r="AL217" i="2"/>
  <c r="AK217" i="2"/>
  <c r="AJ217" i="2"/>
  <c r="AI217" i="2"/>
  <c r="AH217" i="2"/>
  <c r="AG217" i="2"/>
  <c r="AF217" i="2"/>
  <c r="AC217" i="2"/>
  <c r="AB217" i="2"/>
  <c r="AA217" i="2"/>
  <c r="Z217" i="2"/>
  <c r="Y217" i="2"/>
  <c r="X217" i="2"/>
  <c r="W217" i="2"/>
  <c r="V217" i="2"/>
  <c r="S217" i="2"/>
  <c r="P217" i="2"/>
  <c r="O217" i="2"/>
  <c r="T217" i="2" s="1"/>
  <c r="N217" i="2"/>
  <c r="K217" i="2"/>
  <c r="R217" i="2" s="1"/>
  <c r="J217" i="2"/>
  <c r="AD217" i="2" s="1"/>
  <c r="I217" i="2"/>
  <c r="AL216" i="2"/>
  <c r="AI216" i="2"/>
  <c r="AH216" i="2"/>
  <c r="AF216" i="2"/>
  <c r="AC216" i="2"/>
  <c r="AB216" i="2"/>
  <c r="AA216" i="2"/>
  <c r="Y216" i="2"/>
  <c r="X216" i="2"/>
  <c r="W216" i="2"/>
  <c r="S216" i="2"/>
  <c r="P216" i="2"/>
  <c r="O216" i="2"/>
  <c r="T216" i="2" s="1"/>
  <c r="N216" i="2"/>
  <c r="K216" i="2"/>
  <c r="AE216" i="2" s="1"/>
  <c r="J216" i="2"/>
  <c r="AJ216" i="2" s="1"/>
  <c r="I216" i="2"/>
  <c r="AL215" i="2"/>
  <c r="AK215" i="2"/>
  <c r="AI215" i="2"/>
  <c r="AH215" i="2"/>
  <c r="AF215" i="2"/>
  <c r="AD215" i="2"/>
  <c r="AC215" i="2"/>
  <c r="AB215" i="2"/>
  <c r="AA215" i="2"/>
  <c r="Y215" i="2"/>
  <c r="X215" i="2"/>
  <c r="W215" i="2"/>
  <c r="V215" i="2"/>
  <c r="U215" i="2"/>
  <c r="S215" i="2"/>
  <c r="P215" i="2"/>
  <c r="O215" i="2"/>
  <c r="T215" i="2" s="1"/>
  <c r="N215" i="2"/>
  <c r="K215" i="2"/>
  <c r="AE215" i="2" s="1"/>
  <c r="J215" i="2"/>
  <c r="AG215" i="2" s="1"/>
  <c r="I215" i="2"/>
  <c r="AL214" i="2"/>
  <c r="AJ214" i="2"/>
  <c r="AI214" i="2"/>
  <c r="AH214" i="2"/>
  <c r="AF214" i="2"/>
  <c r="AC214" i="2"/>
  <c r="AB214" i="2"/>
  <c r="AA214" i="2"/>
  <c r="Z214" i="2"/>
  <c r="Y214" i="2"/>
  <c r="W214" i="2"/>
  <c r="T214" i="2"/>
  <c r="S214" i="2"/>
  <c r="P214" i="2"/>
  <c r="X214" i="2" s="1"/>
  <c r="O214" i="2"/>
  <c r="N214" i="2"/>
  <c r="K214" i="2"/>
  <c r="AK214" i="2" s="1"/>
  <c r="J214" i="2"/>
  <c r="I214" i="2"/>
  <c r="AL213" i="2"/>
  <c r="AI213" i="2"/>
  <c r="AH213" i="2"/>
  <c r="AF213" i="2"/>
  <c r="AE213" i="2"/>
  <c r="AD213" i="2"/>
  <c r="AC213" i="2"/>
  <c r="AB213" i="2"/>
  <c r="AA213" i="2"/>
  <c r="W213" i="2"/>
  <c r="U213" i="2"/>
  <c r="T213" i="2"/>
  <c r="S213" i="2"/>
  <c r="P213" i="2"/>
  <c r="X213" i="2" s="1"/>
  <c r="O213" i="2"/>
  <c r="N213" i="2"/>
  <c r="K213" i="2"/>
  <c r="Z213" i="2" s="1"/>
  <c r="J213" i="2"/>
  <c r="I213" i="2"/>
  <c r="AL212" i="2"/>
  <c r="AK212" i="2"/>
  <c r="AI212" i="2"/>
  <c r="AH212" i="2"/>
  <c r="AF212" i="2"/>
  <c r="AC212" i="2"/>
  <c r="AB212" i="2"/>
  <c r="AA212" i="2"/>
  <c r="Y212" i="2"/>
  <c r="X212" i="2"/>
  <c r="W212" i="2"/>
  <c r="U212" i="2"/>
  <c r="S212" i="2"/>
  <c r="P212" i="2"/>
  <c r="O212" i="2"/>
  <c r="T212" i="2" s="1"/>
  <c r="N212" i="2"/>
  <c r="K212" i="2"/>
  <c r="AE212" i="2" s="1"/>
  <c r="J212" i="2"/>
  <c r="AJ212" i="2" s="1"/>
  <c r="I212" i="2"/>
  <c r="AL211" i="2"/>
  <c r="AI211" i="2"/>
  <c r="AH211" i="2"/>
  <c r="AF211" i="2"/>
  <c r="AE211" i="2"/>
  <c r="AC211" i="2"/>
  <c r="AB211" i="2"/>
  <c r="AA211" i="2"/>
  <c r="X211" i="2"/>
  <c r="W211" i="2"/>
  <c r="V211" i="2"/>
  <c r="T211" i="2"/>
  <c r="S211" i="2"/>
  <c r="R211" i="2"/>
  <c r="P211" i="2"/>
  <c r="O211" i="2"/>
  <c r="N211" i="2"/>
  <c r="K211" i="2"/>
  <c r="AK211" i="2" s="1"/>
  <c r="J211" i="2"/>
  <c r="I211" i="2"/>
  <c r="AL210" i="2"/>
  <c r="AI210" i="2"/>
  <c r="AH210" i="2"/>
  <c r="AG210" i="2"/>
  <c r="AF210" i="2"/>
  <c r="AE210" i="2"/>
  <c r="AC210" i="2"/>
  <c r="AB210" i="2"/>
  <c r="AA210" i="2"/>
  <c r="W210" i="2"/>
  <c r="V210" i="2"/>
  <c r="S210" i="2"/>
  <c r="P210" i="2"/>
  <c r="X210" i="2" s="1"/>
  <c r="O210" i="2"/>
  <c r="T210" i="2" s="1"/>
  <c r="N210" i="2"/>
  <c r="K210" i="2"/>
  <c r="R210" i="2" s="1"/>
  <c r="J210" i="2"/>
  <c r="AJ210" i="2" s="1"/>
  <c r="I210" i="2"/>
  <c r="AL209" i="2"/>
  <c r="AI209" i="2"/>
  <c r="AH209" i="2"/>
  <c r="AF209" i="2"/>
  <c r="AC209" i="2"/>
  <c r="AB209" i="2"/>
  <c r="AA209" i="2"/>
  <c r="W209" i="2"/>
  <c r="S209" i="2"/>
  <c r="P209" i="2"/>
  <c r="X209" i="2" s="1"/>
  <c r="O209" i="2"/>
  <c r="T209" i="2" s="1"/>
  <c r="N209" i="2"/>
  <c r="K209" i="2"/>
  <c r="V209" i="2" s="1"/>
  <c r="J209" i="2"/>
  <c r="I209" i="2"/>
  <c r="AL208" i="2"/>
  <c r="AI208" i="2"/>
  <c r="AH208" i="2"/>
  <c r="AF208" i="2"/>
  <c r="AC208" i="2"/>
  <c r="AB208" i="2"/>
  <c r="AA208" i="2"/>
  <c r="X208" i="2"/>
  <c r="W208" i="2"/>
  <c r="U208" i="2"/>
  <c r="S208" i="2"/>
  <c r="P208" i="2"/>
  <c r="O208" i="2"/>
  <c r="T208" i="2" s="1"/>
  <c r="N208" i="2"/>
  <c r="K208" i="2"/>
  <c r="J208" i="2"/>
  <c r="I208" i="2"/>
  <c r="AL207" i="2"/>
  <c r="AJ207" i="2"/>
  <c r="AI207" i="2"/>
  <c r="AH207" i="2"/>
  <c r="AF207" i="2"/>
  <c r="AD207" i="2"/>
  <c r="AC207" i="2"/>
  <c r="AB207" i="2"/>
  <c r="AA207" i="2"/>
  <c r="Z207" i="2"/>
  <c r="W207" i="2"/>
  <c r="U207" i="2"/>
  <c r="S207" i="2"/>
  <c r="P207" i="2"/>
  <c r="X207" i="2" s="1"/>
  <c r="O207" i="2"/>
  <c r="T207" i="2" s="1"/>
  <c r="N207" i="2"/>
  <c r="K207" i="2"/>
  <c r="R207" i="2" s="1"/>
  <c r="J207" i="2"/>
  <c r="I207" i="2"/>
  <c r="AL206" i="2"/>
  <c r="AK206" i="2"/>
  <c r="AJ206" i="2"/>
  <c r="AI206" i="2"/>
  <c r="AH206" i="2"/>
  <c r="AF206" i="2"/>
  <c r="AC206" i="2"/>
  <c r="AB206" i="2"/>
  <c r="AA206" i="2"/>
  <c r="X206" i="2"/>
  <c r="W206" i="2"/>
  <c r="U206" i="2"/>
  <c r="T206" i="2"/>
  <c r="S206" i="2"/>
  <c r="P206" i="2"/>
  <c r="O206" i="2"/>
  <c r="N206" i="2"/>
  <c r="K206" i="2"/>
  <c r="V206" i="2" s="1"/>
  <c r="J206" i="2"/>
  <c r="I206" i="2"/>
  <c r="AL205" i="2"/>
  <c r="AI205" i="2"/>
  <c r="AH205" i="2"/>
  <c r="AG205" i="2"/>
  <c r="AF205" i="2"/>
  <c r="AC205" i="2"/>
  <c r="AB205" i="2"/>
  <c r="AA205" i="2"/>
  <c r="Y205" i="2"/>
  <c r="W205" i="2"/>
  <c r="S205" i="2"/>
  <c r="Q205" i="2"/>
  <c r="P205" i="2"/>
  <c r="X205" i="2" s="1"/>
  <c r="O205" i="2"/>
  <c r="T205" i="2" s="1"/>
  <c r="N205" i="2"/>
  <c r="K205" i="2"/>
  <c r="AE205" i="2" s="1"/>
  <c r="J205" i="2"/>
  <c r="AD205" i="2" s="1"/>
  <c r="I205" i="2"/>
  <c r="AL204" i="2"/>
  <c r="AI204" i="2"/>
  <c r="AH204" i="2"/>
  <c r="AG204" i="2"/>
  <c r="AF204" i="2"/>
  <c r="AC204" i="2"/>
  <c r="AB204" i="2"/>
  <c r="AA204" i="2"/>
  <c r="W204" i="2"/>
  <c r="V204" i="2"/>
  <c r="U204" i="2"/>
  <c r="T204" i="2"/>
  <c r="S204" i="2"/>
  <c r="P204" i="2"/>
  <c r="X204" i="2" s="1"/>
  <c r="O204" i="2"/>
  <c r="N204" i="2"/>
  <c r="K204" i="2"/>
  <c r="J204" i="2"/>
  <c r="I204" i="2"/>
  <c r="AL203" i="2"/>
  <c r="AK203" i="2"/>
  <c r="AI203" i="2"/>
  <c r="AH203" i="2"/>
  <c r="AF203" i="2"/>
  <c r="AC203" i="2"/>
  <c r="AB203" i="2"/>
  <c r="AA203" i="2"/>
  <c r="W203" i="2"/>
  <c r="V203" i="2"/>
  <c r="S203" i="2"/>
  <c r="P203" i="2"/>
  <c r="X203" i="2" s="1"/>
  <c r="O203" i="2"/>
  <c r="T203" i="2" s="1"/>
  <c r="N203" i="2"/>
  <c r="K203" i="2"/>
  <c r="J203" i="2"/>
  <c r="I203" i="2"/>
  <c r="AL202" i="2"/>
  <c r="AK202" i="2"/>
  <c r="AI202" i="2"/>
  <c r="AH202" i="2"/>
  <c r="AF202" i="2"/>
  <c r="AE202" i="2"/>
  <c r="AD202" i="2"/>
  <c r="AC202" i="2"/>
  <c r="AB202" i="2"/>
  <c r="AA202" i="2"/>
  <c r="W202" i="2"/>
  <c r="T202" i="2"/>
  <c r="S202" i="2"/>
  <c r="P202" i="2"/>
  <c r="X202" i="2" s="1"/>
  <c r="O202" i="2"/>
  <c r="N202" i="2"/>
  <c r="K202" i="2"/>
  <c r="J202" i="2"/>
  <c r="I202" i="2"/>
  <c r="AL201" i="2"/>
  <c r="AJ201" i="2"/>
  <c r="AI201" i="2"/>
  <c r="AH201" i="2"/>
  <c r="AG201" i="2"/>
  <c r="AF201" i="2"/>
  <c r="AC201" i="2"/>
  <c r="AB201" i="2"/>
  <c r="AA201" i="2"/>
  <c r="Z201" i="2"/>
  <c r="W201" i="2"/>
  <c r="V201" i="2"/>
  <c r="U201" i="2"/>
  <c r="T201" i="2"/>
  <c r="S201" i="2"/>
  <c r="P201" i="2"/>
  <c r="X201" i="2" s="1"/>
  <c r="O201" i="2"/>
  <c r="N201" i="2"/>
  <c r="K201" i="2"/>
  <c r="J201" i="2"/>
  <c r="I201" i="2"/>
  <c r="AL200" i="2"/>
  <c r="AI200" i="2"/>
  <c r="AH200" i="2"/>
  <c r="AF200" i="2"/>
  <c r="AE200" i="2"/>
  <c r="AC200" i="2"/>
  <c r="AB200" i="2"/>
  <c r="AA200" i="2"/>
  <c r="X200" i="2"/>
  <c r="W200" i="2"/>
  <c r="S200" i="2"/>
  <c r="P200" i="2"/>
  <c r="O200" i="2"/>
  <c r="T200" i="2" s="1"/>
  <c r="N200" i="2"/>
  <c r="K200" i="2"/>
  <c r="J200" i="2"/>
  <c r="AJ200" i="2" s="1"/>
  <c r="I200" i="2"/>
  <c r="AL199" i="2"/>
  <c r="AI199" i="2"/>
  <c r="AH199" i="2"/>
  <c r="AF199" i="2"/>
  <c r="AC199" i="2"/>
  <c r="AB199" i="2"/>
  <c r="AA199" i="2"/>
  <c r="Z199" i="2"/>
  <c r="W199" i="2"/>
  <c r="V199" i="2"/>
  <c r="U199" i="2"/>
  <c r="S199" i="2"/>
  <c r="R199" i="2"/>
  <c r="P199" i="2"/>
  <c r="X199" i="2" s="1"/>
  <c r="O199" i="2"/>
  <c r="T199" i="2" s="1"/>
  <c r="N199" i="2"/>
  <c r="K199" i="2"/>
  <c r="J199" i="2"/>
  <c r="AJ199" i="2" s="1"/>
  <c r="I199" i="2"/>
  <c r="AL198" i="2"/>
  <c r="AI198" i="2"/>
  <c r="AH198" i="2"/>
  <c r="AG198" i="2"/>
  <c r="AF198" i="2"/>
  <c r="AC198" i="2"/>
  <c r="AB198" i="2"/>
  <c r="AA198" i="2"/>
  <c r="Y198" i="2"/>
  <c r="W198" i="2"/>
  <c r="V198" i="2"/>
  <c r="T198" i="2"/>
  <c r="S198" i="2"/>
  <c r="P198" i="2"/>
  <c r="X198" i="2" s="1"/>
  <c r="O198" i="2"/>
  <c r="N198" i="2"/>
  <c r="K198" i="2"/>
  <c r="J198" i="2"/>
  <c r="I198" i="2"/>
  <c r="AL197" i="2"/>
  <c r="AI197" i="2"/>
  <c r="AH197" i="2"/>
  <c r="AF197" i="2"/>
  <c r="AC197" i="2"/>
  <c r="AB197" i="2"/>
  <c r="AA197" i="2"/>
  <c r="W197" i="2"/>
  <c r="T197" i="2"/>
  <c r="S197" i="2"/>
  <c r="P197" i="2"/>
  <c r="X197" i="2" s="1"/>
  <c r="O197" i="2"/>
  <c r="N197" i="2"/>
  <c r="K197" i="2"/>
  <c r="J197" i="2"/>
  <c r="I197" i="2"/>
  <c r="AL196" i="2"/>
  <c r="AI196" i="2"/>
  <c r="AH196" i="2"/>
  <c r="AF196" i="2"/>
  <c r="AC196" i="2"/>
  <c r="AB196" i="2"/>
  <c r="AA196" i="2"/>
  <c r="X196" i="2"/>
  <c r="W196" i="2"/>
  <c r="T196" i="2"/>
  <c r="S196" i="2"/>
  <c r="P196" i="2"/>
  <c r="O196" i="2"/>
  <c r="N196" i="2"/>
  <c r="K196" i="2"/>
  <c r="AK196" i="2" s="1"/>
  <c r="J196" i="2"/>
  <c r="AG196" i="2" s="1"/>
  <c r="I196" i="2"/>
  <c r="AL195" i="2"/>
  <c r="AI195" i="2"/>
  <c r="AH195" i="2"/>
  <c r="AF195" i="2"/>
  <c r="AE195" i="2"/>
  <c r="AD195" i="2"/>
  <c r="AC195" i="2"/>
  <c r="AB195" i="2"/>
  <c r="AA195" i="2"/>
  <c r="Y195" i="2"/>
  <c r="W195" i="2"/>
  <c r="U195" i="2"/>
  <c r="S195" i="2"/>
  <c r="R195" i="2"/>
  <c r="P195" i="2"/>
  <c r="X195" i="2" s="1"/>
  <c r="O195" i="2"/>
  <c r="T195" i="2" s="1"/>
  <c r="N195" i="2"/>
  <c r="K195" i="2"/>
  <c r="Z195" i="2" s="1"/>
  <c r="J195" i="2"/>
  <c r="I195" i="2"/>
  <c r="AL194" i="2"/>
  <c r="AI194" i="2"/>
  <c r="AH194" i="2"/>
  <c r="AF194" i="2"/>
  <c r="AE194" i="2"/>
  <c r="AC194" i="2"/>
  <c r="AB194" i="2"/>
  <c r="AA194" i="2"/>
  <c r="Z194" i="2"/>
  <c r="X194" i="2"/>
  <c r="W194" i="2"/>
  <c r="V194" i="2"/>
  <c r="T194" i="2"/>
  <c r="S194" i="2"/>
  <c r="P194" i="2"/>
  <c r="O194" i="2"/>
  <c r="N194" i="2"/>
  <c r="K194" i="2"/>
  <c r="R194" i="2" s="1"/>
  <c r="J194" i="2"/>
  <c r="I194" i="2"/>
  <c r="AL193" i="2"/>
  <c r="AI193" i="2"/>
  <c r="AH193" i="2"/>
  <c r="AF193" i="2"/>
  <c r="AC193" i="2"/>
  <c r="AB193" i="2"/>
  <c r="AA193" i="2"/>
  <c r="W193" i="2"/>
  <c r="S193" i="2"/>
  <c r="P193" i="2"/>
  <c r="X193" i="2" s="1"/>
  <c r="O193" i="2"/>
  <c r="T193" i="2" s="1"/>
  <c r="N193" i="2"/>
  <c r="K193" i="2"/>
  <c r="J193" i="2"/>
  <c r="AD193" i="2" s="1"/>
  <c r="I193" i="2"/>
  <c r="AL192" i="2"/>
  <c r="AI192" i="2"/>
  <c r="AH192" i="2"/>
  <c r="AG192" i="2"/>
  <c r="AF192" i="2"/>
  <c r="AE192" i="2"/>
  <c r="AC192" i="2"/>
  <c r="AB192" i="2"/>
  <c r="AA192" i="2"/>
  <c r="X192" i="2"/>
  <c r="W192" i="2"/>
  <c r="S192" i="2"/>
  <c r="P192" i="2"/>
  <c r="O192" i="2"/>
  <c r="T192" i="2" s="1"/>
  <c r="N192" i="2"/>
  <c r="K192" i="2"/>
  <c r="J192" i="2"/>
  <c r="AJ192" i="2" s="1"/>
  <c r="I192" i="2"/>
  <c r="AL191" i="2"/>
  <c r="AI191" i="2"/>
  <c r="AH191" i="2"/>
  <c r="AF191" i="2"/>
  <c r="AD191" i="2"/>
  <c r="AC191" i="2"/>
  <c r="AB191" i="2"/>
  <c r="AA191" i="2"/>
  <c r="W191" i="2"/>
  <c r="V191" i="2"/>
  <c r="S191" i="2"/>
  <c r="P191" i="2"/>
  <c r="X191" i="2" s="1"/>
  <c r="O191" i="2"/>
  <c r="T191" i="2" s="1"/>
  <c r="N191" i="2"/>
  <c r="K191" i="2"/>
  <c r="J191" i="2"/>
  <c r="I191" i="2"/>
  <c r="AL190" i="2"/>
  <c r="AI190" i="2"/>
  <c r="AH190" i="2"/>
  <c r="AG190" i="2"/>
  <c r="AF190" i="2"/>
  <c r="AC190" i="2"/>
  <c r="AB190" i="2"/>
  <c r="AA190" i="2"/>
  <c r="Z190" i="2"/>
  <c r="W190" i="2"/>
  <c r="V190" i="2"/>
  <c r="U190" i="2"/>
  <c r="T190" i="2"/>
  <c r="S190" i="2"/>
  <c r="P190" i="2"/>
  <c r="X190" i="2" s="1"/>
  <c r="O190" i="2"/>
  <c r="N190" i="2"/>
  <c r="K190" i="2"/>
  <c r="AK190" i="2" s="1"/>
  <c r="J190" i="2"/>
  <c r="Q190" i="2" s="1"/>
  <c r="I190" i="2"/>
  <c r="AL189" i="2"/>
  <c r="AK189" i="2"/>
  <c r="AI189" i="2"/>
  <c r="AH189" i="2"/>
  <c r="AF189" i="2"/>
  <c r="AE189" i="2"/>
  <c r="AC189" i="2"/>
  <c r="AB189" i="2"/>
  <c r="AA189" i="2"/>
  <c r="Y189" i="2"/>
  <c r="W189" i="2"/>
  <c r="V189" i="2"/>
  <c r="S189" i="2"/>
  <c r="R189" i="2"/>
  <c r="P189" i="2"/>
  <c r="X189" i="2" s="1"/>
  <c r="O189" i="2"/>
  <c r="T189" i="2" s="1"/>
  <c r="N189" i="2"/>
  <c r="K189" i="2"/>
  <c r="Z189" i="2" s="1"/>
  <c r="J189" i="2"/>
  <c r="AJ189" i="2" s="1"/>
  <c r="I189" i="2"/>
  <c r="AL188" i="2"/>
  <c r="AI188" i="2"/>
  <c r="AH188" i="2"/>
  <c r="AF188" i="2"/>
  <c r="AC188" i="2"/>
  <c r="AB188" i="2"/>
  <c r="AA188" i="2"/>
  <c r="W188" i="2"/>
  <c r="S188" i="2"/>
  <c r="P188" i="2"/>
  <c r="X188" i="2" s="1"/>
  <c r="O188" i="2"/>
  <c r="T188" i="2" s="1"/>
  <c r="N188" i="2"/>
  <c r="K188" i="2"/>
  <c r="Z188" i="2" s="1"/>
  <c r="J188" i="2"/>
  <c r="I188" i="2"/>
  <c r="AL187" i="2"/>
  <c r="AI187" i="2"/>
  <c r="AH187" i="2"/>
  <c r="AF187" i="2"/>
  <c r="AC187" i="2"/>
  <c r="AB187" i="2"/>
  <c r="AA187" i="2"/>
  <c r="W187" i="2"/>
  <c r="T187" i="2"/>
  <c r="S187" i="2"/>
  <c r="P187" i="2"/>
  <c r="X187" i="2" s="1"/>
  <c r="O187" i="2"/>
  <c r="N187" i="2"/>
  <c r="K187" i="2"/>
  <c r="AE187" i="2" s="1"/>
  <c r="J187" i="2"/>
  <c r="I187" i="2"/>
  <c r="AL186" i="2"/>
  <c r="AK186" i="2"/>
  <c r="AI186" i="2"/>
  <c r="AH186" i="2"/>
  <c r="AF186" i="2"/>
  <c r="AC186" i="2"/>
  <c r="AB186" i="2"/>
  <c r="AA186" i="2"/>
  <c r="Z186" i="2"/>
  <c r="X186" i="2"/>
  <c r="W186" i="2"/>
  <c r="U186" i="2"/>
  <c r="S186" i="2"/>
  <c r="P186" i="2"/>
  <c r="O186" i="2"/>
  <c r="T186" i="2" s="1"/>
  <c r="N186" i="2"/>
  <c r="K186" i="2"/>
  <c r="AE186" i="2" s="1"/>
  <c r="J186" i="2"/>
  <c r="I186" i="2"/>
  <c r="AL185" i="2"/>
  <c r="AJ185" i="2"/>
  <c r="AI185" i="2"/>
  <c r="AH185" i="2"/>
  <c r="AF185" i="2"/>
  <c r="AC185" i="2"/>
  <c r="AB185" i="2"/>
  <c r="AA185" i="2"/>
  <c r="W185" i="2"/>
  <c r="V185" i="2"/>
  <c r="S185" i="2"/>
  <c r="P185" i="2"/>
  <c r="X185" i="2" s="1"/>
  <c r="O185" i="2"/>
  <c r="T185" i="2" s="1"/>
  <c r="N185" i="2"/>
  <c r="K185" i="2"/>
  <c r="J185" i="2"/>
  <c r="U185" i="2" s="1"/>
  <c r="I185" i="2"/>
  <c r="AL184" i="2"/>
  <c r="AI184" i="2"/>
  <c r="AH184" i="2"/>
  <c r="AF184" i="2"/>
  <c r="AD184" i="2"/>
  <c r="AC184" i="2"/>
  <c r="AB184" i="2"/>
  <c r="AA184" i="2"/>
  <c r="W184" i="2"/>
  <c r="S184" i="2"/>
  <c r="P184" i="2"/>
  <c r="X184" i="2" s="1"/>
  <c r="O184" i="2"/>
  <c r="T184" i="2" s="1"/>
  <c r="N184" i="2"/>
  <c r="K184" i="2"/>
  <c r="J184" i="2"/>
  <c r="AG184" i="2" s="1"/>
  <c r="I184" i="2"/>
  <c r="AL183" i="2"/>
  <c r="AI183" i="2"/>
  <c r="AH183" i="2"/>
  <c r="AF183" i="2"/>
  <c r="AC183" i="2"/>
  <c r="AB183" i="2"/>
  <c r="AA183" i="2"/>
  <c r="Y183" i="2"/>
  <c r="X183" i="2"/>
  <c r="W183" i="2"/>
  <c r="T183" i="2"/>
  <c r="S183" i="2"/>
  <c r="P183" i="2"/>
  <c r="O183" i="2"/>
  <c r="N183" i="2"/>
  <c r="K183" i="2"/>
  <c r="V183" i="2" s="1"/>
  <c r="J183" i="2"/>
  <c r="I183" i="2"/>
  <c r="AL182" i="2"/>
  <c r="AI182" i="2"/>
  <c r="AH182" i="2"/>
  <c r="AG182" i="2"/>
  <c r="AF182" i="2"/>
  <c r="AC182" i="2"/>
  <c r="AB182" i="2"/>
  <c r="AA182" i="2"/>
  <c r="W182" i="2"/>
  <c r="S182" i="2"/>
  <c r="P182" i="2"/>
  <c r="X182" i="2" s="1"/>
  <c r="O182" i="2"/>
  <c r="T182" i="2" s="1"/>
  <c r="N182" i="2"/>
  <c r="K182" i="2"/>
  <c r="V182" i="2" s="1"/>
  <c r="J182" i="2"/>
  <c r="U182" i="2" s="1"/>
  <c r="I182" i="2"/>
  <c r="AL181" i="2"/>
  <c r="AJ181" i="2"/>
  <c r="AI181" i="2"/>
  <c r="AH181" i="2"/>
  <c r="AG181" i="2"/>
  <c r="AF181" i="2"/>
  <c r="AD181" i="2"/>
  <c r="AC181" i="2"/>
  <c r="AB181" i="2"/>
  <c r="AA181" i="2"/>
  <c r="W181" i="2"/>
  <c r="S181" i="2"/>
  <c r="P181" i="2"/>
  <c r="X181" i="2" s="1"/>
  <c r="O181" i="2"/>
  <c r="T181" i="2" s="1"/>
  <c r="N181" i="2"/>
  <c r="K181" i="2"/>
  <c r="J181" i="2"/>
  <c r="Y181" i="2" s="1"/>
  <c r="I181" i="2"/>
  <c r="AL180" i="2"/>
  <c r="AJ180" i="2"/>
  <c r="AI180" i="2"/>
  <c r="AH180" i="2"/>
  <c r="AF180" i="2"/>
  <c r="AC180" i="2"/>
  <c r="AB180" i="2"/>
  <c r="AA180" i="2"/>
  <c r="Y180" i="2"/>
  <c r="W180" i="2"/>
  <c r="S180" i="2"/>
  <c r="P180" i="2"/>
  <c r="X180" i="2" s="1"/>
  <c r="O180" i="2"/>
  <c r="T180" i="2" s="1"/>
  <c r="N180" i="2"/>
  <c r="K180" i="2"/>
  <c r="J180" i="2"/>
  <c r="I180" i="2"/>
  <c r="AL179" i="2"/>
  <c r="AI179" i="2"/>
  <c r="AH179" i="2"/>
  <c r="AF179" i="2"/>
  <c r="AC179" i="2"/>
  <c r="AB179" i="2"/>
  <c r="AA179" i="2"/>
  <c r="Z179" i="2"/>
  <c r="W179" i="2"/>
  <c r="S179" i="2"/>
  <c r="R179" i="2"/>
  <c r="P179" i="2"/>
  <c r="X179" i="2" s="1"/>
  <c r="O179" i="2"/>
  <c r="T179" i="2" s="1"/>
  <c r="N179" i="2"/>
  <c r="K179" i="2"/>
  <c r="V179" i="2" s="1"/>
  <c r="J179" i="2"/>
  <c r="I179" i="2"/>
  <c r="AL178" i="2"/>
  <c r="AK178" i="2"/>
  <c r="AI178" i="2"/>
  <c r="AH178" i="2"/>
  <c r="AF178" i="2"/>
  <c r="AC178" i="2"/>
  <c r="AB178" i="2"/>
  <c r="AA178" i="2"/>
  <c r="X178" i="2"/>
  <c r="W178" i="2"/>
  <c r="S178" i="2"/>
  <c r="P178" i="2"/>
  <c r="O178" i="2"/>
  <c r="T178" i="2" s="1"/>
  <c r="N178" i="2"/>
  <c r="K178" i="2"/>
  <c r="AE178" i="2" s="1"/>
  <c r="J178" i="2"/>
  <c r="I178" i="2"/>
  <c r="AL177" i="2"/>
  <c r="AI177" i="2"/>
  <c r="AH177" i="2"/>
  <c r="AF177" i="2"/>
  <c r="AC177" i="2"/>
  <c r="AB177" i="2"/>
  <c r="AA177" i="2"/>
  <c r="Z177" i="2"/>
  <c r="W177" i="2"/>
  <c r="S177" i="2"/>
  <c r="P177" i="2"/>
  <c r="X177" i="2" s="1"/>
  <c r="O177" i="2"/>
  <c r="T177" i="2" s="1"/>
  <c r="N177" i="2"/>
  <c r="K177" i="2"/>
  <c r="J177" i="2"/>
  <c r="I177" i="2"/>
  <c r="AL176" i="2"/>
  <c r="AI176" i="2"/>
  <c r="AH176" i="2"/>
  <c r="AF176" i="2"/>
  <c r="AE176" i="2"/>
  <c r="AC176" i="2"/>
  <c r="AB176" i="2"/>
  <c r="AA176" i="2"/>
  <c r="W176" i="2"/>
  <c r="S176" i="2"/>
  <c r="P176" i="2"/>
  <c r="X176" i="2" s="1"/>
  <c r="O176" i="2"/>
  <c r="T176" i="2" s="1"/>
  <c r="N176" i="2"/>
  <c r="K176" i="2"/>
  <c r="J176" i="2"/>
  <c r="AD176" i="2" s="1"/>
  <c r="I176" i="2"/>
  <c r="AL175" i="2"/>
  <c r="AI175" i="2"/>
  <c r="AH175" i="2"/>
  <c r="AF175" i="2"/>
  <c r="AC175" i="2"/>
  <c r="AB175" i="2"/>
  <c r="AA175" i="2"/>
  <c r="X175" i="2"/>
  <c r="W175" i="2"/>
  <c r="V175" i="2"/>
  <c r="S175" i="2"/>
  <c r="Q175" i="2"/>
  <c r="P175" i="2"/>
  <c r="O175" i="2"/>
  <c r="T175" i="2" s="1"/>
  <c r="N175" i="2"/>
  <c r="K175" i="2"/>
  <c r="AK175" i="2" s="1"/>
  <c r="J175" i="2"/>
  <c r="AJ175" i="2" s="1"/>
  <c r="I175" i="2"/>
  <c r="AL174" i="2"/>
  <c r="AI174" i="2"/>
  <c r="AH174" i="2"/>
  <c r="AG174" i="2"/>
  <c r="AF174" i="2"/>
  <c r="AD174" i="2"/>
  <c r="AC174" i="2"/>
  <c r="AB174" i="2"/>
  <c r="AA174" i="2"/>
  <c r="X174" i="2"/>
  <c r="W174" i="2"/>
  <c r="S174" i="2"/>
  <c r="P174" i="2"/>
  <c r="O174" i="2"/>
  <c r="T174" i="2" s="1"/>
  <c r="N174" i="2"/>
  <c r="K174" i="2"/>
  <c r="AE174" i="2" s="1"/>
  <c r="J174" i="2"/>
  <c r="I174" i="2"/>
  <c r="AL173" i="2"/>
  <c r="AI173" i="2"/>
  <c r="AH173" i="2"/>
  <c r="AF173" i="2"/>
  <c r="AC173" i="2"/>
  <c r="AB173" i="2"/>
  <c r="AA173" i="2"/>
  <c r="W173" i="2"/>
  <c r="S173" i="2"/>
  <c r="P173" i="2"/>
  <c r="X173" i="2" s="1"/>
  <c r="O173" i="2"/>
  <c r="T173" i="2" s="1"/>
  <c r="N173" i="2"/>
  <c r="K173" i="2"/>
  <c r="J173" i="2"/>
  <c r="I173" i="2"/>
  <c r="AL172" i="2"/>
  <c r="AI172" i="2"/>
  <c r="AH172" i="2"/>
  <c r="AF172" i="2"/>
  <c r="AE172" i="2"/>
  <c r="AC172" i="2"/>
  <c r="AB172" i="2"/>
  <c r="AA172" i="2"/>
  <c r="Z172" i="2"/>
  <c r="W172" i="2"/>
  <c r="S172" i="2"/>
  <c r="P172" i="2"/>
  <c r="X172" i="2" s="1"/>
  <c r="O172" i="2"/>
  <c r="T172" i="2" s="1"/>
  <c r="N172" i="2"/>
  <c r="K172" i="2"/>
  <c r="J172" i="2"/>
  <c r="AJ172" i="2" s="1"/>
  <c r="I172" i="2"/>
  <c r="AL171" i="2"/>
  <c r="AI171" i="2"/>
  <c r="AH171" i="2"/>
  <c r="AF171" i="2"/>
  <c r="AC171" i="2"/>
  <c r="AB171" i="2"/>
  <c r="AA171" i="2"/>
  <c r="Z171" i="2"/>
  <c r="X171" i="2"/>
  <c r="W171" i="2"/>
  <c r="V171" i="2"/>
  <c r="S171" i="2"/>
  <c r="R171" i="2"/>
  <c r="P171" i="2"/>
  <c r="O171" i="2"/>
  <c r="T171" i="2" s="1"/>
  <c r="N171" i="2"/>
  <c r="K171" i="2"/>
  <c r="AE171" i="2" s="1"/>
  <c r="J171" i="2"/>
  <c r="AJ171" i="2" s="1"/>
  <c r="I171" i="2"/>
  <c r="AL170" i="2"/>
  <c r="AJ170" i="2"/>
  <c r="AI170" i="2"/>
  <c r="AH170" i="2"/>
  <c r="AF170" i="2"/>
  <c r="AC170" i="2"/>
  <c r="AB170" i="2"/>
  <c r="AA170" i="2"/>
  <c r="W170" i="2"/>
  <c r="S170" i="2"/>
  <c r="P170" i="2"/>
  <c r="X170" i="2" s="1"/>
  <c r="O170" i="2"/>
  <c r="T170" i="2" s="1"/>
  <c r="N170" i="2"/>
  <c r="K170" i="2"/>
  <c r="V170" i="2" s="1"/>
  <c r="J170" i="2"/>
  <c r="I170" i="2"/>
  <c r="AL169" i="2"/>
  <c r="AI169" i="2"/>
  <c r="AH169" i="2"/>
  <c r="AF169" i="2"/>
  <c r="AD169" i="2"/>
  <c r="AC169" i="2"/>
  <c r="AB169" i="2"/>
  <c r="AA169" i="2"/>
  <c r="X169" i="2"/>
  <c r="W169" i="2"/>
  <c r="S169" i="2"/>
  <c r="P169" i="2"/>
  <c r="O169" i="2"/>
  <c r="T169" i="2" s="1"/>
  <c r="N169" i="2"/>
  <c r="K169" i="2"/>
  <c r="AE169" i="2" s="1"/>
  <c r="J169" i="2"/>
  <c r="AJ169" i="2" s="1"/>
  <c r="I169" i="2"/>
  <c r="AL168" i="2"/>
  <c r="AK168" i="2"/>
  <c r="AI168" i="2"/>
  <c r="AH168" i="2"/>
  <c r="AF168" i="2"/>
  <c r="AC168" i="2"/>
  <c r="AB168" i="2"/>
  <c r="AA168" i="2"/>
  <c r="W168" i="2"/>
  <c r="V168" i="2"/>
  <c r="S168" i="2"/>
  <c r="P168" i="2"/>
  <c r="X168" i="2" s="1"/>
  <c r="O168" i="2"/>
  <c r="T168" i="2" s="1"/>
  <c r="N168" i="2"/>
  <c r="K168" i="2"/>
  <c r="AE168" i="2" s="1"/>
  <c r="J168" i="2"/>
  <c r="AJ168" i="2" s="1"/>
  <c r="I168" i="2"/>
  <c r="AL167" i="2"/>
  <c r="AI167" i="2"/>
  <c r="AH167" i="2"/>
  <c r="AF167" i="2"/>
  <c r="AC167" i="2"/>
  <c r="AB167" i="2"/>
  <c r="AA167" i="2"/>
  <c r="W167" i="2"/>
  <c r="S167" i="2"/>
  <c r="P167" i="2"/>
  <c r="X167" i="2" s="1"/>
  <c r="O167" i="2"/>
  <c r="T167" i="2" s="1"/>
  <c r="N167" i="2"/>
  <c r="K167" i="2"/>
  <c r="J167" i="2"/>
  <c r="U167" i="2" s="1"/>
  <c r="I167" i="2"/>
  <c r="AL166" i="2"/>
  <c r="AI166" i="2"/>
  <c r="AH166" i="2"/>
  <c r="AF166" i="2"/>
  <c r="AE166" i="2"/>
  <c r="AD166" i="2"/>
  <c r="AC166" i="2"/>
  <c r="AB166" i="2"/>
  <c r="AA166" i="2"/>
  <c r="W166" i="2"/>
  <c r="V166" i="2"/>
  <c r="U166" i="2"/>
  <c r="S166" i="2"/>
  <c r="P166" i="2"/>
  <c r="X166" i="2" s="1"/>
  <c r="O166" i="2"/>
  <c r="T166" i="2" s="1"/>
  <c r="N166" i="2"/>
  <c r="K166" i="2"/>
  <c r="Z166" i="2" s="1"/>
  <c r="J166" i="2"/>
  <c r="I166" i="2"/>
  <c r="AL165" i="2"/>
  <c r="AI165" i="2"/>
  <c r="AH165" i="2"/>
  <c r="AF165" i="2"/>
  <c r="AC165" i="2"/>
  <c r="AB165" i="2"/>
  <c r="AA165" i="2"/>
  <c r="W165" i="2"/>
  <c r="S165" i="2"/>
  <c r="Q165" i="2"/>
  <c r="P165" i="2"/>
  <c r="X165" i="2" s="1"/>
  <c r="O165" i="2"/>
  <c r="T165" i="2" s="1"/>
  <c r="N165" i="2"/>
  <c r="K165" i="2"/>
  <c r="J165" i="2"/>
  <c r="I165" i="2"/>
  <c r="AL164" i="2"/>
  <c r="AI164" i="2"/>
  <c r="AH164" i="2"/>
  <c r="AF164" i="2"/>
  <c r="AC164" i="2"/>
  <c r="AB164" i="2"/>
  <c r="AA164" i="2"/>
  <c r="Z164" i="2"/>
  <c r="X164" i="2"/>
  <c r="W164" i="2"/>
  <c r="T164" i="2"/>
  <c r="S164" i="2"/>
  <c r="P164" i="2"/>
  <c r="O164" i="2"/>
  <c r="N164" i="2"/>
  <c r="K164" i="2"/>
  <c r="J164" i="2"/>
  <c r="I164" i="2"/>
  <c r="AL163" i="2"/>
  <c r="AJ163" i="2"/>
  <c r="AI163" i="2"/>
  <c r="AH163" i="2"/>
  <c r="AG163" i="2"/>
  <c r="AF163" i="2"/>
  <c r="AC163" i="2"/>
  <c r="AB163" i="2"/>
  <c r="AA163" i="2"/>
  <c r="W163" i="2"/>
  <c r="U163" i="2"/>
  <c r="S163" i="2"/>
  <c r="P163" i="2"/>
  <c r="X163" i="2" s="1"/>
  <c r="O163" i="2"/>
  <c r="T163" i="2" s="1"/>
  <c r="N163" i="2"/>
  <c r="K163" i="2"/>
  <c r="J163" i="2"/>
  <c r="AD163" i="2" s="1"/>
  <c r="I163" i="2"/>
  <c r="AL162" i="2"/>
  <c r="AK162" i="2"/>
  <c r="AJ162" i="2"/>
  <c r="AI162" i="2"/>
  <c r="AH162" i="2"/>
  <c r="AG162" i="2"/>
  <c r="AF162" i="2"/>
  <c r="AC162" i="2"/>
  <c r="AB162" i="2"/>
  <c r="AA162" i="2"/>
  <c r="X162" i="2"/>
  <c r="W162" i="2"/>
  <c r="V162" i="2"/>
  <c r="U162" i="2"/>
  <c r="S162" i="2"/>
  <c r="P162" i="2"/>
  <c r="O162" i="2"/>
  <c r="T162" i="2" s="1"/>
  <c r="N162" i="2"/>
  <c r="K162" i="2"/>
  <c r="J162" i="2"/>
  <c r="Q162" i="2" s="1"/>
  <c r="I162" i="2"/>
  <c r="AL161" i="2"/>
  <c r="AJ161" i="2"/>
  <c r="AI161" i="2"/>
  <c r="AH161" i="2"/>
  <c r="AG161" i="2"/>
  <c r="AF161" i="2"/>
  <c r="AC161" i="2"/>
  <c r="AB161" i="2"/>
  <c r="AA161" i="2"/>
  <c r="X161" i="2"/>
  <c r="W161" i="2"/>
  <c r="S161" i="2"/>
  <c r="P161" i="2"/>
  <c r="O161" i="2"/>
  <c r="T161" i="2" s="1"/>
  <c r="N161" i="2"/>
  <c r="K161" i="2"/>
  <c r="J161" i="2"/>
  <c r="U161" i="2" s="1"/>
  <c r="I161" i="2"/>
  <c r="AL160" i="2"/>
  <c r="AI160" i="2"/>
  <c r="AH160" i="2"/>
  <c r="AF160" i="2"/>
  <c r="AE160" i="2"/>
  <c r="AC160" i="2"/>
  <c r="AB160" i="2"/>
  <c r="AA160" i="2"/>
  <c r="X160" i="2"/>
  <c r="W160" i="2"/>
  <c r="T160" i="2"/>
  <c r="S160" i="2"/>
  <c r="P160" i="2"/>
  <c r="O160" i="2"/>
  <c r="N160" i="2"/>
  <c r="K160" i="2"/>
  <c r="J160" i="2"/>
  <c r="I160" i="2"/>
  <c r="AL159" i="2"/>
  <c r="AI159" i="2"/>
  <c r="AH159" i="2"/>
  <c r="AF159" i="2"/>
  <c r="AE159" i="2"/>
  <c r="AC159" i="2"/>
  <c r="AB159" i="2"/>
  <c r="AA159" i="2"/>
  <c r="X159" i="2"/>
  <c r="W159" i="2"/>
  <c r="S159" i="2"/>
  <c r="P159" i="2"/>
  <c r="O159" i="2"/>
  <c r="T159" i="2" s="1"/>
  <c r="N159" i="2"/>
  <c r="K159" i="2"/>
  <c r="J159" i="2"/>
  <c r="Q159" i="2" s="1"/>
  <c r="I159" i="2"/>
  <c r="AL158" i="2"/>
  <c r="AI158" i="2"/>
  <c r="AH158" i="2"/>
  <c r="AF158" i="2"/>
  <c r="AD158" i="2"/>
  <c r="AC158" i="2"/>
  <c r="AB158" i="2"/>
  <c r="AA158" i="2"/>
  <c r="X158" i="2"/>
  <c r="W158" i="2"/>
  <c r="T158" i="2"/>
  <c r="S158" i="2"/>
  <c r="P158" i="2"/>
  <c r="O158" i="2"/>
  <c r="N158" i="2"/>
  <c r="K158" i="2"/>
  <c r="J158" i="2"/>
  <c r="I158" i="2"/>
  <c r="AL157" i="2"/>
  <c r="AK157" i="2"/>
  <c r="AI157" i="2"/>
  <c r="AH157" i="2"/>
  <c r="AG157" i="2"/>
  <c r="AF157" i="2"/>
  <c r="AC157" i="2"/>
  <c r="AB157" i="2"/>
  <c r="AA157" i="2"/>
  <c r="W157" i="2"/>
  <c r="V157" i="2"/>
  <c r="T157" i="2"/>
  <c r="S157" i="2"/>
  <c r="P157" i="2"/>
  <c r="X157" i="2" s="1"/>
  <c r="O157" i="2"/>
  <c r="N157" i="2"/>
  <c r="K157" i="2"/>
  <c r="R157" i="2" s="1"/>
  <c r="J157" i="2"/>
  <c r="I157" i="2"/>
  <c r="AL156" i="2"/>
  <c r="AI156" i="2"/>
  <c r="AH156" i="2"/>
  <c r="AF156" i="2"/>
  <c r="AC156" i="2"/>
  <c r="AB156" i="2"/>
  <c r="AA156" i="2"/>
  <c r="X156" i="2"/>
  <c r="W156" i="2"/>
  <c r="S156" i="2"/>
  <c r="P156" i="2"/>
  <c r="O156" i="2"/>
  <c r="T156" i="2" s="1"/>
  <c r="N156" i="2"/>
  <c r="K156" i="2"/>
  <c r="V156" i="2" s="1"/>
  <c r="J156" i="2"/>
  <c r="I156" i="2"/>
  <c r="AL155" i="2"/>
  <c r="AK155" i="2"/>
  <c r="AJ155" i="2"/>
  <c r="AI155" i="2"/>
  <c r="AH155" i="2"/>
  <c r="AF155" i="2"/>
  <c r="AD155" i="2"/>
  <c r="AC155" i="2"/>
  <c r="AB155" i="2"/>
  <c r="AA155" i="2"/>
  <c r="W155" i="2"/>
  <c r="U155" i="2"/>
  <c r="S155" i="2"/>
  <c r="P155" i="2"/>
  <c r="X155" i="2" s="1"/>
  <c r="O155" i="2"/>
  <c r="T155" i="2" s="1"/>
  <c r="N155" i="2"/>
  <c r="K155" i="2"/>
  <c r="Z155" i="2" s="1"/>
  <c r="J155" i="2"/>
  <c r="Q155" i="2" s="1"/>
  <c r="I155" i="2"/>
  <c r="AL154" i="2"/>
  <c r="AI154" i="2"/>
  <c r="AH154" i="2"/>
  <c r="AF154" i="2"/>
  <c r="AC154" i="2"/>
  <c r="AB154" i="2"/>
  <c r="AA154" i="2"/>
  <c r="Y154" i="2"/>
  <c r="X154" i="2"/>
  <c r="W154" i="2"/>
  <c r="S154" i="2"/>
  <c r="P154" i="2"/>
  <c r="O154" i="2"/>
  <c r="T154" i="2" s="1"/>
  <c r="N154" i="2"/>
  <c r="K154" i="2"/>
  <c r="AK154" i="2" s="1"/>
  <c r="J154" i="2"/>
  <c r="I154" i="2"/>
  <c r="AL153" i="2"/>
  <c r="AI153" i="2"/>
  <c r="AH153" i="2"/>
  <c r="AG153" i="2"/>
  <c r="AF153" i="2"/>
  <c r="AC153" i="2"/>
  <c r="AB153" i="2"/>
  <c r="AA153" i="2"/>
  <c r="W153" i="2"/>
  <c r="U153" i="2"/>
  <c r="S153" i="2"/>
  <c r="P153" i="2"/>
  <c r="X153" i="2" s="1"/>
  <c r="O153" i="2"/>
  <c r="T153" i="2" s="1"/>
  <c r="N153" i="2"/>
  <c r="K153" i="2"/>
  <c r="J153" i="2"/>
  <c r="AD153" i="2" s="1"/>
  <c r="I153" i="2"/>
  <c r="AL152" i="2"/>
  <c r="AI152" i="2"/>
  <c r="AH152" i="2"/>
  <c r="AF152" i="2"/>
  <c r="AC152" i="2"/>
  <c r="AB152" i="2"/>
  <c r="AA152" i="2"/>
  <c r="X152" i="2"/>
  <c r="W152" i="2"/>
  <c r="T152" i="2"/>
  <c r="S152" i="2"/>
  <c r="P152" i="2"/>
  <c r="O152" i="2"/>
  <c r="N152" i="2"/>
  <c r="K152" i="2"/>
  <c r="V152" i="2" s="1"/>
  <c r="J152" i="2"/>
  <c r="AJ152" i="2" s="1"/>
  <c r="I152" i="2"/>
  <c r="AL151" i="2"/>
  <c r="AK151" i="2"/>
  <c r="AI151" i="2"/>
  <c r="AH151" i="2"/>
  <c r="AF151" i="2"/>
  <c r="AC151" i="2"/>
  <c r="AB151" i="2"/>
  <c r="AA151" i="2"/>
  <c r="W151" i="2"/>
  <c r="V151" i="2"/>
  <c r="S151" i="2"/>
  <c r="P151" i="2"/>
  <c r="X151" i="2" s="1"/>
  <c r="O151" i="2"/>
  <c r="T151" i="2" s="1"/>
  <c r="N151" i="2"/>
  <c r="K151" i="2"/>
  <c r="J151" i="2"/>
  <c r="AD151" i="2" s="1"/>
  <c r="I151" i="2"/>
  <c r="AL150" i="2"/>
  <c r="AK150" i="2"/>
  <c r="AI150" i="2"/>
  <c r="AH150" i="2"/>
  <c r="AF150" i="2"/>
  <c r="AC150" i="2"/>
  <c r="AB150" i="2"/>
  <c r="AA150" i="2"/>
  <c r="Z150" i="2"/>
  <c r="Y150" i="2"/>
  <c r="W150" i="2"/>
  <c r="S150" i="2"/>
  <c r="P150" i="2"/>
  <c r="X150" i="2" s="1"/>
  <c r="O150" i="2"/>
  <c r="T150" i="2" s="1"/>
  <c r="N150" i="2"/>
  <c r="K150" i="2"/>
  <c r="R150" i="2" s="1"/>
  <c r="J150" i="2"/>
  <c r="AG150" i="2" s="1"/>
  <c r="I150" i="2"/>
  <c r="AL149" i="2"/>
  <c r="AI149" i="2"/>
  <c r="AH149" i="2"/>
  <c r="AG149" i="2"/>
  <c r="AF149" i="2"/>
  <c r="AC149" i="2"/>
  <c r="AB149" i="2"/>
  <c r="AA149" i="2"/>
  <c r="Y149" i="2"/>
  <c r="W149" i="2"/>
  <c r="U149" i="2"/>
  <c r="S149" i="2"/>
  <c r="P149" i="2"/>
  <c r="X149" i="2" s="1"/>
  <c r="O149" i="2"/>
  <c r="T149" i="2" s="1"/>
  <c r="N149" i="2"/>
  <c r="K149" i="2"/>
  <c r="AE149" i="2" s="1"/>
  <c r="J149" i="2"/>
  <c r="I149" i="2"/>
  <c r="AL148" i="2"/>
  <c r="AJ148" i="2"/>
  <c r="AI148" i="2"/>
  <c r="AH148" i="2"/>
  <c r="AF148" i="2"/>
  <c r="AC148" i="2"/>
  <c r="AB148" i="2"/>
  <c r="AA148" i="2"/>
  <c r="Z148" i="2"/>
  <c r="Y148" i="2"/>
  <c r="W148" i="2"/>
  <c r="S148" i="2"/>
  <c r="P148" i="2"/>
  <c r="X148" i="2" s="1"/>
  <c r="O148" i="2"/>
  <c r="T148" i="2" s="1"/>
  <c r="N148" i="2"/>
  <c r="K148" i="2"/>
  <c r="AK148" i="2" s="1"/>
  <c r="J148" i="2"/>
  <c r="AD148" i="2" s="1"/>
  <c r="I148" i="2"/>
  <c r="AL147" i="2"/>
  <c r="AI147" i="2"/>
  <c r="AH147" i="2"/>
  <c r="AF147" i="2"/>
  <c r="AC147" i="2"/>
  <c r="AB147" i="2"/>
  <c r="AA147" i="2"/>
  <c r="W147" i="2"/>
  <c r="U147" i="2"/>
  <c r="S147" i="2"/>
  <c r="Q147" i="2"/>
  <c r="P147" i="2"/>
  <c r="X147" i="2" s="1"/>
  <c r="O147" i="2"/>
  <c r="T147" i="2" s="1"/>
  <c r="N147" i="2"/>
  <c r="K147" i="2"/>
  <c r="AK147" i="2" s="1"/>
  <c r="J147" i="2"/>
  <c r="AJ147" i="2" s="1"/>
  <c r="I147" i="2"/>
  <c r="AL146" i="2"/>
  <c r="AJ146" i="2"/>
  <c r="AI146" i="2"/>
  <c r="AH146" i="2"/>
  <c r="AF146" i="2"/>
  <c r="AD146" i="2"/>
  <c r="AC146" i="2"/>
  <c r="AB146" i="2"/>
  <c r="AA146" i="2"/>
  <c r="Z146" i="2"/>
  <c r="X146" i="2"/>
  <c r="W146" i="2"/>
  <c r="U146" i="2"/>
  <c r="S146" i="2"/>
  <c r="P146" i="2"/>
  <c r="O146" i="2"/>
  <c r="T146" i="2" s="1"/>
  <c r="N146" i="2"/>
  <c r="K146" i="2"/>
  <c r="R146" i="2" s="1"/>
  <c r="J146" i="2"/>
  <c r="AG146" i="2" s="1"/>
  <c r="I146" i="2"/>
  <c r="AL145" i="2"/>
  <c r="AI145" i="2"/>
  <c r="AH145" i="2"/>
  <c r="AF145" i="2"/>
  <c r="AC145" i="2"/>
  <c r="AB145" i="2"/>
  <c r="AA145" i="2"/>
  <c r="W145" i="2"/>
  <c r="S145" i="2"/>
  <c r="P145" i="2"/>
  <c r="X145" i="2" s="1"/>
  <c r="O145" i="2"/>
  <c r="T145" i="2" s="1"/>
  <c r="N145" i="2"/>
  <c r="K145" i="2"/>
  <c r="AK145" i="2" s="1"/>
  <c r="J145" i="2"/>
  <c r="AJ145" i="2" s="1"/>
  <c r="I145" i="2"/>
  <c r="AL144" i="2"/>
  <c r="AI144" i="2"/>
  <c r="AH144" i="2"/>
  <c r="AF144" i="2"/>
  <c r="AC144" i="2"/>
  <c r="AB144" i="2"/>
  <c r="AA144" i="2"/>
  <c r="Y144" i="2"/>
  <c r="X144" i="2"/>
  <c r="W144" i="2"/>
  <c r="S144" i="2"/>
  <c r="P144" i="2"/>
  <c r="O144" i="2"/>
  <c r="T144" i="2" s="1"/>
  <c r="N144" i="2"/>
  <c r="K144" i="2"/>
  <c r="J144" i="2"/>
  <c r="AD144" i="2" s="1"/>
  <c r="I144" i="2"/>
  <c r="AL143" i="2"/>
  <c r="AJ143" i="2"/>
  <c r="AI143" i="2"/>
  <c r="AH143" i="2"/>
  <c r="AF143" i="2"/>
  <c r="AC143" i="2"/>
  <c r="AB143" i="2"/>
  <c r="AA143" i="2"/>
  <c r="X143" i="2"/>
  <c r="W143" i="2"/>
  <c r="U143" i="2"/>
  <c r="S143" i="2"/>
  <c r="P143" i="2"/>
  <c r="O143" i="2"/>
  <c r="T143" i="2" s="1"/>
  <c r="N143" i="2"/>
  <c r="K143" i="2"/>
  <c r="AK143" i="2" s="1"/>
  <c r="J143" i="2"/>
  <c r="I143" i="2"/>
  <c r="AL142" i="2"/>
  <c r="AI142" i="2"/>
  <c r="AH142" i="2"/>
  <c r="AF142" i="2"/>
  <c r="AC142" i="2"/>
  <c r="AB142" i="2"/>
  <c r="AA142" i="2"/>
  <c r="W142" i="2"/>
  <c r="V142" i="2"/>
  <c r="S142" i="2"/>
  <c r="P142" i="2"/>
  <c r="X142" i="2" s="1"/>
  <c r="O142" i="2"/>
  <c r="T142" i="2" s="1"/>
  <c r="N142" i="2"/>
  <c r="K142" i="2"/>
  <c r="AK142" i="2" s="1"/>
  <c r="J142" i="2"/>
  <c r="I142" i="2"/>
  <c r="AL141" i="2"/>
  <c r="AJ141" i="2"/>
  <c r="AI141" i="2"/>
  <c r="AH141" i="2"/>
  <c r="AG141" i="2"/>
  <c r="AF141" i="2"/>
  <c r="AE141" i="2"/>
  <c r="AC141" i="2"/>
  <c r="AB141" i="2"/>
  <c r="AA141" i="2"/>
  <c r="Y141" i="2"/>
  <c r="W141" i="2"/>
  <c r="T141" i="2"/>
  <c r="S141" i="2"/>
  <c r="P141" i="2"/>
  <c r="X141" i="2" s="1"/>
  <c r="O141" i="2"/>
  <c r="N141" i="2"/>
  <c r="K141" i="2"/>
  <c r="J141" i="2"/>
  <c r="AD141" i="2" s="1"/>
  <c r="I141" i="2"/>
  <c r="AL140" i="2"/>
  <c r="AJ140" i="2"/>
  <c r="AI140" i="2"/>
  <c r="AH140" i="2"/>
  <c r="AG140" i="2"/>
  <c r="AF140" i="2"/>
  <c r="AC140" i="2"/>
  <c r="AB140" i="2"/>
  <c r="AA140" i="2"/>
  <c r="W140" i="2"/>
  <c r="U140" i="2"/>
  <c r="S140" i="2"/>
  <c r="P140" i="2"/>
  <c r="X140" i="2" s="1"/>
  <c r="O140" i="2"/>
  <c r="T140" i="2" s="1"/>
  <c r="N140" i="2"/>
  <c r="K140" i="2"/>
  <c r="AK140" i="2" s="1"/>
  <c r="J140" i="2"/>
  <c r="I140" i="2"/>
  <c r="AL139" i="2"/>
  <c r="AI139" i="2"/>
  <c r="AH139" i="2"/>
  <c r="AG139" i="2"/>
  <c r="AF139" i="2"/>
  <c r="AD139" i="2"/>
  <c r="AC139" i="2"/>
  <c r="AB139" i="2"/>
  <c r="AA139" i="2"/>
  <c r="Y139" i="2"/>
  <c r="W139" i="2"/>
  <c r="S139" i="2"/>
  <c r="P139" i="2"/>
  <c r="X139" i="2" s="1"/>
  <c r="O139" i="2"/>
  <c r="T139" i="2" s="1"/>
  <c r="N139" i="2"/>
  <c r="K139" i="2"/>
  <c r="J139" i="2"/>
  <c r="U139" i="2" s="1"/>
  <c r="I139" i="2"/>
  <c r="AL138" i="2"/>
  <c r="AI138" i="2"/>
  <c r="AH138" i="2"/>
  <c r="AF138" i="2"/>
  <c r="AC138" i="2"/>
  <c r="AB138" i="2"/>
  <c r="AA138" i="2"/>
  <c r="X138" i="2"/>
  <c r="W138" i="2"/>
  <c r="T138" i="2"/>
  <c r="S138" i="2"/>
  <c r="P138" i="2"/>
  <c r="O138" i="2"/>
  <c r="N138" i="2"/>
  <c r="K138" i="2"/>
  <c r="V138" i="2" s="1"/>
  <c r="J138" i="2"/>
  <c r="I138" i="2"/>
  <c r="AL137" i="2"/>
  <c r="AI137" i="2"/>
  <c r="AH137" i="2"/>
  <c r="AF137" i="2"/>
  <c r="AC137" i="2"/>
  <c r="AB137" i="2"/>
  <c r="AA137" i="2"/>
  <c r="Z137" i="2"/>
  <c r="Y137" i="2"/>
  <c r="X137" i="2"/>
  <c r="W137" i="2"/>
  <c r="S137" i="2"/>
  <c r="P137" i="2"/>
  <c r="O137" i="2"/>
  <c r="T137" i="2" s="1"/>
  <c r="N137" i="2"/>
  <c r="K137" i="2"/>
  <c r="J137" i="2"/>
  <c r="I137" i="2"/>
  <c r="AL136" i="2"/>
  <c r="AI136" i="2"/>
  <c r="AH136" i="2"/>
  <c r="AF136" i="2"/>
  <c r="AC136" i="2"/>
  <c r="AB136" i="2"/>
  <c r="AA136" i="2"/>
  <c r="Y136" i="2"/>
  <c r="X136" i="2"/>
  <c r="W136" i="2"/>
  <c r="T136" i="2"/>
  <c r="S136" i="2"/>
  <c r="P136" i="2"/>
  <c r="O136" i="2"/>
  <c r="N136" i="2"/>
  <c r="K136" i="2"/>
  <c r="AK136" i="2" s="1"/>
  <c r="J136" i="2"/>
  <c r="Q136" i="2" s="1"/>
  <c r="I136" i="2"/>
  <c r="AL135" i="2"/>
  <c r="AK135" i="2"/>
  <c r="AI135" i="2"/>
  <c r="AH135" i="2"/>
  <c r="AF135" i="2"/>
  <c r="AD135" i="2"/>
  <c r="AC135" i="2"/>
  <c r="AB135" i="2"/>
  <c r="AA135" i="2"/>
  <c r="Y135" i="2"/>
  <c r="W135" i="2"/>
  <c r="S135" i="2"/>
  <c r="Q135" i="2"/>
  <c r="P135" i="2"/>
  <c r="X135" i="2" s="1"/>
  <c r="O135" i="2"/>
  <c r="T135" i="2" s="1"/>
  <c r="N135" i="2"/>
  <c r="K135" i="2"/>
  <c r="V135" i="2" s="1"/>
  <c r="J135" i="2"/>
  <c r="AJ135" i="2" s="1"/>
  <c r="I135" i="2"/>
  <c r="AL134" i="2"/>
  <c r="AK134" i="2"/>
  <c r="AI134" i="2"/>
  <c r="AH134" i="2"/>
  <c r="AF134" i="2"/>
  <c r="AC134" i="2"/>
  <c r="AB134" i="2"/>
  <c r="AA134" i="2"/>
  <c r="Z134" i="2"/>
  <c r="X134" i="2"/>
  <c r="W134" i="2"/>
  <c r="S134" i="2"/>
  <c r="P134" i="2"/>
  <c r="O134" i="2"/>
  <c r="T134" i="2" s="1"/>
  <c r="N134" i="2"/>
  <c r="K134" i="2"/>
  <c r="V134" i="2" s="1"/>
  <c r="J134" i="2"/>
  <c r="I134" i="2"/>
  <c r="AL133" i="2"/>
  <c r="AJ133" i="2"/>
  <c r="AI133" i="2"/>
  <c r="AH133" i="2"/>
  <c r="AF133" i="2"/>
  <c r="AC133" i="2"/>
  <c r="AB133" i="2"/>
  <c r="AA133" i="2"/>
  <c r="W133" i="2"/>
  <c r="T133" i="2"/>
  <c r="S133" i="2"/>
  <c r="Q133" i="2"/>
  <c r="P133" i="2"/>
  <c r="X133" i="2" s="1"/>
  <c r="O133" i="2"/>
  <c r="N133" i="2"/>
  <c r="K133" i="2"/>
  <c r="J133" i="2"/>
  <c r="Y133" i="2" s="1"/>
  <c r="I133" i="2"/>
  <c r="AL132" i="2"/>
  <c r="AK132" i="2"/>
  <c r="AI132" i="2"/>
  <c r="AH132" i="2"/>
  <c r="AG132" i="2"/>
  <c r="AF132" i="2"/>
  <c r="AC132" i="2"/>
  <c r="AB132" i="2"/>
  <c r="AA132" i="2"/>
  <c r="Y132" i="2"/>
  <c r="X132" i="2"/>
  <c r="W132" i="2"/>
  <c r="V132" i="2"/>
  <c r="U132" i="2"/>
  <c r="S132" i="2"/>
  <c r="P132" i="2"/>
  <c r="O132" i="2"/>
  <c r="T132" i="2" s="1"/>
  <c r="N132" i="2"/>
  <c r="K132" i="2"/>
  <c r="Z132" i="2" s="1"/>
  <c r="J132" i="2"/>
  <c r="I132" i="2"/>
  <c r="AL131" i="2"/>
  <c r="AI131" i="2"/>
  <c r="AH131" i="2"/>
  <c r="AF131" i="2"/>
  <c r="AE131" i="2"/>
  <c r="AC131" i="2"/>
  <c r="AB131" i="2"/>
  <c r="AA131" i="2"/>
  <c r="X131" i="2"/>
  <c r="W131" i="2"/>
  <c r="S131" i="2"/>
  <c r="P131" i="2"/>
  <c r="O131" i="2"/>
  <c r="T131" i="2" s="1"/>
  <c r="N131" i="2"/>
  <c r="K131" i="2"/>
  <c r="V131" i="2" s="1"/>
  <c r="J131" i="2"/>
  <c r="Q131" i="2" s="1"/>
  <c r="I131" i="2"/>
  <c r="AL130" i="2"/>
  <c r="AK130" i="2"/>
  <c r="AI130" i="2"/>
  <c r="AH130" i="2"/>
  <c r="AF130" i="2"/>
  <c r="AE130" i="2"/>
  <c r="AC130" i="2"/>
  <c r="AB130" i="2"/>
  <c r="AA130" i="2"/>
  <c r="Z130" i="2"/>
  <c r="W130" i="2"/>
  <c r="S130" i="2"/>
  <c r="P130" i="2"/>
  <c r="X130" i="2" s="1"/>
  <c r="O130" i="2"/>
  <c r="T130" i="2" s="1"/>
  <c r="N130" i="2"/>
  <c r="K130" i="2"/>
  <c r="J130" i="2"/>
  <c r="I130" i="2"/>
  <c r="AL129" i="2"/>
  <c r="AI129" i="2"/>
  <c r="AH129" i="2"/>
  <c r="AF129" i="2"/>
  <c r="AC129" i="2"/>
  <c r="AB129" i="2"/>
  <c r="AA129" i="2"/>
  <c r="W129" i="2"/>
  <c r="S129" i="2"/>
  <c r="Q129" i="2"/>
  <c r="P129" i="2"/>
  <c r="X129" i="2" s="1"/>
  <c r="O129" i="2"/>
  <c r="T129" i="2" s="1"/>
  <c r="N129" i="2"/>
  <c r="K129" i="2"/>
  <c r="J129" i="2"/>
  <c r="I129" i="2"/>
  <c r="AL128" i="2"/>
  <c r="AK128" i="2"/>
  <c r="AI128" i="2"/>
  <c r="AH128" i="2"/>
  <c r="AG128" i="2"/>
  <c r="AF128" i="2"/>
  <c r="AE128" i="2"/>
  <c r="AC128" i="2"/>
  <c r="AB128" i="2"/>
  <c r="AA128" i="2"/>
  <c r="Z128" i="2"/>
  <c r="Y128" i="2"/>
  <c r="W128" i="2"/>
  <c r="U128" i="2"/>
  <c r="S128" i="2"/>
  <c r="P128" i="2"/>
  <c r="X128" i="2" s="1"/>
  <c r="O128" i="2"/>
  <c r="T128" i="2" s="1"/>
  <c r="N128" i="2"/>
  <c r="K128" i="2"/>
  <c r="R128" i="2" s="1"/>
  <c r="J128" i="2"/>
  <c r="I128" i="2"/>
  <c r="AL127" i="2"/>
  <c r="AI127" i="2"/>
  <c r="AH127" i="2"/>
  <c r="AF127" i="2"/>
  <c r="AC127" i="2"/>
  <c r="AB127" i="2"/>
  <c r="AA127" i="2"/>
  <c r="W127" i="2"/>
  <c r="S127" i="2"/>
  <c r="P127" i="2"/>
  <c r="X127" i="2" s="1"/>
  <c r="O127" i="2"/>
  <c r="T127" i="2" s="1"/>
  <c r="N127" i="2"/>
  <c r="K127" i="2"/>
  <c r="AE127" i="2" s="1"/>
  <c r="J127" i="2"/>
  <c r="I127" i="2"/>
  <c r="AL126" i="2"/>
  <c r="AK126" i="2"/>
  <c r="AJ126" i="2"/>
  <c r="AI126" i="2"/>
  <c r="AH126" i="2"/>
  <c r="AF126" i="2"/>
  <c r="AC126" i="2"/>
  <c r="AB126" i="2"/>
  <c r="AA126" i="2"/>
  <c r="Y126" i="2"/>
  <c r="W126" i="2"/>
  <c r="S126" i="2"/>
  <c r="P126" i="2"/>
  <c r="X126" i="2" s="1"/>
  <c r="O126" i="2"/>
  <c r="T126" i="2" s="1"/>
  <c r="N126" i="2"/>
  <c r="K126" i="2"/>
  <c r="J126" i="2"/>
  <c r="U126" i="2" s="1"/>
  <c r="I126" i="2"/>
  <c r="AL125" i="2"/>
  <c r="AI125" i="2"/>
  <c r="AH125" i="2"/>
  <c r="AF125" i="2"/>
  <c r="AC125" i="2"/>
  <c r="AB125" i="2"/>
  <c r="AA125" i="2"/>
  <c r="W125" i="2"/>
  <c r="S125" i="2"/>
  <c r="P125" i="2"/>
  <c r="X125" i="2" s="1"/>
  <c r="O125" i="2"/>
  <c r="T125" i="2" s="1"/>
  <c r="N125" i="2"/>
  <c r="K125" i="2"/>
  <c r="J125" i="2"/>
  <c r="Y125" i="2" s="1"/>
  <c r="I125" i="2"/>
  <c r="AL124" i="2"/>
  <c r="AI124" i="2"/>
  <c r="AH124" i="2"/>
  <c r="AG124" i="2"/>
  <c r="AF124" i="2"/>
  <c r="AC124" i="2"/>
  <c r="AB124" i="2"/>
  <c r="AA124" i="2"/>
  <c r="Y124" i="2"/>
  <c r="X124" i="2"/>
  <c r="W124" i="2"/>
  <c r="S124" i="2"/>
  <c r="P124" i="2"/>
  <c r="O124" i="2"/>
  <c r="T124" i="2" s="1"/>
  <c r="N124" i="2"/>
  <c r="K124" i="2"/>
  <c r="J124" i="2"/>
  <c r="I124" i="2"/>
  <c r="AL123" i="2"/>
  <c r="AI123" i="2"/>
  <c r="AH123" i="2"/>
  <c r="AF123" i="2"/>
  <c r="AC123" i="2"/>
  <c r="AB123" i="2"/>
  <c r="AA123" i="2"/>
  <c r="Y123" i="2"/>
  <c r="W123" i="2"/>
  <c r="S123" i="2"/>
  <c r="Q123" i="2"/>
  <c r="P123" i="2"/>
  <c r="X123" i="2" s="1"/>
  <c r="O123" i="2"/>
  <c r="T123" i="2" s="1"/>
  <c r="N123" i="2"/>
  <c r="K123" i="2"/>
  <c r="J123" i="2"/>
  <c r="I123" i="2"/>
  <c r="AL122" i="2"/>
  <c r="AI122" i="2"/>
  <c r="AH122" i="2"/>
  <c r="AF122" i="2"/>
  <c r="AC122" i="2"/>
  <c r="AB122" i="2"/>
  <c r="AA122" i="2"/>
  <c r="X122" i="2"/>
  <c r="W122" i="2"/>
  <c r="S122" i="2"/>
  <c r="P122" i="2"/>
  <c r="O122" i="2"/>
  <c r="T122" i="2" s="1"/>
  <c r="N122" i="2"/>
  <c r="K122" i="2"/>
  <c r="AE122" i="2" s="1"/>
  <c r="J122" i="2"/>
  <c r="Y122" i="2" s="1"/>
  <c r="I122" i="2"/>
  <c r="AL121" i="2"/>
  <c r="AI121" i="2"/>
  <c r="AH121" i="2"/>
  <c r="AF121" i="2"/>
  <c r="AC121" i="2"/>
  <c r="AB121" i="2"/>
  <c r="AA121" i="2"/>
  <c r="X121" i="2"/>
  <c r="W121" i="2"/>
  <c r="V121" i="2"/>
  <c r="S121" i="2"/>
  <c r="P121" i="2"/>
  <c r="O121" i="2"/>
  <c r="T121" i="2" s="1"/>
  <c r="N121" i="2"/>
  <c r="K121" i="2"/>
  <c r="AK121" i="2" s="1"/>
  <c r="J121" i="2"/>
  <c r="I121" i="2"/>
  <c r="AL120" i="2"/>
  <c r="AI120" i="2"/>
  <c r="AH120" i="2"/>
  <c r="AF120" i="2"/>
  <c r="AC120" i="2"/>
  <c r="AB120" i="2"/>
  <c r="AA120" i="2"/>
  <c r="W120" i="2"/>
  <c r="S120" i="2"/>
  <c r="P120" i="2"/>
  <c r="X120" i="2" s="1"/>
  <c r="O120" i="2"/>
  <c r="T120" i="2" s="1"/>
  <c r="N120" i="2"/>
  <c r="K120" i="2"/>
  <c r="Z120" i="2" s="1"/>
  <c r="J120" i="2"/>
  <c r="I120" i="2"/>
  <c r="AL119" i="2"/>
  <c r="AI119" i="2"/>
  <c r="AH119" i="2"/>
  <c r="AG119" i="2"/>
  <c r="AF119" i="2"/>
  <c r="AE119" i="2"/>
  <c r="AC119" i="2"/>
  <c r="AB119" i="2"/>
  <c r="AA119" i="2"/>
  <c r="Y119" i="2"/>
  <c r="W119" i="2"/>
  <c r="S119" i="2"/>
  <c r="P119" i="2"/>
  <c r="X119" i="2" s="1"/>
  <c r="O119" i="2"/>
  <c r="T119" i="2" s="1"/>
  <c r="N119" i="2"/>
  <c r="K119" i="2"/>
  <c r="Z119" i="2" s="1"/>
  <c r="J119" i="2"/>
  <c r="I119" i="2"/>
  <c r="AL118" i="2"/>
  <c r="AJ118" i="2"/>
  <c r="AI118" i="2"/>
  <c r="AH118" i="2"/>
  <c r="AF118" i="2"/>
  <c r="AC118" i="2"/>
  <c r="AB118" i="2"/>
  <c r="AA118" i="2"/>
  <c r="X118" i="2"/>
  <c r="W118" i="2"/>
  <c r="S118" i="2"/>
  <c r="P118" i="2"/>
  <c r="O118" i="2"/>
  <c r="T118" i="2" s="1"/>
  <c r="N118" i="2"/>
  <c r="K118" i="2"/>
  <c r="J118" i="2"/>
  <c r="U118" i="2" s="1"/>
  <c r="I118" i="2"/>
  <c r="AL117" i="2"/>
  <c r="AI117" i="2"/>
  <c r="AH117" i="2"/>
  <c r="AF117" i="2"/>
  <c r="AC117" i="2"/>
  <c r="AB117" i="2"/>
  <c r="AA117" i="2"/>
  <c r="W117" i="2"/>
  <c r="S117" i="2"/>
  <c r="P117" i="2"/>
  <c r="X117" i="2" s="1"/>
  <c r="O117" i="2"/>
  <c r="T117" i="2" s="1"/>
  <c r="N117" i="2"/>
  <c r="K117" i="2"/>
  <c r="AE117" i="2" s="1"/>
  <c r="J117" i="2"/>
  <c r="AD117" i="2" s="1"/>
  <c r="I117" i="2"/>
  <c r="AL116" i="2"/>
  <c r="AI116" i="2"/>
  <c r="AH116" i="2"/>
  <c r="AF116" i="2"/>
  <c r="AC116" i="2"/>
  <c r="AB116" i="2"/>
  <c r="AA116" i="2"/>
  <c r="W116" i="2"/>
  <c r="S116" i="2"/>
  <c r="P116" i="2"/>
  <c r="X116" i="2" s="1"/>
  <c r="O116" i="2"/>
  <c r="T116" i="2" s="1"/>
  <c r="N116" i="2"/>
  <c r="K116" i="2"/>
  <c r="AK116" i="2" s="1"/>
  <c r="J116" i="2"/>
  <c r="AJ116" i="2" s="1"/>
  <c r="I116" i="2"/>
  <c r="AL115" i="2"/>
  <c r="AI115" i="2"/>
  <c r="AH115" i="2"/>
  <c r="AF115" i="2"/>
  <c r="AC115" i="2"/>
  <c r="AB115" i="2"/>
  <c r="AA115" i="2"/>
  <c r="W115" i="2"/>
  <c r="U115" i="2"/>
  <c r="S115" i="2"/>
  <c r="P115" i="2"/>
  <c r="X115" i="2" s="1"/>
  <c r="O115" i="2"/>
  <c r="T115" i="2" s="1"/>
  <c r="N115" i="2"/>
  <c r="K115" i="2"/>
  <c r="AK115" i="2" s="1"/>
  <c r="J115" i="2"/>
  <c r="AJ115" i="2" s="1"/>
  <c r="I115" i="2"/>
  <c r="AL114" i="2"/>
  <c r="AK114" i="2"/>
  <c r="AI114" i="2"/>
  <c r="AH114" i="2"/>
  <c r="AF114" i="2"/>
  <c r="AE114" i="2"/>
  <c r="AC114" i="2"/>
  <c r="AB114" i="2"/>
  <c r="AA114" i="2"/>
  <c r="Z114" i="2"/>
  <c r="X114" i="2"/>
  <c r="W114" i="2"/>
  <c r="V114" i="2"/>
  <c r="S114" i="2"/>
  <c r="P114" i="2"/>
  <c r="O114" i="2"/>
  <c r="T114" i="2" s="1"/>
  <c r="N114" i="2"/>
  <c r="K114" i="2"/>
  <c r="R114" i="2" s="1"/>
  <c r="J114" i="2"/>
  <c r="AG114" i="2" s="1"/>
  <c r="I114" i="2"/>
  <c r="AL113" i="2"/>
  <c r="AI113" i="2"/>
  <c r="AH113" i="2"/>
  <c r="AG113" i="2"/>
  <c r="AF113" i="2"/>
  <c r="AC113" i="2"/>
  <c r="AB113" i="2"/>
  <c r="AA113" i="2"/>
  <c r="Y113" i="2"/>
  <c r="W113" i="2"/>
  <c r="U113" i="2"/>
  <c r="S113" i="2"/>
  <c r="P113" i="2"/>
  <c r="X113" i="2" s="1"/>
  <c r="O113" i="2"/>
  <c r="T113" i="2" s="1"/>
  <c r="N113" i="2"/>
  <c r="K113" i="2"/>
  <c r="AK113" i="2" s="1"/>
  <c r="J113" i="2"/>
  <c r="AD113" i="2" s="1"/>
  <c r="I113" i="2"/>
  <c r="AL112" i="2"/>
  <c r="AI112" i="2"/>
  <c r="AH112" i="2"/>
  <c r="AF112" i="2"/>
  <c r="AC112" i="2"/>
  <c r="AB112" i="2"/>
  <c r="AA112" i="2"/>
  <c r="W112" i="2"/>
  <c r="V112" i="2"/>
  <c r="S112" i="2"/>
  <c r="P112" i="2"/>
  <c r="X112" i="2" s="1"/>
  <c r="O112" i="2"/>
  <c r="T112" i="2" s="1"/>
  <c r="N112" i="2"/>
  <c r="K112" i="2"/>
  <c r="AK112" i="2" s="1"/>
  <c r="J112" i="2"/>
  <c r="AJ112" i="2" s="1"/>
  <c r="I112" i="2"/>
  <c r="AL111" i="2"/>
  <c r="AI111" i="2"/>
  <c r="AH111" i="2"/>
  <c r="AF111" i="2"/>
  <c r="AC111" i="2"/>
  <c r="AB111" i="2"/>
  <c r="AA111" i="2"/>
  <c r="Z111" i="2"/>
  <c r="W111" i="2"/>
  <c r="S111" i="2"/>
  <c r="P111" i="2"/>
  <c r="X111" i="2" s="1"/>
  <c r="O111" i="2"/>
  <c r="T111" i="2" s="1"/>
  <c r="N111" i="2"/>
  <c r="K111" i="2"/>
  <c r="AE111" i="2" s="1"/>
  <c r="J111" i="2"/>
  <c r="AJ111" i="2" s="1"/>
  <c r="I111" i="2"/>
  <c r="AL110" i="2"/>
  <c r="AI110" i="2"/>
  <c r="AH110" i="2"/>
  <c r="AF110" i="2"/>
  <c r="AD110" i="2"/>
  <c r="AC110" i="2"/>
  <c r="AB110" i="2"/>
  <c r="AA110" i="2"/>
  <c r="X110" i="2"/>
  <c r="W110" i="2"/>
  <c r="S110" i="2"/>
  <c r="P110" i="2"/>
  <c r="O110" i="2"/>
  <c r="T110" i="2" s="1"/>
  <c r="N110" i="2"/>
  <c r="K110" i="2"/>
  <c r="J110" i="2"/>
  <c r="I110" i="2"/>
  <c r="AL109" i="2"/>
  <c r="AI109" i="2"/>
  <c r="AH109" i="2"/>
  <c r="AF109" i="2"/>
  <c r="AC109" i="2"/>
  <c r="AB109" i="2"/>
  <c r="AA109" i="2"/>
  <c r="Y109" i="2"/>
  <c r="X109" i="2"/>
  <c r="W109" i="2"/>
  <c r="V109" i="2"/>
  <c r="S109" i="2"/>
  <c r="P109" i="2"/>
  <c r="O109" i="2"/>
  <c r="T109" i="2" s="1"/>
  <c r="N109" i="2"/>
  <c r="K109" i="2"/>
  <c r="AK109" i="2" s="1"/>
  <c r="J109" i="2"/>
  <c r="AJ109" i="2" s="1"/>
  <c r="I109" i="2"/>
  <c r="AL108" i="2"/>
  <c r="AI108" i="2"/>
  <c r="AH108" i="2"/>
  <c r="AF108" i="2"/>
  <c r="AC108" i="2"/>
  <c r="AB108" i="2"/>
  <c r="AA108" i="2"/>
  <c r="W108" i="2"/>
  <c r="V108" i="2"/>
  <c r="S108" i="2"/>
  <c r="P108" i="2"/>
  <c r="X108" i="2" s="1"/>
  <c r="O108" i="2"/>
  <c r="T108" i="2" s="1"/>
  <c r="N108" i="2"/>
  <c r="K108" i="2"/>
  <c r="R108" i="2" s="1"/>
  <c r="J108" i="2"/>
  <c r="AJ108" i="2" s="1"/>
  <c r="I108" i="2"/>
  <c r="AL107" i="2"/>
  <c r="AK107" i="2"/>
  <c r="AI107" i="2"/>
  <c r="AH107" i="2"/>
  <c r="AF107" i="2"/>
  <c r="AC107" i="2"/>
  <c r="AB107" i="2"/>
  <c r="AA107" i="2"/>
  <c r="Z107" i="2"/>
  <c r="W107" i="2"/>
  <c r="V107" i="2"/>
  <c r="S107" i="2"/>
  <c r="P107" i="2"/>
  <c r="X107" i="2" s="1"/>
  <c r="O107" i="2"/>
  <c r="T107" i="2" s="1"/>
  <c r="N107" i="2"/>
  <c r="K107" i="2"/>
  <c r="AE107" i="2" s="1"/>
  <c r="J107" i="2"/>
  <c r="AJ107" i="2" s="1"/>
  <c r="I107" i="2"/>
  <c r="AL106" i="2"/>
  <c r="AJ106" i="2"/>
  <c r="AI106" i="2"/>
  <c r="AH106" i="2"/>
  <c r="AF106" i="2"/>
  <c r="AC106" i="2"/>
  <c r="AB106" i="2"/>
  <c r="AA106" i="2"/>
  <c r="Y106" i="2"/>
  <c r="W106" i="2"/>
  <c r="V106" i="2"/>
  <c r="S106" i="2"/>
  <c r="P106" i="2"/>
  <c r="X106" i="2" s="1"/>
  <c r="O106" i="2"/>
  <c r="T106" i="2" s="1"/>
  <c r="N106" i="2"/>
  <c r="K106" i="2"/>
  <c r="AE106" i="2" s="1"/>
  <c r="J106" i="2"/>
  <c r="AD106" i="2" s="1"/>
  <c r="I106" i="2"/>
  <c r="AL105" i="2"/>
  <c r="AI105" i="2"/>
  <c r="AH105" i="2"/>
  <c r="AF105" i="2"/>
  <c r="AC105" i="2"/>
  <c r="AB105" i="2"/>
  <c r="AA105" i="2"/>
  <c r="Z105" i="2"/>
  <c r="W105" i="2"/>
  <c r="S105" i="2"/>
  <c r="P105" i="2"/>
  <c r="X105" i="2" s="1"/>
  <c r="O105" i="2"/>
  <c r="T105" i="2" s="1"/>
  <c r="N105" i="2"/>
  <c r="K105" i="2"/>
  <c r="R105" i="2" s="1"/>
  <c r="J105" i="2"/>
  <c r="AJ105" i="2" s="1"/>
  <c r="I105" i="2"/>
  <c r="AL104" i="2"/>
  <c r="AI104" i="2"/>
  <c r="AH104" i="2"/>
  <c r="AG104" i="2"/>
  <c r="AF104" i="2"/>
  <c r="AE104" i="2"/>
  <c r="AC104" i="2"/>
  <c r="AB104" i="2"/>
  <c r="AA104" i="2"/>
  <c r="X104" i="2"/>
  <c r="W104" i="2"/>
  <c r="S104" i="2"/>
  <c r="P104" i="2"/>
  <c r="O104" i="2"/>
  <c r="T104" i="2" s="1"/>
  <c r="N104" i="2"/>
  <c r="K104" i="2"/>
  <c r="J104" i="2"/>
  <c r="Y104" i="2" s="1"/>
  <c r="I104" i="2"/>
  <c r="AL103" i="2"/>
  <c r="AI103" i="2"/>
  <c r="AH103" i="2"/>
  <c r="AF103" i="2"/>
  <c r="AE103" i="2"/>
  <c r="AC103" i="2"/>
  <c r="AB103" i="2"/>
  <c r="AA103" i="2"/>
  <c r="X103" i="2"/>
  <c r="W103" i="2"/>
  <c r="U103" i="2"/>
  <c r="S103" i="2"/>
  <c r="R103" i="2"/>
  <c r="Q103" i="2"/>
  <c r="P103" i="2"/>
  <c r="O103" i="2"/>
  <c r="T103" i="2" s="1"/>
  <c r="N103" i="2"/>
  <c r="K103" i="2"/>
  <c r="Z103" i="2" s="1"/>
  <c r="J103" i="2"/>
  <c r="I103" i="2"/>
  <c r="AL102" i="2"/>
  <c r="AK102" i="2"/>
  <c r="AI102" i="2"/>
  <c r="AH102" i="2"/>
  <c r="AF102" i="2"/>
  <c r="AC102" i="2"/>
  <c r="AB102" i="2"/>
  <c r="AA102" i="2"/>
  <c r="W102" i="2"/>
  <c r="V102" i="2"/>
  <c r="S102" i="2"/>
  <c r="P102" i="2"/>
  <c r="X102" i="2" s="1"/>
  <c r="O102" i="2"/>
  <c r="T102" i="2" s="1"/>
  <c r="N102" i="2"/>
  <c r="K102" i="2"/>
  <c r="AE102" i="2" s="1"/>
  <c r="J102" i="2"/>
  <c r="I102" i="2"/>
  <c r="AL101" i="2"/>
  <c r="AJ101" i="2"/>
  <c r="AI101" i="2"/>
  <c r="AH101" i="2"/>
  <c r="AG101" i="2"/>
  <c r="AF101" i="2"/>
  <c r="AC101" i="2"/>
  <c r="AB101" i="2"/>
  <c r="AA101" i="2"/>
  <c r="Y101" i="2"/>
  <c r="X101" i="2"/>
  <c r="W101" i="2"/>
  <c r="U101" i="2"/>
  <c r="T101" i="2"/>
  <c r="S101" i="2"/>
  <c r="Q101" i="2"/>
  <c r="P101" i="2"/>
  <c r="O101" i="2"/>
  <c r="N101" i="2"/>
  <c r="K101" i="2"/>
  <c r="J101" i="2"/>
  <c r="AD101" i="2" s="1"/>
  <c r="I101" i="2"/>
  <c r="AL100" i="2"/>
  <c r="AJ100" i="2"/>
  <c r="AI100" i="2"/>
  <c r="AH100" i="2"/>
  <c r="AF100" i="2"/>
  <c r="AC100" i="2"/>
  <c r="AB100" i="2"/>
  <c r="AA100" i="2"/>
  <c r="X100" i="2"/>
  <c r="W100" i="2"/>
  <c r="V100" i="2"/>
  <c r="T100" i="2"/>
  <c r="S100" i="2"/>
  <c r="P100" i="2"/>
  <c r="O100" i="2"/>
  <c r="N100" i="2"/>
  <c r="K100" i="2"/>
  <c r="R100" i="2" s="1"/>
  <c r="J100" i="2"/>
  <c r="I100" i="2"/>
  <c r="AL99" i="2"/>
  <c r="AI99" i="2"/>
  <c r="AH99" i="2"/>
  <c r="AF99" i="2"/>
  <c r="AC99" i="2"/>
  <c r="AB99" i="2"/>
  <c r="AA99" i="2"/>
  <c r="W99" i="2"/>
  <c r="S99" i="2"/>
  <c r="R99" i="2"/>
  <c r="P99" i="2"/>
  <c r="X99" i="2" s="1"/>
  <c r="O99" i="2"/>
  <c r="T99" i="2" s="1"/>
  <c r="N99" i="2"/>
  <c r="K99" i="2"/>
  <c r="J99" i="2"/>
  <c r="I99" i="2"/>
  <c r="AL98" i="2"/>
  <c r="AI98" i="2"/>
  <c r="AH98" i="2"/>
  <c r="AF98" i="2"/>
  <c r="AC98" i="2"/>
  <c r="AB98" i="2"/>
  <c r="AA98" i="2"/>
  <c r="W98" i="2"/>
  <c r="S98" i="2"/>
  <c r="P98" i="2"/>
  <c r="X98" i="2" s="1"/>
  <c r="O98" i="2"/>
  <c r="T98" i="2" s="1"/>
  <c r="N98" i="2"/>
  <c r="K98" i="2"/>
  <c r="J98" i="2"/>
  <c r="I98" i="2"/>
  <c r="AL97" i="2"/>
  <c r="AJ97" i="2"/>
  <c r="AI97" i="2"/>
  <c r="AH97" i="2"/>
  <c r="AF97" i="2"/>
  <c r="AC97" i="2"/>
  <c r="AB97" i="2"/>
  <c r="AA97" i="2"/>
  <c r="X97" i="2"/>
  <c r="W97" i="2"/>
  <c r="U97" i="2"/>
  <c r="S97" i="2"/>
  <c r="P97" i="2"/>
  <c r="O97" i="2"/>
  <c r="T97" i="2" s="1"/>
  <c r="N97" i="2"/>
  <c r="K97" i="2"/>
  <c r="AK97" i="2" s="1"/>
  <c r="J97" i="2"/>
  <c r="I97" i="2"/>
  <c r="AL96" i="2"/>
  <c r="AI96" i="2"/>
  <c r="AH96" i="2"/>
  <c r="AF96" i="2"/>
  <c r="AC96" i="2"/>
  <c r="AB96" i="2"/>
  <c r="AA96" i="2"/>
  <c r="X96" i="2"/>
  <c r="W96" i="2"/>
  <c r="T96" i="2"/>
  <c r="S96" i="2"/>
  <c r="P96" i="2"/>
  <c r="O96" i="2"/>
  <c r="N96" i="2"/>
  <c r="K96" i="2"/>
  <c r="V96" i="2" s="1"/>
  <c r="J96" i="2"/>
  <c r="U96" i="2" s="1"/>
  <c r="I96" i="2"/>
  <c r="AL95" i="2"/>
  <c r="AI95" i="2"/>
  <c r="AH95" i="2"/>
  <c r="AG95" i="2"/>
  <c r="AF95" i="2"/>
  <c r="AC95" i="2"/>
  <c r="AB95" i="2"/>
  <c r="AA95" i="2"/>
  <c r="W95" i="2"/>
  <c r="S95" i="2"/>
  <c r="P95" i="2"/>
  <c r="X95" i="2" s="1"/>
  <c r="O95" i="2"/>
  <c r="T95" i="2" s="1"/>
  <c r="N95" i="2"/>
  <c r="K95" i="2"/>
  <c r="J95" i="2"/>
  <c r="I95" i="2"/>
  <c r="AL94" i="2"/>
  <c r="AK94" i="2"/>
  <c r="AI94" i="2"/>
  <c r="AH94" i="2"/>
  <c r="AG94" i="2"/>
  <c r="AF94" i="2"/>
  <c r="AC94" i="2"/>
  <c r="AB94" i="2"/>
  <c r="AA94" i="2"/>
  <c r="Z94" i="2"/>
  <c r="Y94" i="2"/>
  <c r="W94" i="2"/>
  <c r="S94" i="2"/>
  <c r="Q94" i="2"/>
  <c r="P94" i="2"/>
  <c r="X94" i="2" s="1"/>
  <c r="O94" i="2"/>
  <c r="T94" i="2" s="1"/>
  <c r="N94" i="2"/>
  <c r="K94" i="2"/>
  <c r="J94" i="2"/>
  <c r="I94" i="2"/>
  <c r="AL93" i="2"/>
  <c r="AI93" i="2"/>
  <c r="AH93" i="2"/>
  <c r="AF93" i="2"/>
  <c r="AC93" i="2"/>
  <c r="AB93" i="2"/>
  <c r="AA93" i="2"/>
  <c r="W93" i="2"/>
  <c r="S93" i="2"/>
  <c r="P93" i="2"/>
  <c r="X93" i="2" s="1"/>
  <c r="O93" i="2"/>
  <c r="T93" i="2" s="1"/>
  <c r="N93" i="2"/>
  <c r="K93" i="2"/>
  <c r="J93" i="2"/>
  <c r="AJ93" i="2" s="1"/>
  <c r="I93" i="2"/>
  <c r="AL92" i="2"/>
  <c r="AK92" i="2"/>
  <c r="AJ92" i="2"/>
  <c r="AI92" i="2"/>
  <c r="AH92" i="2"/>
  <c r="AF92" i="2"/>
  <c r="AC92" i="2"/>
  <c r="AB92" i="2"/>
  <c r="AA92" i="2"/>
  <c r="Y92" i="2"/>
  <c r="W92" i="2"/>
  <c r="U92" i="2"/>
  <c r="S92" i="2"/>
  <c r="Q92" i="2"/>
  <c r="P92" i="2"/>
  <c r="X92" i="2" s="1"/>
  <c r="O92" i="2"/>
  <c r="T92" i="2" s="1"/>
  <c r="N92" i="2"/>
  <c r="K92" i="2"/>
  <c r="J92" i="2"/>
  <c r="AG92" i="2" s="1"/>
  <c r="I92" i="2"/>
  <c r="AL91" i="2"/>
  <c r="AI91" i="2"/>
  <c r="AH91" i="2"/>
  <c r="AG91" i="2"/>
  <c r="AF91" i="2"/>
  <c r="AC91" i="2"/>
  <c r="AB91" i="2"/>
  <c r="AA91" i="2"/>
  <c r="W91" i="2"/>
  <c r="V91" i="2"/>
  <c r="S91" i="2"/>
  <c r="P91" i="2"/>
  <c r="X91" i="2" s="1"/>
  <c r="O91" i="2"/>
  <c r="T91" i="2" s="1"/>
  <c r="N91" i="2"/>
  <c r="K91" i="2"/>
  <c r="AK91" i="2" s="1"/>
  <c r="J91" i="2"/>
  <c r="AD91" i="2" s="1"/>
  <c r="I91" i="2"/>
  <c r="AL90" i="2"/>
  <c r="AI90" i="2"/>
  <c r="AH90" i="2"/>
  <c r="AF90" i="2"/>
  <c r="AC90" i="2"/>
  <c r="AB90" i="2"/>
  <c r="AA90" i="2"/>
  <c r="X90" i="2"/>
  <c r="W90" i="2"/>
  <c r="S90" i="2"/>
  <c r="P90" i="2"/>
  <c r="O90" i="2"/>
  <c r="T90" i="2" s="1"/>
  <c r="N90" i="2"/>
  <c r="K90" i="2"/>
  <c r="V90" i="2" s="1"/>
  <c r="J90" i="2"/>
  <c r="AJ90" i="2" s="1"/>
  <c r="I90" i="2"/>
  <c r="AL89" i="2"/>
  <c r="AI89" i="2"/>
  <c r="AH89" i="2"/>
  <c r="AG89" i="2"/>
  <c r="AF89" i="2"/>
  <c r="AE89" i="2"/>
  <c r="AC89" i="2"/>
  <c r="AB89" i="2"/>
  <c r="AA89" i="2"/>
  <c r="X89" i="2"/>
  <c r="W89" i="2"/>
  <c r="S89" i="2"/>
  <c r="P89" i="2"/>
  <c r="O89" i="2"/>
  <c r="T89" i="2" s="1"/>
  <c r="N89" i="2"/>
  <c r="K89" i="2"/>
  <c r="J89" i="2"/>
  <c r="I89" i="2"/>
  <c r="AL88" i="2"/>
  <c r="AI88" i="2"/>
  <c r="AH88" i="2"/>
  <c r="AF88" i="2"/>
  <c r="AE88" i="2"/>
  <c r="AD88" i="2"/>
  <c r="AC88" i="2"/>
  <c r="AB88" i="2"/>
  <c r="AA88" i="2"/>
  <c r="X88" i="2"/>
  <c r="W88" i="2"/>
  <c r="S88" i="2"/>
  <c r="P88" i="2"/>
  <c r="O88" i="2"/>
  <c r="T88" i="2" s="1"/>
  <c r="N88" i="2"/>
  <c r="K88" i="2"/>
  <c r="V88" i="2" s="1"/>
  <c r="J88" i="2"/>
  <c r="Y88" i="2" s="1"/>
  <c r="I88" i="2"/>
  <c r="AL87" i="2"/>
  <c r="AI87" i="2"/>
  <c r="AH87" i="2"/>
  <c r="AF87" i="2"/>
  <c r="AD87" i="2"/>
  <c r="AC87" i="2"/>
  <c r="AB87" i="2"/>
  <c r="AA87" i="2"/>
  <c r="W87" i="2"/>
  <c r="S87" i="2"/>
  <c r="P87" i="2"/>
  <c r="X87" i="2" s="1"/>
  <c r="O87" i="2"/>
  <c r="T87" i="2" s="1"/>
  <c r="N87" i="2"/>
  <c r="K87" i="2"/>
  <c r="V87" i="2" s="1"/>
  <c r="J87" i="2"/>
  <c r="U87" i="2" s="1"/>
  <c r="I87" i="2"/>
  <c r="AL86" i="2"/>
  <c r="AI86" i="2"/>
  <c r="AH86" i="2"/>
  <c r="AF86" i="2"/>
  <c r="AD86" i="2"/>
  <c r="AC86" i="2"/>
  <c r="AB86" i="2"/>
  <c r="AA86" i="2"/>
  <c r="Y86" i="2"/>
  <c r="X86" i="2"/>
  <c r="W86" i="2"/>
  <c r="S86" i="2"/>
  <c r="P86" i="2"/>
  <c r="O86" i="2"/>
  <c r="T86" i="2" s="1"/>
  <c r="N86" i="2"/>
  <c r="K86" i="2"/>
  <c r="AE86" i="2" s="1"/>
  <c r="J86" i="2"/>
  <c r="U86" i="2" s="1"/>
  <c r="I86" i="2"/>
  <c r="AL85" i="2"/>
  <c r="AJ85" i="2"/>
  <c r="AI85" i="2"/>
  <c r="AH85" i="2"/>
  <c r="AF85" i="2"/>
  <c r="AC85" i="2"/>
  <c r="AB85" i="2"/>
  <c r="AA85" i="2"/>
  <c r="X85" i="2"/>
  <c r="W85" i="2"/>
  <c r="S85" i="2"/>
  <c r="P85" i="2"/>
  <c r="O85" i="2"/>
  <c r="T85" i="2" s="1"/>
  <c r="N85" i="2"/>
  <c r="K85" i="2"/>
  <c r="AK85" i="2" s="1"/>
  <c r="J85" i="2"/>
  <c r="Y85" i="2" s="1"/>
  <c r="I85" i="2"/>
  <c r="AL84" i="2"/>
  <c r="AI84" i="2"/>
  <c r="AH84" i="2"/>
  <c r="AF84" i="2"/>
  <c r="AC84" i="2"/>
  <c r="AB84" i="2"/>
  <c r="AA84" i="2"/>
  <c r="Y84" i="2"/>
  <c r="X84" i="2"/>
  <c r="W84" i="2"/>
  <c r="U84" i="2"/>
  <c r="T84" i="2"/>
  <c r="S84" i="2"/>
  <c r="Q84" i="2"/>
  <c r="P84" i="2"/>
  <c r="O84" i="2"/>
  <c r="N84" i="2"/>
  <c r="K84" i="2"/>
  <c r="R84" i="2" s="1"/>
  <c r="J84" i="2"/>
  <c r="I84" i="2"/>
  <c r="AL83" i="2"/>
  <c r="AK83" i="2"/>
  <c r="AI83" i="2"/>
  <c r="AH83" i="2"/>
  <c r="AF83" i="2"/>
  <c r="AC83" i="2"/>
  <c r="AB83" i="2"/>
  <c r="AA83" i="2"/>
  <c r="Z83" i="2"/>
  <c r="X83" i="2"/>
  <c r="W83" i="2"/>
  <c r="V83" i="2"/>
  <c r="T83" i="2"/>
  <c r="S83" i="2"/>
  <c r="P83" i="2"/>
  <c r="O83" i="2"/>
  <c r="N83" i="2"/>
  <c r="K83" i="2"/>
  <c r="R83" i="2" s="1"/>
  <c r="J83" i="2"/>
  <c r="I83" i="2"/>
  <c r="AL82" i="2"/>
  <c r="AI82" i="2"/>
  <c r="AH82" i="2"/>
  <c r="AF82" i="2"/>
  <c r="AC82" i="2"/>
  <c r="AB82" i="2"/>
  <c r="AA82" i="2"/>
  <c r="X82" i="2"/>
  <c r="W82" i="2"/>
  <c r="T82" i="2"/>
  <c r="S82" i="2"/>
  <c r="P82" i="2"/>
  <c r="O82" i="2"/>
  <c r="N82" i="2"/>
  <c r="K82" i="2"/>
  <c r="AK82" i="2" s="1"/>
  <c r="J82" i="2"/>
  <c r="AJ82" i="2" s="1"/>
  <c r="I82" i="2"/>
  <c r="AL81" i="2"/>
  <c r="AI81" i="2"/>
  <c r="AH81" i="2"/>
  <c r="AF81" i="2"/>
  <c r="AC81" i="2"/>
  <c r="AB81" i="2"/>
  <c r="AA81" i="2"/>
  <c r="W81" i="2"/>
  <c r="T81" i="2"/>
  <c r="S81" i="2"/>
  <c r="P81" i="2"/>
  <c r="X81" i="2" s="1"/>
  <c r="O81" i="2"/>
  <c r="N81" i="2"/>
  <c r="K81" i="2"/>
  <c r="J81" i="2"/>
  <c r="AG81" i="2" s="1"/>
  <c r="I81" i="2"/>
  <c r="AL80" i="2"/>
  <c r="AI80" i="2"/>
  <c r="AH80" i="2"/>
  <c r="AF80" i="2"/>
  <c r="AE80" i="2"/>
  <c r="AC80" i="2"/>
  <c r="AB80" i="2"/>
  <c r="AA80" i="2"/>
  <c r="X80" i="2"/>
  <c r="W80" i="2"/>
  <c r="S80" i="2"/>
  <c r="P80" i="2"/>
  <c r="O80" i="2"/>
  <c r="T80" i="2" s="1"/>
  <c r="N80" i="2"/>
  <c r="K80" i="2"/>
  <c r="J80" i="2"/>
  <c r="AG80" i="2" s="1"/>
  <c r="I80" i="2"/>
  <c r="AL79" i="2"/>
  <c r="AI79" i="2"/>
  <c r="AH79" i="2"/>
  <c r="AF79" i="2"/>
  <c r="AC79" i="2"/>
  <c r="AB79" i="2"/>
  <c r="AA79" i="2"/>
  <c r="W79" i="2"/>
  <c r="S79" i="2"/>
  <c r="P79" i="2"/>
  <c r="X79" i="2" s="1"/>
  <c r="O79" i="2"/>
  <c r="T79" i="2" s="1"/>
  <c r="N79" i="2"/>
  <c r="K79" i="2"/>
  <c r="J79" i="2"/>
  <c r="I79" i="2"/>
  <c r="AL78" i="2"/>
  <c r="AI78" i="2"/>
  <c r="AH78" i="2"/>
  <c r="AG78" i="2"/>
  <c r="AF78" i="2"/>
  <c r="AE78" i="2"/>
  <c r="AD78" i="2"/>
  <c r="AC78" i="2"/>
  <c r="AB78" i="2"/>
  <c r="AA78" i="2"/>
  <c r="Y78" i="2"/>
  <c r="W78" i="2"/>
  <c r="U78" i="2"/>
  <c r="S78" i="2"/>
  <c r="Q78" i="2"/>
  <c r="P78" i="2"/>
  <c r="X78" i="2" s="1"/>
  <c r="O78" i="2"/>
  <c r="T78" i="2" s="1"/>
  <c r="N78" i="2"/>
  <c r="K78" i="2"/>
  <c r="R78" i="2" s="1"/>
  <c r="J78" i="2"/>
  <c r="AJ78" i="2" s="1"/>
  <c r="I78" i="2"/>
  <c r="AL77" i="2"/>
  <c r="AI77" i="2"/>
  <c r="AH77" i="2"/>
  <c r="AF77" i="2"/>
  <c r="AC77" i="2"/>
  <c r="AB77" i="2"/>
  <c r="AA77" i="2"/>
  <c r="W77" i="2"/>
  <c r="T77" i="2"/>
  <c r="S77" i="2"/>
  <c r="P77" i="2"/>
  <c r="X77" i="2" s="1"/>
  <c r="O77" i="2"/>
  <c r="N77" i="2"/>
  <c r="K77" i="2"/>
  <c r="J77" i="2"/>
  <c r="Q77" i="2" s="1"/>
  <c r="I77" i="2"/>
  <c r="AL76" i="2"/>
  <c r="AI76" i="2"/>
  <c r="AH76" i="2"/>
  <c r="AF76" i="2"/>
  <c r="AC76" i="2"/>
  <c r="AB76" i="2"/>
  <c r="AA76" i="2"/>
  <c r="W76" i="2"/>
  <c r="S76" i="2"/>
  <c r="P76" i="2"/>
  <c r="X76" i="2" s="1"/>
  <c r="O76" i="2"/>
  <c r="T76" i="2" s="1"/>
  <c r="N76" i="2"/>
  <c r="K76" i="2"/>
  <c r="J76" i="2"/>
  <c r="AD76" i="2" s="1"/>
  <c r="I76" i="2"/>
  <c r="AL75" i="2"/>
  <c r="AI75" i="2"/>
  <c r="AH75" i="2"/>
  <c r="AF75" i="2"/>
  <c r="AC75" i="2"/>
  <c r="AB75" i="2"/>
  <c r="AA75" i="2"/>
  <c r="W75" i="2"/>
  <c r="S75" i="2"/>
  <c r="P75" i="2"/>
  <c r="X75" i="2" s="1"/>
  <c r="O75" i="2"/>
  <c r="T75" i="2" s="1"/>
  <c r="N75" i="2"/>
  <c r="K75" i="2"/>
  <c r="J75" i="2"/>
  <c r="AJ75" i="2" s="1"/>
  <c r="I75" i="2"/>
  <c r="AL74" i="2"/>
  <c r="AK74" i="2"/>
  <c r="AI74" i="2"/>
  <c r="AH74" i="2"/>
  <c r="AG74" i="2"/>
  <c r="AF74" i="2"/>
  <c r="AD74" i="2"/>
  <c r="AC74" i="2"/>
  <c r="AB74" i="2"/>
  <c r="AA74" i="2"/>
  <c r="Z74" i="2"/>
  <c r="Y74" i="2"/>
  <c r="W74" i="2"/>
  <c r="U74" i="2"/>
  <c r="S74" i="2"/>
  <c r="Q74" i="2"/>
  <c r="P74" i="2"/>
  <c r="X74" i="2" s="1"/>
  <c r="O74" i="2"/>
  <c r="T74" i="2" s="1"/>
  <c r="N74" i="2"/>
  <c r="K74" i="2"/>
  <c r="V74" i="2" s="1"/>
  <c r="J74" i="2"/>
  <c r="AJ74" i="2" s="1"/>
  <c r="I74" i="2"/>
  <c r="AL73" i="2"/>
  <c r="AI73" i="2"/>
  <c r="AH73" i="2"/>
  <c r="AF73" i="2"/>
  <c r="AC73" i="2"/>
  <c r="AB73" i="2"/>
  <c r="AA73" i="2"/>
  <c r="W73" i="2"/>
  <c r="S73" i="2"/>
  <c r="R73" i="2"/>
  <c r="Q73" i="2"/>
  <c r="P73" i="2"/>
  <c r="X73" i="2" s="1"/>
  <c r="O73" i="2"/>
  <c r="T73" i="2" s="1"/>
  <c r="N73" i="2"/>
  <c r="K73" i="2"/>
  <c r="J73" i="2"/>
  <c r="AJ73" i="2" s="1"/>
  <c r="I73" i="2"/>
  <c r="AL72" i="2"/>
  <c r="AK72" i="2"/>
  <c r="AI72" i="2"/>
  <c r="AH72" i="2"/>
  <c r="AF72" i="2"/>
  <c r="AC72" i="2"/>
  <c r="AB72" i="2"/>
  <c r="AA72" i="2"/>
  <c r="Z72" i="2"/>
  <c r="W72" i="2"/>
  <c r="S72" i="2"/>
  <c r="P72" i="2"/>
  <c r="X72" i="2" s="1"/>
  <c r="O72" i="2"/>
  <c r="T72" i="2" s="1"/>
  <c r="N72" i="2"/>
  <c r="K72" i="2"/>
  <c r="J72" i="2"/>
  <c r="I72" i="2"/>
  <c r="AL71" i="2"/>
  <c r="AJ71" i="2"/>
  <c r="AI71" i="2"/>
  <c r="AH71" i="2"/>
  <c r="AF71" i="2"/>
  <c r="AC71" i="2"/>
  <c r="AB71" i="2"/>
  <c r="AA71" i="2"/>
  <c r="Y71" i="2"/>
  <c r="W71" i="2"/>
  <c r="S71" i="2"/>
  <c r="P71" i="2"/>
  <c r="X71" i="2" s="1"/>
  <c r="O71" i="2"/>
  <c r="T71" i="2" s="1"/>
  <c r="N71" i="2"/>
  <c r="K71" i="2"/>
  <c r="J71" i="2"/>
  <c r="I71" i="2"/>
  <c r="AL70" i="2"/>
  <c r="AI70" i="2"/>
  <c r="AH70" i="2"/>
  <c r="AF70" i="2"/>
  <c r="AC70" i="2"/>
  <c r="AB70" i="2"/>
  <c r="AA70" i="2"/>
  <c r="X70" i="2"/>
  <c r="W70" i="2"/>
  <c r="S70" i="2"/>
  <c r="P70" i="2"/>
  <c r="O70" i="2"/>
  <c r="T70" i="2" s="1"/>
  <c r="N70" i="2"/>
  <c r="K70" i="2"/>
  <c r="AE70" i="2" s="1"/>
  <c r="J70" i="2"/>
  <c r="I70" i="2"/>
  <c r="AL69" i="2"/>
  <c r="AI69" i="2"/>
  <c r="AH69" i="2"/>
  <c r="AF69" i="2"/>
  <c r="AC69" i="2"/>
  <c r="AB69" i="2"/>
  <c r="AA69" i="2"/>
  <c r="W69" i="2"/>
  <c r="V69" i="2"/>
  <c r="S69" i="2"/>
  <c r="P69" i="2"/>
  <c r="X69" i="2" s="1"/>
  <c r="O69" i="2"/>
  <c r="T69" i="2" s="1"/>
  <c r="N69" i="2"/>
  <c r="K69" i="2"/>
  <c r="Z69" i="2" s="1"/>
  <c r="J69" i="2"/>
  <c r="AG69" i="2" s="1"/>
  <c r="I69" i="2"/>
  <c r="AL68" i="2"/>
  <c r="AI68" i="2"/>
  <c r="AH68" i="2"/>
  <c r="AF68" i="2"/>
  <c r="AC68" i="2"/>
  <c r="AB68" i="2"/>
  <c r="AA68" i="2"/>
  <c r="W68" i="2"/>
  <c r="S68" i="2"/>
  <c r="P68" i="2"/>
  <c r="X68" i="2" s="1"/>
  <c r="O68" i="2"/>
  <c r="T68" i="2" s="1"/>
  <c r="N68" i="2"/>
  <c r="K68" i="2"/>
  <c r="Z68" i="2" s="1"/>
  <c r="J68" i="2"/>
  <c r="I68" i="2"/>
  <c r="AL67" i="2"/>
  <c r="AI67" i="2"/>
  <c r="AH67" i="2"/>
  <c r="AF67" i="2"/>
  <c r="AC67" i="2"/>
  <c r="AB67" i="2"/>
  <c r="AA67" i="2"/>
  <c r="W67" i="2"/>
  <c r="T67" i="2"/>
  <c r="S67" i="2"/>
  <c r="P67" i="2"/>
  <c r="X67" i="2" s="1"/>
  <c r="O67" i="2"/>
  <c r="N67" i="2"/>
  <c r="K67" i="2"/>
  <c r="J67" i="2"/>
  <c r="Q67" i="2" s="1"/>
  <c r="I67" i="2"/>
  <c r="AL66" i="2"/>
  <c r="AK66" i="2"/>
  <c r="AI66" i="2"/>
  <c r="AH66" i="2"/>
  <c r="AF66" i="2"/>
  <c r="AC66" i="2"/>
  <c r="AB66" i="2"/>
  <c r="AA66" i="2"/>
  <c r="Z66" i="2"/>
  <c r="X66" i="2"/>
  <c r="W66" i="2"/>
  <c r="S66" i="2"/>
  <c r="P66" i="2"/>
  <c r="O66" i="2"/>
  <c r="T66" i="2" s="1"/>
  <c r="N66" i="2"/>
  <c r="K66" i="2"/>
  <c r="J66" i="2"/>
  <c r="AJ66" i="2" s="1"/>
  <c r="I66" i="2"/>
  <c r="AL65" i="2"/>
  <c r="AI65" i="2"/>
  <c r="AH65" i="2"/>
  <c r="AF65" i="2"/>
  <c r="AD65" i="2"/>
  <c r="AC65" i="2"/>
  <c r="AB65" i="2"/>
  <c r="AA65" i="2"/>
  <c r="W65" i="2"/>
  <c r="U65" i="2"/>
  <c r="S65" i="2"/>
  <c r="P65" i="2"/>
  <c r="X65" i="2" s="1"/>
  <c r="O65" i="2"/>
  <c r="T65" i="2" s="1"/>
  <c r="N65" i="2"/>
  <c r="K65" i="2"/>
  <c r="AK65" i="2" s="1"/>
  <c r="J65" i="2"/>
  <c r="AG65" i="2" s="1"/>
  <c r="I65" i="2"/>
  <c r="AL64" i="2"/>
  <c r="AK64" i="2"/>
  <c r="AJ64" i="2"/>
  <c r="AI64" i="2"/>
  <c r="AH64" i="2"/>
  <c r="AG64" i="2"/>
  <c r="AF64" i="2"/>
  <c r="AE64" i="2"/>
  <c r="AD64" i="2"/>
  <c r="AC64" i="2"/>
  <c r="AB64" i="2"/>
  <c r="AA64" i="2"/>
  <c r="W64" i="2"/>
  <c r="V64" i="2"/>
  <c r="S64" i="2"/>
  <c r="P64" i="2"/>
  <c r="X64" i="2" s="1"/>
  <c r="O64" i="2"/>
  <c r="T64" i="2" s="1"/>
  <c r="N64" i="2"/>
  <c r="K64" i="2"/>
  <c r="R64" i="2" s="1"/>
  <c r="J64" i="2"/>
  <c r="Y64" i="2" s="1"/>
  <c r="I64" i="2"/>
  <c r="AL63" i="2"/>
  <c r="AI63" i="2"/>
  <c r="AH63" i="2"/>
  <c r="AF63" i="2"/>
  <c r="AC63" i="2"/>
  <c r="AB63" i="2"/>
  <c r="AA63" i="2"/>
  <c r="W63" i="2"/>
  <c r="S63" i="2"/>
  <c r="P63" i="2"/>
  <c r="X63" i="2" s="1"/>
  <c r="O63" i="2"/>
  <c r="T63" i="2" s="1"/>
  <c r="N63" i="2"/>
  <c r="K63" i="2"/>
  <c r="J63" i="2"/>
  <c r="I63" i="2"/>
  <c r="AL62" i="2"/>
  <c r="AK62" i="2"/>
  <c r="AI62" i="2"/>
  <c r="AH62" i="2"/>
  <c r="AF62" i="2"/>
  <c r="AC62" i="2"/>
  <c r="AB62" i="2"/>
  <c r="AA62" i="2"/>
  <c r="Z62" i="2"/>
  <c r="W62" i="2"/>
  <c r="S62" i="2"/>
  <c r="P62" i="2"/>
  <c r="X62" i="2" s="1"/>
  <c r="O62" i="2"/>
  <c r="T62" i="2" s="1"/>
  <c r="N62" i="2"/>
  <c r="K62" i="2"/>
  <c r="J62" i="2"/>
  <c r="I62" i="2"/>
  <c r="AL61" i="2"/>
  <c r="AI61" i="2"/>
  <c r="AH61" i="2"/>
  <c r="AF61" i="2"/>
  <c r="AC61" i="2"/>
  <c r="AB61" i="2"/>
  <c r="AA61" i="2"/>
  <c r="W61" i="2"/>
  <c r="T61" i="2"/>
  <c r="S61" i="2"/>
  <c r="P61" i="2"/>
  <c r="X61" i="2" s="1"/>
  <c r="O61" i="2"/>
  <c r="N61" i="2"/>
  <c r="K61" i="2"/>
  <c r="J61" i="2"/>
  <c r="AJ61" i="2" s="1"/>
  <c r="I61" i="2"/>
  <c r="AL60" i="2"/>
  <c r="AI60" i="2"/>
  <c r="AH60" i="2"/>
  <c r="AF60" i="2"/>
  <c r="AD60" i="2"/>
  <c r="AC60" i="2"/>
  <c r="AB60" i="2"/>
  <c r="AA60" i="2"/>
  <c r="X60" i="2"/>
  <c r="W60" i="2"/>
  <c r="S60" i="2"/>
  <c r="P60" i="2"/>
  <c r="O60" i="2"/>
  <c r="T60" i="2" s="1"/>
  <c r="N60" i="2"/>
  <c r="K60" i="2"/>
  <c r="J60" i="2"/>
  <c r="Y60" i="2" s="1"/>
  <c r="I60" i="2"/>
  <c r="AL59" i="2"/>
  <c r="AI59" i="2"/>
  <c r="AH59" i="2"/>
  <c r="AF59" i="2"/>
  <c r="AC59" i="2"/>
  <c r="AB59" i="2"/>
  <c r="AA59" i="2"/>
  <c r="Y59" i="2"/>
  <c r="W59" i="2"/>
  <c r="S59" i="2"/>
  <c r="P59" i="2"/>
  <c r="X59" i="2" s="1"/>
  <c r="O59" i="2"/>
  <c r="T59" i="2" s="1"/>
  <c r="N59" i="2"/>
  <c r="K59" i="2"/>
  <c r="J59" i="2"/>
  <c r="I59" i="2"/>
  <c r="AL58" i="2"/>
  <c r="AJ58" i="2"/>
  <c r="AI58" i="2"/>
  <c r="AH58" i="2"/>
  <c r="AG58" i="2"/>
  <c r="AF58" i="2"/>
  <c r="AC58" i="2"/>
  <c r="AB58" i="2"/>
  <c r="AA58" i="2"/>
  <c r="Y58" i="2"/>
  <c r="W58" i="2"/>
  <c r="S58" i="2"/>
  <c r="P58" i="2"/>
  <c r="X58" i="2" s="1"/>
  <c r="O58" i="2"/>
  <c r="T58" i="2" s="1"/>
  <c r="N58" i="2"/>
  <c r="K58" i="2"/>
  <c r="V58" i="2" s="1"/>
  <c r="J58" i="2"/>
  <c r="AD58" i="2" s="1"/>
  <c r="I58" i="2"/>
  <c r="AL57" i="2"/>
  <c r="AI57" i="2"/>
  <c r="AH57" i="2"/>
  <c r="AF57" i="2"/>
  <c r="AC57" i="2"/>
  <c r="AB57" i="2"/>
  <c r="AA57" i="2"/>
  <c r="W57" i="2"/>
  <c r="S57" i="2"/>
  <c r="P57" i="2"/>
  <c r="X57" i="2" s="1"/>
  <c r="O57" i="2"/>
  <c r="T57" i="2" s="1"/>
  <c r="N57" i="2"/>
  <c r="K57" i="2"/>
  <c r="AK57" i="2" s="1"/>
  <c r="J57" i="2"/>
  <c r="Y57" i="2" s="1"/>
  <c r="I57" i="2"/>
  <c r="AL56" i="2"/>
  <c r="AI56" i="2"/>
  <c r="AH56" i="2"/>
  <c r="AF56" i="2"/>
  <c r="AC56" i="2"/>
  <c r="AB56" i="2"/>
  <c r="AA56" i="2"/>
  <c r="W56" i="2"/>
  <c r="S56" i="2"/>
  <c r="P56" i="2"/>
  <c r="X56" i="2" s="1"/>
  <c r="O56" i="2"/>
  <c r="T56" i="2" s="1"/>
  <c r="N56" i="2"/>
  <c r="K56" i="2"/>
  <c r="Z56" i="2" s="1"/>
  <c r="J56" i="2"/>
  <c r="AJ56" i="2" s="1"/>
  <c r="I56" i="2"/>
  <c r="AL55" i="2"/>
  <c r="AJ55" i="2"/>
  <c r="AI55" i="2"/>
  <c r="AH55" i="2"/>
  <c r="AF55" i="2"/>
  <c r="AC55" i="2"/>
  <c r="AB55" i="2"/>
  <c r="AA55" i="2"/>
  <c r="X55" i="2"/>
  <c r="W55" i="2"/>
  <c r="V55" i="2"/>
  <c r="S55" i="2"/>
  <c r="P55" i="2"/>
  <c r="O55" i="2"/>
  <c r="T55" i="2" s="1"/>
  <c r="N55" i="2"/>
  <c r="K55" i="2"/>
  <c r="AE55" i="2" s="1"/>
  <c r="J55" i="2"/>
  <c r="Q55" i="2" s="1"/>
  <c r="I55" i="2"/>
  <c r="AL54" i="2"/>
  <c r="AI54" i="2"/>
  <c r="AH54" i="2"/>
  <c r="AG54" i="2"/>
  <c r="AF54" i="2"/>
  <c r="AC54" i="2"/>
  <c r="AB54" i="2"/>
  <c r="AA54" i="2"/>
  <c r="Z54" i="2"/>
  <c r="W54" i="2"/>
  <c r="V54" i="2"/>
  <c r="U54" i="2"/>
  <c r="S54" i="2"/>
  <c r="R54" i="2"/>
  <c r="P54" i="2"/>
  <c r="X54" i="2" s="1"/>
  <c r="O54" i="2"/>
  <c r="T54" i="2" s="1"/>
  <c r="N54" i="2"/>
  <c r="K54" i="2"/>
  <c r="AE54" i="2" s="1"/>
  <c r="J54" i="2"/>
  <c r="Y54" i="2" s="1"/>
  <c r="I54" i="2"/>
  <c r="AL53" i="2"/>
  <c r="AJ53" i="2"/>
  <c r="AI53" i="2"/>
  <c r="AH53" i="2"/>
  <c r="AF53" i="2"/>
  <c r="AC53" i="2"/>
  <c r="AB53" i="2"/>
  <c r="AA53" i="2"/>
  <c r="Z53" i="2"/>
  <c r="Y53" i="2"/>
  <c r="W53" i="2"/>
  <c r="V53" i="2"/>
  <c r="S53" i="2"/>
  <c r="R53" i="2"/>
  <c r="P53" i="2"/>
  <c r="X53" i="2" s="1"/>
  <c r="O53" i="2"/>
  <c r="T53" i="2" s="1"/>
  <c r="N53" i="2"/>
  <c r="K53" i="2"/>
  <c r="AK53" i="2" s="1"/>
  <c r="J53" i="2"/>
  <c r="I53" i="2"/>
  <c r="AL52" i="2"/>
  <c r="AI52" i="2"/>
  <c r="AH52" i="2"/>
  <c r="AG52" i="2"/>
  <c r="AF52" i="2"/>
  <c r="AD52" i="2"/>
  <c r="AC52" i="2"/>
  <c r="AB52" i="2"/>
  <c r="AA52" i="2"/>
  <c r="Y52" i="2"/>
  <c r="W52" i="2"/>
  <c r="S52" i="2"/>
  <c r="P52" i="2"/>
  <c r="X52" i="2" s="1"/>
  <c r="O52" i="2"/>
  <c r="T52" i="2" s="1"/>
  <c r="N52" i="2"/>
  <c r="K52" i="2"/>
  <c r="J52" i="2"/>
  <c r="AJ52" i="2" s="1"/>
  <c r="I52" i="2"/>
  <c r="AL51" i="2"/>
  <c r="AI51" i="2"/>
  <c r="AH51" i="2"/>
  <c r="AG51" i="2"/>
  <c r="AF51" i="2"/>
  <c r="AE51" i="2"/>
  <c r="AD51" i="2"/>
  <c r="AC51" i="2"/>
  <c r="AB51" i="2"/>
  <c r="AA51" i="2"/>
  <c r="Z51" i="2"/>
  <c r="Y51" i="2"/>
  <c r="W51" i="2"/>
  <c r="U51" i="2"/>
  <c r="S51" i="2"/>
  <c r="R51" i="2"/>
  <c r="Q51" i="2"/>
  <c r="P51" i="2"/>
  <c r="X51" i="2" s="1"/>
  <c r="O51" i="2"/>
  <c r="T51" i="2" s="1"/>
  <c r="N51" i="2"/>
  <c r="K51" i="2"/>
  <c r="AK51" i="2" s="1"/>
  <c r="J51" i="2"/>
  <c r="AJ51" i="2" s="1"/>
  <c r="I51" i="2"/>
  <c r="AL50" i="2"/>
  <c r="AI50" i="2"/>
  <c r="AH50" i="2"/>
  <c r="AF50" i="2"/>
  <c r="AC50" i="2"/>
  <c r="AB50" i="2"/>
  <c r="AA50" i="2"/>
  <c r="W50" i="2"/>
  <c r="V50" i="2"/>
  <c r="U50" i="2"/>
  <c r="S50" i="2"/>
  <c r="P50" i="2"/>
  <c r="X50" i="2" s="1"/>
  <c r="O50" i="2"/>
  <c r="T50" i="2" s="1"/>
  <c r="N50" i="2"/>
  <c r="K50" i="2"/>
  <c r="AK50" i="2" s="1"/>
  <c r="J50" i="2"/>
  <c r="AJ50" i="2" s="1"/>
  <c r="I50" i="2"/>
  <c r="AL49" i="2"/>
  <c r="AJ49" i="2"/>
  <c r="AI49" i="2"/>
  <c r="AH49" i="2"/>
  <c r="AG49" i="2"/>
  <c r="AF49" i="2"/>
  <c r="AC49" i="2"/>
  <c r="AB49" i="2"/>
  <c r="AA49" i="2"/>
  <c r="W49" i="2"/>
  <c r="S49" i="2"/>
  <c r="Q49" i="2"/>
  <c r="P49" i="2"/>
  <c r="X49" i="2" s="1"/>
  <c r="O49" i="2"/>
  <c r="T49" i="2" s="1"/>
  <c r="N49" i="2"/>
  <c r="K49" i="2"/>
  <c r="J49" i="2"/>
  <c r="I49" i="2"/>
  <c r="AL48" i="2"/>
  <c r="AK48" i="2"/>
  <c r="AI48" i="2"/>
  <c r="AH48" i="2"/>
  <c r="AF48" i="2"/>
  <c r="AE48" i="2"/>
  <c r="AD48" i="2"/>
  <c r="AC48" i="2"/>
  <c r="AB48" i="2"/>
  <c r="AA48" i="2"/>
  <c r="Z48" i="2"/>
  <c r="W48" i="2"/>
  <c r="V48" i="2"/>
  <c r="U48" i="2"/>
  <c r="S48" i="2"/>
  <c r="Q48" i="2"/>
  <c r="P48" i="2"/>
  <c r="X48" i="2" s="1"/>
  <c r="O48" i="2"/>
  <c r="T48" i="2" s="1"/>
  <c r="N48" i="2"/>
  <c r="K48" i="2"/>
  <c r="R48" i="2" s="1"/>
  <c r="J48" i="2"/>
  <c r="AJ48" i="2" s="1"/>
  <c r="I48" i="2"/>
  <c r="AL47" i="2"/>
  <c r="AI47" i="2"/>
  <c r="AH47" i="2"/>
  <c r="AF47" i="2"/>
  <c r="AE47" i="2"/>
  <c r="AD47" i="2"/>
  <c r="AC47" i="2"/>
  <c r="AB47" i="2"/>
  <c r="AA47" i="2"/>
  <c r="Y47" i="2"/>
  <c r="W47" i="2"/>
  <c r="U47" i="2"/>
  <c r="S47" i="2"/>
  <c r="R47" i="2"/>
  <c r="Q47" i="2"/>
  <c r="P47" i="2"/>
  <c r="X47" i="2" s="1"/>
  <c r="O47" i="2"/>
  <c r="T47" i="2" s="1"/>
  <c r="N47" i="2"/>
  <c r="K47" i="2"/>
  <c r="AK47" i="2" s="1"/>
  <c r="J47" i="2"/>
  <c r="AJ47" i="2" s="1"/>
  <c r="I47" i="2"/>
  <c r="AL46" i="2"/>
  <c r="AJ46" i="2"/>
  <c r="AI46" i="2"/>
  <c r="AH46" i="2"/>
  <c r="AG46" i="2"/>
  <c r="AF46" i="2"/>
  <c r="AC46" i="2"/>
  <c r="AB46" i="2"/>
  <c r="AA46" i="2"/>
  <c r="Z46" i="2"/>
  <c r="Y46" i="2"/>
  <c r="W46" i="2"/>
  <c r="S46" i="2"/>
  <c r="Q46" i="2"/>
  <c r="P46" i="2"/>
  <c r="X46" i="2" s="1"/>
  <c r="O46" i="2"/>
  <c r="T46" i="2" s="1"/>
  <c r="N46" i="2"/>
  <c r="K46" i="2"/>
  <c r="R46" i="2" s="1"/>
  <c r="J46" i="2"/>
  <c r="AD46" i="2" s="1"/>
  <c r="I46" i="2"/>
  <c r="AL45" i="2"/>
  <c r="AI45" i="2"/>
  <c r="AH45" i="2"/>
  <c r="AF45" i="2"/>
  <c r="AC45" i="2"/>
  <c r="AB45" i="2"/>
  <c r="AA45" i="2"/>
  <c r="W45" i="2"/>
  <c r="T45" i="2"/>
  <c r="S45" i="2"/>
  <c r="P45" i="2"/>
  <c r="X45" i="2" s="1"/>
  <c r="O45" i="2"/>
  <c r="N45" i="2"/>
  <c r="K45" i="2"/>
  <c r="AE45" i="2" s="1"/>
  <c r="J45" i="2"/>
  <c r="AJ45" i="2" s="1"/>
  <c r="I45" i="2"/>
  <c r="AL44" i="2"/>
  <c r="AJ44" i="2"/>
  <c r="AI44" i="2"/>
  <c r="AH44" i="2"/>
  <c r="AG44" i="2"/>
  <c r="AF44" i="2"/>
  <c r="AE44" i="2"/>
  <c r="AD44" i="2"/>
  <c r="AC44" i="2"/>
  <c r="AB44" i="2"/>
  <c r="AA44" i="2"/>
  <c r="Z44" i="2"/>
  <c r="Y44" i="2"/>
  <c r="W44" i="2"/>
  <c r="V44" i="2"/>
  <c r="U44" i="2"/>
  <c r="S44" i="2"/>
  <c r="Q44" i="2"/>
  <c r="P44" i="2"/>
  <c r="X44" i="2" s="1"/>
  <c r="O44" i="2"/>
  <c r="T44" i="2" s="1"/>
  <c r="N44" i="2"/>
  <c r="K44" i="2"/>
  <c r="R44" i="2" s="1"/>
  <c r="J44" i="2"/>
  <c r="I44" i="2"/>
  <c r="AL43" i="2"/>
  <c r="AI43" i="2"/>
  <c r="AH43" i="2"/>
  <c r="AF43" i="2"/>
  <c r="AC43" i="2"/>
  <c r="AB43" i="2"/>
  <c r="AA43" i="2"/>
  <c r="W43" i="2"/>
  <c r="T43" i="2"/>
  <c r="S43" i="2"/>
  <c r="P43" i="2"/>
  <c r="X43" i="2" s="1"/>
  <c r="O43" i="2"/>
  <c r="N43" i="2"/>
  <c r="K43" i="2"/>
  <c r="R43" i="2" s="1"/>
  <c r="J43" i="2"/>
  <c r="AJ43" i="2" s="1"/>
  <c r="I43" i="2"/>
  <c r="AL42" i="2"/>
  <c r="AI42" i="2"/>
  <c r="AH42" i="2"/>
  <c r="AF42" i="2"/>
  <c r="AC42" i="2"/>
  <c r="AB42" i="2"/>
  <c r="AA42" i="2"/>
  <c r="Z42" i="2"/>
  <c r="Y42" i="2"/>
  <c r="W42" i="2"/>
  <c r="S42" i="2"/>
  <c r="P42" i="2"/>
  <c r="X42" i="2" s="1"/>
  <c r="O42" i="2"/>
  <c r="T42" i="2" s="1"/>
  <c r="N42" i="2"/>
  <c r="K42" i="2"/>
  <c r="AK42" i="2" s="1"/>
  <c r="J42" i="2"/>
  <c r="AJ42" i="2" s="1"/>
  <c r="I42" i="2"/>
  <c r="AL41" i="2"/>
  <c r="AI41" i="2"/>
  <c r="AH41" i="2"/>
  <c r="AG41" i="2"/>
  <c r="AF41" i="2"/>
  <c r="AE41" i="2"/>
  <c r="AD41" i="2"/>
  <c r="AC41" i="2"/>
  <c r="AB41" i="2"/>
  <c r="AA41" i="2"/>
  <c r="Z41" i="2"/>
  <c r="Y41" i="2"/>
  <c r="W41" i="2"/>
  <c r="S41" i="2"/>
  <c r="R41" i="2"/>
  <c r="Q41" i="2"/>
  <c r="P41" i="2"/>
  <c r="X41" i="2" s="1"/>
  <c r="O41" i="2"/>
  <c r="T41" i="2" s="1"/>
  <c r="N41" i="2"/>
  <c r="K41" i="2"/>
  <c r="AK41" i="2" s="1"/>
  <c r="J41" i="2"/>
  <c r="U41" i="2" s="1"/>
  <c r="I41" i="2"/>
  <c r="AL40" i="2"/>
  <c r="AI40" i="2"/>
  <c r="AH40" i="2"/>
  <c r="AF40" i="2"/>
  <c r="AE40" i="2"/>
  <c r="AD40" i="2"/>
  <c r="AC40" i="2"/>
  <c r="AB40" i="2"/>
  <c r="AA40" i="2"/>
  <c r="Y40" i="2"/>
  <c r="W40" i="2"/>
  <c r="V40" i="2"/>
  <c r="U40" i="2"/>
  <c r="S40" i="2"/>
  <c r="Q40" i="2"/>
  <c r="P40" i="2"/>
  <c r="X40" i="2" s="1"/>
  <c r="O40" i="2"/>
  <c r="T40" i="2" s="1"/>
  <c r="N40" i="2"/>
  <c r="K40" i="2"/>
  <c r="J40" i="2"/>
  <c r="AJ40" i="2" s="1"/>
  <c r="I40" i="2"/>
  <c r="AL39" i="2"/>
  <c r="AI39" i="2"/>
  <c r="AH39" i="2"/>
  <c r="AG39" i="2"/>
  <c r="AF39" i="2"/>
  <c r="AC39" i="2"/>
  <c r="AB39" i="2"/>
  <c r="AA39" i="2"/>
  <c r="Z39" i="2"/>
  <c r="Y39" i="2"/>
  <c r="W39" i="2"/>
  <c r="U39" i="2"/>
  <c r="T39" i="2"/>
  <c r="S39" i="2"/>
  <c r="Q39" i="2"/>
  <c r="P39" i="2"/>
  <c r="X39" i="2" s="1"/>
  <c r="O39" i="2"/>
  <c r="N39" i="2"/>
  <c r="K39" i="2"/>
  <c r="AK39" i="2" s="1"/>
  <c r="J39" i="2"/>
  <c r="AD39" i="2" s="1"/>
  <c r="I39" i="2"/>
  <c r="AL38" i="2"/>
  <c r="AK38" i="2"/>
  <c r="AJ38" i="2"/>
  <c r="AI38" i="2"/>
  <c r="AH38" i="2"/>
  <c r="AF38" i="2"/>
  <c r="AE38" i="2"/>
  <c r="AC38" i="2"/>
  <c r="AB38" i="2"/>
  <c r="AA38" i="2"/>
  <c r="Z38" i="2"/>
  <c r="W38" i="2"/>
  <c r="V38" i="2"/>
  <c r="U38" i="2"/>
  <c r="S38" i="2"/>
  <c r="P38" i="2"/>
  <c r="X38" i="2" s="1"/>
  <c r="O38" i="2"/>
  <c r="T38" i="2" s="1"/>
  <c r="N38" i="2"/>
  <c r="K38" i="2"/>
  <c r="R38" i="2" s="1"/>
  <c r="J38" i="2"/>
  <c r="AD38" i="2" s="1"/>
  <c r="I38" i="2"/>
  <c r="AL37" i="2"/>
  <c r="AI37" i="2"/>
  <c r="AH37" i="2"/>
  <c r="AG37" i="2"/>
  <c r="AF37" i="2"/>
  <c r="AE37" i="2"/>
  <c r="AD37" i="2"/>
  <c r="AC37" i="2"/>
  <c r="AB37" i="2"/>
  <c r="AA37" i="2"/>
  <c r="Y37" i="2"/>
  <c r="W37" i="2"/>
  <c r="U37" i="2"/>
  <c r="S37" i="2"/>
  <c r="P37" i="2"/>
  <c r="X37" i="2" s="1"/>
  <c r="O37" i="2"/>
  <c r="T37" i="2" s="1"/>
  <c r="N37" i="2"/>
  <c r="K37" i="2"/>
  <c r="AK37" i="2" s="1"/>
  <c r="J37" i="2"/>
  <c r="AJ37" i="2" s="1"/>
  <c r="I37" i="2"/>
  <c r="AL36" i="2"/>
  <c r="AK36" i="2"/>
  <c r="AJ36" i="2"/>
  <c r="AI36" i="2"/>
  <c r="AH36" i="2"/>
  <c r="AG36" i="2"/>
  <c r="AF36" i="2"/>
  <c r="AE36" i="2"/>
  <c r="AC36" i="2"/>
  <c r="AB36" i="2"/>
  <c r="AA36" i="2"/>
  <c r="Z36" i="2"/>
  <c r="W36" i="2"/>
  <c r="V36" i="2"/>
  <c r="U36" i="2"/>
  <c r="S36" i="2"/>
  <c r="Q36" i="2"/>
  <c r="P36" i="2"/>
  <c r="X36" i="2" s="1"/>
  <c r="O36" i="2"/>
  <c r="T36" i="2" s="1"/>
  <c r="N36" i="2"/>
  <c r="K36" i="2"/>
  <c r="R36" i="2" s="1"/>
  <c r="J36" i="2"/>
  <c r="I36" i="2"/>
  <c r="AL35" i="2"/>
  <c r="AJ35" i="2"/>
  <c r="AI35" i="2"/>
  <c r="AH35" i="2"/>
  <c r="AF35" i="2"/>
  <c r="AE35" i="2"/>
  <c r="AC35" i="2"/>
  <c r="AB35" i="2"/>
  <c r="AA35" i="2"/>
  <c r="W35" i="2"/>
  <c r="U35" i="2"/>
  <c r="S35" i="2"/>
  <c r="P35" i="2"/>
  <c r="X35" i="2" s="1"/>
  <c r="O35" i="2"/>
  <c r="T35" i="2" s="1"/>
  <c r="N35" i="2"/>
  <c r="K35" i="2"/>
  <c r="J35" i="2"/>
  <c r="AD35" i="2" s="1"/>
  <c r="I35" i="2"/>
  <c r="AL34" i="2"/>
  <c r="AI34" i="2"/>
  <c r="AH34" i="2"/>
  <c r="AF34" i="2"/>
  <c r="AC34" i="2"/>
  <c r="AB34" i="2"/>
  <c r="AA34" i="2"/>
  <c r="Z34" i="2"/>
  <c r="Y34" i="2"/>
  <c r="W34" i="2"/>
  <c r="S34" i="2"/>
  <c r="Q34" i="2"/>
  <c r="P34" i="2"/>
  <c r="X34" i="2" s="1"/>
  <c r="O34" i="2"/>
  <c r="T34" i="2" s="1"/>
  <c r="N34" i="2"/>
  <c r="K34" i="2"/>
  <c r="J34" i="2"/>
  <c r="U34" i="2" s="1"/>
  <c r="I34" i="2"/>
  <c r="AL33" i="2"/>
  <c r="AJ33" i="2"/>
  <c r="AI33" i="2"/>
  <c r="AH33" i="2"/>
  <c r="AF33" i="2"/>
  <c r="AD33" i="2"/>
  <c r="AC33" i="2"/>
  <c r="AB33" i="2"/>
  <c r="AA33" i="2"/>
  <c r="W33" i="2"/>
  <c r="U33" i="2"/>
  <c r="T33" i="2"/>
  <c r="S33" i="2"/>
  <c r="R33" i="2"/>
  <c r="P33" i="2"/>
  <c r="X33" i="2" s="1"/>
  <c r="O33" i="2"/>
  <c r="N33" i="2"/>
  <c r="K33" i="2"/>
  <c r="J33" i="2"/>
  <c r="I33" i="2"/>
  <c r="AL32" i="2"/>
  <c r="AK32" i="2"/>
  <c r="AI32" i="2"/>
  <c r="AH32" i="2"/>
  <c r="AG32" i="2"/>
  <c r="AF32" i="2"/>
  <c r="AE32" i="2"/>
  <c r="AC32" i="2"/>
  <c r="AB32" i="2"/>
  <c r="AA32" i="2"/>
  <c r="Z32" i="2"/>
  <c r="Y32" i="2"/>
  <c r="W32" i="2"/>
  <c r="V32" i="2"/>
  <c r="U32" i="2"/>
  <c r="S32" i="2"/>
  <c r="P32" i="2"/>
  <c r="X32" i="2" s="1"/>
  <c r="O32" i="2"/>
  <c r="T32" i="2" s="1"/>
  <c r="N32" i="2"/>
  <c r="K32" i="2"/>
  <c r="R32" i="2" s="1"/>
  <c r="J32" i="2"/>
  <c r="AD32" i="2" s="1"/>
  <c r="I32" i="2"/>
  <c r="AL31" i="2"/>
  <c r="AJ31" i="2"/>
  <c r="AI31" i="2"/>
  <c r="AH31" i="2"/>
  <c r="AF31" i="2"/>
  <c r="AC31" i="2"/>
  <c r="AB31" i="2"/>
  <c r="AA31" i="2"/>
  <c r="Z31" i="2"/>
  <c r="Y31" i="2"/>
  <c r="W31" i="2"/>
  <c r="S31" i="2"/>
  <c r="R31" i="2"/>
  <c r="P31" i="2"/>
  <c r="X31" i="2" s="1"/>
  <c r="O31" i="2"/>
  <c r="T31" i="2" s="1"/>
  <c r="N31" i="2"/>
  <c r="K31" i="2"/>
  <c r="AK31" i="2" s="1"/>
  <c r="J31" i="2"/>
  <c r="I31" i="2"/>
  <c r="AL30" i="2"/>
  <c r="AI30" i="2"/>
  <c r="AH30" i="2"/>
  <c r="AG30" i="2"/>
  <c r="AF30" i="2"/>
  <c r="AE30" i="2"/>
  <c r="AD30" i="2"/>
  <c r="AC30" i="2"/>
  <c r="AB30" i="2"/>
  <c r="AA30" i="2"/>
  <c r="Y30" i="2"/>
  <c r="W30" i="2"/>
  <c r="S30" i="2"/>
  <c r="P30" i="2"/>
  <c r="X30" i="2" s="1"/>
  <c r="O30" i="2"/>
  <c r="T30" i="2" s="1"/>
  <c r="N30" i="2"/>
  <c r="K30" i="2"/>
  <c r="J30" i="2"/>
  <c r="AJ30" i="2" s="1"/>
  <c r="I30" i="2"/>
  <c r="AL29" i="2"/>
  <c r="AI29" i="2"/>
  <c r="AH29" i="2"/>
  <c r="AG29" i="2"/>
  <c r="AF29" i="2"/>
  <c r="AE29" i="2"/>
  <c r="AD29" i="2"/>
  <c r="AC29" i="2"/>
  <c r="AB29" i="2"/>
  <c r="AA29" i="2"/>
  <c r="Z29" i="2"/>
  <c r="Y29" i="2"/>
  <c r="W29" i="2"/>
  <c r="U29" i="2"/>
  <c r="S29" i="2"/>
  <c r="R29" i="2"/>
  <c r="Q29" i="2"/>
  <c r="P29" i="2"/>
  <c r="X29" i="2" s="1"/>
  <c r="O29" i="2"/>
  <c r="T29" i="2" s="1"/>
  <c r="N29" i="2"/>
  <c r="K29" i="2"/>
  <c r="AK29" i="2" s="1"/>
  <c r="J29" i="2"/>
  <c r="AJ29" i="2" s="1"/>
  <c r="I29" i="2"/>
  <c r="AL28" i="2"/>
  <c r="AK28" i="2"/>
  <c r="AI28" i="2"/>
  <c r="AH28" i="2"/>
  <c r="AF28" i="2"/>
  <c r="AE28" i="2"/>
  <c r="AC28" i="2"/>
  <c r="AB28" i="2"/>
  <c r="AA28" i="2"/>
  <c r="W28" i="2"/>
  <c r="V28" i="2"/>
  <c r="U28" i="2"/>
  <c r="S28" i="2"/>
  <c r="P28" i="2"/>
  <c r="X28" i="2" s="1"/>
  <c r="O28" i="2"/>
  <c r="T28" i="2" s="1"/>
  <c r="N28" i="2"/>
  <c r="K28" i="2"/>
  <c r="J28" i="2"/>
  <c r="AJ28" i="2" s="1"/>
  <c r="I28" i="2"/>
  <c r="AL27" i="2"/>
  <c r="AI27" i="2"/>
  <c r="AH27" i="2"/>
  <c r="AF27" i="2"/>
  <c r="AC27" i="2"/>
  <c r="AB27" i="2"/>
  <c r="AA27" i="2"/>
  <c r="W27" i="2"/>
  <c r="S27" i="2"/>
  <c r="P27" i="2"/>
  <c r="X27" i="2" s="1"/>
  <c r="O27" i="2"/>
  <c r="T27" i="2" s="1"/>
  <c r="N27" i="2"/>
  <c r="K27" i="2"/>
  <c r="J27" i="2"/>
  <c r="AJ27" i="2" s="1"/>
  <c r="I27" i="2"/>
  <c r="AL26" i="2"/>
  <c r="AK26" i="2"/>
  <c r="AI26" i="2"/>
  <c r="AH26" i="2"/>
  <c r="AF26" i="2"/>
  <c r="AE26" i="2"/>
  <c r="AD26" i="2"/>
  <c r="AC26" i="2"/>
  <c r="AB26" i="2"/>
  <c r="AA26" i="2"/>
  <c r="Z26" i="2"/>
  <c r="W26" i="2"/>
  <c r="V26" i="2"/>
  <c r="U26" i="2"/>
  <c r="S26" i="2"/>
  <c r="Q26" i="2"/>
  <c r="P26" i="2"/>
  <c r="X26" i="2" s="1"/>
  <c r="O26" i="2"/>
  <c r="T26" i="2" s="1"/>
  <c r="N26" i="2"/>
  <c r="K26" i="2"/>
  <c r="R26" i="2" s="1"/>
  <c r="J26" i="2"/>
  <c r="Y26" i="2" s="1"/>
  <c r="I26" i="2"/>
  <c r="AL25" i="2"/>
  <c r="AI25" i="2"/>
  <c r="AH25" i="2"/>
  <c r="AF25" i="2"/>
  <c r="AE25" i="2"/>
  <c r="AD25" i="2"/>
  <c r="AC25" i="2"/>
  <c r="AB25" i="2"/>
  <c r="AA25" i="2"/>
  <c r="Y25" i="2"/>
  <c r="W25" i="2"/>
  <c r="U25" i="2"/>
  <c r="S25" i="2"/>
  <c r="R25" i="2"/>
  <c r="Q25" i="2"/>
  <c r="P25" i="2"/>
  <c r="X25" i="2" s="1"/>
  <c r="O25" i="2"/>
  <c r="T25" i="2" s="1"/>
  <c r="N25" i="2"/>
  <c r="K25" i="2"/>
  <c r="AK25" i="2" s="1"/>
  <c r="J25" i="2"/>
  <c r="AJ25" i="2" s="1"/>
  <c r="I25" i="2"/>
  <c r="AL24" i="2"/>
  <c r="AJ24" i="2"/>
  <c r="AI24" i="2"/>
  <c r="AH24" i="2"/>
  <c r="AG24" i="2"/>
  <c r="AF24" i="2"/>
  <c r="AC24" i="2"/>
  <c r="AB24" i="2"/>
  <c r="AA24" i="2"/>
  <c r="Z24" i="2"/>
  <c r="Y24" i="2"/>
  <c r="W24" i="2"/>
  <c r="V24" i="2"/>
  <c r="S24" i="2"/>
  <c r="Q24" i="2"/>
  <c r="P24" i="2"/>
  <c r="X24" i="2" s="1"/>
  <c r="O24" i="2"/>
  <c r="T24" i="2" s="1"/>
  <c r="N24" i="2"/>
  <c r="K24" i="2"/>
  <c r="R24" i="2" s="1"/>
  <c r="J24" i="2"/>
  <c r="AD24" i="2" s="1"/>
  <c r="I24" i="2"/>
  <c r="AL23" i="2"/>
  <c r="AI23" i="2"/>
  <c r="AH23" i="2"/>
  <c r="AF23" i="2"/>
  <c r="AC23" i="2"/>
  <c r="AB23" i="2"/>
  <c r="AA23" i="2"/>
  <c r="W23" i="2"/>
  <c r="T23" i="2"/>
  <c r="S23" i="2"/>
  <c r="P23" i="2"/>
  <c r="X23" i="2" s="1"/>
  <c r="O23" i="2"/>
  <c r="N23" i="2"/>
  <c r="K23" i="2"/>
  <c r="AE23" i="2" s="1"/>
  <c r="J23" i="2"/>
  <c r="U23" i="2" s="1"/>
  <c r="I23" i="2"/>
  <c r="AL22" i="2"/>
  <c r="AJ22" i="2"/>
  <c r="AI22" i="2"/>
  <c r="AH22" i="2"/>
  <c r="AG22" i="2"/>
  <c r="AF22" i="2"/>
  <c r="AE22" i="2"/>
  <c r="AD22" i="2"/>
  <c r="AC22" i="2"/>
  <c r="AB22" i="2"/>
  <c r="AA22" i="2"/>
  <c r="Z22" i="2"/>
  <c r="Y22" i="2"/>
  <c r="W22" i="2"/>
  <c r="V22" i="2"/>
  <c r="U22" i="2"/>
  <c r="S22" i="2"/>
  <c r="Q22" i="2"/>
  <c r="P22" i="2"/>
  <c r="X22" i="2" s="1"/>
  <c r="O22" i="2"/>
  <c r="T22" i="2" s="1"/>
  <c r="N22" i="2"/>
  <c r="K22" i="2"/>
  <c r="R22" i="2" s="1"/>
  <c r="J22" i="2"/>
  <c r="I22" i="2"/>
  <c r="AL21" i="2"/>
  <c r="AI21" i="2"/>
  <c r="AH21" i="2"/>
  <c r="AF21" i="2"/>
  <c r="AC21" i="2"/>
  <c r="AB21" i="2"/>
  <c r="AA21" i="2"/>
  <c r="W21" i="2"/>
  <c r="T21" i="2"/>
  <c r="S21" i="2"/>
  <c r="P21" i="2"/>
  <c r="X21" i="2" s="1"/>
  <c r="O21" i="2"/>
  <c r="N21" i="2"/>
  <c r="K21" i="2"/>
  <c r="J21" i="2"/>
  <c r="AJ21" i="2" s="1"/>
  <c r="I21" i="2"/>
  <c r="AL20" i="2"/>
  <c r="AI20" i="2"/>
  <c r="AH20" i="2"/>
  <c r="AF20" i="2"/>
  <c r="AC20" i="2"/>
  <c r="AB20" i="2"/>
  <c r="AA20" i="2"/>
  <c r="Z20" i="2"/>
  <c r="W20" i="2"/>
  <c r="S20" i="2"/>
  <c r="P20" i="2"/>
  <c r="X20" i="2" s="1"/>
  <c r="O20" i="2"/>
  <c r="T20" i="2" s="1"/>
  <c r="N20" i="2"/>
  <c r="K20" i="2"/>
  <c r="AK20" i="2" s="1"/>
  <c r="J20" i="2"/>
  <c r="AJ20" i="2" s="1"/>
  <c r="I20" i="2"/>
  <c r="AL19" i="2"/>
  <c r="AI19" i="2"/>
  <c r="AH19" i="2"/>
  <c r="AG19" i="2"/>
  <c r="AF19" i="2"/>
  <c r="AE19" i="2"/>
  <c r="AD19" i="2"/>
  <c r="AC19" i="2"/>
  <c r="AB19" i="2"/>
  <c r="AA19" i="2"/>
  <c r="Z19" i="2"/>
  <c r="Y19" i="2"/>
  <c r="W19" i="2"/>
  <c r="S19" i="2"/>
  <c r="R19" i="2"/>
  <c r="Q19" i="2"/>
  <c r="P19" i="2"/>
  <c r="X19" i="2" s="1"/>
  <c r="O19" i="2"/>
  <c r="T19" i="2" s="1"/>
  <c r="N19" i="2"/>
  <c r="K19" i="2"/>
  <c r="AK19" i="2" s="1"/>
  <c r="J19" i="2"/>
  <c r="U19" i="2" s="1"/>
  <c r="I19" i="2"/>
  <c r="AL18" i="2"/>
  <c r="AI18" i="2"/>
  <c r="AH18" i="2"/>
  <c r="AF18" i="2"/>
  <c r="AD18" i="2"/>
  <c r="AC18" i="2"/>
  <c r="AB18" i="2"/>
  <c r="AA18" i="2"/>
  <c r="Y18" i="2"/>
  <c r="W18" i="2"/>
  <c r="V18" i="2"/>
  <c r="U18" i="2"/>
  <c r="S18" i="2"/>
  <c r="Q18" i="2"/>
  <c r="P18" i="2"/>
  <c r="X18" i="2" s="1"/>
  <c r="O18" i="2"/>
  <c r="T18" i="2" s="1"/>
  <c r="N18" i="2"/>
  <c r="K18" i="2"/>
  <c r="AE18" i="2" s="1"/>
  <c r="J18" i="2"/>
  <c r="AJ18" i="2" s="1"/>
  <c r="I18" i="2"/>
  <c r="AL17" i="2"/>
  <c r="AI17" i="2"/>
  <c r="AH17" i="2"/>
  <c r="AG17" i="2"/>
  <c r="AF17" i="2"/>
  <c r="AC17" i="2"/>
  <c r="AB17" i="2"/>
  <c r="AA17" i="2"/>
  <c r="Z17" i="2"/>
  <c r="Y17" i="2"/>
  <c r="W17" i="2"/>
  <c r="U17" i="2"/>
  <c r="T17" i="2"/>
  <c r="S17" i="2"/>
  <c r="Q17" i="2"/>
  <c r="P17" i="2"/>
  <c r="X17" i="2" s="1"/>
  <c r="O17" i="2"/>
  <c r="N17" i="2"/>
  <c r="K17" i="2"/>
  <c r="AK17" i="2" s="1"/>
  <c r="J17" i="2"/>
  <c r="AD17" i="2" s="1"/>
  <c r="I17" i="2"/>
  <c r="AL16" i="2"/>
  <c r="AK16" i="2"/>
  <c r="AJ16" i="2"/>
  <c r="AI16" i="2"/>
  <c r="AH16" i="2"/>
  <c r="AF16" i="2"/>
  <c r="AC16" i="2"/>
  <c r="AB16" i="2"/>
  <c r="AA16" i="2"/>
  <c r="W16" i="2"/>
  <c r="V16" i="2"/>
  <c r="U16" i="2"/>
  <c r="S16" i="2"/>
  <c r="P16" i="2"/>
  <c r="X16" i="2" s="1"/>
  <c r="O16" i="2"/>
  <c r="T16" i="2" s="1"/>
  <c r="N16" i="2"/>
  <c r="K16" i="2"/>
  <c r="R16" i="2" s="1"/>
  <c r="J16" i="2"/>
  <c r="AD16" i="2" s="1"/>
  <c r="I16" i="2"/>
  <c r="AL15" i="2"/>
  <c r="AI15" i="2"/>
  <c r="AH15" i="2"/>
  <c r="AG15" i="2"/>
  <c r="AF15" i="2"/>
  <c r="AE15" i="2"/>
  <c r="AD15" i="2"/>
  <c r="AC15" i="2"/>
  <c r="AB15" i="2"/>
  <c r="AA15" i="2"/>
  <c r="Y15" i="2"/>
  <c r="W15" i="2"/>
  <c r="U15" i="2"/>
  <c r="S15" i="2"/>
  <c r="P15" i="2"/>
  <c r="X15" i="2" s="1"/>
  <c r="O15" i="2"/>
  <c r="T15" i="2" s="1"/>
  <c r="N15" i="2"/>
  <c r="K15" i="2"/>
  <c r="AK15" i="2" s="1"/>
  <c r="J15" i="2"/>
  <c r="AJ15" i="2" s="1"/>
  <c r="I15" i="2"/>
  <c r="AL14" i="2"/>
  <c r="AK14" i="2"/>
  <c r="AJ14" i="2"/>
  <c r="AI14" i="2"/>
  <c r="AH14" i="2"/>
  <c r="AG14" i="2"/>
  <c r="AF14" i="2"/>
  <c r="AE14" i="2"/>
  <c r="AC14" i="2"/>
  <c r="AB14" i="2"/>
  <c r="AA14" i="2"/>
  <c r="Z14" i="2"/>
  <c r="W14" i="2"/>
  <c r="V14" i="2"/>
  <c r="U14" i="2"/>
  <c r="S14" i="2"/>
  <c r="Q14" i="2"/>
  <c r="P14" i="2"/>
  <c r="X14" i="2" s="1"/>
  <c r="O14" i="2"/>
  <c r="T14" i="2" s="1"/>
  <c r="N14" i="2"/>
  <c r="K14" i="2"/>
  <c r="R14" i="2" s="1"/>
  <c r="J14" i="2"/>
  <c r="I14" i="2"/>
  <c r="AL13" i="2"/>
  <c r="AJ13" i="2"/>
  <c r="AI13" i="2"/>
  <c r="AH13" i="2"/>
  <c r="AF13" i="2"/>
  <c r="AD13" i="2"/>
  <c r="AC13" i="2"/>
  <c r="AB13" i="2"/>
  <c r="AA13" i="2"/>
  <c r="W13" i="2"/>
  <c r="U13" i="2"/>
  <c r="S13" i="2"/>
  <c r="P13" i="2"/>
  <c r="X13" i="2" s="1"/>
  <c r="O13" i="2"/>
  <c r="T13" i="2" s="1"/>
  <c r="N13" i="2"/>
  <c r="K13" i="2"/>
  <c r="AE13" i="2" s="1"/>
  <c r="J13" i="2"/>
  <c r="I13" i="2"/>
  <c r="AL12" i="2"/>
  <c r="AI12" i="2"/>
  <c r="AH12" i="2"/>
  <c r="AG12" i="2"/>
  <c r="AF12" i="2"/>
  <c r="AC12" i="2"/>
  <c r="AB12" i="2"/>
  <c r="AA12" i="2"/>
  <c r="Y12" i="2"/>
  <c r="W12" i="2"/>
  <c r="S12" i="2"/>
  <c r="Q12" i="2"/>
  <c r="P12" i="2"/>
  <c r="X12" i="2" s="1"/>
  <c r="O12" i="2"/>
  <c r="T12" i="2" s="1"/>
  <c r="N12" i="2"/>
  <c r="K12" i="2"/>
  <c r="J12" i="2"/>
  <c r="U12" i="2" s="1"/>
  <c r="I12" i="2"/>
  <c r="AL11" i="2"/>
  <c r="AI11" i="2"/>
  <c r="AH11" i="2"/>
  <c r="AG11" i="2"/>
  <c r="AF11" i="2"/>
  <c r="AD11" i="2"/>
  <c r="AC11" i="2"/>
  <c r="AB11" i="2"/>
  <c r="AA11" i="2"/>
  <c r="W11" i="2"/>
  <c r="T11" i="2"/>
  <c r="S11" i="2"/>
  <c r="P11" i="2"/>
  <c r="X11" i="2" s="1"/>
  <c r="O11" i="2"/>
  <c r="N11" i="2"/>
  <c r="K11" i="2"/>
  <c r="R11" i="2" s="1"/>
  <c r="J11" i="2"/>
  <c r="Y11" i="2" s="1"/>
  <c r="I11" i="2"/>
  <c r="AL10" i="2"/>
  <c r="AK10" i="2"/>
  <c r="AI10" i="2"/>
  <c r="AH10" i="2"/>
  <c r="AG10" i="2"/>
  <c r="AF10" i="2"/>
  <c r="AE10" i="2"/>
  <c r="AC10" i="2"/>
  <c r="AB10" i="2"/>
  <c r="AA10" i="2"/>
  <c r="Z10" i="2"/>
  <c r="W10" i="2"/>
  <c r="V10" i="2"/>
  <c r="U10" i="2"/>
  <c r="S10" i="2"/>
  <c r="P10" i="2"/>
  <c r="X10" i="2" s="1"/>
  <c r="O10" i="2"/>
  <c r="T10" i="2" s="1"/>
  <c r="N10" i="2"/>
  <c r="K10" i="2"/>
  <c r="R10" i="2" s="1"/>
  <c r="J10" i="2"/>
  <c r="Y10" i="2" s="1"/>
  <c r="I10" i="2"/>
  <c r="AL9" i="2"/>
  <c r="AI9" i="2"/>
  <c r="AH9" i="2"/>
  <c r="AF9" i="2"/>
  <c r="AC9" i="2"/>
  <c r="AB9" i="2"/>
  <c r="AA9" i="2"/>
  <c r="Z9" i="2"/>
  <c r="W9" i="2"/>
  <c r="S9" i="2"/>
  <c r="R9" i="2"/>
  <c r="P9" i="2"/>
  <c r="X9" i="2" s="1"/>
  <c r="O9" i="2"/>
  <c r="T9" i="2" s="1"/>
  <c r="N9" i="2"/>
  <c r="K9" i="2"/>
  <c r="AK9" i="2" s="1"/>
  <c r="J9" i="2"/>
  <c r="I9" i="2"/>
  <c r="AL8" i="2"/>
  <c r="AI8" i="2"/>
  <c r="AH8" i="2"/>
  <c r="AG8" i="2"/>
  <c r="AF8" i="2"/>
  <c r="AE8" i="2"/>
  <c r="AD8" i="2"/>
  <c r="AC8" i="2"/>
  <c r="AB8" i="2"/>
  <c r="AA8" i="2"/>
  <c r="Y8" i="2"/>
  <c r="W8" i="2"/>
  <c r="U8" i="2"/>
  <c r="T8" i="2"/>
  <c r="S8" i="2"/>
  <c r="P8" i="2"/>
  <c r="X8" i="2" s="1"/>
  <c r="O8" i="2"/>
  <c r="N8" i="2"/>
  <c r="K8" i="2"/>
  <c r="R8" i="2" s="1"/>
  <c r="J8" i="2"/>
  <c r="AJ8" i="2" s="1"/>
  <c r="I8" i="2"/>
  <c r="AL7" i="2"/>
  <c r="AJ7" i="2"/>
  <c r="AI7" i="2"/>
  <c r="AH7" i="2"/>
  <c r="AF7" i="2"/>
  <c r="AE7" i="2"/>
  <c r="AC7" i="2"/>
  <c r="AB7" i="2"/>
  <c r="AA7" i="2"/>
  <c r="Z7" i="2"/>
  <c r="W7" i="2"/>
  <c r="S7" i="2"/>
  <c r="R7" i="2"/>
  <c r="Q7" i="2"/>
  <c r="P7" i="2"/>
  <c r="X7" i="2" s="1"/>
  <c r="O7" i="2"/>
  <c r="T7" i="2" s="1"/>
  <c r="N7" i="2"/>
  <c r="K7" i="2"/>
  <c r="AK7" i="2" s="1"/>
  <c r="J7" i="2"/>
  <c r="I7" i="2"/>
  <c r="AL6" i="2"/>
  <c r="AK6" i="2"/>
  <c r="AJ6" i="2"/>
  <c r="AI6" i="2"/>
  <c r="AH6" i="2"/>
  <c r="AF6" i="2"/>
  <c r="AC6" i="2"/>
  <c r="AB6" i="2"/>
  <c r="AA6" i="2"/>
  <c r="Y6" i="2"/>
  <c r="W6" i="2"/>
  <c r="V6" i="2"/>
  <c r="S6" i="2"/>
  <c r="P6" i="2"/>
  <c r="X6" i="2" s="1"/>
  <c r="O6" i="2"/>
  <c r="T6" i="2" s="1"/>
  <c r="N6" i="2"/>
  <c r="K6" i="2"/>
  <c r="J6" i="2"/>
  <c r="I6" i="2"/>
  <c r="AL5" i="2"/>
  <c r="AI5" i="2"/>
  <c r="AH5" i="2"/>
  <c r="AG5" i="2"/>
  <c r="AF5" i="2"/>
  <c r="AD5" i="2"/>
  <c r="AC5" i="2"/>
  <c r="AB5" i="2"/>
  <c r="AA5" i="2"/>
  <c r="Z5" i="2"/>
  <c r="Y5" i="2"/>
  <c r="W5" i="2"/>
  <c r="S5" i="2"/>
  <c r="R5" i="2"/>
  <c r="Q5" i="2"/>
  <c r="P5" i="2"/>
  <c r="X5" i="2" s="1"/>
  <c r="O5" i="2"/>
  <c r="T5" i="2" s="1"/>
  <c r="N5" i="2"/>
  <c r="K5" i="2"/>
  <c r="J5" i="2"/>
  <c r="U5" i="2" s="1"/>
  <c r="I5" i="2"/>
  <c r="AL4" i="2"/>
  <c r="AK4" i="2"/>
  <c r="AI4" i="2"/>
  <c r="AH4" i="2"/>
  <c r="AF4" i="2"/>
  <c r="AE4" i="2"/>
  <c r="AD4" i="2"/>
  <c r="AC4" i="2"/>
  <c r="AB4" i="2"/>
  <c r="AA4" i="2"/>
  <c r="W4" i="2"/>
  <c r="V4" i="2"/>
  <c r="U4" i="2"/>
  <c r="T4" i="2"/>
  <c r="S4" i="2"/>
  <c r="Q4" i="2"/>
  <c r="P4" i="2"/>
  <c r="X4" i="2" s="1"/>
  <c r="O4" i="2"/>
  <c r="N4" i="2"/>
  <c r="K4" i="2"/>
  <c r="J4" i="2"/>
  <c r="Y4" i="2" s="1"/>
  <c r="I4" i="2"/>
  <c r="AL3" i="2"/>
  <c r="AI3" i="2"/>
  <c r="AH3" i="2"/>
  <c r="AG3" i="2"/>
  <c r="AF3" i="2"/>
  <c r="AC3" i="2"/>
  <c r="AB3" i="2"/>
  <c r="AA3" i="2"/>
  <c r="Y3" i="2"/>
  <c r="W3" i="2"/>
  <c r="U3" i="2"/>
  <c r="T3" i="2"/>
  <c r="S3" i="2"/>
  <c r="Q3" i="2"/>
  <c r="P3" i="2"/>
  <c r="X3" i="2" s="1"/>
  <c r="O3" i="2"/>
  <c r="N3" i="2"/>
  <c r="K3" i="2"/>
  <c r="J3" i="2"/>
  <c r="AD3" i="2" s="1"/>
  <c r="I3" i="2"/>
  <c r="AL2" i="2"/>
  <c r="AK2" i="2"/>
  <c r="AJ2" i="2"/>
  <c r="AI2" i="2"/>
  <c r="AH2" i="2"/>
  <c r="AF2" i="2"/>
  <c r="AE2" i="2"/>
  <c r="AD2" i="2"/>
  <c r="AC2" i="2"/>
  <c r="AB2" i="2"/>
  <c r="AA2" i="2"/>
  <c r="Z2" i="2"/>
  <c r="W2" i="2"/>
  <c r="V2" i="2"/>
  <c r="U2" i="2"/>
  <c r="T2" i="2"/>
  <c r="S2" i="2"/>
  <c r="Q2" i="2"/>
  <c r="P2" i="2"/>
  <c r="X2" i="2" s="1"/>
  <c r="O2" i="2"/>
  <c r="N2" i="2"/>
  <c r="K2" i="2"/>
  <c r="J2" i="2"/>
  <c r="I2" i="2"/>
  <c r="AG9" i="2" l="1"/>
  <c r="AD9" i="2"/>
  <c r="U9" i="2"/>
  <c r="Q9" i="2"/>
  <c r="AK60" i="2"/>
  <c r="R60" i="2"/>
  <c r="Z60" i="2"/>
  <c r="V227" i="2"/>
  <c r="AE227" i="2"/>
  <c r="R227" i="2"/>
  <c r="AG338" i="2"/>
  <c r="U338" i="2"/>
  <c r="AJ338" i="2"/>
  <c r="Q338" i="2"/>
  <c r="AD338" i="2"/>
  <c r="Q1224" i="2"/>
  <c r="U1224" i="2"/>
  <c r="AG1224" i="2"/>
  <c r="AJ1224" i="2"/>
  <c r="Y1224" i="2"/>
  <c r="AD1224" i="2"/>
  <c r="Z16" i="2"/>
  <c r="AG21" i="2"/>
  <c r="AG27" i="2"/>
  <c r="Y33" i="2"/>
  <c r="AG33" i="2"/>
  <c r="R34" i="2"/>
  <c r="V34" i="2"/>
  <c r="AK34" i="2"/>
  <c r="AE34" i="2"/>
  <c r="AD45" i="2"/>
  <c r="AJ83" i="2"/>
  <c r="AG83" i="2"/>
  <c r="AD83" i="2"/>
  <c r="U83" i="2"/>
  <c r="Q83" i="2"/>
  <c r="AE87" i="2"/>
  <c r="AG117" i="2"/>
  <c r="AG130" i="2"/>
  <c r="AD130" i="2"/>
  <c r="AJ130" i="2"/>
  <c r="R192" i="2"/>
  <c r="V192" i="2"/>
  <c r="Z192" i="2"/>
  <c r="AK252" i="2"/>
  <c r="Z252" i="2"/>
  <c r="R252" i="2"/>
  <c r="V252" i="2"/>
  <c r="AE252" i="2"/>
  <c r="AG322" i="2"/>
  <c r="U322" i="2"/>
  <c r="AD322" i="2"/>
  <c r="AJ322" i="2"/>
  <c r="Y322" i="2"/>
  <c r="Q322" i="2"/>
  <c r="Z326" i="2"/>
  <c r="V326" i="2"/>
  <c r="AE381" i="2"/>
  <c r="AK381" i="2"/>
  <c r="AK386" i="2"/>
  <c r="Z386" i="2"/>
  <c r="V386" i="2"/>
  <c r="R386" i="2"/>
  <c r="AJ561" i="2"/>
  <c r="Y561" i="2"/>
  <c r="AD561" i="2"/>
  <c r="AK739" i="2"/>
  <c r="V739" i="2"/>
  <c r="AE739" i="2"/>
  <c r="Z739" i="2"/>
  <c r="R739" i="2"/>
  <c r="AE57" i="2"/>
  <c r="U349" i="2"/>
  <c r="AJ349" i="2"/>
  <c r="AG349" i="2"/>
  <c r="AJ1012" i="2"/>
  <c r="AG1012" i="2"/>
  <c r="Y1012" i="2"/>
  <c r="AD7" i="2"/>
  <c r="Y7" i="2"/>
  <c r="U7" i="2"/>
  <c r="Q11" i="2"/>
  <c r="AG26" i="2"/>
  <c r="AK33" i="2"/>
  <c r="Z33" i="2"/>
  <c r="AE33" i="2"/>
  <c r="AG43" i="2"/>
  <c r="AG57" i="2"/>
  <c r="Y95" i="2"/>
  <c r="Q95" i="2"/>
  <c r="AJ95" i="2"/>
  <c r="AD95" i="2"/>
  <c r="AD105" i="2"/>
  <c r="Q124" i="2"/>
  <c r="AD124" i="2"/>
  <c r="U124" i="2"/>
  <c r="AJ124" i="2"/>
  <c r="AD137" i="2"/>
  <c r="AG137" i="2"/>
  <c r="Q137" i="2"/>
  <c r="AJ160" i="2"/>
  <c r="AD160" i="2"/>
  <c r="R181" i="2"/>
  <c r="AK181" i="2"/>
  <c r="AE181" i="2"/>
  <c r="AE266" i="2"/>
  <c r="Z266" i="2"/>
  <c r="R266" i="2"/>
  <c r="V289" i="2"/>
  <c r="AE289" i="2"/>
  <c r="Z289" i="2"/>
  <c r="R289" i="2"/>
  <c r="AE322" i="2"/>
  <c r="Z322" i="2"/>
  <c r="AJ490" i="2"/>
  <c r="Y490" i="2"/>
  <c r="U490" i="2"/>
  <c r="Q490" i="2"/>
  <c r="AG490" i="2"/>
  <c r="AD490" i="2"/>
  <c r="Q530" i="2"/>
  <c r="U530" i="2"/>
  <c r="U733" i="2"/>
  <c r="Q733" i="2"/>
  <c r="AG733" i="2"/>
  <c r="AD733" i="2"/>
  <c r="Y733" i="2"/>
  <c r="AJ756" i="2"/>
  <c r="AG756" i="2"/>
  <c r="AJ760" i="2"/>
  <c r="Y760" i="2"/>
  <c r="U760" i="2"/>
  <c r="Q760" i="2"/>
  <c r="AG760" i="2"/>
  <c r="AD760" i="2"/>
  <c r="AG53" i="2"/>
  <c r="AD53" i="2"/>
  <c r="U53" i="2"/>
  <c r="Q53" i="2"/>
  <c r="V95" i="2"/>
  <c r="AE95" i="2"/>
  <c r="AE105" i="2"/>
  <c r="R124" i="2"/>
  <c r="AE124" i="2"/>
  <c r="V124" i="2"/>
  <c r="Z124" i="2"/>
  <c r="AE137" i="2"/>
  <c r="V137" i="2"/>
  <c r="R137" i="2"/>
  <c r="AE152" i="2"/>
  <c r="AK160" i="2"/>
  <c r="V160" i="2"/>
  <c r="AG332" i="2"/>
  <c r="Q332" i="2"/>
  <c r="AD332" i="2"/>
  <c r="Y332" i="2"/>
  <c r="U332" i="2"/>
  <c r="U476" i="2"/>
  <c r="AG476" i="2"/>
  <c r="V530" i="2"/>
  <c r="Z530" i="2"/>
  <c r="Q665" i="2"/>
  <c r="AJ665" i="2"/>
  <c r="AG665" i="2"/>
  <c r="AD665" i="2"/>
  <c r="U665" i="2"/>
  <c r="R12" i="2"/>
  <c r="V12" i="2"/>
  <c r="AK12" i="2"/>
  <c r="AE193" i="2"/>
  <c r="R193" i="2"/>
  <c r="Z193" i="2"/>
  <c r="V193" i="2"/>
  <c r="R243" i="2"/>
  <c r="Z243" i="2"/>
  <c r="U248" i="2"/>
  <c r="Q248" i="2"/>
  <c r="U339" i="2"/>
  <c r="AJ339" i="2"/>
  <c r="AK356" i="2"/>
  <c r="V356" i="2"/>
  <c r="AE356" i="2"/>
  <c r="Z356" i="2"/>
  <c r="R356" i="2"/>
  <c r="Y641" i="2"/>
  <c r="AD641" i="2"/>
  <c r="Z67" i="2"/>
  <c r="V67" i="2"/>
  <c r="AK67" i="2"/>
  <c r="AE67" i="2"/>
  <c r="AK125" i="2"/>
  <c r="R125" i="2"/>
  <c r="Y227" i="2"/>
  <c r="Q227" i="2"/>
  <c r="AD227" i="2"/>
  <c r="Q431" i="2"/>
  <c r="AG431" i="2"/>
  <c r="AD431" i="2"/>
  <c r="Y431" i="2"/>
  <c r="U431" i="2"/>
  <c r="AJ431" i="2"/>
  <c r="AG442" i="2"/>
  <c r="AD442" i="2"/>
  <c r="U442" i="2"/>
  <c r="Q442" i="2"/>
  <c r="AJ442" i="2"/>
  <c r="Y961" i="2"/>
  <c r="AJ961" i="2"/>
  <c r="AG961" i="2"/>
  <c r="U961" i="2"/>
  <c r="AD961" i="2"/>
  <c r="Q961" i="2"/>
  <c r="N137" i="9"/>
  <c r="L137" i="9"/>
  <c r="M137" i="9"/>
  <c r="Y72" i="2"/>
  <c r="AJ72" i="2"/>
  <c r="AE77" i="2"/>
  <c r="Z77" i="2"/>
  <c r="V77" i="2"/>
  <c r="Q309" i="2"/>
  <c r="AG309" i="2"/>
  <c r="AD309" i="2"/>
  <c r="U309" i="2"/>
  <c r="Q367" i="2"/>
  <c r="U367" i="2"/>
  <c r="AG367" i="2"/>
  <c r="AD367" i="2"/>
  <c r="Y367" i="2"/>
  <c r="AJ367" i="2"/>
  <c r="R779" i="2"/>
  <c r="AE779" i="2"/>
  <c r="AK779" i="2"/>
  <c r="V779" i="2"/>
  <c r="Z779" i="2"/>
  <c r="AG2" i="2"/>
  <c r="Y2" i="2"/>
  <c r="AG31" i="2"/>
  <c r="AD31" i="2"/>
  <c r="U31" i="2"/>
  <c r="Q31" i="2"/>
  <c r="AG42" i="2"/>
  <c r="U59" i="2"/>
  <c r="AJ59" i="2"/>
  <c r="AD59" i="2"/>
  <c r="R67" i="2"/>
  <c r="AK89" i="2"/>
  <c r="Z89" i="2"/>
  <c r="V89" i="2"/>
  <c r="R89" i="2"/>
  <c r="U94" i="2"/>
  <c r="AJ94" i="2"/>
  <c r="AD94" i="2"/>
  <c r="V115" i="2"/>
  <c r="V125" i="2"/>
  <c r="Q167" i="2"/>
  <c r="Y193" i="2"/>
  <c r="Q198" i="2"/>
  <c r="AD198" i="2"/>
  <c r="U198" i="2"/>
  <c r="V213" i="2"/>
  <c r="AE226" i="2"/>
  <c r="Z226" i="2"/>
  <c r="R226" i="2"/>
  <c r="AK226" i="2"/>
  <c r="AK332" i="2"/>
  <c r="R332" i="2"/>
  <c r="Z332" i="2"/>
  <c r="AE332" i="2"/>
  <c r="AG418" i="2"/>
  <c r="U418" i="2"/>
  <c r="AD418" i="2"/>
  <c r="AJ418" i="2"/>
  <c r="Q418" i="2"/>
  <c r="Y632" i="2"/>
  <c r="U632" i="2"/>
  <c r="AG632" i="2"/>
  <c r="AJ632" i="2"/>
  <c r="AE661" i="2"/>
  <c r="AK661" i="2"/>
  <c r="U6" i="2"/>
  <c r="Q6" i="2"/>
  <c r="AG6" i="2"/>
  <c r="AD6" i="2"/>
  <c r="R6" i="2"/>
  <c r="Z6" i="2"/>
  <c r="AJ23" i="2"/>
  <c r="AJ26" i="2"/>
  <c r="U60" i="2"/>
  <c r="U71" i="2"/>
  <c r="AG71" i="2"/>
  <c r="R77" i="2"/>
  <c r="R94" i="2"/>
  <c r="AE94" i="2"/>
  <c r="R198" i="2"/>
  <c r="AE198" i="2"/>
  <c r="Z198" i="2"/>
  <c r="Y231" i="2"/>
  <c r="AJ231" i="2"/>
  <c r="AG231" i="2"/>
  <c r="AK239" i="2"/>
  <c r="AG260" i="2"/>
  <c r="AD260" i="2"/>
  <c r="Q260" i="2"/>
  <c r="AJ260" i="2"/>
  <c r="Q325" i="2"/>
  <c r="AD325" i="2"/>
  <c r="Y325" i="2"/>
  <c r="AJ325" i="2"/>
  <c r="AG325" i="2"/>
  <c r="R326" i="2"/>
  <c r="V362" i="2"/>
  <c r="Z362" i="2"/>
  <c r="AG366" i="2"/>
  <c r="Q366" i="2"/>
  <c r="Y366" i="2"/>
  <c r="U366" i="2"/>
  <c r="AJ366" i="2"/>
  <c r="AD366" i="2"/>
  <c r="AK418" i="2"/>
  <c r="V418" i="2"/>
  <c r="R418" i="2"/>
  <c r="AE418" i="2"/>
  <c r="Z508" i="2"/>
  <c r="AE508" i="2"/>
  <c r="AJ608" i="2"/>
  <c r="AG608" i="2"/>
  <c r="AD608" i="2"/>
  <c r="U608" i="2"/>
  <c r="Q608" i="2"/>
  <c r="V144" i="2"/>
  <c r="AK144" i="2"/>
  <c r="Y363" i="2"/>
  <c r="AG363" i="2"/>
  <c r="AD363" i="2"/>
  <c r="AG20" i="2"/>
  <c r="R4" i="2"/>
  <c r="Z4" i="2"/>
  <c r="AK5" i="2"/>
  <c r="AE5" i="2"/>
  <c r="U11" i="2"/>
  <c r="Z12" i="2"/>
  <c r="AE16" i="2"/>
  <c r="Q33" i="2"/>
  <c r="Q50" i="2"/>
  <c r="AG50" i="2"/>
  <c r="Y50" i="2"/>
  <c r="V60" i="2"/>
  <c r="Y61" i="2"/>
  <c r="AG123" i="2"/>
  <c r="U123" i="2"/>
  <c r="AJ123" i="2"/>
  <c r="AD123" i="2"/>
  <c r="Q154" i="2"/>
  <c r="AG154" i="2"/>
  <c r="U154" i="2"/>
  <c r="AD154" i="2"/>
  <c r="U180" i="2"/>
  <c r="AG180" i="2"/>
  <c r="Y182" i="2"/>
  <c r="AJ204" i="2"/>
  <c r="Y204" i="2"/>
  <c r="Z221" i="2"/>
  <c r="R325" i="2"/>
  <c r="AE325" i="2"/>
  <c r="Y339" i="2"/>
  <c r="V434" i="2"/>
  <c r="Z434" i="2"/>
  <c r="Y442" i="2"/>
  <c r="Y495" i="2"/>
  <c r="U495" i="2"/>
  <c r="AJ495" i="2"/>
  <c r="AG495" i="2"/>
  <c r="AD495" i="2"/>
  <c r="Q495" i="2"/>
  <c r="AK11" i="2"/>
  <c r="Z11" i="2"/>
  <c r="AE11" i="2"/>
  <c r="Y67" i="2"/>
  <c r="AG67" i="2"/>
  <c r="AD67" i="2"/>
  <c r="AJ96" i="2"/>
  <c r="Y96" i="2"/>
  <c r="AD125" i="2"/>
  <c r="Q125" i="2"/>
  <c r="Y131" i="2"/>
  <c r="AG131" i="2"/>
  <c r="AJ177" i="2"/>
  <c r="Y177" i="2"/>
  <c r="R182" i="2"/>
  <c r="Z182" i="2"/>
  <c r="AK182" i="2"/>
  <c r="V502" i="2"/>
  <c r="AE502" i="2"/>
  <c r="Q543" i="2"/>
  <c r="AG543" i="2"/>
  <c r="AD543" i="2"/>
  <c r="U594" i="2"/>
  <c r="Y594" i="2"/>
  <c r="AD594" i="2"/>
  <c r="AJ77" i="2"/>
  <c r="Y77" i="2"/>
  <c r="AG77" i="2"/>
  <c r="AD77" i="2"/>
  <c r="AE96" i="2"/>
  <c r="Z96" i="2"/>
  <c r="R131" i="2"/>
  <c r="Z131" i="2"/>
  <c r="AG167" i="2"/>
  <c r="Y167" i="2"/>
  <c r="AD167" i="2"/>
  <c r="AK200" i="2"/>
  <c r="Z200" i="2"/>
  <c r="Q271" i="2"/>
  <c r="AG271" i="2"/>
  <c r="U271" i="2"/>
  <c r="Y271" i="2"/>
  <c r="R339" i="2"/>
  <c r="AE339" i="2"/>
  <c r="AK339" i="2"/>
  <c r="Z526" i="2"/>
  <c r="V526" i="2"/>
  <c r="AE526" i="2"/>
  <c r="AG1282" i="2"/>
  <c r="U1282" i="2"/>
  <c r="AD23" i="2"/>
  <c r="AK3" i="2"/>
  <c r="AE3" i="2"/>
  <c r="R3" i="2"/>
  <c r="Q28" i="2"/>
  <c r="AG28" i="2"/>
  <c r="Y28" i="2"/>
  <c r="Y48" i="2"/>
  <c r="AG48" i="2"/>
  <c r="R50" i="2"/>
  <c r="Z50" i="2"/>
  <c r="R52" i="2"/>
  <c r="AK52" i="2"/>
  <c r="Z52" i="2"/>
  <c r="V52" i="2"/>
  <c r="U67" i="2"/>
  <c r="Z76" i="2"/>
  <c r="AK76" i="2"/>
  <c r="Y90" i="2"/>
  <c r="AD99" i="2"/>
  <c r="AJ99" i="2"/>
  <c r="AK123" i="2"/>
  <c r="R123" i="2"/>
  <c r="AE123" i="2"/>
  <c r="AD129" i="2"/>
  <c r="Y129" i="2"/>
  <c r="AJ142" i="2"/>
  <c r="AG142" i="2"/>
  <c r="AG175" i="2"/>
  <c r="U175" i="2"/>
  <c r="AK180" i="2"/>
  <c r="V180" i="2"/>
  <c r="R204" i="2"/>
  <c r="AE204" i="2"/>
  <c r="AK204" i="2"/>
  <c r="Z227" i="2"/>
  <c r="AG280" i="2"/>
  <c r="AD280" i="2"/>
  <c r="Q280" i="2"/>
  <c r="AJ280" i="2"/>
  <c r="Y280" i="2"/>
  <c r="AK303" i="2"/>
  <c r="R303" i="2"/>
  <c r="AE303" i="2"/>
  <c r="AG342" i="2"/>
  <c r="Q342" i="2"/>
  <c r="AD342" i="2"/>
  <c r="AJ342" i="2"/>
  <c r="AG440" i="2"/>
  <c r="U440" i="2"/>
  <c r="AD440" i="2"/>
  <c r="Q440" i="2"/>
  <c r="Y440" i="2"/>
  <c r="Z495" i="2"/>
  <c r="V495" i="2"/>
  <c r="R495" i="2"/>
  <c r="AE495" i="2"/>
  <c r="Y9" i="2"/>
  <c r="R28" i="2"/>
  <c r="Z28" i="2"/>
  <c r="R30" i="2"/>
  <c r="AK30" i="2"/>
  <c r="Z30" i="2"/>
  <c r="V30" i="2"/>
  <c r="U49" i="2"/>
  <c r="AD49" i="2"/>
  <c r="Y66" i="2"/>
  <c r="U77" i="2"/>
  <c r="U95" i="2"/>
  <c r="AK105" i="2"/>
  <c r="V129" i="2"/>
  <c r="AK129" i="2"/>
  <c r="U137" i="2"/>
  <c r="AK152" i="2"/>
  <c r="AK159" i="2"/>
  <c r="Z159" i="2"/>
  <c r="V159" i="2"/>
  <c r="R159" i="2"/>
  <c r="AJ165" i="2"/>
  <c r="Y165" i="2"/>
  <c r="U165" i="2"/>
  <c r="AG165" i="2"/>
  <c r="AG170" i="2"/>
  <c r="U170" i="2"/>
  <c r="Y192" i="2"/>
  <c r="AG274" i="2"/>
  <c r="U274" i="2"/>
  <c r="Q274" i="2"/>
  <c r="AJ274" i="2"/>
  <c r="AD274" i="2"/>
  <c r="Y309" i="2"/>
  <c r="AK320" i="2"/>
  <c r="R320" i="2"/>
  <c r="Z320" i="2"/>
  <c r="AE560" i="2"/>
  <c r="V560" i="2"/>
  <c r="R560" i="2"/>
  <c r="AK560" i="2"/>
  <c r="Z560" i="2"/>
  <c r="AD81" i="2"/>
  <c r="Y81" i="2"/>
  <c r="AJ81" i="2"/>
  <c r="Y117" i="2"/>
  <c r="AJ117" i="2"/>
  <c r="Q117" i="2"/>
  <c r="R165" i="2"/>
  <c r="AE165" i="2"/>
  <c r="U179" i="2"/>
  <c r="AJ179" i="2"/>
  <c r="AG179" i="2"/>
  <c r="AD179" i="2"/>
  <c r="Q197" i="2"/>
  <c r="AJ197" i="2"/>
  <c r="AK274" i="2"/>
  <c r="V274" i="2"/>
  <c r="R274" i="2"/>
  <c r="AE274" i="2"/>
  <c r="R405" i="2"/>
  <c r="AK405" i="2"/>
  <c r="AJ475" i="2"/>
  <c r="U475" i="2"/>
  <c r="Q475" i="2"/>
  <c r="AD475" i="2"/>
  <c r="Y475" i="2"/>
  <c r="AG475" i="2"/>
  <c r="AE759" i="2"/>
  <c r="Z759" i="2"/>
  <c r="V759" i="2"/>
  <c r="AE12" i="2"/>
  <c r="Q21" i="2"/>
  <c r="AD21" i="2"/>
  <c r="Y21" i="2"/>
  <c r="U21" i="2"/>
  <c r="AK23" i="2"/>
  <c r="R23" i="2"/>
  <c r="AK27" i="2"/>
  <c r="R27" i="2"/>
  <c r="AE27" i="2"/>
  <c r="AG45" i="2"/>
  <c r="Y45" i="2"/>
  <c r="Q45" i="2"/>
  <c r="Q70" i="2"/>
  <c r="U70" i="2"/>
  <c r="AJ70" i="2"/>
  <c r="AD70" i="2"/>
  <c r="AE182" i="2"/>
  <c r="Z197" i="2"/>
  <c r="R197" i="2"/>
  <c r="AK197" i="2"/>
  <c r="AE197" i="2"/>
  <c r="AD271" i="2"/>
  <c r="AG300" i="2"/>
  <c r="Q300" i="2"/>
  <c r="Y300" i="2"/>
  <c r="U300" i="2"/>
  <c r="AD300" i="2"/>
  <c r="AG336" i="2"/>
  <c r="Q336" i="2"/>
  <c r="AD336" i="2"/>
  <c r="Y336" i="2"/>
  <c r="R421" i="2"/>
  <c r="AE421" i="2"/>
  <c r="AK421" i="2"/>
  <c r="AK475" i="2"/>
  <c r="V475" i="2"/>
  <c r="AD676" i="2"/>
  <c r="U676" i="2"/>
  <c r="Y676" i="2"/>
  <c r="AJ676" i="2"/>
  <c r="AG676" i="2"/>
  <c r="Z869" i="2"/>
  <c r="V869" i="2"/>
  <c r="AE869" i="2"/>
  <c r="U234" i="2"/>
  <c r="Q234" i="2"/>
  <c r="AK250" i="2"/>
  <c r="V250" i="2"/>
  <c r="AE250" i="2"/>
  <c r="R250" i="2"/>
  <c r="V300" i="2"/>
  <c r="AE300" i="2"/>
  <c r="R300" i="2"/>
  <c r="AK300" i="2"/>
  <c r="AG324" i="2"/>
  <c r="U324" i="2"/>
  <c r="AD324" i="2"/>
  <c r="Q324" i="2"/>
  <c r="AJ324" i="2"/>
  <c r="U507" i="2"/>
  <c r="Y507" i="2"/>
  <c r="AJ507" i="2"/>
  <c r="AG507" i="2"/>
  <c r="Q507" i="2"/>
  <c r="AD507" i="2"/>
  <c r="Y672" i="2"/>
  <c r="AJ672" i="2"/>
  <c r="U672" i="2"/>
  <c r="Q672" i="2"/>
  <c r="AG672" i="2"/>
  <c r="AD672" i="2"/>
  <c r="AJ855" i="2"/>
  <c r="Y855" i="2"/>
  <c r="AG855" i="2"/>
  <c r="AD855" i="2"/>
  <c r="U855" i="2"/>
  <c r="AD1282" i="2"/>
  <c r="AD607" i="2"/>
  <c r="Q607" i="2"/>
  <c r="AG607" i="2"/>
  <c r="R1280" i="2"/>
  <c r="V1280" i="2"/>
  <c r="AE1280" i="2"/>
  <c r="AK1280" i="2"/>
  <c r="Z1280" i="2"/>
  <c r="AK49" i="2"/>
  <c r="R49" i="2"/>
  <c r="AE49" i="2"/>
  <c r="R20" i="2"/>
  <c r="V20" i="2"/>
  <c r="AE20" i="2"/>
  <c r="U42" i="2"/>
  <c r="Q42" i="2"/>
  <c r="AD42" i="2"/>
  <c r="AE60" i="2"/>
  <c r="AD66" i="2"/>
  <c r="Y69" i="2"/>
  <c r="U69" i="2"/>
  <c r="AD69" i="2"/>
  <c r="AE75" i="2"/>
  <c r="V75" i="2"/>
  <c r="AG121" i="2"/>
  <c r="AJ121" i="2"/>
  <c r="V123" i="2"/>
  <c r="AJ125" i="2"/>
  <c r="U127" i="2"/>
  <c r="Y127" i="2"/>
  <c r="AG127" i="2"/>
  <c r="AD127" i="2"/>
  <c r="U142" i="2"/>
  <c r="R164" i="2"/>
  <c r="V164" i="2"/>
  <c r="AE164" i="2"/>
  <c r="AK221" i="2"/>
  <c r="Q257" i="2"/>
  <c r="Y257" i="2"/>
  <c r="AG257" i="2"/>
  <c r="AG268" i="2"/>
  <c r="AD268" i="2"/>
  <c r="Q268" i="2"/>
  <c r="Y268" i="2"/>
  <c r="U268" i="2"/>
  <c r="AJ268" i="2"/>
  <c r="AJ363" i="2"/>
  <c r="R456" i="2"/>
  <c r="AK456" i="2"/>
  <c r="AK607" i="2"/>
  <c r="V607" i="2"/>
  <c r="AE607" i="2"/>
  <c r="Z607" i="2"/>
  <c r="R607" i="2"/>
  <c r="U713" i="2"/>
  <c r="AJ713" i="2"/>
  <c r="AG713" i="2"/>
  <c r="AD713" i="2"/>
  <c r="Q713" i="2"/>
  <c r="Y713" i="2"/>
  <c r="AG1128" i="2"/>
  <c r="AD1128" i="2"/>
  <c r="AJ1128" i="2"/>
  <c r="Y1128" i="2"/>
  <c r="Q676" i="2"/>
  <c r="AG819" i="2"/>
  <c r="U819" i="2"/>
  <c r="AD819" i="2"/>
  <c r="AG989" i="2"/>
  <c r="Q989" i="2"/>
  <c r="AD989" i="2"/>
  <c r="U989" i="2"/>
  <c r="AD1009" i="2"/>
  <c r="Q1009" i="2"/>
  <c r="Y1009" i="2"/>
  <c r="AJ1009" i="2"/>
  <c r="AE1128" i="2"/>
  <c r="R1128" i="2"/>
  <c r="V1128" i="2"/>
  <c r="Z1128" i="2"/>
  <c r="AK1128" i="2"/>
  <c r="U27" i="2"/>
  <c r="AD27" i="2"/>
  <c r="AK45" i="2"/>
  <c r="R45" i="2"/>
  <c r="AJ63" i="2"/>
  <c r="Y63" i="2"/>
  <c r="AD63" i="2"/>
  <c r="Q152" i="2"/>
  <c r="AD152" i="2"/>
  <c r="AG152" i="2"/>
  <c r="Y152" i="2"/>
  <c r="U75" i="2"/>
  <c r="Y75" i="2"/>
  <c r="AG75" i="2"/>
  <c r="AD75" i="2"/>
  <c r="AD96" i="2"/>
  <c r="U105" i="2"/>
  <c r="AG105" i="2"/>
  <c r="Y105" i="2"/>
  <c r="Q105" i="2"/>
  <c r="Z293" i="2"/>
  <c r="R293" i="2"/>
  <c r="AG16" i="2"/>
  <c r="Y16" i="2"/>
  <c r="Q16" i="2"/>
  <c r="R18" i="2"/>
  <c r="Z18" i="2"/>
  <c r="AK18" i="2"/>
  <c r="AK69" i="2"/>
  <c r="R69" i="2"/>
  <c r="AE69" i="2"/>
  <c r="Q81" i="2"/>
  <c r="R111" i="2"/>
  <c r="V111" i="2"/>
  <c r="Z121" i="2"/>
  <c r="R121" i="2"/>
  <c r="AE121" i="2"/>
  <c r="V463" i="2"/>
  <c r="Z463" i="2"/>
  <c r="AK463" i="2"/>
  <c r="AE463" i="2"/>
  <c r="AD14" i="2"/>
  <c r="Y14" i="2"/>
  <c r="AG38" i="2"/>
  <c r="Y38" i="2"/>
  <c r="Q38" i="2"/>
  <c r="AJ309" i="2"/>
  <c r="AE6" i="2"/>
  <c r="AJ9" i="2"/>
  <c r="AJ11" i="2"/>
  <c r="AD36" i="2"/>
  <c r="Y36" i="2"/>
  <c r="Y49" i="2"/>
  <c r="AG59" i="2"/>
  <c r="Y62" i="2"/>
  <c r="AG62" i="2"/>
  <c r="Q63" i="2"/>
  <c r="V70" i="2"/>
  <c r="V117" i="2"/>
  <c r="AE151" i="2"/>
  <c r="R151" i="2"/>
  <c r="Z151" i="2"/>
  <c r="AG160" i="2"/>
  <c r="Y188" i="2"/>
  <c r="AJ188" i="2"/>
  <c r="AG188" i="2"/>
  <c r="V197" i="2"/>
  <c r="R201" i="2"/>
  <c r="AE201" i="2"/>
  <c r="AK201" i="2"/>
  <c r="Z204" i="2"/>
  <c r="Z274" i="2"/>
  <c r="AD303" i="2"/>
  <c r="AG368" i="2"/>
  <c r="Q368" i="2"/>
  <c r="Y368" i="2"/>
  <c r="U368" i="2"/>
  <c r="AJ368" i="2"/>
  <c r="AD368" i="2"/>
  <c r="AJ776" i="2"/>
  <c r="AD776" i="2"/>
  <c r="Y776" i="2"/>
  <c r="U776" i="2"/>
  <c r="Q776" i="2"/>
  <c r="AG776" i="2"/>
  <c r="AK819" i="2"/>
  <c r="V819" i="2"/>
  <c r="R819" i="2"/>
  <c r="AE819" i="2"/>
  <c r="Z819" i="2"/>
  <c r="AD114" i="2"/>
  <c r="Q196" i="2"/>
  <c r="AD196" i="2"/>
  <c r="Y196" i="2"/>
  <c r="U20" i="2"/>
  <c r="Q20" i="2"/>
  <c r="AD20" i="2"/>
  <c r="AK43" i="2"/>
  <c r="AE43" i="2"/>
  <c r="Z43" i="2"/>
  <c r="R57" i="2"/>
  <c r="V57" i="2"/>
  <c r="Q80" i="2"/>
  <c r="AD80" i="2"/>
  <c r="Y80" i="2"/>
  <c r="AJ80" i="2"/>
  <c r="AK193" i="2"/>
  <c r="AJ224" i="2"/>
  <c r="AD224" i="2"/>
  <c r="Q224" i="2"/>
  <c r="R42" i="2"/>
  <c r="V42" i="2"/>
  <c r="AE42" i="2"/>
  <c r="Y98" i="2"/>
  <c r="AJ98" i="2"/>
  <c r="AJ167" i="2"/>
  <c r="AG178" i="2"/>
  <c r="U178" i="2"/>
  <c r="Q239" i="2"/>
  <c r="AJ239" i="2"/>
  <c r="U583" i="2"/>
  <c r="AJ583" i="2"/>
  <c r="AK667" i="2"/>
  <c r="R667" i="2"/>
  <c r="AE667" i="2"/>
  <c r="Z667" i="2"/>
  <c r="V667" i="2"/>
  <c r="V713" i="2"/>
  <c r="R713" i="2"/>
  <c r="AK713" i="2"/>
  <c r="Q845" i="2"/>
  <c r="AG845" i="2"/>
  <c r="AD845" i="2"/>
  <c r="U845" i="2"/>
  <c r="R979" i="2"/>
  <c r="AE979" i="2"/>
  <c r="V979" i="2"/>
  <c r="R86" i="2"/>
  <c r="Z86" i="2"/>
  <c r="V86" i="2"/>
  <c r="Z98" i="2"/>
  <c r="AK98" i="2"/>
  <c r="R578" i="2"/>
  <c r="Z578" i="2"/>
  <c r="Z3" i="2"/>
  <c r="AG7" i="2"/>
  <c r="Q13" i="2"/>
  <c r="AG13" i="2"/>
  <c r="Y13" i="2"/>
  <c r="Y27" i="2"/>
  <c r="U45" i="2"/>
  <c r="Z49" i="2"/>
  <c r="AJ60" i="2"/>
  <c r="R62" i="2"/>
  <c r="V62" i="2"/>
  <c r="AE62" i="2"/>
  <c r="AK95" i="2"/>
  <c r="R104" i="2"/>
  <c r="AK104" i="2"/>
  <c r="Z104" i="2"/>
  <c r="V104" i="2"/>
  <c r="R126" i="2"/>
  <c r="V126" i="2"/>
  <c r="U173" i="2"/>
  <c r="AJ173" i="2"/>
  <c r="Q173" i="2"/>
  <c r="AD173" i="2"/>
  <c r="AD183" i="2"/>
  <c r="AJ183" i="2"/>
  <c r="AJ208" i="2"/>
  <c r="Y208" i="2"/>
  <c r="AD228" i="2"/>
  <c r="AJ228" i="2"/>
  <c r="AG272" i="2"/>
  <c r="AD272" i="2"/>
  <c r="Q272" i="2"/>
  <c r="U272" i="2"/>
  <c r="R277" i="2"/>
  <c r="AE277" i="2"/>
  <c r="AG290" i="2"/>
  <c r="AD290" i="2"/>
  <c r="Y290" i="2"/>
  <c r="U290" i="2"/>
  <c r="Q290" i="2"/>
  <c r="AJ290" i="2"/>
  <c r="AG318" i="2"/>
  <c r="Q318" i="2"/>
  <c r="AD318" i="2"/>
  <c r="Y318" i="2"/>
  <c r="AJ332" i="2"/>
  <c r="U336" i="2"/>
  <c r="Y342" i="2"/>
  <c r="R420" i="2"/>
  <c r="Z420" i="2"/>
  <c r="AE420" i="2"/>
  <c r="AG426" i="2"/>
  <c r="AD426" i="2"/>
  <c r="Q426" i="2"/>
  <c r="U426" i="2"/>
  <c r="AJ426" i="2"/>
  <c r="AK455" i="2"/>
  <c r="Z455" i="2"/>
  <c r="V455" i="2"/>
  <c r="R455" i="2"/>
  <c r="AE455" i="2"/>
  <c r="AK665" i="2"/>
  <c r="AK21" i="2"/>
  <c r="AE21" i="2"/>
  <c r="Z21" i="2"/>
  <c r="Q43" i="2"/>
  <c r="AD43" i="2"/>
  <c r="Y43" i="2"/>
  <c r="U43" i="2"/>
  <c r="AE63" i="2"/>
  <c r="R63" i="2"/>
  <c r="AK87" i="2"/>
  <c r="Z87" i="2"/>
  <c r="R87" i="2"/>
  <c r="AD209" i="2"/>
  <c r="U209" i="2"/>
  <c r="AG209" i="2"/>
  <c r="AK243" i="2"/>
  <c r="R324" i="2"/>
  <c r="AE324" i="2"/>
  <c r="Z324" i="2"/>
  <c r="AG330" i="2"/>
  <c r="Q330" i="2"/>
  <c r="AD330" i="2"/>
  <c r="U330" i="2"/>
  <c r="V358" i="2"/>
  <c r="R358" i="2"/>
  <c r="R409" i="2"/>
  <c r="AK409" i="2"/>
  <c r="U503" i="2"/>
  <c r="AG503" i="2"/>
  <c r="AD503" i="2"/>
  <c r="Y503" i="2"/>
  <c r="AJ503" i="2"/>
  <c r="Q503" i="2"/>
  <c r="Q27" i="2"/>
  <c r="Q179" i="2"/>
  <c r="V249" i="2"/>
  <c r="Z249" i="2"/>
  <c r="AE249" i="2"/>
  <c r="R249" i="2"/>
  <c r="R319" i="2"/>
  <c r="AK319" i="2"/>
  <c r="R21" i="2"/>
  <c r="R40" i="2"/>
  <c r="Z40" i="2"/>
  <c r="AK40" i="2"/>
  <c r="AJ67" i="2"/>
  <c r="AK90" i="2"/>
  <c r="U99" i="2"/>
  <c r="U117" i="2"/>
  <c r="AJ151" i="2"/>
  <c r="Q151" i="2"/>
  <c r="AG151" i="2"/>
  <c r="Y151" i="2"/>
  <c r="AG350" i="2"/>
  <c r="U350" i="2"/>
  <c r="AJ350" i="2"/>
  <c r="AD350" i="2"/>
  <c r="Q350" i="2"/>
  <c r="AK13" i="2"/>
  <c r="R13" i="2"/>
  <c r="Z13" i="2"/>
  <c r="Z23" i="2"/>
  <c r="Z27" i="2"/>
  <c r="Q35" i="2"/>
  <c r="AG35" i="2"/>
  <c r="Y35" i="2"/>
  <c r="AD50" i="2"/>
  <c r="AE52" i="2"/>
  <c r="Z57" i="2"/>
  <c r="Y68" i="2"/>
  <c r="U68" i="2"/>
  <c r="Q68" i="2"/>
  <c r="AG68" i="2"/>
  <c r="Q69" i="2"/>
  <c r="V73" i="2"/>
  <c r="Z73" i="2"/>
  <c r="AE73" i="2"/>
  <c r="U80" i="2"/>
  <c r="V105" i="2"/>
  <c r="AJ110" i="2"/>
  <c r="Y110" i="2"/>
  <c r="U110" i="2"/>
  <c r="AG118" i="2"/>
  <c r="R127" i="2"/>
  <c r="AE139" i="2"/>
  <c r="AK139" i="2"/>
  <c r="V139" i="2"/>
  <c r="R139" i="2"/>
  <c r="U152" i="2"/>
  <c r="AK173" i="2"/>
  <c r="V173" i="2"/>
  <c r="R173" i="2"/>
  <c r="Y179" i="2"/>
  <c r="U196" i="2"/>
  <c r="AJ213" i="2"/>
  <c r="Q213" i="2"/>
  <c r="AG213" i="2"/>
  <c r="Y213" i="2"/>
  <c r="Z300" i="2"/>
  <c r="Y324" i="2"/>
  <c r="Q345" i="2"/>
  <c r="U345" i="2"/>
  <c r="AJ345" i="2"/>
  <c r="AG345" i="2"/>
  <c r="AD345" i="2"/>
  <c r="AG378" i="2"/>
  <c r="Q378" i="2"/>
  <c r="AD378" i="2"/>
  <c r="Y378" i="2"/>
  <c r="U378" i="2"/>
  <c r="AJ378" i="2"/>
  <c r="AE448" i="2"/>
  <c r="V448" i="2"/>
  <c r="Z448" i="2"/>
  <c r="AE562" i="2"/>
  <c r="R562" i="2"/>
  <c r="Z562" i="2"/>
  <c r="V562" i="2"/>
  <c r="AK562" i="2"/>
  <c r="AK598" i="2"/>
  <c r="V598" i="2"/>
  <c r="AG23" i="2"/>
  <c r="Y23" i="2"/>
  <c r="Q23" i="2"/>
  <c r="AD10" i="2"/>
  <c r="Q10" i="2"/>
  <c r="AJ10" i="2"/>
  <c r="Y20" i="2"/>
  <c r="AD28" i="2"/>
  <c r="AK35" i="2"/>
  <c r="R35" i="2"/>
  <c r="Z35" i="2"/>
  <c r="Z45" i="2"/>
  <c r="AE50" i="2"/>
  <c r="Z63" i="2"/>
  <c r="R68" i="2"/>
  <c r="AE68" i="2"/>
  <c r="AE79" i="2"/>
  <c r="Z79" i="2"/>
  <c r="R79" i="2"/>
  <c r="AE110" i="2"/>
  <c r="V110" i="2"/>
  <c r="U121" i="2"/>
  <c r="Z122" i="2"/>
  <c r="AK137" i="2"/>
  <c r="AD142" i="2"/>
  <c r="AJ193" i="2"/>
  <c r="Q193" i="2"/>
  <c r="AG193" i="2"/>
  <c r="Y224" i="2"/>
  <c r="Q243" i="2"/>
  <c r="Y243" i="2"/>
  <c r="U243" i="2"/>
  <c r="Z250" i="2"/>
  <c r="AE284" i="2"/>
  <c r="AK284" i="2"/>
  <c r="AK310" i="2"/>
  <c r="R310" i="2"/>
  <c r="Z310" i="2"/>
  <c r="V310" i="2"/>
  <c r="AE310" i="2"/>
  <c r="Y330" i="2"/>
  <c r="AK378" i="2"/>
  <c r="V378" i="2"/>
  <c r="AE378" i="2"/>
  <c r="R378" i="2"/>
  <c r="Z378" i="2"/>
  <c r="Q8" i="2"/>
  <c r="Q15" i="2"/>
  <c r="AG18" i="2"/>
  <c r="AK24" i="2"/>
  <c r="AG25" i="2"/>
  <c r="Q37" i="2"/>
  <c r="AG40" i="2"/>
  <c r="AK46" i="2"/>
  <c r="AG47" i="2"/>
  <c r="Q58" i="2"/>
  <c r="AD73" i="2"/>
  <c r="R91" i="2"/>
  <c r="AG103" i="2"/>
  <c r="Y103" i="2"/>
  <c r="R119" i="2"/>
  <c r="V120" i="2"/>
  <c r="R149" i="2"/>
  <c r="AE155" i="2"/>
  <c r="V235" i="2"/>
  <c r="Z235" i="2"/>
  <c r="V279" i="2"/>
  <c r="AE279" i="2"/>
  <c r="AG314" i="2"/>
  <c r="Y314" i="2"/>
  <c r="U314" i="2"/>
  <c r="AK342" i="2"/>
  <c r="R342" i="2"/>
  <c r="Z342" i="2"/>
  <c r="AG348" i="2"/>
  <c r="U348" i="2"/>
  <c r="AJ348" i="2"/>
  <c r="AD348" i="2"/>
  <c r="AG364" i="2"/>
  <c r="U364" i="2"/>
  <c r="Q364" i="2"/>
  <c r="AD364" i="2"/>
  <c r="AD393" i="2"/>
  <c r="U393" i="2"/>
  <c r="AJ393" i="2"/>
  <c r="AG393" i="2"/>
  <c r="AG408" i="2"/>
  <c r="Q408" i="2"/>
  <c r="U408" i="2"/>
  <c r="AD408" i="2"/>
  <c r="V452" i="2"/>
  <c r="AE452" i="2"/>
  <c r="AK452" i="2"/>
  <c r="Q550" i="2"/>
  <c r="AG550" i="2"/>
  <c r="AD550" i="2"/>
  <c r="Y550" i="2"/>
  <c r="Z756" i="2"/>
  <c r="V756" i="2"/>
  <c r="R756" i="2"/>
  <c r="AE756" i="2"/>
  <c r="AJ3" i="2"/>
  <c r="AG4" i="2"/>
  <c r="AD12" i="2"/>
  <c r="R15" i="2"/>
  <c r="AJ17" i="2"/>
  <c r="Q30" i="2"/>
  <c r="AJ32" i="2"/>
  <c r="AD34" i="2"/>
  <c r="R37" i="2"/>
  <c r="AJ39" i="2"/>
  <c r="Q52" i="2"/>
  <c r="AD84" i="2"/>
  <c r="AG84" i="2"/>
  <c r="Q86" i="2"/>
  <c r="Q87" i="2"/>
  <c r="Q134" i="2"/>
  <c r="AJ134" i="2"/>
  <c r="AK242" i="2"/>
  <c r="AE242" i="2"/>
  <c r="V244" i="2"/>
  <c r="AG278" i="2"/>
  <c r="U278" i="2"/>
  <c r="Q278" i="2"/>
  <c r="AG288" i="2"/>
  <c r="U288" i="2"/>
  <c r="Q288" i="2"/>
  <c r="Y355" i="2"/>
  <c r="AJ355" i="2"/>
  <c r="AG355" i="2"/>
  <c r="AK364" i="2"/>
  <c r="R364" i="2"/>
  <c r="AE364" i="2"/>
  <c r="Z364" i="2"/>
  <c r="Q370" i="2"/>
  <c r="AK408" i="2"/>
  <c r="V408" i="2"/>
  <c r="R408" i="2"/>
  <c r="AE408" i="2"/>
  <c r="AG428" i="2"/>
  <c r="AJ428" i="2"/>
  <c r="U428" i="2"/>
  <c r="Q428" i="2"/>
  <c r="Y596" i="2"/>
  <c r="AG596" i="2"/>
  <c r="U596" i="2"/>
  <c r="AJ596" i="2"/>
  <c r="AE645" i="2"/>
  <c r="Z645" i="2"/>
  <c r="V645" i="2"/>
  <c r="R645" i="2"/>
  <c r="AG709" i="2"/>
  <c r="U709" i="2"/>
  <c r="AJ709" i="2"/>
  <c r="V790" i="2"/>
  <c r="AE790" i="2"/>
  <c r="Z790" i="2"/>
  <c r="R101" i="2"/>
  <c r="Z101" i="2"/>
  <c r="AG203" i="2"/>
  <c r="Y203" i="2"/>
  <c r="AG230" i="2"/>
  <c r="U230" i="2"/>
  <c r="AG380" i="2"/>
  <c r="U380" i="2"/>
  <c r="AD380" i="2"/>
  <c r="Y380" i="2"/>
  <c r="AJ380" i="2"/>
  <c r="Z428" i="2"/>
  <c r="R428" i="2"/>
  <c r="Q433" i="2"/>
  <c r="AD433" i="2"/>
  <c r="AG433" i="2"/>
  <c r="Y433" i="2"/>
  <c r="U433" i="2"/>
  <c r="AJ433" i="2"/>
  <c r="U545" i="2"/>
  <c r="AG545" i="2"/>
  <c r="AD545" i="2"/>
  <c r="Y888" i="2"/>
  <c r="Q888" i="2"/>
  <c r="AG888" i="2"/>
  <c r="AJ888" i="2"/>
  <c r="U888" i="2"/>
  <c r="AJ102" i="2"/>
  <c r="Y102" i="2"/>
  <c r="U30" i="2"/>
  <c r="U52" i="2"/>
  <c r="U88" i="2"/>
  <c r="Q132" i="2"/>
  <c r="AD132" i="2"/>
  <c r="AE203" i="2"/>
  <c r="Z203" i="2"/>
  <c r="AG270" i="2"/>
  <c r="AJ270" i="2"/>
  <c r="Q270" i="2"/>
  <c r="AG312" i="2"/>
  <c r="Q312" i="2"/>
  <c r="Y312" i="2"/>
  <c r="AD335" i="2"/>
  <c r="Y335" i="2"/>
  <c r="AJ341" i="2"/>
  <c r="AG341" i="2"/>
  <c r="AD341" i="2"/>
  <c r="Y365" i="2"/>
  <c r="AK444" i="2"/>
  <c r="V444" i="2"/>
  <c r="AE444" i="2"/>
  <c r="AD460" i="2"/>
  <c r="Q460" i="2"/>
  <c r="AG460" i="2"/>
  <c r="Y460" i="2"/>
  <c r="U460" i="2"/>
  <c r="Y514" i="2"/>
  <c r="Q514" i="2"/>
  <c r="AE545" i="2"/>
  <c r="V545" i="2"/>
  <c r="Z686" i="2"/>
  <c r="R686" i="2"/>
  <c r="AJ4" i="2"/>
  <c r="V8" i="2"/>
  <c r="AG34" i="2"/>
  <c r="Z91" i="2"/>
  <c r="AG100" i="2"/>
  <c r="Y100" i="2"/>
  <c r="Z140" i="2"/>
  <c r="V149" i="2"/>
  <c r="Y161" i="2"/>
  <c r="AD201" i="2"/>
  <c r="Q201" i="2"/>
  <c r="Y201" i="2"/>
  <c r="R235" i="2"/>
  <c r="R271" i="2"/>
  <c r="AG277" i="2"/>
  <c r="U277" i="2"/>
  <c r="R279" i="2"/>
  <c r="AK312" i="2"/>
  <c r="R312" i="2"/>
  <c r="AE312" i="2"/>
  <c r="AG320" i="2"/>
  <c r="Q320" i="2"/>
  <c r="AD320" i="2"/>
  <c r="AG328" i="2"/>
  <c r="Y328" i="2"/>
  <c r="U328" i="2"/>
  <c r="AK334" i="2"/>
  <c r="V334" i="2"/>
  <c r="AE334" i="2"/>
  <c r="R335" i="2"/>
  <c r="AE335" i="2"/>
  <c r="AG392" i="2"/>
  <c r="U392" i="2"/>
  <c r="AJ392" i="2"/>
  <c r="AD392" i="2"/>
  <c r="AG420" i="2"/>
  <c r="AJ420" i="2"/>
  <c r="Q420" i="2"/>
  <c r="Y420" i="2"/>
  <c r="U420" i="2"/>
  <c r="AD420" i="2"/>
  <c r="Q451" i="2"/>
  <c r="AG451" i="2"/>
  <c r="AD451" i="2"/>
  <c r="AJ451" i="2"/>
  <c r="U451" i="2"/>
  <c r="Z497" i="2"/>
  <c r="AE497" i="2"/>
  <c r="AK497" i="2"/>
  <c r="AJ502" i="2"/>
  <c r="AG502" i="2"/>
  <c r="AD502" i="2"/>
  <c r="Q502" i="2"/>
  <c r="U626" i="2"/>
  <c r="AJ626" i="2"/>
  <c r="Q626" i="2"/>
  <c r="AG626" i="2"/>
  <c r="AD626" i="2"/>
  <c r="Z8" i="2"/>
  <c r="AJ12" i="2"/>
  <c r="Z15" i="2"/>
  <c r="R17" i="2"/>
  <c r="AJ19" i="2"/>
  <c r="U24" i="2"/>
  <c r="Q32" i="2"/>
  <c r="AJ34" i="2"/>
  <c r="Z37" i="2"/>
  <c r="R39" i="2"/>
  <c r="AJ41" i="2"/>
  <c r="U46" i="2"/>
  <c r="Q54" i="2"/>
  <c r="Z85" i="2"/>
  <c r="AE99" i="2"/>
  <c r="V99" i="2"/>
  <c r="Q102" i="2"/>
  <c r="R107" i="2"/>
  <c r="Q128" i="2"/>
  <c r="AD128" i="2"/>
  <c r="U134" i="2"/>
  <c r="U135" i="2"/>
  <c r="U136" i="2"/>
  <c r="V146" i="2"/>
  <c r="Q166" i="2"/>
  <c r="Y166" i="2"/>
  <c r="AJ166" i="2"/>
  <c r="AG166" i="2"/>
  <c r="Q174" i="2"/>
  <c r="Y174" i="2"/>
  <c r="U174" i="2"/>
  <c r="R203" i="2"/>
  <c r="AE207" i="2"/>
  <c r="Q230" i="2"/>
  <c r="Y246" i="2"/>
  <c r="AJ246" i="2"/>
  <c r="V247" i="2"/>
  <c r="AK247" i="2"/>
  <c r="Q269" i="2"/>
  <c r="AG269" i="2"/>
  <c r="AG276" i="2"/>
  <c r="AJ276" i="2"/>
  <c r="U276" i="2"/>
  <c r="Q276" i="2"/>
  <c r="AG304" i="2"/>
  <c r="AJ304" i="2"/>
  <c r="U304" i="2"/>
  <c r="Q304" i="2"/>
  <c r="AG340" i="2"/>
  <c r="Q340" i="2"/>
  <c r="AD340" i="2"/>
  <c r="Y340" i="2"/>
  <c r="V342" i="2"/>
  <c r="R363" i="2"/>
  <c r="AK363" i="2"/>
  <c r="AE363" i="2"/>
  <c r="Z368" i="2"/>
  <c r="AE368" i="2"/>
  <c r="AG379" i="2"/>
  <c r="U379" i="2"/>
  <c r="AD379" i="2"/>
  <c r="Q380" i="2"/>
  <c r="Y408" i="2"/>
  <c r="AG432" i="2"/>
  <c r="AD432" i="2"/>
  <c r="Y432" i="2"/>
  <c r="Q432" i="2"/>
  <c r="AJ432" i="2"/>
  <c r="AD450" i="2"/>
  <c r="AJ450" i="2"/>
  <c r="Q450" i="2"/>
  <c r="Z452" i="2"/>
  <c r="U519" i="2"/>
  <c r="AG519" i="2"/>
  <c r="AD519" i="2"/>
  <c r="AJ519" i="2"/>
  <c r="Y519" i="2"/>
  <c r="Y531" i="2"/>
  <c r="U531" i="2"/>
  <c r="AJ531" i="2"/>
  <c r="AG531" i="2"/>
  <c r="AD531" i="2"/>
  <c r="U550" i="2"/>
  <c r="AE566" i="2"/>
  <c r="V566" i="2"/>
  <c r="Z566" i="2"/>
  <c r="AE672" i="2"/>
  <c r="V672" i="2"/>
  <c r="Z672" i="2"/>
  <c r="AJ5" i="2"/>
  <c r="V46" i="2"/>
  <c r="U55" i="2"/>
  <c r="V56" i="2"/>
  <c r="AE91" i="2"/>
  <c r="U106" i="2"/>
  <c r="U108" i="2"/>
  <c r="AD161" i="2"/>
  <c r="U168" i="2"/>
  <c r="V169" i="2"/>
  <c r="U305" i="2"/>
  <c r="AG310" i="2"/>
  <c r="Q310" i="2"/>
  <c r="AD310" i="2"/>
  <c r="AJ319" i="2"/>
  <c r="AG319" i="2"/>
  <c r="AD319" i="2"/>
  <c r="AG326" i="2"/>
  <c r="Q326" i="2"/>
  <c r="Y326" i="2"/>
  <c r="U326" i="2"/>
  <c r="AG346" i="2"/>
  <c r="U346" i="2"/>
  <c r="Q346" i="2"/>
  <c r="AJ346" i="2"/>
  <c r="Y351" i="2"/>
  <c r="U351" i="2"/>
  <c r="AG362" i="2"/>
  <c r="U362" i="2"/>
  <c r="AD362" i="2"/>
  <c r="AG387" i="2"/>
  <c r="Q419" i="2"/>
  <c r="U419" i="2"/>
  <c r="AG419" i="2"/>
  <c r="AD419" i="2"/>
  <c r="AJ443" i="2"/>
  <c r="AG443" i="2"/>
  <c r="AJ599" i="2"/>
  <c r="Y599" i="2"/>
  <c r="U599" i="2"/>
  <c r="Y693" i="2"/>
  <c r="AG693" i="2"/>
  <c r="V930" i="2"/>
  <c r="Z930" i="2"/>
  <c r="AE930" i="2"/>
  <c r="Z25" i="2"/>
  <c r="Z47" i="2"/>
  <c r="AD55" i="2"/>
  <c r="AE108" i="2"/>
  <c r="V128" i="2"/>
  <c r="AG136" i="2"/>
  <c r="AE146" i="2"/>
  <c r="AJ159" i="2"/>
  <c r="AD168" i="2"/>
  <c r="AJ195" i="2"/>
  <c r="Q195" i="2"/>
  <c r="Z208" i="2"/>
  <c r="AK208" i="2"/>
  <c r="AJ225" i="2"/>
  <c r="Q225" i="2"/>
  <c r="AG225" i="2"/>
  <c r="AD225" i="2"/>
  <c r="AK238" i="2"/>
  <c r="V238" i="2"/>
  <c r="R238" i="2"/>
  <c r="AD270" i="2"/>
  <c r="AG305" i="2"/>
  <c r="AG308" i="2"/>
  <c r="Q308" i="2"/>
  <c r="AD308" i="2"/>
  <c r="Y308" i="2"/>
  <c r="U310" i="2"/>
  <c r="Y319" i="2"/>
  <c r="Y346" i="2"/>
  <c r="AJ364" i="2"/>
  <c r="Y379" i="2"/>
  <c r="AD395" i="2"/>
  <c r="Y395" i="2"/>
  <c r="U395" i="2"/>
  <c r="AJ408" i="2"/>
  <c r="U557" i="2"/>
  <c r="AJ557" i="2"/>
  <c r="AG557" i="2"/>
  <c r="R561" i="2"/>
  <c r="AE561" i="2"/>
  <c r="AE652" i="2"/>
  <c r="R652" i="2"/>
  <c r="V652" i="2"/>
  <c r="AK652" i="2"/>
  <c r="U688" i="2"/>
  <c r="Q688" i="2"/>
  <c r="AG688" i="2"/>
  <c r="AD688" i="2"/>
  <c r="Y688" i="2"/>
  <c r="AG692" i="2"/>
  <c r="Y692" i="2"/>
  <c r="U692" i="2"/>
  <c r="Q692" i="2"/>
  <c r="AJ692" i="2"/>
  <c r="AD692" i="2"/>
  <c r="AE810" i="2"/>
  <c r="AK810" i="2"/>
  <c r="AE9" i="2"/>
  <c r="AK22" i="2"/>
  <c r="AE24" i="2"/>
  <c r="AE31" i="2"/>
  <c r="AK44" i="2"/>
  <c r="AE46" i="2"/>
  <c r="AE53" i="2"/>
  <c r="Y76" i="2"/>
  <c r="V78" i="2"/>
  <c r="AE83" i="2"/>
  <c r="AG102" i="2"/>
  <c r="AG134" i="2"/>
  <c r="AG135" i="2"/>
  <c r="Y155" i="2"/>
  <c r="R172" i="2"/>
  <c r="AK172" i="2"/>
  <c r="V172" i="2"/>
  <c r="Z174" i="2"/>
  <c r="Y207" i="2"/>
  <c r="AG207" i="2"/>
  <c r="Y220" i="2"/>
  <c r="V225" i="2"/>
  <c r="R225" i="2"/>
  <c r="AE225" i="2"/>
  <c r="Z225" i="2"/>
  <c r="Z247" i="2"/>
  <c r="Y276" i="2"/>
  <c r="AJ288" i="2"/>
  <c r="AG313" i="2"/>
  <c r="AG316" i="2"/>
  <c r="Q316" i="2"/>
  <c r="AD316" i="2"/>
  <c r="Q331" i="2"/>
  <c r="U331" i="2"/>
  <c r="AJ331" i="2"/>
  <c r="AG331" i="2"/>
  <c r="Y419" i="2"/>
  <c r="AK422" i="2"/>
  <c r="Z422" i="2"/>
  <c r="Y450" i="2"/>
  <c r="AD454" i="2"/>
  <c r="Y454" i="2"/>
  <c r="AJ454" i="2"/>
  <c r="U454" i="2"/>
  <c r="Q454" i="2"/>
  <c r="V462" i="2"/>
  <c r="Z462" i="2"/>
  <c r="AK462" i="2"/>
  <c r="AJ552" i="2"/>
  <c r="Y552" i="2"/>
  <c r="AG552" i="2"/>
  <c r="AK557" i="2"/>
  <c r="R557" i="2"/>
  <c r="AK791" i="2"/>
  <c r="V791" i="2"/>
  <c r="R791" i="2"/>
  <c r="AE791" i="2"/>
  <c r="Z791" i="2"/>
  <c r="AD54" i="2"/>
  <c r="Y65" i="2"/>
  <c r="Y73" i="2"/>
  <c r="AG108" i="2"/>
  <c r="R120" i="2"/>
  <c r="AE120" i="2"/>
  <c r="AG133" i="2"/>
  <c r="AJ149" i="2"/>
  <c r="AD149" i="2"/>
  <c r="Q149" i="2"/>
  <c r="AG168" i="2"/>
  <c r="AG194" i="2"/>
  <c r="Y194" i="2"/>
  <c r="Q206" i="2"/>
  <c r="AG206" i="2"/>
  <c r="AK279" i="2"/>
  <c r="AK316" i="2"/>
  <c r="R316" i="2"/>
  <c r="Z316" i="2"/>
  <c r="AG344" i="2"/>
  <c r="Q344" i="2"/>
  <c r="AD344" i="2"/>
  <c r="Y344" i="2"/>
  <c r="Y529" i="2"/>
  <c r="U529" i="2"/>
  <c r="AG529" i="2"/>
  <c r="AJ529" i="2"/>
  <c r="Q529" i="2"/>
  <c r="AK552" i="2"/>
  <c r="R552" i="2"/>
  <c r="Z552" i="2"/>
  <c r="AE597" i="2"/>
  <c r="Z597" i="2"/>
  <c r="V597" i="2"/>
  <c r="R597" i="2"/>
  <c r="AK597" i="2"/>
  <c r="Q651" i="2"/>
  <c r="U651" i="2"/>
  <c r="AE722" i="2"/>
  <c r="Z722" i="2"/>
  <c r="V722" i="2"/>
  <c r="AK722" i="2"/>
  <c r="AK8" i="2"/>
  <c r="AE17" i="2"/>
  <c r="AE39" i="2"/>
  <c r="Q88" i="2"/>
  <c r="AJ88" i="2"/>
  <c r="Q139" i="2"/>
  <c r="AJ139" i="2"/>
  <c r="U237" i="2"/>
  <c r="Q237" i="2"/>
  <c r="AK244" i="2"/>
  <c r="R244" i="2"/>
  <c r="AE244" i="2"/>
  <c r="AG296" i="2"/>
  <c r="AD296" i="2"/>
  <c r="Y296" i="2"/>
  <c r="U296" i="2"/>
  <c r="AJ305" i="2"/>
  <c r="Q323" i="2"/>
  <c r="U323" i="2"/>
  <c r="AG323" i="2"/>
  <c r="AD323" i="2"/>
  <c r="AD365" i="2"/>
  <c r="AJ365" i="2"/>
  <c r="AG370" i="2"/>
  <c r="AD370" i="2"/>
  <c r="Y370" i="2"/>
  <c r="AG394" i="2"/>
  <c r="U394" i="2"/>
  <c r="AD394" i="2"/>
  <c r="Q435" i="2"/>
  <c r="U435" i="2"/>
  <c r="AJ435" i="2"/>
  <c r="AG435" i="2"/>
  <c r="AD435" i="2"/>
  <c r="AK453" i="2"/>
  <c r="R453" i="2"/>
  <c r="Y485" i="2"/>
  <c r="U485" i="2"/>
  <c r="AJ485" i="2"/>
  <c r="AG485" i="2"/>
  <c r="Y493" i="2"/>
  <c r="AD493" i="2"/>
  <c r="U493" i="2"/>
  <c r="Q493" i="2"/>
  <c r="AG493" i="2"/>
  <c r="AE524" i="2"/>
  <c r="V524" i="2"/>
  <c r="Q540" i="2"/>
  <c r="AD540" i="2"/>
  <c r="Y540" i="2"/>
  <c r="AJ540" i="2"/>
  <c r="Q564" i="2"/>
  <c r="AJ564" i="2"/>
  <c r="Y564" i="2"/>
  <c r="AG564" i="2"/>
  <c r="AD564" i="2"/>
  <c r="AE570" i="2"/>
  <c r="Z570" i="2"/>
  <c r="AK570" i="2"/>
  <c r="R570" i="2"/>
  <c r="V570" i="2"/>
  <c r="AG779" i="2"/>
  <c r="U779" i="2"/>
  <c r="AJ779" i="2"/>
  <c r="AJ258" i="2"/>
  <c r="R374" i="2"/>
  <c r="AE382" i="2"/>
  <c r="AE385" i="2"/>
  <c r="AK385" i="2"/>
  <c r="AG400" i="2"/>
  <c r="AD400" i="2"/>
  <c r="Q400" i="2"/>
  <c r="AD466" i="2"/>
  <c r="Y466" i="2"/>
  <c r="U466" i="2"/>
  <c r="Q499" i="2"/>
  <c r="AG499" i="2"/>
  <c r="AD499" i="2"/>
  <c r="U505" i="2"/>
  <c r="AJ505" i="2"/>
  <c r="AG505" i="2"/>
  <c r="AD505" i="2"/>
  <c r="AE555" i="2"/>
  <c r="Z555" i="2"/>
  <c r="V555" i="2"/>
  <c r="V564" i="2"/>
  <c r="R564" i="2"/>
  <c r="AK655" i="2"/>
  <c r="Z655" i="2"/>
  <c r="V655" i="2"/>
  <c r="AD744" i="2"/>
  <c r="AG744" i="2"/>
  <c r="Q744" i="2"/>
  <c r="AJ744" i="2"/>
  <c r="AD754" i="2"/>
  <c r="Q754" i="2"/>
  <c r="AG754" i="2"/>
  <c r="AJ754" i="2"/>
  <c r="Y754" i="2"/>
  <c r="U754" i="2"/>
  <c r="V781" i="2"/>
  <c r="Z781" i="2"/>
  <c r="AK781" i="2"/>
  <c r="AE781" i="2"/>
  <c r="R888" i="2"/>
  <c r="AE888" i="2"/>
  <c r="Z888" i="2"/>
  <c r="V888" i="2"/>
  <c r="AK888" i="2"/>
  <c r="V905" i="2"/>
  <c r="R905" i="2"/>
  <c r="AK905" i="2"/>
  <c r="Z905" i="2"/>
  <c r="V1060" i="2"/>
  <c r="Z1060" i="2"/>
  <c r="AE1060" i="2"/>
  <c r="AK1060" i="2"/>
  <c r="Q1213" i="2"/>
  <c r="AJ1213" i="2"/>
  <c r="AG1213" i="2"/>
  <c r="Y1213" i="2"/>
  <c r="AE179" i="2"/>
  <c r="AJ254" i="2"/>
  <c r="AK280" i="2"/>
  <c r="AJ353" i="2"/>
  <c r="AE354" i="2"/>
  <c r="U375" i="2"/>
  <c r="AG414" i="2"/>
  <c r="AD414" i="2"/>
  <c r="U414" i="2"/>
  <c r="Q414" i="2"/>
  <c r="AG438" i="2"/>
  <c r="AD438" i="2"/>
  <c r="Q452" i="2"/>
  <c r="V499" i="2"/>
  <c r="R499" i="2"/>
  <c r="Z505" i="2"/>
  <c r="AE505" i="2"/>
  <c r="AJ522" i="2"/>
  <c r="AG522" i="2"/>
  <c r="AD522" i="2"/>
  <c r="AE618" i="2"/>
  <c r="V618" i="2"/>
  <c r="Z618" i="2"/>
  <c r="AK618" i="2"/>
  <c r="Z648" i="2"/>
  <c r="AK648" i="2"/>
  <c r="V678" i="2"/>
  <c r="AK678" i="2"/>
  <c r="AE744" i="2"/>
  <c r="Z744" i="2"/>
  <c r="AE777" i="2"/>
  <c r="Z777" i="2"/>
  <c r="V777" i="2"/>
  <c r="R777" i="2"/>
  <c r="AK777" i="2"/>
  <c r="R897" i="2"/>
  <c r="V897" i="2"/>
  <c r="AK897" i="2"/>
  <c r="Y976" i="2"/>
  <c r="AJ976" i="2"/>
  <c r="U976" i="2"/>
  <c r="Q976" i="2"/>
  <c r="AK982" i="2"/>
  <c r="V982" i="2"/>
  <c r="R982" i="2"/>
  <c r="AE982" i="2"/>
  <c r="Z982" i="2"/>
  <c r="AJ1044" i="2"/>
  <c r="AG1044" i="2"/>
  <c r="AD1044" i="2"/>
  <c r="Y1044" i="2"/>
  <c r="AG384" i="2"/>
  <c r="Y384" i="2"/>
  <c r="AJ384" i="2"/>
  <c r="AG398" i="2"/>
  <c r="AD398" i="2"/>
  <c r="AG424" i="2"/>
  <c r="Q424" i="2"/>
  <c r="AK438" i="2"/>
  <c r="R438" i="2"/>
  <c r="AG521" i="2"/>
  <c r="AD521" i="2"/>
  <c r="Z878" i="2"/>
  <c r="V878" i="2"/>
  <c r="AK878" i="2"/>
  <c r="AE878" i="2"/>
  <c r="AE976" i="2"/>
  <c r="V976" i="2"/>
  <c r="AK976" i="2"/>
  <c r="Z976" i="2"/>
  <c r="AK402" i="2"/>
  <c r="Z402" i="2"/>
  <c r="AK424" i="2"/>
  <c r="Z424" i="2"/>
  <c r="AD446" i="2"/>
  <c r="AG446" i="2"/>
  <c r="Y446" i="2"/>
  <c r="Q513" i="2"/>
  <c r="Y513" i="2"/>
  <c r="AJ513" i="2"/>
  <c r="AG513" i="2"/>
  <c r="V554" i="2"/>
  <c r="R554" i="2"/>
  <c r="Z619" i="2"/>
  <c r="AJ630" i="2"/>
  <c r="U630" i="2"/>
  <c r="Q630" i="2"/>
  <c r="AK654" i="2"/>
  <c r="V654" i="2"/>
  <c r="R654" i="2"/>
  <c r="V700" i="2"/>
  <c r="R700" i="2"/>
  <c r="AJ768" i="2"/>
  <c r="AD768" i="2"/>
  <c r="AG247" i="2"/>
  <c r="U294" i="2"/>
  <c r="AJ360" i="2"/>
  <c r="AE377" i="2"/>
  <c r="AG382" i="2"/>
  <c r="U382" i="2"/>
  <c r="AJ382" i="2"/>
  <c r="R385" i="2"/>
  <c r="R426" i="2"/>
  <c r="U452" i="2"/>
  <c r="Z469" i="2"/>
  <c r="U541" i="2"/>
  <c r="Q541" i="2"/>
  <c r="Y541" i="2"/>
  <c r="Y547" i="2"/>
  <c r="U547" i="2"/>
  <c r="AD547" i="2"/>
  <c r="R555" i="2"/>
  <c r="AJ580" i="2"/>
  <c r="Q580" i="2"/>
  <c r="AD580" i="2"/>
  <c r="Y580" i="2"/>
  <c r="U617" i="2"/>
  <c r="Q617" i="2"/>
  <c r="AD617" i="2"/>
  <c r="R655" i="2"/>
  <c r="AD682" i="2"/>
  <c r="AJ682" i="2"/>
  <c r="Y682" i="2"/>
  <c r="U705" i="2"/>
  <c r="AG705" i="2"/>
  <c r="Y705" i="2"/>
  <c r="Q217" i="2"/>
  <c r="R234" i="2"/>
  <c r="R260" i="2"/>
  <c r="R268" i="2"/>
  <c r="R272" i="2"/>
  <c r="R278" i="2"/>
  <c r="Q286" i="2"/>
  <c r="AJ371" i="2"/>
  <c r="AG371" i="2"/>
  <c r="Q372" i="2"/>
  <c r="AG396" i="2"/>
  <c r="AD396" i="2"/>
  <c r="Q397" i="2"/>
  <c r="AG397" i="2"/>
  <c r="AG422" i="2"/>
  <c r="AD422" i="2"/>
  <c r="Q422" i="2"/>
  <c r="AK447" i="2"/>
  <c r="AE447" i="2"/>
  <c r="AD462" i="2"/>
  <c r="U462" i="2"/>
  <c r="Q466" i="2"/>
  <c r="Q497" i="2"/>
  <c r="AD497" i="2"/>
  <c r="Y497" i="2"/>
  <c r="Q505" i="2"/>
  <c r="AE512" i="2"/>
  <c r="V512" i="2"/>
  <c r="AK541" i="2"/>
  <c r="Z541" i="2"/>
  <c r="V541" i="2"/>
  <c r="Q695" i="2"/>
  <c r="AG695" i="2"/>
  <c r="Y695" i="2"/>
  <c r="AG722" i="2"/>
  <c r="AD722" i="2"/>
  <c r="Q722" i="2"/>
  <c r="Y722" i="2"/>
  <c r="U722" i="2"/>
  <c r="AJ722" i="2"/>
  <c r="Q723" i="2"/>
  <c r="U734" i="2"/>
  <c r="Y734" i="2"/>
  <c r="AG734" i="2"/>
  <c r="R781" i="2"/>
  <c r="R882" i="2"/>
  <c r="AE882" i="2"/>
  <c r="Z882" i="2"/>
  <c r="AK882" i="2"/>
  <c r="V882" i="2"/>
  <c r="AJ930" i="2"/>
  <c r="AG930" i="2"/>
  <c r="U930" i="2"/>
  <c r="Q930" i="2"/>
  <c r="Y930" i="2"/>
  <c r="AK179" i="2"/>
  <c r="U217" i="2"/>
  <c r="R257" i="2"/>
  <c r="Y294" i="2"/>
  <c r="U372" i="2"/>
  <c r="AD375" i="2"/>
  <c r="Q384" i="2"/>
  <c r="Q398" i="2"/>
  <c r="R424" i="2"/>
  <c r="AG434" i="2"/>
  <c r="Q434" i="2"/>
  <c r="Y452" i="2"/>
  <c r="AD463" i="2"/>
  <c r="Q463" i="2"/>
  <c r="AJ477" i="2"/>
  <c r="U477" i="2"/>
  <c r="Q477" i="2"/>
  <c r="Z503" i="2"/>
  <c r="R503" i="2"/>
  <c r="AE503" i="2"/>
  <c r="Q521" i="2"/>
  <c r="U534" i="2"/>
  <c r="Y581" i="2"/>
  <c r="AJ605" i="2"/>
  <c r="AD605" i="2"/>
  <c r="U647" i="2"/>
  <c r="AJ647" i="2"/>
  <c r="AG647" i="2"/>
  <c r="Y678" i="2"/>
  <c r="V776" i="2"/>
  <c r="AK776" i="2"/>
  <c r="AK780" i="2"/>
  <c r="Z780" i="2"/>
  <c r="Y834" i="2"/>
  <c r="U834" i="2"/>
  <c r="Q834" i="2"/>
  <c r="V842" i="2"/>
  <c r="AK842" i="2"/>
  <c r="AE842" i="2"/>
  <c r="Z842" i="2"/>
  <c r="R842" i="2"/>
  <c r="U863" i="2"/>
  <c r="Q863" i="2"/>
  <c r="U546" i="2"/>
  <c r="AJ546" i="2"/>
  <c r="Y609" i="2"/>
  <c r="AD609" i="2"/>
  <c r="U609" i="2"/>
  <c r="AG609" i="2"/>
  <c r="AJ624" i="2"/>
  <c r="Q624" i="2"/>
  <c r="AK647" i="2"/>
  <c r="Z647" i="2"/>
  <c r="V647" i="2"/>
  <c r="R647" i="2"/>
  <c r="AE647" i="2"/>
  <c r="AG663" i="2"/>
  <c r="Q663" i="2"/>
  <c r="AD663" i="2"/>
  <c r="Y663" i="2"/>
  <c r="U663" i="2"/>
  <c r="Z677" i="2"/>
  <c r="AK677" i="2"/>
  <c r="R677" i="2"/>
  <c r="AJ767" i="2"/>
  <c r="AD767" i="2"/>
  <c r="AG767" i="2"/>
  <c r="Y767" i="2"/>
  <c r="Q767" i="2"/>
  <c r="Y886" i="2"/>
  <c r="Q886" i="2"/>
  <c r="AD886" i="2"/>
  <c r="U886" i="2"/>
  <c r="AJ886" i="2"/>
  <c r="AG886" i="2"/>
  <c r="Z211" i="2"/>
  <c r="Z262" i="2"/>
  <c r="AE278" i="2"/>
  <c r="AD279" i="2"/>
  <c r="U361" i="2"/>
  <c r="AD372" i="2"/>
  <c r="AG376" i="2"/>
  <c r="U376" i="2"/>
  <c r="AD376" i="2"/>
  <c r="AD384" i="2"/>
  <c r="Q389" i="2"/>
  <c r="AJ389" i="2"/>
  <c r="Y421" i="2"/>
  <c r="AE426" i="2"/>
  <c r="Y462" i="2"/>
  <c r="AJ466" i="2"/>
  <c r="Y477" i="2"/>
  <c r="AJ499" i="2"/>
  <c r="Y501" i="2"/>
  <c r="U501" i="2"/>
  <c r="AJ501" i="2"/>
  <c r="AD501" i="2"/>
  <c r="AK505" i="2"/>
  <c r="AD513" i="2"/>
  <c r="Q525" i="2"/>
  <c r="AG525" i="2"/>
  <c r="AJ525" i="2"/>
  <c r="U525" i="2"/>
  <c r="AK531" i="2"/>
  <c r="V531" i="2"/>
  <c r="AE531" i="2"/>
  <c r="Y565" i="2"/>
  <c r="Q565" i="2"/>
  <c r="AD565" i="2"/>
  <c r="Q627" i="2"/>
  <c r="Y627" i="2"/>
  <c r="V703" i="2"/>
  <c r="AK703" i="2"/>
  <c r="AE703" i="2"/>
  <c r="Z703" i="2"/>
  <c r="AK744" i="2"/>
  <c r="AD930" i="2"/>
  <c r="U983" i="2"/>
  <c r="Q983" i="2"/>
  <c r="AJ983" i="2"/>
  <c r="AG1194" i="2"/>
  <c r="Q1194" i="2"/>
  <c r="AJ1194" i="2"/>
  <c r="AD1194" i="2"/>
  <c r="Y1194" i="2"/>
  <c r="U1194" i="2"/>
  <c r="R1231" i="2"/>
  <c r="AE1231" i="2"/>
  <c r="AE217" i="2"/>
  <c r="AD218" i="2"/>
  <c r="U247" i="2"/>
  <c r="Y249" i="2"/>
  <c r="Y266" i="2"/>
  <c r="AE268" i="2"/>
  <c r="AD284" i="2"/>
  <c r="AJ294" i="2"/>
  <c r="AJ306" i="2"/>
  <c r="U334" i="2"/>
  <c r="V338" i="2"/>
  <c r="Y352" i="2"/>
  <c r="U356" i="2"/>
  <c r="Y358" i="2"/>
  <c r="Y360" i="2"/>
  <c r="Y382" i="2"/>
  <c r="AG406" i="2"/>
  <c r="AD406" i="2"/>
  <c r="AG430" i="2"/>
  <c r="AD430" i="2"/>
  <c r="Q430" i="2"/>
  <c r="Y430" i="2"/>
  <c r="AE438" i="2"/>
  <c r="Q441" i="2"/>
  <c r="U441" i="2"/>
  <c r="AJ441" i="2"/>
  <c r="AJ452" i="2"/>
  <c r="Y457" i="2"/>
  <c r="AJ457" i="2"/>
  <c r="Y463" i="2"/>
  <c r="Q469" i="2"/>
  <c r="AD469" i="2"/>
  <c r="AK499" i="2"/>
  <c r="AE525" i="2"/>
  <c r="V525" i="2"/>
  <c r="AG558" i="2"/>
  <c r="AG630" i="2"/>
  <c r="Y666" i="2"/>
  <c r="Q666" i="2"/>
  <c r="AG666" i="2"/>
  <c r="AD666" i="2"/>
  <c r="U666" i="2"/>
  <c r="AJ666" i="2"/>
  <c r="R689" i="2"/>
  <c r="Z689" i="2"/>
  <c r="AK689" i="2"/>
  <c r="AE689" i="2"/>
  <c r="AD765" i="2"/>
  <c r="Q765" i="2"/>
  <c r="AG765" i="2"/>
  <c r="V998" i="2"/>
  <c r="AE998" i="2"/>
  <c r="Z998" i="2"/>
  <c r="R998" i="2"/>
  <c r="U1070" i="2"/>
  <c r="Y1070" i="2"/>
  <c r="AD1070" i="2"/>
  <c r="AJ1070" i="2"/>
  <c r="Q1070" i="2"/>
  <c r="AG1070" i="2"/>
  <c r="AD256" i="2"/>
  <c r="AD286" i="2"/>
  <c r="Z382" i="2"/>
  <c r="AG388" i="2"/>
  <c r="Y388" i="2"/>
  <c r="Y396" i="2"/>
  <c r="AD397" i="2"/>
  <c r="AE400" i="2"/>
  <c r="AG401" i="2"/>
  <c r="AJ414" i="2"/>
  <c r="Y422" i="2"/>
  <c r="AK430" i="2"/>
  <c r="R430" i="2"/>
  <c r="AE430" i="2"/>
  <c r="AD458" i="2"/>
  <c r="Q458" i="2"/>
  <c r="AG458" i="2"/>
  <c r="V468" i="2"/>
  <c r="AE468" i="2"/>
  <c r="AD470" i="2"/>
  <c r="AJ470" i="2"/>
  <c r="AD474" i="2"/>
  <c r="AJ474" i="2"/>
  <c r="U474" i="2"/>
  <c r="Q474" i="2"/>
  <c r="AG487" i="2"/>
  <c r="Y546" i="2"/>
  <c r="AK588" i="2"/>
  <c r="Z588" i="2"/>
  <c r="AK675" i="2"/>
  <c r="V675" i="2"/>
  <c r="AE675" i="2"/>
  <c r="Z675" i="2"/>
  <c r="R675" i="2"/>
  <c r="AK700" i="2"/>
  <c r="AK718" i="2"/>
  <c r="R718" i="2"/>
  <c r="AE765" i="2"/>
  <c r="R765" i="2"/>
  <c r="Z765" i="2"/>
  <c r="V765" i="2"/>
  <c r="Y871" i="2"/>
  <c r="U871" i="2"/>
  <c r="AD871" i="2"/>
  <c r="Q871" i="2"/>
  <c r="U914" i="2"/>
  <c r="AJ914" i="2"/>
  <c r="Y914" i="2"/>
  <c r="Q914" i="2"/>
  <c r="AG914" i="2"/>
  <c r="AD914" i="2"/>
  <c r="AD424" i="2"/>
  <c r="AK458" i="2"/>
  <c r="R458" i="2"/>
  <c r="AE458" i="2"/>
  <c r="Y481" i="2"/>
  <c r="U481" i="2"/>
  <c r="AJ483" i="2"/>
  <c r="Y483" i="2"/>
  <c r="U483" i="2"/>
  <c r="Q483" i="2"/>
  <c r="AJ506" i="2"/>
  <c r="U506" i="2"/>
  <c r="Q506" i="2"/>
  <c r="AG506" i="2"/>
  <c r="AD506" i="2"/>
  <c r="Z544" i="2"/>
  <c r="V544" i="2"/>
  <c r="R544" i="2"/>
  <c r="AE544" i="2"/>
  <c r="AD745" i="2"/>
  <c r="AJ745" i="2"/>
  <c r="U745" i="2"/>
  <c r="Q745" i="2"/>
  <c r="Z750" i="2"/>
  <c r="AK750" i="2"/>
  <c r="R750" i="2"/>
  <c r="AD759" i="2"/>
  <c r="Y759" i="2"/>
  <c r="U759" i="2"/>
  <c r="Q759" i="2"/>
  <c r="Y790" i="2"/>
  <c r="Q790" i="2"/>
  <c r="AG790" i="2"/>
  <c r="U790" i="2"/>
  <c r="V840" i="2"/>
  <c r="Z840" i="2"/>
  <c r="AK861" i="2"/>
  <c r="V861" i="2"/>
  <c r="AK871" i="2"/>
  <c r="AE871" i="2"/>
  <c r="R871" i="2"/>
  <c r="V914" i="2"/>
  <c r="AK914" i="2"/>
  <c r="R914" i="2"/>
  <c r="AE914" i="2"/>
  <c r="AE594" i="2"/>
  <c r="V594" i="2"/>
  <c r="R594" i="2"/>
  <c r="Y623" i="2"/>
  <c r="AD623" i="2"/>
  <c r="AE658" i="2"/>
  <c r="AK658" i="2"/>
  <c r="V658" i="2"/>
  <c r="R658" i="2"/>
  <c r="AK695" i="2"/>
  <c r="V695" i="2"/>
  <c r="Z695" i="2"/>
  <c r="V705" i="2"/>
  <c r="AK705" i="2"/>
  <c r="AD711" i="2"/>
  <c r="AG711" i="2"/>
  <c r="Y711" i="2"/>
  <c r="AE712" i="2"/>
  <c r="Z712" i="2"/>
  <c r="AK712" i="2"/>
  <c r="Z799" i="2"/>
  <c r="AK799" i="2"/>
  <c r="AE799" i="2"/>
  <c r="AE805" i="2"/>
  <c r="R805" i="2"/>
  <c r="AK805" i="2"/>
  <c r="Z805" i="2"/>
  <c r="V805" i="2"/>
  <c r="U866" i="2"/>
  <c r="AG866" i="2"/>
  <c r="U890" i="2"/>
  <c r="AD890" i="2"/>
  <c r="AJ890" i="2"/>
  <c r="R929" i="2"/>
  <c r="AE929" i="2"/>
  <c r="Q1126" i="2"/>
  <c r="Y1126" i="2"/>
  <c r="AD1126" i="2"/>
  <c r="Z1213" i="2"/>
  <c r="AE1213" i="2"/>
  <c r="V1213" i="2"/>
  <c r="AG1257" i="2"/>
  <c r="Y1257" i="2"/>
  <c r="AD1257" i="2"/>
  <c r="U416" i="2"/>
  <c r="AD448" i="2"/>
  <c r="AG448" i="2"/>
  <c r="AK519" i="2"/>
  <c r="R523" i="2"/>
  <c r="AE523" i="2"/>
  <c r="R553" i="2"/>
  <c r="U560" i="2"/>
  <c r="Q560" i="2"/>
  <c r="V563" i="2"/>
  <c r="Q586" i="2"/>
  <c r="AJ613" i="2"/>
  <c r="AG613" i="2"/>
  <c r="AD613" i="2"/>
  <c r="Y613" i="2"/>
  <c r="AD657" i="2"/>
  <c r="AJ657" i="2"/>
  <c r="U657" i="2"/>
  <c r="AD674" i="2"/>
  <c r="U674" i="2"/>
  <c r="Y674" i="2"/>
  <c r="Q699" i="2"/>
  <c r="AD699" i="2"/>
  <c r="V706" i="2"/>
  <c r="AJ724" i="2"/>
  <c r="U724" i="2"/>
  <c r="Y724" i="2"/>
  <c r="AG724" i="2"/>
  <c r="AD724" i="2"/>
  <c r="Y742" i="2"/>
  <c r="U742" i="2"/>
  <c r="AE747" i="2"/>
  <c r="AK747" i="2"/>
  <c r="R747" i="2"/>
  <c r="Z747" i="2"/>
  <c r="AJ764" i="2"/>
  <c r="AD764" i="2"/>
  <c r="Q764" i="2"/>
  <c r="AG764" i="2"/>
  <c r="V866" i="2"/>
  <c r="AK866" i="2"/>
  <c r="AE866" i="2"/>
  <c r="R866" i="2"/>
  <c r="R875" i="2"/>
  <c r="AK875" i="2"/>
  <c r="AE875" i="2"/>
  <c r="R890" i="2"/>
  <c r="AE890" i="2"/>
  <c r="Z890" i="2"/>
  <c r="AK890" i="2"/>
  <c r="R896" i="2"/>
  <c r="AG1099" i="2"/>
  <c r="U1099" i="2"/>
  <c r="Q1099" i="2"/>
  <c r="AD1099" i="2"/>
  <c r="Y1099" i="2"/>
  <c r="AD603" i="2"/>
  <c r="Y603" i="2"/>
  <c r="AK635" i="2"/>
  <c r="Z635" i="2"/>
  <c r="AE657" i="2"/>
  <c r="V657" i="2"/>
  <c r="R657" i="2"/>
  <c r="AE679" i="2"/>
  <c r="Z679" i="2"/>
  <c r="AK679" i="2"/>
  <c r="AJ694" i="2"/>
  <c r="AG694" i="2"/>
  <c r="Y694" i="2"/>
  <c r="V839" i="2"/>
  <c r="R839" i="2"/>
  <c r="AE839" i="2"/>
  <c r="AK839" i="2"/>
  <c r="Z1217" i="2"/>
  <c r="V1217" i="2"/>
  <c r="R1217" i="2"/>
  <c r="AE1217" i="2"/>
  <c r="V583" i="2"/>
  <c r="AE583" i="2"/>
  <c r="AG621" i="2"/>
  <c r="U621" i="2"/>
  <c r="Q621" i="2"/>
  <c r="AJ643" i="2"/>
  <c r="AD643" i="2"/>
  <c r="AE694" i="2"/>
  <c r="AK694" i="2"/>
  <c r="V694" i="2"/>
  <c r="AG704" i="2"/>
  <c r="U704" i="2"/>
  <c r="AJ704" i="2"/>
  <c r="AD704" i="2"/>
  <c r="Y717" i="2"/>
  <c r="U717" i="2"/>
  <c r="AE786" i="2"/>
  <c r="AK786" i="2"/>
  <c r="R786" i="2"/>
  <c r="AK895" i="2"/>
  <c r="V895" i="2"/>
  <c r="R895" i="2"/>
  <c r="AE895" i="2"/>
  <c r="Z895" i="2"/>
  <c r="Y1048" i="2"/>
  <c r="AJ1048" i="2"/>
  <c r="AG1048" i="2"/>
  <c r="V1067" i="2"/>
  <c r="Z1067" i="2"/>
  <c r="AE1067" i="2"/>
  <c r="AJ374" i="2"/>
  <c r="AJ386" i="2"/>
  <c r="AJ402" i="2"/>
  <c r="Y411" i="2"/>
  <c r="Y436" i="2"/>
  <c r="AJ515" i="2"/>
  <c r="U549" i="2"/>
  <c r="AG549" i="2"/>
  <c r="Y573" i="2"/>
  <c r="AJ591" i="2"/>
  <c r="U591" i="2"/>
  <c r="Q591" i="2"/>
  <c r="R630" i="2"/>
  <c r="V643" i="2"/>
  <c r="Z643" i="2"/>
  <c r="Q684" i="2"/>
  <c r="Y684" i="2"/>
  <c r="U684" i="2"/>
  <c r="AE704" i="2"/>
  <c r="V704" i="2"/>
  <c r="R705" i="2"/>
  <c r="AG738" i="2"/>
  <c r="Y738" i="2"/>
  <c r="R799" i="2"/>
  <c r="AK865" i="2"/>
  <c r="V865" i="2"/>
  <c r="AE865" i="2"/>
  <c r="Z865" i="2"/>
  <c r="Q883" i="2"/>
  <c r="AD883" i="2"/>
  <c r="Y883" i="2"/>
  <c r="AE925" i="2"/>
  <c r="Z925" i="2"/>
  <c r="AE1005" i="2"/>
  <c r="V1005" i="2"/>
  <c r="AK1005" i="2"/>
  <c r="R1005" i="2"/>
  <c r="U1083" i="2"/>
  <c r="Y1083" i="2"/>
  <c r="AG1083" i="2"/>
  <c r="AD1083" i="2"/>
  <c r="Z1098" i="2"/>
  <c r="R1098" i="2"/>
  <c r="AE1098" i="2"/>
  <c r="AK515" i="2"/>
  <c r="Q523" i="2"/>
  <c r="Q569" i="2"/>
  <c r="Z602" i="2"/>
  <c r="V602" i="2"/>
  <c r="V605" i="2"/>
  <c r="AK656" i="2"/>
  <c r="Z656" i="2"/>
  <c r="R656" i="2"/>
  <c r="Y673" i="2"/>
  <c r="U673" i="2"/>
  <c r="Q673" i="2"/>
  <c r="Q711" i="2"/>
  <c r="R712" i="2"/>
  <c r="Y746" i="2"/>
  <c r="U746" i="2"/>
  <c r="AJ746" i="2"/>
  <c r="AD746" i="2"/>
  <c r="Q753" i="2"/>
  <c r="AD456" i="2"/>
  <c r="Y456" i="2"/>
  <c r="AJ468" i="2"/>
  <c r="Q548" i="2"/>
  <c r="AG548" i="2"/>
  <c r="Z553" i="2"/>
  <c r="AG600" i="2"/>
  <c r="Y600" i="2"/>
  <c r="AD610" i="2"/>
  <c r="AJ610" i="2"/>
  <c r="U628" i="2"/>
  <c r="AJ628" i="2"/>
  <c r="Y628" i="2"/>
  <c r="Q628" i="2"/>
  <c r="Z658" i="2"/>
  <c r="R679" i="2"/>
  <c r="Z752" i="2"/>
  <c r="V752" i="2"/>
  <c r="V799" i="2"/>
  <c r="V874" i="2"/>
  <c r="AE874" i="2"/>
  <c r="AK874" i="2"/>
  <c r="R874" i="2"/>
  <c r="V890" i="2"/>
  <c r="V893" i="2"/>
  <c r="AK893" i="2"/>
  <c r="Y921" i="2"/>
  <c r="AD921" i="2"/>
  <c r="AG921" i="2"/>
  <c r="U444" i="2"/>
  <c r="AJ482" i="2"/>
  <c r="Z487" i="2"/>
  <c r="AE487" i="2"/>
  <c r="Z510" i="2"/>
  <c r="AD523" i="2"/>
  <c r="Y548" i="2"/>
  <c r="AE569" i="2"/>
  <c r="AG593" i="2"/>
  <c r="AG603" i="2"/>
  <c r="Q625" i="2"/>
  <c r="AJ625" i="2"/>
  <c r="Y625" i="2"/>
  <c r="U625" i="2"/>
  <c r="AG657" i="2"/>
  <c r="AK676" i="2"/>
  <c r="Z676" i="2"/>
  <c r="AK681" i="2"/>
  <c r="V681" i="2"/>
  <c r="AE681" i="2"/>
  <c r="R681" i="2"/>
  <c r="Q696" i="2"/>
  <c r="AJ696" i="2"/>
  <c r="Y696" i="2"/>
  <c r="AG696" i="2"/>
  <c r="AD696" i="2"/>
  <c r="AE752" i="2"/>
  <c r="AD792" i="2"/>
  <c r="Z809" i="2"/>
  <c r="AK809" i="2"/>
  <c r="AE809" i="2"/>
  <c r="AD820" i="2"/>
  <c r="AG823" i="2"/>
  <c r="U823" i="2"/>
  <c r="R886" i="2"/>
  <c r="AE886" i="2"/>
  <c r="Z886" i="2"/>
  <c r="V886" i="2"/>
  <c r="V1062" i="2"/>
  <c r="R1062" i="2"/>
  <c r="AE1062" i="2"/>
  <c r="AK1062" i="2"/>
  <c r="AE449" i="2"/>
  <c r="Y467" i="2"/>
  <c r="AE534" i="2"/>
  <c r="AJ560" i="2"/>
  <c r="R573" i="2"/>
  <c r="AE573" i="2"/>
  <c r="AD584" i="2"/>
  <c r="AD591" i="2"/>
  <c r="AD592" i="2"/>
  <c r="AD612" i="2"/>
  <c r="AD614" i="2"/>
  <c r="AD621" i="2"/>
  <c r="AD659" i="2"/>
  <c r="AJ659" i="2"/>
  <c r="U659" i="2"/>
  <c r="AD673" i="2"/>
  <c r="AJ674" i="2"/>
  <c r="AG684" i="2"/>
  <c r="AK687" i="2"/>
  <c r="AE687" i="2"/>
  <c r="V687" i="2"/>
  <c r="AK701" i="2"/>
  <c r="R701" i="2"/>
  <c r="Z701" i="2"/>
  <c r="AJ742" i="2"/>
  <c r="AJ753" i="2"/>
  <c r="Y844" i="2"/>
  <c r="U844" i="2"/>
  <c r="AG844" i="2"/>
  <c r="Q844" i="2"/>
  <c r="AJ844" i="2"/>
  <c r="Z854" i="2"/>
  <c r="V854" i="2"/>
  <c r="AK854" i="2"/>
  <c r="AE854" i="2"/>
  <c r="R854" i="2"/>
  <c r="V872" i="2"/>
  <c r="AK872" i="2"/>
  <c r="AE872" i="2"/>
  <c r="Z876" i="2"/>
  <c r="AK876" i="2"/>
  <c r="AE876" i="2"/>
  <c r="V876" i="2"/>
  <c r="U1041" i="2"/>
  <c r="Y1041" i="2"/>
  <c r="AD1041" i="2"/>
  <c r="AE1089" i="2"/>
  <c r="V1089" i="2"/>
  <c r="Z1089" i="2"/>
  <c r="AK1147" i="2"/>
  <c r="R1147" i="2"/>
  <c r="AJ1164" i="2"/>
  <c r="Q1164" i="2"/>
  <c r="AG1164" i="2"/>
  <c r="AD1164" i="2"/>
  <c r="U1164" i="2"/>
  <c r="Y1164" i="2"/>
  <c r="Q1242" i="2"/>
  <c r="Y1242" i="2"/>
  <c r="AJ1242" i="2"/>
  <c r="U1242" i="2"/>
  <c r="AG1242" i="2"/>
  <c r="AD1242" i="2"/>
  <c r="Y374" i="2"/>
  <c r="AD404" i="2"/>
  <c r="AJ492" i="2"/>
  <c r="Y492" i="2"/>
  <c r="Y512" i="2"/>
  <c r="AG569" i="2"/>
  <c r="AD576" i="2"/>
  <c r="Y576" i="2"/>
  <c r="Z577" i="2"/>
  <c r="V577" i="2"/>
  <c r="AE606" i="2"/>
  <c r="Z606" i="2"/>
  <c r="AG611" i="2"/>
  <c r="AD628" i="2"/>
  <c r="AE643" i="2"/>
  <c r="Q646" i="2"/>
  <c r="Y646" i="2"/>
  <c r="AJ646" i="2"/>
  <c r="AG646" i="2"/>
  <c r="AD646" i="2"/>
  <c r="Z653" i="2"/>
  <c r="AK653" i="2"/>
  <c r="V653" i="2"/>
  <c r="Z659" i="2"/>
  <c r="V659" i="2"/>
  <c r="Q664" i="2"/>
  <c r="AG664" i="2"/>
  <c r="AD664" i="2"/>
  <c r="Y664" i="2"/>
  <c r="AJ668" i="2"/>
  <c r="AK674" i="2"/>
  <c r="AJ711" i="2"/>
  <c r="AJ717" i="2"/>
  <c r="AE755" i="2"/>
  <c r="R755" i="2"/>
  <c r="AK755" i="2"/>
  <c r="Q766" i="2"/>
  <c r="Y766" i="2"/>
  <c r="AG775" i="2"/>
  <c r="Q775" i="2"/>
  <c r="Z800" i="2"/>
  <c r="V800" i="2"/>
  <c r="AK800" i="2"/>
  <c r="R844" i="2"/>
  <c r="AE844" i="2"/>
  <c r="AK844" i="2"/>
  <c r="Z844" i="2"/>
  <c r="AK867" i="2"/>
  <c r="V867" i="2"/>
  <c r="U896" i="2"/>
  <c r="AG896" i="2"/>
  <c r="AD896" i="2"/>
  <c r="Y896" i="2"/>
  <c r="AJ896" i="2"/>
  <c r="AE910" i="2"/>
  <c r="Z910" i="2"/>
  <c r="R1041" i="2"/>
  <c r="Z1041" i="2"/>
  <c r="V1041" i="2"/>
  <c r="AK1041" i="2"/>
  <c r="AE1041" i="2"/>
  <c r="Z1085" i="2"/>
  <c r="R1085" i="2"/>
  <c r="V553" i="2"/>
  <c r="AE553" i="2"/>
  <c r="AJ554" i="2"/>
  <c r="Q554" i="2"/>
  <c r="AJ562" i="2"/>
  <c r="U562" i="2"/>
  <c r="AK563" i="2"/>
  <c r="R563" i="2"/>
  <c r="AJ603" i="2"/>
  <c r="AK657" i="2"/>
  <c r="AJ686" i="2"/>
  <c r="Q686" i="2"/>
  <c r="AD686" i="2"/>
  <c r="U686" i="2"/>
  <c r="AE706" i="2"/>
  <c r="R706" i="2"/>
  <c r="Z788" i="2"/>
  <c r="AE788" i="2"/>
  <c r="V848" i="2"/>
  <c r="AK848" i="2"/>
  <c r="AE848" i="2"/>
  <c r="Z848" i="2"/>
  <c r="R848" i="2"/>
  <c r="U880" i="2"/>
  <c r="AG880" i="2"/>
  <c r="AD880" i="2"/>
  <c r="V896" i="2"/>
  <c r="AE896" i="2"/>
  <c r="AK896" i="2"/>
  <c r="AD904" i="2"/>
  <c r="AJ904" i="2"/>
  <c r="U904" i="2"/>
  <c r="Q904" i="2"/>
  <c r="AG904" i="2"/>
  <c r="Y904" i="2"/>
  <c r="U982" i="2"/>
  <c r="AG982" i="2"/>
  <c r="AD982" i="2"/>
  <c r="AJ982" i="2"/>
  <c r="Y982" i="2"/>
  <c r="AJ1069" i="2"/>
  <c r="AD1069" i="2"/>
  <c r="AG1069" i="2"/>
  <c r="Q1069" i="2"/>
  <c r="Y1069" i="2"/>
  <c r="Q1116" i="2"/>
  <c r="Y1116" i="2"/>
  <c r="AJ1116" i="2"/>
  <c r="AG1116" i="2"/>
  <c r="AK621" i="2"/>
  <c r="Y629" i="2"/>
  <c r="Q629" i="2"/>
  <c r="AK673" i="2"/>
  <c r="V673" i="2"/>
  <c r="AJ681" i="2"/>
  <c r="R699" i="2"/>
  <c r="AE699" i="2"/>
  <c r="AK742" i="2"/>
  <c r="Z742" i="2"/>
  <c r="AJ786" i="2"/>
  <c r="U786" i="2"/>
  <c r="AK787" i="2"/>
  <c r="V787" i="2"/>
  <c r="AJ795" i="2"/>
  <c r="R880" i="2"/>
  <c r="AE880" i="2"/>
  <c r="Q900" i="2"/>
  <c r="Y900" i="2"/>
  <c r="Z1003" i="2"/>
  <c r="AE1003" i="2"/>
  <c r="R1003" i="2"/>
  <c r="V1003" i="2"/>
  <c r="AK1009" i="2"/>
  <c r="V1009" i="2"/>
  <c r="AG749" i="2"/>
  <c r="U749" i="2"/>
  <c r="R797" i="2"/>
  <c r="AE797" i="2"/>
  <c r="Z797" i="2"/>
  <c r="V823" i="2"/>
  <c r="R823" i="2"/>
  <c r="AK858" i="2"/>
  <c r="V858" i="2"/>
  <c r="R858" i="2"/>
  <c r="V892" i="2"/>
  <c r="AK892" i="2"/>
  <c r="AE892" i="2"/>
  <c r="AG944" i="2"/>
  <c r="Q944" i="2"/>
  <c r="Y944" i="2"/>
  <c r="AK948" i="2"/>
  <c r="V948" i="2"/>
  <c r="Z948" i="2"/>
  <c r="R948" i="2"/>
  <c r="AJ997" i="2"/>
  <c r="AD997" i="2"/>
  <c r="AG1058" i="2"/>
  <c r="AD1058" i="2"/>
  <c r="Y1058" i="2"/>
  <c r="V1083" i="2"/>
  <c r="Z1083" i="2"/>
  <c r="Z1092" i="2"/>
  <c r="R1092" i="2"/>
  <c r="AE1092" i="2"/>
  <c r="V1092" i="2"/>
  <c r="AK1092" i="2"/>
  <c r="AK1114" i="2"/>
  <c r="V1114" i="2"/>
  <c r="R1114" i="2"/>
  <c r="AE1114" i="2"/>
  <c r="Z1114" i="2"/>
  <c r="AD1192" i="2"/>
  <c r="Q1192" i="2"/>
  <c r="AJ1192" i="2"/>
  <c r="Y1192" i="2"/>
  <c r="U1192" i="2"/>
  <c r="Q1212" i="2"/>
  <c r="AD1212" i="2"/>
  <c r="U1212" i="2"/>
  <c r="AJ1212" i="2"/>
  <c r="AG1212" i="2"/>
  <c r="Z1234" i="2"/>
  <c r="V1234" i="2"/>
  <c r="AE1234" i="2"/>
  <c r="AD771" i="2"/>
  <c r="Q771" i="2"/>
  <c r="Y853" i="2"/>
  <c r="U853" i="2"/>
  <c r="AG853" i="2"/>
  <c r="AD853" i="2"/>
  <c r="Y862" i="2"/>
  <c r="AJ862" i="2"/>
  <c r="AG862" i="2"/>
  <c r="AJ879" i="2"/>
  <c r="Y879" i="2"/>
  <c r="U879" i="2"/>
  <c r="AG879" i="2"/>
  <c r="AD879" i="2"/>
  <c r="AD955" i="2"/>
  <c r="AJ986" i="2"/>
  <c r="AD986" i="2"/>
  <c r="Q986" i="2"/>
  <c r="U996" i="2"/>
  <c r="Q996" i="2"/>
  <c r="AG996" i="2"/>
  <c r="AD996" i="2"/>
  <c r="V1020" i="2"/>
  <c r="Z1020" i="2"/>
  <c r="AK1020" i="2"/>
  <c r="AK1047" i="2"/>
  <c r="R1047" i="2"/>
  <c r="AE1047" i="2"/>
  <c r="AK1134" i="2"/>
  <c r="V1134" i="2"/>
  <c r="R1134" i="2"/>
  <c r="AJ1144" i="2"/>
  <c r="AG1144" i="2"/>
  <c r="AE1192" i="2"/>
  <c r="Z1192" i="2"/>
  <c r="R1192" i="2"/>
  <c r="V1192" i="2"/>
  <c r="AK1204" i="2"/>
  <c r="Z1204" i="2"/>
  <c r="R1204" i="2"/>
  <c r="U656" i="2"/>
  <c r="AJ707" i="2"/>
  <c r="U707" i="2"/>
  <c r="R742" i="2"/>
  <c r="R751" i="2"/>
  <c r="R775" i="2"/>
  <c r="R787" i="2"/>
  <c r="Z862" i="2"/>
  <c r="V862" i="2"/>
  <c r="AK862" i="2"/>
  <c r="AE862" i="2"/>
  <c r="Z868" i="2"/>
  <c r="AK868" i="2"/>
  <c r="R885" i="2"/>
  <c r="AE885" i="2"/>
  <c r="Z885" i="2"/>
  <c r="AJ965" i="2"/>
  <c r="Y965" i="2"/>
  <c r="U965" i="2"/>
  <c r="AG965" i="2"/>
  <c r="AJ973" i="2"/>
  <c r="U973" i="2"/>
  <c r="Q973" i="2"/>
  <c r="AG991" i="2"/>
  <c r="AJ991" i="2"/>
  <c r="U991" i="2"/>
  <c r="Y991" i="2"/>
  <c r="Y1078" i="2"/>
  <c r="AE1091" i="2"/>
  <c r="R1091" i="2"/>
  <c r="Z1091" i="2"/>
  <c r="AE1109" i="2"/>
  <c r="Z1109" i="2"/>
  <c r="V1109" i="2"/>
  <c r="AK1109" i="2"/>
  <c r="R1109" i="2"/>
  <c r="U1185" i="2"/>
  <c r="Q1185" i="2"/>
  <c r="AJ1185" i="2"/>
  <c r="AG1185" i="2"/>
  <c r="AD1185" i="2"/>
  <c r="Y1185" i="2"/>
  <c r="Q619" i="2"/>
  <c r="Q620" i="2"/>
  <c r="R627" i="2"/>
  <c r="R673" i="2"/>
  <c r="V699" i="2"/>
  <c r="Z707" i="2"/>
  <c r="R707" i="2"/>
  <c r="AE707" i="2"/>
  <c r="AK785" i="2"/>
  <c r="V785" i="2"/>
  <c r="Q786" i="2"/>
  <c r="R804" i="2"/>
  <c r="Z841" i="2"/>
  <c r="V841" i="2"/>
  <c r="AK841" i="2"/>
  <c r="AE841" i="2"/>
  <c r="Q869" i="2"/>
  <c r="Q874" i="2"/>
  <c r="V880" i="2"/>
  <c r="Q898" i="2"/>
  <c r="Y898" i="2"/>
  <c r="Y908" i="2"/>
  <c r="AJ908" i="2"/>
  <c r="AG908" i="2"/>
  <c r="Q908" i="2"/>
  <c r="Q1071" i="2"/>
  <c r="AD1071" i="2"/>
  <c r="AK1172" i="2"/>
  <c r="Z1172" i="2"/>
  <c r="V1172" i="2"/>
  <c r="R1172" i="2"/>
  <c r="Q1191" i="2"/>
  <c r="AJ1191" i="2"/>
  <c r="AG1191" i="2"/>
  <c r="V628" i="2"/>
  <c r="AE690" i="2"/>
  <c r="Z690" i="2"/>
  <c r="Y701" i="2"/>
  <c r="Z720" i="2"/>
  <c r="AE757" i="2"/>
  <c r="V757" i="2"/>
  <c r="Y762" i="2"/>
  <c r="AG769" i="2"/>
  <c r="U769" i="2"/>
  <c r="AJ770" i="2"/>
  <c r="Q770" i="2"/>
  <c r="V775" i="2"/>
  <c r="Y873" i="2"/>
  <c r="U873" i="2"/>
  <c r="AG873" i="2"/>
  <c r="AD873" i="2"/>
  <c r="R884" i="2"/>
  <c r="AE884" i="2"/>
  <c r="Z884" i="2"/>
  <c r="R892" i="2"/>
  <c r="AK898" i="2"/>
  <c r="Z898" i="2"/>
  <c r="V898" i="2"/>
  <c r="AD939" i="2"/>
  <c r="U1019" i="2"/>
  <c r="Y1019" i="2"/>
  <c r="AD1019" i="2"/>
  <c r="AJ821" i="2"/>
  <c r="AG821" i="2"/>
  <c r="U821" i="2"/>
  <c r="R846" i="2"/>
  <c r="AE846" i="2"/>
  <c r="Z846" i="2"/>
  <c r="AK873" i="2"/>
  <c r="V873" i="2"/>
  <c r="AE873" i="2"/>
  <c r="Q891" i="2"/>
  <c r="AD891" i="2"/>
  <c r="U900" i="2"/>
  <c r="AE917" i="2"/>
  <c r="R917" i="2"/>
  <c r="Q962" i="2"/>
  <c r="AD962" i="2"/>
  <c r="Y962" i="2"/>
  <c r="AJ962" i="2"/>
  <c r="AD1082" i="2"/>
  <c r="AG1082" i="2"/>
  <c r="Y654" i="2"/>
  <c r="Z699" i="2"/>
  <c r="V758" i="2"/>
  <c r="Z775" i="2"/>
  <c r="Y781" i="2"/>
  <c r="AG781" i="2"/>
  <c r="U781" i="2"/>
  <c r="R795" i="2"/>
  <c r="V797" i="2"/>
  <c r="Z852" i="2"/>
  <c r="V852" i="2"/>
  <c r="AK852" i="2"/>
  <c r="AE852" i="2"/>
  <c r="Z858" i="2"/>
  <c r="Q879" i="2"/>
  <c r="AJ897" i="2"/>
  <c r="Q897" i="2"/>
  <c r="Y897" i="2"/>
  <c r="AG972" i="2"/>
  <c r="AD972" i="2"/>
  <c r="Q972" i="2"/>
  <c r="AJ972" i="2"/>
  <c r="U972" i="2"/>
  <c r="V1047" i="2"/>
  <c r="R1082" i="2"/>
  <c r="AE1082" i="2"/>
  <c r="AK1082" i="2"/>
  <c r="Z1159" i="2"/>
  <c r="R1159" i="2"/>
  <c r="V1159" i="2"/>
  <c r="R860" i="2"/>
  <c r="AE860" i="2"/>
  <c r="Z860" i="2"/>
  <c r="Z877" i="2"/>
  <c r="AK877" i="2"/>
  <c r="AJ905" i="2"/>
  <c r="AG905" i="2"/>
  <c r="AD905" i="2"/>
  <c r="Q905" i="2"/>
  <c r="V915" i="2"/>
  <c r="Z915" i="2"/>
  <c r="U955" i="2"/>
  <c r="AG955" i="2"/>
  <c r="Q955" i="2"/>
  <c r="AE961" i="2"/>
  <c r="AK961" i="2"/>
  <c r="V990" i="2"/>
  <c r="R990" i="2"/>
  <c r="AE990" i="2"/>
  <c r="AD1005" i="2"/>
  <c r="Y1005" i="2"/>
  <c r="V1040" i="2"/>
  <c r="AE1040" i="2"/>
  <c r="R1040" i="2"/>
  <c r="U1112" i="2"/>
  <c r="Q1112" i="2"/>
  <c r="Y1112" i="2"/>
  <c r="AD1112" i="2"/>
  <c r="AJ1112" i="2"/>
  <c r="Q1250" i="2"/>
  <c r="AD1250" i="2"/>
  <c r="U1250" i="2"/>
  <c r="AG1250" i="2"/>
  <c r="Y1250" i="2"/>
  <c r="AJ1250" i="2"/>
  <c r="N270" i="9"/>
  <c r="M270" i="9"/>
  <c r="L270" i="9"/>
  <c r="V989" i="2"/>
  <c r="AE989" i="2"/>
  <c r="R989" i="2"/>
  <c r="Z989" i="2"/>
  <c r="AG1033" i="2"/>
  <c r="U1033" i="2"/>
  <c r="Y1033" i="2"/>
  <c r="AJ1033" i="2"/>
  <c r="AD1033" i="2"/>
  <c r="V1242" i="2"/>
  <c r="Z1242" i="2"/>
  <c r="R1242" i="2"/>
  <c r="Y588" i="2"/>
  <c r="AE617" i="2"/>
  <c r="AG620" i="2"/>
  <c r="AG720" i="2"/>
  <c r="U720" i="2"/>
  <c r="AE727" i="2"/>
  <c r="AD748" i="2"/>
  <c r="AG763" i="2"/>
  <c r="AD763" i="2"/>
  <c r="AD795" i="2"/>
  <c r="R877" i="2"/>
  <c r="AJ881" i="2"/>
  <c r="Q881" i="2"/>
  <c r="AG881" i="2"/>
  <c r="Y881" i="2"/>
  <c r="AG900" i="2"/>
  <c r="AD908" i="2"/>
  <c r="AD920" i="2"/>
  <c r="Q920" i="2"/>
  <c r="Y920" i="2"/>
  <c r="AE1033" i="2"/>
  <c r="V1033" i="2"/>
  <c r="AK1033" i="2"/>
  <c r="AJ1058" i="2"/>
  <c r="V1100" i="2"/>
  <c r="R1100" i="2"/>
  <c r="AE1100" i="2"/>
  <c r="Z1100" i="2"/>
  <c r="AK1100" i="2"/>
  <c r="U1106" i="2"/>
  <c r="AG1106" i="2"/>
  <c r="AD1106" i="2"/>
  <c r="Q1106" i="2"/>
  <c r="AG685" i="2"/>
  <c r="AD685" i="2"/>
  <c r="Z721" i="2"/>
  <c r="AK721" i="2"/>
  <c r="V721" i="2"/>
  <c r="AJ728" i="2"/>
  <c r="AK797" i="2"/>
  <c r="AK823" i="2"/>
  <c r="V843" i="2"/>
  <c r="AK843" i="2"/>
  <c r="AE843" i="2"/>
  <c r="V860" i="2"/>
  <c r="Z870" i="2"/>
  <c r="V870" i="2"/>
  <c r="AK870" i="2"/>
  <c r="AJ887" i="2"/>
  <c r="U887" i="2"/>
  <c r="AD887" i="2"/>
  <c r="U905" i="2"/>
  <c r="AK913" i="2"/>
  <c r="R913" i="2"/>
  <c r="R920" i="2"/>
  <c r="AE920" i="2"/>
  <c r="Z920" i="2"/>
  <c r="Q939" i="2"/>
  <c r="AJ939" i="2"/>
  <c r="Y939" i="2"/>
  <c r="U939" i="2"/>
  <c r="AE953" i="2"/>
  <c r="AK953" i="2"/>
  <c r="AJ1004" i="2"/>
  <c r="AG1004" i="2"/>
  <c r="AE808" i="2"/>
  <c r="AG809" i="2"/>
  <c r="AK816" i="2"/>
  <c r="R825" i="2"/>
  <c r="R829" i="2"/>
  <c r="AD841" i="2"/>
  <c r="AJ971" i="2"/>
  <c r="AG971" i="2"/>
  <c r="Y975" i="2"/>
  <c r="AG975" i="2"/>
  <c r="R977" i="2"/>
  <c r="AK977" i="2"/>
  <c r="Y1016" i="2"/>
  <c r="AJ1016" i="2"/>
  <c r="U1077" i="2"/>
  <c r="AD1077" i="2"/>
  <c r="AG1077" i="2"/>
  <c r="Z1102" i="2"/>
  <c r="AE1102" i="2"/>
  <c r="Y1119" i="2"/>
  <c r="AJ1119" i="2"/>
  <c r="Y1226" i="2"/>
  <c r="Q1226" i="2"/>
  <c r="AG1226" i="2"/>
  <c r="U1226" i="2"/>
  <c r="AJ1226" i="2"/>
  <c r="AD1226" i="2"/>
  <c r="R1265" i="2"/>
  <c r="V1265" i="2"/>
  <c r="AK1265" i="2"/>
  <c r="AE1265" i="2"/>
  <c r="AJ811" i="2"/>
  <c r="AJ813" i="2"/>
  <c r="AK814" i="2"/>
  <c r="R826" i="2"/>
  <c r="Q830" i="2"/>
  <c r="AJ850" i="2"/>
  <c r="Q858" i="2"/>
  <c r="AD865" i="2"/>
  <c r="AG877" i="2"/>
  <c r="AE894" i="2"/>
  <c r="Q903" i="2"/>
  <c r="Q925" i="2"/>
  <c r="Q940" i="2"/>
  <c r="Q941" i="2"/>
  <c r="Q953" i="2"/>
  <c r="Q954" i="2"/>
  <c r="R978" i="2"/>
  <c r="V1016" i="2"/>
  <c r="Z1016" i="2"/>
  <c r="AK1016" i="2"/>
  <c r="R1017" i="2"/>
  <c r="Q1031" i="2"/>
  <c r="R1045" i="2"/>
  <c r="V1108" i="2"/>
  <c r="AE1108" i="2"/>
  <c r="Z1108" i="2"/>
  <c r="R1108" i="2"/>
  <c r="AE1226" i="2"/>
  <c r="R1226" i="2"/>
  <c r="R993" i="2"/>
  <c r="AK993" i="2"/>
  <c r="Z993" i="2"/>
  <c r="V993" i="2"/>
  <c r="AE993" i="2"/>
  <c r="R1051" i="2"/>
  <c r="AE1051" i="2"/>
  <c r="U1141" i="2"/>
  <c r="Q1141" i="2"/>
  <c r="AG1141" i="2"/>
  <c r="AJ1146" i="2"/>
  <c r="Q1146" i="2"/>
  <c r="Y1146" i="2"/>
  <c r="U1239" i="2"/>
  <c r="Y1239" i="2"/>
  <c r="Y1256" i="2"/>
  <c r="U1256" i="2"/>
  <c r="AD1256" i="2"/>
  <c r="Q1256" i="2"/>
  <c r="AJ1256" i="2"/>
  <c r="AG1256" i="2"/>
  <c r="AK864" i="2"/>
  <c r="V924" i="2"/>
  <c r="V978" i="2"/>
  <c r="U985" i="2"/>
  <c r="AD985" i="2"/>
  <c r="Y1015" i="2"/>
  <c r="U1015" i="2"/>
  <c r="AE1043" i="2"/>
  <c r="AK1043" i="2"/>
  <c r="Z1043" i="2"/>
  <c r="V1045" i="2"/>
  <c r="U1067" i="2"/>
  <c r="AJ1084" i="2"/>
  <c r="AD1084" i="2"/>
  <c r="AK1146" i="2"/>
  <c r="R1146" i="2"/>
  <c r="Z1146" i="2"/>
  <c r="AJ1214" i="2"/>
  <c r="AG1214" i="2"/>
  <c r="Y1214" i="2"/>
  <c r="AD1214" i="2"/>
  <c r="U1214" i="2"/>
  <c r="AE1239" i="2"/>
  <c r="AK1239" i="2"/>
  <c r="Z1239" i="2"/>
  <c r="Q1262" i="2"/>
  <c r="Y1262" i="2"/>
  <c r="AD1262" i="2"/>
  <c r="AJ1262" i="2"/>
  <c r="AG1262" i="2"/>
  <c r="Z729" i="2"/>
  <c r="Z731" i="2"/>
  <c r="AK801" i="2"/>
  <c r="R820" i="2"/>
  <c r="V825" i="2"/>
  <c r="Z829" i="2"/>
  <c r="U830" i="2"/>
  <c r="AK851" i="2"/>
  <c r="U903" i="2"/>
  <c r="U940" i="2"/>
  <c r="U953" i="2"/>
  <c r="U954" i="2"/>
  <c r="AJ960" i="2"/>
  <c r="AE985" i="2"/>
  <c r="Z985" i="2"/>
  <c r="AK985" i="2"/>
  <c r="U992" i="2"/>
  <c r="AD992" i="2"/>
  <c r="V1015" i="2"/>
  <c r="Z1015" i="2"/>
  <c r="R1015" i="2"/>
  <c r="Q1151" i="2"/>
  <c r="U1151" i="2"/>
  <c r="AJ1151" i="2"/>
  <c r="Y1151" i="2"/>
  <c r="Q1186" i="2"/>
  <c r="Y1186" i="2"/>
  <c r="U1186" i="2"/>
  <c r="AJ1186" i="2"/>
  <c r="AG1186" i="2"/>
  <c r="R1214" i="2"/>
  <c r="AK1214" i="2"/>
  <c r="Y1251" i="2"/>
  <c r="AG1251" i="2"/>
  <c r="AD1251" i="2"/>
  <c r="Z726" i="2"/>
  <c r="R822" i="2"/>
  <c r="R956" i="2"/>
  <c r="Z958" i="2"/>
  <c r="V958" i="2"/>
  <c r="Q963" i="2"/>
  <c r="AD963" i="2"/>
  <c r="AD968" i="2"/>
  <c r="AJ968" i="2"/>
  <c r="U968" i="2"/>
  <c r="Q970" i="2"/>
  <c r="Q971" i="2"/>
  <c r="Q975" i="2"/>
  <c r="V977" i="2"/>
  <c r="AE992" i="2"/>
  <c r="Z992" i="2"/>
  <c r="AK992" i="2"/>
  <c r="R1102" i="2"/>
  <c r="AK1173" i="2"/>
  <c r="AE1173" i="2"/>
  <c r="Z1173" i="2"/>
  <c r="Q906" i="2"/>
  <c r="Z924" i="2"/>
  <c r="AK960" i="2"/>
  <c r="R960" i="2"/>
  <c r="AE960" i="2"/>
  <c r="Y1014" i="2"/>
  <c r="AG1014" i="2"/>
  <c r="V1022" i="2"/>
  <c r="Z1022" i="2"/>
  <c r="Z1045" i="2"/>
  <c r="U1129" i="2"/>
  <c r="AJ1129" i="2"/>
  <c r="AK1140" i="2"/>
  <c r="V1140" i="2"/>
  <c r="Z1140" i="2"/>
  <c r="R1140" i="2"/>
  <c r="AD1220" i="2"/>
  <c r="U1220" i="2"/>
  <c r="Q1220" i="2"/>
  <c r="AG1220" i="2"/>
  <c r="Q1221" i="2"/>
  <c r="Z1265" i="2"/>
  <c r="Y735" i="2"/>
  <c r="Z772" i="2"/>
  <c r="Y773" i="2"/>
  <c r="Y814" i="2"/>
  <c r="V851" i="2"/>
  <c r="AJ903" i="2"/>
  <c r="AJ940" i="2"/>
  <c r="AE944" i="2"/>
  <c r="R944" i="2"/>
  <c r="AG954" i="2"/>
  <c r="Z981" i="2"/>
  <c r="V981" i="2"/>
  <c r="R981" i="2"/>
  <c r="AE1015" i="2"/>
  <c r="Y1018" i="2"/>
  <c r="AJ1018" i="2"/>
  <c r="AJ1036" i="2"/>
  <c r="AG1039" i="2"/>
  <c r="AD1039" i="2"/>
  <c r="U1039" i="2"/>
  <c r="Q1039" i="2"/>
  <c r="AK1095" i="2"/>
  <c r="U1104" i="2"/>
  <c r="AD1104" i="2"/>
  <c r="AJ1104" i="2"/>
  <c r="AG1104" i="2"/>
  <c r="Q1104" i="2"/>
  <c r="AK1119" i="2"/>
  <c r="AG1165" i="2"/>
  <c r="AJ1165" i="2"/>
  <c r="AD1165" i="2"/>
  <c r="N23" i="9"/>
  <c r="M23" i="9"/>
  <c r="L23" i="9"/>
  <c r="M35" i="9"/>
  <c r="N35" i="9"/>
  <c r="L35" i="9"/>
  <c r="Y712" i="2"/>
  <c r="Z806" i="2"/>
  <c r="Y877" i="2"/>
  <c r="AK912" i="2"/>
  <c r="U916" i="2"/>
  <c r="AG916" i="2"/>
  <c r="AJ916" i="2"/>
  <c r="V919" i="2"/>
  <c r="R919" i="2"/>
  <c r="AK926" i="2"/>
  <c r="AK936" i="2"/>
  <c r="R936" i="2"/>
  <c r="AE936" i="2"/>
  <c r="AJ943" i="2"/>
  <c r="AG943" i="2"/>
  <c r="U943" i="2"/>
  <c r="AD956" i="2"/>
  <c r="AG970" i="2"/>
  <c r="AJ975" i="2"/>
  <c r="AK978" i="2"/>
  <c r="AJ980" i="2"/>
  <c r="Q980" i="2"/>
  <c r="AG985" i="2"/>
  <c r="AJ1000" i="2"/>
  <c r="V1018" i="2"/>
  <c r="AE1018" i="2"/>
  <c r="Y1074" i="2"/>
  <c r="AG1074" i="2"/>
  <c r="AD1074" i="2"/>
  <c r="Q1074" i="2"/>
  <c r="AJ1090" i="2"/>
  <c r="Y1090" i="2"/>
  <c r="AG1151" i="2"/>
  <c r="AK1195" i="2"/>
  <c r="AE1195" i="2"/>
  <c r="Z1195" i="2"/>
  <c r="V1195" i="2"/>
  <c r="R1195" i="2"/>
  <c r="AG1203" i="2"/>
  <c r="AJ1203" i="2"/>
  <c r="Y1203" i="2"/>
  <c r="R1247" i="2"/>
  <c r="Z1247" i="2"/>
  <c r="V1247" i="2"/>
  <c r="AK1247" i="2"/>
  <c r="AE1247" i="2"/>
  <c r="AK820" i="2"/>
  <c r="AD850" i="2"/>
  <c r="AE906" i="2"/>
  <c r="Q918" i="2"/>
  <c r="AG918" i="2"/>
  <c r="Z960" i="2"/>
  <c r="U988" i="2"/>
  <c r="Y988" i="2"/>
  <c r="AJ988" i="2"/>
  <c r="AD988" i="2"/>
  <c r="AG1017" i="2"/>
  <c r="U1017" i="2"/>
  <c r="AJ1017" i="2"/>
  <c r="AE1022" i="2"/>
  <c r="V1046" i="2"/>
  <c r="AE1046" i="2"/>
  <c r="AK1051" i="2"/>
  <c r="AD1053" i="2"/>
  <c r="AJ1053" i="2"/>
  <c r="AE1074" i="2"/>
  <c r="V1074" i="2"/>
  <c r="AK1074" i="2"/>
  <c r="R1241" i="2"/>
  <c r="AK1241" i="2"/>
  <c r="Z1241" i="2"/>
  <c r="V1241" i="2"/>
  <c r="AE1241" i="2"/>
  <c r="V1246" i="2"/>
  <c r="Z1246" i="2"/>
  <c r="AE1246" i="2"/>
  <c r="R1246" i="2"/>
  <c r="AE932" i="2"/>
  <c r="V932" i="2"/>
  <c r="AJ941" i="2"/>
  <c r="Y941" i="2"/>
  <c r="Y947" i="2"/>
  <c r="U947" i="2"/>
  <c r="U948" i="2"/>
  <c r="Q948" i="2"/>
  <c r="AD948" i="2"/>
  <c r="AG956" i="2"/>
  <c r="AJ994" i="2"/>
  <c r="Y994" i="2"/>
  <c r="AG994" i="2"/>
  <c r="AK1025" i="2"/>
  <c r="Z1025" i="2"/>
  <c r="V1025" i="2"/>
  <c r="R1025" i="2"/>
  <c r="AD1031" i="2"/>
  <c r="AJ1031" i="2"/>
  <c r="AD1037" i="2"/>
  <c r="U1037" i="2"/>
  <c r="V1038" i="2"/>
  <c r="AE1038" i="2"/>
  <c r="Q1067" i="2"/>
  <c r="AD1067" i="2"/>
  <c r="AG1067" i="2"/>
  <c r="V1115" i="2"/>
  <c r="AK1115" i="2"/>
  <c r="Y1157" i="2"/>
  <c r="AJ1157" i="2"/>
  <c r="AD1157" i="2"/>
  <c r="R1069" i="2"/>
  <c r="Z1069" i="2"/>
  <c r="Q1072" i="2"/>
  <c r="V1080" i="2"/>
  <c r="V1088" i="2"/>
  <c r="AE1112" i="2"/>
  <c r="V1112" i="2"/>
  <c r="Z1112" i="2"/>
  <c r="R1112" i="2"/>
  <c r="AK1112" i="2"/>
  <c r="AJ1216" i="2"/>
  <c r="Q1216" i="2"/>
  <c r="Y1216" i="2"/>
  <c r="AK1229" i="2"/>
  <c r="Z1229" i="2"/>
  <c r="V1229" i="2"/>
  <c r="R1229" i="2"/>
  <c r="Q1260" i="2"/>
  <c r="Y1260" i="2"/>
  <c r="AJ1260" i="2"/>
  <c r="AG1260" i="2"/>
  <c r="U1260" i="2"/>
  <c r="U1094" i="2"/>
  <c r="AG1094" i="2"/>
  <c r="AG1245" i="2"/>
  <c r="AJ1245" i="2"/>
  <c r="AE1275" i="2"/>
  <c r="V1275" i="2"/>
  <c r="M31" i="9"/>
  <c r="N31" i="9"/>
  <c r="L31" i="9"/>
  <c r="M95" i="9"/>
  <c r="N95" i="9"/>
  <c r="L95" i="9"/>
  <c r="Z1068" i="2"/>
  <c r="AE1068" i="2"/>
  <c r="AG1093" i="2"/>
  <c r="AJ1093" i="2"/>
  <c r="R1094" i="2"/>
  <c r="AK1094" i="2"/>
  <c r="AD1143" i="2"/>
  <c r="AJ1143" i="2"/>
  <c r="AD1063" i="2"/>
  <c r="U1063" i="2"/>
  <c r="R1180" i="2"/>
  <c r="Z1180" i="2"/>
  <c r="AK1180" i="2"/>
  <c r="AE1180" i="2"/>
  <c r="AG1188" i="2"/>
  <c r="AD1188" i="2"/>
  <c r="Y1188" i="2"/>
  <c r="AG1197" i="2"/>
  <c r="AD1197" i="2"/>
  <c r="Y1228" i="2"/>
  <c r="AD1228" i="2"/>
  <c r="Q1228" i="2"/>
  <c r="U1228" i="2"/>
  <c r="AJ1228" i="2"/>
  <c r="AG1236" i="2"/>
  <c r="Q1236" i="2"/>
  <c r="AD1236" i="2"/>
  <c r="AJ1236" i="2"/>
  <c r="Y1274" i="2"/>
  <c r="AG1274" i="2"/>
  <c r="U1274" i="2"/>
  <c r="U1281" i="2"/>
  <c r="AJ1281" i="2"/>
  <c r="Y1281" i="2"/>
  <c r="U967" i="2"/>
  <c r="U969" i="2"/>
  <c r="Y1001" i="2"/>
  <c r="V1044" i="2"/>
  <c r="AE1044" i="2"/>
  <c r="R1044" i="2"/>
  <c r="AK1061" i="2"/>
  <c r="AJ1065" i="2"/>
  <c r="AD1065" i="2"/>
  <c r="AG1136" i="2"/>
  <c r="Y1136" i="2"/>
  <c r="V1197" i="2"/>
  <c r="AE1197" i="2"/>
  <c r="Z1197" i="2"/>
  <c r="R1228" i="2"/>
  <c r="AK1228" i="2"/>
  <c r="V1228" i="2"/>
  <c r="AE1274" i="2"/>
  <c r="AK1274" i="2"/>
  <c r="R1274" i="2"/>
  <c r="N52" i="9"/>
  <c r="L52" i="9"/>
  <c r="M52" i="9"/>
  <c r="L108" i="9"/>
  <c r="N108" i="9"/>
  <c r="AE1002" i="2"/>
  <c r="Y1072" i="2"/>
  <c r="V1136" i="2"/>
  <c r="AE1136" i="2"/>
  <c r="Z1196" i="2"/>
  <c r="R1196" i="2"/>
  <c r="AK1196" i="2"/>
  <c r="Y1206" i="2"/>
  <c r="AD1206" i="2"/>
  <c r="U1206" i="2"/>
  <c r="AG1206" i="2"/>
  <c r="U1215" i="2"/>
  <c r="AJ1215" i="2"/>
  <c r="AG1215" i="2"/>
  <c r="Y1215" i="2"/>
  <c r="R1223" i="2"/>
  <c r="V1223" i="2"/>
  <c r="AE1223" i="2"/>
  <c r="AJ1130" i="2"/>
  <c r="Q1130" i="2"/>
  <c r="Q1135" i="2"/>
  <c r="Y1135" i="2"/>
  <c r="AD1135" i="2"/>
  <c r="AG1243" i="2"/>
  <c r="Y1243" i="2"/>
  <c r="Y913" i="2"/>
  <c r="Z945" i="2"/>
  <c r="AJ966" i="2"/>
  <c r="AJ969" i="2"/>
  <c r="Y1065" i="2"/>
  <c r="AJ1081" i="2"/>
  <c r="Q1081" i="2"/>
  <c r="Y1091" i="2"/>
  <c r="AJ1118" i="2"/>
  <c r="R1133" i="2"/>
  <c r="Z1133" i="2"/>
  <c r="U1152" i="2"/>
  <c r="Q1152" i="2"/>
  <c r="Y1152" i="2"/>
  <c r="R1165" i="2"/>
  <c r="V1165" i="2"/>
  <c r="AD1240" i="2"/>
  <c r="AJ1240" i="2"/>
  <c r="AG1240" i="2"/>
  <c r="U1240" i="2"/>
  <c r="AK1248" i="2"/>
  <c r="V1248" i="2"/>
  <c r="R1248" i="2"/>
  <c r="Z1248" i="2"/>
  <c r="Z1255" i="2"/>
  <c r="AK1255" i="2"/>
  <c r="V1255" i="2"/>
  <c r="R1255" i="2"/>
  <c r="AD1093" i="2"/>
  <c r="AG1120" i="2"/>
  <c r="AJ1120" i="2"/>
  <c r="AK1143" i="2"/>
  <c r="AJ1145" i="2"/>
  <c r="AD1145" i="2"/>
  <c r="Z1152" i="2"/>
  <c r="R1152" i="2"/>
  <c r="V1152" i="2"/>
  <c r="Z1225" i="2"/>
  <c r="AK1225" i="2"/>
  <c r="AG1228" i="2"/>
  <c r="U1233" i="2"/>
  <c r="AD1233" i="2"/>
  <c r="AK1275" i="2"/>
  <c r="AE1027" i="2"/>
  <c r="AK1027" i="2"/>
  <c r="V1028" i="2"/>
  <c r="AE1028" i="2"/>
  <c r="AJ1094" i="2"/>
  <c r="V1096" i="2"/>
  <c r="R1096" i="2"/>
  <c r="AD1113" i="2"/>
  <c r="Q1113" i="2"/>
  <c r="U1113" i="2"/>
  <c r="AE1120" i="2"/>
  <c r="R1120" i="2"/>
  <c r="AD1193" i="2"/>
  <c r="AJ1193" i="2"/>
  <c r="R1233" i="2"/>
  <c r="Z1233" i="2"/>
  <c r="V1233" i="2"/>
  <c r="AE1233" i="2"/>
  <c r="AG1284" i="2"/>
  <c r="U1284" i="2"/>
  <c r="V1057" i="2"/>
  <c r="AE1057" i="2"/>
  <c r="AK1068" i="2"/>
  <c r="AK1069" i="2"/>
  <c r="AK1072" i="2"/>
  <c r="V1072" i="2"/>
  <c r="AK1076" i="2"/>
  <c r="AG1087" i="2"/>
  <c r="AD1087" i="2"/>
  <c r="AJ1087" i="2"/>
  <c r="R1139" i="2"/>
  <c r="AK1139" i="2"/>
  <c r="AK1193" i="2"/>
  <c r="Z1193" i="2"/>
  <c r="AE1193" i="2"/>
  <c r="R1193" i="2"/>
  <c r="AE1196" i="2"/>
  <c r="AK1197" i="2"/>
  <c r="AK1223" i="2"/>
  <c r="Y1247" i="2"/>
  <c r="AD1247" i="2"/>
  <c r="R1261" i="2"/>
  <c r="AK1261" i="2"/>
  <c r="Z1261" i="2"/>
  <c r="V1283" i="2"/>
  <c r="AK1283" i="2"/>
  <c r="R1283" i="2"/>
  <c r="V1284" i="2"/>
  <c r="R1284" i="2"/>
  <c r="Z1284" i="2"/>
  <c r="U1089" i="2"/>
  <c r="Q1149" i="2"/>
  <c r="AK1240" i="2"/>
  <c r="V1240" i="2"/>
  <c r="J8" i="7"/>
  <c r="K8" i="7" s="1"/>
  <c r="AE1145" i="2"/>
  <c r="R1145" i="2"/>
  <c r="AJ1153" i="2"/>
  <c r="AD1153" i="2"/>
  <c r="Y1153" i="2"/>
  <c r="AE1188" i="2"/>
  <c r="V1188" i="2"/>
  <c r="R1191" i="2"/>
  <c r="AE1191" i="2"/>
  <c r="U1207" i="2"/>
  <c r="Q1207" i="2"/>
  <c r="AJ1207" i="2"/>
  <c r="AK1208" i="2"/>
  <c r="V1222" i="2"/>
  <c r="AE1222" i="2"/>
  <c r="AG1258" i="2"/>
  <c r="U1258" i="2"/>
  <c r="Z1286" i="2"/>
  <c r="AE1286" i="2"/>
  <c r="AK1207" i="2"/>
  <c r="AE1207" i="2"/>
  <c r="AG1234" i="2"/>
  <c r="Q1234" i="2"/>
  <c r="U1234" i="2"/>
  <c r="AG1235" i="2"/>
  <c r="Q1235" i="2"/>
  <c r="AJ1235" i="2"/>
  <c r="U1248" i="2"/>
  <c r="Q1248" i="2"/>
  <c r="AK1249" i="2"/>
  <c r="Z1249" i="2"/>
  <c r="AD1277" i="2"/>
  <c r="Q1277" i="2"/>
  <c r="Y1285" i="2"/>
  <c r="AD1285" i="2"/>
  <c r="M77" i="9"/>
  <c r="L77" i="9"/>
  <c r="N257" i="9"/>
  <c r="M257" i="9"/>
  <c r="L257" i="9"/>
  <c r="AE1049" i="2"/>
  <c r="AK1049" i="2"/>
  <c r="AK1116" i="2"/>
  <c r="Z1116" i="2"/>
  <c r="Y1160" i="2"/>
  <c r="AD1160" i="2"/>
  <c r="AE1186" i="2"/>
  <c r="V1186" i="2"/>
  <c r="AD1198" i="2"/>
  <c r="Y1204" i="2"/>
  <c r="Q1204" i="2"/>
  <c r="U1210" i="2"/>
  <c r="Q1210" i="2"/>
  <c r="AG1210" i="2"/>
  <c r="AG1211" i="2"/>
  <c r="Q1211" i="2"/>
  <c r="AJ1211" i="2"/>
  <c r="U1229" i="2"/>
  <c r="Y1229" i="2"/>
  <c r="Z1240" i="2"/>
  <c r="L46" i="9"/>
  <c r="N41" i="9"/>
  <c r="L41" i="9"/>
  <c r="M41" i="9"/>
  <c r="M47" i="9"/>
  <c r="N47" i="9"/>
  <c r="L47" i="9"/>
  <c r="M276" i="9"/>
  <c r="L276" i="9"/>
  <c r="Q1089" i="2"/>
  <c r="AJ1089" i="2"/>
  <c r="U1142" i="2"/>
  <c r="AD1142" i="2"/>
  <c r="AG1156" i="2"/>
  <c r="AJ1156" i="2"/>
  <c r="U1156" i="2"/>
  <c r="Y1189" i="2"/>
  <c r="Y1207" i="2"/>
  <c r="AG1218" i="2"/>
  <c r="U1218" i="2"/>
  <c r="Z1245" i="2"/>
  <c r="AE1245" i="2"/>
  <c r="V1245" i="2"/>
  <c r="AE1111" i="2"/>
  <c r="V1111" i="2"/>
  <c r="Y1137" i="2"/>
  <c r="Z1145" i="2"/>
  <c r="AK1168" i="2"/>
  <c r="R1168" i="2"/>
  <c r="V1168" i="2"/>
  <c r="U1182" i="2"/>
  <c r="AG1182" i="2"/>
  <c r="AD1182" i="2"/>
  <c r="Y1198" i="2"/>
  <c r="Q1198" i="2"/>
  <c r="Z1207" i="2"/>
  <c r="Z1218" i="2"/>
  <c r="R1218" i="2"/>
  <c r="Y1234" i="2"/>
  <c r="Y1235" i="2"/>
  <c r="Y1258" i="2"/>
  <c r="M241" i="9"/>
  <c r="L241" i="9"/>
  <c r="N241" i="9"/>
  <c r="Z1019" i="2"/>
  <c r="Z1048" i="2"/>
  <c r="AE1077" i="2"/>
  <c r="AK1077" i="2"/>
  <c r="Y1155" i="2"/>
  <c r="AG1155" i="2"/>
  <c r="Z1188" i="2"/>
  <c r="U1204" i="2"/>
  <c r="Y1211" i="2"/>
  <c r="AE1219" i="2"/>
  <c r="R1219" i="2"/>
  <c r="AK1219" i="2"/>
  <c r="U1230" i="2"/>
  <c r="AG1244" i="2"/>
  <c r="AD1244" i="2"/>
  <c r="V1270" i="2"/>
  <c r="AK1270" i="2"/>
  <c r="U1108" i="2"/>
  <c r="Y1108" i="2"/>
  <c r="R1167" i="2"/>
  <c r="AK1167" i="2"/>
  <c r="R1267" i="2"/>
  <c r="AK1267" i="2"/>
  <c r="AD1280" i="2"/>
  <c r="Y1280" i="2"/>
  <c r="U1280" i="2"/>
  <c r="J9" i="7"/>
  <c r="K9" i="7" s="1"/>
  <c r="M80" i="9"/>
  <c r="N80" i="9"/>
  <c r="L80" i="9"/>
  <c r="L255" i="9"/>
  <c r="N255" i="9"/>
  <c r="N314" i="9"/>
  <c r="M314" i="9"/>
  <c r="L123" i="9"/>
  <c r="M123" i="9"/>
  <c r="N153" i="9"/>
  <c r="M153" i="9"/>
  <c r="L153" i="9"/>
  <c r="N185" i="9"/>
  <c r="M185" i="9"/>
  <c r="L185" i="9"/>
  <c r="L279" i="9"/>
  <c r="N279" i="9"/>
  <c r="M279" i="9"/>
  <c r="R1259" i="2"/>
  <c r="Z1259" i="2"/>
  <c r="M21" i="9"/>
  <c r="N21" i="9"/>
  <c r="N57" i="9"/>
  <c r="L57" i="9"/>
  <c r="M214" i="9"/>
  <c r="M255" i="9"/>
  <c r="M256" i="9"/>
  <c r="L256" i="9"/>
  <c r="N303" i="9"/>
  <c r="M303" i="9"/>
  <c r="L303" i="9"/>
  <c r="L93" i="9"/>
  <c r="N142" i="9"/>
  <c r="M142" i="9"/>
  <c r="N250" i="9"/>
  <c r="M274" i="9"/>
  <c r="N274" i="9"/>
  <c r="M87" i="9"/>
  <c r="N93" i="9"/>
  <c r="M100" i="9"/>
  <c r="N100" i="9"/>
  <c r="L100" i="9"/>
  <c r="N215" i="9"/>
  <c r="M215" i="9"/>
  <c r="L215" i="9"/>
  <c r="N256" i="9"/>
  <c r="V1185" i="2"/>
  <c r="V1271" i="2"/>
  <c r="U1273" i="2"/>
  <c r="L82" i="9"/>
  <c r="M210" i="9"/>
  <c r="N210" i="9"/>
  <c r="M275" i="9"/>
  <c r="N275" i="9"/>
  <c r="L275" i="9"/>
  <c r="N175" i="9"/>
  <c r="M175" i="9"/>
  <c r="M176" i="9"/>
  <c r="N176" i="9"/>
  <c r="L176" i="9"/>
  <c r="N170" i="9"/>
  <c r="L170" i="9"/>
  <c r="M139" i="9"/>
  <c r="N139" i="9"/>
  <c r="L139" i="9"/>
  <c r="M236" i="9"/>
  <c r="L236" i="9"/>
  <c r="N259" i="9"/>
  <c r="L259" i="9"/>
  <c r="N289" i="9"/>
  <c r="M289" i="9"/>
  <c r="M312" i="9"/>
  <c r="N312" i="9"/>
  <c r="V1243" i="2"/>
  <c r="AE1243" i="2"/>
  <c r="M67" i="9"/>
  <c r="M133" i="9"/>
  <c r="N133" i="9"/>
  <c r="L133" i="9"/>
  <c r="N177" i="9"/>
  <c r="M177" i="9"/>
  <c r="L177" i="9"/>
  <c r="N230" i="9"/>
  <c r="M230" i="9"/>
  <c r="AG1133" i="2"/>
  <c r="Y1133" i="2"/>
  <c r="Z1178" i="2"/>
  <c r="AD1196" i="2"/>
  <c r="AJ1268" i="2"/>
  <c r="R1278" i="2"/>
  <c r="AE1278" i="2"/>
  <c r="N67" i="9"/>
  <c r="L127" i="9"/>
  <c r="M170" i="9"/>
  <c r="M295" i="9"/>
  <c r="N295" i="9"/>
  <c r="L295" i="9"/>
  <c r="L190" i="9"/>
  <c r="M190" i="9"/>
  <c r="N225" i="9"/>
  <c r="L225" i="9"/>
  <c r="L313" i="9"/>
  <c r="N313" i="9"/>
  <c r="M313" i="9"/>
  <c r="Y1222" i="2"/>
  <c r="AK1257" i="2"/>
  <c r="L25" i="9"/>
  <c r="M110" i="9"/>
  <c r="L110" i="9"/>
  <c r="N152" i="9"/>
  <c r="M152" i="9"/>
  <c r="M195" i="9"/>
  <c r="N219" i="9"/>
  <c r="L230" i="9"/>
  <c r="M307" i="9"/>
  <c r="L307" i="9"/>
  <c r="M167" i="9"/>
  <c r="N267" i="9"/>
  <c r="L54" i="9"/>
  <c r="L65" i="9"/>
  <c r="L105" i="9"/>
  <c r="L116" i="9"/>
  <c r="L197" i="9"/>
  <c r="L212" i="9"/>
  <c r="M217" i="9"/>
  <c r="M222" i="9"/>
  <c r="L267" i="9"/>
  <c r="M272" i="9"/>
  <c r="U1127" i="2"/>
  <c r="M65" i="9"/>
  <c r="M105" i="9"/>
  <c r="M116" i="9"/>
  <c r="L130" i="9"/>
  <c r="L135" i="9"/>
  <c r="M197" i="9"/>
  <c r="L203" i="9"/>
  <c r="M212" i="9"/>
  <c r="N217" i="9"/>
  <c r="L248" i="9"/>
  <c r="L262" i="9"/>
  <c r="N272" i="9"/>
  <c r="L291" i="9"/>
  <c r="N111" i="9"/>
  <c r="M130" i="9"/>
  <c r="M135" i="9"/>
  <c r="M203" i="9"/>
  <c r="M248" i="9"/>
  <c r="N262" i="9"/>
  <c r="M277" i="9"/>
  <c r="L281" i="9"/>
  <c r="M291" i="9"/>
  <c r="M301" i="9"/>
  <c r="M305" i="9"/>
  <c r="N91" i="9"/>
  <c r="M96" i="9"/>
  <c r="M111" i="9"/>
  <c r="L126" i="9"/>
  <c r="L150" i="9"/>
  <c r="L183" i="9"/>
  <c r="L193" i="9"/>
  <c r="M268" i="9"/>
  <c r="N277" i="9"/>
  <c r="M281" i="9"/>
  <c r="L296" i="9"/>
  <c r="N301" i="9"/>
  <c r="N305" i="9"/>
  <c r="M34" i="9"/>
  <c r="M50" i="9"/>
  <c r="L55" i="9"/>
  <c r="M81" i="9"/>
  <c r="L86" i="9"/>
  <c r="N96" i="9"/>
  <c r="M101" i="9"/>
  <c r="M126" i="9"/>
  <c r="L174" i="9"/>
  <c r="M178" i="9"/>
  <c r="N183" i="9"/>
  <c r="M193" i="9"/>
  <c r="N218" i="9"/>
  <c r="N268" i="9"/>
  <c r="N296" i="9"/>
  <c r="N34" i="9"/>
  <c r="M55" i="9"/>
  <c r="N81" i="9"/>
  <c r="M106" i="9"/>
  <c r="N178" i="9"/>
  <c r="M233" i="9"/>
  <c r="L273" i="9"/>
  <c r="M57" i="9"/>
  <c r="M68" i="9"/>
  <c r="M119" i="9"/>
  <c r="M165" i="9"/>
  <c r="J5" i="7"/>
  <c r="K5" i="7" s="1"/>
  <c r="N206" i="9"/>
  <c r="L251" i="9"/>
  <c r="L284" i="9"/>
  <c r="N36" i="9"/>
  <c r="M73" i="9"/>
  <c r="M109" i="9"/>
  <c r="N128" i="9"/>
  <c r="N220" i="9"/>
  <c r="N251" i="9"/>
  <c r="N284" i="9"/>
  <c r="L79" i="9"/>
  <c r="L99" i="9"/>
  <c r="M115" i="9"/>
  <c r="L124" i="9"/>
  <c r="U114" i="2"/>
  <c r="V269" i="2"/>
  <c r="AE269" i="2"/>
  <c r="Z269" i="2"/>
  <c r="R269" i="2"/>
  <c r="Q399" i="2"/>
  <c r="U399" i="2"/>
  <c r="AD399" i="2"/>
  <c r="Y399" i="2"/>
  <c r="AG399" i="2"/>
  <c r="AJ399" i="2"/>
  <c r="AK522" i="2"/>
  <c r="R522" i="2"/>
  <c r="AE522" i="2"/>
  <c r="V522" i="2"/>
  <c r="Z522" i="2"/>
  <c r="U56" i="2"/>
  <c r="R88" i="2"/>
  <c r="AK88" i="2"/>
  <c r="Z88" i="2"/>
  <c r="AG93" i="2"/>
  <c r="U111" i="2"/>
  <c r="U116" i="2"/>
  <c r="R122" i="2"/>
  <c r="V122" i="2"/>
  <c r="AK122" i="2"/>
  <c r="R163" i="2"/>
  <c r="AK163" i="2"/>
  <c r="Z163" i="2"/>
  <c r="V163" i="2"/>
  <c r="AE163" i="2"/>
  <c r="AG199" i="2"/>
  <c r="AG226" i="2"/>
  <c r="Y226" i="2"/>
  <c r="Q226" i="2"/>
  <c r="U226" i="2"/>
  <c r="AD226" i="2"/>
  <c r="Z309" i="2"/>
  <c r="V309" i="2"/>
  <c r="AK309" i="2"/>
  <c r="R309" i="2"/>
  <c r="AE309" i="2"/>
  <c r="Y79" i="2"/>
  <c r="AD79" i="2"/>
  <c r="Q79" i="2"/>
  <c r="AJ79" i="2"/>
  <c r="AD89" i="2"/>
  <c r="Y89" i="2"/>
  <c r="Q89" i="2"/>
  <c r="AJ89" i="2"/>
  <c r="AG171" i="2"/>
  <c r="Z224" i="2"/>
  <c r="Q229" i="2"/>
  <c r="AD229" i="2"/>
  <c r="AJ229" i="2"/>
  <c r="U229" i="2"/>
  <c r="AE232" i="2"/>
  <c r="Z232" i="2"/>
  <c r="R232" i="2"/>
  <c r="AK232" i="2"/>
  <c r="V240" i="2"/>
  <c r="AE240" i="2"/>
  <c r="AD241" i="2"/>
  <c r="Y241" i="2"/>
  <c r="AJ241" i="2"/>
  <c r="U241" i="2"/>
  <c r="Q241" i="2"/>
  <c r="AG241" i="2"/>
  <c r="V245" i="2"/>
  <c r="R245" i="2"/>
  <c r="Z245" i="2"/>
  <c r="AG248" i="2"/>
  <c r="Y248" i="2"/>
  <c r="AD248" i="2"/>
  <c r="Q303" i="2"/>
  <c r="Y303" i="2"/>
  <c r="AG303" i="2"/>
  <c r="AK414" i="2"/>
  <c r="AE414" i="2"/>
  <c r="R414" i="2"/>
  <c r="Z414" i="2"/>
  <c r="V414" i="2"/>
  <c r="AK416" i="2"/>
  <c r="Z416" i="2"/>
  <c r="AE416" i="2"/>
  <c r="V416" i="2"/>
  <c r="R416" i="2"/>
  <c r="AJ484" i="2"/>
  <c r="Q484" i="2"/>
  <c r="Y484" i="2"/>
  <c r="AG484" i="2"/>
  <c r="AD484" i="2"/>
  <c r="U484" i="2"/>
  <c r="Y112" i="2"/>
  <c r="V229" i="2"/>
  <c r="Z229" i="2"/>
  <c r="R229" i="2"/>
  <c r="AK229" i="2"/>
  <c r="V248" i="2"/>
  <c r="R248" i="2"/>
  <c r="Z248" i="2"/>
  <c r="AE248" i="2"/>
  <c r="Q357" i="2"/>
  <c r="AJ357" i="2"/>
  <c r="Y357" i="2"/>
  <c r="U357" i="2"/>
  <c r="AG357" i="2"/>
  <c r="AD357" i="2"/>
  <c r="Q417" i="2"/>
  <c r="AG417" i="2"/>
  <c r="Y417" i="2"/>
  <c r="AJ417" i="2"/>
  <c r="U417" i="2"/>
  <c r="AK436" i="2"/>
  <c r="AE436" i="2"/>
  <c r="Z436" i="2"/>
  <c r="V436" i="2"/>
  <c r="R436" i="2"/>
  <c r="Y447" i="2"/>
  <c r="AG447" i="2"/>
  <c r="Q447" i="2"/>
  <c r="AD447" i="2"/>
  <c r="U447" i="2"/>
  <c r="AJ447" i="2"/>
  <c r="Q445" i="2"/>
  <c r="U445" i="2"/>
  <c r="AG445" i="2"/>
  <c r="Y445" i="2"/>
  <c r="AJ445" i="2"/>
  <c r="AD445" i="2"/>
  <c r="AD449" i="2"/>
  <c r="U449" i="2"/>
  <c r="Q449" i="2"/>
  <c r="AG449" i="2"/>
  <c r="R158" i="2"/>
  <c r="V158" i="2"/>
  <c r="Z158" i="2"/>
  <c r="AK158" i="2"/>
  <c r="Z467" i="2"/>
  <c r="V467" i="2"/>
  <c r="R467" i="2"/>
  <c r="Z59" i="2"/>
  <c r="V59" i="2"/>
  <c r="AE59" i="2"/>
  <c r="R118" i="2"/>
  <c r="AE118" i="2"/>
  <c r="Z118" i="2"/>
  <c r="R184" i="2"/>
  <c r="AK184" i="2"/>
  <c r="V184" i="2"/>
  <c r="Z184" i="2"/>
  <c r="V219" i="2"/>
  <c r="R219" i="2"/>
  <c r="Z219" i="2"/>
  <c r="Q409" i="2"/>
  <c r="AD409" i="2"/>
  <c r="AJ409" i="2"/>
  <c r="AG409" i="2"/>
  <c r="Q122" i="2"/>
  <c r="AG122" i="2"/>
  <c r="AJ122" i="2"/>
  <c r="AD122" i="2"/>
  <c r="U122" i="2"/>
  <c r="Z161" i="2"/>
  <c r="V161" i="2"/>
  <c r="R161" i="2"/>
  <c r="V267" i="2"/>
  <c r="AK267" i="2"/>
  <c r="R267" i="2"/>
  <c r="Z267" i="2"/>
  <c r="R59" i="2"/>
  <c r="AD61" i="2"/>
  <c r="Q61" i="2"/>
  <c r="AJ62" i="2"/>
  <c r="U62" i="2"/>
  <c r="Q62" i="2"/>
  <c r="AD62" i="2"/>
  <c r="V231" i="2"/>
  <c r="R231" i="2"/>
  <c r="AE231" i="2"/>
  <c r="Z231" i="2"/>
  <c r="AK231" i="2"/>
  <c r="U72" i="2"/>
  <c r="Q72" i="2"/>
  <c r="AG72" i="2"/>
  <c r="AD72" i="2"/>
  <c r="R80" i="2"/>
  <c r="AK80" i="2"/>
  <c r="Z80" i="2"/>
  <c r="U104" i="2"/>
  <c r="Q104" i="2"/>
  <c r="AJ104" i="2"/>
  <c r="AD104" i="2"/>
  <c r="AE113" i="2"/>
  <c r="V118" i="2"/>
  <c r="Z154" i="2"/>
  <c r="V251" i="2"/>
  <c r="Z251" i="2"/>
  <c r="AK251" i="2"/>
  <c r="R251" i="2"/>
  <c r="AE251" i="2"/>
  <c r="V273" i="2"/>
  <c r="R273" i="2"/>
  <c r="Z273" i="2"/>
  <c r="AK273" i="2"/>
  <c r="Q307" i="2"/>
  <c r="AG307" i="2"/>
  <c r="AJ307" i="2"/>
  <c r="AD307" i="2"/>
  <c r="Y307" i="2"/>
  <c r="R156" i="2"/>
  <c r="AE156" i="2"/>
  <c r="R183" i="2"/>
  <c r="AK183" i="2"/>
  <c r="Z183" i="2"/>
  <c r="V233" i="2"/>
  <c r="AE233" i="2"/>
  <c r="AK233" i="2"/>
  <c r="Z233" i="2"/>
  <c r="Q267" i="2"/>
  <c r="Y267" i="2"/>
  <c r="AJ267" i="2"/>
  <c r="AD267" i="2"/>
  <c r="AG267" i="2"/>
  <c r="U267" i="2"/>
  <c r="Q120" i="2"/>
  <c r="Y120" i="2"/>
  <c r="U120" i="2"/>
  <c r="AG120" i="2"/>
  <c r="AD120" i="2"/>
  <c r="V133" i="2"/>
  <c r="Z133" i="2"/>
  <c r="AK133" i="2"/>
  <c r="R133" i="2"/>
  <c r="Q164" i="2"/>
  <c r="AD164" i="2"/>
  <c r="U164" i="2"/>
  <c r="AJ164" i="2"/>
  <c r="V97" i="2"/>
  <c r="AE61" i="2"/>
  <c r="Z61" i="2"/>
  <c r="R61" i="2"/>
  <c r="AK61" i="2"/>
  <c r="R70" i="2"/>
  <c r="AK70" i="2"/>
  <c r="Z70" i="2"/>
  <c r="Q71" i="2"/>
  <c r="AD71" i="2"/>
  <c r="R72" i="2"/>
  <c r="V72" i="2"/>
  <c r="AE72" i="2"/>
  <c r="U90" i="2"/>
  <c r="Q90" i="2"/>
  <c r="AG90" i="2"/>
  <c r="AD90" i="2"/>
  <c r="Z97" i="2"/>
  <c r="R136" i="2"/>
  <c r="V136" i="2"/>
  <c r="Z136" i="2"/>
  <c r="AE136" i="2"/>
  <c r="Q148" i="2"/>
  <c r="AG148" i="2"/>
  <c r="U148" i="2"/>
  <c r="R240" i="2"/>
  <c r="Q253" i="2"/>
  <c r="U253" i="2"/>
  <c r="AJ253" i="2"/>
  <c r="Q403" i="2"/>
  <c r="AG403" i="2"/>
  <c r="U403" i="2"/>
  <c r="AJ403" i="2"/>
  <c r="AD403" i="2"/>
  <c r="Y403" i="2"/>
  <c r="U409" i="2"/>
  <c r="AE71" i="2"/>
  <c r="Z71" i="2"/>
  <c r="R71" i="2"/>
  <c r="AK71" i="2"/>
  <c r="AK81" i="2"/>
  <c r="AE81" i="2"/>
  <c r="Z81" i="2"/>
  <c r="R81" i="2"/>
  <c r="Y82" i="2"/>
  <c r="U82" i="2"/>
  <c r="AG82" i="2"/>
  <c r="AD82" i="2"/>
  <c r="AD116" i="2"/>
  <c r="R148" i="2"/>
  <c r="V148" i="2"/>
  <c r="AE148" i="2"/>
  <c r="Z156" i="2"/>
  <c r="AE167" i="2"/>
  <c r="V167" i="2"/>
  <c r="Z167" i="2"/>
  <c r="AK167" i="2"/>
  <c r="AD199" i="2"/>
  <c r="Y199" i="2"/>
  <c r="Q199" i="2"/>
  <c r="Q289" i="2"/>
  <c r="AG289" i="2"/>
  <c r="Y289" i="2"/>
  <c r="AD289" i="2"/>
  <c r="AJ289" i="2"/>
  <c r="Z403" i="2"/>
  <c r="V403" i="2"/>
  <c r="R403" i="2"/>
  <c r="AK403" i="2"/>
  <c r="Y409" i="2"/>
  <c r="AE58" i="2"/>
  <c r="Z58" i="2"/>
  <c r="R58" i="2"/>
  <c r="Q156" i="2"/>
  <c r="Y156" i="2"/>
  <c r="AG156" i="2"/>
  <c r="AJ156" i="2"/>
  <c r="U156" i="2"/>
  <c r="AD219" i="2"/>
  <c r="Y219" i="2"/>
  <c r="Q219" i="2"/>
  <c r="U219" i="2"/>
  <c r="AJ219" i="2"/>
  <c r="AG219" i="2"/>
  <c r="AD533" i="2"/>
  <c r="Q533" i="2"/>
  <c r="Y533" i="2"/>
  <c r="AG533" i="2"/>
  <c r="U533" i="2"/>
  <c r="AJ533" i="2"/>
  <c r="U93" i="2"/>
  <c r="AD93" i="2"/>
  <c r="U171" i="2"/>
  <c r="AD171" i="2"/>
  <c r="Y171" i="2"/>
  <c r="Q171" i="2"/>
  <c r="V93" i="2"/>
  <c r="R93" i="2"/>
  <c r="AK93" i="2"/>
  <c r="AE93" i="2"/>
  <c r="V145" i="2"/>
  <c r="R145" i="2"/>
  <c r="AE145" i="2"/>
  <c r="R170" i="2"/>
  <c r="AE170" i="2"/>
  <c r="AK170" i="2"/>
  <c r="Q178" i="2"/>
  <c r="AD178" i="2"/>
  <c r="AJ178" i="2"/>
  <c r="AE219" i="2"/>
  <c r="Q259" i="2"/>
  <c r="U259" i="2"/>
  <c r="AJ259" i="2"/>
  <c r="Y259" i="2"/>
  <c r="AG259" i="2"/>
  <c r="AE267" i="2"/>
  <c r="R288" i="2"/>
  <c r="V288" i="2"/>
  <c r="AE288" i="2"/>
  <c r="Z288" i="2"/>
  <c r="AK288" i="2"/>
  <c r="Z323" i="2"/>
  <c r="V323" i="2"/>
  <c r="AK323" i="2"/>
  <c r="AE323" i="2"/>
  <c r="R323" i="2"/>
  <c r="AK372" i="2"/>
  <c r="R372" i="2"/>
  <c r="AE372" i="2"/>
  <c r="V372" i="2"/>
  <c r="AG56" i="2"/>
  <c r="U61" i="2"/>
  <c r="U79" i="2"/>
  <c r="U89" i="2"/>
  <c r="AG111" i="2"/>
  <c r="Q138" i="2"/>
  <c r="U138" i="2"/>
  <c r="AJ138" i="2"/>
  <c r="AG138" i="2"/>
  <c r="AD138" i="2"/>
  <c r="Y138" i="2"/>
  <c r="AE158" i="2"/>
  <c r="Y164" i="2"/>
  <c r="AE184" i="2"/>
  <c r="Q202" i="2"/>
  <c r="U202" i="2"/>
  <c r="Y202" i="2"/>
  <c r="AJ202" i="2"/>
  <c r="AG202" i="2"/>
  <c r="Q203" i="2"/>
  <c r="AJ203" i="2"/>
  <c r="U203" i="2"/>
  <c r="AD203" i="2"/>
  <c r="V259" i="2"/>
  <c r="R259" i="2"/>
  <c r="AK259" i="2"/>
  <c r="Z259" i="2"/>
  <c r="U303" i="2"/>
  <c r="R82" i="2"/>
  <c r="V82" i="2"/>
  <c r="AE82" i="2"/>
  <c r="AG145" i="2"/>
  <c r="Y145" i="2"/>
  <c r="U145" i="2"/>
  <c r="AD145" i="2"/>
  <c r="Q172" i="2"/>
  <c r="AD172" i="2"/>
  <c r="U172" i="2"/>
  <c r="AG172" i="2"/>
  <c r="V61" i="2"/>
  <c r="AG66" i="2"/>
  <c r="U66" i="2"/>
  <c r="Q66" i="2"/>
  <c r="V80" i="2"/>
  <c r="R106" i="2"/>
  <c r="Z106" i="2"/>
  <c r="AK106" i="2"/>
  <c r="Q126" i="2"/>
  <c r="AD126" i="2"/>
  <c r="AG126" i="2"/>
  <c r="AE133" i="2"/>
  <c r="Y143" i="2"/>
  <c r="Q143" i="2"/>
  <c r="AG143" i="2"/>
  <c r="AD143" i="2"/>
  <c r="AD156" i="2"/>
  <c r="Q177" i="2"/>
  <c r="U177" i="2"/>
  <c r="AG177" i="2"/>
  <c r="AD177" i="2"/>
  <c r="R202" i="2"/>
  <c r="Z202" i="2"/>
  <c r="V202" i="2"/>
  <c r="Y229" i="2"/>
  <c r="AE245" i="2"/>
  <c r="Z258" i="2"/>
  <c r="AE258" i="2"/>
  <c r="R258" i="2"/>
  <c r="V258" i="2"/>
  <c r="AK258" i="2"/>
  <c r="U307" i="2"/>
  <c r="Q321" i="2"/>
  <c r="U321" i="2"/>
  <c r="Y321" i="2"/>
  <c r="AG321" i="2"/>
  <c r="AD321" i="2"/>
  <c r="AJ321" i="2"/>
  <c r="Q371" i="2"/>
  <c r="Y371" i="2"/>
  <c r="AD371" i="2"/>
  <c r="U371" i="2"/>
  <c r="AE65" i="2"/>
  <c r="R65" i="2"/>
  <c r="Z65" i="2"/>
  <c r="R66" i="2"/>
  <c r="V66" i="2"/>
  <c r="AE66" i="2"/>
  <c r="Q82" i="2"/>
  <c r="AK127" i="2"/>
  <c r="V127" i="2"/>
  <c r="Z127" i="2"/>
  <c r="R141" i="2"/>
  <c r="AK141" i="2"/>
  <c r="Z141" i="2"/>
  <c r="AE143" i="2"/>
  <c r="Z143" i="2"/>
  <c r="R143" i="2"/>
  <c r="Q150" i="2"/>
  <c r="U150" i="2"/>
  <c r="AJ150" i="2"/>
  <c r="AD150" i="2"/>
  <c r="AE161" i="2"/>
  <c r="R167" i="2"/>
  <c r="R174" i="2"/>
  <c r="AK174" i="2"/>
  <c r="V174" i="2"/>
  <c r="AE177" i="2"/>
  <c r="AK177" i="2"/>
  <c r="R177" i="2"/>
  <c r="V177" i="2"/>
  <c r="AG211" i="2"/>
  <c r="AJ211" i="2"/>
  <c r="U211" i="2"/>
  <c r="AD211" i="2"/>
  <c r="Y211" i="2"/>
  <c r="Q211" i="2"/>
  <c r="V281" i="2"/>
  <c r="AE281" i="2"/>
  <c r="AK281" i="2"/>
  <c r="R281" i="2"/>
  <c r="R282" i="2"/>
  <c r="Z282" i="2"/>
  <c r="V282" i="2"/>
  <c r="AK282" i="2"/>
  <c r="Q283" i="2"/>
  <c r="U283" i="2"/>
  <c r="AG283" i="2"/>
  <c r="Y283" i="2"/>
  <c r="AJ283" i="2"/>
  <c r="Z321" i="2"/>
  <c r="V321" i="2"/>
  <c r="AE321" i="2"/>
  <c r="AK321" i="2"/>
  <c r="R321" i="2"/>
  <c r="Z331" i="2"/>
  <c r="V331" i="2"/>
  <c r="AK331" i="2"/>
  <c r="R331" i="2"/>
  <c r="AE331" i="2"/>
  <c r="AJ555" i="2"/>
  <c r="Q555" i="2"/>
  <c r="Y555" i="2"/>
  <c r="AD555" i="2"/>
  <c r="AG555" i="2"/>
  <c r="U555" i="2"/>
  <c r="R110" i="2"/>
  <c r="Z110" i="2"/>
  <c r="AK110" i="2"/>
  <c r="Q145" i="2"/>
  <c r="Q176" i="2"/>
  <c r="AJ176" i="2"/>
  <c r="AG176" i="2"/>
  <c r="U176" i="2"/>
  <c r="Y176" i="2"/>
  <c r="AE183" i="2"/>
  <c r="AK219" i="2"/>
  <c r="V287" i="2"/>
  <c r="Z287" i="2"/>
  <c r="AE287" i="2"/>
  <c r="R287" i="2"/>
  <c r="Q337" i="2"/>
  <c r="AG337" i="2"/>
  <c r="AD337" i="2"/>
  <c r="Y337" i="2"/>
  <c r="AJ337" i="2"/>
  <c r="U337" i="2"/>
  <c r="AE467" i="2"/>
  <c r="AG76" i="2"/>
  <c r="Q76" i="2"/>
  <c r="AJ76" i="2"/>
  <c r="U76" i="2"/>
  <c r="U85" i="2"/>
  <c r="AG85" i="2"/>
  <c r="AD85" i="2"/>
  <c r="Q93" i="2"/>
  <c r="Q107" i="2"/>
  <c r="Y107" i="2"/>
  <c r="AG107" i="2"/>
  <c r="U107" i="2"/>
  <c r="AD107" i="2"/>
  <c r="R140" i="2"/>
  <c r="V140" i="2"/>
  <c r="AE140" i="2"/>
  <c r="V71" i="2"/>
  <c r="R75" i="2"/>
  <c r="AK75" i="2"/>
  <c r="Z75" i="2"/>
  <c r="R76" i="2"/>
  <c r="AE76" i="2"/>
  <c r="V76" i="2"/>
  <c r="V81" i="2"/>
  <c r="AE85" i="2"/>
  <c r="V85" i="2"/>
  <c r="R85" i="2"/>
  <c r="U109" i="2"/>
  <c r="AG109" i="2"/>
  <c r="AD109" i="2"/>
  <c r="Q109" i="2"/>
  <c r="R176" i="2"/>
  <c r="V176" i="2"/>
  <c r="Z176" i="2"/>
  <c r="AK176" i="2"/>
  <c r="U187" i="2"/>
  <c r="AD187" i="2"/>
  <c r="Q187" i="2"/>
  <c r="Y187" i="2"/>
  <c r="AJ187" i="2"/>
  <c r="AG187" i="2"/>
  <c r="R188" i="2"/>
  <c r="V188" i="2"/>
  <c r="AK188" i="2"/>
  <c r="AE188" i="2"/>
  <c r="U191" i="2"/>
  <c r="AJ191" i="2"/>
  <c r="Y191" i="2"/>
  <c r="AG191" i="2"/>
  <c r="Q191" i="2"/>
  <c r="U289" i="2"/>
  <c r="Q295" i="2"/>
  <c r="U295" i="2"/>
  <c r="AG295" i="2"/>
  <c r="AD295" i="2"/>
  <c r="AJ295" i="2"/>
  <c r="R298" i="2"/>
  <c r="Z298" i="2"/>
  <c r="V298" i="2"/>
  <c r="AE298" i="2"/>
  <c r="Z337" i="2"/>
  <c r="V337" i="2"/>
  <c r="R337" i="2"/>
  <c r="AE337" i="2"/>
  <c r="AD417" i="2"/>
  <c r="Q427" i="2"/>
  <c r="AJ427" i="2"/>
  <c r="U427" i="2"/>
  <c r="Y427" i="2"/>
  <c r="Y449" i="2"/>
  <c r="R109" i="2"/>
  <c r="AE109" i="2"/>
  <c r="Z109" i="2"/>
  <c r="AK156" i="2"/>
  <c r="Z187" i="2"/>
  <c r="V187" i="2"/>
  <c r="AK187" i="2"/>
  <c r="AK191" i="2"/>
  <c r="AE191" i="2"/>
  <c r="Z191" i="2"/>
  <c r="R191" i="2"/>
  <c r="U235" i="2"/>
  <c r="AD235" i="2"/>
  <c r="Q235" i="2"/>
  <c r="Y235" i="2"/>
  <c r="AJ235" i="2"/>
  <c r="V295" i="2"/>
  <c r="AE295" i="2"/>
  <c r="R295" i="2"/>
  <c r="AK295" i="2"/>
  <c r="AK352" i="2"/>
  <c r="Z352" i="2"/>
  <c r="R352" i="2"/>
  <c r="AE352" i="2"/>
  <c r="V352" i="2"/>
  <c r="Z205" i="2"/>
  <c r="AK205" i="2"/>
  <c r="V205" i="2"/>
  <c r="R205" i="2"/>
  <c r="V224" i="2"/>
  <c r="AK224" i="2"/>
  <c r="R224" i="2"/>
  <c r="AK269" i="2"/>
  <c r="Z507" i="2"/>
  <c r="R507" i="2"/>
  <c r="V507" i="2"/>
  <c r="AE507" i="2"/>
  <c r="AK507" i="2"/>
  <c r="AG690" i="2"/>
  <c r="Y690" i="2"/>
  <c r="AJ690" i="2"/>
  <c r="Q690" i="2"/>
  <c r="AD690" i="2"/>
  <c r="U690" i="2"/>
  <c r="Z113" i="2"/>
  <c r="V113" i="2"/>
  <c r="Y111" i="2"/>
  <c r="Q111" i="2"/>
  <c r="AD111" i="2"/>
  <c r="Q116" i="2"/>
  <c r="Y116" i="2"/>
  <c r="AG116" i="2"/>
  <c r="R55" i="2"/>
  <c r="AK55" i="2"/>
  <c r="Z55" i="2"/>
  <c r="AE56" i="2"/>
  <c r="R56" i="2"/>
  <c r="AK56" i="2"/>
  <c r="AK59" i="2"/>
  <c r="Z82" i="2"/>
  <c r="Y93" i="2"/>
  <c r="AG99" i="2"/>
  <c r="Q99" i="2"/>
  <c r="Y99" i="2"/>
  <c r="R112" i="2"/>
  <c r="AE112" i="2"/>
  <c r="Z112" i="2"/>
  <c r="AG115" i="2"/>
  <c r="Y115" i="2"/>
  <c r="AD115" i="2"/>
  <c r="Q115" i="2"/>
  <c r="R116" i="2"/>
  <c r="Z116" i="2"/>
  <c r="V116" i="2"/>
  <c r="AE116" i="2"/>
  <c r="AK117" i="2"/>
  <c r="R117" i="2"/>
  <c r="Z117" i="2"/>
  <c r="AJ120" i="2"/>
  <c r="Z145" i="2"/>
  <c r="AD159" i="2"/>
  <c r="Y159" i="2"/>
  <c r="U159" i="2"/>
  <c r="AG159" i="2"/>
  <c r="AG164" i="2"/>
  <c r="Y185" i="2"/>
  <c r="AG185" i="2"/>
  <c r="AD185" i="2"/>
  <c r="Q185" i="2"/>
  <c r="Q214" i="2"/>
  <c r="AG214" i="2"/>
  <c r="AD214" i="2"/>
  <c r="U214" i="2"/>
  <c r="AD221" i="2"/>
  <c r="AG221" i="2"/>
  <c r="AJ221" i="2"/>
  <c r="Q221" i="2"/>
  <c r="Y221" i="2"/>
  <c r="AG229" i="2"/>
  <c r="AJ248" i="2"/>
  <c r="Q263" i="2"/>
  <c r="AG263" i="2"/>
  <c r="AD263" i="2"/>
  <c r="AJ263" i="2"/>
  <c r="U263" i="2"/>
  <c r="V264" i="2"/>
  <c r="AE264" i="2"/>
  <c r="R264" i="2"/>
  <c r="Z264" i="2"/>
  <c r="Q329" i="2"/>
  <c r="AG329" i="2"/>
  <c r="AJ329" i="2"/>
  <c r="AD329" i="2"/>
  <c r="U329" i="2"/>
  <c r="Y329" i="2"/>
  <c r="AK390" i="2"/>
  <c r="V390" i="2"/>
  <c r="R390" i="2"/>
  <c r="Z390" i="2"/>
  <c r="AE390" i="2"/>
  <c r="AD56" i="2"/>
  <c r="Y56" i="2"/>
  <c r="Q56" i="2"/>
  <c r="AK58" i="2"/>
  <c r="Q112" i="2"/>
  <c r="AG112" i="2"/>
  <c r="AD112" i="2"/>
  <c r="U112" i="2"/>
  <c r="Q114" i="2"/>
  <c r="AJ114" i="2"/>
  <c r="Y114" i="2"/>
  <c r="AK118" i="2"/>
  <c r="U57" i="2"/>
  <c r="Q57" i="2"/>
  <c r="AJ57" i="2"/>
  <c r="AD57" i="2"/>
  <c r="AG61" i="2"/>
  <c r="V65" i="2"/>
  <c r="AG79" i="2"/>
  <c r="Q85" i="2"/>
  <c r="Z93" i="2"/>
  <c r="AG97" i="2"/>
  <c r="AD97" i="2"/>
  <c r="Y97" i="2"/>
  <c r="Q97" i="2"/>
  <c r="Q98" i="2"/>
  <c r="U98" i="2"/>
  <c r="AG98" i="2"/>
  <c r="AD98" i="2"/>
  <c r="AE115" i="2"/>
  <c r="Z115" i="2"/>
  <c r="R115" i="2"/>
  <c r="AE129" i="2"/>
  <c r="Z129" i="2"/>
  <c r="R129" i="2"/>
  <c r="AJ131" i="2"/>
  <c r="U131" i="2"/>
  <c r="AD131" i="2"/>
  <c r="V141" i="2"/>
  <c r="V143" i="2"/>
  <c r="Q153" i="2"/>
  <c r="Y153" i="2"/>
  <c r="AJ153" i="2"/>
  <c r="R154" i="2"/>
  <c r="AE154" i="2"/>
  <c r="V154" i="2"/>
  <c r="AK161" i="2"/>
  <c r="Z170" i="2"/>
  <c r="Y172" i="2"/>
  <c r="Y178" i="2"/>
  <c r="AK185" i="2"/>
  <c r="AE185" i="2"/>
  <c r="Z185" i="2"/>
  <c r="R185" i="2"/>
  <c r="R208" i="2"/>
  <c r="V208" i="2"/>
  <c r="AE208" i="2"/>
  <c r="AE209" i="2"/>
  <c r="R209" i="2"/>
  <c r="AK209" i="2"/>
  <c r="Z209" i="2"/>
  <c r="Z215" i="2"/>
  <c r="R215" i="2"/>
  <c r="V223" i="2"/>
  <c r="R223" i="2"/>
  <c r="AK223" i="2"/>
  <c r="AK248" i="2"/>
  <c r="Z329" i="2"/>
  <c r="V329" i="2"/>
  <c r="AE329" i="2"/>
  <c r="AK329" i="2"/>
  <c r="R329" i="2"/>
  <c r="AK344" i="2"/>
  <c r="AE344" i="2"/>
  <c r="Z344" i="2"/>
  <c r="R344" i="2"/>
  <c r="V344" i="2"/>
  <c r="AK350" i="2"/>
  <c r="R350" i="2"/>
  <c r="Z350" i="2"/>
  <c r="V350" i="2"/>
  <c r="AE350" i="2"/>
  <c r="AK394" i="2"/>
  <c r="Z394" i="2"/>
  <c r="R394" i="2"/>
  <c r="V394" i="2"/>
  <c r="Z429" i="2"/>
  <c r="V429" i="2"/>
  <c r="AE429" i="2"/>
  <c r="R429" i="2"/>
  <c r="AK429" i="2"/>
  <c r="Q535" i="2"/>
  <c r="Y535" i="2"/>
  <c r="AG535" i="2"/>
  <c r="AD535" i="2"/>
  <c r="U535" i="2"/>
  <c r="AJ535" i="2"/>
  <c r="AE97" i="2"/>
  <c r="R97" i="2"/>
  <c r="R98" i="2"/>
  <c r="V98" i="2"/>
  <c r="AE98" i="2"/>
  <c r="U100" i="2"/>
  <c r="AD100" i="2"/>
  <c r="Q100" i="2"/>
  <c r="AE101" i="2"/>
  <c r="V101" i="2"/>
  <c r="AK101" i="2"/>
  <c r="R113" i="2"/>
  <c r="R153" i="2"/>
  <c r="Z153" i="2"/>
  <c r="AE153" i="2"/>
  <c r="V153" i="2"/>
  <c r="AK153" i="2"/>
  <c r="Q158" i="2"/>
  <c r="AG158" i="2"/>
  <c r="U158" i="2"/>
  <c r="AJ158" i="2"/>
  <c r="Y158" i="2"/>
  <c r="R187" i="2"/>
  <c r="Q194" i="2"/>
  <c r="AD194" i="2"/>
  <c r="U194" i="2"/>
  <c r="AJ194" i="2"/>
  <c r="R216" i="2"/>
  <c r="Z216" i="2"/>
  <c r="AK216" i="2"/>
  <c r="V216" i="2"/>
  <c r="R220" i="2"/>
  <c r="AK220" i="2"/>
  <c r="AE220" i="2"/>
  <c r="V220" i="2"/>
  <c r="Z383" i="2"/>
  <c r="V383" i="2"/>
  <c r="AE383" i="2"/>
  <c r="R383" i="2"/>
  <c r="AK383" i="2"/>
  <c r="Z395" i="2"/>
  <c r="V395" i="2"/>
  <c r="AE395" i="2"/>
  <c r="AK395" i="2"/>
  <c r="R395" i="2"/>
  <c r="AK410" i="2"/>
  <c r="V410" i="2"/>
  <c r="AE410" i="2"/>
  <c r="R410" i="2"/>
  <c r="Z410" i="2"/>
  <c r="AK467" i="2"/>
  <c r="Y667" i="2"/>
  <c r="AD667" i="2"/>
  <c r="Q667" i="2"/>
  <c r="AG667" i="2"/>
  <c r="AJ667" i="2"/>
  <c r="U667" i="2"/>
  <c r="AJ84" i="2"/>
  <c r="AK100" i="2"/>
  <c r="AJ103" i="2"/>
  <c r="R138" i="2"/>
  <c r="Z138" i="2"/>
  <c r="AK138" i="2"/>
  <c r="AK171" i="2"/>
  <c r="Z230" i="2"/>
  <c r="R230" i="2"/>
  <c r="AK230" i="2"/>
  <c r="AK296" i="2"/>
  <c r="V296" i="2"/>
  <c r="Z296" i="2"/>
  <c r="Q315" i="2"/>
  <c r="AG315" i="2"/>
  <c r="AJ315" i="2"/>
  <c r="Y315" i="2"/>
  <c r="AD315" i="2"/>
  <c r="Q347" i="2"/>
  <c r="AJ347" i="2"/>
  <c r="U347" i="2"/>
  <c r="Z367" i="2"/>
  <c r="V367" i="2"/>
  <c r="AK367" i="2"/>
  <c r="AE367" i="2"/>
  <c r="Z379" i="2"/>
  <c r="V379" i="2"/>
  <c r="AE379" i="2"/>
  <c r="Z479" i="2"/>
  <c r="V479" i="2"/>
  <c r="AE479" i="2"/>
  <c r="R479" i="2"/>
  <c r="AJ526" i="2"/>
  <c r="Q526" i="2"/>
  <c r="AG526" i="2"/>
  <c r="AD526" i="2"/>
  <c r="U526" i="2"/>
  <c r="Y526" i="2"/>
  <c r="Y70" i="2"/>
  <c r="AK79" i="2"/>
  <c r="AK84" i="2"/>
  <c r="R92" i="2"/>
  <c r="AE92" i="2"/>
  <c r="AK103" i="2"/>
  <c r="U119" i="2"/>
  <c r="Q119" i="2"/>
  <c r="AJ119" i="2"/>
  <c r="Q157" i="2"/>
  <c r="AJ157" i="2"/>
  <c r="Y157" i="2"/>
  <c r="AE175" i="2"/>
  <c r="Z175" i="2"/>
  <c r="R175" i="2"/>
  <c r="R180" i="2"/>
  <c r="Z180" i="2"/>
  <c r="Q192" i="2"/>
  <c r="U192" i="2"/>
  <c r="R196" i="2"/>
  <c r="V196" i="2"/>
  <c r="AE196" i="2"/>
  <c r="R206" i="2"/>
  <c r="Z206" i="2"/>
  <c r="V255" i="2"/>
  <c r="Z255" i="2"/>
  <c r="V256" i="2"/>
  <c r="AE256" i="2"/>
  <c r="AK256" i="2"/>
  <c r="Z256" i="2"/>
  <c r="Q285" i="2"/>
  <c r="AJ285" i="2"/>
  <c r="AG285" i="2"/>
  <c r="Y285" i="2"/>
  <c r="Z315" i="2"/>
  <c r="V315" i="2"/>
  <c r="R315" i="2"/>
  <c r="AK315" i="2"/>
  <c r="AK318" i="2"/>
  <c r="AE318" i="2"/>
  <c r="Z318" i="2"/>
  <c r="R318" i="2"/>
  <c r="Q333" i="2"/>
  <c r="U333" i="2"/>
  <c r="AD333" i="2"/>
  <c r="AG333" i="2"/>
  <c r="Y333" i="2"/>
  <c r="AJ333" i="2"/>
  <c r="AK440" i="2"/>
  <c r="V440" i="2"/>
  <c r="Z440" i="2"/>
  <c r="R440" i="2"/>
  <c r="AD478" i="2"/>
  <c r="AG478" i="2"/>
  <c r="Q478" i="2"/>
  <c r="AJ478" i="2"/>
  <c r="U478" i="2"/>
  <c r="AJ528" i="2"/>
  <c r="U528" i="2"/>
  <c r="Y528" i="2"/>
  <c r="Q528" i="2"/>
  <c r="AD528" i="2"/>
  <c r="V19" i="2"/>
  <c r="V47" i="2"/>
  <c r="R162" i="2"/>
  <c r="Z162" i="2"/>
  <c r="Q212" i="2"/>
  <c r="AG212" i="2"/>
  <c r="AD212" i="2"/>
  <c r="AG234" i="2"/>
  <c r="AJ234" i="2"/>
  <c r="Y234" i="2"/>
  <c r="Q317" i="2"/>
  <c r="AJ317" i="2"/>
  <c r="AG317" i="2"/>
  <c r="U317" i="2"/>
  <c r="AD317" i="2"/>
  <c r="Z333" i="2"/>
  <c r="V333" i="2"/>
  <c r="R333" i="2"/>
  <c r="AE333" i="2"/>
  <c r="Q437" i="2"/>
  <c r="U437" i="2"/>
  <c r="Y437" i="2"/>
  <c r="AG437" i="2"/>
  <c r="AJ437" i="2"/>
  <c r="AK478" i="2"/>
  <c r="AE478" i="2"/>
  <c r="Z478" i="2"/>
  <c r="V478" i="2"/>
  <c r="R478" i="2"/>
  <c r="AK496" i="2"/>
  <c r="R496" i="2"/>
  <c r="Z496" i="2"/>
  <c r="V496" i="2"/>
  <c r="AK528" i="2"/>
  <c r="R528" i="2"/>
  <c r="Z528" i="2"/>
  <c r="V528" i="2"/>
  <c r="AE528" i="2"/>
  <c r="Y55" i="2"/>
  <c r="C24" i="5"/>
  <c r="C33" i="5"/>
  <c r="C42" i="5"/>
  <c r="C3" i="4"/>
  <c r="C14" i="5"/>
  <c r="V3" i="2"/>
  <c r="V5" i="2"/>
  <c r="V13" i="2"/>
  <c r="V15" i="2"/>
  <c r="V21" i="2"/>
  <c r="V39" i="2"/>
  <c r="V43" i="2"/>
  <c r="V45" i="2"/>
  <c r="V49" i="2"/>
  <c r="V51" i="2"/>
  <c r="U63" i="2"/>
  <c r="V68" i="2"/>
  <c r="AG87" i="2"/>
  <c r="Y87" i="2"/>
  <c r="AJ87" i="2"/>
  <c r="R134" i="2"/>
  <c r="AE134" i="2"/>
  <c r="AE157" i="2"/>
  <c r="Z157" i="2"/>
  <c r="U197" i="2"/>
  <c r="AG197" i="2"/>
  <c r="Y197" i="2"/>
  <c r="Y239" i="2"/>
  <c r="U239" i="2"/>
  <c r="AK54" i="2"/>
  <c r="V63" i="2"/>
  <c r="U64" i="2"/>
  <c r="Q64" i="2"/>
  <c r="AJ69" i="2"/>
  <c r="R74" i="2"/>
  <c r="AE74" i="2"/>
  <c r="Z78" i="2"/>
  <c r="Y83" i="2"/>
  <c r="V94" i="2"/>
  <c r="Q130" i="2"/>
  <c r="Y130" i="2"/>
  <c r="U130" i="2"/>
  <c r="AD136" i="2"/>
  <c r="Q144" i="2"/>
  <c r="AG144" i="2"/>
  <c r="U144" i="2"/>
  <c r="AJ144" i="2"/>
  <c r="V147" i="2"/>
  <c r="Y160" i="2"/>
  <c r="Y169" i="2"/>
  <c r="Y173" i="2"/>
  <c r="Q186" i="2"/>
  <c r="AD186" i="2"/>
  <c r="Y186" i="2"/>
  <c r="AJ186" i="2"/>
  <c r="AG186" i="2"/>
  <c r="Y210" i="2"/>
  <c r="R212" i="2"/>
  <c r="Z212" i="2"/>
  <c r="AE234" i="2"/>
  <c r="V234" i="2"/>
  <c r="Q265" i="2"/>
  <c r="AD265" i="2"/>
  <c r="U265" i="2"/>
  <c r="V275" i="2"/>
  <c r="Z275" i="2"/>
  <c r="AK275" i="2"/>
  <c r="R276" i="2"/>
  <c r="Z276" i="2"/>
  <c r="AK276" i="2"/>
  <c r="AE276" i="2"/>
  <c r="Q381" i="2"/>
  <c r="AG381" i="2"/>
  <c r="AD381" i="2"/>
  <c r="Y381" i="2"/>
  <c r="Q425" i="2"/>
  <c r="AG425" i="2"/>
  <c r="AJ425" i="2"/>
  <c r="AD425" i="2"/>
  <c r="U590" i="2"/>
  <c r="AD590" i="2"/>
  <c r="Y590" i="2"/>
  <c r="Q590" i="2"/>
  <c r="AJ590" i="2"/>
  <c r="AD653" i="2"/>
  <c r="AG653" i="2"/>
  <c r="U653" i="2"/>
  <c r="AJ653" i="2"/>
  <c r="Y653" i="2"/>
  <c r="Q653" i="2"/>
  <c r="V7" i="2"/>
  <c r="V9" i="2"/>
  <c r="V11" i="2"/>
  <c r="V17" i="2"/>
  <c r="V23" i="2"/>
  <c r="V25" i="2"/>
  <c r="V27" i="2"/>
  <c r="V29" i="2"/>
  <c r="V31" i="2"/>
  <c r="V33" i="2"/>
  <c r="V35" i="2"/>
  <c r="V37" i="2"/>
  <c r="V41" i="2"/>
  <c r="AJ54" i="2"/>
  <c r="U73" i="2"/>
  <c r="AK119" i="2"/>
  <c r="AK412" i="2"/>
  <c r="AE412" i="2"/>
  <c r="Z412" i="2"/>
  <c r="V412" i="2"/>
  <c r="G18" i="5"/>
  <c r="C10" i="4"/>
  <c r="G16" i="5"/>
  <c r="C22" i="4"/>
  <c r="B61" i="5" s="1"/>
  <c r="F15" i="5"/>
  <c r="C9" i="4"/>
  <c r="C15" i="5"/>
  <c r="C16" i="5" s="1"/>
  <c r="C18" i="4"/>
  <c r="C18" i="5"/>
  <c r="C37" i="4"/>
  <c r="G17" i="5"/>
  <c r="F17" i="5"/>
  <c r="D10" i="4"/>
  <c r="G15" i="5"/>
  <c r="C23" i="4"/>
  <c r="C17" i="4"/>
  <c r="C15" i="4"/>
  <c r="G19" i="5"/>
  <c r="C7" i="4"/>
  <c r="F19" i="5"/>
  <c r="F20" i="5"/>
  <c r="G20" i="5"/>
  <c r="C19" i="5"/>
  <c r="F18" i="5"/>
  <c r="H18" i="5" s="1"/>
  <c r="F16" i="5"/>
  <c r="H16" i="5" s="1"/>
  <c r="C21" i="4"/>
  <c r="D11" i="4"/>
  <c r="D9" i="4"/>
  <c r="D8" i="4"/>
  <c r="C8" i="4"/>
  <c r="C17" i="5"/>
  <c r="C11" i="4"/>
  <c r="D7" i="4"/>
  <c r="C34" i="4"/>
  <c r="U58" i="2"/>
  <c r="AK77" i="2"/>
  <c r="U81" i="2"/>
  <c r="Y91" i="2"/>
  <c r="Z99" i="2"/>
  <c r="Q106" i="2"/>
  <c r="AG106" i="2"/>
  <c r="Z108" i="2"/>
  <c r="Q110" i="2"/>
  <c r="AG110" i="2"/>
  <c r="AJ113" i="2"/>
  <c r="Z125" i="2"/>
  <c r="AJ127" i="2"/>
  <c r="U129" i="2"/>
  <c r="R130" i="2"/>
  <c r="V130" i="2"/>
  <c r="U133" i="2"/>
  <c r="AE135" i="2"/>
  <c r="Z135" i="2"/>
  <c r="Z142" i="2"/>
  <c r="R144" i="2"/>
  <c r="AE144" i="2"/>
  <c r="AE150" i="2"/>
  <c r="Z169" i="2"/>
  <c r="R186" i="2"/>
  <c r="V186" i="2"/>
  <c r="Y190" i="2"/>
  <c r="Y200" i="2"/>
  <c r="Z210" i="2"/>
  <c r="R218" i="2"/>
  <c r="V218" i="2"/>
  <c r="Z218" i="2"/>
  <c r="AG232" i="2"/>
  <c r="AD232" i="2"/>
  <c r="AJ232" i="2"/>
  <c r="U232" i="2"/>
  <c r="Q232" i="2"/>
  <c r="Q287" i="2"/>
  <c r="AD287" i="2"/>
  <c r="Y287" i="2"/>
  <c r="AJ287" i="2"/>
  <c r="U287" i="2"/>
  <c r="AG287" i="2"/>
  <c r="Z305" i="2"/>
  <c r="V305" i="2"/>
  <c r="R305" i="2"/>
  <c r="AK305" i="2"/>
  <c r="AK308" i="2"/>
  <c r="Z308" i="2"/>
  <c r="V308" i="2"/>
  <c r="R367" i="2"/>
  <c r="Q369" i="2"/>
  <c r="AJ369" i="2"/>
  <c r="AG369" i="2"/>
  <c r="U369" i="2"/>
  <c r="AD369" i="2"/>
  <c r="AK370" i="2"/>
  <c r="AE370" i="2"/>
  <c r="Z370" i="2"/>
  <c r="R370" i="2"/>
  <c r="R379" i="2"/>
  <c r="Z381" i="2"/>
  <c r="V381" i="2"/>
  <c r="R381" i="2"/>
  <c r="Z425" i="2"/>
  <c r="V425" i="2"/>
  <c r="R425" i="2"/>
  <c r="AK425" i="2"/>
  <c r="AE590" i="2"/>
  <c r="V590" i="2"/>
  <c r="R590" i="2"/>
  <c r="AK590" i="2"/>
  <c r="Z590" i="2"/>
  <c r="R2" i="2"/>
  <c r="AG55" i="2"/>
  <c r="Q59" i="2"/>
  <c r="AJ65" i="2"/>
  <c r="AD68" i="2"/>
  <c r="AG70" i="2"/>
  <c r="V79" i="2"/>
  <c r="V84" i="2"/>
  <c r="AG88" i="2"/>
  <c r="R90" i="2"/>
  <c r="AE90" i="2"/>
  <c r="Z90" i="2"/>
  <c r="V92" i="2"/>
  <c r="R95" i="2"/>
  <c r="AG96" i="2"/>
  <c r="V103" i="2"/>
  <c r="Q113" i="2"/>
  <c r="V119" i="2"/>
  <c r="AE125" i="2"/>
  <c r="Q127" i="2"/>
  <c r="AD133" i="2"/>
  <c r="R135" i="2"/>
  <c r="AJ136" i="2"/>
  <c r="AE147" i="2"/>
  <c r="AG155" i="2"/>
  <c r="U157" i="2"/>
  <c r="AD165" i="2"/>
  <c r="AG173" i="2"/>
  <c r="Q182" i="2"/>
  <c r="AD182" i="2"/>
  <c r="AJ182" i="2"/>
  <c r="Q188" i="2"/>
  <c r="AD188" i="2"/>
  <c r="U188" i="2"/>
  <c r="AD190" i="2"/>
  <c r="AD200" i="2"/>
  <c r="Q207" i="2"/>
  <c r="Q208" i="2"/>
  <c r="AG208" i="2"/>
  <c r="AD208" i="2"/>
  <c r="V212" i="2"/>
  <c r="AD216" i="2"/>
  <c r="V241" i="2"/>
  <c r="R241" i="2"/>
  <c r="AK241" i="2"/>
  <c r="U285" i="2"/>
  <c r="R308" i="2"/>
  <c r="V318" i="2"/>
  <c r="Q339" i="2"/>
  <c r="AG339" i="2"/>
  <c r="AD339" i="2"/>
  <c r="U381" i="2"/>
  <c r="U425" i="2"/>
  <c r="Z445" i="2"/>
  <c r="V445" i="2"/>
  <c r="R445" i="2"/>
  <c r="AE445" i="2"/>
  <c r="Z100" i="2"/>
  <c r="AK111" i="2"/>
  <c r="Z126" i="2"/>
  <c r="Y134" i="2"/>
  <c r="U141" i="2"/>
  <c r="Q141" i="2"/>
  <c r="Y162" i="2"/>
  <c r="Y175" i="2"/>
  <c r="U183" i="2"/>
  <c r="AG183" i="2"/>
  <c r="AG189" i="2"/>
  <c r="U189" i="2"/>
  <c r="AD189" i="2"/>
  <c r="Z196" i="2"/>
  <c r="Y206" i="2"/>
  <c r="AJ209" i="2"/>
  <c r="Y209" i="2"/>
  <c r="Q209" i="2"/>
  <c r="R214" i="2"/>
  <c r="AE214" i="2"/>
  <c r="V214" i="2"/>
  <c r="AJ215" i="2"/>
  <c r="Z270" i="2"/>
  <c r="V270" i="2"/>
  <c r="AE270" i="2"/>
  <c r="R270" i="2"/>
  <c r="AK270" i="2"/>
  <c r="Z292" i="2"/>
  <c r="AE292" i="2"/>
  <c r="AK292" i="2"/>
  <c r="AK340" i="2"/>
  <c r="AE340" i="2"/>
  <c r="Z340" i="2"/>
  <c r="Z353" i="2"/>
  <c r="V353" i="2"/>
  <c r="AK353" i="2"/>
  <c r="R353" i="2"/>
  <c r="AE353" i="2"/>
  <c r="Q391" i="2"/>
  <c r="AJ391" i="2"/>
  <c r="AG391" i="2"/>
  <c r="AD391" i="2"/>
  <c r="U391" i="2"/>
  <c r="V559" i="2"/>
  <c r="R559" i="2"/>
  <c r="Z559" i="2"/>
  <c r="AE559" i="2"/>
  <c r="AG73" i="2"/>
  <c r="Q146" i="2"/>
  <c r="Y146" i="2"/>
  <c r="R168" i="2"/>
  <c r="Z168" i="2"/>
  <c r="AG528" i="2"/>
  <c r="Q60" i="2"/>
  <c r="AG60" i="2"/>
  <c r="AG63" i="2"/>
  <c r="Z84" i="2"/>
  <c r="AG86" i="2"/>
  <c r="Z92" i="2"/>
  <c r="AK99" i="2"/>
  <c r="Y121" i="2"/>
  <c r="AD121" i="2"/>
  <c r="Q121" i="2"/>
  <c r="Z123" i="2"/>
  <c r="R132" i="2"/>
  <c r="AE132" i="2"/>
  <c r="R178" i="2"/>
  <c r="V178" i="2"/>
  <c r="Z178" i="2"/>
  <c r="AG195" i="2"/>
  <c r="AE199" i="2"/>
  <c r="AK199" i="2"/>
  <c r="Z64" i="2"/>
  <c r="Q65" i="2"/>
  <c r="Q75" i="2"/>
  <c r="AK78" i="2"/>
  <c r="Z95" i="2"/>
  <c r="AK108" i="2"/>
  <c r="AG125" i="2"/>
  <c r="U125" i="2"/>
  <c r="AJ137" i="2"/>
  <c r="AE138" i="2"/>
  <c r="Z139" i="2"/>
  <c r="Z144" i="2"/>
  <c r="V155" i="2"/>
  <c r="R155" i="2"/>
  <c r="Z173" i="2"/>
  <c r="AE173" i="2"/>
  <c r="AE180" i="2"/>
  <c r="AJ190" i="2"/>
  <c r="Q204" i="2"/>
  <c r="AD204" i="2"/>
  <c r="AK210" i="2"/>
  <c r="AD239" i="2"/>
  <c r="AE255" i="2"/>
  <c r="AD285" i="2"/>
  <c r="Q327" i="2"/>
  <c r="Y327" i="2"/>
  <c r="AJ327" i="2"/>
  <c r="AD347" i="2"/>
  <c r="Y369" i="2"/>
  <c r="Z451" i="2"/>
  <c r="V451" i="2"/>
  <c r="AK451" i="2"/>
  <c r="R451" i="2"/>
  <c r="AE496" i="2"/>
  <c r="AG616" i="2"/>
  <c r="Q616" i="2"/>
  <c r="U616" i="2"/>
  <c r="AJ616" i="2"/>
  <c r="Y616" i="2"/>
  <c r="AD616" i="2"/>
  <c r="AJ68" i="2"/>
  <c r="U91" i="2"/>
  <c r="Q91" i="2"/>
  <c r="AJ91" i="2"/>
  <c r="Q108" i="2"/>
  <c r="AD108" i="2"/>
  <c r="Y108" i="2"/>
  <c r="AE126" i="2"/>
  <c r="Q142" i="2"/>
  <c r="Y142" i="2"/>
  <c r="Q160" i="2"/>
  <c r="U160" i="2"/>
  <c r="AD162" i="2"/>
  <c r="AG169" i="2"/>
  <c r="Q169" i="2"/>
  <c r="U169" i="2"/>
  <c r="AD175" i="2"/>
  <c r="AD192" i="2"/>
  <c r="AD206" i="2"/>
  <c r="AE230" i="2"/>
  <c r="AG244" i="2"/>
  <c r="U244" i="2"/>
  <c r="Q244" i="2"/>
  <c r="Y244" i="2"/>
  <c r="Q261" i="2"/>
  <c r="U261" i="2"/>
  <c r="Y261" i="2"/>
  <c r="AG261" i="2"/>
  <c r="V293" i="2"/>
  <c r="AE293" i="2"/>
  <c r="AK293" i="2"/>
  <c r="AK333" i="2"/>
  <c r="Z393" i="2"/>
  <c r="V393" i="2"/>
  <c r="AE460" i="2"/>
  <c r="Z460" i="2"/>
  <c r="AK460" i="2"/>
  <c r="V460" i="2"/>
  <c r="Z491" i="2"/>
  <c r="V491" i="2"/>
  <c r="R491" i="2"/>
  <c r="AK491" i="2"/>
  <c r="AE491" i="2"/>
  <c r="Z517" i="2"/>
  <c r="R517" i="2"/>
  <c r="AE517" i="2"/>
  <c r="AK517" i="2"/>
  <c r="V517" i="2"/>
  <c r="AK551" i="2"/>
  <c r="R551" i="2"/>
  <c r="V551" i="2"/>
  <c r="AE551" i="2"/>
  <c r="Z551" i="2"/>
  <c r="AK68" i="2"/>
  <c r="AJ86" i="2"/>
  <c r="Q96" i="2"/>
  <c r="AE100" i="2"/>
  <c r="U102" i="2"/>
  <c r="AD102" i="2"/>
  <c r="AD134" i="2"/>
  <c r="R142" i="2"/>
  <c r="AE142" i="2"/>
  <c r="AG147" i="2"/>
  <c r="AD147" i="2"/>
  <c r="Y147" i="2"/>
  <c r="AD157" i="2"/>
  <c r="AE162" i="2"/>
  <c r="Z165" i="2"/>
  <c r="V165" i="2"/>
  <c r="AK165" i="2"/>
  <c r="AK169" i="2"/>
  <c r="R169" i="2"/>
  <c r="Q183" i="2"/>
  <c r="Q189" i="2"/>
  <c r="R190" i="2"/>
  <c r="AE190" i="2"/>
  <c r="AK195" i="2"/>
  <c r="V195" i="2"/>
  <c r="AE206" i="2"/>
  <c r="Q210" i="2"/>
  <c r="U210" i="2"/>
  <c r="AD210" i="2"/>
  <c r="Q215" i="2"/>
  <c r="Z228" i="2"/>
  <c r="V228" i="2"/>
  <c r="AD234" i="2"/>
  <c r="R292" i="2"/>
  <c r="AK294" i="2"/>
  <c r="Z294" i="2"/>
  <c r="V294" i="2"/>
  <c r="AE296" i="2"/>
  <c r="Q311" i="2"/>
  <c r="U311" i="2"/>
  <c r="AD311" i="2"/>
  <c r="AJ311" i="2"/>
  <c r="R340" i="2"/>
  <c r="AK358" i="2"/>
  <c r="Z358" i="2"/>
  <c r="AE358" i="2"/>
  <c r="AK404" i="2"/>
  <c r="R404" i="2"/>
  <c r="AE404" i="2"/>
  <c r="Z404" i="2"/>
  <c r="Q405" i="2"/>
  <c r="AG405" i="2"/>
  <c r="AD405" i="2"/>
  <c r="Y405" i="2"/>
  <c r="AJ405" i="2"/>
  <c r="AK406" i="2"/>
  <c r="AE406" i="2"/>
  <c r="Z406" i="2"/>
  <c r="AE440" i="2"/>
  <c r="Q461" i="2"/>
  <c r="AG461" i="2"/>
  <c r="AJ461" i="2"/>
  <c r="AD461" i="2"/>
  <c r="U461" i="2"/>
  <c r="Y461" i="2"/>
  <c r="AE580" i="2"/>
  <c r="R580" i="2"/>
  <c r="Z580" i="2"/>
  <c r="AK580" i="2"/>
  <c r="V580" i="2"/>
  <c r="AK63" i="2"/>
  <c r="AK73" i="2"/>
  <c r="AE84" i="2"/>
  <c r="AK86" i="2"/>
  <c r="AD92" i="2"/>
  <c r="R102" i="2"/>
  <c r="Z102" i="2"/>
  <c r="AD103" i="2"/>
  <c r="AD119" i="2"/>
  <c r="AJ129" i="2"/>
  <c r="AG129" i="2"/>
  <c r="R147" i="2"/>
  <c r="Z147" i="2"/>
  <c r="V150" i="2"/>
  <c r="Q184" i="2"/>
  <c r="Y184" i="2"/>
  <c r="U184" i="2"/>
  <c r="AJ184" i="2"/>
  <c r="AD197" i="2"/>
  <c r="Q200" i="2"/>
  <c r="U200" i="2"/>
  <c r="AG200" i="2"/>
  <c r="U205" i="2"/>
  <c r="AJ205" i="2"/>
  <c r="Q216" i="2"/>
  <c r="U216" i="2"/>
  <c r="AG216" i="2"/>
  <c r="AG239" i="2"/>
  <c r="AG245" i="2"/>
  <c r="Y245" i="2"/>
  <c r="U245" i="2"/>
  <c r="AD245" i="2"/>
  <c r="Q245" i="2"/>
  <c r="Z311" i="2"/>
  <c r="V311" i="2"/>
  <c r="AK311" i="2"/>
  <c r="AE311" i="2"/>
  <c r="R311" i="2"/>
  <c r="AG347" i="2"/>
  <c r="AK379" i="2"/>
  <c r="R461" i="2"/>
  <c r="V461" i="2"/>
  <c r="Z461" i="2"/>
  <c r="AK461" i="2"/>
  <c r="AK514" i="2"/>
  <c r="R514" i="2"/>
  <c r="Z514" i="2"/>
  <c r="AE514" i="2"/>
  <c r="V514" i="2"/>
  <c r="AJ516" i="2"/>
  <c r="Y516" i="2"/>
  <c r="Q516" i="2"/>
  <c r="U516" i="2"/>
  <c r="AD516" i="2"/>
  <c r="AG516" i="2"/>
  <c r="Q536" i="2"/>
  <c r="AG536" i="2"/>
  <c r="AD536" i="2"/>
  <c r="U536" i="2"/>
  <c r="AJ536" i="2"/>
  <c r="Y536" i="2"/>
  <c r="Q140" i="2"/>
  <c r="AD140" i="2"/>
  <c r="Y140" i="2"/>
  <c r="Q168" i="2"/>
  <c r="Y168" i="2"/>
  <c r="AK207" i="2"/>
  <c r="AK266" i="2"/>
  <c r="AK336" i="2"/>
  <c r="Z336" i="2"/>
  <c r="V336" i="2"/>
  <c r="R336" i="2"/>
  <c r="Q343" i="2"/>
  <c r="U343" i="2"/>
  <c r="AJ343" i="2"/>
  <c r="AD343" i="2"/>
  <c r="Z345" i="2"/>
  <c r="V345" i="2"/>
  <c r="AK345" i="2"/>
  <c r="AE345" i="2"/>
  <c r="Q373" i="2"/>
  <c r="AG373" i="2"/>
  <c r="AJ373" i="2"/>
  <c r="U373" i="2"/>
  <c r="Y373" i="2"/>
  <c r="AK384" i="2"/>
  <c r="AE384" i="2"/>
  <c r="R384" i="2"/>
  <c r="Z384" i="2"/>
  <c r="V384" i="2"/>
  <c r="AK537" i="2"/>
  <c r="AE537" i="2"/>
  <c r="Z537" i="2"/>
  <c r="R537" i="2"/>
  <c r="V537" i="2"/>
  <c r="AK549" i="2"/>
  <c r="AE549" i="2"/>
  <c r="R549" i="2"/>
  <c r="AJ618" i="2"/>
  <c r="AD618" i="2"/>
  <c r="AG618" i="2"/>
  <c r="Q618" i="2"/>
  <c r="U618" i="2"/>
  <c r="AE728" i="2"/>
  <c r="Z728" i="2"/>
  <c r="AK728" i="2"/>
  <c r="V728" i="2"/>
  <c r="R728" i="2"/>
  <c r="AG740" i="2"/>
  <c r="Y740" i="2"/>
  <c r="AD740" i="2"/>
  <c r="AJ740" i="2"/>
  <c r="U740" i="2"/>
  <c r="Q740" i="2"/>
  <c r="Y783" i="2"/>
  <c r="U783" i="2"/>
  <c r="AG783" i="2"/>
  <c r="AD783" i="2"/>
  <c r="AJ783" i="2"/>
  <c r="Q783" i="2"/>
  <c r="Q273" i="2"/>
  <c r="U273" i="2"/>
  <c r="AG273" i="2"/>
  <c r="AD273" i="2"/>
  <c r="AK304" i="2"/>
  <c r="AE304" i="2"/>
  <c r="V304" i="2"/>
  <c r="R304" i="2"/>
  <c r="Q313" i="2"/>
  <c r="AJ313" i="2"/>
  <c r="U313" i="2"/>
  <c r="Y313" i="2"/>
  <c r="Z343" i="2"/>
  <c r="V343" i="2"/>
  <c r="AE343" i="2"/>
  <c r="R343" i="2"/>
  <c r="Z375" i="2"/>
  <c r="V375" i="2"/>
  <c r="AK375" i="2"/>
  <c r="R375" i="2"/>
  <c r="AE375" i="2"/>
  <c r="Q383" i="2"/>
  <c r="Y383" i="2"/>
  <c r="AJ383" i="2"/>
  <c r="AG383" i="2"/>
  <c r="AD383" i="2"/>
  <c r="Q407" i="2"/>
  <c r="U407" i="2"/>
  <c r="AG407" i="2"/>
  <c r="Y407" i="2"/>
  <c r="AD407" i="2"/>
  <c r="Z443" i="2"/>
  <c r="V443" i="2"/>
  <c r="AK443" i="2"/>
  <c r="R443" i="2"/>
  <c r="AK474" i="2"/>
  <c r="AE474" i="2"/>
  <c r="Z474" i="2"/>
  <c r="R474" i="2"/>
  <c r="AD739" i="2"/>
  <c r="U739" i="2"/>
  <c r="AG739" i="2"/>
  <c r="AJ739" i="2"/>
  <c r="Q739" i="2"/>
  <c r="Y739" i="2"/>
  <c r="AE740" i="2"/>
  <c r="Z740" i="2"/>
  <c r="R740" i="2"/>
  <c r="V740" i="2"/>
  <c r="AK740" i="2"/>
  <c r="AJ606" i="2"/>
  <c r="AG606" i="2"/>
  <c r="Q606" i="2"/>
  <c r="Y606" i="2"/>
  <c r="U606" i="2"/>
  <c r="AD606" i="2"/>
  <c r="Q181" i="2"/>
  <c r="U181" i="2"/>
  <c r="R200" i="2"/>
  <c r="V200" i="2"/>
  <c r="V207" i="2"/>
  <c r="AJ227" i="2"/>
  <c r="U227" i="2"/>
  <c r="AG227" i="2"/>
  <c r="V237" i="2"/>
  <c r="Z237" i="2"/>
  <c r="R237" i="2"/>
  <c r="AE237" i="2"/>
  <c r="AG242" i="2"/>
  <c r="Q242" i="2"/>
  <c r="U242" i="2"/>
  <c r="AJ242" i="2"/>
  <c r="AD243" i="2"/>
  <c r="AJ243" i="2"/>
  <c r="Y273" i="2"/>
  <c r="Z307" i="2"/>
  <c r="V307" i="2"/>
  <c r="AE307" i="2"/>
  <c r="AK307" i="2"/>
  <c r="R307" i="2"/>
  <c r="Y343" i="2"/>
  <c r="Q349" i="2"/>
  <c r="Y349" i="2"/>
  <c r="AD349" i="2"/>
  <c r="Z357" i="2"/>
  <c r="V357" i="2"/>
  <c r="AK357" i="2"/>
  <c r="R357" i="2"/>
  <c r="AK366" i="2"/>
  <c r="AE366" i="2"/>
  <c r="Q423" i="2"/>
  <c r="U423" i="2"/>
  <c r="Y423" i="2"/>
  <c r="AG423" i="2"/>
  <c r="AK434" i="2"/>
  <c r="R434" i="2"/>
  <c r="AE434" i="2"/>
  <c r="AD480" i="2"/>
  <c r="Q480" i="2"/>
  <c r="Y480" i="2"/>
  <c r="U480" i="2"/>
  <c r="R96" i="2"/>
  <c r="AK96" i="2"/>
  <c r="Q118" i="2"/>
  <c r="AD118" i="2"/>
  <c r="Y118" i="2"/>
  <c r="AJ128" i="2"/>
  <c r="AK131" i="2"/>
  <c r="AK149" i="2"/>
  <c r="Z149" i="2"/>
  <c r="U151" i="2"/>
  <c r="R152" i="2"/>
  <c r="Z152" i="2"/>
  <c r="Y163" i="2"/>
  <c r="Q163" i="2"/>
  <c r="R166" i="2"/>
  <c r="AK166" i="2"/>
  <c r="Q170" i="2"/>
  <c r="AD170" i="2"/>
  <c r="Y170" i="2"/>
  <c r="Z181" i="2"/>
  <c r="V181" i="2"/>
  <c r="Z222" i="2"/>
  <c r="AE222" i="2"/>
  <c r="Q231" i="2"/>
  <c r="U231" i="2"/>
  <c r="AG238" i="2"/>
  <c r="AJ238" i="2"/>
  <c r="AD238" i="2"/>
  <c r="U238" i="2"/>
  <c r="R242" i="2"/>
  <c r="V242" i="2"/>
  <c r="R254" i="2"/>
  <c r="V254" i="2"/>
  <c r="Z254" i="2"/>
  <c r="AK254" i="2"/>
  <c r="V266" i="2"/>
  <c r="Q275" i="2"/>
  <c r="AG275" i="2"/>
  <c r="AD275" i="2"/>
  <c r="AJ275" i="2"/>
  <c r="Q299" i="2"/>
  <c r="AD299" i="2"/>
  <c r="U299" i="2"/>
  <c r="AG299" i="2"/>
  <c r="Y299" i="2"/>
  <c r="AK328" i="2"/>
  <c r="AE328" i="2"/>
  <c r="AK330" i="2"/>
  <c r="Z330" i="2"/>
  <c r="V330" i="2"/>
  <c r="R330" i="2"/>
  <c r="Z349" i="2"/>
  <c r="V349" i="2"/>
  <c r="AE349" i="2"/>
  <c r="AK349" i="2"/>
  <c r="Q377" i="2"/>
  <c r="U377" i="2"/>
  <c r="AD377" i="2"/>
  <c r="AG377" i="2"/>
  <c r="U383" i="2"/>
  <c r="Z387" i="2"/>
  <c r="V387" i="2"/>
  <c r="AE387" i="2"/>
  <c r="Z423" i="2"/>
  <c r="V423" i="2"/>
  <c r="AE423" i="2"/>
  <c r="R423" i="2"/>
  <c r="V474" i="2"/>
  <c r="AK494" i="2"/>
  <c r="R494" i="2"/>
  <c r="V494" i="2"/>
  <c r="Z494" i="2"/>
  <c r="AK213" i="2"/>
  <c r="R213" i="2"/>
  <c r="U233" i="2"/>
  <c r="AJ233" i="2"/>
  <c r="AG233" i="2"/>
  <c r="Y237" i="2"/>
  <c r="AJ237" i="2"/>
  <c r="Q251" i="2"/>
  <c r="U251" i="2"/>
  <c r="Y251" i="2"/>
  <c r="AG251" i="2"/>
  <c r="Z317" i="2"/>
  <c r="V317" i="2"/>
  <c r="R317" i="2"/>
  <c r="AK346" i="2"/>
  <c r="V346" i="2"/>
  <c r="R346" i="2"/>
  <c r="Z346" i="2"/>
  <c r="AK432" i="2"/>
  <c r="AE432" i="2"/>
  <c r="V432" i="2"/>
  <c r="R432" i="2"/>
  <c r="AK466" i="2"/>
  <c r="Z466" i="2"/>
  <c r="AE466" i="2"/>
  <c r="V466" i="2"/>
  <c r="R466" i="2"/>
  <c r="AK516" i="2"/>
  <c r="R516" i="2"/>
  <c r="Z516" i="2"/>
  <c r="Q675" i="2"/>
  <c r="U675" i="2"/>
  <c r="Y675" i="2"/>
  <c r="AG675" i="2"/>
  <c r="AD675" i="2"/>
  <c r="AJ675" i="2"/>
  <c r="AG716" i="2"/>
  <c r="Y716" i="2"/>
  <c r="AJ716" i="2"/>
  <c r="Q716" i="2"/>
  <c r="AD716" i="2"/>
  <c r="U716" i="2"/>
  <c r="R160" i="2"/>
  <c r="Z160" i="2"/>
  <c r="Q180" i="2"/>
  <c r="AD180" i="2"/>
  <c r="U193" i="2"/>
  <c r="AK194" i="2"/>
  <c r="AG222" i="2"/>
  <c r="U222" i="2"/>
  <c r="Q222" i="2"/>
  <c r="V253" i="2"/>
  <c r="Z253" i="2"/>
  <c r="AE253" i="2"/>
  <c r="AK253" i="2"/>
  <c r="R253" i="2"/>
  <c r="V283" i="2"/>
  <c r="Z283" i="2"/>
  <c r="R283" i="2"/>
  <c r="Z417" i="2"/>
  <c r="V417" i="2"/>
  <c r="AE417" i="2"/>
  <c r="R417" i="2"/>
  <c r="AK417" i="2"/>
  <c r="V450" i="2"/>
  <c r="AK450" i="2"/>
  <c r="AE450" i="2"/>
  <c r="Z450" i="2"/>
  <c r="Z475" i="2"/>
  <c r="R475" i="2"/>
  <c r="AE475" i="2"/>
  <c r="AE708" i="2"/>
  <c r="AK708" i="2"/>
  <c r="Z708" i="2"/>
  <c r="V708" i="2"/>
  <c r="R708" i="2"/>
  <c r="Z419" i="2"/>
  <c r="V419" i="2"/>
  <c r="AK419" i="2"/>
  <c r="AE419" i="2"/>
  <c r="R419" i="2"/>
  <c r="AE464" i="2"/>
  <c r="R464" i="2"/>
  <c r="V464" i="2"/>
  <c r="AK464" i="2"/>
  <c r="Z464" i="2"/>
  <c r="U465" i="2"/>
  <c r="AJ465" i="2"/>
  <c r="AG465" i="2"/>
  <c r="Q465" i="2"/>
  <c r="Z483" i="2"/>
  <c r="AK483" i="2"/>
  <c r="R483" i="2"/>
  <c r="V483" i="2"/>
  <c r="AE483" i="2"/>
  <c r="AK543" i="2"/>
  <c r="R543" i="2"/>
  <c r="V299" i="2"/>
  <c r="AE299" i="2"/>
  <c r="Z359" i="2"/>
  <c r="V359" i="2"/>
  <c r="R359" i="2"/>
  <c r="AK359" i="2"/>
  <c r="AK380" i="2"/>
  <c r="Z380" i="2"/>
  <c r="V380" i="2"/>
  <c r="AK388" i="2"/>
  <c r="AE388" i="2"/>
  <c r="V388" i="2"/>
  <c r="R388" i="2"/>
  <c r="AK442" i="2"/>
  <c r="AE442" i="2"/>
  <c r="R442" i="2"/>
  <c r="AK465" i="2"/>
  <c r="AE465" i="2"/>
  <c r="V465" i="2"/>
  <c r="Z465" i="2"/>
  <c r="R465" i="2"/>
  <c r="Y542" i="2"/>
  <c r="U542" i="2"/>
  <c r="AG542" i="2"/>
  <c r="Q542" i="2"/>
  <c r="AD542" i="2"/>
  <c r="AJ542" i="2"/>
  <c r="AK484" i="2"/>
  <c r="Z484" i="2"/>
  <c r="V484" i="2"/>
  <c r="R484" i="2"/>
  <c r="U597" i="2"/>
  <c r="AG597" i="2"/>
  <c r="AJ597" i="2"/>
  <c r="Y597" i="2"/>
  <c r="Q597" i="2"/>
  <c r="AD597" i="2"/>
  <c r="AE664" i="2"/>
  <c r="V664" i="2"/>
  <c r="Z664" i="2"/>
  <c r="AK664" i="2"/>
  <c r="R664" i="2"/>
  <c r="Y714" i="2"/>
  <c r="AG714" i="2"/>
  <c r="U714" i="2"/>
  <c r="AJ714" i="2"/>
  <c r="Q714" i="2"/>
  <c r="AD714" i="2"/>
  <c r="AK120" i="2"/>
  <c r="AK192" i="2"/>
  <c r="AJ198" i="2"/>
  <c r="AG220" i="2"/>
  <c r="Q220" i="2"/>
  <c r="AG228" i="2"/>
  <c r="Y228" i="2"/>
  <c r="U228" i="2"/>
  <c r="Z299" i="2"/>
  <c r="AK314" i="2"/>
  <c r="Z314" i="2"/>
  <c r="AE314" i="2"/>
  <c r="U325" i="2"/>
  <c r="Q335" i="2"/>
  <c r="AJ335" i="2"/>
  <c r="AG335" i="2"/>
  <c r="AK348" i="2"/>
  <c r="AE348" i="2"/>
  <c r="V348" i="2"/>
  <c r="R348" i="2"/>
  <c r="AK368" i="2"/>
  <c r="V368" i="2"/>
  <c r="R368" i="2"/>
  <c r="AK392" i="2"/>
  <c r="AE392" i="2"/>
  <c r="Z392" i="2"/>
  <c r="Z399" i="2"/>
  <c r="V399" i="2"/>
  <c r="AE399" i="2"/>
  <c r="Q429" i="2"/>
  <c r="U429" i="2"/>
  <c r="AD429" i="2"/>
  <c r="AG429" i="2"/>
  <c r="V442" i="2"/>
  <c r="AJ524" i="2"/>
  <c r="U524" i="2"/>
  <c r="Y524" i="2"/>
  <c r="AG524" i="2"/>
  <c r="AD524" i="2"/>
  <c r="Z543" i="2"/>
  <c r="V587" i="2"/>
  <c r="AE587" i="2"/>
  <c r="Z587" i="2"/>
  <c r="R587" i="2"/>
  <c r="AK587" i="2"/>
  <c r="U582" i="2"/>
  <c r="AJ582" i="2"/>
  <c r="Y582" i="2"/>
  <c r="AD582" i="2"/>
  <c r="AG582" i="2"/>
  <c r="Q582" i="2"/>
  <c r="Z437" i="2"/>
  <c r="V437" i="2"/>
  <c r="R437" i="2"/>
  <c r="AE437" i="2"/>
  <c r="AK629" i="2"/>
  <c r="Z629" i="2"/>
  <c r="V629" i="2"/>
  <c r="AE629" i="2"/>
  <c r="Z631" i="2"/>
  <c r="R631" i="2"/>
  <c r="AK631" i="2"/>
  <c r="V631" i="2"/>
  <c r="AE631" i="2"/>
  <c r="Q698" i="2"/>
  <c r="U698" i="2"/>
  <c r="AJ698" i="2"/>
  <c r="Y698" i="2"/>
  <c r="AG698" i="2"/>
  <c r="AD698" i="2"/>
  <c r="AG1049" i="2"/>
  <c r="Y1049" i="2"/>
  <c r="AJ1049" i="2"/>
  <c r="Q1049" i="2"/>
  <c r="U1049" i="2"/>
  <c r="AD1049" i="2"/>
  <c r="N43" i="9"/>
  <c r="L43" i="9"/>
  <c r="M43" i="9"/>
  <c r="V911" i="2"/>
  <c r="AE911" i="2"/>
  <c r="R911" i="2"/>
  <c r="AK911" i="2"/>
  <c r="Z911" i="2"/>
  <c r="AE608" i="2"/>
  <c r="Z608" i="2"/>
  <c r="R608" i="2"/>
  <c r="AK608" i="2"/>
  <c r="V608" i="2"/>
  <c r="AE640" i="2"/>
  <c r="V640" i="2"/>
  <c r="R640" i="2"/>
  <c r="AK640" i="2"/>
  <c r="Z640" i="2"/>
  <c r="AE638" i="2"/>
  <c r="R638" i="2"/>
  <c r="V638" i="2"/>
  <c r="Z638" i="2"/>
  <c r="AK638" i="2"/>
  <c r="AE762" i="2"/>
  <c r="V762" i="2"/>
  <c r="AK762" i="2"/>
  <c r="Z762" i="2"/>
  <c r="R762" i="2"/>
  <c r="AK124" i="2"/>
  <c r="AK146" i="2"/>
  <c r="AG223" i="2"/>
  <c r="U223" i="2"/>
  <c r="AD230" i="2"/>
  <c r="V239" i="2"/>
  <c r="Z239" i="2"/>
  <c r="AG250" i="2"/>
  <c r="AD250" i="2"/>
  <c r="AJ250" i="2"/>
  <c r="AE272" i="2"/>
  <c r="Z284" i="2"/>
  <c r="R284" i="2"/>
  <c r="Z371" i="2"/>
  <c r="V371" i="2"/>
  <c r="AE371" i="2"/>
  <c r="Z407" i="2"/>
  <c r="V407" i="2"/>
  <c r="R407" i="2"/>
  <c r="AE407" i="2"/>
  <c r="R447" i="2"/>
  <c r="V447" i="2"/>
  <c r="Z454" i="2"/>
  <c r="R454" i="2"/>
  <c r="R459" i="2"/>
  <c r="AK459" i="2"/>
  <c r="AE459" i="2"/>
  <c r="AK490" i="2"/>
  <c r="R490" i="2"/>
  <c r="V490" i="2"/>
  <c r="Z490" i="2"/>
  <c r="AE490" i="2"/>
  <c r="AJ510" i="2"/>
  <c r="AG510" i="2"/>
  <c r="AD510" i="2"/>
  <c r="Q510" i="2"/>
  <c r="Y532" i="2"/>
  <c r="AJ532" i="2"/>
  <c r="AD532" i="2"/>
  <c r="U532" i="2"/>
  <c r="AG532" i="2"/>
  <c r="AG539" i="2"/>
  <c r="AJ539" i="2"/>
  <c r="Q539" i="2"/>
  <c r="Y539" i="2"/>
  <c r="U539" i="2"/>
  <c r="Z571" i="2"/>
  <c r="V571" i="2"/>
  <c r="R571" i="2"/>
  <c r="AK571" i="2"/>
  <c r="AJ757" i="2"/>
  <c r="U757" i="2"/>
  <c r="Q757" i="2"/>
  <c r="Y757" i="2"/>
  <c r="AD757" i="2"/>
  <c r="Z782" i="2"/>
  <c r="AK782" i="2"/>
  <c r="V782" i="2"/>
  <c r="R782" i="2"/>
  <c r="AE782" i="2"/>
  <c r="V246" i="2"/>
  <c r="AK246" i="2"/>
  <c r="V291" i="2"/>
  <c r="R291" i="2"/>
  <c r="Z291" i="2"/>
  <c r="Q305" i="2"/>
  <c r="Y305" i="2"/>
  <c r="Z365" i="2"/>
  <c r="V365" i="2"/>
  <c r="AE365" i="2"/>
  <c r="Z389" i="2"/>
  <c r="V389" i="2"/>
  <c r="AK389" i="2"/>
  <c r="AE389" i="2"/>
  <c r="Z397" i="2"/>
  <c r="V397" i="2"/>
  <c r="AK397" i="2"/>
  <c r="R397" i="2"/>
  <c r="AE397" i="2"/>
  <c r="Q415" i="2"/>
  <c r="AJ415" i="2"/>
  <c r="AG415" i="2"/>
  <c r="AD415" i="2"/>
  <c r="Z439" i="2"/>
  <c r="V439" i="2"/>
  <c r="AE439" i="2"/>
  <c r="AJ500" i="2"/>
  <c r="AD500" i="2"/>
  <c r="AG500" i="2"/>
  <c r="Q500" i="2"/>
  <c r="U500" i="2"/>
  <c r="AK539" i="2"/>
  <c r="V539" i="2"/>
  <c r="R539" i="2"/>
  <c r="AE539" i="2"/>
  <c r="U575" i="2"/>
  <c r="Y575" i="2"/>
  <c r="Q575" i="2"/>
  <c r="AG687" i="2"/>
  <c r="Q687" i="2"/>
  <c r="U687" i="2"/>
  <c r="AJ687" i="2"/>
  <c r="AD687" i="2"/>
  <c r="Y687" i="2"/>
  <c r="AE616" i="2"/>
  <c r="R616" i="2"/>
  <c r="Z616" i="2"/>
  <c r="AK616" i="2"/>
  <c r="V616" i="2"/>
  <c r="AE716" i="2"/>
  <c r="AK716" i="2"/>
  <c r="Z716" i="2"/>
  <c r="V716" i="2"/>
  <c r="R716" i="2"/>
  <c r="V754" i="2"/>
  <c r="AE754" i="2"/>
  <c r="R754" i="2"/>
  <c r="Z754" i="2"/>
  <c r="AJ132" i="2"/>
  <c r="AJ154" i="2"/>
  <c r="Q161" i="2"/>
  <c r="AK164" i="2"/>
  <c r="AK198" i="2"/>
  <c r="Q223" i="2"/>
  <c r="AJ230" i="2"/>
  <c r="R239" i="2"/>
  <c r="Q250" i="2"/>
  <c r="Q255" i="2"/>
  <c r="AG255" i="2"/>
  <c r="Y255" i="2"/>
  <c r="U255" i="2"/>
  <c r="AK286" i="2"/>
  <c r="AE286" i="2"/>
  <c r="Z286" i="2"/>
  <c r="Z301" i="2"/>
  <c r="V301" i="2"/>
  <c r="AK301" i="2"/>
  <c r="AE301" i="2"/>
  <c r="AK322" i="2"/>
  <c r="R322" i="2"/>
  <c r="Q355" i="2"/>
  <c r="U355" i="2"/>
  <c r="AD355" i="2"/>
  <c r="Z361" i="2"/>
  <c r="V361" i="2"/>
  <c r="AK361" i="2"/>
  <c r="AE361" i="2"/>
  <c r="R365" i="2"/>
  <c r="Z373" i="2"/>
  <c r="V373" i="2"/>
  <c r="AE373" i="2"/>
  <c r="AK373" i="2"/>
  <c r="R373" i="2"/>
  <c r="Q379" i="2"/>
  <c r="AJ379" i="2"/>
  <c r="R389" i="2"/>
  <c r="AK428" i="2"/>
  <c r="AE428" i="2"/>
  <c r="V428" i="2"/>
  <c r="Z435" i="2"/>
  <c r="V435" i="2"/>
  <c r="AK435" i="2"/>
  <c r="R439" i="2"/>
  <c r="AK502" i="2"/>
  <c r="R502" i="2"/>
  <c r="Z502" i="2"/>
  <c r="Q683" i="2"/>
  <c r="AD683" i="2"/>
  <c r="AG683" i="2"/>
  <c r="U683" i="2"/>
  <c r="AJ683" i="2"/>
  <c r="Y683" i="2"/>
  <c r="Y585" i="2"/>
  <c r="AD585" i="2"/>
  <c r="Q585" i="2"/>
  <c r="AJ585" i="2"/>
  <c r="AG585" i="2"/>
  <c r="AJ747" i="2"/>
  <c r="AG747" i="2"/>
  <c r="Y747" i="2"/>
  <c r="Q747" i="2"/>
  <c r="U747" i="2"/>
  <c r="AD747" i="2"/>
  <c r="AJ504" i="2"/>
  <c r="Q504" i="2"/>
  <c r="AD504" i="2"/>
  <c r="U504" i="2"/>
  <c r="Z525" i="2"/>
  <c r="AK525" i="2"/>
  <c r="R525" i="2"/>
  <c r="AK593" i="2"/>
  <c r="R593" i="2"/>
  <c r="V593" i="2"/>
  <c r="Q595" i="2"/>
  <c r="AD595" i="2"/>
  <c r="Y595" i="2"/>
  <c r="AG595" i="2"/>
  <c r="AJ595" i="2"/>
  <c r="Q631" i="2"/>
  <c r="AD631" i="2"/>
  <c r="Y631" i="2"/>
  <c r="U631" i="2"/>
  <c r="AJ631" i="2"/>
  <c r="AG631" i="2"/>
  <c r="AE698" i="2"/>
  <c r="AK698" i="2"/>
  <c r="R698" i="2"/>
  <c r="Z698" i="2"/>
  <c r="V698" i="2"/>
  <c r="AK326" i="2"/>
  <c r="AE326" i="2"/>
  <c r="Z351" i="2"/>
  <c r="V351" i="2"/>
  <c r="AE351" i="2"/>
  <c r="AK351" i="2"/>
  <c r="Z377" i="2"/>
  <c r="V377" i="2"/>
  <c r="Z427" i="2"/>
  <c r="V427" i="2"/>
  <c r="R427" i="2"/>
  <c r="AJ472" i="2"/>
  <c r="U472" i="2"/>
  <c r="Y472" i="2"/>
  <c r="Q472" i="2"/>
  <c r="AK518" i="2"/>
  <c r="R518" i="2"/>
  <c r="AE518" i="2"/>
  <c r="Z518" i="2"/>
  <c r="V518" i="2"/>
  <c r="Z527" i="2"/>
  <c r="AE527" i="2"/>
  <c r="AK527" i="2"/>
  <c r="AK585" i="2"/>
  <c r="R585" i="2"/>
  <c r="Z585" i="2"/>
  <c r="V585" i="2"/>
  <c r="AE585" i="2"/>
  <c r="AE589" i="2"/>
  <c r="Z589" i="2"/>
  <c r="AK589" i="2"/>
  <c r="R589" i="2"/>
  <c r="V589" i="2"/>
  <c r="AE596" i="2"/>
  <c r="R596" i="2"/>
  <c r="V596" i="2"/>
  <c r="AK596" i="2"/>
  <c r="V277" i="2"/>
  <c r="AK277" i="2"/>
  <c r="Q293" i="2"/>
  <c r="Y293" i="2"/>
  <c r="Q395" i="2"/>
  <c r="AG395" i="2"/>
  <c r="AJ395" i="2"/>
  <c r="AE453" i="2"/>
  <c r="Z453" i="2"/>
  <c r="R581" i="2"/>
  <c r="AE581" i="2"/>
  <c r="Z581" i="2"/>
  <c r="V581" i="2"/>
  <c r="AE622" i="2"/>
  <c r="Z622" i="2"/>
  <c r="V622" i="2"/>
  <c r="R622" i="2"/>
  <c r="R625" i="2"/>
  <c r="AE625" i="2"/>
  <c r="V625" i="2"/>
  <c r="AK625" i="2"/>
  <c r="AG240" i="2"/>
  <c r="Q240" i="2"/>
  <c r="AJ240" i="2"/>
  <c r="V243" i="2"/>
  <c r="AE243" i="2"/>
  <c r="AG246" i="2"/>
  <c r="U246" i="2"/>
  <c r="V263" i="2"/>
  <c r="Z263" i="2"/>
  <c r="AJ281" i="2"/>
  <c r="Z335" i="2"/>
  <c r="V335" i="2"/>
  <c r="R351" i="2"/>
  <c r="AK374" i="2"/>
  <c r="Z374" i="2"/>
  <c r="R377" i="2"/>
  <c r="AK396" i="2"/>
  <c r="Z396" i="2"/>
  <c r="V396" i="2"/>
  <c r="Z409" i="2"/>
  <c r="V409" i="2"/>
  <c r="AE409" i="2"/>
  <c r="AJ520" i="2"/>
  <c r="Y520" i="2"/>
  <c r="Q520" i="2"/>
  <c r="AG520" i="2"/>
  <c r="Z529" i="2"/>
  <c r="R529" i="2"/>
  <c r="AK529" i="2"/>
  <c r="Z542" i="2"/>
  <c r="R542" i="2"/>
  <c r="AE542" i="2"/>
  <c r="AJ543" i="2"/>
  <c r="U543" i="2"/>
  <c r="Y543" i="2"/>
  <c r="AK565" i="2"/>
  <c r="AE565" i="2"/>
  <c r="Z565" i="2"/>
  <c r="V565" i="2"/>
  <c r="AE601" i="2"/>
  <c r="Z601" i="2"/>
  <c r="AK601" i="2"/>
  <c r="U689" i="2"/>
  <c r="AG689" i="2"/>
  <c r="AD689" i="2"/>
  <c r="AJ689" i="2"/>
  <c r="Q689" i="2"/>
  <c r="Y689" i="2"/>
  <c r="AJ174" i="2"/>
  <c r="AJ196" i="2"/>
  <c r="AJ218" i="2"/>
  <c r="V221" i="2"/>
  <c r="AE221" i="2"/>
  <c r="AG224" i="2"/>
  <c r="U224" i="2"/>
  <c r="V285" i="2"/>
  <c r="Z285" i="2"/>
  <c r="V290" i="2"/>
  <c r="Z290" i="2"/>
  <c r="AK302" i="2"/>
  <c r="V302" i="2"/>
  <c r="AK306" i="2"/>
  <c r="AE306" i="2"/>
  <c r="Z327" i="2"/>
  <c r="V327" i="2"/>
  <c r="Q365" i="2"/>
  <c r="U365" i="2"/>
  <c r="Q387" i="2"/>
  <c r="U387" i="2"/>
  <c r="Y387" i="2"/>
  <c r="Z415" i="2"/>
  <c r="V415" i="2"/>
  <c r="AK420" i="2"/>
  <c r="V420" i="2"/>
  <c r="Q439" i="2"/>
  <c r="AG439" i="2"/>
  <c r="AD439" i="2"/>
  <c r="AJ439" i="2"/>
  <c r="AJ496" i="2"/>
  <c r="AD496" i="2"/>
  <c r="U496" i="2"/>
  <c r="AG496" i="2"/>
  <c r="AK504" i="2"/>
  <c r="R504" i="2"/>
  <c r="Z504" i="2"/>
  <c r="V504" i="2"/>
  <c r="U633" i="2"/>
  <c r="AG633" i="2"/>
  <c r="AD633" i="2"/>
  <c r="Q633" i="2"/>
  <c r="Y633" i="2"/>
  <c r="AE688" i="2"/>
  <c r="V688" i="2"/>
  <c r="R688" i="2"/>
  <c r="AK688" i="2"/>
  <c r="AK498" i="2"/>
  <c r="R498" i="2"/>
  <c r="AE498" i="2"/>
  <c r="Z499" i="2"/>
  <c r="AE499" i="2"/>
  <c r="Z532" i="2"/>
  <c r="AK532" i="2"/>
  <c r="R532" i="2"/>
  <c r="V532" i="2"/>
  <c r="AE532" i="2"/>
  <c r="AG547" i="2"/>
  <c r="AJ547" i="2"/>
  <c r="Q547" i="2"/>
  <c r="AE556" i="2"/>
  <c r="AK556" i="2"/>
  <c r="Z556" i="2"/>
  <c r="Y557" i="2"/>
  <c r="AD557" i="2"/>
  <c r="Q557" i="2"/>
  <c r="AD624" i="2"/>
  <c r="Y624" i="2"/>
  <c r="U624" i="2"/>
  <c r="AG624" i="2"/>
  <c r="U641" i="2"/>
  <c r="AG641" i="2"/>
  <c r="AJ641" i="2"/>
  <c r="Q641" i="2"/>
  <c r="AJ644" i="2"/>
  <c r="AD644" i="2"/>
  <c r="AG644" i="2"/>
  <c r="Y644" i="2"/>
  <c r="AJ645" i="2"/>
  <c r="Y645" i="2"/>
  <c r="U645" i="2"/>
  <c r="AD645" i="2"/>
  <c r="AG645" i="2"/>
  <c r="AJ652" i="2"/>
  <c r="U652" i="2"/>
  <c r="Y652" i="2"/>
  <c r="Q652" i="2"/>
  <c r="AD652" i="2"/>
  <c r="AG652" i="2"/>
  <c r="AE745" i="2"/>
  <c r="R745" i="2"/>
  <c r="V745" i="2"/>
  <c r="Z745" i="2"/>
  <c r="AK745" i="2"/>
  <c r="Z433" i="2"/>
  <c r="V433" i="2"/>
  <c r="AK433" i="2"/>
  <c r="AE433" i="2"/>
  <c r="AK492" i="2"/>
  <c r="R492" i="2"/>
  <c r="V492" i="2"/>
  <c r="AE492" i="2"/>
  <c r="Z492" i="2"/>
  <c r="Z511" i="2"/>
  <c r="V511" i="2"/>
  <c r="R511" i="2"/>
  <c r="AJ518" i="2"/>
  <c r="U518" i="2"/>
  <c r="Q518" i="2"/>
  <c r="Z548" i="2"/>
  <c r="AE548" i="2"/>
  <c r="V548" i="2"/>
  <c r="R548" i="2"/>
  <c r="AK548" i="2"/>
  <c r="Z557" i="2"/>
  <c r="V557" i="2"/>
  <c r="AE557" i="2"/>
  <c r="AE558" i="2"/>
  <c r="R558" i="2"/>
  <c r="Z558" i="2"/>
  <c r="V558" i="2"/>
  <c r="Z561" i="2"/>
  <c r="V561" i="2"/>
  <c r="AK561" i="2"/>
  <c r="AE624" i="2"/>
  <c r="R624" i="2"/>
  <c r="Z624" i="2"/>
  <c r="AK624" i="2"/>
  <c r="V624" i="2"/>
  <c r="AE641" i="2"/>
  <c r="AK641" i="2"/>
  <c r="Z641" i="2"/>
  <c r="V641" i="2"/>
  <c r="R641" i="2"/>
  <c r="AE646" i="2"/>
  <c r="Z646" i="2"/>
  <c r="AK646" i="2"/>
  <c r="R646" i="2"/>
  <c r="V646" i="2"/>
  <c r="AJ655" i="2"/>
  <c r="AG655" i="2"/>
  <c r="Y655" i="2"/>
  <c r="U655" i="2"/>
  <c r="Q655" i="2"/>
  <c r="AD655" i="2"/>
  <c r="AK324" i="2"/>
  <c r="V324" i="2"/>
  <c r="Z339" i="2"/>
  <c r="V339" i="2"/>
  <c r="Q351" i="2"/>
  <c r="AG351" i="2"/>
  <c r="AJ351" i="2"/>
  <c r="AK362" i="2"/>
  <c r="AE362" i="2"/>
  <c r="Z413" i="2"/>
  <c r="V413" i="2"/>
  <c r="AK413" i="2"/>
  <c r="AJ459" i="2"/>
  <c r="Y459" i="2"/>
  <c r="AD459" i="2"/>
  <c r="Z471" i="2"/>
  <c r="AE471" i="2"/>
  <c r="V471" i="2"/>
  <c r="AJ494" i="2"/>
  <c r="Q494" i="2"/>
  <c r="AD494" i="2"/>
  <c r="AK500" i="2"/>
  <c r="R500" i="2"/>
  <c r="V500" i="2"/>
  <c r="AK506" i="2"/>
  <c r="R506" i="2"/>
  <c r="AE506" i="2"/>
  <c r="Z506" i="2"/>
  <c r="V506" i="2"/>
  <c r="V556" i="2"/>
  <c r="AJ706" i="2"/>
  <c r="U706" i="2"/>
  <c r="AD706" i="2"/>
  <c r="AG706" i="2"/>
  <c r="Y706" i="2"/>
  <c r="AJ715" i="2"/>
  <c r="AG715" i="2"/>
  <c r="AD715" i="2"/>
  <c r="Q715" i="2"/>
  <c r="U715" i="2"/>
  <c r="Y715" i="2"/>
  <c r="V798" i="2"/>
  <c r="AE798" i="2"/>
  <c r="AK798" i="2"/>
  <c r="R798" i="2"/>
  <c r="Z798" i="2"/>
  <c r="AJ249" i="2"/>
  <c r="Z313" i="2"/>
  <c r="V313" i="2"/>
  <c r="Z355" i="2"/>
  <c r="V355" i="2"/>
  <c r="Q359" i="2"/>
  <c r="AG359" i="2"/>
  <c r="Q393" i="2"/>
  <c r="Y393" i="2"/>
  <c r="Z405" i="2"/>
  <c r="V405" i="2"/>
  <c r="AE405" i="2"/>
  <c r="Q443" i="2"/>
  <c r="U443" i="2"/>
  <c r="Y443" i="2"/>
  <c r="Z456" i="2"/>
  <c r="V456" i="2"/>
  <c r="AE456" i="2"/>
  <c r="AJ476" i="2"/>
  <c r="AD476" i="2"/>
  <c r="Y476" i="2"/>
  <c r="Q476" i="2"/>
  <c r="Z513" i="2"/>
  <c r="AE513" i="2"/>
  <c r="R513" i="2"/>
  <c r="Z521" i="2"/>
  <c r="R521" i="2"/>
  <c r="AK521" i="2"/>
  <c r="AE521" i="2"/>
  <c r="AE578" i="2"/>
  <c r="AK578" i="2"/>
  <c r="V578" i="2"/>
  <c r="AE582" i="2"/>
  <c r="R582" i="2"/>
  <c r="AK582" i="2"/>
  <c r="AE586" i="2"/>
  <c r="Z586" i="2"/>
  <c r="AD611" i="2"/>
  <c r="U611" i="2"/>
  <c r="Q611" i="2"/>
  <c r="U644" i="2"/>
  <c r="AG697" i="2"/>
  <c r="AJ697" i="2"/>
  <c r="U697" i="2"/>
  <c r="AD697" i="2"/>
  <c r="Q697" i="2"/>
  <c r="AE702" i="2"/>
  <c r="Z702" i="2"/>
  <c r="AK702" i="2"/>
  <c r="V702" i="2"/>
  <c r="R702" i="2"/>
  <c r="AK741" i="2"/>
  <c r="R741" i="2"/>
  <c r="Z741" i="2"/>
  <c r="V741" i="2"/>
  <c r="AE741" i="2"/>
  <c r="AJ581" i="2"/>
  <c r="AD581" i="2"/>
  <c r="Q581" i="2"/>
  <c r="AD586" i="2"/>
  <c r="Y586" i="2"/>
  <c r="U586" i="2"/>
  <c r="AE602" i="2"/>
  <c r="R602" i="2"/>
  <c r="Z615" i="2"/>
  <c r="R615" i="2"/>
  <c r="V615" i="2"/>
  <c r="Z621" i="2"/>
  <c r="AE621" i="2"/>
  <c r="AE682" i="2"/>
  <c r="AK682" i="2"/>
  <c r="V682" i="2"/>
  <c r="V685" i="2"/>
  <c r="AE685" i="2"/>
  <c r="R685" i="2"/>
  <c r="Z685" i="2"/>
  <c r="AK685" i="2"/>
  <c r="AE724" i="2"/>
  <c r="R724" i="2"/>
  <c r="V724" i="2"/>
  <c r="Z724" i="2"/>
  <c r="AK724" i="2"/>
  <c r="AJ725" i="2"/>
  <c r="U725" i="2"/>
  <c r="Q725" i="2"/>
  <c r="AG725" i="2"/>
  <c r="AD725" i="2"/>
  <c r="Y785" i="2"/>
  <c r="U785" i="2"/>
  <c r="AD785" i="2"/>
  <c r="AG785" i="2"/>
  <c r="Q785" i="2"/>
  <c r="AJ785" i="2"/>
  <c r="U565" i="2"/>
  <c r="AJ565" i="2"/>
  <c r="AG566" i="2"/>
  <c r="AD566" i="2"/>
  <c r="U566" i="2"/>
  <c r="Q566" i="2"/>
  <c r="AJ566" i="2"/>
  <c r="Q594" i="2"/>
  <c r="AG594" i="2"/>
  <c r="AJ594" i="2"/>
  <c r="Z611" i="2"/>
  <c r="V611" i="2"/>
  <c r="AE615" i="2"/>
  <c r="AD627" i="2"/>
  <c r="AG627" i="2"/>
  <c r="AJ627" i="2"/>
  <c r="U627" i="2"/>
  <c r="AK249" i="2"/>
  <c r="Z303" i="2"/>
  <c r="V303" i="2"/>
  <c r="Z325" i="2"/>
  <c r="V325" i="2"/>
  <c r="Z347" i="2"/>
  <c r="V347" i="2"/>
  <c r="Z369" i="2"/>
  <c r="V369" i="2"/>
  <c r="Z391" i="2"/>
  <c r="V391" i="2"/>
  <c r="Z411" i="2"/>
  <c r="V411" i="2"/>
  <c r="AK411" i="2"/>
  <c r="AE411" i="2"/>
  <c r="Q421" i="2"/>
  <c r="U421" i="2"/>
  <c r="Z441" i="2"/>
  <c r="V441" i="2"/>
  <c r="AK441" i="2"/>
  <c r="AJ508" i="2"/>
  <c r="Q508" i="2"/>
  <c r="Y508" i="2"/>
  <c r="U508" i="2"/>
  <c r="AG508" i="2"/>
  <c r="AJ530" i="2"/>
  <c r="Y530" i="2"/>
  <c r="AD530" i="2"/>
  <c r="AG530" i="2"/>
  <c r="U538" i="2"/>
  <c r="AD538" i="2"/>
  <c r="Y538" i="2"/>
  <c r="AJ544" i="2"/>
  <c r="U544" i="2"/>
  <c r="AD544" i="2"/>
  <c r="Q544" i="2"/>
  <c r="AG544" i="2"/>
  <c r="AG581" i="2"/>
  <c r="Z595" i="2"/>
  <c r="V595" i="2"/>
  <c r="AK595" i="2"/>
  <c r="AE595" i="2"/>
  <c r="AE610" i="2"/>
  <c r="R610" i="2"/>
  <c r="V610" i="2"/>
  <c r="Z610" i="2"/>
  <c r="AE749" i="2"/>
  <c r="Z749" i="2"/>
  <c r="R749" i="2"/>
  <c r="V749" i="2"/>
  <c r="AK749" i="2"/>
  <c r="Y752" i="2"/>
  <c r="AG752" i="2"/>
  <c r="AD752" i="2"/>
  <c r="U752" i="2"/>
  <c r="AJ752" i="2"/>
  <c r="Q752" i="2"/>
  <c r="Z792" i="2"/>
  <c r="V792" i="2"/>
  <c r="AE792" i="2"/>
  <c r="AK792" i="2"/>
  <c r="AK794" i="2"/>
  <c r="V794" i="2"/>
  <c r="R794" i="2"/>
  <c r="AE794" i="2"/>
  <c r="Z794" i="2"/>
  <c r="AJ271" i="2"/>
  <c r="V297" i="2"/>
  <c r="Z297" i="2"/>
  <c r="Q319" i="2"/>
  <c r="U319" i="2"/>
  <c r="Q341" i="2"/>
  <c r="U341" i="2"/>
  <c r="Q363" i="2"/>
  <c r="U363" i="2"/>
  <c r="Q385" i="2"/>
  <c r="U385" i="2"/>
  <c r="Q401" i="2"/>
  <c r="U401" i="2"/>
  <c r="Z421" i="2"/>
  <c r="V421" i="2"/>
  <c r="Z431" i="2"/>
  <c r="V431" i="2"/>
  <c r="AE431" i="2"/>
  <c r="AJ486" i="2"/>
  <c r="Y486" i="2"/>
  <c r="AD486" i="2"/>
  <c r="Z531" i="2"/>
  <c r="R531" i="2"/>
  <c r="R717" i="2"/>
  <c r="V717" i="2"/>
  <c r="AK717" i="2"/>
  <c r="Z717" i="2"/>
  <c r="AE717" i="2"/>
  <c r="AE738" i="2"/>
  <c r="V738" i="2"/>
  <c r="AK738" i="2"/>
  <c r="Z738" i="2"/>
  <c r="R738" i="2"/>
  <c r="AJ236" i="2"/>
  <c r="AK271" i="2"/>
  <c r="Q277" i="2"/>
  <c r="AD277" i="2"/>
  <c r="Z319" i="2"/>
  <c r="V319" i="2"/>
  <c r="Z341" i="2"/>
  <c r="V341" i="2"/>
  <c r="Z363" i="2"/>
  <c r="V363" i="2"/>
  <c r="Z385" i="2"/>
  <c r="V385" i="2"/>
  <c r="Z401" i="2"/>
  <c r="V401" i="2"/>
  <c r="R448" i="2"/>
  <c r="AK448" i="2"/>
  <c r="AJ455" i="2"/>
  <c r="AG455" i="2"/>
  <c r="Q455" i="2"/>
  <c r="AK486" i="2"/>
  <c r="R486" i="2"/>
  <c r="Z486" i="2"/>
  <c r="V486" i="2"/>
  <c r="Z509" i="2"/>
  <c r="R509" i="2"/>
  <c r="AJ514" i="2"/>
  <c r="U514" i="2"/>
  <c r="AG514" i="2"/>
  <c r="AD514" i="2"/>
  <c r="Z546" i="2"/>
  <c r="AE546" i="2"/>
  <c r="V546" i="2"/>
  <c r="R546" i="2"/>
  <c r="AK615" i="2"/>
  <c r="AG703" i="2"/>
  <c r="U703" i="2"/>
  <c r="Y703" i="2"/>
  <c r="Q703" i="2"/>
  <c r="AJ703" i="2"/>
  <c r="U756" i="2"/>
  <c r="Y756" i="2"/>
  <c r="Q756" i="2"/>
  <c r="AD756" i="2"/>
  <c r="Z473" i="2"/>
  <c r="V473" i="2"/>
  <c r="AK473" i="2"/>
  <c r="AK476" i="2"/>
  <c r="R476" i="2"/>
  <c r="AE476" i="2"/>
  <c r="AJ488" i="2"/>
  <c r="AD488" i="2"/>
  <c r="Y488" i="2"/>
  <c r="Z493" i="2"/>
  <c r="AK493" i="2"/>
  <c r="Q534" i="2"/>
  <c r="Y534" i="2"/>
  <c r="AG534" i="2"/>
  <c r="AD534" i="2"/>
  <c r="AK545" i="2"/>
  <c r="Z545" i="2"/>
  <c r="AD546" i="2"/>
  <c r="AG546" i="2"/>
  <c r="AE552" i="2"/>
  <c r="V552" i="2"/>
  <c r="AJ572" i="2"/>
  <c r="Q572" i="2"/>
  <c r="AG572" i="2"/>
  <c r="U572" i="2"/>
  <c r="U589" i="2"/>
  <c r="AD589" i="2"/>
  <c r="Q602" i="2"/>
  <c r="AD602" i="2"/>
  <c r="Y602" i="2"/>
  <c r="Z683" i="2"/>
  <c r="R683" i="2"/>
  <c r="V683" i="2"/>
  <c r="AK683" i="2"/>
  <c r="AE683" i="2"/>
  <c r="AG708" i="2"/>
  <c r="U708" i="2"/>
  <c r="AJ708" i="2"/>
  <c r="AD708" i="2"/>
  <c r="Y708" i="2"/>
  <c r="AE734" i="2"/>
  <c r="AK734" i="2"/>
  <c r="V734" i="2"/>
  <c r="R734" i="2"/>
  <c r="Z734" i="2"/>
  <c r="AE746" i="2"/>
  <c r="AK746" i="2"/>
  <c r="V746" i="2"/>
  <c r="AJ269" i="2"/>
  <c r="AJ291" i="2"/>
  <c r="AK470" i="2"/>
  <c r="R470" i="2"/>
  <c r="Z477" i="2"/>
  <c r="R477" i="2"/>
  <c r="AE477" i="2"/>
  <c r="Z489" i="2"/>
  <c r="AK489" i="2"/>
  <c r="V489" i="2"/>
  <c r="R545" i="2"/>
  <c r="AJ563" i="2"/>
  <c r="U563" i="2"/>
  <c r="AG563" i="2"/>
  <c r="Q563" i="2"/>
  <c r="AD563" i="2"/>
  <c r="Y563" i="2"/>
  <c r="U579" i="2"/>
  <c r="AD579" i="2"/>
  <c r="Q579" i="2"/>
  <c r="AG579" i="2"/>
  <c r="R591" i="2"/>
  <c r="V591" i="2"/>
  <c r="AE604" i="2"/>
  <c r="V604" i="2"/>
  <c r="Z604" i="2"/>
  <c r="Y615" i="2"/>
  <c r="AD615" i="2"/>
  <c r="AG615" i="2"/>
  <c r="AJ615" i="2"/>
  <c r="U615" i="2"/>
  <c r="AE743" i="2"/>
  <c r="V743" i="2"/>
  <c r="Z743" i="2"/>
  <c r="AK743" i="2"/>
  <c r="R746" i="2"/>
  <c r="AE773" i="2"/>
  <c r="R773" i="2"/>
  <c r="AK773" i="2"/>
  <c r="Z773" i="2"/>
  <c r="AJ774" i="2"/>
  <c r="U774" i="2"/>
  <c r="Q774" i="2"/>
  <c r="AG774" i="2"/>
  <c r="Y774" i="2"/>
  <c r="AD774" i="2"/>
  <c r="AJ257" i="2"/>
  <c r="AJ279" i="2"/>
  <c r="Z481" i="2"/>
  <c r="V481" i="2"/>
  <c r="AE481" i="2"/>
  <c r="R481" i="2"/>
  <c r="AK481" i="2"/>
  <c r="Z485" i="2"/>
  <c r="AK485" i="2"/>
  <c r="AK530" i="2"/>
  <c r="R530" i="2"/>
  <c r="AE530" i="2"/>
  <c r="AK547" i="2"/>
  <c r="R547" i="2"/>
  <c r="V547" i="2"/>
  <c r="AE547" i="2"/>
  <c r="Z547" i="2"/>
  <c r="AE574" i="2"/>
  <c r="V574" i="2"/>
  <c r="AE592" i="2"/>
  <c r="AK592" i="2"/>
  <c r="Z592" i="2"/>
  <c r="V592" i="2"/>
  <c r="AG605" i="2"/>
  <c r="Y605" i="2"/>
  <c r="U605" i="2"/>
  <c r="Q605" i="2"/>
  <c r="R723" i="2"/>
  <c r="Z723" i="2"/>
  <c r="V723" i="2"/>
  <c r="AK723" i="2"/>
  <c r="AE723" i="2"/>
  <c r="Y860" i="2"/>
  <c r="Q860" i="2"/>
  <c r="AG860" i="2"/>
  <c r="U860" i="2"/>
  <c r="AD860" i="2"/>
  <c r="AJ860" i="2"/>
  <c r="Z501" i="2"/>
  <c r="V501" i="2"/>
  <c r="AE501" i="2"/>
  <c r="AD549" i="2"/>
  <c r="Q558" i="2"/>
  <c r="U558" i="2"/>
  <c r="AD558" i="2"/>
  <c r="AE567" i="2"/>
  <c r="AD571" i="2"/>
  <c r="Y571" i="2"/>
  <c r="Q587" i="2"/>
  <c r="U587" i="2"/>
  <c r="AD587" i="2"/>
  <c r="Y587" i="2"/>
  <c r="R605" i="2"/>
  <c r="AK605" i="2"/>
  <c r="Q610" i="2"/>
  <c r="Y622" i="2"/>
  <c r="Q622" i="2"/>
  <c r="AK649" i="2"/>
  <c r="Z665" i="2"/>
  <c r="R674" i="2"/>
  <c r="U680" i="2"/>
  <c r="AD680" i="2"/>
  <c r="Y680" i="2"/>
  <c r="AJ680" i="2"/>
  <c r="Y729" i="2"/>
  <c r="U729" i="2"/>
  <c r="AD729" i="2"/>
  <c r="AG729" i="2"/>
  <c r="AE763" i="2"/>
  <c r="V763" i="2"/>
  <c r="AK763" i="2"/>
  <c r="R763" i="2"/>
  <c r="AE764" i="2"/>
  <c r="R764" i="2"/>
  <c r="V764" i="2"/>
  <c r="AK764" i="2"/>
  <c r="Y803" i="2"/>
  <c r="Q803" i="2"/>
  <c r="U803" i="2"/>
  <c r="AJ803" i="2"/>
  <c r="AG803" i="2"/>
  <c r="AD803" i="2"/>
  <c r="AJ857" i="2"/>
  <c r="AD857" i="2"/>
  <c r="Q857" i="2"/>
  <c r="U857" i="2"/>
  <c r="AG857" i="2"/>
  <c r="Q931" i="2"/>
  <c r="AD931" i="2"/>
  <c r="U931" i="2"/>
  <c r="Y931" i="2"/>
  <c r="AG931" i="2"/>
  <c r="AE680" i="2"/>
  <c r="AK680" i="2"/>
  <c r="Z680" i="2"/>
  <c r="Y721" i="2"/>
  <c r="U721" i="2"/>
  <c r="AJ721" i="2"/>
  <c r="AG721" i="2"/>
  <c r="Y837" i="2"/>
  <c r="Q837" i="2"/>
  <c r="AG837" i="2"/>
  <c r="U837" i="2"/>
  <c r="AE633" i="2"/>
  <c r="Z633" i="2"/>
  <c r="AK633" i="2"/>
  <c r="AG648" i="2"/>
  <c r="AD648" i="2"/>
  <c r="U648" i="2"/>
  <c r="Y648" i="2"/>
  <c r="Q648" i="2"/>
  <c r="Q668" i="2"/>
  <c r="AG668" i="2"/>
  <c r="Q731" i="2"/>
  <c r="AJ731" i="2"/>
  <c r="AG731" i="2"/>
  <c r="Y848" i="2"/>
  <c r="U848" i="2"/>
  <c r="AJ848" i="2"/>
  <c r="AD848" i="2"/>
  <c r="AG848" i="2"/>
  <c r="Q848" i="2"/>
  <c r="Y856" i="2"/>
  <c r="U856" i="2"/>
  <c r="Q856" i="2"/>
  <c r="AJ856" i="2"/>
  <c r="AG856" i="2"/>
  <c r="AD856" i="2"/>
  <c r="Q635" i="2"/>
  <c r="AJ635" i="2"/>
  <c r="AE642" i="2"/>
  <c r="V642" i="2"/>
  <c r="Z642" i="2"/>
  <c r="AG649" i="2"/>
  <c r="AJ649" i="2"/>
  <c r="AD649" i="2"/>
  <c r="Y660" i="2"/>
  <c r="Q660" i="2"/>
  <c r="AJ660" i="2"/>
  <c r="AD660" i="2"/>
  <c r="AG662" i="2"/>
  <c r="U662" i="2"/>
  <c r="AE668" i="2"/>
  <c r="R668" i="2"/>
  <c r="V668" i="2"/>
  <c r="AK668" i="2"/>
  <c r="AJ669" i="2"/>
  <c r="U669" i="2"/>
  <c r="Q669" i="2"/>
  <c r="AG669" i="2"/>
  <c r="U670" i="2"/>
  <c r="AG670" i="2"/>
  <c r="AD670" i="2"/>
  <c r="Y670" i="2"/>
  <c r="U766" i="2"/>
  <c r="AJ766" i="2"/>
  <c r="AG766" i="2"/>
  <c r="AD766" i="2"/>
  <c r="Y768" i="2"/>
  <c r="U768" i="2"/>
  <c r="Q768" i="2"/>
  <c r="AG768" i="2"/>
  <c r="Y797" i="2"/>
  <c r="Q797" i="2"/>
  <c r="AG797" i="2"/>
  <c r="U797" i="2"/>
  <c r="AJ802" i="2"/>
  <c r="AG802" i="2"/>
  <c r="AD802" i="2"/>
  <c r="Y802" i="2"/>
  <c r="Q802" i="2"/>
  <c r="AJ849" i="2"/>
  <c r="U849" i="2"/>
  <c r="AD849" i="2"/>
  <c r="AG849" i="2"/>
  <c r="Q849" i="2"/>
  <c r="Y849" i="2"/>
  <c r="AE600" i="2"/>
  <c r="AK600" i="2"/>
  <c r="Z600" i="2"/>
  <c r="AE612" i="2"/>
  <c r="V612" i="2"/>
  <c r="AE634" i="2"/>
  <c r="Z634" i="2"/>
  <c r="AK634" i="2"/>
  <c r="R635" i="2"/>
  <c r="V635" i="2"/>
  <c r="AJ650" i="2"/>
  <c r="AG650" i="2"/>
  <c r="AD650" i="2"/>
  <c r="AE660" i="2"/>
  <c r="Z660" i="2"/>
  <c r="AG661" i="2"/>
  <c r="Q661" i="2"/>
  <c r="U661" i="2"/>
  <c r="AD661" i="2"/>
  <c r="Y661" i="2"/>
  <c r="AE662" i="2"/>
  <c r="R662" i="2"/>
  <c r="AK662" i="2"/>
  <c r="U677" i="2"/>
  <c r="Q677" i="2"/>
  <c r="AD677" i="2"/>
  <c r="Y677" i="2"/>
  <c r="Y691" i="2"/>
  <c r="Q691" i="2"/>
  <c r="AG691" i="2"/>
  <c r="AE692" i="2"/>
  <c r="AK692" i="2"/>
  <c r="R692" i="2"/>
  <c r="AD732" i="2"/>
  <c r="U732" i="2"/>
  <c r="Y732" i="2"/>
  <c r="Q732" i="2"/>
  <c r="AG732" i="2"/>
  <c r="V768" i="2"/>
  <c r="Z768" i="2"/>
  <c r="AK768" i="2"/>
  <c r="Y787" i="2"/>
  <c r="AD787" i="2"/>
  <c r="U787" i="2"/>
  <c r="AJ787" i="2"/>
  <c r="Q787" i="2"/>
  <c r="V838" i="2"/>
  <c r="AK838" i="2"/>
  <c r="Z838" i="2"/>
  <c r="R838" i="2"/>
  <c r="AE838" i="2"/>
  <c r="R452" i="2"/>
  <c r="R463" i="2"/>
  <c r="R487" i="2"/>
  <c r="R497" i="2"/>
  <c r="R501" i="2"/>
  <c r="Q522" i="2"/>
  <c r="AK526" i="2"/>
  <c r="R526" i="2"/>
  <c r="AG567" i="2"/>
  <c r="Y567" i="2"/>
  <c r="Q571" i="2"/>
  <c r="AG583" i="2"/>
  <c r="AD583" i="2"/>
  <c r="Q583" i="2"/>
  <c r="Y610" i="2"/>
  <c r="AJ636" i="2"/>
  <c r="AD636" i="2"/>
  <c r="R661" i="2"/>
  <c r="V661" i="2"/>
  <c r="Z661" i="2"/>
  <c r="Q680" i="2"/>
  <c r="AK691" i="2"/>
  <c r="Z691" i="2"/>
  <c r="R691" i="2"/>
  <c r="AE691" i="2"/>
  <c r="Q729" i="2"/>
  <c r="AE732" i="2"/>
  <c r="AK732" i="2"/>
  <c r="AG742" i="2"/>
  <c r="AD742" i="2"/>
  <c r="Q742" i="2"/>
  <c r="V830" i="2"/>
  <c r="AK830" i="2"/>
  <c r="AE830" i="2"/>
  <c r="R830" i="2"/>
  <c r="Z830" i="2"/>
  <c r="Y876" i="2"/>
  <c r="AD876" i="2"/>
  <c r="AG876" i="2"/>
  <c r="Q876" i="2"/>
  <c r="AJ876" i="2"/>
  <c r="U876" i="2"/>
  <c r="AJ498" i="2"/>
  <c r="Y498" i="2"/>
  <c r="AG498" i="2"/>
  <c r="AK512" i="2"/>
  <c r="R512" i="2"/>
  <c r="Z523" i="2"/>
  <c r="AK523" i="2"/>
  <c r="AJ549" i="2"/>
  <c r="AG561" i="2"/>
  <c r="Q561" i="2"/>
  <c r="U561" i="2"/>
  <c r="U593" i="2"/>
  <c r="AJ607" i="2"/>
  <c r="U607" i="2"/>
  <c r="Y607" i="2"/>
  <c r="AE636" i="2"/>
  <c r="AK636" i="2"/>
  <c r="V636" i="2"/>
  <c r="Z636" i="2"/>
  <c r="V663" i="2"/>
  <c r="R663" i="2"/>
  <c r="Z663" i="2"/>
  <c r="AK663" i="2"/>
  <c r="V671" i="2"/>
  <c r="AE671" i="2"/>
  <c r="Z671" i="2"/>
  <c r="AK671" i="2"/>
  <c r="R680" i="2"/>
  <c r="Q693" i="2"/>
  <c r="AJ693" i="2"/>
  <c r="AD693" i="2"/>
  <c r="U693" i="2"/>
  <c r="Q721" i="2"/>
  <c r="AE733" i="2"/>
  <c r="AK733" i="2"/>
  <c r="Z733" i="2"/>
  <c r="R733" i="2"/>
  <c r="AG743" i="2"/>
  <c r="Y743" i="2"/>
  <c r="AJ743" i="2"/>
  <c r="Q743" i="2"/>
  <c r="AD743" i="2"/>
  <c r="AJ798" i="2"/>
  <c r="AG798" i="2"/>
  <c r="AD798" i="2"/>
  <c r="Q798" i="2"/>
  <c r="Y798" i="2"/>
  <c r="U798" i="2"/>
  <c r="V487" i="2"/>
  <c r="AK488" i="2"/>
  <c r="R488" i="2"/>
  <c r="V488" i="2"/>
  <c r="Y558" i="2"/>
  <c r="AG568" i="2"/>
  <c r="Y568" i="2"/>
  <c r="AJ568" i="2"/>
  <c r="Y593" i="2"/>
  <c r="R612" i="2"/>
  <c r="V633" i="2"/>
  <c r="U635" i="2"/>
  <c r="AK637" i="2"/>
  <c r="Z637" i="2"/>
  <c r="Q650" i="2"/>
  <c r="AJ651" i="2"/>
  <c r="AD651" i="2"/>
  <c r="AG651" i="2"/>
  <c r="Y651" i="2"/>
  <c r="U668" i="2"/>
  <c r="V680" i="2"/>
  <c r="AE718" i="2"/>
  <c r="V718" i="2"/>
  <c r="Z718" i="2"/>
  <c r="U723" i="2"/>
  <c r="AG723" i="2"/>
  <c r="AD723" i="2"/>
  <c r="Y723" i="2"/>
  <c r="U731" i="2"/>
  <c r="R732" i="2"/>
  <c r="Q737" i="2"/>
  <c r="Y737" i="2"/>
  <c r="AG737" i="2"/>
  <c r="AJ737" i="2"/>
  <c r="U737" i="2"/>
  <c r="Q738" i="2"/>
  <c r="AD738" i="2"/>
  <c r="AJ738" i="2"/>
  <c r="U738" i="2"/>
  <c r="AJ875" i="2"/>
  <c r="Q875" i="2"/>
  <c r="Y875" i="2"/>
  <c r="U875" i="2"/>
  <c r="AD875" i="2"/>
  <c r="AG875" i="2"/>
  <c r="Y662" i="2"/>
  <c r="V665" i="2"/>
  <c r="R665" i="2"/>
  <c r="Y731" i="2"/>
  <c r="AE753" i="2"/>
  <c r="R753" i="2"/>
  <c r="V753" i="2"/>
  <c r="Z753" i="2"/>
  <c r="AK753" i="2"/>
  <c r="AJ755" i="2"/>
  <c r="AG755" i="2"/>
  <c r="Y755" i="2"/>
  <c r="AD755" i="2"/>
  <c r="AE598" i="2"/>
  <c r="Z598" i="2"/>
  <c r="R598" i="2"/>
  <c r="AE603" i="2"/>
  <c r="V603" i="2"/>
  <c r="AK603" i="2"/>
  <c r="AE609" i="2"/>
  <c r="V609" i="2"/>
  <c r="AK609" i="2"/>
  <c r="Z609" i="2"/>
  <c r="AE626" i="2"/>
  <c r="AK626" i="2"/>
  <c r="V626" i="2"/>
  <c r="Z626" i="2"/>
  <c r="AD635" i="2"/>
  <c r="AE654" i="2"/>
  <c r="Z654" i="2"/>
  <c r="AJ658" i="2"/>
  <c r="Y658" i="2"/>
  <c r="Q658" i="2"/>
  <c r="U658" i="2"/>
  <c r="AD668" i="2"/>
  <c r="AD691" i="2"/>
  <c r="Z692" i="2"/>
  <c r="U758" i="2"/>
  <c r="AG758" i="2"/>
  <c r="AD758" i="2"/>
  <c r="Y758" i="2"/>
  <c r="Q758" i="2"/>
  <c r="AE768" i="2"/>
  <c r="Y777" i="2"/>
  <c r="Q777" i="2"/>
  <c r="AG777" i="2"/>
  <c r="AD777" i="2"/>
  <c r="AJ777" i="2"/>
  <c r="AD837" i="2"/>
  <c r="AJ570" i="2"/>
  <c r="Y570" i="2"/>
  <c r="AD570" i="2"/>
  <c r="U570" i="2"/>
  <c r="AE635" i="2"/>
  <c r="Y650" i="2"/>
  <c r="AD669" i="2"/>
  <c r="AE674" i="2"/>
  <c r="V674" i="2"/>
  <c r="AD701" i="2"/>
  <c r="AG701" i="2"/>
  <c r="V711" i="2"/>
  <c r="Z711" i="2"/>
  <c r="AJ859" i="2"/>
  <c r="U859" i="2"/>
  <c r="AD859" i="2"/>
  <c r="Y859" i="2"/>
  <c r="Q859" i="2"/>
  <c r="AG859" i="2"/>
  <c r="AD640" i="2"/>
  <c r="AJ640" i="2"/>
  <c r="Y640" i="2"/>
  <c r="AJ648" i="2"/>
  <c r="AE649" i="2"/>
  <c r="AG660" i="2"/>
  <c r="AD662" i="2"/>
  <c r="AE666" i="2"/>
  <c r="V666" i="2"/>
  <c r="AK666" i="2"/>
  <c r="Z666" i="2"/>
  <c r="AG677" i="2"/>
  <c r="AD709" i="2"/>
  <c r="Y709" i="2"/>
  <c r="Q709" i="2"/>
  <c r="AE710" i="2"/>
  <c r="V710" i="2"/>
  <c r="AE720" i="2"/>
  <c r="R720" i="2"/>
  <c r="AK720" i="2"/>
  <c r="AD731" i="2"/>
  <c r="Q755" i="2"/>
  <c r="Z760" i="2"/>
  <c r="AK760" i="2"/>
  <c r="R760" i="2"/>
  <c r="AJ780" i="2"/>
  <c r="AD780" i="2"/>
  <c r="U780" i="2"/>
  <c r="AG780" i="2"/>
  <c r="Q780" i="2"/>
  <c r="AD797" i="2"/>
  <c r="AK510" i="2"/>
  <c r="R510" i="2"/>
  <c r="Z540" i="2"/>
  <c r="V540" i="2"/>
  <c r="AK540" i="2"/>
  <c r="AJ556" i="2"/>
  <c r="AE568" i="2"/>
  <c r="V568" i="2"/>
  <c r="Z568" i="2"/>
  <c r="AD647" i="2"/>
  <c r="Y647" i="2"/>
  <c r="AE677" i="2"/>
  <c r="V677" i="2"/>
  <c r="AE678" i="2"/>
  <c r="R678" i="2"/>
  <c r="U679" i="2"/>
  <c r="AD679" i="2"/>
  <c r="V693" i="2"/>
  <c r="AE693" i="2"/>
  <c r="AK693" i="2"/>
  <c r="AG702" i="2"/>
  <c r="Y702" i="2"/>
  <c r="AD702" i="2"/>
  <c r="Y727" i="2"/>
  <c r="AD727" i="2"/>
  <c r="AG727" i="2"/>
  <c r="AJ782" i="2"/>
  <c r="AG782" i="2"/>
  <c r="AD782" i="2"/>
  <c r="Y825" i="2"/>
  <c r="Q825" i="2"/>
  <c r="AG825" i="2"/>
  <c r="AD825" i="2"/>
  <c r="AJ825" i="2"/>
  <c r="Y833" i="2"/>
  <c r="Q833" i="2"/>
  <c r="U833" i="2"/>
  <c r="AJ833" i="2"/>
  <c r="AD833" i="2"/>
  <c r="AG833" i="2"/>
  <c r="AJ889" i="2"/>
  <c r="Y889" i="2"/>
  <c r="Q889" i="2"/>
  <c r="AG889" i="2"/>
  <c r="U889" i="2"/>
  <c r="AD889" i="2"/>
  <c r="Y817" i="2"/>
  <c r="Q817" i="2"/>
  <c r="AD817" i="2"/>
  <c r="AJ817" i="2"/>
  <c r="AJ895" i="2"/>
  <c r="AG895" i="2"/>
  <c r="U895" i="2"/>
  <c r="Y895" i="2"/>
  <c r="AD895" i="2"/>
  <c r="Q895" i="2"/>
  <c r="R480" i="2"/>
  <c r="Q492" i="2"/>
  <c r="U502" i="2"/>
  <c r="R505" i="2"/>
  <c r="AK508" i="2"/>
  <c r="R508" i="2"/>
  <c r="V520" i="2"/>
  <c r="AE535" i="2"/>
  <c r="R540" i="2"/>
  <c r="Q556" i="2"/>
  <c r="U564" i="2"/>
  <c r="R568" i="2"/>
  <c r="AK569" i="2"/>
  <c r="AE576" i="2"/>
  <c r="V576" i="2"/>
  <c r="Z576" i="2"/>
  <c r="AD596" i="2"/>
  <c r="Q596" i="2"/>
  <c r="Q599" i="2"/>
  <c r="Q603" i="2"/>
  <c r="R628" i="2"/>
  <c r="Q647" i="2"/>
  <c r="AE648" i="2"/>
  <c r="V648" i="2"/>
  <c r="Q679" i="2"/>
  <c r="AJ688" i="2"/>
  <c r="AE695" i="2"/>
  <c r="R695" i="2"/>
  <c r="AE696" i="2"/>
  <c r="V696" i="2"/>
  <c r="R696" i="2"/>
  <c r="AK696" i="2"/>
  <c r="Q702" i="2"/>
  <c r="Q717" i="2"/>
  <c r="AG717" i="2"/>
  <c r="Q727" i="2"/>
  <c r="Q782" i="2"/>
  <c r="AJ792" i="2"/>
  <c r="AG792" i="2"/>
  <c r="Y792" i="2"/>
  <c r="U792" i="2"/>
  <c r="AJ822" i="2"/>
  <c r="AG822" i="2"/>
  <c r="AD822" i="2"/>
  <c r="U822" i="2"/>
  <c r="Q822" i="2"/>
  <c r="V480" i="2"/>
  <c r="Y502" i="2"/>
  <c r="V505" i="2"/>
  <c r="AK524" i="2"/>
  <c r="R524" i="2"/>
  <c r="AE554" i="2"/>
  <c r="AK554" i="2"/>
  <c r="U556" i="2"/>
  <c r="AK566" i="2"/>
  <c r="AK584" i="2"/>
  <c r="Y617" i="2"/>
  <c r="AG617" i="2"/>
  <c r="AJ617" i="2"/>
  <c r="U634" i="2"/>
  <c r="Q634" i="2"/>
  <c r="Y634" i="2"/>
  <c r="AJ634" i="2"/>
  <c r="AD634" i="2"/>
  <c r="Q639" i="2"/>
  <c r="AD639" i="2"/>
  <c r="AJ639" i="2"/>
  <c r="Z678" i="2"/>
  <c r="Z693" i="2"/>
  <c r="R766" i="2"/>
  <c r="AE766" i="2"/>
  <c r="V766" i="2"/>
  <c r="AE774" i="2"/>
  <c r="AK774" i="2"/>
  <c r="V774" i="2"/>
  <c r="V804" i="2"/>
  <c r="Z804" i="2"/>
  <c r="AK804" i="2"/>
  <c r="AJ840" i="2"/>
  <c r="AG840" i="2"/>
  <c r="U840" i="2"/>
  <c r="AD840" i="2"/>
  <c r="Q840" i="2"/>
  <c r="Y840" i="2"/>
  <c r="U1132" i="2"/>
  <c r="AG1132" i="2"/>
  <c r="AJ1132" i="2"/>
  <c r="Y1132" i="2"/>
  <c r="AD1132" i="2"/>
  <c r="Q1132" i="2"/>
  <c r="AG1011" i="2"/>
  <c r="U1011" i="2"/>
  <c r="AD1011" i="2"/>
  <c r="AJ1011" i="2"/>
  <c r="Q1011" i="2"/>
  <c r="Y1011" i="2"/>
  <c r="AE778" i="2"/>
  <c r="AK778" i="2"/>
  <c r="Z778" i="2"/>
  <c r="V778" i="2"/>
  <c r="AE849" i="2"/>
  <c r="Z849" i="2"/>
  <c r="R849" i="2"/>
  <c r="AK849" i="2"/>
  <c r="AD761" i="2"/>
  <c r="AG761" i="2"/>
  <c r="AJ847" i="2"/>
  <c r="U847" i="2"/>
  <c r="AD847" i="2"/>
  <c r="Y847" i="2"/>
  <c r="AG847" i="2"/>
  <c r="Y852" i="2"/>
  <c r="Q852" i="2"/>
  <c r="AJ852" i="2"/>
  <c r="U852" i="2"/>
  <c r="Y789" i="2"/>
  <c r="AG789" i="2"/>
  <c r="Q789" i="2"/>
  <c r="Y854" i="2"/>
  <c r="AG854" i="2"/>
  <c r="U854" i="2"/>
  <c r="Q854" i="2"/>
  <c r="AJ854" i="2"/>
  <c r="AD854" i="2"/>
  <c r="R748" i="2"/>
  <c r="Z748" i="2"/>
  <c r="AE748" i="2"/>
  <c r="V748" i="2"/>
  <c r="V780" i="2"/>
  <c r="AE780" i="2"/>
  <c r="R780" i="2"/>
  <c r="AJ788" i="2"/>
  <c r="Q788" i="2"/>
  <c r="U788" i="2"/>
  <c r="AD788" i="2"/>
  <c r="Y788" i="2"/>
  <c r="AJ885" i="2"/>
  <c r="U885" i="2"/>
  <c r="AD885" i="2"/>
  <c r="Q885" i="2"/>
  <c r="AG885" i="2"/>
  <c r="AK520" i="2"/>
  <c r="R520" i="2"/>
  <c r="Z536" i="2"/>
  <c r="R536" i="2"/>
  <c r="V536" i="2"/>
  <c r="Q545" i="2"/>
  <c r="Y545" i="2"/>
  <c r="AJ545" i="2"/>
  <c r="AD552" i="2"/>
  <c r="U552" i="2"/>
  <c r="AG560" i="2"/>
  <c r="Y560" i="2"/>
  <c r="AK575" i="2"/>
  <c r="Y578" i="2"/>
  <c r="AD578" i="2"/>
  <c r="AG599" i="2"/>
  <c r="AJ614" i="2"/>
  <c r="Y614" i="2"/>
  <c r="AG614" i="2"/>
  <c r="V619" i="2"/>
  <c r="AE619" i="2"/>
  <c r="R619" i="2"/>
  <c r="AD642" i="2"/>
  <c r="Q642" i="2"/>
  <c r="U671" i="2"/>
  <c r="AD671" i="2"/>
  <c r="Y671" i="2"/>
  <c r="AJ679" i="2"/>
  <c r="AE684" i="2"/>
  <c r="V684" i="2"/>
  <c r="Z684" i="2"/>
  <c r="Z713" i="2"/>
  <c r="AE713" i="2"/>
  <c r="R778" i="2"/>
  <c r="AJ810" i="2"/>
  <c r="AG810" i="2"/>
  <c r="AD810" i="2"/>
  <c r="U810" i="2"/>
  <c r="Y810" i="2"/>
  <c r="AK853" i="2"/>
  <c r="V853" i="2"/>
  <c r="AE853" i="2"/>
  <c r="R853" i="2"/>
  <c r="AJ559" i="2"/>
  <c r="AK583" i="2"/>
  <c r="AK594" i="2"/>
  <c r="AJ600" i="2"/>
  <c r="AJ623" i="2"/>
  <c r="V639" i="2"/>
  <c r="AE639" i="2"/>
  <c r="AK659" i="2"/>
  <c r="R669" i="2"/>
  <c r="AE669" i="2"/>
  <c r="U678" i="2"/>
  <c r="AD678" i="2"/>
  <c r="Q678" i="2"/>
  <c r="Q694" i="2"/>
  <c r="AD694" i="2"/>
  <c r="AJ778" i="2"/>
  <c r="U778" i="2"/>
  <c r="Y778" i="2"/>
  <c r="Y799" i="2"/>
  <c r="Q799" i="2"/>
  <c r="AD799" i="2"/>
  <c r="AJ799" i="2"/>
  <c r="U799" i="2"/>
  <c r="AK869" i="2"/>
  <c r="R869" i="2"/>
  <c r="U915" i="2"/>
  <c r="AJ915" i="2"/>
  <c r="Y915" i="2"/>
  <c r="Q915" i="2"/>
  <c r="AG915" i="2"/>
  <c r="AD915" i="2"/>
  <c r="AG1047" i="2"/>
  <c r="Y1047" i="2"/>
  <c r="AJ1047" i="2"/>
  <c r="U1047" i="2"/>
  <c r="Q1047" i="2"/>
  <c r="AD1047" i="2"/>
  <c r="V965" i="2"/>
  <c r="R965" i="2"/>
  <c r="Z965" i="2"/>
  <c r="AK965" i="2"/>
  <c r="AE965" i="2"/>
  <c r="AJ824" i="2"/>
  <c r="AG824" i="2"/>
  <c r="Q824" i="2"/>
  <c r="U824" i="2"/>
  <c r="AD824" i="2"/>
  <c r="V939" i="2"/>
  <c r="R939" i="2"/>
  <c r="AE939" i="2"/>
  <c r="AK939" i="2"/>
  <c r="AE824" i="2"/>
  <c r="V824" i="2"/>
  <c r="R824" i="2"/>
  <c r="U977" i="2"/>
  <c r="Y977" i="2"/>
  <c r="AD977" i="2"/>
  <c r="AJ977" i="2"/>
  <c r="Q977" i="2"/>
  <c r="Q537" i="2"/>
  <c r="Q551" i="2"/>
  <c r="AD551" i="2"/>
  <c r="Q559" i="2"/>
  <c r="Q562" i="2"/>
  <c r="V572" i="2"/>
  <c r="AK573" i="2"/>
  <c r="R583" i="2"/>
  <c r="Q600" i="2"/>
  <c r="AJ609" i="2"/>
  <c r="AG612" i="2"/>
  <c r="U612" i="2"/>
  <c r="Q623" i="2"/>
  <c r="AE630" i="2"/>
  <c r="Z630" i="2"/>
  <c r="AK630" i="2"/>
  <c r="R653" i="2"/>
  <c r="AJ654" i="2"/>
  <c r="R659" i="2"/>
  <c r="AD718" i="2"/>
  <c r="U718" i="2"/>
  <c r="Q746" i="2"/>
  <c r="R752" i="2"/>
  <c r="Q778" i="2"/>
  <c r="AK887" i="2"/>
  <c r="R887" i="2"/>
  <c r="V887" i="2"/>
  <c r="Y793" i="2"/>
  <c r="AJ793" i="2"/>
  <c r="AK834" i="2"/>
  <c r="Z834" i="2"/>
  <c r="R834" i="2"/>
  <c r="AK845" i="2"/>
  <c r="Z845" i="2"/>
  <c r="V845" i="2"/>
  <c r="AE845" i="2"/>
  <c r="Y892" i="2"/>
  <c r="U892" i="2"/>
  <c r="AJ892" i="2"/>
  <c r="AG892" i="2"/>
  <c r="Q892" i="2"/>
  <c r="AD892" i="2"/>
  <c r="AE968" i="2"/>
  <c r="AK968" i="2"/>
  <c r="R968" i="2"/>
  <c r="Z968" i="2"/>
  <c r="V968" i="2"/>
  <c r="V1030" i="2"/>
  <c r="AK1030" i="2"/>
  <c r="R1030" i="2"/>
  <c r="Z1030" i="2"/>
  <c r="AJ794" i="2"/>
  <c r="AD794" i="2"/>
  <c r="Q794" i="2"/>
  <c r="U794" i="2"/>
  <c r="AJ816" i="2"/>
  <c r="AG816" i="2"/>
  <c r="Y816" i="2"/>
  <c r="AD816" i="2"/>
  <c r="Q816" i="2"/>
  <c r="AK735" i="2"/>
  <c r="Z735" i="2"/>
  <c r="V735" i="2"/>
  <c r="R744" i="2"/>
  <c r="V744" i="2"/>
  <c r="V750" i="2"/>
  <c r="AE750" i="2"/>
  <c r="Y839" i="2"/>
  <c r="Q839" i="2"/>
  <c r="AD839" i="2"/>
  <c r="AG839" i="2"/>
  <c r="U839" i="2"/>
  <c r="V1054" i="2"/>
  <c r="R1054" i="2"/>
  <c r="AK1054" i="2"/>
  <c r="Z1054" i="2"/>
  <c r="AE1054" i="2"/>
  <c r="U553" i="2"/>
  <c r="AG553" i="2"/>
  <c r="AD562" i="2"/>
  <c r="AE564" i="2"/>
  <c r="Z564" i="2"/>
  <c r="AK564" i="2"/>
  <c r="AD632" i="2"/>
  <c r="Q632" i="2"/>
  <c r="R709" i="2"/>
  <c r="V709" i="2"/>
  <c r="AE709" i="2"/>
  <c r="AE730" i="2"/>
  <c r="R730" i="2"/>
  <c r="Q736" i="2"/>
  <c r="AG736" i="2"/>
  <c r="AK737" i="2"/>
  <c r="AG746" i="2"/>
  <c r="U765" i="2"/>
  <c r="Y765" i="2"/>
  <c r="V786" i="2"/>
  <c r="U793" i="2"/>
  <c r="AJ796" i="2"/>
  <c r="Q796" i="2"/>
  <c r="Y796" i="2"/>
  <c r="U796" i="2"/>
  <c r="AG796" i="2"/>
  <c r="AE818" i="2"/>
  <c r="AK818" i="2"/>
  <c r="V818" i="2"/>
  <c r="Z818" i="2"/>
  <c r="AK824" i="2"/>
  <c r="AE840" i="2"/>
  <c r="AK840" i="2"/>
  <c r="R840" i="2"/>
  <c r="Y858" i="2"/>
  <c r="AG858" i="2"/>
  <c r="AJ858" i="2"/>
  <c r="AD858" i="2"/>
  <c r="R883" i="2"/>
  <c r="Z883" i="2"/>
  <c r="AE883" i="2"/>
  <c r="V962" i="2"/>
  <c r="AE962" i="2"/>
  <c r="Z962" i="2"/>
  <c r="R962" i="2"/>
  <c r="AK962" i="2"/>
  <c r="R974" i="2"/>
  <c r="AK974" i="2"/>
  <c r="AE974" i="2"/>
  <c r="Z974" i="2"/>
  <c r="AJ550" i="2"/>
  <c r="AG559" i="2"/>
  <c r="AK572" i="2"/>
  <c r="AE588" i="2"/>
  <c r="R588" i="2"/>
  <c r="AE620" i="2"/>
  <c r="V620" i="2"/>
  <c r="AK620" i="2"/>
  <c r="AG623" i="2"/>
  <c r="AJ629" i="2"/>
  <c r="AE632" i="2"/>
  <c r="R632" i="2"/>
  <c r="AK639" i="2"/>
  <c r="AK669" i="2"/>
  <c r="AJ678" i="2"/>
  <c r="Q682" i="2"/>
  <c r="AG682" i="2"/>
  <c r="AD684" i="2"/>
  <c r="AJ699" i="2"/>
  <c r="Y699" i="2"/>
  <c r="U699" i="2"/>
  <c r="AG710" i="2"/>
  <c r="Y710" i="2"/>
  <c r="Q710" i="2"/>
  <c r="AK731" i="2"/>
  <c r="AE736" i="2"/>
  <c r="AK736" i="2"/>
  <c r="R736" i="2"/>
  <c r="AE751" i="2"/>
  <c r="AK751" i="2"/>
  <c r="R770" i="2"/>
  <c r="AE770" i="2"/>
  <c r="AJ861" i="2"/>
  <c r="Q861" i="2"/>
  <c r="AD861" i="2"/>
  <c r="U861" i="2"/>
  <c r="AG861" i="2"/>
  <c r="Y861" i="2"/>
  <c r="Z863" i="2"/>
  <c r="AK863" i="2"/>
  <c r="R863" i="2"/>
  <c r="V863" i="2"/>
  <c r="AG977" i="2"/>
  <c r="V1026" i="2"/>
  <c r="AE1026" i="2"/>
  <c r="R1026" i="2"/>
  <c r="AK1026" i="2"/>
  <c r="Z1026" i="2"/>
  <c r="AE673" i="2"/>
  <c r="AE714" i="2"/>
  <c r="R714" i="2"/>
  <c r="AD734" i="2"/>
  <c r="AG741" i="2"/>
  <c r="AJ741" i="2"/>
  <c r="Y741" i="2"/>
  <c r="U741" i="2"/>
  <c r="AD751" i="2"/>
  <c r="AK759" i="2"/>
  <c r="Z776" i="2"/>
  <c r="AE776" i="2"/>
  <c r="R802" i="2"/>
  <c r="AE802" i="2"/>
  <c r="Z802" i="2"/>
  <c r="V802" i="2"/>
  <c r="R832" i="2"/>
  <c r="AK832" i="2"/>
  <c r="U998" i="2"/>
  <c r="AD998" i="2"/>
  <c r="Y998" i="2"/>
  <c r="AJ998" i="2"/>
  <c r="V971" i="2"/>
  <c r="R971" i="2"/>
  <c r="AK971" i="2"/>
  <c r="Z971" i="2"/>
  <c r="Z1086" i="2"/>
  <c r="V1086" i="2"/>
  <c r="AK1086" i="2"/>
  <c r="AE1086" i="2"/>
  <c r="R1086" i="2"/>
  <c r="AG917" i="2"/>
  <c r="Q917" i="2"/>
  <c r="AJ917" i="2"/>
  <c r="Y917" i="2"/>
  <c r="AD917" i="2"/>
  <c r="V918" i="2"/>
  <c r="AE918" i="2"/>
  <c r="Z918" i="2"/>
  <c r="AK918" i="2"/>
  <c r="R918" i="2"/>
  <c r="AE644" i="2"/>
  <c r="AK644" i="2"/>
  <c r="Z644" i="2"/>
  <c r="AE656" i="2"/>
  <c r="V656" i="2"/>
  <c r="AE670" i="2"/>
  <c r="R670" i="2"/>
  <c r="AJ673" i="2"/>
  <c r="Q685" i="2"/>
  <c r="Q700" i="2"/>
  <c r="AJ700" i="2"/>
  <c r="U700" i="2"/>
  <c r="Q704" i="2"/>
  <c r="AK719" i="2"/>
  <c r="R721" i="2"/>
  <c r="AK726" i="2"/>
  <c r="AJ734" i="2"/>
  <c r="Q741" i="2"/>
  <c r="AJ751" i="2"/>
  <c r="R759" i="2"/>
  <c r="R776" i="2"/>
  <c r="R790" i="2"/>
  <c r="AK796" i="2"/>
  <c r="Z796" i="2"/>
  <c r="V857" i="2"/>
  <c r="AE857" i="2"/>
  <c r="Z857" i="2"/>
  <c r="R857" i="2"/>
  <c r="AK857" i="2"/>
  <c r="R859" i="2"/>
  <c r="Z859" i="2"/>
  <c r="V859" i="2"/>
  <c r="AK859" i="2"/>
  <c r="Y866" i="2"/>
  <c r="AJ866" i="2"/>
  <c r="AD866" i="2"/>
  <c r="Q866" i="2"/>
  <c r="R988" i="2"/>
  <c r="AE988" i="2"/>
  <c r="AK988" i="2"/>
  <c r="V988" i="2"/>
  <c r="Z988" i="2"/>
  <c r="AE676" i="2"/>
  <c r="R676" i="2"/>
  <c r="AE700" i="2"/>
  <c r="Z700" i="2"/>
  <c r="AJ705" i="2"/>
  <c r="Q705" i="2"/>
  <c r="AD705" i="2"/>
  <c r="AK812" i="2"/>
  <c r="AE812" i="2"/>
  <c r="Z812" i="2"/>
  <c r="V812" i="2"/>
  <c r="AE855" i="2"/>
  <c r="Z855" i="2"/>
  <c r="V855" i="2"/>
  <c r="R855" i="2"/>
  <c r="Y868" i="2"/>
  <c r="Q868" i="2"/>
  <c r="AD868" i="2"/>
  <c r="U868" i="2"/>
  <c r="AG868" i="2"/>
  <c r="Y882" i="2"/>
  <c r="AG882" i="2"/>
  <c r="Q882" i="2"/>
  <c r="AJ882" i="2"/>
  <c r="AD882" i="2"/>
  <c r="U882" i="2"/>
  <c r="AE1079" i="2"/>
  <c r="Z1079" i="2"/>
  <c r="AK1079" i="2"/>
  <c r="V1079" i="2"/>
  <c r="R1079" i="2"/>
  <c r="V975" i="2"/>
  <c r="R975" i="2"/>
  <c r="AE975" i="2"/>
  <c r="AK975" i="2"/>
  <c r="Z975" i="2"/>
  <c r="AK672" i="2"/>
  <c r="AD695" i="2"/>
  <c r="U695" i="2"/>
  <c r="AJ695" i="2"/>
  <c r="AD700" i="2"/>
  <c r="AK714" i="2"/>
  <c r="Y728" i="2"/>
  <c r="AD728" i="2"/>
  <c r="R758" i="2"/>
  <c r="Z758" i="2"/>
  <c r="AE767" i="2"/>
  <c r="Z767" i="2"/>
  <c r="V767" i="2"/>
  <c r="AK767" i="2"/>
  <c r="AE771" i="2"/>
  <c r="AK771" i="2"/>
  <c r="AK790" i="2"/>
  <c r="AJ818" i="2"/>
  <c r="AG818" i="2"/>
  <c r="Q818" i="2"/>
  <c r="AD818" i="2"/>
  <c r="Y818" i="2"/>
  <c r="U818" i="2"/>
  <c r="AJ842" i="2"/>
  <c r="AG842" i="2"/>
  <c r="Y842" i="2"/>
  <c r="Q842" i="2"/>
  <c r="AD842" i="2"/>
  <c r="AD911" i="2"/>
  <c r="Y911" i="2"/>
  <c r="Q911" i="2"/>
  <c r="U911" i="2"/>
  <c r="AJ911" i="2"/>
  <c r="AG998" i="2"/>
  <c r="AJ730" i="2"/>
  <c r="AJ733" i="2"/>
  <c r="AE769" i="2"/>
  <c r="R769" i="2"/>
  <c r="AK769" i="2"/>
  <c r="AJ772" i="2"/>
  <c r="U826" i="2"/>
  <c r="U831" i="2"/>
  <c r="Y874" i="2"/>
  <c r="AJ874" i="2"/>
  <c r="AD874" i="2"/>
  <c r="U874" i="2"/>
  <c r="V921" i="2"/>
  <c r="Z921" i="2"/>
  <c r="R921" i="2"/>
  <c r="U1010" i="2"/>
  <c r="Q1010" i="2"/>
  <c r="AJ1010" i="2"/>
  <c r="Y1010" i="2"/>
  <c r="AD1010" i="2"/>
  <c r="AE1090" i="2"/>
  <c r="AK1090" i="2"/>
  <c r="Z1090" i="2"/>
  <c r="R1090" i="2"/>
  <c r="V1090" i="2"/>
  <c r="R1106" i="2"/>
  <c r="AE1106" i="2"/>
  <c r="Z1106" i="2"/>
  <c r="V1106" i="2"/>
  <c r="AK1106" i="2"/>
  <c r="AE1117" i="2"/>
  <c r="AK1117" i="2"/>
  <c r="V1117" i="2"/>
  <c r="Z1117" i="2"/>
  <c r="R1117" i="2"/>
  <c r="V903" i="2"/>
  <c r="Z903" i="2"/>
  <c r="AE903" i="2"/>
  <c r="R903" i="2"/>
  <c r="AE928" i="2"/>
  <c r="R928" i="2"/>
  <c r="AK928" i="2"/>
  <c r="V928" i="2"/>
  <c r="U1022" i="2"/>
  <c r="Q1022" i="2"/>
  <c r="AJ1022" i="2"/>
  <c r="AG1022" i="2"/>
  <c r="AD1022" i="2"/>
  <c r="Y1022" i="2"/>
  <c r="Z950" i="2"/>
  <c r="R950" i="2"/>
  <c r="AE950" i="2"/>
  <c r="V950" i="2"/>
  <c r="AK950" i="2"/>
  <c r="AK704" i="2"/>
  <c r="AE725" i="2"/>
  <c r="V725" i="2"/>
  <c r="Y745" i="2"/>
  <c r="AG745" i="2"/>
  <c r="AJ790" i="2"/>
  <c r="AD790" i="2"/>
  <c r="R828" i="2"/>
  <c r="AE828" i="2"/>
  <c r="AG1101" i="2"/>
  <c r="U1101" i="2"/>
  <c r="Y1101" i="2"/>
  <c r="AD1101" i="2"/>
  <c r="AJ1101" i="2"/>
  <c r="AK690" i="2"/>
  <c r="Y770" i="2"/>
  <c r="U770" i="2"/>
  <c r="AG770" i="2"/>
  <c r="Y807" i="2"/>
  <c r="Q807" i="2"/>
  <c r="U807" i="2"/>
  <c r="AG807" i="2"/>
  <c r="AE820" i="2"/>
  <c r="Y835" i="2"/>
  <c r="Q835" i="2"/>
  <c r="U835" i="2"/>
  <c r="AD835" i="2"/>
  <c r="AJ867" i="2"/>
  <c r="AG867" i="2"/>
  <c r="U867" i="2"/>
  <c r="AD867" i="2"/>
  <c r="Q867" i="2"/>
  <c r="R889" i="2"/>
  <c r="AK889" i="2"/>
  <c r="AE889" i="2"/>
  <c r="V1004" i="2"/>
  <c r="R1004" i="2"/>
  <c r="AE1004" i="2"/>
  <c r="Z1004" i="2"/>
  <c r="AK1004" i="2"/>
  <c r="AG1147" i="2"/>
  <c r="U1147" i="2"/>
  <c r="AD1147" i="2"/>
  <c r="AJ1147" i="2"/>
  <c r="Y1147" i="2"/>
  <c r="Q1147" i="2"/>
  <c r="Y878" i="2"/>
  <c r="AG878" i="2"/>
  <c r="AD878" i="2"/>
  <c r="R891" i="2"/>
  <c r="AE891" i="2"/>
  <c r="V891" i="2"/>
  <c r="Z891" i="2"/>
  <c r="Z928" i="2"/>
  <c r="V940" i="2"/>
  <c r="AE940" i="2"/>
  <c r="Z940" i="2"/>
  <c r="V953" i="2"/>
  <c r="R953" i="2"/>
  <c r="Z953" i="2"/>
  <c r="U1032" i="2"/>
  <c r="Q1032" i="2"/>
  <c r="AJ1032" i="2"/>
  <c r="Y1032" i="2"/>
  <c r="AG1032" i="2"/>
  <c r="AD1032" i="2"/>
  <c r="U1034" i="2"/>
  <c r="Q1034" i="2"/>
  <c r="AD1034" i="2"/>
  <c r="AJ1034" i="2"/>
  <c r="AG1034" i="2"/>
  <c r="Y1034" i="2"/>
  <c r="AG1085" i="2"/>
  <c r="AD1085" i="2"/>
  <c r="Y1085" i="2"/>
  <c r="Q1085" i="2"/>
  <c r="AJ1085" i="2"/>
  <c r="U1085" i="2"/>
  <c r="AG919" i="2"/>
  <c r="Y919" i="2"/>
  <c r="AD919" i="2"/>
  <c r="Q919" i="2"/>
  <c r="V1034" i="2"/>
  <c r="R1034" i="2"/>
  <c r="AE1034" i="2"/>
  <c r="Z1034" i="2"/>
  <c r="AK1034" i="2"/>
  <c r="Y795" i="2"/>
  <c r="AG795" i="2"/>
  <c r="AJ804" i="2"/>
  <c r="AG804" i="2"/>
  <c r="Y809" i="2"/>
  <c r="Q809" i="2"/>
  <c r="U809" i="2"/>
  <c r="AJ814" i="2"/>
  <c r="AG814" i="2"/>
  <c r="Q814" i="2"/>
  <c r="AJ820" i="2"/>
  <c r="AG820" i="2"/>
  <c r="U820" i="2"/>
  <c r="Q820" i="2"/>
  <c r="AJ826" i="2"/>
  <c r="AG826" i="2"/>
  <c r="Y831" i="2"/>
  <c r="Q831" i="2"/>
  <c r="AG831" i="2"/>
  <c r="AE861" i="2"/>
  <c r="R861" i="2"/>
  <c r="Z861" i="2"/>
  <c r="AJ899" i="2"/>
  <c r="AG899" i="2"/>
  <c r="Q899" i="2"/>
  <c r="Y899" i="2"/>
  <c r="R966" i="2"/>
  <c r="AE966" i="2"/>
  <c r="AK966" i="2"/>
  <c r="V966" i="2"/>
  <c r="U1134" i="2"/>
  <c r="Q1134" i="2"/>
  <c r="AD1134" i="2"/>
  <c r="Y1134" i="2"/>
  <c r="AJ1134" i="2"/>
  <c r="V826" i="2"/>
  <c r="AE826" i="2"/>
  <c r="R899" i="2"/>
  <c r="AE899" i="2"/>
  <c r="AK899" i="2"/>
  <c r="Z899" i="2"/>
  <c r="Z908" i="2"/>
  <c r="AE908" i="2"/>
  <c r="R908" i="2"/>
  <c r="V941" i="2"/>
  <c r="R941" i="2"/>
  <c r="Z941" i="2"/>
  <c r="AK941" i="2"/>
  <c r="Q981" i="2"/>
  <c r="AJ981" i="2"/>
  <c r="U981" i="2"/>
  <c r="Y981" i="2"/>
  <c r="AG981" i="2"/>
  <c r="V986" i="2"/>
  <c r="AE986" i="2"/>
  <c r="R986" i="2"/>
  <c r="AK986" i="2"/>
  <c r="V1058" i="2"/>
  <c r="Z1058" i="2"/>
  <c r="AK1058" i="2"/>
  <c r="AE1058" i="2"/>
  <c r="R1058" i="2"/>
  <c r="AJ800" i="2"/>
  <c r="AG800" i="2"/>
  <c r="U800" i="2"/>
  <c r="V871" i="2"/>
  <c r="Z871" i="2"/>
  <c r="Y872" i="2"/>
  <c r="AJ872" i="2"/>
  <c r="AG872" i="2"/>
  <c r="AD872" i="2"/>
  <c r="R942" i="2"/>
  <c r="Z942" i="2"/>
  <c r="V942" i="2"/>
  <c r="AK942" i="2"/>
  <c r="V973" i="2"/>
  <c r="R973" i="2"/>
  <c r="AE973" i="2"/>
  <c r="V1014" i="2"/>
  <c r="Z1014" i="2"/>
  <c r="AK1014" i="2"/>
  <c r="R1014" i="2"/>
  <c r="AE1014" i="2"/>
  <c r="AE1031" i="2"/>
  <c r="R1031" i="2"/>
  <c r="V1031" i="2"/>
  <c r="AK1031" i="2"/>
  <c r="Z1031" i="2"/>
  <c r="Z652" i="2"/>
  <c r="AE686" i="2"/>
  <c r="V686" i="2"/>
  <c r="AK686" i="2"/>
  <c r="Z704" i="2"/>
  <c r="AJ750" i="2"/>
  <c r="AG753" i="2"/>
  <c r="AD753" i="2"/>
  <c r="Z757" i="2"/>
  <c r="Y775" i="2"/>
  <c r="U775" i="2"/>
  <c r="AJ775" i="2"/>
  <c r="V788" i="2"/>
  <c r="AK788" i="2"/>
  <c r="AE800" i="2"/>
  <c r="R800" i="2"/>
  <c r="Y815" i="2"/>
  <c r="Q815" i="2"/>
  <c r="AJ815" i="2"/>
  <c r="AJ832" i="2"/>
  <c r="AG832" i="2"/>
  <c r="Y832" i="2"/>
  <c r="Y864" i="2"/>
  <c r="U864" i="2"/>
  <c r="AJ864" i="2"/>
  <c r="Q878" i="2"/>
  <c r="Q907" i="2"/>
  <c r="AD907" i="2"/>
  <c r="U907" i="2"/>
  <c r="AG907" i="2"/>
  <c r="Y907" i="2"/>
  <c r="AG909" i="2"/>
  <c r="Q909" i="2"/>
  <c r="AJ909" i="2"/>
  <c r="AD909" i="2"/>
  <c r="R940" i="2"/>
  <c r="AE983" i="2"/>
  <c r="AK983" i="2"/>
  <c r="R983" i="2"/>
  <c r="Z983" i="2"/>
  <c r="V983" i="2"/>
  <c r="AG1013" i="2"/>
  <c r="U1013" i="2"/>
  <c r="Q1013" i="2"/>
  <c r="AJ1013" i="2"/>
  <c r="Y1013" i="2"/>
  <c r="AD1013" i="2"/>
  <c r="U1121" i="2"/>
  <c r="AD1121" i="2"/>
  <c r="AJ1121" i="2"/>
  <c r="Y1121" i="2"/>
  <c r="AG1121" i="2"/>
  <c r="Q1121" i="2"/>
  <c r="U1124" i="2"/>
  <c r="Y1124" i="2"/>
  <c r="AD1124" i="2"/>
  <c r="Q1124" i="2"/>
  <c r="AJ1124" i="2"/>
  <c r="Y779" i="2"/>
  <c r="Q779" i="2"/>
  <c r="AD779" i="2"/>
  <c r="Y791" i="2"/>
  <c r="AJ791" i="2"/>
  <c r="Y827" i="2"/>
  <c r="Q827" i="2"/>
  <c r="AJ827" i="2"/>
  <c r="AJ836" i="2"/>
  <c r="AG836" i="2"/>
  <c r="AE1075" i="2"/>
  <c r="V1075" i="2"/>
  <c r="Z1075" i="2"/>
  <c r="R1075" i="2"/>
  <c r="Y763" i="2"/>
  <c r="Q763" i="2"/>
  <c r="Y813" i="2"/>
  <c r="Q813" i="2"/>
  <c r="U813" i="2"/>
  <c r="Y846" i="2"/>
  <c r="AG846" i="2"/>
  <c r="Q846" i="2"/>
  <c r="AJ846" i="2"/>
  <c r="AJ863" i="2"/>
  <c r="AG863" i="2"/>
  <c r="AD863" i="2"/>
  <c r="Y863" i="2"/>
  <c r="AJ869" i="2"/>
  <c r="AD869" i="2"/>
  <c r="AG869" i="2"/>
  <c r="AJ891" i="2"/>
  <c r="AG891" i="2"/>
  <c r="Z902" i="2"/>
  <c r="R902" i="2"/>
  <c r="AE902" i="2"/>
  <c r="AK972" i="2"/>
  <c r="V972" i="2"/>
  <c r="U1054" i="2"/>
  <c r="Q1054" i="2"/>
  <c r="AJ1054" i="2"/>
  <c r="Y1054" i="2"/>
  <c r="AG1054" i="2"/>
  <c r="AE1107" i="2"/>
  <c r="V1107" i="2"/>
  <c r="AK1107" i="2"/>
  <c r="Z1107" i="2"/>
  <c r="R1107" i="2"/>
  <c r="V933" i="2"/>
  <c r="R933" i="2"/>
  <c r="AE933" i="2"/>
  <c r="Z933" i="2"/>
  <c r="AK933" i="2"/>
  <c r="Y979" i="2"/>
  <c r="U979" i="2"/>
  <c r="AG979" i="2"/>
  <c r="AJ979" i="2"/>
  <c r="AD979" i="2"/>
  <c r="V712" i="2"/>
  <c r="V747" i="2"/>
  <c r="R810" i="2"/>
  <c r="V810" i="2"/>
  <c r="Z810" i="2"/>
  <c r="Y836" i="2"/>
  <c r="AJ838" i="2"/>
  <c r="AG838" i="2"/>
  <c r="Y838" i="2"/>
  <c r="Y891" i="2"/>
  <c r="AK904" i="2"/>
  <c r="AE904" i="2"/>
  <c r="Z904" i="2"/>
  <c r="Z952" i="2"/>
  <c r="AE952" i="2"/>
  <c r="AK952" i="2"/>
  <c r="V963" i="2"/>
  <c r="R963" i="2"/>
  <c r="AK963" i="2"/>
  <c r="V995" i="2"/>
  <c r="AE995" i="2"/>
  <c r="AK995" i="2"/>
  <c r="R995" i="2"/>
  <c r="AG999" i="2"/>
  <c r="AD999" i="2"/>
  <c r="Y999" i="2"/>
  <c r="Q999" i="2"/>
  <c r="AJ999" i="2"/>
  <c r="V1000" i="2"/>
  <c r="AE1000" i="2"/>
  <c r="Z1001" i="2"/>
  <c r="AE1001" i="2"/>
  <c r="AK1001" i="2"/>
  <c r="V1001" i="2"/>
  <c r="V1006" i="2"/>
  <c r="R1006" i="2"/>
  <c r="AK1006" i="2"/>
  <c r="AE1006" i="2"/>
  <c r="U1062" i="2"/>
  <c r="Q1062" i="2"/>
  <c r="AG1062" i="2"/>
  <c r="AD1062" i="2"/>
  <c r="AJ1062" i="2"/>
  <c r="V927" i="2"/>
  <c r="Z927" i="2"/>
  <c r="Z997" i="2"/>
  <c r="V997" i="2"/>
  <c r="AE997" i="2"/>
  <c r="R997" i="2"/>
  <c r="AE999" i="2"/>
  <c r="AK999" i="2"/>
  <c r="R999" i="2"/>
  <c r="V999" i="2"/>
  <c r="AK1023" i="2"/>
  <c r="AE1023" i="2"/>
  <c r="R1023" i="2"/>
  <c r="V1023" i="2"/>
  <c r="U1086" i="2"/>
  <c r="AG1086" i="2"/>
  <c r="AJ1086" i="2"/>
  <c r="Y1086" i="2"/>
  <c r="Q1086" i="2"/>
  <c r="AE1103" i="2"/>
  <c r="R1103" i="2"/>
  <c r="AK1103" i="2"/>
  <c r="Z1103" i="2"/>
  <c r="V1103" i="2"/>
  <c r="Z1157" i="2"/>
  <c r="R1157" i="2"/>
  <c r="V1157" i="2"/>
  <c r="AK1157" i="2"/>
  <c r="AE1157" i="2"/>
  <c r="Z1164" i="2"/>
  <c r="R1164" i="2"/>
  <c r="AK1164" i="2"/>
  <c r="AE1164" i="2"/>
  <c r="V1164" i="2"/>
  <c r="U1179" i="2"/>
  <c r="Q1179" i="2"/>
  <c r="AG1179" i="2"/>
  <c r="Y1179" i="2"/>
  <c r="AJ1179" i="2"/>
  <c r="AD1179" i="2"/>
  <c r="AK756" i="2"/>
  <c r="AE761" i="2"/>
  <c r="V761" i="2"/>
  <c r="AK761" i="2"/>
  <c r="AJ843" i="2"/>
  <c r="Y843" i="2"/>
  <c r="Q843" i="2"/>
  <c r="AD843" i="2"/>
  <c r="AG843" i="2"/>
  <c r="V877" i="2"/>
  <c r="AE877" i="2"/>
  <c r="Z881" i="2"/>
  <c r="V881" i="2"/>
  <c r="AE881" i="2"/>
  <c r="V951" i="2"/>
  <c r="R951" i="2"/>
  <c r="AE951" i="2"/>
  <c r="AK951" i="2"/>
  <c r="AJ781" i="2"/>
  <c r="AJ806" i="2"/>
  <c r="AG806" i="2"/>
  <c r="Y870" i="2"/>
  <c r="AG870" i="2"/>
  <c r="AD870" i="2"/>
  <c r="Z875" i="2"/>
  <c r="V875" i="2"/>
  <c r="V901" i="2"/>
  <c r="AK901" i="2"/>
  <c r="Z901" i="2"/>
  <c r="R901" i="2"/>
  <c r="AK906" i="2"/>
  <c r="AK980" i="2"/>
  <c r="AE980" i="2"/>
  <c r="AK991" i="2"/>
  <c r="Z991" i="2"/>
  <c r="AE991" i="2"/>
  <c r="AE1127" i="2"/>
  <c r="AK1127" i="2"/>
  <c r="Z1127" i="2"/>
  <c r="R1127" i="2"/>
  <c r="AE1131" i="2"/>
  <c r="V1131" i="2"/>
  <c r="R1131" i="2"/>
  <c r="Z1131" i="2"/>
  <c r="AK1131" i="2"/>
  <c r="U1060" i="2"/>
  <c r="Q1060" i="2"/>
  <c r="Y1060" i="2"/>
  <c r="AG1060" i="2"/>
  <c r="AD1060" i="2"/>
  <c r="V949" i="2"/>
  <c r="R949" i="2"/>
  <c r="AK949" i="2"/>
  <c r="Z949" i="2"/>
  <c r="V970" i="2"/>
  <c r="AE970" i="2"/>
  <c r="Z970" i="2"/>
  <c r="AK970" i="2"/>
  <c r="AD983" i="2"/>
  <c r="Y983" i="2"/>
  <c r="AG983" i="2"/>
  <c r="AE984" i="2"/>
  <c r="R984" i="2"/>
  <c r="AK984" i="2"/>
  <c r="Z984" i="2"/>
  <c r="AJ828" i="2"/>
  <c r="AG828" i="2"/>
  <c r="AD828" i="2"/>
  <c r="AE893" i="2"/>
  <c r="Z893" i="2"/>
  <c r="R893" i="2"/>
  <c r="AG925" i="2"/>
  <c r="AD925" i="2"/>
  <c r="Y925" i="2"/>
  <c r="V929" i="2"/>
  <c r="Z929" i="2"/>
  <c r="AK929" i="2"/>
  <c r="Y935" i="2"/>
  <c r="AJ935" i="2"/>
  <c r="U935" i="2"/>
  <c r="AD935" i="2"/>
  <c r="AG935" i="2"/>
  <c r="AG995" i="2"/>
  <c r="U995" i="2"/>
  <c r="Q995" i="2"/>
  <c r="AJ995" i="2"/>
  <c r="AD995" i="2"/>
  <c r="R1162" i="2"/>
  <c r="V1162" i="2"/>
  <c r="AE1162" i="2"/>
  <c r="V1153" i="2"/>
  <c r="AE1153" i="2"/>
  <c r="Z1153" i="2"/>
  <c r="AK1153" i="2"/>
  <c r="U1231" i="2"/>
  <c r="AD1231" i="2"/>
  <c r="Q1231" i="2"/>
  <c r="AG1231" i="2"/>
  <c r="Y1231" i="2"/>
  <c r="Z1260" i="2"/>
  <c r="R1260" i="2"/>
  <c r="AE1260" i="2"/>
  <c r="AK1260" i="2"/>
  <c r="V1260" i="2"/>
  <c r="V1262" i="2"/>
  <c r="Z1262" i="2"/>
  <c r="R1262" i="2"/>
  <c r="AK1262" i="2"/>
  <c r="AE1262" i="2"/>
  <c r="Y805" i="2"/>
  <c r="Q805" i="2"/>
  <c r="AJ805" i="2"/>
  <c r="V808" i="2"/>
  <c r="AK808" i="2"/>
  <c r="Y829" i="2"/>
  <c r="Q829" i="2"/>
  <c r="U829" i="2"/>
  <c r="R836" i="2"/>
  <c r="AE836" i="2"/>
  <c r="AJ851" i="2"/>
  <c r="Y851" i="2"/>
  <c r="AD851" i="2"/>
  <c r="AJ871" i="2"/>
  <c r="AG871" i="2"/>
  <c r="V879" i="2"/>
  <c r="R879" i="2"/>
  <c r="V922" i="2"/>
  <c r="Z922" i="2"/>
  <c r="U1000" i="2"/>
  <c r="AG1000" i="2"/>
  <c r="Y1000" i="2"/>
  <c r="U1020" i="2"/>
  <c r="Q1020" i="2"/>
  <c r="AG1020" i="2"/>
  <c r="AJ1020" i="2"/>
  <c r="AD1020" i="2"/>
  <c r="V1032" i="2"/>
  <c r="R1032" i="2"/>
  <c r="AE1032" i="2"/>
  <c r="Z1032" i="2"/>
  <c r="V1110" i="2"/>
  <c r="AK1110" i="2"/>
  <c r="AG1003" i="2"/>
  <c r="AJ1003" i="2"/>
  <c r="AD1003" i="2"/>
  <c r="Y1003" i="2"/>
  <c r="Q1003" i="2"/>
  <c r="AE1141" i="2"/>
  <c r="V1141" i="2"/>
  <c r="Z1141" i="2"/>
  <c r="R1141" i="2"/>
  <c r="AK1141" i="2"/>
  <c r="V1194" i="2"/>
  <c r="R1194" i="2"/>
  <c r="Z1194" i="2"/>
  <c r="AE1194" i="2"/>
  <c r="AK1194" i="2"/>
  <c r="V1042" i="2"/>
  <c r="AE1042" i="2"/>
  <c r="R1042" i="2"/>
  <c r="AG1045" i="2"/>
  <c r="AD1045" i="2"/>
  <c r="Y1045" i="2"/>
  <c r="U1045" i="2"/>
  <c r="AJ1045" i="2"/>
  <c r="AG1055" i="2"/>
  <c r="Y1055" i="2"/>
  <c r="Q1055" i="2"/>
  <c r="AJ1055" i="2"/>
  <c r="U1055" i="2"/>
  <c r="AJ893" i="2"/>
  <c r="U893" i="2"/>
  <c r="AG893" i="2"/>
  <c r="V907" i="2"/>
  <c r="AK907" i="2"/>
  <c r="R907" i="2"/>
  <c r="V961" i="2"/>
  <c r="R961" i="2"/>
  <c r="Z961" i="2"/>
  <c r="U990" i="2"/>
  <c r="Y990" i="2"/>
  <c r="Q990" i="2"/>
  <c r="AJ990" i="2"/>
  <c r="AG990" i="2"/>
  <c r="U1044" i="2"/>
  <c r="Q1044" i="2"/>
  <c r="AG1117" i="2"/>
  <c r="Q1117" i="2"/>
  <c r="Y1117" i="2"/>
  <c r="AD1117" i="2"/>
  <c r="AE1125" i="2"/>
  <c r="Z1125" i="2"/>
  <c r="V1125" i="2"/>
  <c r="R1125" i="2"/>
  <c r="AK1125" i="2"/>
  <c r="Y811" i="2"/>
  <c r="Q811" i="2"/>
  <c r="U811" i="2"/>
  <c r="R814" i="2"/>
  <c r="AE814" i="2"/>
  <c r="Y821" i="2"/>
  <c r="Q821" i="2"/>
  <c r="AD821" i="2"/>
  <c r="R847" i="2"/>
  <c r="AE847" i="2"/>
  <c r="V847" i="2"/>
  <c r="AK847" i="2"/>
  <c r="AJ873" i="2"/>
  <c r="Q873" i="2"/>
  <c r="Y890" i="2"/>
  <c r="AG890" i="2"/>
  <c r="Q890" i="2"/>
  <c r="AJ901" i="2"/>
  <c r="V925" i="2"/>
  <c r="AK925" i="2"/>
  <c r="R925" i="2"/>
  <c r="V985" i="2"/>
  <c r="AK987" i="2"/>
  <c r="V1008" i="2"/>
  <c r="AK1008" i="2"/>
  <c r="Z1008" i="2"/>
  <c r="V1010" i="2"/>
  <c r="R1010" i="2"/>
  <c r="Z1010" i="2"/>
  <c r="U1046" i="2"/>
  <c r="Q1046" i="2"/>
  <c r="AJ1046" i="2"/>
  <c r="U1050" i="2"/>
  <c r="Q1050" i="2"/>
  <c r="AD1050" i="2"/>
  <c r="Y1050" i="2"/>
  <c r="Z1055" i="2"/>
  <c r="AK1055" i="2"/>
  <c r="U1056" i="2"/>
  <c r="Q1056" i="2"/>
  <c r="AD1056" i="2"/>
  <c r="Y1056" i="2"/>
  <c r="AJ1056" i="2"/>
  <c r="AG1056" i="2"/>
  <c r="Q1095" i="2"/>
  <c r="AJ1095" i="2"/>
  <c r="U1095" i="2"/>
  <c r="AD1095" i="2"/>
  <c r="Y1095" i="2"/>
  <c r="AG1095" i="2"/>
  <c r="AJ865" i="2"/>
  <c r="AG865" i="2"/>
  <c r="Y880" i="2"/>
  <c r="AJ880" i="2"/>
  <c r="Q880" i="2"/>
  <c r="Y884" i="2"/>
  <c r="AD884" i="2"/>
  <c r="AJ884" i="2"/>
  <c r="Z897" i="2"/>
  <c r="AE897" i="2"/>
  <c r="Z934" i="2"/>
  <c r="V934" i="2"/>
  <c r="U994" i="2"/>
  <c r="Q994" i="2"/>
  <c r="AE1073" i="2"/>
  <c r="Z1073" i="2"/>
  <c r="V1073" i="2"/>
  <c r="AK1073" i="2"/>
  <c r="Z1059" i="2"/>
  <c r="V1059" i="2"/>
  <c r="AE1059" i="2"/>
  <c r="Y1113" i="2"/>
  <c r="U1118" i="2"/>
  <c r="Y1118" i="2"/>
  <c r="AD1118" i="2"/>
  <c r="Q1118" i="2"/>
  <c r="U1126" i="2"/>
  <c r="AJ1126" i="2"/>
  <c r="AG1126" i="2"/>
  <c r="V1166" i="2"/>
  <c r="AE1166" i="2"/>
  <c r="R1166" i="2"/>
  <c r="Z1166" i="2"/>
  <c r="AK1166" i="2"/>
  <c r="V917" i="2"/>
  <c r="AK917" i="2"/>
  <c r="Y927" i="2"/>
  <c r="AD927" i="2"/>
  <c r="V957" i="2"/>
  <c r="R957" i="2"/>
  <c r="Z957" i="2"/>
  <c r="AE957" i="2"/>
  <c r="AG1005" i="2"/>
  <c r="AJ1005" i="2"/>
  <c r="Q1005" i="2"/>
  <c r="U1005" i="2"/>
  <c r="AK1017" i="2"/>
  <c r="AE1017" i="2"/>
  <c r="V1024" i="2"/>
  <c r="AE1024" i="2"/>
  <c r="R1024" i="2"/>
  <c r="Z1024" i="2"/>
  <c r="AG1043" i="2"/>
  <c r="AJ1043" i="2"/>
  <c r="U1043" i="2"/>
  <c r="Q1043" i="2"/>
  <c r="AD1043" i="2"/>
  <c r="U1068" i="2"/>
  <c r="AG1068" i="2"/>
  <c r="AJ1068" i="2"/>
  <c r="AD1068" i="2"/>
  <c r="AE1105" i="2"/>
  <c r="AK1105" i="2"/>
  <c r="R1105" i="2"/>
  <c r="U1122" i="2"/>
  <c r="AD1122" i="2"/>
  <c r="Q1122" i="2"/>
  <c r="AJ1122" i="2"/>
  <c r="AG1122" i="2"/>
  <c r="U1123" i="2"/>
  <c r="AJ1123" i="2"/>
  <c r="AD1123" i="2"/>
  <c r="AG1123" i="2"/>
  <c r="Z1126" i="2"/>
  <c r="V1126" i="2"/>
  <c r="R1126" i="2"/>
  <c r="AK1126" i="2"/>
  <c r="G10" i="5"/>
  <c r="F9" i="5"/>
  <c r="G7" i="5"/>
  <c r="F7" i="5"/>
  <c r="C6" i="5"/>
  <c r="F6" i="5"/>
  <c r="H6" i="5" s="1"/>
  <c r="C9" i="5"/>
  <c r="F8" i="5"/>
  <c r="C8" i="5"/>
  <c r="G9" i="5"/>
  <c r="G6" i="5"/>
  <c r="F10" i="5"/>
  <c r="G8" i="5"/>
  <c r="C10" i="5"/>
  <c r="AJ808" i="2"/>
  <c r="AG808" i="2"/>
  <c r="Y819" i="2"/>
  <c r="Q819" i="2"/>
  <c r="AJ819" i="2"/>
  <c r="AJ830" i="2"/>
  <c r="AG830" i="2"/>
  <c r="Y841" i="2"/>
  <c r="Q841" i="2"/>
  <c r="AJ841" i="2"/>
  <c r="AJ853" i="2"/>
  <c r="Q853" i="2"/>
  <c r="R910" i="2"/>
  <c r="V910" i="2"/>
  <c r="AK910" i="2"/>
  <c r="AK924" i="2"/>
  <c r="R924" i="2"/>
  <c r="V931" i="2"/>
  <c r="R931" i="2"/>
  <c r="AE931" i="2"/>
  <c r="V947" i="2"/>
  <c r="R947" i="2"/>
  <c r="Z947" i="2"/>
  <c r="AG997" i="2"/>
  <c r="Y997" i="2"/>
  <c r="U997" i="2"/>
  <c r="Q997" i="2"/>
  <c r="AE1009" i="2"/>
  <c r="R1009" i="2"/>
  <c r="U1026" i="2"/>
  <c r="Q1026" i="2"/>
  <c r="AG1026" i="2"/>
  <c r="AG1029" i="2"/>
  <c r="Y1029" i="2"/>
  <c r="U1029" i="2"/>
  <c r="AJ1029" i="2"/>
  <c r="AD1029" i="2"/>
  <c r="AG1031" i="2"/>
  <c r="U1031" i="2"/>
  <c r="R1059" i="2"/>
  <c r="U1092" i="2"/>
  <c r="AD1092" i="2"/>
  <c r="AJ1092" i="2"/>
  <c r="Q1092" i="2"/>
  <c r="AE1129" i="2"/>
  <c r="AK1129" i="2"/>
  <c r="R1129" i="2"/>
  <c r="V1129" i="2"/>
  <c r="AJ1131" i="2"/>
  <c r="U1131" i="2"/>
  <c r="AD1131" i="2"/>
  <c r="AK1132" i="2"/>
  <c r="V1132" i="2"/>
  <c r="AE1132" i="2"/>
  <c r="Z1132" i="2"/>
  <c r="Q1178" i="2"/>
  <c r="AD1178" i="2"/>
  <c r="Y1178" i="2"/>
  <c r="U1178" i="2"/>
  <c r="AG1178" i="2"/>
  <c r="AJ1178" i="2"/>
  <c r="AE1093" i="2"/>
  <c r="V1093" i="2"/>
  <c r="R1093" i="2"/>
  <c r="AE1135" i="2"/>
  <c r="AK1135" i="2"/>
  <c r="R1135" i="2"/>
  <c r="V1035" i="2"/>
  <c r="Z1035" i="2"/>
  <c r="AK1035" i="2"/>
  <c r="R1035" i="2"/>
  <c r="AE1070" i="2"/>
  <c r="Z1070" i="2"/>
  <c r="V1070" i="2"/>
  <c r="AD1176" i="2"/>
  <c r="Y1176" i="2"/>
  <c r="U1176" i="2"/>
  <c r="AG1176" i="2"/>
  <c r="Q1176" i="2"/>
  <c r="AJ1176" i="2"/>
  <c r="R1206" i="2"/>
  <c r="AE1206" i="2"/>
  <c r="V1206" i="2"/>
  <c r="Z1206" i="2"/>
  <c r="Z1220" i="2"/>
  <c r="AK1220" i="2"/>
  <c r="AE1220" i="2"/>
  <c r="V1220" i="2"/>
  <c r="Z1051" i="2"/>
  <c r="V1051" i="2"/>
  <c r="Y1071" i="2"/>
  <c r="U1071" i="2"/>
  <c r="AJ1071" i="2"/>
  <c r="Q1139" i="2"/>
  <c r="AG1139" i="2"/>
  <c r="AJ1139" i="2"/>
  <c r="U1139" i="2"/>
  <c r="AD1139" i="2"/>
  <c r="Y1139" i="2"/>
  <c r="Z1226" i="2"/>
  <c r="V1226" i="2"/>
  <c r="AK1226" i="2"/>
  <c r="U1253" i="2"/>
  <c r="Q1253" i="2"/>
  <c r="AG1253" i="2"/>
  <c r="AD1253" i="2"/>
  <c r="AJ1253" i="2"/>
  <c r="AE1081" i="2"/>
  <c r="Z1081" i="2"/>
  <c r="V1081" i="2"/>
  <c r="R1081" i="2"/>
  <c r="AE1097" i="2"/>
  <c r="V1097" i="2"/>
  <c r="Z1097" i="2"/>
  <c r="AK1097" i="2"/>
  <c r="R1142" i="2"/>
  <c r="AK1142" i="2"/>
  <c r="AE1142" i="2"/>
  <c r="Z1142" i="2"/>
  <c r="V1142" i="2"/>
  <c r="U1148" i="2"/>
  <c r="Q1148" i="2"/>
  <c r="AD1148" i="2"/>
  <c r="AJ1148" i="2"/>
  <c r="Y1148" i="2"/>
  <c r="AE1252" i="2"/>
  <c r="Z1252" i="2"/>
  <c r="AK1252" i="2"/>
  <c r="V1252" i="2"/>
  <c r="R1252" i="2"/>
  <c r="Y801" i="2"/>
  <c r="Q801" i="2"/>
  <c r="AJ801" i="2"/>
  <c r="AJ812" i="2"/>
  <c r="AG812" i="2"/>
  <c r="Y823" i="2"/>
  <c r="Q823" i="2"/>
  <c r="AJ823" i="2"/>
  <c r="AJ834" i="2"/>
  <c r="AG834" i="2"/>
  <c r="AJ845" i="2"/>
  <c r="Y845" i="2"/>
  <c r="AJ883" i="2"/>
  <c r="AG883" i="2"/>
  <c r="Z914" i="2"/>
  <c r="V959" i="2"/>
  <c r="R959" i="2"/>
  <c r="Z959" i="2"/>
  <c r="AK959" i="2"/>
  <c r="V969" i="2"/>
  <c r="R969" i="2"/>
  <c r="Z969" i="2"/>
  <c r="Z1009" i="2"/>
  <c r="V1013" i="2"/>
  <c r="AK1013" i="2"/>
  <c r="Z1017" i="2"/>
  <c r="V1052" i="2"/>
  <c r="AK1052" i="2"/>
  <c r="Z1052" i="2"/>
  <c r="Y1073" i="2"/>
  <c r="U1073" i="2"/>
  <c r="AG1073" i="2"/>
  <c r="AJ1073" i="2"/>
  <c r="AD1073" i="2"/>
  <c r="U1079" i="2"/>
  <c r="Y1079" i="2"/>
  <c r="AG1079" i="2"/>
  <c r="AJ1079" i="2"/>
  <c r="AE1080" i="2"/>
  <c r="R1080" i="2"/>
  <c r="AK1080" i="2"/>
  <c r="Y1092" i="2"/>
  <c r="AK1098" i="2"/>
  <c r="V1098" i="2"/>
  <c r="AE1126" i="2"/>
  <c r="V1135" i="2"/>
  <c r="U1138" i="2"/>
  <c r="Y1138" i="2"/>
  <c r="AJ1138" i="2"/>
  <c r="AG1138" i="2"/>
  <c r="AD1138" i="2"/>
  <c r="AE1146" i="2"/>
  <c r="V1146" i="2"/>
  <c r="V1155" i="2"/>
  <c r="AK1155" i="2"/>
  <c r="R1155" i="2"/>
  <c r="AE1155" i="2"/>
  <c r="Z1155" i="2"/>
  <c r="U1171" i="2"/>
  <c r="AD1171" i="2"/>
  <c r="AG1171" i="2"/>
  <c r="Q1171" i="2"/>
  <c r="Y1171" i="2"/>
  <c r="AJ1171" i="2"/>
  <c r="R1224" i="2"/>
  <c r="AE1224" i="2"/>
  <c r="AK1224" i="2"/>
  <c r="V1224" i="2"/>
  <c r="Z1224" i="2"/>
  <c r="AD844" i="2"/>
  <c r="AE867" i="2"/>
  <c r="AD881" i="2"/>
  <c r="AK885" i="2"/>
  <c r="AD888" i="2"/>
  <c r="AD897" i="2"/>
  <c r="AE948" i="2"/>
  <c r="V967" i="2"/>
  <c r="R967" i="2"/>
  <c r="AK967" i="2"/>
  <c r="U1004" i="2"/>
  <c r="Q1004" i="2"/>
  <c r="AD1004" i="2"/>
  <c r="Y1004" i="2"/>
  <c r="U1038" i="2"/>
  <c r="Q1038" i="2"/>
  <c r="Y1038" i="2"/>
  <c r="V1056" i="2"/>
  <c r="R1056" i="2"/>
  <c r="AE1056" i="2"/>
  <c r="Z1056" i="2"/>
  <c r="AG1057" i="2"/>
  <c r="U1057" i="2"/>
  <c r="Q1057" i="2"/>
  <c r="U1088" i="2"/>
  <c r="AG1088" i="2"/>
  <c r="Y1088" i="2"/>
  <c r="Q1088" i="2"/>
  <c r="AJ1088" i="2"/>
  <c r="R1156" i="2"/>
  <c r="AK1156" i="2"/>
  <c r="AE1156" i="2"/>
  <c r="V1156" i="2"/>
  <c r="Z1156" i="2"/>
  <c r="U1175" i="2"/>
  <c r="AJ1175" i="2"/>
  <c r="Y1175" i="2"/>
  <c r="Q1175" i="2"/>
  <c r="AD1175" i="2"/>
  <c r="AG1175" i="2"/>
  <c r="AE1200" i="2"/>
  <c r="Z1200" i="2"/>
  <c r="R1200" i="2"/>
  <c r="V1200" i="2"/>
  <c r="V1279" i="2"/>
  <c r="AK1279" i="2"/>
  <c r="AE1279" i="2"/>
  <c r="Z1279" i="2"/>
  <c r="AE1121" i="2"/>
  <c r="Z1121" i="2"/>
  <c r="R1121" i="2"/>
  <c r="AK1121" i="2"/>
  <c r="AE1123" i="2"/>
  <c r="Z1123" i="2"/>
  <c r="R1123" i="2"/>
  <c r="V1244" i="2"/>
  <c r="R1244" i="2"/>
  <c r="AE1244" i="2"/>
  <c r="Z1244" i="2"/>
  <c r="AK1244" i="2"/>
  <c r="Q855" i="2"/>
  <c r="Q862" i="2"/>
  <c r="V913" i="2"/>
  <c r="AE913" i="2"/>
  <c r="V945" i="2"/>
  <c r="R945" i="2"/>
  <c r="AK945" i="2"/>
  <c r="U980" i="2"/>
  <c r="AG980" i="2"/>
  <c r="AD980" i="2"/>
  <c r="Y980" i="2"/>
  <c r="R992" i="2"/>
  <c r="AG993" i="2"/>
  <c r="Q993" i="2"/>
  <c r="AJ993" i="2"/>
  <c r="AD993" i="2"/>
  <c r="U993" i="2"/>
  <c r="AG1007" i="2"/>
  <c r="Y1007" i="2"/>
  <c r="U1007" i="2"/>
  <c r="AD1007" i="2"/>
  <c r="AG1021" i="2"/>
  <c r="AJ1021" i="2"/>
  <c r="Y1021" i="2"/>
  <c r="AG1027" i="2"/>
  <c r="Q1027" i="2"/>
  <c r="Z1039" i="2"/>
  <c r="V1039" i="2"/>
  <c r="R1039" i="2"/>
  <c r="AE1039" i="2"/>
  <c r="AG1059" i="2"/>
  <c r="Q1059" i="2"/>
  <c r="AD1059" i="2"/>
  <c r="Y1059" i="2"/>
  <c r="U1059" i="2"/>
  <c r="AK1065" i="2"/>
  <c r="V1065" i="2"/>
  <c r="R1065" i="2"/>
  <c r="AE1065" i="2"/>
  <c r="U1100" i="2"/>
  <c r="Q1100" i="2"/>
  <c r="AJ1100" i="2"/>
  <c r="AG1100" i="2"/>
  <c r="AD1100" i="2"/>
  <c r="AE1101" i="2"/>
  <c r="V1101" i="2"/>
  <c r="R1101" i="2"/>
  <c r="AE1124" i="2"/>
  <c r="Z1124" i="2"/>
  <c r="U1125" i="2"/>
  <c r="Y1125" i="2"/>
  <c r="R1160" i="2"/>
  <c r="V1160" i="2"/>
  <c r="Z1160" i="2"/>
  <c r="AK1160" i="2"/>
  <c r="U1189" i="2"/>
  <c r="AG1189" i="2"/>
  <c r="Q1189" i="2"/>
  <c r="AJ1189" i="2"/>
  <c r="U1255" i="2"/>
  <c r="Q1255" i="2"/>
  <c r="AD1255" i="2"/>
  <c r="Y1255" i="2"/>
  <c r="AJ1255" i="2"/>
  <c r="AG1255" i="2"/>
  <c r="V1266" i="2"/>
  <c r="R1266" i="2"/>
  <c r="Z873" i="2"/>
  <c r="Y887" i="2"/>
  <c r="R930" i="2"/>
  <c r="AK930" i="2"/>
  <c r="V992" i="2"/>
  <c r="V994" i="2"/>
  <c r="AE994" i="2"/>
  <c r="AK994" i="2"/>
  <c r="Z994" i="2"/>
  <c r="U1008" i="2"/>
  <c r="Q1008" i="2"/>
  <c r="AD1008" i="2"/>
  <c r="AJ1008" i="2"/>
  <c r="AG1008" i="2"/>
  <c r="AG1009" i="2"/>
  <c r="U1009" i="2"/>
  <c r="U1016" i="2"/>
  <c r="Q1016" i="2"/>
  <c r="AD1016" i="2"/>
  <c r="V1050" i="2"/>
  <c r="AE1050" i="2"/>
  <c r="AK1050" i="2"/>
  <c r="AG1051" i="2"/>
  <c r="Y1051" i="2"/>
  <c r="U1051" i="2"/>
  <c r="Q1051" i="2"/>
  <c r="AD1051" i="2"/>
  <c r="Y1057" i="2"/>
  <c r="U1066" i="2"/>
  <c r="AD1066" i="2"/>
  <c r="Y1066" i="2"/>
  <c r="R1074" i="2"/>
  <c r="Z1074" i="2"/>
  <c r="AG1075" i="2"/>
  <c r="Y1075" i="2"/>
  <c r="U1075" i="2"/>
  <c r="Q1075" i="2"/>
  <c r="AD1075" i="2"/>
  <c r="U1076" i="2"/>
  <c r="AD1076" i="2"/>
  <c r="Y1076" i="2"/>
  <c r="Q1076" i="2"/>
  <c r="AG1076" i="2"/>
  <c r="AK1102" i="2"/>
  <c r="V1102" i="2"/>
  <c r="AG1103" i="2"/>
  <c r="U1103" i="2"/>
  <c r="AD1103" i="2"/>
  <c r="AJ1103" i="2"/>
  <c r="AE1113" i="2"/>
  <c r="R1113" i="2"/>
  <c r="Z1113" i="2"/>
  <c r="V1113" i="2"/>
  <c r="AE1137" i="2"/>
  <c r="R1137" i="2"/>
  <c r="V1137" i="2"/>
  <c r="Z1137" i="2"/>
  <c r="AK1137" i="2"/>
  <c r="AE1139" i="2"/>
  <c r="V1139" i="2"/>
  <c r="R1169" i="2"/>
  <c r="Z1169" i="2"/>
  <c r="AE1169" i="2"/>
  <c r="V1169" i="2"/>
  <c r="AK1169" i="2"/>
  <c r="AE1221" i="2"/>
  <c r="V1221" i="2"/>
  <c r="Z1221" i="2"/>
  <c r="R1221" i="2"/>
  <c r="V1238" i="2"/>
  <c r="R1238" i="2"/>
  <c r="AK1238" i="2"/>
  <c r="Z1238" i="2"/>
  <c r="AE1238" i="2"/>
  <c r="U1269" i="2"/>
  <c r="Q1269" i="2"/>
  <c r="Y1269" i="2"/>
  <c r="AD1269" i="2"/>
  <c r="AJ1269" i="2"/>
  <c r="U1271" i="2"/>
  <c r="Q1271" i="2"/>
  <c r="AD1271" i="2"/>
  <c r="AG1271" i="2"/>
  <c r="V909" i="2"/>
  <c r="R909" i="2"/>
  <c r="AJ923" i="2"/>
  <c r="Q923" i="2"/>
  <c r="R938" i="2"/>
  <c r="V938" i="2"/>
  <c r="AK938" i="2"/>
  <c r="Y1008" i="2"/>
  <c r="U1012" i="2"/>
  <c r="Q1012" i="2"/>
  <c r="AD1012" i="2"/>
  <c r="AG1037" i="2"/>
  <c r="Q1037" i="2"/>
  <c r="AJ1057" i="2"/>
  <c r="AK1084" i="2"/>
  <c r="V1084" i="2"/>
  <c r="AE1084" i="2"/>
  <c r="Z1084" i="2"/>
  <c r="AE1085" i="2"/>
  <c r="AK1085" i="2"/>
  <c r="V1085" i="2"/>
  <c r="AE1095" i="2"/>
  <c r="V1095" i="2"/>
  <c r="R1095" i="2"/>
  <c r="U1097" i="2"/>
  <c r="AJ1097" i="2"/>
  <c r="AG1125" i="2"/>
  <c r="Z1151" i="2"/>
  <c r="R1151" i="2"/>
  <c r="AE1151" i="2"/>
  <c r="V1151" i="2"/>
  <c r="AG1154" i="2"/>
  <c r="Y1154" i="2"/>
  <c r="U1154" i="2"/>
  <c r="U1177" i="2"/>
  <c r="AG1177" i="2"/>
  <c r="Y1177" i="2"/>
  <c r="Q1177" i="2"/>
  <c r="AJ1177" i="2"/>
  <c r="AD1177" i="2"/>
  <c r="AK1200" i="2"/>
  <c r="AE905" i="2"/>
  <c r="V955" i="2"/>
  <c r="R955" i="2"/>
  <c r="AK955" i="2"/>
  <c r="AJ985" i="2"/>
  <c r="U1002" i="2"/>
  <c r="Y1002" i="2"/>
  <c r="AG1002" i="2"/>
  <c r="U1006" i="2"/>
  <c r="Q1006" i="2"/>
  <c r="AD1006" i="2"/>
  <c r="AK1011" i="2"/>
  <c r="AG1019" i="2"/>
  <c r="Q1019" i="2"/>
  <c r="AJ1019" i="2"/>
  <c r="U1028" i="2"/>
  <c r="Q1028" i="2"/>
  <c r="AD1028" i="2"/>
  <c r="AG1035" i="2"/>
  <c r="U1035" i="2"/>
  <c r="Q1035" i="2"/>
  <c r="AD1035" i="2"/>
  <c r="R1064" i="2"/>
  <c r="AE1064" i="2"/>
  <c r="AJ1111" i="2"/>
  <c r="AD1111" i="2"/>
  <c r="Y1111" i="2"/>
  <c r="U1199" i="2"/>
  <c r="Q1199" i="2"/>
  <c r="AG1199" i="2"/>
  <c r="AD1199" i="2"/>
  <c r="U1265" i="2"/>
  <c r="Q1265" i="2"/>
  <c r="AD1265" i="2"/>
  <c r="Y1265" i="2"/>
  <c r="AJ1265" i="2"/>
  <c r="U1162" i="2"/>
  <c r="AG1162" i="2"/>
  <c r="Y1162" i="2"/>
  <c r="Q1162" i="2"/>
  <c r="U1237" i="2"/>
  <c r="Q1237" i="2"/>
  <c r="AD1237" i="2"/>
  <c r="AJ1237" i="2"/>
  <c r="Y1237" i="2"/>
  <c r="AG1237" i="2"/>
  <c r="R915" i="2"/>
  <c r="R932" i="2"/>
  <c r="V937" i="2"/>
  <c r="R937" i="2"/>
  <c r="AK937" i="2"/>
  <c r="R976" i="2"/>
  <c r="AK979" i="2"/>
  <c r="Z979" i="2"/>
  <c r="Q985" i="2"/>
  <c r="Q991" i="2"/>
  <c r="Q1002" i="2"/>
  <c r="R1011" i="2"/>
  <c r="U1042" i="2"/>
  <c r="Q1042" i="2"/>
  <c r="AG1042" i="2"/>
  <c r="AD1042" i="2"/>
  <c r="Y1042" i="2"/>
  <c r="U1048" i="2"/>
  <c r="Q1048" i="2"/>
  <c r="V1071" i="2"/>
  <c r="R1071" i="2"/>
  <c r="U1072" i="2"/>
  <c r="AG1072" i="2"/>
  <c r="AJ1072" i="2"/>
  <c r="U1090" i="2"/>
  <c r="AG1090" i="2"/>
  <c r="Q1094" i="2"/>
  <c r="AE1096" i="2"/>
  <c r="AK1096" i="2"/>
  <c r="Z1096" i="2"/>
  <c r="Q1111" i="2"/>
  <c r="R1118" i="2"/>
  <c r="AE1118" i="2"/>
  <c r="Z1118" i="2"/>
  <c r="V1118" i="2"/>
  <c r="U1119" i="2"/>
  <c r="Q1119" i="2"/>
  <c r="AG1119" i="2"/>
  <c r="AG1129" i="2"/>
  <c r="AD1129" i="2"/>
  <c r="Y1129" i="2"/>
  <c r="Z1136" i="2"/>
  <c r="AK1136" i="2"/>
  <c r="V1147" i="2"/>
  <c r="Z1147" i="2"/>
  <c r="AE1147" i="2"/>
  <c r="AD1166" i="2"/>
  <c r="Y1166" i="2"/>
  <c r="Q1166" i="2"/>
  <c r="AG1166" i="2"/>
  <c r="AG1172" i="2"/>
  <c r="Q1172" i="2"/>
  <c r="U1172" i="2"/>
  <c r="AJ1172" i="2"/>
  <c r="AD1172" i="2"/>
  <c r="AE1203" i="2"/>
  <c r="AK1203" i="2"/>
  <c r="R1203" i="2"/>
  <c r="AE1211" i="2"/>
  <c r="V1211" i="2"/>
  <c r="Z1211" i="2"/>
  <c r="AK1211" i="2"/>
  <c r="R1211" i="2"/>
  <c r="AE1225" i="2"/>
  <c r="V1225" i="2"/>
  <c r="R1225" i="2"/>
  <c r="Z923" i="2"/>
  <c r="V935" i="2"/>
  <c r="R935" i="2"/>
  <c r="AK935" i="2"/>
  <c r="U986" i="2"/>
  <c r="AG986" i="2"/>
  <c r="Y989" i="2"/>
  <c r="AJ989" i="2"/>
  <c r="AJ992" i="2"/>
  <c r="V996" i="2"/>
  <c r="AE996" i="2"/>
  <c r="Z1005" i="2"/>
  <c r="V1012" i="2"/>
  <c r="R1012" i="2"/>
  <c r="AE1012" i="2"/>
  <c r="Z1012" i="2"/>
  <c r="Y1028" i="2"/>
  <c r="U1030" i="2"/>
  <c r="Q1030" i="2"/>
  <c r="AD1030" i="2"/>
  <c r="AJ1030" i="2"/>
  <c r="Z1046" i="2"/>
  <c r="U1082" i="2"/>
  <c r="Y1082" i="2"/>
  <c r="Q1082" i="2"/>
  <c r="AJ1082" i="2"/>
  <c r="U1130" i="2"/>
  <c r="AG1130" i="2"/>
  <c r="AD1130" i="2"/>
  <c r="Y1130" i="2"/>
  <c r="U1150" i="2"/>
  <c r="AD1150" i="2"/>
  <c r="Q1150" i="2"/>
  <c r="AJ1150" i="2"/>
  <c r="AE1170" i="2"/>
  <c r="Z1170" i="2"/>
  <c r="R1170" i="2"/>
  <c r="U1193" i="2"/>
  <c r="AG1193" i="2"/>
  <c r="Y1193" i="2"/>
  <c r="V943" i="2"/>
  <c r="R943" i="2"/>
  <c r="AK943" i="2"/>
  <c r="AK990" i="2"/>
  <c r="Z990" i="2"/>
  <c r="AD991" i="2"/>
  <c r="AG1015" i="2"/>
  <c r="Q1015" i="2"/>
  <c r="AJ1015" i="2"/>
  <c r="U1018" i="2"/>
  <c r="Q1018" i="2"/>
  <c r="AG1023" i="2"/>
  <c r="AD1023" i="2"/>
  <c r="Y1023" i="2"/>
  <c r="AJ1028" i="2"/>
  <c r="Y1030" i="2"/>
  <c r="AD1048" i="2"/>
  <c r="U1052" i="2"/>
  <c r="Q1052" i="2"/>
  <c r="AD1052" i="2"/>
  <c r="AJ1052" i="2"/>
  <c r="AE1071" i="2"/>
  <c r="U1078" i="2"/>
  <c r="AD1078" i="2"/>
  <c r="AG1078" i="2"/>
  <c r="AJ1078" i="2"/>
  <c r="AG1111" i="2"/>
  <c r="AE1134" i="2"/>
  <c r="Z1134" i="2"/>
  <c r="AJ1141" i="2"/>
  <c r="AD1141" i="2"/>
  <c r="Y1141" i="2"/>
  <c r="AG1143" i="2"/>
  <c r="Y1143" i="2"/>
  <c r="Q1143" i="2"/>
  <c r="Y1150" i="2"/>
  <c r="U1157" i="2"/>
  <c r="AG1157" i="2"/>
  <c r="Q1157" i="2"/>
  <c r="R1277" i="2"/>
  <c r="Z1277" i="2"/>
  <c r="V1277" i="2"/>
  <c r="AE1277" i="2"/>
  <c r="V1036" i="2"/>
  <c r="Z1036" i="2"/>
  <c r="AK1036" i="2"/>
  <c r="AE1087" i="2"/>
  <c r="AK1087" i="2"/>
  <c r="V1087" i="2"/>
  <c r="R1087" i="2"/>
  <c r="AJ1109" i="2"/>
  <c r="AD1109" i="2"/>
  <c r="Y1109" i="2"/>
  <c r="AG1109" i="2"/>
  <c r="AG1127" i="2"/>
  <c r="AE1143" i="2"/>
  <c r="Z1143" i="2"/>
  <c r="V1177" i="2"/>
  <c r="AE1177" i="2"/>
  <c r="AK1177" i="2"/>
  <c r="R1177" i="2"/>
  <c r="R1179" i="2"/>
  <c r="Z1179" i="2"/>
  <c r="AE1179" i="2"/>
  <c r="U1225" i="2"/>
  <c r="Y1225" i="2"/>
  <c r="AG1225" i="2"/>
  <c r="AD1225" i="2"/>
  <c r="Z1285" i="2"/>
  <c r="V1285" i="2"/>
  <c r="R1285" i="2"/>
  <c r="AE1285" i="2"/>
  <c r="AK1285" i="2"/>
  <c r="U1024" i="2"/>
  <c r="Q1024" i="2"/>
  <c r="R1036" i="2"/>
  <c r="AK1037" i="2"/>
  <c r="U1040" i="2"/>
  <c r="Q1040" i="2"/>
  <c r="AG1053" i="2"/>
  <c r="U1053" i="2"/>
  <c r="AK1053" i="2"/>
  <c r="R1067" i="2"/>
  <c r="Z1082" i="2"/>
  <c r="V1082" i="2"/>
  <c r="Z1088" i="2"/>
  <c r="AE1088" i="2"/>
  <c r="AD1115" i="2"/>
  <c r="AG1115" i="2"/>
  <c r="V1144" i="2"/>
  <c r="R1144" i="2"/>
  <c r="AG1145" i="2"/>
  <c r="Y1145" i="2"/>
  <c r="U1217" i="2"/>
  <c r="AD1217" i="2"/>
  <c r="Q1217" i="2"/>
  <c r="AJ1217" i="2"/>
  <c r="V1227" i="2"/>
  <c r="AE1227" i="2"/>
  <c r="R1227" i="2"/>
  <c r="AK1227" i="2"/>
  <c r="Z1227" i="2"/>
  <c r="U1259" i="2"/>
  <c r="Q1259" i="2"/>
  <c r="Y1259" i="2"/>
  <c r="AG1259" i="2"/>
  <c r="AD1259" i="2"/>
  <c r="U1064" i="2"/>
  <c r="Y1064" i="2"/>
  <c r="Q1083" i="2"/>
  <c r="AJ1083" i="2"/>
  <c r="AE1099" i="2"/>
  <c r="V1099" i="2"/>
  <c r="R1104" i="2"/>
  <c r="Z1104" i="2"/>
  <c r="AK1104" i="2"/>
  <c r="Q1109" i="2"/>
  <c r="AE1115" i="2"/>
  <c r="Z1115" i="2"/>
  <c r="R1115" i="2"/>
  <c r="AE1133" i="2"/>
  <c r="AK1133" i="2"/>
  <c r="AG1153" i="2"/>
  <c r="U1153" i="2"/>
  <c r="Q1153" i="2"/>
  <c r="Q1225" i="2"/>
  <c r="AK998" i="2"/>
  <c r="R1020" i="2"/>
  <c r="AG1025" i="2"/>
  <c r="Y1025" i="2"/>
  <c r="AJ1025" i="2"/>
  <c r="R1028" i="2"/>
  <c r="AG1041" i="2"/>
  <c r="Q1041" i="2"/>
  <c r="AJ1041" i="2"/>
  <c r="R1048" i="2"/>
  <c r="R1057" i="2"/>
  <c r="U1116" i="2"/>
  <c r="AD1116" i="2"/>
  <c r="V1143" i="2"/>
  <c r="U1146" i="2"/>
  <c r="AD1146" i="2"/>
  <c r="AG1146" i="2"/>
  <c r="V1154" i="2"/>
  <c r="R1154" i="2"/>
  <c r="Z1154" i="2"/>
  <c r="AK1154" i="2"/>
  <c r="Z1202" i="2"/>
  <c r="R1202" i="2"/>
  <c r="AE1185" i="2"/>
  <c r="AK1185" i="2"/>
  <c r="R1185" i="2"/>
  <c r="V1273" i="2"/>
  <c r="R1273" i="2"/>
  <c r="AK1273" i="2"/>
  <c r="Z1273" i="2"/>
  <c r="Q1276" i="2"/>
  <c r="AJ1276" i="2"/>
  <c r="AD1276" i="2"/>
  <c r="U1276" i="2"/>
  <c r="AG1276" i="2"/>
  <c r="R1186" i="2"/>
  <c r="Z1186" i="2"/>
  <c r="AK1186" i="2"/>
  <c r="U1205" i="2"/>
  <c r="AG1205" i="2"/>
  <c r="AJ1205" i="2"/>
  <c r="Y1205" i="2"/>
  <c r="Q1205" i="2"/>
  <c r="AD1205" i="2"/>
  <c r="Z1231" i="2"/>
  <c r="AK1231" i="2"/>
  <c r="V1231" i="2"/>
  <c r="Z1187" i="2"/>
  <c r="AK1187" i="2"/>
  <c r="AE1187" i="2"/>
  <c r="U1195" i="2"/>
  <c r="Q1195" i="2"/>
  <c r="AD1195" i="2"/>
  <c r="Y1195" i="2"/>
  <c r="AG1195" i="2"/>
  <c r="AE1214" i="2"/>
  <c r="Z1214" i="2"/>
  <c r="V1214" i="2"/>
  <c r="N24" i="9"/>
  <c r="M24" i="9"/>
  <c r="L24" i="9"/>
  <c r="U1084" i="2"/>
  <c r="AG1084" i="2"/>
  <c r="AD1107" i="2"/>
  <c r="Y1107" i="2"/>
  <c r="U1107" i="2"/>
  <c r="AE1119" i="2"/>
  <c r="V1119" i="2"/>
  <c r="U1144" i="2"/>
  <c r="Y1144" i="2"/>
  <c r="Q1144" i="2"/>
  <c r="Z1209" i="2"/>
  <c r="AK1209" i="2"/>
  <c r="R1209" i="2"/>
  <c r="V1215" i="2"/>
  <c r="AK1215" i="2"/>
  <c r="AE1215" i="2"/>
  <c r="Z1215" i="2"/>
  <c r="R1235" i="2"/>
  <c r="AK1235" i="2"/>
  <c r="Z1235" i="2"/>
  <c r="AD1279" i="2"/>
  <c r="AG1279" i="2"/>
  <c r="U1279" i="2"/>
  <c r="Q1279" i="2"/>
  <c r="AJ1279" i="2"/>
  <c r="R1016" i="2"/>
  <c r="Z1018" i="2"/>
  <c r="R1038" i="2"/>
  <c r="Z1040" i="2"/>
  <c r="R1060" i="2"/>
  <c r="Z1062" i="2"/>
  <c r="Z1066" i="2"/>
  <c r="V1066" i="2"/>
  <c r="R1119" i="2"/>
  <c r="U1128" i="2"/>
  <c r="Q1128" i="2"/>
  <c r="AK1145" i="2"/>
  <c r="AK1150" i="2"/>
  <c r="AE1150" i="2"/>
  <c r="Z1150" i="2"/>
  <c r="U1163" i="2"/>
  <c r="AD1163" i="2"/>
  <c r="Y1163" i="2"/>
  <c r="Q1163" i="2"/>
  <c r="U1183" i="2"/>
  <c r="AG1183" i="2"/>
  <c r="Q1183" i="2"/>
  <c r="Y1183" i="2"/>
  <c r="AD1183" i="2"/>
  <c r="AK1189" i="2"/>
  <c r="R1189" i="2"/>
  <c r="V1204" i="2"/>
  <c r="AE1204" i="2"/>
  <c r="V1281" i="2"/>
  <c r="Z1281" i="2"/>
  <c r="AE1281" i="2"/>
  <c r="R1281" i="2"/>
  <c r="AJ978" i="2"/>
  <c r="Q982" i="2"/>
  <c r="AJ996" i="2"/>
  <c r="Z1002" i="2"/>
  <c r="U1014" i="2"/>
  <c r="Q1014" i="2"/>
  <c r="U1036" i="2"/>
  <c r="Q1036" i="2"/>
  <c r="U1058" i="2"/>
  <c r="Q1058" i="2"/>
  <c r="Q1084" i="2"/>
  <c r="Y1106" i="2"/>
  <c r="Q1107" i="2"/>
  <c r="Y1114" i="2"/>
  <c r="U1136" i="2"/>
  <c r="AD1136" i="2"/>
  <c r="Y1174" i="2"/>
  <c r="Q1174" i="2"/>
  <c r="U1174" i="2"/>
  <c r="AJ1174" i="2"/>
  <c r="AD1174" i="2"/>
  <c r="V1183" i="2"/>
  <c r="Z1183" i="2"/>
  <c r="R1183" i="2"/>
  <c r="R1184" i="2"/>
  <c r="Z1184" i="2"/>
  <c r="V1184" i="2"/>
  <c r="R1199" i="2"/>
  <c r="AE1199" i="2"/>
  <c r="Z1199" i="2"/>
  <c r="Q1286" i="2"/>
  <c r="U1286" i="2"/>
  <c r="AD1286" i="2"/>
  <c r="Y1286" i="2"/>
  <c r="AG1286" i="2"/>
  <c r="AK1002" i="2"/>
  <c r="U1074" i="2"/>
  <c r="AJ1074" i="2"/>
  <c r="AK1091" i="2"/>
  <c r="AE1094" i="2"/>
  <c r="Z1094" i="2"/>
  <c r="V1094" i="2"/>
  <c r="AJ1106" i="2"/>
  <c r="U1110" i="2"/>
  <c r="Y1110" i="2"/>
  <c r="Q1110" i="2"/>
  <c r="AJ1114" i="2"/>
  <c r="AE1130" i="2"/>
  <c r="Z1130" i="2"/>
  <c r="Q1160" i="2"/>
  <c r="AG1160" i="2"/>
  <c r="U1167" i="2"/>
  <c r="AJ1167" i="2"/>
  <c r="AD1167" i="2"/>
  <c r="Q1167" i="2"/>
  <c r="R1213" i="2"/>
  <c r="AK1213" i="2"/>
  <c r="U1219" i="2"/>
  <c r="AJ1219" i="2"/>
  <c r="Y1219" i="2"/>
  <c r="AD1219" i="2"/>
  <c r="AG1219" i="2"/>
  <c r="U1227" i="2"/>
  <c r="AG1227" i="2"/>
  <c r="Q1227" i="2"/>
  <c r="Y1227" i="2"/>
  <c r="N38" i="9"/>
  <c r="M38" i="9"/>
  <c r="L38" i="9"/>
  <c r="AJ1077" i="2"/>
  <c r="AJ1080" i="2"/>
  <c r="AE1083" i="2"/>
  <c r="AK1083" i="2"/>
  <c r="AK1089" i="2"/>
  <c r="R1163" i="2"/>
  <c r="Z1163" i="2"/>
  <c r="AK1163" i="2"/>
  <c r="U1169" i="2"/>
  <c r="Y1169" i="2"/>
  <c r="Q1169" i="2"/>
  <c r="AJ1169" i="2"/>
  <c r="AG1169" i="2"/>
  <c r="Q1170" i="2"/>
  <c r="Y1170" i="2"/>
  <c r="U1170" i="2"/>
  <c r="R1190" i="2"/>
  <c r="Z1190" i="2"/>
  <c r="V1190" i="2"/>
  <c r="AE1190" i="2"/>
  <c r="Z1201" i="2"/>
  <c r="R1201" i="2"/>
  <c r="AK1201" i="2"/>
  <c r="V1201" i="2"/>
  <c r="AK1222" i="2"/>
  <c r="Z1222" i="2"/>
  <c r="AK1272" i="2"/>
  <c r="Z1272" i="2"/>
  <c r="R1272" i="2"/>
  <c r="Q1274" i="2"/>
  <c r="AJ1274" i="2"/>
  <c r="AD1274" i="2"/>
  <c r="AE1181" i="2"/>
  <c r="AK1181" i="2"/>
  <c r="R1234" i="2"/>
  <c r="AK1234" i="2"/>
  <c r="AJ1102" i="2"/>
  <c r="AJ1105" i="2"/>
  <c r="AK1108" i="2"/>
  <c r="U1120" i="2"/>
  <c r="AD1120" i="2"/>
  <c r="Y1120" i="2"/>
  <c r="AE1138" i="2"/>
  <c r="Z1138" i="2"/>
  <c r="U1173" i="2"/>
  <c r="AG1173" i="2"/>
  <c r="U1223" i="2"/>
  <c r="Q1223" i="2"/>
  <c r="AG1223" i="2"/>
  <c r="AJ1223" i="2"/>
  <c r="Q1077" i="2"/>
  <c r="Q1080" i="2"/>
  <c r="R1083" i="2"/>
  <c r="R1089" i="2"/>
  <c r="AJ1099" i="2"/>
  <c r="Z1149" i="2"/>
  <c r="AE1149" i="2"/>
  <c r="AE1165" i="2"/>
  <c r="AK1165" i="2"/>
  <c r="R1222" i="2"/>
  <c r="Z1250" i="2"/>
  <c r="AK1250" i="2"/>
  <c r="AE1250" i="2"/>
  <c r="Z1275" i="2"/>
  <c r="R1275" i="2"/>
  <c r="N69" i="9"/>
  <c r="M69" i="9"/>
  <c r="L69" i="9"/>
  <c r="AJ1098" i="2"/>
  <c r="AE1140" i="2"/>
  <c r="AJ1142" i="2"/>
  <c r="AD1152" i="2"/>
  <c r="AE1168" i="2"/>
  <c r="U1261" i="2"/>
  <c r="Q1261" i="2"/>
  <c r="Y1261" i="2"/>
  <c r="AG1261" i="2"/>
  <c r="Q1284" i="2"/>
  <c r="AJ1284" i="2"/>
  <c r="Y1284" i="2"/>
  <c r="AD1284" i="2"/>
  <c r="AJ1096" i="2"/>
  <c r="AJ1140" i="2"/>
  <c r="AK1148" i="2"/>
  <c r="AE1148" i="2"/>
  <c r="AJ1152" i="2"/>
  <c r="Y1168" i="2"/>
  <c r="U1168" i="2"/>
  <c r="AJ1168" i="2"/>
  <c r="V1239" i="2"/>
  <c r="R1239" i="2"/>
  <c r="U1243" i="2"/>
  <c r="Q1243" i="2"/>
  <c r="AD1243" i="2"/>
  <c r="AJ1243" i="2"/>
  <c r="AK1152" i="2"/>
  <c r="AE1152" i="2"/>
  <c r="U1159" i="2"/>
  <c r="AD1159" i="2"/>
  <c r="U1211" i="2"/>
  <c r="AD1211" i="2"/>
  <c r="AJ1275" i="2"/>
  <c r="Y1275" i="2"/>
  <c r="Z1171" i="2"/>
  <c r="R1171" i="2"/>
  <c r="AD1180" i="2"/>
  <c r="Y1180" i="2"/>
  <c r="U1187" i="2"/>
  <c r="AD1187" i="2"/>
  <c r="AG1187" i="2"/>
  <c r="U1201" i="2"/>
  <c r="Q1201" i="2"/>
  <c r="U1241" i="2"/>
  <c r="Y1241" i="2"/>
  <c r="AD1241" i="2"/>
  <c r="U1249" i="2"/>
  <c r="Q1249" i="2"/>
  <c r="Y1249" i="2"/>
  <c r="U1257" i="2"/>
  <c r="Q1257" i="2"/>
  <c r="AJ1257" i="2"/>
  <c r="Z1176" i="2"/>
  <c r="AK1176" i="2"/>
  <c r="AK1246" i="2"/>
  <c r="AE1258" i="2"/>
  <c r="AK1258" i="2"/>
  <c r="I7" i="7"/>
  <c r="M297" i="9"/>
  <c r="N297" i="9"/>
  <c r="L297" i="9"/>
  <c r="AK1158" i="2"/>
  <c r="V1158" i="2"/>
  <c r="U1165" i="2"/>
  <c r="Y1165" i="2"/>
  <c r="Q1180" i="2"/>
  <c r="U1181" i="2"/>
  <c r="AJ1181" i="2"/>
  <c r="Q1187" i="2"/>
  <c r="Q1215" i="2"/>
  <c r="Q1241" i="2"/>
  <c r="AE1242" i="2"/>
  <c r="AK1242" i="2"/>
  <c r="U1267" i="2"/>
  <c r="Q1267" i="2"/>
  <c r="N237" i="9"/>
  <c r="L237" i="9"/>
  <c r="M237" i="9"/>
  <c r="L151" i="9"/>
  <c r="N151" i="9"/>
  <c r="M151" i="9"/>
  <c r="U1203" i="2"/>
  <c r="AD1203" i="2"/>
  <c r="Q1203" i="2"/>
  <c r="AE1210" i="2"/>
  <c r="R1210" i="2"/>
  <c r="AK1210" i="2"/>
  <c r="AK1217" i="2"/>
  <c r="AK1232" i="2"/>
  <c r="V1232" i="2"/>
  <c r="AD1281" i="2"/>
  <c r="AG1281" i="2"/>
  <c r="Q1281" i="2"/>
  <c r="M132" i="9"/>
  <c r="L132" i="9"/>
  <c r="N132" i="9"/>
  <c r="C5" i="5"/>
  <c r="N147" i="9"/>
  <c r="L147" i="9"/>
  <c r="M147" i="9"/>
  <c r="U1191" i="2"/>
  <c r="AD1191" i="2"/>
  <c r="AE1229" i="2"/>
  <c r="Q1233" i="2"/>
  <c r="R1236" i="2"/>
  <c r="Q1239" i="2"/>
  <c r="U1245" i="2"/>
  <c r="Q1245" i="2"/>
  <c r="AK1268" i="2"/>
  <c r="M48" i="9"/>
  <c r="L48" i="9"/>
  <c r="N48" i="9"/>
  <c r="Y1233" i="2"/>
  <c r="U1277" i="2"/>
  <c r="AJ1277" i="2"/>
  <c r="Q1282" i="2"/>
  <c r="AJ1282" i="2"/>
  <c r="Y1282" i="2"/>
  <c r="J11" i="8"/>
  <c r="C48" i="10" s="1"/>
  <c r="J9" i="8"/>
  <c r="J12" i="8" s="1"/>
  <c r="C47" i="10" s="1"/>
  <c r="J10" i="8"/>
  <c r="AE1159" i="2"/>
  <c r="U1161" i="2"/>
  <c r="AD1161" i="2"/>
  <c r="AJ1161" i="2"/>
  <c r="Y1191" i="2"/>
  <c r="Z1198" i="2"/>
  <c r="AK1198" i="2"/>
  <c r="AJ1209" i="2"/>
  <c r="R1212" i="2"/>
  <c r="V1212" i="2"/>
  <c r="AK1212" i="2"/>
  <c r="U1235" i="2"/>
  <c r="AD1235" i="2"/>
  <c r="Y1245" i="2"/>
  <c r="R1256" i="2"/>
  <c r="Z1256" i="2"/>
  <c r="AJ1273" i="2"/>
  <c r="AD1273" i="2"/>
  <c r="Q1278" i="2"/>
  <c r="AD1278" i="2"/>
  <c r="AG1278" i="2"/>
  <c r="I9" i="7"/>
  <c r="AK1159" i="2"/>
  <c r="V1216" i="2"/>
  <c r="Z1216" i="2"/>
  <c r="AK1216" i="2"/>
  <c r="Z1223" i="2"/>
  <c r="U1247" i="2"/>
  <c r="Q1247" i="2"/>
  <c r="AE1268" i="2"/>
  <c r="Y1277" i="2"/>
  <c r="L33" i="9"/>
  <c r="N33" i="9"/>
  <c r="N161" i="9"/>
  <c r="L161" i="9"/>
  <c r="AJ1233" i="2"/>
  <c r="AE1236" i="2"/>
  <c r="Z1236" i="2"/>
  <c r="AJ1239" i="2"/>
  <c r="N182" i="9"/>
  <c r="L182" i="9"/>
  <c r="M182" i="9"/>
  <c r="U1213" i="2"/>
  <c r="AD1213" i="2"/>
  <c r="U1221" i="2"/>
  <c r="Y1221" i="2"/>
  <c r="AJ1221" i="2"/>
  <c r="M264" i="9"/>
  <c r="N264" i="9"/>
  <c r="L264" i="9"/>
  <c r="I6" i="7"/>
  <c r="J6" i="7"/>
  <c r="K6" i="7" s="1"/>
  <c r="N44" i="9"/>
  <c r="L44" i="9"/>
  <c r="M44" i="9"/>
  <c r="N172" i="9"/>
  <c r="L172" i="9"/>
  <c r="L40" i="9"/>
  <c r="N40" i="9"/>
  <c r="M40" i="9"/>
  <c r="N238" i="9"/>
  <c r="M238" i="9"/>
  <c r="L238" i="9"/>
  <c r="N92" i="9"/>
  <c r="L92" i="9"/>
  <c r="M92" i="9"/>
  <c r="N113" i="9"/>
  <c r="M113" i="9"/>
  <c r="L113" i="9"/>
  <c r="M172" i="9"/>
  <c r="N243" i="9"/>
  <c r="M243" i="9"/>
  <c r="L243" i="9"/>
  <c r="L45" i="9"/>
  <c r="N45" i="9"/>
  <c r="M45" i="9"/>
  <c r="L62" i="9"/>
  <c r="M62" i="9"/>
  <c r="N62" i="9"/>
  <c r="L51" i="9"/>
  <c r="N51" i="9"/>
  <c r="M51" i="9"/>
  <c r="M64" i="9"/>
  <c r="N149" i="9"/>
  <c r="L149" i="9"/>
  <c r="M149" i="9"/>
  <c r="M154" i="9"/>
  <c r="L154" i="9"/>
  <c r="N154" i="9"/>
  <c r="AK1192" i="2"/>
  <c r="U1197" i="2"/>
  <c r="AJ1197" i="2"/>
  <c r="Y1197" i="2"/>
  <c r="U1251" i="2"/>
  <c r="Q1251" i="2"/>
  <c r="AJ1251" i="2"/>
  <c r="M78" i="9"/>
  <c r="L78" i="9"/>
  <c r="N78" i="9"/>
  <c r="L90" i="9"/>
  <c r="N90" i="9"/>
  <c r="M90" i="9"/>
  <c r="N164" i="9"/>
  <c r="M265" i="9"/>
  <c r="N265" i="9"/>
  <c r="L265" i="9"/>
  <c r="U1263" i="2"/>
  <c r="Q1263" i="2"/>
  <c r="AJ1263" i="2"/>
  <c r="Q1280" i="2"/>
  <c r="AJ1280" i="2"/>
  <c r="L84" i="9"/>
  <c r="M84" i="9"/>
  <c r="L39" i="9"/>
  <c r="M39" i="9"/>
  <c r="N194" i="9"/>
  <c r="L194" i="9"/>
  <c r="M245" i="9"/>
  <c r="N245" i="9"/>
  <c r="N50" i="9"/>
  <c r="N60" i="9"/>
  <c r="M60" i="9"/>
  <c r="L87" i="9"/>
  <c r="M91" i="9"/>
  <c r="M198" i="9"/>
  <c r="N198" i="9"/>
  <c r="L198" i="9"/>
  <c r="N235" i="9"/>
  <c r="M235" i="9"/>
  <c r="L235" i="9"/>
  <c r="L60" i="9"/>
  <c r="L85" i="9"/>
  <c r="M85" i="9"/>
  <c r="N138" i="9"/>
  <c r="M138" i="9"/>
  <c r="L157" i="9"/>
  <c r="L32" i="9"/>
  <c r="N61" i="9"/>
  <c r="M61" i="9"/>
  <c r="L75" i="9"/>
  <c r="N75" i="9"/>
  <c r="N103" i="9"/>
  <c r="L103" i="9"/>
  <c r="M103" i="9"/>
  <c r="M163" i="9"/>
  <c r="L163" i="9"/>
  <c r="N216" i="9"/>
  <c r="M216" i="9"/>
  <c r="M286" i="9"/>
  <c r="L286" i="9"/>
  <c r="N180" i="9"/>
  <c r="M180" i="9"/>
  <c r="L180" i="9"/>
  <c r="M253" i="9"/>
  <c r="N253" i="9"/>
  <c r="I5" i="7"/>
  <c r="N27" i="9"/>
  <c r="L27" i="9"/>
  <c r="N49" i="9"/>
  <c r="M49" i="9"/>
  <c r="L49" i="9"/>
  <c r="N125" i="9"/>
  <c r="L125" i="9"/>
  <c r="N163" i="9"/>
  <c r="L200" i="9"/>
  <c r="M200" i="9"/>
  <c r="N286" i="9"/>
  <c r="M168" i="9"/>
  <c r="L168" i="9"/>
  <c r="N83" i="9"/>
  <c r="M83" i="9"/>
  <c r="L83" i="9"/>
  <c r="N94" i="9"/>
  <c r="L94" i="9"/>
  <c r="N155" i="9"/>
  <c r="M155" i="9"/>
  <c r="L155" i="9"/>
  <c r="N213" i="9"/>
  <c r="M213" i="9"/>
  <c r="L213" i="9"/>
  <c r="L283" i="9"/>
  <c r="M283" i="9"/>
  <c r="N283" i="9"/>
  <c r="J7" i="7"/>
  <c r="K7" i="7" s="1"/>
  <c r="M37" i="9"/>
  <c r="N37" i="9"/>
  <c r="N56" i="9"/>
  <c r="M56" i="9"/>
  <c r="L112" i="9"/>
  <c r="M112" i="9"/>
  <c r="L129" i="9"/>
  <c r="N129" i="9"/>
  <c r="N168" i="9"/>
  <c r="M28" i="9"/>
  <c r="L28" i="9"/>
  <c r="M66" i="9"/>
  <c r="N66" i="9"/>
  <c r="N144" i="9"/>
  <c r="M144" i="9"/>
  <c r="I8" i="7"/>
  <c r="M108" i="9"/>
  <c r="L239" i="9"/>
  <c r="M239" i="9"/>
  <c r="M59" i="9"/>
  <c r="N98" i="9"/>
  <c r="M98" i="9"/>
  <c r="M162" i="9"/>
  <c r="L201" i="9"/>
  <c r="M204" i="9"/>
  <c r="N233" i="9"/>
  <c r="L134" i="9"/>
  <c r="M134" i="9"/>
  <c r="M143" i="9"/>
  <c r="L143" i="9"/>
  <c r="N162" i="9"/>
  <c r="L173" i="9"/>
  <c r="N173" i="9"/>
  <c r="M173" i="9"/>
  <c r="L188" i="9"/>
  <c r="M201" i="9"/>
  <c r="L271" i="9"/>
  <c r="M271" i="9"/>
  <c r="L156" i="9"/>
  <c r="M156" i="9"/>
  <c r="M188" i="9"/>
  <c r="L260" i="9"/>
  <c r="N260" i="9"/>
  <c r="M260" i="9"/>
  <c r="N101" i="9"/>
  <c r="N134" i="9"/>
  <c r="L189" i="9"/>
  <c r="N189" i="9"/>
  <c r="M189" i="9"/>
  <c r="N202" i="9"/>
  <c r="M202" i="9"/>
  <c r="L202" i="9"/>
  <c r="M250" i="9"/>
  <c r="L244" i="9"/>
  <c r="N244" i="9"/>
  <c r="M254" i="9"/>
  <c r="N254" i="9"/>
  <c r="N316" i="9"/>
  <c r="M316" i="9"/>
  <c r="L316" i="9"/>
  <c r="L21" i="9"/>
  <c r="L26" i="9"/>
  <c r="M54" i="9"/>
  <c r="N59" i="9"/>
  <c r="N110" i="9"/>
  <c r="N114" i="9"/>
  <c r="L114" i="9"/>
  <c r="M140" i="9"/>
  <c r="N156" i="9"/>
  <c r="L205" i="9"/>
  <c r="L221" i="9"/>
  <c r="M228" i="9"/>
  <c r="L234" i="9"/>
  <c r="L261" i="9"/>
  <c r="M261" i="9"/>
  <c r="N26" i="9"/>
  <c r="N76" i="9"/>
  <c r="M76" i="9"/>
  <c r="N140" i="9"/>
  <c r="N160" i="9"/>
  <c r="M160" i="9"/>
  <c r="L160" i="9"/>
  <c r="M205" i="9"/>
  <c r="M221" i="9"/>
  <c r="N228" i="9"/>
  <c r="M234" i="9"/>
  <c r="L293" i="9"/>
  <c r="M293" i="9"/>
  <c r="M232" i="9"/>
  <c r="L232" i="9"/>
  <c r="L294" i="9"/>
  <c r="M294" i="9"/>
  <c r="M298" i="9"/>
  <c r="L298" i="9"/>
  <c r="M309" i="9"/>
  <c r="L309" i="9"/>
  <c r="L118" i="9"/>
  <c r="N118" i="9"/>
  <c r="M121" i="9"/>
  <c r="L121" i="9"/>
  <c r="N136" i="9"/>
  <c r="L136" i="9"/>
  <c r="L145" i="9"/>
  <c r="M145" i="9"/>
  <c r="M242" i="9"/>
  <c r="L242" i="9"/>
  <c r="M287" i="9"/>
  <c r="L287" i="9"/>
  <c r="N223" i="9"/>
  <c r="M227" i="9"/>
  <c r="L227" i="9"/>
  <c r="M299" i="9"/>
  <c r="L299" i="9"/>
  <c r="N299" i="9"/>
  <c r="N309" i="9"/>
  <c r="N74" i="9"/>
  <c r="N77" i="9"/>
  <c r="N97" i="9"/>
  <c r="M118" i="9"/>
  <c r="L288" i="9"/>
  <c r="N288" i="9"/>
  <c r="M288" i="9"/>
  <c r="M310" i="9"/>
  <c r="L310" i="9"/>
  <c r="N246" i="9"/>
  <c r="M246" i="9"/>
  <c r="L246" i="9"/>
  <c r="N158" i="9"/>
  <c r="L158" i="9"/>
  <c r="L88" i="9"/>
  <c r="L119" i="9"/>
  <c r="M150" i="9"/>
  <c r="N169" i="9"/>
  <c r="L169" i="9"/>
  <c r="L171" i="9"/>
  <c r="M179" i="9"/>
  <c r="L187" i="9"/>
  <c r="N195" i="9"/>
  <c r="N222" i="9"/>
  <c r="M249" i="9"/>
  <c r="N276" i="9"/>
  <c r="N282" i="9"/>
  <c r="N308" i="9"/>
  <c r="M308" i="9"/>
  <c r="N88" i="9"/>
  <c r="N109" i="9"/>
  <c r="M158" i="9"/>
  <c r="M171" i="9"/>
  <c r="N187" i="9"/>
  <c r="M206" i="9"/>
  <c r="N191" i="9"/>
  <c r="M191" i="9"/>
  <c r="L191" i="9"/>
  <c r="M107" i="9"/>
  <c r="N167" i="9"/>
  <c r="N224" i="9"/>
  <c r="M224" i="9"/>
  <c r="L224" i="9"/>
  <c r="M226" i="9"/>
  <c r="L318" i="9"/>
  <c r="M318" i="9"/>
  <c r="L314" i="9"/>
  <c r="L312" i="9"/>
  <c r="L319" i="9"/>
  <c r="M319" i="9"/>
  <c r="L306" i="9"/>
  <c r="L317" i="9"/>
  <c r="M317" i="9"/>
  <c r="L315" i="9"/>
  <c r="M315" i="9"/>
  <c r="G45" i="5" l="1"/>
  <c r="H9" i="5"/>
  <c r="F48" i="5"/>
  <c r="G49" i="5"/>
  <c r="C34" i="5"/>
  <c r="C35" i="5" s="1"/>
  <c r="G50" i="5"/>
  <c r="H10" i="5"/>
  <c r="H17" i="5"/>
  <c r="C43" i="5"/>
  <c r="J14" i="8"/>
  <c r="C49" i="10" s="1"/>
  <c r="G44" i="5"/>
  <c r="F43" i="5"/>
  <c r="F49" i="5"/>
  <c r="H49" i="5" s="1"/>
  <c r="C36" i="4"/>
  <c r="F38" i="5"/>
  <c r="C40" i="4"/>
  <c r="C41" i="4"/>
  <c r="F29" i="5"/>
  <c r="G37" i="5"/>
  <c r="F36" i="5"/>
  <c r="C15" i="10"/>
  <c r="C7" i="5"/>
  <c r="H7" i="5"/>
  <c r="E4" i="9"/>
  <c r="O92" i="9" s="1"/>
  <c r="P92" i="9" s="1"/>
  <c r="G25" i="5"/>
  <c r="G29" i="5"/>
  <c r="C27" i="5"/>
  <c r="F28" i="5"/>
  <c r="G26" i="5"/>
  <c r="F27" i="5"/>
  <c r="C35" i="4"/>
  <c r="F50" i="5"/>
  <c r="H50" i="5" s="1"/>
  <c r="C36" i="5"/>
  <c r="O238" i="9"/>
  <c r="P238" i="9" s="1"/>
  <c r="O239" i="9"/>
  <c r="P239" i="9" s="1"/>
  <c r="C47" i="5"/>
  <c r="C63" i="5" s="1"/>
  <c r="C46" i="5"/>
  <c r="E63" i="5" s="1"/>
  <c r="F47" i="5"/>
  <c r="H47" i="5" s="1"/>
  <c r="G48" i="5"/>
  <c r="H48" i="5" s="1"/>
  <c r="E5" i="9"/>
  <c r="O172" i="9" s="1"/>
  <c r="P172" i="9" s="1"/>
  <c r="H8" i="5"/>
  <c r="O306" i="9"/>
  <c r="P306" i="9" s="1"/>
  <c r="O144" i="9"/>
  <c r="P144" i="9" s="1"/>
  <c r="O44" i="9"/>
  <c r="P44" i="9" s="1"/>
  <c r="C45" i="5"/>
  <c r="O60" i="9"/>
  <c r="P60" i="9" s="1"/>
  <c r="O132" i="9"/>
  <c r="P132" i="9" s="1"/>
  <c r="O171" i="9"/>
  <c r="P171" i="9" s="1"/>
  <c r="O316" i="9"/>
  <c r="P316" i="9" s="1"/>
  <c r="O260" i="9"/>
  <c r="P260" i="9" s="1"/>
  <c r="F45" i="5"/>
  <c r="F46" i="5"/>
  <c r="F35" i="5"/>
  <c r="G35" i="5"/>
  <c r="F37" i="5"/>
  <c r="H37" i="5" s="1"/>
  <c r="C9" i="10"/>
  <c r="C29" i="4"/>
  <c r="C13" i="10" s="1"/>
  <c r="E11" i="4"/>
  <c r="F11" i="4" s="1"/>
  <c r="G11" i="4" s="1"/>
  <c r="I11" i="4"/>
  <c r="G38" i="5"/>
  <c r="F25" i="5"/>
  <c r="E62" i="5"/>
  <c r="E61" i="5"/>
  <c r="C6" i="10"/>
  <c r="B4" i="9"/>
  <c r="C26" i="4"/>
  <c r="C10" i="10" s="1"/>
  <c r="I8" i="4"/>
  <c r="E8" i="4"/>
  <c r="F8" i="4" s="1"/>
  <c r="G8" i="4" s="1"/>
  <c r="C3" i="6"/>
  <c r="C30" i="4"/>
  <c r="C5" i="10"/>
  <c r="C19" i="4"/>
  <c r="G28" i="5"/>
  <c r="C25" i="5"/>
  <c r="C7" i="10"/>
  <c r="C27" i="4"/>
  <c r="C11" i="10" s="1"/>
  <c r="I9" i="4"/>
  <c r="B5" i="9"/>
  <c r="C31" i="4"/>
  <c r="C4" i="6"/>
  <c r="E9" i="4"/>
  <c r="F9" i="4" s="1"/>
  <c r="G9" i="4" s="1"/>
  <c r="H15" i="5"/>
  <c r="G27" i="5"/>
  <c r="F61" i="5"/>
  <c r="C29" i="5"/>
  <c r="B62" i="5" s="1"/>
  <c r="C8" i="10"/>
  <c r="E10" i="4"/>
  <c r="F10" i="4" s="1"/>
  <c r="G10" i="4" s="1"/>
  <c r="C28" i="4"/>
  <c r="C12" i="10" s="1"/>
  <c r="I10" i="4"/>
  <c r="C62" i="5"/>
  <c r="C61" i="5"/>
  <c r="B63" i="5"/>
  <c r="F34" i="5"/>
  <c r="F26" i="5"/>
  <c r="H26" i="5" s="1"/>
  <c r="O39" i="9"/>
  <c r="P39" i="9" s="1"/>
  <c r="G34" i="5"/>
  <c r="C28" i="5"/>
  <c r="O38" i="9"/>
  <c r="P38" i="9" s="1"/>
  <c r="O24" i="9"/>
  <c r="P24" i="9" s="1"/>
  <c r="F51" i="5"/>
  <c r="H20" i="5"/>
  <c r="G36" i="5"/>
  <c r="H19" i="5"/>
  <c r="C38" i="5"/>
  <c r="G46" i="5"/>
  <c r="O213" i="9"/>
  <c r="P213" i="9" s="1"/>
  <c r="O157" i="9"/>
  <c r="P157" i="9" s="1"/>
  <c r="O84" i="9"/>
  <c r="P84" i="9" s="1"/>
  <c r="G47" i="5"/>
  <c r="O125" i="9"/>
  <c r="P125" i="9" s="1"/>
  <c r="O286" i="9"/>
  <c r="P286" i="9" s="1"/>
  <c r="O87" i="9"/>
  <c r="P87" i="9" s="1"/>
  <c r="F44" i="5"/>
  <c r="G43" i="5"/>
  <c r="AM1286" i="2"/>
  <c r="AM1284" i="2"/>
  <c r="AM1282" i="2"/>
  <c r="AM1280" i="2"/>
  <c r="AM1278" i="2"/>
  <c r="AM1276" i="2"/>
  <c r="AM1274" i="2"/>
  <c r="AM1272" i="2"/>
  <c r="I7" i="4"/>
  <c r="AM1271" i="2"/>
  <c r="AM1269" i="2"/>
  <c r="AM1267" i="2"/>
  <c r="AM1265" i="2"/>
  <c r="AM1263" i="2"/>
  <c r="AM1261" i="2"/>
  <c r="AM1259" i="2"/>
  <c r="AM1257" i="2"/>
  <c r="AM1255" i="2"/>
  <c r="AM1253" i="2"/>
  <c r="AM1251" i="2"/>
  <c r="AM1249" i="2"/>
  <c r="AM1247" i="2"/>
  <c r="AM1245" i="2"/>
  <c r="AM1243" i="2"/>
  <c r="AM1275" i="2"/>
  <c r="AM1264" i="2"/>
  <c r="AM1283" i="2"/>
  <c r="AM1242" i="2"/>
  <c r="AM1233" i="2"/>
  <c r="AM1222" i="2"/>
  <c r="AM1211" i="2"/>
  <c r="AM1200" i="2"/>
  <c r="AM1189" i="2"/>
  <c r="AM1178" i="2"/>
  <c r="AM1167" i="2"/>
  <c r="E7" i="4"/>
  <c r="F7" i="4" s="1"/>
  <c r="G7" i="4" s="1"/>
  <c r="AM1248" i="2"/>
  <c r="AM1226" i="2"/>
  <c r="AM1218" i="2"/>
  <c r="AM1210" i="2"/>
  <c r="AM1202" i="2"/>
  <c r="AM1175" i="2"/>
  <c r="AM1170" i="2"/>
  <c r="AM1165" i="2"/>
  <c r="AM1260" i="2"/>
  <c r="AM1230" i="2"/>
  <c r="AM1244" i="2"/>
  <c r="AM1207" i="2"/>
  <c r="AM1154" i="2"/>
  <c r="AM1266" i="2"/>
  <c r="AM1256" i="2"/>
  <c r="AM1246" i="2"/>
  <c r="AM1215" i="2"/>
  <c r="AM1277" i="2"/>
  <c r="AM1262" i="2"/>
  <c r="AM1234" i="2"/>
  <c r="AM1220" i="2"/>
  <c r="AM1182" i="2"/>
  <c r="AM1179" i="2"/>
  <c r="AM1176" i="2"/>
  <c r="AM1173" i="2"/>
  <c r="AM1203" i="2"/>
  <c r="AM1250" i="2"/>
  <c r="AM1227" i="2"/>
  <c r="AM1168" i="2"/>
  <c r="AM1258" i="2"/>
  <c r="AM1212" i="2"/>
  <c r="AM1195" i="2"/>
  <c r="AM1184" i="2"/>
  <c r="AM1172" i="2"/>
  <c r="AM1161" i="2"/>
  <c r="AM1152" i="2"/>
  <c r="AM1149" i="2"/>
  <c r="AM1270" i="2"/>
  <c r="AM1146" i="2"/>
  <c r="AM1148" i="2"/>
  <c r="AM1145" i="2"/>
  <c r="AM1219" i="2"/>
  <c r="AM1193" i="2"/>
  <c r="AM1159" i="2"/>
  <c r="AM1119" i="2"/>
  <c r="AM1106" i="2"/>
  <c r="AM1273" i="2"/>
  <c r="AM1238" i="2"/>
  <c r="AM1206" i="2"/>
  <c r="AM1121" i="2"/>
  <c r="AM1108" i="2"/>
  <c r="AM1077" i="2"/>
  <c r="AM1235" i="2"/>
  <c r="AM1208" i="2"/>
  <c r="AM1186" i="2"/>
  <c r="AM1129" i="2"/>
  <c r="AM1126" i="2"/>
  <c r="AM1120" i="2"/>
  <c r="AM1092" i="2"/>
  <c r="AM1067" i="2"/>
  <c r="AM1138" i="2"/>
  <c r="AM1132" i="2"/>
  <c r="AM1114" i="2"/>
  <c r="AM1111" i="2"/>
  <c r="AM1229" i="2"/>
  <c r="AM1197" i="2"/>
  <c r="AM1217" i="2"/>
  <c r="AM1181" i="2"/>
  <c r="AM1164" i="2"/>
  <c r="AM1141" i="2"/>
  <c r="AM1071" i="2"/>
  <c r="AM1060" i="2"/>
  <c r="AM1058" i="2"/>
  <c r="AM1056" i="2"/>
  <c r="AM1054" i="2"/>
  <c r="AM1052" i="2"/>
  <c r="AM1050" i="2"/>
  <c r="AM1048" i="2"/>
  <c r="AM1046" i="2"/>
  <c r="AM1044" i="2"/>
  <c r="AM1042" i="2"/>
  <c r="AM1040" i="2"/>
  <c r="AM1038" i="2"/>
  <c r="AM1036" i="2"/>
  <c r="AM1034" i="2"/>
  <c r="AM1032" i="2"/>
  <c r="AM1030" i="2"/>
  <c r="AM1028" i="2"/>
  <c r="AM1026" i="2"/>
  <c r="AM1024" i="2"/>
  <c r="AM1022" i="2"/>
  <c r="AM1020" i="2"/>
  <c r="AM1018" i="2"/>
  <c r="AM1016" i="2"/>
  <c r="AM1014" i="2"/>
  <c r="AM1012" i="2"/>
  <c r="AM1010" i="2"/>
  <c r="AM1008" i="2"/>
  <c r="AM1006" i="2"/>
  <c r="AM1240" i="2"/>
  <c r="AM1213" i="2"/>
  <c r="AM1194" i="2"/>
  <c r="AM1143" i="2"/>
  <c r="AM1110" i="2"/>
  <c r="AM992" i="2"/>
  <c r="AM981" i="2"/>
  <c r="AM1231" i="2"/>
  <c r="AM1204" i="2"/>
  <c r="AM1190" i="2"/>
  <c r="AM1151" i="2"/>
  <c r="AM1089" i="2"/>
  <c r="AM1076" i="2"/>
  <c r="AM1072" i="2"/>
  <c r="AM1066" i="2"/>
  <c r="AM1055" i="2"/>
  <c r="AM1033" i="2"/>
  <c r="AM1011" i="2"/>
  <c r="AM1003" i="2"/>
  <c r="AM1223" i="2"/>
  <c r="AM1174" i="2"/>
  <c r="AM1124" i="2"/>
  <c r="AM1100" i="2"/>
  <c r="AM1063" i="2"/>
  <c r="AM998" i="2"/>
  <c r="AM982" i="2"/>
  <c r="AM1268" i="2"/>
  <c r="AM1236" i="2"/>
  <c r="AM1196" i="2"/>
  <c r="AM1188" i="2"/>
  <c r="AM1183" i="2"/>
  <c r="AM1150" i="2"/>
  <c r="AM1144" i="2"/>
  <c r="AM1115" i="2"/>
  <c r="AM1107" i="2"/>
  <c r="AM1103" i="2"/>
  <c r="AM1075" i="2"/>
  <c r="AM1068" i="2"/>
  <c r="AM1000" i="2"/>
  <c r="AM986" i="2"/>
  <c r="AM1279" i="2"/>
  <c r="AM1241" i="2"/>
  <c r="AM1214" i="2"/>
  <c r="AM1177" i="2"/>
  <c r="AM1169" i="2"/>
  <c r="AM1122" i="2"/>
  <c r="AM1078" i="2"/>
  <c r="AM1061" i="2"/>
  <c r="AM1029" i="2"/>
  <c r="AM1009" i="2"/>
  <c r="AM1252" i="2"/>
  <c r="AM1133" i="2"/>
  <c r="AM1127" i="2"/>
  <c r="AM1099" i="2"/>
  <c r="AM1083" i="2"/>
  <c r="AM1064" i="2"/>
  <c r="AM1237" i="2"/>
  <c r="AM1228" i="2"/>
  <c r="AM1201" i="2"/>
  <c r="AM1163" i="2"/>
  <c r="AM1162" i="2"/>
  <c r="AM1104" i="2"/>
  <c r="AM1093" i="2"/>
  <c r="AM1057" i="2"/>
  <c r="AM1160" i="2"/>
  <c r="AM1109" i="2"/>
  <c r="AM1221" i="2"/>
  <c r="AM1086" i="2"/>
  <c r="AM1027" i="2"/>
  <c r="AM1005" i="2"/>
  <c r="AM987" i="2"/>
  <c r="AM959" i="2"/>
  <c r="AM952" i="2"/>
  <c r="AM929" i="2"/>
  <c r="AM908" i="2"/>
  <c r="AM1137" i="2"/>
  <c r="AM1049" i="2"/>
  <c r="AM1025" i="2"/>
  <c r="AM1021" i="2"/>
  <c r="AM996" i="2"/>
  <c r="AM951" i="2"/>
  <c r="AM944" i="2"/>
  <c r="AM928" i="2"/>
  <c r="AM905" i="2"/>
  <c r="AM1192" i="2"/>
  <c r="AM1090" i="2"/>
  <c r="AM1037" i="2"/>
  <c r="AM979" i="2"/>
  <c r="AM953" i="2"/>
  <c r="AM946" i="2"/>
  <c r="AM911" i="2"/>
  <c r="AM1171" i="2"/>
  <c r="AM1225" i="2"/>
  <c r="AM1147" i="2"/>
  <c r="AM1094" i="2"/>
  <c r="AM1080" i="2"/>
  <c r="AM1047" i="2"/>
  <c r="AM1019" i="2"/>
  <c r="AM971" i="2"/>
  <c r="AM964" i="2"/>
  <c r="AM921" i="2"/>
  <c r="AM900" i="2"/>
  <c r="AM898" i="2"/>
  <c r="AM1198" i="2"/>
  <c r="AM1185" i="2"/>
  <c r="AM1087" i="2"/>
  <c r="AM1013" i="2"/>
  <c r="AM969" i="2"/>
  <c r="AM961" i="2"/>
  <c r="AM915" i="2"/>
  <c r="AM889" i="2"/>
  <c r="AM882" i="2"/>
  <c r="AM845" i="2"/>
  <c r="AM1281" i="2"/>
  <c r="AM1239" i="2"/>
  <c r="AM1142" i="2"/>
  <c r="AM1140" i="2"/>
  <c r="AM989" i="2"/>
  <c r="AM957" i="2"/>
  <c r="AM897" i="2"/>
  <c r="AM881" i="2"/>
  <c r="AM874" i="2"/>
  <c r="AM1191" i="2"/>
  <c r="AM1113" i="2"/>
  <c r="AM1091" i="2"/>
  <c r="AM980" i="2"/>
  <c r="AM976" i="2"/>
  <c r="AM933" i="2"/>
  <c r="AM913" i="2"/>
  <c r="AM910" i="2"/>
  <c r="AM883" i="2"/>
  <c r="AM876" i="2"/>
  <c r="AM1285" i="2"/>
  <c r="AM1205" i="2"/>
  <c r="AM1216" i="2"/>
  <c r="AM1135" i="2"/>
  <c r="AM956" i="2"/>
  <c r="AM950" i="2"/>
  <c r="AM926" i="2"/>
  <c r="AM901" i="2"/>
  <c r="AM857" i="2"/>
  <c r="AM850" i="2"/>
  <c r="AM841" i="2"/>
  <c r="AM839" i="2"/>
  <c r="AM837" i="2"/>
  <c r="AM835" i="2"/>
  <c r="AM833" i="2"/>
  <c r="AM831" i="2"/>
  <c r="AM829" i="2"/>
  <c r="AM827" i="2"/>
  <c r="AM825" i="2"/>
  <c r="AM823" i="2"/>
  <c r="AM821" i="2"/>
  <c r="AM819" i="2"/>
  <c r="AM817" i="2"/>
  <c r="AM815" i="2"/>
  <c r="AM813" i="2"/>
  <c r="AM811" i="2"/>
  <c r="AM809" i="2"/>
  <c r="AM807" i="2"/>
  <c r="AM805" i="2"/>
  <c r="AM803" i="2"/>
  <c r="AM801" i="2"/>
  <c r="AM799" i="2"/>
  <c r="AM797" i="2"/>
  <c r="AM1085" i="2"/>
  <c r="AM1082" i="2"/>
  <c r="AM922" i="2"/>
  <c r="AM892" i="2"/>
  <c r="AM842" i="2"/>
  <c r="AM820" i="2"/>
  <c r="AM798" i="2"/>
  <c r="AM793" i="2"/>
  <c r="AM1156" i="2"/>
  <c r="AM1098" i="2"/>
  <c r="AM1053" i="2"/>
  <c r="AM1155" i="2"/>
  <c r="AM1081" i="2"/>
  <c r="AM1074" i="2"/>
  <c r="AM1136" i="2"/>
  <c r="AM1079" i="2"/>
  <c r="AM1187" i="2"/>
  <c r="AM1199" i="2"/>
  <c r="AM1062" i="2"/>
  <c r="AM1035" i="2"/>
  <c r="AM985" i="2"/>
  <c r="AM947" i="2"/>
  <c r="AM940" i="2"/>
  <c r="AM872" i="2"/>
  <c r="AM838" i="2"/>
  <c r="AM816" i="2"/>
  <c r="AM1130" i="2"/>
  <c r="AM1128" i="2"/>
  <c r="AM1031" i="2"/>
  <c r="AM1007" i="2"/>
  <c r="AM984" i="2"/>
  <c r="AM960" i="2"/>
  <c r="AM943" i="2"/>
  <c r="AM917" i="2"/>
  <c r="AM1232" i="2"/>
  <c r="AM1180" i="2"/>
  <c r="AM1131" i="2"/>
  <c r="AM1166" i="2"/>
  <c r="AM1101" i="2"/>
  <c r="AM978" i="2"/>
  <c r="AM974" i="2"/>
  <c r="AM955" i="2"/>
  <c r="AM934" i="2"/>
  <c r="AM918" i="2"/>
  <c r="AM861" i="2"/>
  <c r="AM1023" i="2"/>
  <c r="AM994" i="2"/>
  <c r="AM966" i="2"/>
  <c r="AM958" i="2"/>
  <c r="AM873" i="2"/>
  <c r="AM851" i="2"/>
  <c r="AM824" i="2"/>
  <c r="AM1157" i="2"/>
  <c r="AM1073" i="2"/>
  <c r="AM1069" i="2"/>
  <c r="AM1004" i="2"/>
  <c r="AM991" i="2"/>
  <c r="AM924" i="2"/>
  <c r="AM1123" i="2"/>
  <c r="AM1051" i="2"/>
  <c r="AM1125" i="2"/>
  <c r="AM1139" i="2"/>
  <c r="AM1059" i="2"/>
  <c r="AM1001" i="2"/>
  <c r="AM988" i="2"/>
  <c r="AM973" i="2"/>
  <c r="AM942" i="2"/>
  <c r="AM912" i="2"/>
  <c r="AM902" i="2"/>
  <c r="AM879" i="2"/>
  <c r="AM862" i="2"/>
  <c r="AM854" i="2"/>
  <c r="AM847" i="2"/>
  <c r="AM1209" i="2"/>
  <c r="AM1102" i="2"/>
  <c r="AM1070" i="2"/>
  <c r="AM1134" i="2"/>
  <c r="AM1105" i="2"/>
  <c r="AM1097" i="2"/>
  <c r="AM865" i="2"/>
  <c r="AM860" i="2"/>
  <c r="AM1088" i="2"/>
  <c r="AM983" i="2"/>
  <c r="AM870" i="2"/>
  <c r="AM859" i="2"/>
  <c r="AM818" i="2"/>
  <c r="AM778" i="2"/>
  <c r="AM757" i="2"/>
  <c r="AM750" i="2"/>
  <c r="AM945" i="2"/>
  <c r="AM923" i="2"/>
  <c r="AM877" i="2"/>
  <c r="AM871" i="2"/>
  <c r="AM843" i="2"/>
  <c r="AM789" i="2"/>
  <c r="AM781" i="2"/>
  <c r="AM773" i="2"/>
  <c r="AM1153" i="2"/>
  <c r="AM1084" i="2"/>
  <c r="AM899" i="2"/>
  <c r="AM888" i="2"/>
  <c r="AM941" i="2"/>
  <c r="AM935" i="2"/>
  <c r="AM927" i="2"/>
  <c r="AM904" i="2"/>
  <c r="AM806" i="2"/>
  <c r="AM795" i="2"/>
  <c r="AM792" i="2"/>
  <c r="AM708" i="2"/>
  <c r="AM701" i="2"/>
  <c r="AM963" i="2"/>
  <c r="AM916" i="2"/>
  <c r="AM894" i="2"/>
  <c r="AM878" i="2"/>
  <c r="AM1117" i="2"/>
  <c r="AM1041" i="2"/>
  <c r="AM930" i="2"/>
  <c r="AM760" i="2"/>
  <c r="AM714" i="2"/>
  <c r="AM707" i="2"/>
  <c r="AM1043" i="2"/>
  <c r="AM977" i="2"/>
  <c r="AM949" i="2"/>
  <c r="AM907" i="2"/>
  <c r="AM896" i="2"/>
  <c r="AM1118" i="2"/>
  <c r="AM1112" i="2"/>
  <c r="AM1224" i="2"/>
  <c r="AM895" i="2"/>
  <c r="AM887" i="2"/>
  <c r="AM864" i="2"/>
  <c r="AM729" i="2"/>
  <c r="AM721" i="2"/>
  <c r="AM691" i="2"/>
  <c r="AM660" i="2"/>
  <c r="AM653" i="2"/>
  <c r="AM616" i="2"/>
  <c r="AM609" i="2"/>
  <c r="AM572" i="2"/>
  <c r="AM565" i="2"/>
  <c r="AM1017" i="2"/>
  <c r="AM967" i="2"/>
  <c r="AM954" i="2"/>
  <c r="AM886" i="2"/>
  <c r="AM909" i="2"/>
  <c r="AM906" i="2"/>
  <c r="AM855" i="2"/>
  <c r="AM832" i="2"/>
  <c r="AM1065" i="2"/>
  <c r="AM800" i="2"/>
  <c r="AM1015" i="2"/>
  <c r="AM932" i="2"/>
  <c r="AM1158" i="2"/>
  <c r="AM925" i="2"/>
  <c r="AM891" i="2"/>
  <c r="AM849" i="2"/>
  <c r="AM848" i="2"/>
  <c r="AM776" i="2"/>
  <c r="AM748" i="2"/>
  <c r="AM652" i="2"/>
  <c r="AM645" i="2"/>
  <c r="AM608" i="2"/>
  <c r="AM601" i="2"/>
  <c r="AM564" i="2"/>
  <c r="AM557" i="2"/>
  <c r="AM1002" i="2"/>
  <c r="AM875" i="2"/>
  <c r="AM858" i="2"/>
  <c r="AM812" i="2"/>
  <c r="AM802" i="2"/>
  <c r="AM790" i="2"/>
  <c r="AM779" i="2"/>
  <c r="AM754" i="2"/>
  <c r="AM751" i="2"/>
  <c r="AM722" i="2"/>
  <c r="AM698" i="2"/>
  <c r="AM654" i="2"/>
  <c r="AM647" i="2"/>
  <c r="AM997" i="2"/>
  <c r="AM993" i="2"/>
  <c r="AM914" i="2"/>
  <c r="AM867" i="2"/>
  <c r="AM866" i="2"/>
  <c r="AM999" i="2"/>
  <c r="AM970" i="2"/>
  <c r="AM937" i="2"/>
  <c r="AM1254" i="2"/>
  <c r="AM1095" i="2"/>
  <c r="AM990" i="2"/>
  <c r="AM962" i="2"/>
  <c r="AM840" i="2"/>
  <c r="AM744" i="2"/>
  <c r="AM727" i="2"/>
  <c r="AM852" i="2"/>
  <c r="AM763" i="2"/>
  <c r="AM749" i="2"/>
  <c r="AM703" i="2"/>
  <c r="AM678" i="2"/>
  <c r="AM640" i="2"/>
  <c r="AM626" i="2"/>
  <c r="AM623" i="2"/>
  <c r="AM618" i="2"/>
  <c r="AM610" i="2"/>
  <c r="AM968" i="2"/>
  <c r="AM1096" i="2"/>
  <c r="AM972" i="2"/>
  <c r="AM903" i="2"/>
  <c r="AM868" i="2"/>
  <c r="AM826" i="2"/>
  <c r="AM738" i="2"/>
  <c r="AM670" i="2"/>
  <c r="AM791" i="2"/>
  <c r="AM772" i="2"/>
  <c r="AM746" i="2"/>
  <c r="AM689" i="2"/>
  <c r="AM682" i="2"/>
  <c r="AM679" i="2"/>
  <c r="AM624" i="2"/>
  <c r="AM619" i="2"/>
  <c r="AM995" i="2"/>
  <c r="AM936" i="2"/>
  <c r="AM893" i="2"/>
  <c r="AM834" i="2"/>
  <c r="AM822" i="2"/>
  <c r="AM796" i="2"/>
  <c r="AM782" i="2"/>
  <c r="AM725" i="2"/>
  <c r="AM699" i="2"/>
  <c r="AM1039" i="2"/>
  <c r="AM869" i="2"/>
  <c r="AM810" i="2"/>
  <c r="AM777" i="2"/>
  <c r="AM765" i="2"/>
  <c r="AM752" i="2"/>
  <c r="AM745" i="2"/>
  <c r="AM720" i="2"/>
  <c r="AM716" i="2"/>
  <c r="AM705" i="2"/>
  <c r="AM673" i="2"/>
  <c r="AM649" i="2"/>
  <c r="AM632" i="2"/>
  <c r="AM605" i="2"/>
  <c r="AM602" i="2"/>
  <c r="AM577" i="2"/>
  <c r="AM884" i="2"/>
  <c r="AM856" i="2"/>
  <c r="AM853" i="2"/>
  <c r="AM808" i="2"/>
  <c r="AM759" i="2"/>
  <c r="AM710" i="2"/>
  <c r="AM693" i="2"/>
  <c r="AM677" i="2"/>
  <c r="AM662" i="2"/>
  <c r="AM585" i="2"/>
  <c r="AM569" i="2"/>
  <c r="AM545" i="2"/>
  <c r="AM534" i="2"/>
  <c r="AM770" i="2"/>
  <c r="AM880" i="2"/>
  <c r="AM788" i="2"/>
  <c r="AM931" i="2"/>
  <c r="AM920" i="2"/>
  <c r="AM890" i="2"/>
  <c r="AM747" i="2"/>
  <c r="AM684" i="2"/>
  <c r="AM606" i="2"/>
  <c r="AM603" i="2"/>
  <c r="AM589" i="2"/>
  <c r="AM586" i="2"/>
  <c r="AM578" i="2"/>
  <c r="AM948" i="2"/>
  <c r="AM919" i="2"/>
  <c r="AM844" i="2"/>
  <c r="AM830" i="2"/>
  <c r="AM939" i="2"/>
  <c r="AM965" i="2"/>
  <c r="AM1045" i="2"/>
  <c r="AM938" i="2"/>
  <c r="AM828" i="2"/>
  <c r="AM706" i="2"/>
  <c r="AM700" i="2"/>
  <c r="AM688" i="2"/>
  <c r="AM666" i="2"/>
  <c r="AM617" i="2"/>
  <c r="AM597" i="2"/>
  <c r="AM591" i="2"/>
  <c r="AM556" i="2"/>
  <c r="AM550" i="2"/>
  <c r="AM541" i="2"/>
  <c r="AM753" i="2"/>
  <c r="AM735" i="2"/>
  <c r="AM692" i="2"/>
  <c r="AM594" i="2"/>
  <c r="AM590" i="2"/>
  <c r="AM560" i="2"/>
  <c r="AM552" i="2"/>
  <c r="AM542" i="2"/>
  <c r="AM525" i="2"/>
  <c r="AM494" i="2"/>
  <c r="AM475" i="2"/>
  <c r="AM814" i="2"/>
  <c r="AM762" i="2"/>
  <c r="AM761" i="2"/>
  <c r="AM785" i="2"/>
  <c r="AM775" i="2"/>
  <c r="AM664" i="2"/>
  <c r="AM592" i="2"/>
  <c r="AM538" i="2"/>
  <c r="AM529" i="2"/>
  <c r="AM498" i="2"/>
  <c r="AM485" i="2"/>
  <c r="AM474" i="2"/>
  <c r="AM836" i="2"/>
  <c r="AM766" i="2"/>
  <c r="AM728" i="2"/>
  <c r="AM667" i="2"/>
  <c r="AM633" i="2"/>
  <c r="AM604" i="2"/>
  <c r="AM587" i="2"/>
  <c r="AM543" i="2"/>
  <c r="AM526" i="2"/>
  <c r="AM513" i="2"/>
  <c r="AM478" i="2"/>
  <c r="AM794" i="2"/>
  <c r="AM863" i="2"/>
  <c r="AM755" i="2"/>
  <c r="AM637" i="2"/>
  <c r="AM607" i="2"/>
  <c r="AM582" i="2"/>
  <c r="AM528" i="2"/>
  <c r="AM515" i="2"/>
  <c r="AM711" i="2"/>
  <c r="AM675" i="2"/>
  <c r="AM784" i="2"/>
  <c r="AM687" i="2"/>
  <c r="AM674" i="2"/>
  <c r="AM646" i="2"/>
  <c r="AM631" i="2"/>
  <c r="AM621" i="2"/>
  <c r="AM615" i="2"/>
  <c r="AM598" i="2"/>
  <c r="AM570" i="2"/>
  <c r="AM702" i="2"/>
  <c r="AM658" i="2"/>
  <c r="AM783" i="2"/>
  <c r="AM780" i="2"/>
  <c r="AM719" i="2"/>
  <c r="AM665" i="2"/>
  <c r="AM774" i="2"/>
  <c r="AM644" i="2"/>
  <c r="AM596" i="2"/>
  <c r="AM533" i="2"/>
  <c r="AM495" i="2"/>
  <c r="AM473" i="2"/>
  <c r="AM468" i="2"/>
  <c r="AM446" i="2"/>
  <c r="AM740" i="2"/>
  <c r="AM737" i="2"/>
  <c r="AM724" i="2"/>
  <c r="AM717" i="2"/>
  <c r="AM643" i="2"/>
  <c r="AM595" i="2"/>
  <c r="AM573" i="2"/>
  <c r="AM567" i="2"/>
  <c r="AM536" i="2"/>
  <c r="AM512" i="2"/>
  <c r="AM509" i="2"/>
  <c r="AM491" i="2"/>
  <c r="AM470" i="2"/>
  <c r="AM461" i="2"/>
  <c r="AM715" i="2"/>
  <c r="AM713" i="2"/>
  <c r="AM694" i="2"/>
  <c r="AM656" i="2"/>
  <c r="AM650" i="2"/>
  <c r="AM544" i="2"/>
  <c r="AM519" i="2"/>
  <c r="AM450" i="2"/>
  <c r="AM846" i="2"/>
  <c r="AM742" i="2"/>
  <c r="AM723" i="2"/>
  <c r="AM663" i="2"/>
  <c r="AM612" i="2"/>
  <c r="AM769" i="2"/>
  <c r="AM733" i="2"/>
  <c r="AM681" i="2"/>
  <c r="AM636" i="2"/>
  <c r="AM787" i="2"/>
  <c r="AM786" i="2"/>
  <c r="AM741" i="2"/>
  <c r="AM734" i="2"/>
  <c r="AM671" i="2"/>
  <c r="AM635" i="2"/>
  <c r="AM628" i="2"/>
  <c r="AM767" i="2"/>
  <c r="AM732" i="2"/>
  <c r="AM731" i="2"/>
  <c r="AM676" i="2"/>
  <c r="AM642" i="2"/>
  <c r="AM768" i="2"/>
  <c r="AM743" i="2"/>
  <c r="AM730" i="2"/>
  <c r="AM669" i="2"/>
  <c r="AM668" i="2"/>
  <c r="AM661" i="2"/>
  <c r="AM655" i="2"/>
  <c r="AM599" i="2"/>
  <c r="AM593" i="2"/>
  <c r="AM576" i="2"/>
  <c r="AM522" i="2"/>
  <c r="AM472" i="2"/>
  <c r="AM467" i="2"/>
  <c r="AM445" i="2"/>
  <c r="AM443" i="2"/>
  <c r="AM441" i="2"/>
  <c r="AM439" i="2"/>
  <c r="AM437" i="2"/>
  <c r="AM435" i="2"/>
  <c r="AM433" i="2"/>
  <c r="AM431" i="2"/>
  <c r="AM429" i="2"/>
  <c r="AM427" i="2"/>
  <c r="AM425" i="2"/>
  <c r="AM423" i="2"/>
  <c r="AM421" i="2"/>
  <c r="AM419" i="2"/>
  <c r="AM417" i="2"/>
  <c r="AM415" i="2"/>
  <c r="AM413" i="2"/>
  <c r="AM411" i="2"/>
  <c r="AM409" i="2"/>
  <c r="AM407" i="2"/>
  <c r="AM405" i="2"/>
  <c r="AM403" i="2"/>
  <c r="AM401" i="2"/>
  <c r="AM399" i="2"/>
  <c r="AM397" i="2"/>
  <c r="AM395" i="2"/>
  <c r="AM393" i="2"/>
  <c r="AM391" i="2"/>
  <c r="AM389" i="2"/>
  <c r="AM387" i="2"/>
  <c r="AM385" i="2"/>
  <c r="AM383" i="2"/>
  <c r="AM381" i="2"/>
  <c r="AM379" i="2"/>
  <c r="AM377" i="2"/>
  <c r="AM375" i="2"/>
  <c r="AM373" i="2"/>
  <c r="AM371" i="2"/>
  <c r="AM369" i="2"/>
  <c r="AM367" i="2"/>
  <c r="AM365" i="2"/>
  <c r="AM363" i="2"/>
  <c r="AM361" i="2"/>
  <c r="AM359" i="2"/>
  <c r="AM357" i="2"/>
  <c r="AM355" i="2"/>
  <c r="AM353" i="2"/>
  <c r="AM351" i="2"/>
  <c r="AM349" i="2"/>
  <c r="AM347" i="2"/>
  <c r="AM345" i="2"/>
  <c r="AM343" i="2"/>
  <c r="AM341" i="2"/>
  <c r="AM339" i="2"/>
  <c r="AM337" i="2"/>
  <c r="AM335" i="2"/>
  <c r="AM333" i="2"/>
  <c r="AM331" i="2"/>
  <c r="AM329" i="2"/>
  <c r="AM327" i="2"/>
  <c r="AM325" i="2"/>
  <c r="AM323" i="2"/>
  <c r="AM321" i="2"/>
  <c r="AM319" i="2"/>
  <c r="AM317" i="2"/>
  <c r="AM315" i="2"/>
  <c r="AM313" i="2"/>
  <c r="AM311" i="2"/>
  <c r="AM309" i="2"/>
  <c r="AM307" i="2"/>
  <c r="AM305" i="2"/>
  <c r="AM303" i="2"/>
  <c r="AM301" i="2"/>
  <c r="AM299" i="2"/>
  <c r="AM297" i="2"/>
  <c r="AM295" i="2"/>
  <c r="AM293" i="2"/>
  <c r="AM291" i="2"/>
  <c r="AM289" i="2"/>
  <c r="AM287" i="2"/>
  <c r="AM285" i="2"/>
  <c r="AM283" i="2"/>
  <c r="AM281" i="2"/>
  <c r="AM279" i="2"/>
  <c r="AM277" i="2"/>
  <c r="AM275" i="2"/>
  <c r="AM273" i="2"/>
  <c r="AM271" i="2"/>
  <c r="AM269" i="2"/>
  <c r="AM267" i="2"/>
  <c r="AM265" i="2"/>
  <c r="AM263" i="2"/>
  <c r="AM261" i="2"/>
  <c r="AM259" i="2"/>
  <c r="AM257" i="2"/>
  <c r="AM255" i="2"/>
  <c r="AM253" i="2"/>
  <c r="AM251" i="2"/>
  <c r="AM249" i="2"/>
  <c r="AM566" i="2"/>
  <c r="AM430" i="2"/>
  <c r="AM408" i="2"/>
  <c r="AM386" i="2"/>
  <c r="AM364" i="2"/>
  <c r="AM342" i="2"/>
  <c r="AM320" i="2"/>
  <c r="AM286" i="2"/>
  <c r="AM264" i="2"/>
  <c r="AM620" i="2"/>
  <c r="AM581" i="2"/>
  <c r="AM580" i="2"/>
  <c r="AM530" i="2"/>
  <c r="AM507" i="2"/>
  <c r="AM477" i="2"/>
  <c r="AM438" i="2"/>
  <c r="AM416" i="2"/>
  <c r="AM394" i="2"/>
  <c r="AM372" i="2"/>
  <c r="AM350" i="2"/>
  <c r="AM328" i="2"/>
  <c r="AM306" i="2"/>
  <c r="AM298" i="2"/>
  <c r="AM276" i="2"/>
  <c r="AM726" i="2"/>
  <c r="AM613" i="2"/>
  <c r="AM546" i="2"/>
  <c r="AM502" i="2"/>
  <c r="AM480" i="2"/>
  <c r="AM432" i="2"/>
  <c r="AM410" i="2"/>
  <c r="AM771" i="2"/>
  <c r="AM704" i="2"/>
  <c r="AM697" i="2"/>
  <c r="AM696" i="2"/>
  <c r="AM695" i="2"/>
  <c r="AM680" i="2"/>
  <c r="AM554" i="2"/>
  <c r="AM539" i="2"/>
  <c r="AM532" i="2"/>
  <c r="AM531" i="2"/>
  <c r="AM482" i="2"/>
  <c r="AM600" i="2"/>
  <c r="AM503" i="2"/>
  <c r="AM497" i="2"/>
  <c r="AM424" i="2"/>
  <c r="AM404" i="2"/>
  <c r="AM388" i="2"/>
  <c r="AM366" i="2"/>
  <c r="AM344" i="2"/>
  <c r="AM322" i="2"/>
  <c r="AM300" i="2"/>
  <c r="AM294" i="2"/>
  <c r="AM268" i="2"/>
  <c r="AM240" i="2"/>
  <c r="AM229" i="2"/>
  <c r="AM218" i="2"/>
  <c r="AM216" i="2"/>
  <c r="AM214" i="2"/>
  <c r="AM212" i="2"/>
  <c r="AM210" i="2"/>
  <c r="AM208" i="2"/>
  <c r="AM206" i="2"/>
  <c r="AM204" i="2"/>
  <c r="AM202" i="2"/>
  <c r="AM200" i="2"/>
  <c r="AM198" i="2"/>
  <c r="AM196" i="2"/>
  <c r="AM194" i="2"/>
  <c r="AM192" i="2"/>
  <c r="AM190" i="2"/>
  <c r="AM188" i="2"/>
  <c r="AM186" i="2"/>
  <c r="AM184" i="2"/>
  <c r="AM182" i="2"/>
  <c r="AM180" i="2"/>
  <c r="AM178" i="2"/>
  <c r="AM176" i="2"/>
  <c r="AM174" i="2"/>
  <c r="AM172" i="2"/>
  <c r="AM170" i="2"/>
  <c r="AM168" i="2"/>
  <c r="AM166" i="2"/>
  <c r="AM164" i="2"/>
  <c r="AM162" i="2"/>
  <c r="AM160" i="2"/>
  <c r="AM158" i="2"/>
  <c r="AM156" i="2"/>
  <c r="AM154" i="2"/>
  <c r="AM152" i="2"/>
  <c r="AM150" i="2"/>
  <c r="AM148" i="2"/>
  <c r="AM146" i="2"/>
  <c r="AM144" i="2"/>
  <c r="AM142" i="2"/>
  <c r="AM140" i="2"/>
  <c r="AM138" i="2"/>
  <c r="AM136" i="2"/>
  <c r="AM134" i="2"/>
  <c r="AM132" i="2"/>
  <c r="AM130" i="2"/>
  <c r="AM128" i="2"/>
  <c r="AM126" i="2"/>
  <c r="AM124" i="2"/>
  <c r="AM122" i="2"/>
  <c r="AM120" i="2"/>
  <c r="AM118" i="2"/>
  <c r="AM116" i="2"/>
  <c r="AM114" i="2"/>
  <c r="AM112" i="2"/>
  <c r="AM110" i="2"/>
  <c r="AM108" i="2"/>
  <c r="AM106" i="2"/>
  <c r="AM451" i="2"/>
  <c r="AM885" i="2"/>
  <c r="AM553" i="2"/>
  <c r="AM559" i="2"/>
  <c r="AM630" i="2"/>
  <c r="AM579" i="2"/>
  <c r="AM571" i="2"/>
  <c r="AM514" i="2"/>
  <c r="AM456" i="2"/>
  <c r="AM422" i="2"/>
  <c r="AM282" i="2"/>
  <c r="AM252" i="2"/>
  <c r="AM712" i="2"/>
  <c r="AM629" i="2"/>
  <c r="AM501" i="2"/>
  <c r="AM488" i="2"/>
  <c r="AM434" i="2"/>
  <c r="AM374" i="2"/>
  <c r="AM324" i="2"/>
  <c r="AM639" i="2"/>
  <c r="AM638" i="2"/>
  <c r="AM563" i="2"/>
  <c r="AM562" i="2"/>
  <c r="AM535" i="2"/>
  <c r="AM505" i="2"/>
  <c r="AM499" i="2"/>
  <c r="AM493" i="2"/>
  <c r="AM481" i="2"/>
  <c r="AM486" i="2"/>
  <c r="AM462" i="2"/>
  <c r="AM758" i="2"/>
  <c r="AM506" i="2"/>
  <c r="AM420" i="2"/>
  <c r="AM302" i="2"/>
  <c r="AM290" i="2"/>
  <c r="AM232" i="2"/>
  <c r="AM203" i="2"/>
  <c r="AM181" i="2"/>
  <c r="AM686" i="2"/>
  <c r="AM547" i="2"/>
  <c r="AM511" i="2"/>
  <c r="AM463" i="2"/>
  <c r="AM396" i="2"/>
  <c r="AM318" i="2"/>
  <c r="AM314" i="2"/>
  <c r="AM256" i="2"/>
  <c r="AM226" i="2"/>
  <c r="AM736" i="2"/>
  <c r="AM568" i="2"/>
  <c r="AM520" i="2"/>
  <c r="AM448" i="2"/>
  <c r="AM360" i="2"/>
  <c r="AM1116" i="2"/>
  <c r="AM975" i="2"/>
  <c r="AM634" i="2"/>
  <c r="AM527" i="2"/>
  <c r="AM453" i="2"/>
  <c r="AM326" i="2"/>
  <c r="AM651" i="2"/>
  <c r="AM648" i="2"/>
  <c r="AM641" i="2"/>
  <c r="AM739" i="2"/>
  <c r="AM614" i="2"/>
  <c r="AM588" i="2"/>
  <c r="AM549" i="2"/>
  <c r="AM548" i="2"/>
  <c r="AM449" i="2"/>
  <c r="AM428" i="2"/>
  <c r="AM185" i="2"/>
  <c r="AM169" i="2"/>
  <c r="AM139" i="2"/>
  <c r="AM117" i="2"/>
  <c r="AM627" i="2"/>
  <c r="AM622" i="2"/>
  <c r="AM625" i="2"/>
  <c r="AM804" i="2"/>
  <c r="AM316" i="2"/>
  <c r="AM262" i="2"/>
  <c r="AM246" i="2"/>
  <c r="AM575" i="2"/>
  <c r="AM354" i="2"/>
  <c r="AM338" i="2"/>
  <c r="AM284" i="2"/>
  <c r="AM239" i="2"/>
  <c r="AM219" i="2"/>
  <c r="AM756" i="2"/>
  <c r="AM685" i="2"/>
  <c r="AM683" i="2"/>
  <c r="AM659" i="2"/>
  <c r="AM764" i="2"/>
  <c r="AM657" i="2"/>
  <c r="AM490" i="2"/>
  <c r="AM455" i="2"/>
  <c r="AM611" i="2"/>
  <c r="AM584" i="2"/>
  <c r="AM454" i="2"/>
  <c r="AM447" i="2"/>
  <c r="AM392" i="2"/>
  <c r="AM384" i="2"/>
  <c r="AM228" i="2"/>
  <c r="AM201" i="2"/>
  <c r="AM143" i="2"/>
  <c r="AM137" i="2"/>
  <c r="AM131" i="2"/>
  <c r="AM107" i="2"/>
  <c r="AM98" i="2"/>
  <c r="AM555" i="2"/>
  <c r="AM452" i="2"/>
  <c r="AM398" i="2"/>
  <c r="AM390" i="2"/>
  <c r="AM558" i="2"/>
  <c r="AM521" i="2"/>
  <c r="AM457" i="2"/>
  <c r="AM442" i="2"/>
  <c r="AM426" i="2"/>
  <c r="AM412" i="2"/>
  <c r="AM402" i="2"/>
  <c r="AM436" i="2"/>
  <c r="AM418" i="2"/>
  <c r="AM382" i="2"/>
  <c r="AM260" i="2"/>
  <c r="AM235" i="2"/>
  <c r="AM187" i="2"/>
  <c r="AM141" i="2"/>
  <c r="AM103" i="2"/>
  <c r="AM82" i="2"/>
  <c r="AM71" i="2"/>
  <c r="AM60" i="2"/>
  <c r="AM58" i="2"/>
  <c r="AM709" i="2"/>
  <c r="AM464" i="2"/>
  <c r="AM330" i="2"/>
  <c r="AM220" i="2"/>
  <c r="AM516" i="2"/>
  <c r="AM483" i="2"/>
  <c r="AM469" i="2"/>
  <c r="AM400" i="2"/>
  <c r="AM270" i="2"/>
  <c r="AM243" i="2"/>
  <c r="AM233" i="2"/>
  <c r="AM193" i="2"/>
  <c r="AM159" i="2"/>
  <c r="AM145" i="2"/>
  <c r="AM125" i="2"/>
  <c r="AM458" i="2"/>
  <c r="AM254" i="2"/>
  <c r="AM231" i="2"/>
  <c r="AM227" i="2"/>
  <c r="AM223" i="2"/>
  <c r="AM189" i="2"/>
  <c r="AM508" i="2"/>
  <c r="AM444" i="2"/>
  <c r="AM346" i="2"/>
  <c r="AM211" i="2"/>
  <c r="AM690" i="2"/>
  <c r="AM489" i="2"/>
  <c r="AM215" i="2"/>
  <c r="AM133" i="2"/>
  <c r="AM356" i="2"/>
  <c r="AM205" i="2"/>
  <c r="AM195" i="2"/>
  <c r="AM165" i="2"/>
  <c r="AM151" i="2"/>
  <c r="AM102" i="2"/>
  <c r="AM83" i="2"/>
  <c r="AM147" i="2"/>
  <c r="AM78" i="2"/>
  <c r="AM406" i="2"/>
  <c r="AM358" i="2"/>
  <c r="AM272" i="2"/>
  <c r="AM173" i="2"/>
  <c r="AM155" i="2"/>
  <c r="AM99" i="2"/>
  <c r="AM88" i="2"/>
  <c r="AM70" i="2"/>
  <c r="AM55" i="2"/>
  <c r="AM518" i="2"/>
  <c r="AM471" i="2"/>
  <c r="AM465" i="2"/>
  <c r="AM310" i="2"/>
  <c r="AM280" i="2"/>
  <c r="AM245" i="2"/>
  <c r="AM222" i="2"/>
  <c r="AM183" i="2"/>
  <c r="AM96" i="2"/>
  <c r="AM75" i="2"/>
  <c r="AM540" i="2"/>
  <c r="AM517" i="2"/>
  <c r="AM466" i="2"/>
  <c r="AM460" i="2"/>
  <c r="AM244" i="2"/>
  <c r="AM237" i="2"/>
  <c r="AM121" i="2"/>
  <c r="AM111" i="2"/>
  <c r="AM537" i="2"/>
  <c r="AM459" i="2"/>
  <c r="AM209" i="2"/>
  <c r="AM93" i="2"/>
  <c r="AM62" i="2"/>
  <c r="AM242" i="2"/>
  <c r="AM67" i="2"/>
  <c r="AM504" i="2"/>
  <c r="AM258" i="2"/>
  <c r="AM225" i="2"/>
  <c r="AM149" i="2"/>
  <c r="AM119" i="2"/>
  <c r="AM74" i="2"/>
  <c r="AM92" i="2"/>
  <c r="AM61" i="2"/>
  <c r="AM56" i="2"/>
  <c r="AM336" i="2"/>
  <c r="AM308" i="2"/>
  <c r="AM288" i="2"/>
  <c r="AM197" i="2"/>
  <c r="AM123" i="2"/>
  <c r="AM89" i="2"/>
  <c r="AM84" i="2"/>
  <c r="AM79" i="2"/>
  <c r="AM171" i="2"/>
  <c r="AM100" i="2"/>
  <c r="AM370" i="2"/>
  <c r="AM484" i="2"/>
  <c r="AM368" i="2"/>
  <c r="AM348" i="2"/>
  <c r="AM248" i="2"/>
  <c r="AM247" i="2"/>
  <c r="AM175" i="2"/>
  <c r="AM157" i="2"/>
  <c r="AM97" i="2"/>
  <c r="AM500" i="2"/>
  <c r="AM440" i="2"/>
  <c r="AM380" i="2"/>
  <c r="AM334" i="2"/>
  <c r="AM304" i="2"/>
  <c r="AM296" i="2"/>
  <c r="AM234" i="2"/>
  <c r="AM109" i="2"/>
  <c r="AM718" i="2"/>
  <c r="AM561" i="2"/>
  <c r="AM266" i="2"/>
  <c r="AM163" i="2"/>
  <c r="AM59" i="2"/>
  <c r="AM44" i="2"/>
  <c r="AM33" i="2"/>
  <c r="AM22" i="2"/>
  <c r="AM241" i="2"/>
  <c r="AM2" i="2"/>
  <c r="AM68" i="2"/>
  <c r="AM36" i="2"/>
  <c r="AM574" i="2"/>
  <c r="AM479" i="2"/>
  <c r="AM236" i="2"/>
  <c r="AM217" i="2"/>
  <c r="AM87" i="2"/>
  <c r="AM57" i="2"/>
  <c r="AM51" i="2"/>
  <c r="AM40" i="2"/>
  <c r="AM29" i="2"/>
  <c r="AM18" i="2"/>
  <c r="AM5" i="2"/>
  <c r="AM47" i="2"/>
  <c r="AM25" i="2"/>
  <c r="AM11" i="2"/>
  <c r="AM583" i="2"/>
  <c r="AM476" i="2"/>
  <c r="AM8" i="2"/>
  <c r="AM672" i="2"/>
  <c r="AM510" i="2"/>
  <c r="AM221" i="2"/>
  <c r="AM378" i="2"/>
  <c r="AM129" i="2"/>
  <c r="AM115" i="2"/>
  <c r="AM77" i="2"/>
  <c r="AM14" i="2"/>
  <c r="AM86" i="2"/>
  <c r="AM43" i="2"/>
  <c r="AM32" i="2"/>
  <c r="AM352" i="2"/>
  <c r="AM340" i="2"/>
  <c r="AM224" i="2"/>
  <c r="AM213" i="2"/>
  <c r="AM207" i="2"/>
  <c r="AM153" i="2"/>
  <c r="AM21" i="2"/>
  <c r="AM332" i="2"/>
  <c r="AM179" i="2"/>
  <c r="AM113" i="2"/>
  <c r="AM95" i="2"/>
  <c r="AM85" i="2"/>
  <c r="AM54" i="2"/>
  <c r="AM50" i="2"/>
  <c r="AM39" i="2"/>
  <c r="AM28" i="2"/>
  <c r="AM17" i="2"/>
  <c r="AM4" i="2"/>
  <c r="AM127" i="2"/>
  <c r="AM65" i="2"/>
  <c r="AM46" i="2"/>
  <c r="AM35" i="2"/>
  <c r="AM105" i="2"/>
  <c r="AM496" i="2"/>
  <c r="AM376" i="2"/>
  <c r="AM94" i="2"/>
  <c r="AM76" i="2"/>
  <c r="AM191" i="2"/>
  <c r="AM66" i="2"/>
  <c r="AM24" i="2"/>
  <c r="AM7" i="2"/>
  <c r="AM292" i="2"/>
  <c r="AM10" i="2"/>
  <c r="AM492" i="2"/>
  <c r="AM64" i="2"/>
  <c r="AM53" i="2"/>
  <c r="AM42" i="2"/>
  <c r="AM31" i="2"/>
  <c r="AM20" i="2"/>
  <c r="AM13" i="2"/>
  <c r="AM199" i="2"/>
  <c r="AM177" i="2"/>
  <c r="AM80" i="2"/>
  <c r="AM73" i="2"/>
  <c r="AM90" i="2"/>
  <c r="AM72" i="2"/>
  <c r="AM63" i="2"/>
  <c r="AM34" i="2"/>
  <c r="AM3" i="2"/>
  <c r="AM6" i="2"/>
  <c r="AM41" i="2"/>
  <c r="AM19" i="2"/>
  <c r="AM101" i="2"/>
  <c r="AM551" i="2"/>
  <c r="AM167" i="2"/>
  <c r="AM81" i="2"/>
  <c r="AM49" i="2"/>
  <c r="AM38" i="2"/>
  <c r="AM27" i="2"/>
  <c r="AM16" i="2"/>
  <c r="AM104" i="2"/>
  <c r="AM45" i="2"/>
  <c r="AM23" i="2"/>
  <c r="AM9" i="2"/>
  <c r="AM250" i="2"/>
  <c r="AM230" i="2"/>
  <c r="AM135" i="2"/>
  <c r="AM69" i="2"/>
  <c r="AM12" i="2"/>
  <c r="AM524" i="2"/>
  <c r="AM48" i="2"/>
  <c r="AM37" i="2"/>
  <c r="AM26" i="2"/>
  <c r="AM15" i="2"/>
  <c r="AM238" i="2"/>
  <c r="AM161" i="2"/>
  <c r="AM312" i="2"/>
  <c r="AM278" i="2"/>
  <c r="AM487" i="2"/>
  <c r="AM91" i="2"/>
  <c r="AM362" i="2"/>
  <c r="AM274" i="2"/>
  <c r="AM52" i="2"/>
  <c r="AM30" i="2"/>
  <c r="AM523" i="2"/>
  <c r="AM414" i="2"/>
  <c r="C37" i="5"/>
  <c r="G51" i="5"/>
  <c r="C4" i="10"/>
  <c r="C16" i="4"/>
  <c r="C20" i="4"/>
  <c r="O121" i="9" l="1"/>
  <c r="P121" i="9" s="1"/>
  <c r="O187" i="9"/>
  <c r="P187" i="9" s="1"/>
  <c r="O237" i="9"/>
  <c r="P237" i="9" s="1"/>
  <c r="O182" i="9"/>
  <c r="P182" i="9" s="1"/>
  <c r="O303" i="9"/>
  <c r="P303" i="9" s="1"/>
  <c r="O244" i="9"/>
  <c r="P244" i="9" s="1"/>
  <c r="O32" i="9"/>
  <c r="P32" i="9" s="1"/>
  <c r="O69" i="9"/>
  <c r="O134" i="9"/>
  <c r="P134" i="9" s="1"/>
  <c r="O243" i="9"/>
  <c r="P243" i="9" s="1"/>
  <c r="O221" i="9"/>
  <c r="P221" i="9" s="1"/>
  <c r="O276" i="9"/>
  <c r="P276" i="9" s="1"/>
  <c r="O271" i="9"/>
  <c r="P271" i="9" s="1"/>
  <c r="O154" i="9"/>
  <c r="P154" i="9" s="1"/>
  <c r="O294" i="9"/>
  <c r="P294" i="9" s="1"/>
  <c r="O200" i="9"/>
  <c r="P200" i="9" s="1"/>
  <c r="O21" i="9"/>
  <c r="P21" i="9" s="1"/>
  <c r="O43" i="9"/>
  <c r="P43" i="9" s="1"/>
  <c r="O300" i="9"/>
  <c r="P300" i="9" s="1"/>
  <c r="O298" i="9"/>
  <c r="P298" i="9" s="1"/>
  <c r="O235" i="9"/>
  <c r="P235" i="9" s="1"/>
  <c r="O228" i="9"/>
  <c r="P228" i="9" s="1"/>
  <c r="O151" i="9"/>
  <c r="P151" i="9" s="1"/>
  <c r="O33" i="9"/>
  <c r="P33" i="9" s="1"/>
  <c r="O289" i="9"/>
  <c r="P289" i="9" s="1"/>
  <c r="O278" i="9"/>
  <c r="P278" i="9" s="1"/>
  <c r="O295" i="9"/>
  <c r="P295" i="9" s="1"/>
  <c r="O26" i="9"/>
  <c r="P26" i="9" s="1"/>
  <c r="O265" i="9"/>
  <c r="P265" i="9" s="1"/>
  <c r="O307" i="9"/>
  <c r="P307" i="9" s="1"/>
  <c r="O272" i="9"/>
  <c r="P272" i="9" s="1"/>
  <c r="O227" i="9"/>
  <c r="P227" i="9" s="1"/>
  <c r="O201" i="9"/>
  <c r="P201" i="9" s="1"/>
  <c r="O169" i="9"/>
  <c r="O56" i="9"/>
  <c r="P56" i="9" s="1"/>
  <c r="O85" i="9"/>
  <c r="P85" i="9" s="1"/>
  <c r="O253" i="9"/>
  <c r="P253" i="9" s="1"/>
  <c r="O270" i="9"/>
  <c r="P270" i="9" s="1"/>
  <c r="O264" i="9"/>
  <c r="P264" i="9" s="1"/>
  <c r="O299" i="9"/>
  <c r="P299" i="9" s="1"/>
  <c r="O113" i="9"/>
  <c r="P113" i="9" s="1"/>
  <c r="O318" i="9"/>
  <c r="P318" i="9" s="1"/>
  <c r="O136" i="9"/>
  <c r="P136" i="9" s="1"/>
  <c r="O282" i="9"/>
  <c r="P282" i="9" s="1"/>
  <c r="O40" i="9"/>
  <c r="P40" i="9" s="1"/>
  <c r="O284" i="9"/>
  <c r="P284" i="9" s="1"/>
  <c r="O296" i="9"/>
  <c r="P296" i="9" s="1"/>
  <c r="O302" i="9"/>
  <c r="P302" i="9" s="1"/>
  <c r="H43" i="5"/>
  <c r="O280" i="9"/>
  <c r="P280" i="9" s="1"/>
  <c r="O158" i="9"/>
  <c r="P158" i="9" s="1"/>
  <c r="O290" i="9"/>
  <c r="P290" i="9" s="1"/>
  <c r="O41" i="9"/>
  <c r="P41" i="9" s="1"/>
  <c r="O180" i="9"/>
  <c r="P180" i="9" s="1"/>
  <c r="O48" i="9"/>
  <c r="P48" i="9" s="1"/>
  <c r="O206" i="9"/>
  <c r="P206" i="9" s="1"/>
  <c r="O45" i="9"/>
  <c r="P45" i="9" s="1"/>
  <c r="O315" i="9"/>
  <c r="P315" i="9" s="1"/>
  <c r="O36" i="9"/>
  <c r="P36" i="9" s="1"/>
  <c r="O308" i="9"/>
  <c r="P308" i="9" s="1"/>
  <c r="O288" i="9"/>
  <c r="P288" i="9" s="1"/>
  <c r="O27" i="9"/>
  <c r="P27" i="9" s="1"/>
  <c r="O114" i="9"/>
  <c r="P114" i="9" s="1"/>
  <c r="O310" i="9"/>
  <c r="P310" i="9" s="1"/>
  <c r="O250" i="9"/>
  <c r="P250" i="9" s="1"/>
  <c r="O309" i="9"/>
  <c r="P309" i="9" s="1"/>
  <c r="O242" i="9"/>
  <c r="P242" i="9" s="1"/>
  <c r="O205" i="9"/>
  <c r="P205" i="9" s="1"/>
  <c r="O55" i="9"/>
  <c r="P55" i="9" s="1"/>
  <c r="O234" i="9"/>
  <c r="P234" i="9" s="1"/>
  <c r="O224" i="9"/>
  <c r="P224" i="9" s="1"/>
  <c r="O20" i="9"/>
  <c r="P20" i="9" s="1"/>
  <c r="O319" i="9"/>
  <c r="O194" i="9"/>
  <c r="P194" i="9" s="1"/>
  <c r="O162" i="9"/>
  <c r="P162" i="9" s="1"/>
  <c r="O143" i="9"/>
  <c r="P143" i="9" s="1"/>
  <c r="O232" i="9"/>
  <c r="P232" i="9" s="1"/>
  <c r="O57" i="9"/>
  <c r="P57" i="9" s="1"/>
  <c r="O168" i="9"/>
  <c r="P168" i="9" s="1"/>
  <c r="O25" i="9"/>
  <c r="P25" i="9" s="1"/>
  <c r="O274" i="9"/>
  <c r="P274" i="9" s="1"/>
  <c r="O163" i="9"/>
  <c r="P163" i="9" s="1"/>
  <c r="O49" i="9"/>
  <c r="P49" i="9" s="1"/>
  <c r="O140" i="9"/>
  <c r="P140" i="9" s="1"/>
  <c r="O112" i="9"/>
  <c r="P112" i="9" s="1"/>
  <c r="O147" i="9"/>
  <c r="P147" i="9" s="1"/>
  <c r="O161" i="9"/>
  <c r="P161" i="9" s="1"/>
  <c r="O47" i="9"/>
  <c r="P47" i="9" s="1"/>
  <c r="O297" i="9"/>
  <c r="P297" i="9" s="1"/>
  <c r="O54" i="9"/>
  <c r="P54" i="9" s="1"/>
  <c r="O173" i="9"/>
  <c r="P173" i="9" s="1"/>
  <c r="O285" i="9"/>
  <c r="P285" i="9" s="1"/>
  <c r="O75" i="9"/>
  <c r="P75" i="9" s="1"/>
  <c r="O160" i="9"/>
  <c r="P160" i="9" s="1"/>
  <c r="O103" i="9"/>
  <c r="P103" i="9" s="1"/>
  <c r="O189" i="9"/>
  <c r="P189" i="9" s="1"/>
  <c r="O83" i="9"/>
  <c r="P83" i="9" s="1"/>
  <c r="O246" i="9"/>
  <c r="P246" i="9" s="1"/>
  <c r="O149" i="9"/>
  <c r="P149" i="9" s="1"/>
  <c r="O283" i="9"/>
  <c r="P283" i="9" s="1"/>
  <c r="O23" i="9"/>
  <c r="P23" i="9" s="1"/>
  <c r="O90" i="9"/>
  <c r="P90" i="9" s="1"/>
  <c r="O156" i="9"/>
  <c r="P156" i="9" s="1"/>
  <c r="O155" i="9"/>
  <c r="P155" i="9" s="1"/>
  <c r="O191" i="9"/>
  <c r="P191" i="9" s="1"/>
  <c r="O145" i="9"/>
  <c r="P145" i="9" s="1"/>
  <c r="O76" i="9"/>
  <c r="P76" i="9" s="1"/>
  <c r="O94" i="9"/>
  <c r="P94" i="9" s="1"/>
  <c r="F62" i="5"/>
  <c r="G62" i="5" s="1"/>
  <c r="O28" i="9"/>
  <c r="P28" i="9" s="1"/>
  <c r="O107" i="9"/>
  <c r="P107" i="9" s="1"/>
  <c r="O179" i="9"/>
  <c r="P179" i="9" s="1"/>
  <c r="O119" i="9"/>
  <c r="O287" i="9"/>
  <c r="P287" i="9" s="1"/>
  <c r="O314" i="9"/>
  <c r="P314" i="9" s="1"/>
  <c r="H8" i="9"/>
  <c r="P69" i="9"/>
  <c r="AO230" i="2"/>
  <c r="AN230" i="2"/>
  <c r="AN73" i="2"/>
  <c r="AO73" i="2"/>
  <c r="AO35" i="2"/>
  <c r="AN35" i="2"/>
  <c r="AN32" i="2"/>
  <c r="AO32" i="2"/>
  <c r="AN57" i="2"/>
  <c r="AO57" i="2"/>
  <c r="AO334" i="2"/>
  <c r="AN334" i="2"/>
  <c r="AO336" i="2"/>
  <c r="AN336" i="2"/>
  <c r="AO466" i="2"/>
  <c r="AN466" i="2"/>
  <c r="AN78" i="2"/>
  <c r="AO78" i="2"/>
  <c r="AN458" i="2"/>
  <c r="AO458" i="2"/>
  <c r="AO187" i="2"/>
  <c r="AN187" i="2"/>
  <c r="AO201" i="2"/>
  <c r="AN201" i="2"/>
  <c r="AN246" i="2"/>
  <c r="AO246" i="2"/>
  <c r="AN453" i="2"/>
  <c r="AO453" i="2"/>
  <c r="AO290" i="2"/>
  <c r="AN290" i="2"/>
  <c r="AN712" i="2"/>
  <c r="AO712" i="2"/>
  <c r="AN124" i="2"/>
  <c r="AO124" i="2"/>
  <c r="AN168" i="2"/>
  <c r="AO168" i="2"/>
  <c r="AN212" i="2"/>
  <c r="AO212" i="2"/>
  <c r="AO554" i="2"/>
  <c r="AN554" i="2"/>
  <c r="AO438" i="2"/>
  <c r="AN438" i="2"/>
  <c r="AO261" i="2"/>
  <c r="AN261" i="2"/>
  <c r="AO305" i="2"/>
  <c r="AN305" i="2"/>
  <c r="AN349" i="2"/>
  <c r="AO349" i="2"/>
  <c r="AN393" i="2"/>
  <c r="AO393" i="2"/>
  <c r="AN437" i="2"/>
  <c r="AO437" i="2"/>
  <c r="AN767" i="2"/>
  <c r="AO767" i="2"/>
  <c r="AN694" i="2"/>
  <c r="AO694" i="2"/>
  <c r="AN596" i="2"/>
  <c r="AO596" i="2"/>
  <c r="AN582" i="2"/>
  <c r="AO582" i="2"/>
  <c r="AN592" i="2"/>
  <c r="AO592" i="2"/>
  <c r="AN597" i="2"/>
  <c r="AO597" i="2"/>
  <c r="AN890" i="2"/>
  <c r="AO890" i="2"/>
  <c r="AN632" i="2"/>
  <c r="AO632" i="2"/>
  <c r="AN619" i="2"/>
  <c r="AO619" i="2"/>
  <c r="AN703" i="2"/>
  <c r="AO703" i="2"/>
  <c r="AN722" i="2"/>
  <c r="AO722" i="2"/>
  <c r="AN1158" i="2"/>
  <c r="AO1158" i="2"/>
  <c r="AO864" i="2"/>
  <c r="AN864" i="2"/>
  <c r="AN708" i="2"/>
  <c r="AO708" i="2"/>
  <c r="AO778" i="2"/>
  <c r="AN778" i="2"/>
  <c r="AN988" i="2"/>
  <c r="AO988" i="2"/>
  <c r="AO934" i="2"/>
  <c r="AN934" i="2"/>
  <c r="AN985" i="2"/>
  <c r="AO985" i="2"/>
  <c r="AO799" i="2"/>
  <c r="AN799" i="2"/>
  <c r="AN850" i="2"/>
  <c r="AO850" i="2"/>
  <c r="AN897" i="2"/>
  <c r="AO897" i="2"/>
  <c r="AO1019" i="2"/>
  <c r="AN1019" i="2"/>
  <c r="AN1137" i="2"/>
  <c r="AO1137" i="2"/>
  <c r="AO1099" i="2"/>
  <c r="AN1099" i="2"/>
  <c r="AN1150" i="2"/>
  <c r="AO1150" i="2"/>
  <c r="AN1190" i="2"/>
  <c r="AO1190" i="2"/>
  <c r="AN1030" i="2"/>
  <c r="AO1030" i="2"/>
  <c r="AN1229" i="2"/>
  <c r="AO1229" i="2"/>
  <c r="AN1193" i="2"/>
  <c r="AO1193" i="2"/>
  <c r="AO1220" i="2"/>
  <c r="AN1220" i="2"/>
  <c r="AN1167" i="2"/>
  <c r="AO1167" i="2"/>
  <c r="AN1265" i="2"/>
  <c r="AO1265" i="2"/>
  <c r="AO250" i="2"/>
  <c r="AN250" i="2"/>
  <c r="AN80" i="2"/>
  <c r="AO80" i="2"/>
  <c r="AN46" i="2"/>
  <c r="AO46" i="2"/>
  <c r="AO43" i="2"/>
  <c r="AN43" i="2"/>
  <c r="AO87" i="2"/>
  <c r="AN87" i="2"/>
  <c r="AO380" i="2"/>
  <c r="AN380" i="2"/>
  <c r="AN56" i="2"/>
  <c r="AO56" i="2"/>
  <c r="AN517" i="2"/>
  <c r="AO517" i="2"/>
  <c r="AO147" i="2"/>
  <c r="AN147" i="2"/>
  <c r="AO125" i="2"/>
  <c r="AN125" i="2"/>
  <c r="AN235" i="2"/>
  <c r="AO235" i="2"/>
  <c r="AO228" i="2"/>
  <c r="AN228" i="2"/>
  <c r="AO262" i="2"/>
  <c r="AN262" i="2"/>
  <c r="AO527" i="2"/>
  <c r="AN527" i="2"/>
  <c r="AN302" i="2"/>
  <c r="AO302" i="2"/>
  <c r="AO252" i="2"/>
  <c r="AN252" i="2"/>
  <c r="AN126" i="2"/>
  <c r="AO126" i="2"/>
  <c r="AN170" i="2"/>
  <c r="AO170" i="2"/>
  <c r="AN214" i="2"/>
  <c r="AO214" i="2"/>
  <c r="AN680" i="2"/>
  <c r="AO680" i="2"/>
  <c r="AN477" i="2"/>
  <c r="AO477" i="2"/>
  <c r="AN263" i="2"/>
  <c r="AO263" i="2"/>
  <c r="AN307" i="2"/>
  <c r="AO307" i="2"/>
  <c r="AN351" i="2"/>
  <c r="AO351" i="2"/>
  <c r="AO395" i="2"/>
  <c r="AN395" i="2"/>
  <c r="AN439" i="2"/>
  <c r="AO439" i="2"/>
  <c r="AO628" i="2"/>
  <c r="AN628" i="2"/>
  <c r="AN713" i="2"/>
  <c r="AO713" i="2"/>
  <c r="AN644" i="2"/>
  <c r="AO644" i="2"/>
  <c r="AN607" i="2"/>
  <c r="AO607" i="2"/>
  <c r="AN664" i="2"/>
  <c r="AO664" i="2"/>
  <c r="AN617" i="2"/>
  <c r="AO617" i="2"/>
  <c r="AO920" i="2"/>
  <c r="AN920" i="2"/>
  <c r="AN649" i="2"/>
  <c r="AO649" i="2"/>
  <c r="AN624" i="2"/>
  <c r="AO624" i="2"/>
  <c r="AN749" i="2"/>
  <c r="AO749" i="2"/>
  <c r="AO751" i="2"/>
  <c r="AN751" i="2"/>
  <c r="AN932" i="2"/>
  <c r="AO932" i="2"/>
  <c r="AN887" i="2"/>
  <c r="AO887" i="2"/>
  <c r="AN792" i="2"/>
  <c r="AO792" i="2"/>
  <c r="AO818" i="2"/>
  <c r="AN818" i="2"/>
  <c r="AN1001" i="2"/>
  <c r="AO1001" i="2"/>
  <c r="AN955" i="2"/>
  <c r="AO955" i="2"/>
  <c r="AN1035" i="2"/>
  <c r="AO1035" i="2"/>
  <c r="AN801" i="2"/>
  <c r="AO801" i="2"/>
  <c r="AN857" i="2"/>
  <c r="AO857" i="2"/>
  <c r="AN957" i="2"/>
  <c r="AO957" i="2"/>
  <c r="AN1047" i="2"/>
  <c r="AO1047" i="2"/>
  <c r="AO908" i="2"/>
  <c r="AN908" i="2"/>
  <c r="AN1127" i="2"/>
  <c r="AO1127" i="2"/>
  <c r="AN1183" i="2"/>
  <c r="AO1183" i="2"/>
  <c r="AN1204" i="2"/>
  <c r="AO1204" i="2"/>
  <c r="AN1032" i="2"/>
  <c r="AO1032" i="2"/>
  <c r="AN1111" i="2"/>
  <c r="AO1111" i="2"/>
  <c r="AN1219" i="2"/>
  <c r="AO1219" i="2"/>
  <c r="AN1234" i="2"/>
  <c r="AO1234" i="2"/>
  <c r="AN1178" i="2"/>
  <c r="AO1178" i="2"/>
  <c r="AN1267" i="2"/>
  <c r="AO1267" i="2"/>
  <c r="AO414" i="2"/>
  <c r="AN414" i="2"/>
  <c r="AN9" i="2"/>
  <c r="AO9" i="2"/>
  <c r="AN177" i="2"/>
  <c r="AO177" i="2"/>
  <c r="AO65" i="2"/>
  <c r="AN65" i="2"/>
  <c r="AN86" i="2"/>
  <c r="AO86" i="2"/>
  <c r="AN217" i="2"/>
  <c r="AO217" i="2"/>
  <c r="AO440" i="2"/>
  <c r="AN440" i="2"/>
  <c r="AN61" i="2"/>
  <c r="AO61" i="2"/>
  <c r="AN540" i="2"/>
  <c r="AO540" i="2"/>
  <c r="AN83" i="2"/>
  <c r="AO83" i="2"/>
  <c r="AN145" i="2"/>
  <c r="AO145" i="2"/>
  <c r="AN260" i="2"/>
  <c r="AO260" i="2"/>
  <c r="AO384" i="2"/>
  <c r="AN384" i="2"/>
  <c r="AO316" i="2"/>
  <c r="AN316" i="2"/>
  <c r="AO634" i="2"/>
  <c r="AN634" i="2"/>
  <c r="AN420" i="2"/>
  <c r="AO420" i="2"/>
  <c r="AO282" i="2"/>
  <c r="AN282" i="2"/>
  <c r="AN128" i="2"/>
  <c r="AO128" i="2"/>
  <c r="AN172" i="2"/>
  <c r="AO172" i="2"/>
  <c r="AN216" i="2"/>
  <c r="AO216" i="2"/>
  <c r="AN695" i="2"/>
  <c r="AO695" i="2"/>
  <c r="AN507" i="2"/>
  <c r="AO507" i="2"/>
  <c r="AN265" i="2"/>
  <c r="AO265" i="2"/>
  <c r="AN309" i="2"/>
  <c r="AO309" i="2"/>
  <c r="AN353" i="2"/>
  <c r="AO353" i="2"/>
  <c r="AN397" i="2"/>
  <c r="AO397" i="2"/>
  <c r="AN441" i="2"/>
  <c r="AO441" i="2"/>
  <c r="AN635" i="2"/>
  <c r="AO635" i="2"/>
  <c r="AN715" i="2"/>
  <c r="AO715" i="2"/>
  <c r="AO774" i="2"/>
  <c r="AN774" i="2"/>
  <c r="AN637" i="2"/>
  <c r="AO637" i="2"/>
  <c r="AO775" i="2"/>
  <c r="AN775" i="2"/>
  <c r="AO666" i="2"/>
  <c r="AN666" i="2"/>
  <c r="AN931" i="2"/>
  <c r="AO931" i="2"/>
  <c r="AN673" i="2"/>
  <c r="AO673" i="2"/>
  <c r="AN679" i="2"/>
  <c r="AO679" i="2"/>
  <c r="AN763" i="2"/>
  <c r="AO763" i="2"/>
  <c r="AN754" i="2"/>
  <c r="AO754" i="2"/>
  <c r="AN1015" i="2"/>
  <c r="AO1015" i="2"/>
  <c r="AN895" i="2"/>
  <c r="AO895" i="2"/>
  <c r="AN795" i="2"/>
  <c r="AO795" i="2"/>
  <c r="AN859" i="2"/>
  <c r="AO859" i="2"/>
  <c r="AN1059" i="2"/>
  <c r="AO1059" i="2"/>
  <c r="AN974" i="2"/>
  <c r="AO974" i="2"/>
  <c r="AN1062" i="2"/>
  <c r="AO1062" i="2"/>
  <c r="AN803" i="2"/>
  <c r="AO803" i="2"/>
  <c r="AO901" i="2"/>
  <c r="AN901" i="2"/>
  <c r="AN989" i="2"/>
  <c r="AO989" i="2"/>
  <c r="AN1080" i="2"/>
  <c r="AO1080" i="2"/>
  <c r="AO929" i="2"/>
  <c r="AN929" i="2"/>
  <c r="AN1133" i="2"/>
  <c r="AO1133" i="2"/>
  <c r="AN1188" i="2"/>
  <c r="AO1188" i="2"/>
  <c r="AN1231" i="2"/>
  <c r="AO1231" i="2"/>
  <c r="AN1034" i="2"/>
  <c r="AO1034" i="2"/>
  <c r="AN1114" i="2"/>
  <c r="AO1114" i="2"/>
  <c r="AN1145" i="2"/>
  <c r="AO1145" i="2"/>
  <c r="AN1262" i="2"/>
  <c r="AO1262" i="2"/>
  <c r="AN1189" i="2"/>
  <c r="AO1189" i="2"/>
  <c r="AN1269" i="2"/>
  <c r="AO1269" i="2"/>
  <c r="AN523" i="2"/>
  <c r="AO523" i="2"/>
  <c r="AO23" i="2"/>
  <c r="AN23" i="2"/>
  <c r="AN199" i="2"/>
  <c r="AO199" i="2"/>
  <c r="AO127" i="2"/>
  <c r="AN127" i="2"/>
  <c r="AN14" i="2"/>
  <c r="AO14" i="2"/>
  <c r="AN236" i="2"/>
  <c r="AO236" i="2"/>
  <c r="AN500" i="2"/>
  <c r="AO500" i="2"/>
  <c r="AN92" i="2"/>
  <c r="AO92" i="2"/>
  <c r="AN75" i="2"/>
  <c r="AO75" i="2"/>
  <c r="AN102" i="2"/>
  <c r="AO102" i="2"/>
  <c r="AN159" i="2"/>
  <c r="AO159" i="2"/>
  <c r="AN382" i="2"/>
  <c r="AO382" i="2"/>
  <c r="AO392" i="2"/>
  <c r="AN392" i="2"/>
  <c r="AO804" i="2"/>
  <c r="AN804" i="2"/>
  <c r="AN975" i="2"/>
  <c r="AO975" i="2"/>
  <c r="AN506" i="2"/>
  <c r="AO506" i="2"/>
  <c r="AN422" i="2"/>
  <c r="AO422" i="2"/>
  <c r="AN130" i="2"/>
  <c r="AO130" i="2"/>
  <c r="AN174" i="2"/>
  <c r="AO174" i="2"/>
  <c r="AN218" i="2"/>
  <c r="AO218" i="2"/>
  <c r="AO696" i="2"/>
  <c r="AN696" i="2"/>
  <c r="AN530" i="2"/>
  <c r="AO530" i="2"/>
  <c r="AN267" i="2"/>
  <c r="AO267" i="2"/>
  <c r="AN311" i="2"/>
  <c r="AO311" i="2"/>
  <c r="AN355" i="2"/>
  <c r="AO355" i="2"/>
  <c r="AN399" i="2"/>
  <c r="AO399" i="2"/>
  <c r="AN443" i="2"/>
  <c r="AO443" i="2"/>
  <c r="AO671" i="2"/>
  <c r="AN671" i="2"/>
  <c r="AN461" i="2"/>
  <c r="AO461" i="2"/>
  <c r="AN665" i="2"/>
  <c r="AO665" i="2"/>
  <c r="AN755" i="2"/>
  <c r="AO755" i="2"/>
  <c r="AN785" i="2"/>
  <c r="AO785" i="2"/>
  <c r="AN688" i="2"/>
  <c r="AO688" i="2"/>
  <c r="AN788" i="2"/>
  <c r="AO788" i="2"/>
  <c r="AN705" i="2"/>
  <c r="AO705" i="2"/>
  <c r="AN682" i="2"/>
  <c r="AO682" i="2"/>
  <c r="AO852" i="2"/>
  <c r="AN852" i="2"/>
  <c r="AN779" i="2"/>
  <c r="AO779" i="2"/>
  <c r="AO800" i="2"/>
  <c r="AN800" i="2"/>
  <c r="AN1224" i="2"/>
  <c r="AO1224" i="2"/>
  <c r="AO806" i="2"/>
  <c r="AN806" i="2"/>
  <c r="AN870" i="2"/>
  <c r="AO870" i="2"/>
  <c r="AN1139" i="2"/>
  <c r="AO1139" i="2"/>
  <c r="AN978" i="2"/>
  <c r="AO978" i="2"/>
  <c r="AN1199" i="2"/>
  <c r="AO1199" i="2"/>
  <c r="AO805" i="2"/>
  <c r="AN805" i="2"/>
  <c r="AN926" i="2"/>
  <c r="AO926" i="2"/>
  <c r="AN1140" i="2"/>
  <c r="AO1140" i="2"/>
  <c r="AN1094" i="2"/>
  <c r="AO1094" i="2"/>
  <c r="AO952" i="2"/>
  <c r="AN952" i="2"/>
  <c r="AO1252" i="2"/>
  <c r="AN1252" i="2"/>
  <c r="AN1196" i="2"/>
  <c r="AO1196" i="2"/>
  <c r="AN981" i="2"/>
  <c r="AO981" i="2"/>
  <c r="AO1036" i="2"/>
  <c r="AN1036" i="2"/>
  <c r="AN1132" i="2"/>
  <c r="AO1132" i="2"/>
  <c r="AN1148" i="2"/>
  <c r="AO1148" i="2"/>
  <c r="AN1277" i="2"/>
  <c r="AO1277" i="2"/>
  <c r="AO1200" i="2"/>
  <c r="AN1200" i="2"/>
  <c r="AN1271" i="2"/>
  <c r="AO1271" i="2"/>
  <c r="F40" i="6"/>
  <c r="F31" i="6"/>
  <c r="F18" i="6"/>
  <c r="F48" i="6"/>
  <c r="F56" i="6"/>
  <c r="F54" i="6"/>
  <c r="F10" i="6"/>
  <c r="F21" i="6"/>
  <c r="K26" i="6" s="1"/>
  <c r="F9" i="6"/>
  <c r="F42" i="6"/>
  <c r="F33" i="6"/>
  <c r="F36" i="6"/>
  <c r="F47" i="6"/>
  <c r="F25" i="6"/>
  <c r="F13" i="6"/>
  <c r="F38" i="6"/>
  <c r="F17" i="6"/>
  <c r="F16" i="6"/>
  <c r="F15" i="6"/>
  <c r="F55" i="6"/>
  <c r="F49" i="6"/>
  <c r="F34" i="6"/>
  <c r="F30" i="6"/>
  <c r="F32" i="6"/>
  <c r="F14" i="6"/>
  <c r="F37" i="6"/>
  <c r="F26" i="6"/>
  <c r="F20" i="6"/>
  <c r="F53" i="6"/>
  <c r="F41" i="6"/>
  <c r="F57" i="6"/>
  <c r="F51" i="6"/>
  <c r="F45" i="6"/>
  <c r="F44" i="6"/>
  <c r="F35" i="6"/>
  <c r="F29" i="6"/>
  <c r="F52" i="6"/>
  <c r="F43" i="6"/>
  <c r="F12" i="6"/>
  <c r="F58" i="6"/>
  <c r="F46" i="6"/>
  <c r="F24" i="6"/>
  <c r="F11" i="6"/>
  <c r="F19" i="6"/>
  <c r="F22" i="6"/>
  <c r="F50" i="6"/>
  <c r="F39" i="6"/>
  <c r="F27" i="6"/>
  <c r="F28" i="6"/>
  <c r="F23" i="6"/>
  <c r="AN30" i="2"/>
  <c r="AO30" i="2"/>
  <c r="AO45" i="2"/>
  <c r="AN45" i="2"/>
  <c r="AO13" i="2"/>
  <c r="AN13" i="2"/>
  <c r="AN4" i="2"/>
  <c r="AO4" i="2"/>
  <c r="AO77" i="2"/>
  <c r="AN77" i="2"/>
  <c r="AO479" i="2"/>
  <c r="AN479" i="2"/>
  <c r="AN97" i="2"/>
  <c r="AO97" i="2"/>
  <c r="AN74" i="2"/>
  <c r="AO74" i="2"/>
  <c r="AN96" i="2"/>
  <c r="AO96" i="2"/>
  <c r="AN151" i="2"/>
  <c r="AO151" i="2"/>
  <c r="AN193" i="2"/>
  <c r="AO193" i="2"/>
  <c r="AO418" i="2"/>
  <c r="AN418" i="2"/>
  <c r="AN447" i="2"/>
  <c r="AO447" i="2"/>
  <c r="AN625" i="2"/>
  <c r="AO625" i="2"/>
  <c r="AN1116" i="2"/>
  <c r="AO1116" i="2"/>
  <c r="AN758" i="2"/>
  <c r="AO758" i="2"/>
  <c r="AN456" i="2"/>
  <c r="AO456" i="2"/>
  <c r="AN132" i="2"/>
  <c r="AO132" i="2"/>
  <c r="AN176" i="2"/>
  <c r="AO176" i="2"/>
  <c r="AN229" i="2"/>
  <c r="AO229" i="2"/>
  <c r="AO697" i="2"/>
  <c r="AN697" i="2"/>
  <c r="AN580" i="2"/>
  <c r="AO580" i="2"/>
  <c r="AN269" i="2"/>
  <c r="AO269" i="2"/>
  <c r="AN313" i="2"/>
  <c r="AO313" i="2"/>
  <c r="AN357" i="2"/>
  <c r="AO357" i="2"/>
  <c r="AN401" i="2"/>
  <c r="AO401" i="2"/>
  <c r="AN445" i="2"/>
  <c r="AO445" i="2"/>
  <c r="AO734" i="2"/>
  <c r="AN734" i="2"/>
  <c r="AN470" i="2"/>
  <c r="AO470" i="2"/>
  <c r="AN719" i="2"/>
  <c r="AO719" i="2"/>
  <c r="AO863" i="2"/>
  <c r="AN863" i="2"/>
  <c r="AN761" i="2"/>
  <c r="AO761" i="2"/>
  <c r="AN700" i="2"/>
  <c r="AO700" i="2"/>
  <c r="AN880" i="2"/>
  <c r="AO880" i="2"/>
  <c r="AO716" i="2"/>
  <c r="AN716" i="2"/>
  <c r="AN689" i="2"/>
  <c r="AO689" i="2"/>
  <c r="AO727" i="2"/>
  <c r="AN727" i="2"/>
  <c r="AN790" i="2"/>
  <c r="AO790" i="2"/>
  <c r="AN1065" i="2"/>
  <c r="AO1065" i="2"/>
  <c r="AN1112" i="2"/>
  <c r="AO1112" i="2"/>
  <c r="AO904" i="2"/>
  <c r="AN904" i="2"/>
  <c r="AN983" i="2"/>
  <c r="AO983" i="2"/>
  <c r="AN1125" i="2"/>
  <c r="AO1125" i="2"/>
  <c r="AN1101" i="2"/>
  <c r="AO1101" i="2"/>
  <c r="AN1187" i="2"/>
  <c r="AO1187" i="2"/>
  <c r="AN807" i="2"/>
  <c r="AO807" i="2"/>
  <c r="AN950" i="2"/>
  <c r="AO950" i="2"/>
  <c r="AN1142" i="2"/>
  <c r="AO1142" i="2"/>
  <c r="AN1147" i="2"/>
  <c r="AO1147" i="2"/>
  <c r="AN959" i="2"/>
  <c r="AO959" i="2"/>
  <c r="AO1009" i="2"/>
  <c r="AN1009" i="2"/>
  <c r="AN1236" i="2"/>
  <c r="AO1236" i="2"/>
  <c r="AN992" i="2"/>
  <c r="AO992" i="2"/>
  <c r="AN1038" i="2"/>
  <c r="AO1038" i="2"/>
  <c r="AN1138" i="2"/>
  <c r="D49" i="4" s="1"/>
  <c r="E49" i="4" s="1"/>
  <c r="AO1138" i="2"/>
  <c r="F49" i="4" s="1"/>
  <c r="AN1146" i="2"/>
  <c r="AO1146" i="2"/>
  <c r="AO1215" i="2"/>
  <c r="AN1215" i="2"/>
  <c r="AN1211" i="2"/>
  <c r="AO1211" i="2"/>
  <c r="AN52" i="2"/>
  <c r="AO52" i="2"/>
  <c r="AN104" i="2"/>
  <c r="AO104" i="2"/>
  <c r="AN20" i="2"/>
  <c r="AO20" i="2"/>
  <c r="AO17" i="2"/>
  <c r="AN17" i="2"/>
  <c r="AO115" i="2"/>
  <c r="AN115" i="2"/>
  <c r="AN574" i="2"/>
  <c r="AO574" i="2"/>
  <c r="AN157" i="2"/>
  <c r="AO157" i="2"/>
  <c r="AN119" i="2"/>
  <c r="AO119" i="2"/>
  <c r="AN183" i="2"/>
  <c r="AO183" i="2"/>
  <c r="AO165" i="2"/>
  <c r="AN165" i="2"/>
  <c r="AN233" i="2"/>
  <c r="AO233" i="2"/>
  <c r="AO436" i="2"/>
  <c r="AN436" i="2"/>
  <c r="AN454" i="2"/>
  <c r="AO454" i="2"/>
  <c r="AO622" i="2"/>
  <c r="AN622" i="2"/>
  <c r="AO360" i="2"/>
  <c r="AN360" i="2"/>
  <c r="AN462" i="2"/>
  <c r="AO462" i="2"/>
  <c r="AN514" i="2"/>
  <c r="AO514" i="2"/>
  <c r="AN134" i="2"/>
  <c r="AO134" i="2"/>
  <c r="AN178" i="2"/>
  <c r="AO178" i="2"/>
  <c r="AN240" i="2"/>
  <c r="AO240" i="2"/>
  <c r="AN704" i="2"/>
  <c r="AO704" i="2"/>
  <c r="AN581" i="2"/>
  <c r="AO581" i="2"/>
  <c r="AN271" i="2"/>
  <c r="AO271" i="2"/>
  <c r="AN315" i="2"/>
  <c r="AO315" i="2"/>
  <c r="AN359" i="2"/>
  <c r="AO359" i="2"/>
  <c r="AN403" i="2"/>
  <c r="AO403" i="2"/>
  <c r="AN467" i="2"/>
  <c r="AO467" i="2"/>
  <c r="AO741" i="2"/>
  <c r="AN741" i="2"/>
  <c r="AN491" i="2"/>
  <c r="AO491" i="2"/>
  <c r="AN780" i="2"/>
  <c r="AO780" i="2"/>
  <c r="AN794" i="2"/>
  <c r="AO794" i="2"/>
  <c r="AN762" i="2"/>
  <c r="AO762" i="2"/>
  <c r="AO706" i="2"/>
  <c r="AN706" i="2"/>
  <c r="AN770" i="2"/>
  <c r="AO770" i="2"/>
  <c r="AO720" i="2"/>
  <c r="AN720" i="2"/>
  <c r="AN746" i="2"/>
  <c r="AO746" i="2"/>
  <c r="AN744" i="2"/>
  <c r="AO744" i="2"/>
  <c r="AO802" i="2"/>
  <c r="AN802" i="2"/>
  <c r="AO832" i="2"/>
  <c r="AN832" i="2"/>
  <c r="AN1118" i="2"/>
  <c r="AO1118" i="2"/>
  <c r="AO927" i="2"/>
  <c r="AN927" i="2"/>
  <c r="AO1088" i="2"/>
  <c r="AN1088" i="2"/>
  <c r="AO1051" i="2"/>
  <c r="AN1051" i="2"/>
  <c r="AN1166" i="2"/>
  <c r="AO1166" i="2"/>
  <c r="AN1079" i="2"/>
  <c r="AO1079" i="2"/>
  <c r="AO809" i="2"/>
  <c r="AN809" i="2"/>
  <c r="AO956" i="2"/>
  <c r="AN956" i="2"/>
  <c r="AO1239" i="2"/>
  <c r="AN1239" i="2"/>
  <c r="AN1225" i="2"/>
  <c r="AO1225" i="2"/>
  <c r="AN987" i="2"/>
  <c r="AO987" i="2"/>
  <c r="AO1029" i="2"/>
  <c r="AN1029" i="2"/>
  <c r="AO1268" i="2"/>
  <c r="AN1268" i="2"/>
  <c r="AO1110" i="2"/>
  <c r="AN1110" i="2"/>
  <c r="AN1040" i="2"/>
  <c r="AO1040" i="2"/>
  <c r="AN1067" i="2"/>
  <c r="AO1067" i="2"/>
  <c r="AN1270" i="2"/>
  <c r="AO1270" i="2"/>
  <c r="AN1246" i="2"/>
  <c r="AO1246" i="2"/>
  <c r="AN1222" i="2"/>
  <c r="AO1222" i="2"/>
  <c r="AN1272" i="2"/>
  <c r="AO1272" i="2"/>
  <c r="AO274" i="2"/>
  <c r="AN274" i="2"/>
  <c r="AN16" i="2"/>
  <c r="AO16" i="2"/>
  <c r="AO31" i="2"/>
  <c r="AN31" i="2"/>
  <c r="AN28" i="2"/>
  <c r="AO28" i="2"/>
  <c r="AN129" i="2"/>
  <c r="AO129" i="2"/>
  <c r="AN36" i="2"/>
  <c r="AO36" i="2"/>
  <c r="AN175" i="2"/>
  <c r="AO175" i="2"/>
  <c r="AO149" i="2"/>
  <c r="AN149" i="2"/>
  <c r="AO222" i="2"/>
  <c r="AN222" i="2"/>
  <c r="AN195" i="2"/>
  <c r="AO195" i="2"/>
  <c r="AN243" i="2"/>
  <c r="AO243" i="2"/>
  <c r="AO402" i="2"/>
  <c r="AN402" i="2"/>
  <c r="AN584" i="2"/>
  <c r="AO584" i="2"/>
  <c r="AN627" i="2"/>
  <c r="AO627" i="2"/>
  <c r="AN448" i="2"/>
  <c r="AO448" i="2"/>
  <c r="AN486" i="2"/>
  <c r="AO486" i="2"/>
  <c r="AN571" i="2"/>
  <c r="AO571" i="2"/>
  <c r="AN136" i="2"/>
  <c r="AO136" i="2"/>
  <c r="AN180" i="2"/>
  <c r="AO180" i="2"/>
  <c r="AN268" i="2"/>
  <c r="AO268" i="2"/>
  <c r="AN771" i="2"/>
  <c r="AO771" i="2"/>
  <c r="AN620" i="2"/>
  <c r="AO620" i="2"/>
  <c r="AO273" i="2"/>
  <c r="AN273" i="2"/>
  <c r="AN317" i="2"/>
  <c r="AO317" i="2"/>
  <c r="AN361" i="2"/>
  <c r="AO361" i="2"/>
  <c r="AN405" i="2"/>
  <c r="AO405" i="2"/>
  <c r="AN472" i="2"/>
  <c r="AO472" i="2"/>
  <c r="AN786" i="2"/>
  <c r="AO786" i="2"/>
  <c r="AN509" i="2"/>
  <c r="AO509" i="2"/>
  <c r="AN783" i="2"/>
  <c r="AO783" i="2"/>
  <c r="AO478" i="2"/>
  <c r="AN478" i="2"/>
  <c r="AN814" i="2"/>
  <c r="AO814" i="2"/>
  <c r="AO828" i="2"/>
  <c r="AN828" i="2"/>
  <c r="AN534" i="2"/>
  <c r="AO534" i="2"/>
  <c r="AN745" i="2"/>
  <c r="AO745" i="2"/>
  <c r="AN772" i="2"/>
  <c r="AO772" i="2"/>
  <c r="AO840" i="2"/>
  <c r="AN840" i="2"/>
  <c r="AN812" i="2"/>
  <c r="AO812" i="2"/>
  <c r="AN855" i="2"/>
  <c r="AO855" i="2"/>
  <c r="AN896" i="2"/>
  <c r="AO896" i="2"/>
  <c r="AN935" i="2"/>
  <c r="AO935" i="2"/>
  <c r="AN860" i="2"/>
  <c r="AO860" i="2"/>
  <c r="AN1123" i="2"/>
  <c r="AO1123" i="2"/>
  <c r="AN1131" i="2"/>
  <c r="AO1131" i="2"/>
  <c r="AN1136" i="2"/>
  <c r="AO1136" i="2"/>
  <c r="AN811" i="2"/>
  <c r="AO811" i="2"/>
  <c r="AN1135" i="2"/>
  <c r="AO1135" i="2"/>
  <c r="AO1281" i="2"/>
  <c r="AN1281" i="2"/>
  <c r="AN1171" i="2"/>
  <c r="AO1171" i="2"/>
  <c r="AN1005" i="2"/>
  <c r="AO1005" i="2"/>
  <c r="AN1061" i="2"/>
  <c r="AO1061" i="2"/>
  <c r="AN982" i="2"/>
  <c r="AO982" i="2"/>
  <c r="AO1143" i="2"/>
  <c r="AN1143" i="2"/>
  <c r="AO1042" i="2"/>
  <c r="AN1042" i="2"/>
  <c r="AN1092" i="2"/>
  <c r="AO1092" i="2"/>
  <c r="AN1149" i="2"/>
  <c r="AO1149" i="2"/>
  <c r="AN1256" i="2"/>
  <c r="AO1256" i="2"/>
  <c r="AO1233" i="2"/>
  <c r="AN1233" i="2"/>
  <c r="AN1274" i="2"/>
  <c r="AO1274" i="2"/>
  <c r="H46" i="5"/>
  <c r="P119" i="9"/>
  <c r="H9" i="9"/>
  <c r="H38" i="5"/>
  <c r="C67" i="5"/>
  <c r="H45" i="5"/>
  <c r="H10" i="9"/>
  <c r="P169" i="9"/>
  <c r="AN38" i="2"/>
  <c r="AO38" i="2"/>
  <c r="AN50" i="2"/>
  <c r="AO50" i="2"/>
  <c r="AN2" i="2"/>
  <c r="AO2" i="2"/>
  <c r="AO258" i="2"/>
  <c r="AN258" i="2"/>
  <c r="AN400" i="2"/>
  <c r="AO400" i="2"/>
  <c r="AN455" i="2"/>
  <c r="AO455" i="2"/>
  <c r="AO568" i="2"/>
  <c r="AN568" i="2"/>
  <c r="AN630" i="2"/>
  <c r="AO630" i="2"/>
  <c r="AN184" i="2"/>
  <c r="AO184" i="2"/>
  <c r="AN432" i="2"/>
  <c r="AO432" i="2"/>
  <c r="AN277" i="2"/>
  <c r="AO277" i="2"/>
  <c r="AN321" i="2"/>
  <c r="AO321" i="2"/>
  <c r="AN409" i="2"/>
  <c r="AO409" i="2"/>
  <c r="AO576" i="2"/>
  <c r="AN576" i="2"/>
  <c r="AN636" i="2"/>
  <c r="AO636" i="2"/>
  <c r="AN536" i="2"/>
  <c r="AO536" i="2"/>
  <c r="AN702" i="2"/>
  <c r="AO702" i="2"/>
  <c r="AN526" i="2"/>
  <c r="AO526" i="2"/>
  <c r="AN494" i="2"/>
  <c r="AO494" i="2"/>
  <c r="AN569" i="2"/>
  <c r="AO569" i="2"/>
  <c r="AN765" i="2"/>
  <c r="AO765" i="2"/>
  <c r="AN670" i="2"/>
  <c r="AO670" i="2"/>
  <c r="AN990" i="2"/>
  <c r="AO990" i="2"/>
  <c r="AN875" i="2"/>
  <c r="AO875" i="2"/>
  <c r="AN909" i="2"/>
  <c r="AO909" i="2"/>
  <c r="AN949" i="2"/>
  <c r="AO949" i="2"/>
  <c r="AN888" i="2"/>
  <c r="AO888" i="2"/>
  <c r="AO1097" i="2"/>
  <c r="AN1097" i="2"/>
  <c r="AO991" i="2"/>
  <c r="AN991" i="2"/>
  <c r="AN1232" i="2"/>
  <c r="AO1232" i="2"/>
  <c r="AO1081" i="2"/>
  <c r="AN1081" i="2"/>
  <c r="AO815" i="2"/>
  <c r="AN815" i="2"/>
  <c r="AN1205" i="2"/>
  <c r="AO1205" i="2"/>
  <c r="AN882" i="2"/>
  <c r="AO882" i="2"/>
  <c r="AO946" i="2"/>
  <c r="AN946" i="2"/>
  <c r="AN1086" i="2"/>
  <c r="AO1086" i="2"/>
  <c r="AN1122" i="2"/>
  <c r="AO1122" i="2"/>
  <c r="AN1063" i="2"/>
  <c r="D48" i="4" s="1"/>
  <c r="E48" i="4" s="1"/>
  <c r="AO1063" i="2"/>
  <c r="F48" i="4" s="1"/>
  <c r="AN1213" i="2"/>
  <c r="AO1213" i="2"/>
  <c r="AN1046" i="2"/>
  <c r="AO1046" i="2"/>
  <c r="AN1126" i="2"/>
  <c r="AO1126" i="2"/>
  <c r="AN1161" i="2"/>
  <c r="AO1161" i="2"/>
  <c r="AN1154" i="2"/>
  <c r="AO1154" i="2"/>
  <c r="AN1283" i="2"/>
  <c r="AO1283" i="2"/>
  <c r="AN1278" i="2"/>
  <c r="AO1278" i="2"/>
  <c r="H35" i="5"/>
  <c r="AN487" i="2"/>
  <c r="AO487" i="2"/>
  <c r="AO49" i="2"/>
  <c r="AN49" i="2"/>
  <c r="AN64" i="2"/>
  <c r="AO64" i="2"/>
  <c r="AO54" i="2"/>
  <c r="AN54" i="2"/>
  <c r="AN510" i="2"/>
  <c r="AO510" i="2"/>
  <c r="AN241" i="2"/>
  <c r="AO241" i="2"/>
  <c r="AN348" i="2"/>
  <c r="AO348" i="2"/>
  <c r="AN504" i="2"/>
  <c r="AO504" i="2"/>
  <c r="AN310" i="2"/>
  <c r="AO310" i="2"/>
  <c r="AO133" i="2"/>
  <c r="AN133" i="2"/>
  <c r="AN469" i="2"/>
  <c r="AO469" i="2"/>
  <c r="AN442" i="2"/>
  <c r="AO442" i="2"/>
  <c r="AN490" i="2"/>
  <c r="AO490" i="2"/>
  <c r="AO169" i="2"/>
  <c r="AN169" i="2"/>
  <c r="AN736" i="2"/>
  <c r="AO736" i="2"/>
  <c r="AN499" i="2"/>
  <c r="AO499" i="2"/>
  <c r="AN559" i="2"/>
  <c r="AO559" i="2"/>
  <c r="AN142" i="2"/>
  <c r="AO142" i="2"/>
  <c r="AN186" i="2"/>
  <c r="AO186" i="2"/>
  <c r="AN322" i="2"/>
  <c r="AO322" i="2"/>
  <c r="AN480" i="2"/>
  <c r="AO480" i="2"/>
  <c r="AO320" i="2"/>
  <c r="AN320" i="2"/>
  <c r="AN279" i="2"/>
  <c r="AO279" i="2"/>
  <c r="AN323" i="2"/>
  <c r="AO323" i="2"/>
  <c r="AN367" i="2"/>
  <c r="AO367" i="2"/>
  <c r="AN411" i="2"/>
  <c r="AO411" i="2"/>
  <c r="AN593" i="2"/>
  <c r="AO593" i="2"/>
  <c r="AN681" i="2"/>
  <c r="AO681" i="2"/>
  <c r="AO567" i="2"/>
  <c r="AN567" i="2"/>
  <c r="AN570" i="2"/>
  <c r="AO570" i="2"/>
  <c r="AN543" i="2"/>
  <c r="AO543" i="2"/>
  <c r="AN525" i="2"/>
  <c r="AO525" i="2"/>
  <c r="AN965" i="2"/>
  <c r="AO965" i="2"/>
  <c r="AN585" i="2"/>
  <c r="AO585" i="2"/>
  <c r="AN777" i="2"/>
  <c r="AO777" i="2"/>
  <c r="AN738" i="2"/>
  <c r="AO738" i="2"/>
  <c r="AN1095" i="2"/>
  <c r="AO1095" i="2"/>
  <c r="AN1002" i="2"/>
  <c r="AO1002" i="2"/>
  <c r="AN886" i="2"/>
  <c r="AO886" i="2"/>
  <c r="AN977" i="2"/>
  <c r="AO977" i="2"/>
  <c r="AN899" i="2"/>
  <c r="AO899" i="2"/>
  <c r="AN1105" i="2"/>
  <c r="AO1105" i="2"/>
  <c r="AN1004" i="2"/>
  <c r="AO1004" i="2"/>
  <c r="AN917" i="2"/>
  <c r="AO917" i="2"/>
  <c r="AN1155" i="2"/>
  <c r="AO1155" i="2"/>
  <c r="AN817" i="2"/>
  <c r="AO817" i="2"/>
  <c r="AN1285" i="2"/>
  <c r="AO1285" i="2"/>
  <c r="AO889" i="2"/>
  <c r="AN889" i="2"/>
  <c r="AN953" i="2"/>
  <c r="AO953" i="2"/>
  <c r="AN1221" i="2"/>
  <c r="AO1221" i="2"/>
  <c r="AN1169" i="2"/>
  <c r="AO1169" i="2"/>
  <c r="AN1100" i="2"/>
  <c r="AO1100" i="2"/>
  <c r="AO1240" i="2"/>
  <c r="AN1240" i="2"/>
  <c r="AN1048" i="2"/>
  <c r="AO1048" i="2"/>
  <c r="AN1129" i="2"/>
  <c r="AO1129" i="2"/>
  <c r="AO1172" i="2"/>
  <c r="AN1172" i="2"/>
  <c r="AN1207" i="2"/>
  <c r="AO1207" i="2"/>
  <c r="AN1264" i="2"/>
  <c r="AO1264" i="2"/>
  <c r="AN1280" i="2"/>
  <c r="AO1280" i="2"/>
  <c r="AO15" i="2"/>
  <c r="AN15" i="2"/>
  <c r="AO19" i="2"/>
  <c r="AN19" i="2"/>
  <c r="AN24" i="2"/>
  <c r="AO24" i="2"/>
  <c r="AO332" i="2"/>
  <c r="AN332" i="2"/>
  <c r="AN11" i="2"/>
  <c r="AO11" i="2"/>
  <c r="AN163" i="2"/>
  <c r="AO163" i="2"/>
  <c r="AN171" i="2"/>
  <c r="AO171" i="2"/>
  <c r="AN209" i="2"/>
  <c r="AO209" i="2"/>
  <c r="AN70" i="2"/>
  <c r="AO70" i="2"/>
  <c r="AN346" i="2"/>
  <c r="AO346" i="2"/>
  <c r="AN464" i="2"/>
  <c r="AO464" i="2"/>
  <c r="AO398" i="2"/>
  <c r="AN398" i="2"/>
  <c r="AN685" i="2"/>
  <c r="AO685" i="2"/>
  <c r="AN549" i="2"/>
  <c r="AO549" i="2"/>
  <c r="AO396" i="2"/>
  <c r="AN396" i="2"/>
  <c r="AN638" i="2"/>
  <c r="AO638" i="2"/>
  <c r="AN108" i="2"/>
  <c r="AO108" i="2"/>
  <c r="AN152" i="2"/>
  <c r="AO152" i="2"/>
  <c r="AN196" i="2"/>
  <c r="AO196" i="2"/>
  <c r="AO424" i="2"/>
  <c r="AN424" i="2"/>
  <c r="AO276" i="2"/>
  <c r="AN276" i="2"/>
  <c r="AN430" i="2"/>
  <c r="AO430" i="2"/>
  <c r="AN289" i="2"/>
  <c r="AO289" i="2"/>
  <c r="AN333" i="2"/>
  <c r="AO333" i="2"/>
  <c r="AN377" i="2"/>
  <c r="AO377" i="2"/>
  <c r="AN421" i="2"/>
  <c r="AO421" i="2"/>
  <c r="AN669" i="2"/>
  <c r="AO669" i="2"/>
  <c r="AN723" i="2"/>
  <c r="AO723" i="2"/>
  <c r="AN724" i="2"/>
  <c r="AO724" i="2"/>
  <c r="AN646" i="2"/>
  <c r="AO646" i="2"/>
  <c r="AO728" i="2"/>
  <c r="AN728" i="2"/>
  <c r="AN594" i="2"/>
  <c r="AO594" i="2"/>
  <c r="AN948" i="2"/>
  <c r="AO948" i="2"/>
  <c r="AN759" i="2"/>
  <c r="AO759" i="2"/>
  <c r="AN725" i="2"/>
  <c r="AO725" i="2"/>
  <c r="AN1096" i="2"/>
  <c r="AO1096" i="2"/>
  <c r="AN866" i="2"/>
  <c r="AO866" i="2"/>
  <c r="AN645" i="2"/>
  <c r="AO645" i="2"/>
  <c r="AN572" i="2"/>
  <c r="AO572" i="2"/>
  <c r="AN930" i="2"/>
  <c r="AO930" i="2"/>
  <c r="AN789" i="2"/>
  <c r="AO789" i="2"/>
  <c r="AN847" i="2"/>
  <c r="AO847" i="2"/>
  <c r="AO851" i="2"/>
  <c r="AN851" i="2"/>
  <c r="AN1031" i="2"/>
  <c r="AO1031" i="2"/>
  <c r="AO798" i="2"/>
  <c r="AN798" i="2"/>
  <c r="AN827" i="2"/>
  <c r="AO827" i="2"/>
  <c r="AN933" i="2"/>
  <c r="AO933" i="2"/>
  <c r="AN1087" i="2"/>
  <c r="AO1087" i="2"/>
  <c r="AO905" i="2"/>
  <c r="AN905" i="2"/>
  <c r="AN1104" i="2"/>
  <c r="AO1104" i="2"/>
  <c r="AO986" i="2"/>
  <c r="AN986" i="2"/>
  <c r="AN1011" i="2"/>
  <c r="AO1011" i="2"/>
  <c r="AN1014" i="2"/>
  <c r="AO1014" i="2"/>
  <c r="AN1058" i="2"/>
  <c r="AO1058" i="2"/>
  <c r="AO1108" i="2"/>
  <c r="AN1108" i="2"/>
  <c r="AN1168" i="2"/>
  <c r="AO1168" i="2"/>
  <c r="AN1170" i="2"/>
  <c r="AO1170" i="2"/>
  <c r="AN1249" i="2"/>
  <c r="AO1249" i="2"/>
  <c r="O261" i="9"/>
  <c r="P261" i="9" s="1"/>
  <c r="E13" i="6"/>
  <c r="G13" i="6" s="1"/>
  <c r="H13" i="6" s="1"/>
  <c r="E32" i="6"/>
  <c r="G32" i="6" s="1"/>
  <c r="H32" i="6" s="1"/>
  <c r="E58" i="6"/>
  <c r="G58" i="6" s="1"/>
  <c r="E25" i="6"/>
  <c r="G25" i="6" s="1"/>
  <c r="H25" i="6" s="1"/>
  <c r="E11" i="6"/>
  <c r="G11" i="6" s="1"/>
  <c r="H11" i="6" s="1"/>
  <c r="E56" i="6"/>
  <c r="G56" i="6" s="1"/>
  <c r="H56" i="6" s="1"/>
  <c r="E57" i="6"/>
  <c r="E37" i="6"/>
  <c r="E40" i="6"/>
  <c r="E9" i="6"/>
  <c r="E39" i="6"/>
  <c r="G39" i="6" s="1"/>
  <c r="H39" i="6" s="1"/>
  <c r="E26" i="6"/>
  <c r="E31" i="6"/>
  <c r="E14" i="6"/>
  <c r="G14" i="6" s="1"/>
  <c r="H14" i="6" s="1"/>
  <c r="E24" i="6"/>
  <c r="E10" i="6"/>
  <c r="E48" i="6"/>
  <c r="E46" i="6"/>
  <c r="G46" i="6" s="1"/>
  <c r="H46" i="6" s="1"/>
  <c r="E45" i="6"/>
  <c r="E27" i="6"/>
  <c r="G27" i="6" s="1"/>
  <c r="H27" i="6" s="1"/>
  <c r="E55" i="6"/>
  <c r="G55" i="6" s="1"/>
  <c r="H55" i="6" s="1"/>
  <c r="E49" i="6"/>
  <c r="G49" i="6" s="1"/>
  <c r="H49" i="6" s="1"/>
  <c r="E43" i="6"/>
  <c r="G43" i="6" s="1"/>
  <c r="H43" i="6" s="1"/>
  <c r="E54" i="6"/>
  <c r="E36" i="6"/>
  <c r="E50" i="6"/>
  <c r="E42" i="6"/>
  <c r="E12" i="6"/>
  <c r="G12" i="6" s="1"/>
  <c r="H12" i="6" s="1"/>
  <c r="E16" i="6"/>
  <c r="E41" i="6"/>
  <c r="E22" i="6"/>
  <c r="E29" i="6"/>
  <c r="E51" i="6"/>
  <c r="E34" i="6"/>
  <c r="G34" i="6" s="1"/>
  <c r="H34" i="6" s="1"/>
  <c r="E21" i="6"/>
  <c r="E28" i="6"/>
  <c r="G28" i="6" s="1"/>
  <c r="H28" i="6" s="1"/>
  <c r="E19" i="6"/>
  <c r="E35" i="6"/>
  <c r="E33" i="6"/>
  <c r="E17" i="6"/>
  <c r="G17" i="6" s="1"/>
  <c r="H17" i="6" s="1"/>
  <c r="E20" i="6"/>
  <c r="E18" i="6"/>
  <c r="G18" i="6" s="1"/>
  <c r="H18" i="6" s="1"/>
  <c r="E15" i="6"/>
  <c r="G15" i="6" s="1"/>
  <c r="H15" i="6" s="1"/>
  <c r="E53" i="6"/>
  <c r="E52" i="6"/>
  <c r="G52" i="6" s="1"/>
  <c r="H52" i="6" s="1"/>
  <c r="E47" i="6"/>
  <c r="E44" i="6"/>
  <c r="E38" i="6"/>
  <c r="E23" i="6"/>
  <c r="E30" i="6"/>
  <c r="G30" i="6" s="1"/>
  <c r="H30" i="6" s="1"/>
  <c r="O35" i="9"/>
  <c r="P35" i="9" s="1"/>
  <c r="O305" i="9"/>
  <c r="P305" i="9" s="1"/>
  <c r="O188" i="9"/>
  <c r="P188" i="9" s="1"/>
  <c r="O313" i="9"/>
  <c r="P313" i="9" s="1"/>
  <c r="O291" i="9"/>
  <c r="P291" i="9" s="1"/>
  <c r="O202" i="9"/>
  <c r="P202" i="9" s="1"/>
  <c r="O51" i="9"/>
  <c r="P51" i="9" s="1"/>
  <c r="AN312" i="2"/>
  <c r="AO312" i="2"/>
  <c r="AO167" i="2"/>
  <c r="AN167" i="2"/>
  <c r="AN10" i="2"/>
  <c r="AO10" i="2"/>
  <c r="AO95" i="2"/>
  <c r="AN95" i="2"/>
  <c r="AN8" i="2"/>
  <c r="AO8" i="2"/>
  <c r="AO33" i="2"/>
  <c r="AN33" i="2"/>
  <c r="AN484" i="2"/>
  <c r="AO484" i="2"/>
  <c r="AO242" i="2"/>
  <c r="AN242" i="2"/>
  <c r="AN471" i="2"/>
  <c r="AO471" i="2"/>
  <c r="AN489" i="2"/>
  <c r="AO489" i="2"/>
  <c r="AN516" i="2"/>
  <c r="AO516" i="2"/>
  <c r="AN521" i="2"/>
  <c r="AO521" i="2"/>
  <c r="AN764" i="2"/>
  <c r="AO764" i="2"/>
  <c r="AN428" i="2"/>
  <c r="AO428" i="2"/>
  <c r="AO256" i="2"/>
  <c r="AN256" i="2"/>
  <c r="AN535" i="2"/>
  <c r="AO535" i="2"/>
  <c r="AN885" i="2"/>
  <c r="AO885" i="2"/>
  <c r="AN146" i="2"/>
  <c r="AO146" i="2"/>
  <c r="AN190" i="2"/>
  <c r="AO190" i="2"/>
  <c r="AN366" i="2"/>
  <c r="AO366" i="2"/>
  <c r="AN546" i="2"/>
  <c r="AO546" i="2"/>
  <c r="AO364" i="2"/>
  <c r="AN364" i="2"/>
  <c r="AN283" i="2"/>
  <c r="AO283" i="2"/>
  <c r="AN327" i="2"/>
  <c r="AO327" i="2"/>
  <c r="AN371" i="2"/>
  <c r="AO371" i="2"/>
  <c r="AN415" i="2"/>
  <c r="AO415" i="2"/>
  <c r="AO655" i="2"/>
  <c r="AN655" i="2"/>
  <c r="AN769" i="2"/>
  <c r="AO769" i="2"/>
  <c r="AN595" i="2"/>
  <c r="AO595" i="2"/>
  <c r="AN615" i="2"/>
  <c r="AO615" i="2"/>
  <c r="AN604" i="2"/>
  <c r="AO604" i="2"/>
  <c r="AN552" i="2"/>
  <c r="AO552" i="2"/>
  <c r="AO830" i="2"/>
  <c r="AN830" i="2"/>
  <c r="AN677" i="2"/>
  <c r="AO677" i="2"/>
  <c r="AN869" i="2"/>
  <c r="AO869" i="2"/>
  <c r="AN868" i="2"/>
  <c r="AO868" i="2"/>
  <c r="AN937" i="2"/>
  <c r="AO937" i="2"/>
  <c r="AN564" i="2"/>
  <c r="AO564" i="2"/>
  <c r="AN967" i="2"/>
  <c r="AO967" i="2"/>
  <c r="AO707" i="2"/>
  <c r="AN707" i="2"/>
  <c r="AO1153" i="2"/>
  <c r="AN1153" i="2"/>
  <c r="AN1070" i="2"/>
  <c r="AO1070" i="2"/>
  <c r="AN1073" i="2"/>
  <c r="AO1073" i="2"/>
  <c r="AO960" i="2"/>
  <c r="AN960" i="2"/>
  <c r="AN1098" i="2"/>
  <c r="AO1098" i="2"/>
  <c r="AN821" i="2"/>
  <c r="AO821" i="2"/>
  <c r="AO883" i="2"/>
  <c r="AN883" i="2"/>
  <c r="AN961" i="2"/>
  <c r="AO961" i="2"/>
  <c r="AN1037" i="2"/>
  <c r="AO1037" i="2"/>
  <c r="AN1160" i="2"/>
  <c r="AO1160" i="2"/>
  <c r="AO1214" i="2"/>
  <c r="AN1214" i="2"/>
  <c r="AN1174" i="2"/>
  <c r="AO1174" i="2"/>
  <c r="AN1008" i="2"/>
  <c r="AO1008" i="2"/>
  <c r="AN1052" i="2"/>
  <c r="AO1052" i="2"/>
  <c r="AO1208" i="2"/>
  <c r="AN1208" i="2"/>
  <c r="AN1195" i="2"/>
  <c r="AO1195" i="2"/>
  <c r="AO1230" i="2"/>
  <c r="AN1230" i="2"/>
  <c r="AN1243" i="2"/>
  <c r="AO1243" i="2"/>
  <c r="AN1284" i="2"/>
  <c r="AO1284" i="2"/>
  <c r="H34" i="5"/>
  <c r="AN238" i="2"/>
  <c r="AO238" i="2"/>
  <c r="AN101" i="2"/>
  <c r="AO101" i="2"/>
  <c r="AO7" i="2"/>
  <c r="AN7" i="2"/>
  <c r="AN179" i="2"/>
  <c r="AO179" i="2"/>
  <c r="AN583" i="2"/>
  <c r="AO583" i="2"/>
  <c r="AN59" i="2"/>
  <c r="AO59" i="2"/>
  <c r="AN100" i="2"/>
  <c r="AO100" i="2"/>
  <c r="AN93" i="2"/>
  <c r="AO93" i="2"/>
  <c r="AN55" i="2"/>
  <c r="AO55" i="2"/>
  <c r="AO211" i="2"/>
  <c r="AN211" i="2"/>
  <c r="AO330" i="2"/>
  <c r="AN330" i="2"/>
  <c r="AO390" i="2"/>
  <c r="AN390" i="2"/>
  <c r="AN683" i="2"/>
  <c r="AO683" i="2"/>
  <c r="AN548" i="2"/>
  <c r="AO548" i="2"/>
  <c r="AO318" i="2"/>
  <c r="AN318" i="2"/>
  <c r="AO563" i="2"/>
  <c r="AN563" i="2"/>
  <c r="AN106" i="2"/>
  <c r="AO106" i="2"/>
  <c r="AN150" i="2"/>
  <c r="AO150" i="2"/>
  <c r="AN194" i="2"/>
  <c r="AO194" i="2"/>
  <c r="AN404" i="2"/>
  <c r="AO404" i="2"/>
  <c r="AN726" i="2"/>
  <c r="AO726" i="2"/>
  <c r="AN408" i="2"/>
  <c r="AO408" i="2"/>
  <c r="AO287" i="2"/>
  <c r="AN287" i="2"/>
  <c r="AN331" i="2"/>
  <c r="AO331" i="2"/>
  <c r="AN375" i="2"/>
  <c r="AO375" i="2"/>
  <c r="AN419" i="2"/>
  <c r="AO419" i="2"/>
  <c r="AN668" i="2"/>
  <c r="AO668" i="2"/>
  <c r="AN663" i="2"/>
  <c r="AO663" i="2"/>
  <c r="AN717" i="2"/>
  <c r="AO717" i="2"/>
  <c r="AN631" i="2"/>
  <c r="AO631" i="2"/>
  <c r="AN667" i="2"/>
  <c r="AO667" i="2"/>
  <c r="AO590" i="2"/>
  <c r="AN590" i="2"/>
  <c r="AO919" i="2"/>
  <c r="AN919" i="2"/>
  <c r="AN710" i="2"/>
  <c r="AO710" i="2"/>
  <c r="AO699" i="2"/>
  <c r="AN699" i="2"/>
  <c r="AO972" i="2"/>
  <c r="AN972" i="2"/>
  <c r="AN999" i="2"/>
  <c r="AO999" i="2"/>
  <c r="AN608" i="2"/>
  <c r="AO608" i="2"/>
  <c r="AN565" i="2"/>
  <c r="AO565" i="2"/>
  <c r="AN760" i="2"/>
  <c r="AO760" i="2"/>
  <c r="AN781" i="2"/>
  <c r="AO781" i="2"/>
  <c r="AN1209" i="2"/>
  <c r="AO1209" i="2"/>
  <c r="AO824" i="2"/>
  <c r="AN824" i="2"/>
  <c r="AN1007" i="2"/>
  <c r="AO1007" i="2"/>
  <c r="AN793" i="2"/>
  <c r="AO793" i="2"/>
  <c r="AN825" i="2"/>
  <c r="AO825" i="2"/>
  <c r="AN913" i="2"/>
  <c r="AO913" i="2"/>
  <c r="AN1013" i="2"/>
  <c r="AO1013" i="2"/>
  <c r="AN1192" i="2"/>
  <c r="AO1192" i="2"/>
  <c r="AN1093" i="2"/>
  <c r="AO1093" i="2"/>
  <c r="AN1279" i="2"/>
  <c r="AO1279" i="2"/>
  <c r="AN1003" i="2"/>
  <c r="AO1003" i="2"/>
  <c r="AN1012" i="2"/>
  <c r="AO1012" i="2"/>
  <c r="AN1056" i="2"/>
  <c r="AO1056" i="2"/>
  <c r="AN1077" i="2"/>
  <c r="AO1077" i="2"/>
  <c r="AN1258" i="2"/>
  <c r="AO1258" i="2"/>
  <c r="AN1165" i="2"/>
  <c r="AO1165" i="2"/>
  <c r="AN1247" i="2"/>
  <c r="AO1247" i="2"/>
  <c r="O78" i="9"/>
  <c r="P78" i="9" s="1"/>
  <c r="C16" i="10"/>
  <c r="C26" i="5"/>
  <c r="AO278" i="2"/>
  <c r="AN278" i="2"/>
  <c r="AO81" i="2"/>
  <c r="AN81" i="2"/>
  <c r="AN492" i="2"/>
  <c r="AO492" i="2"/>
  <c r="AN85" i="2"/>
  <c r="AO85" i="2"/>
  <c r="AN672" i="2"/>
  <c r="AO672" i="2"/>
  <c r="AN22" i="2"/>
  <c r="AO22" i="2"/>
  <c r="AO368" i="2"/>
  <c r="AN368" i="2"/>
  <c r="AO67" i="2"/>
  <c r="AN67" i="2"/>
  <c r="AN465" i="2"/>
  <c r="AO465" i="2"/>
  <c r="AN215" i="2"/>
  <c r="AO215" i="2"/>
  <c r="AN483" i="2"/>
  <c r="AO483" i="2"/>
  <c r="AN457" i="2"/>
  <c r="AO457" i="2"/>
  <c r="AN657" i="2"/>
  <c r="AO657" i="2"/>
  <c r="AO185" i="2"/>
  <c r="AN185" i="2"/>
  <c r="AN226" i="2"/>
  <c r="AO226" i="2"/>
  <c r="AN505" i="2"/>
  <c r="AO505" i="2"/>
  <c r="AN553" i="2"/>
  <c r="AO553" i="2"/>
  <c r="AN144" i="2"/>
  <c r="AO144" i="2"/>
  <c r="AN188" i="2"/>
  <c r="AO188" i="2"/>
  <c r="AN344" i="2"/>
  <c r="AO344" i="2"/>
  <c r="AN502" i="2"/>
  <c r="AO502" i="2"/>
  <c r="AO342" i="2"/>
  <c r="AN342" i="2"/>
  <c r="AN281" i="2"/>
  <c r="AO281" i="2"/>
  <c r="AN325" i="2"/>
  <c r="AO325" i="2"/>
  <c r="AN369" i="2"/>
  <c r="AO369" i="2"/>
  <c r="AN413" i="2"/>
  <c r="AO413" i="2"/>
  <c r="AN599" i="2"/>
  <c r="AO599" i="2"/>
  <c r="AN733" i="2"/>
  <c r="AO733" i="2"/>
  <c r="AN573" i="2"/>
  <c r="AO573" i="2"/>
  <c r="AO598" i="2"/>
  <c r="AN598" i="2"/>
  <c r="AN587" i="2"/>
  <c r="AO587" i="2"/>
  <c r="AO542" i="2"/>
  <c r="AN542" i="2"/>
  <c r="AN939" i="2"/>
  <c r="AO939" i="2"/>
  <c r="AN662" i="2"/>
  <c r="AO662" i="2"/>
  <c r="AO810" i="2"/>
  <c r="AN810" i="2"/>
  <c r="AO826" i="2"/>
  <c r="AN826" i="2"/>
  <c r="AN1254" i="2"/>
  <c r="AO1254" i="2"/>
  <c r="AN557" i="2"/>
  <c r="AO557" i="2"/>
  <c r="AO954" i="2"/>
  <c r="AN954" i="2"/>
  <c r="AN1043" i="2"/>
  <c r="AO1043" i="2"/>
  <c r="AN1084" i="2"/>
  <c r="AO1084" i="2"/>
  <c r="AN1134" i="2"/>
  <c r="AO1134" i="2"/>
  <c r="AN1069" i="2"/>
  <c r="AO1069" i="2"/>
  <c r="AN943" i="2"/>
  <c r="AO943" i="2"/>
  <c r="AO1053" i="2"/>
  <c r="AN1053" i="2"/>
  <c r="AN819" i="2"/>
  <c r="AO819" i="2"/>
  <c r="AO876" i="2"/>
  <c r="AN876" i="2"/>
  <c r="AN915" i="2"/>
  <c r="AO915" i="2"/>
  <c r="AN979" i="2"/>
  <c r="AO979" i="2"/>
  <c r="AN1109" i="2"/>
  <c r="AO1109" i="2"/>
  <c r="AN1177" i="2"/>
  <c r="AO1177" i="2"/>
  <c r="AN1124" i="2"/>
  <c r="AO1124" i="2"/>
  <c r="AN1006" i="2"/>
  <c r="AO1006" i="2"/>
  <c r="AN1050" i="2"/>
  <c r="AO1050" i="2"/>
  <c r="AN1186" i="2"/>
  <c r="AO1186" i="2"/>
  <c r="AN1184" i="2"/>
  <c r="AO1184" i="2"/>
  <c r="AN1244" i="2"/>
  <c r="AO1244" i="2"/>
  <c r="AO1275" i="2"/>
  <c r="F47" i="4" s="1"/>
  <c r="AN1275" i="2"/>
  <c r="D47" i="4" s="1"/>
  <c r="E47" i="4" s="1"/>
  <c r="AO1282" i="2"/>
  <c r="AN1282" i="2"/>
  <c r="H44" i="5"/>
  <c r="C66" i="5"/>
  <c r="E5" i="8" s="1"/>
  <c r="O42" i="9"/>
  <c r="P42" i="9" s="1"/>
  <c r="O293" i="9"/>
  <c r="P293" i="9" s="1"/>
  <c r="O129" i="9"/>
  <c r="P129" i="9" s="1"/>
  <c r="O304" i="9"/>
  <c r="P304" i="9" s="1"/>
  <c r="O108" i="9"/>
  <c r="P108" i="9" s="1"/>
  <c r="O301" i="9"/>
  <c r="P301" i="9" s="1"/>
  <c r="O198" i="9"/>
  <c r="P198" i="9" s="1"/>
  <c r="AN6" i="2"/>
  <c r="AO6" i="2"/>
  <c r="AN153" i="2"/>
  <c r="AO153" i="2"/>
  <c r="AN84" i="2"/>
  <c r="AO84" i="2"/>
  <c r="AN99" i="2"/>
  <c r="AO99" i="2"/>
  <c r="AN555" i="2"/>
  <c r="AO555" i="2"/>
  <c r="AN511" i="2"/>
  <c r="AO511" i="2"/>
  <c r="AN112" i="2"/>
  <c r="AO112" i="2"/>
  <c r="AN200" i="2"/>
  <c r="AO200" i="2"/>
  <c r="AN249" i="2"/>
  <c r="AO249" i="2"/>
  <c r="AN425" i="2"/>
  <c r="AO425" i="2"/>
  <c r="AN853" i="2"/>
  <c r="AO853" i="2"/>
  <c r="AN1202" i="2"/>
  <c r="AO1202" i="2"/>
  <c r="AN3" i="2"/>
  <c r="AO3" i="2"/>
  <c r="AN239" i="2"/>
  <c r="AO239" i="2"/>
  <c r="AN600" i="2"/>
  <c r="AO600" i="2"/>
  <c r="AN339" i="2"/>
  <c r="AO339" i="2"/>
  <c r="AN383" i="2"/>
  <c r="AO383" i="2"/>
  <c r="AN768" i="2"/>
  <c r="AO768" i="2"/>
  <c r="AN450" i="2"/>
  <c r="AO450" i="2"/>
  <c r="AN446" i="2"/>
  <c r="AO446" i="2"/>
  <c r="AO784" i="2"/>
  <c r="AN784" i="2"/>
  <c r="AO474" i="2"/>
  <c r="AN474" i="2"/>
  <c r="AN753" i="2"/>
  <c r="AO753" i="2"/>
  <c r="AO589" i="2"/>
  <c r="AN589" i="2"/>
  <c r="AO856" i="2"/>
  <c r="AN856" i="2"/>
  <c r="AO822" i="2"/>
  <c r="AN822" i="2"/>
  <c r="AN618" i="2"/>
  <c r="AO618" i="2"/>
  <c r="AO993" i="2"/>
  <c r="AN993" i="2"/>
  <c r="AO776" i="2"/>
  <c r="AN776" i="2"/>
  <c r="AN653" i="2"/>
  <c r="AO653" i="2"/>
  <c r="AN878" i="2"/>
  <c r="AO878" i="2"/>
  <c r="AO877" i="2"/>
  <c r="AN877" i="2"/>
  <c r="AN879" i="2"/>
  <c r="AO879" i="2"/>
  <c r="AO966" i="2"/>
  <c r="AN966" i="2"/>
  <c r="AN816" i="2"/>
  <c r="AO816" i="2"/>
  <c r="AN892" i="2"/>
  <c r="AO892" i="2"/>
  <c r="AN833" i="2"/>
  <c r="AO833" i="2"/>
  <c r="AN1091" i="2"/>
  <c r="AO1091" i="2"/>
  <c r="AO898" i="2"/>
  <c r="AN898" i="2"/>
  <c r="AN951" i="2"/>
  <c r="AO951" i="2"/>
  <c r="AN1201" i="2"/>
  <c r="AO1201" i="2"/>
  <c r="AN1075" i="2"/>
  <c r="AO1075" i="2"/>
  <c r="AN1066" i="2"/>
  <c r="AO1066" i="2"/>
  <c r="AN1020" i="2"/>
  <c r="AO1020" i="2"/>
  <c r="AO1141" i="2"/>
  <c r="AN1141" i="2"/>
  <c r="AO1238" i="2"/>
  <c r="AN1238" i="2"/>
  <c r="AN1203" i="2"/>
  <c r="AO1203" i="2"/>
  <c r="AN1210" i="2"/>
  <c r="AO1210" i="2"/>
  <c r="AN1255" i="2"/>
  <c r="AO1255" i="2"/>
  <c r="O257" i="9"/>
  <c r="P257" i="9" s="1"/>
  <c r="O252" i="9"/>
  <c r="P252" i="9" s="1"/>
  <c r="O86" i="9"/>
  <c r="P86" i="9" s="1"/>
  <c r="O77" i="9"/>
  <c r="P77" i="9" s="1"/>
  <c r="O230" i="9"/>
  <c r="P230" i="9" s="1"/>
  <c r="O220" i="9"/>
  <c r="P220" i="9" s="1"/>
  <c r="O225" i="9"/>
  <c r="P225" i="9" s="1"/>
  <c r="O247" i="9"/>
  <c r="P247" i="9" s="1"/>
  <c r="O100" i="9"/>
  <c r="P100" i="9" s="1"/>
  <c r="O82" i="9"/>
  <c r="P82" i="9" s="1"/>
  <c r="O109" i="9"/>
  <c r="P109" i="9" s="1"/>
  <c r="O80" i="9"/>
  <c r="P80" i="9" s="1"/>
  <c r="O106" i="9"/>
  <c r="P106" i="9" s="1"/>
  <c r="O74" i="9"/>
  <c r="P74" i="9" s="1"/>
  <c r="O212" i="9"/>
  <c r="P212" i="9" s="1"/>
  <c r="O258" i="9"/>
  <c r="P258" i="9" s="1"/>
  <c r="O268" i="9"/>
  <c r="P268" i="9" s="1"/>
  <c r="O120" i="9"/>
  <c r="P120" i="9" s="1"/>
  <c r="O102" i="9"/>
  <c r="P102" i="9" s="1"/>
  <c r="O81" i="9"/>
  <c r="P81" i="9" s="1"/>
  <c r="O105" i="9"/>
  <c r="P105" i="9" s="1"/>
  <c r="O99" i="9"/>
  <c r="P99" i="9" s="1"/>
  <c r="O101" i="9"/>
  <c r="P101" i="9" s="1"/>
  <c r="O218" i="9"/>
  <c r="P218" i="9" s="1"/>
  <c r="O142" i="9"/>
  <c r="P142" i="9" s="1"/>
  <c r="O70" i="9"/>
  <c r="P70" i="9" s="1"/>
  <c r="O130" i="9"/>
  <c r="P130" i="9" s="1"/>
  <c r="O266" i="9"/>
  <c r="P266" i="9" s="1"/>
  <c r="O122" i="9"/>
  <c r="P122" i="9" s="1"/>
  <c r="O135" i="9"/>
  <c r="P135" i="9" s="1"/>
  <c r="O183" i="9"/>
  <c r="P183" i="9" s="1"/>
  <c r="O98" i="9"/>
  <c r="P98" i="9" s="1"/>
  <c r="O241" i="9"/>
  <c r="P241" i="9" s="1"/>
  <c r="O111" i="9"/>
  <c r="P111" i="9" s="1"/>
  <c r="O236" i="9"/>
  <c r="P236" i="9" s="1"/>
  <c r="O170" i="9"/>
  <c r="P170" i="9" s="1"/>
  <c r="O137" i="9"/>
  <c r="P137" i="9" s="1"/>
  <c r="O110" i="9"/>
  <c r="P110" i="9" s="1"/>
  <c r="O104" i="9"/>
  <c r="P104" i="9" s="1"/>
  <c r="O211" i="9"/>
  <c r="P211" i="9" s="1"/>
  <c r="O71" i="9"/>
  <c r="P71" i="9" s="1"/>
  <c r="O229" i="9"/>
  <c r="P229" i="9" s="1"/>
  <c r="O126" i="9"/>
  <c r="P126" i="9" s="1"/>
  <c r="O255" i="9"/>
  <c r="P255" i="9" s="1"/>
  <c r="O73" i="9"/>
  <c r="P73" i="9" s="1"/>
  <c r="O215" i="9"/>
  <c r="P215" i="9" s="1"/>
  <c r="O72" i="9"/>
  <c r="P72" i="9" s="1"/>
  <c r="O141" i="9"/>
  <c r="P141" i="9" s="1"/>
  <c r="O124" i="9"/>
  <c r="P124" i="9" s="1"/>
  <c r="O89" i="9"/>
  <c r="P89" i="9" s="1"/>
  <c r="O231" i="9"/>
  <c r="P231" i="9" s="1"/>
  <c r="O174" i="9"/>
  <c r="P174" i="9" s="1"/>
  <c r="O95" i="9"/>
  <c r="P95" i="9" s="1"/>
  <c r="O259" i="9"/>
  <c r="P259" i="9" s="1"/>
  <c r="O245" i="9"/>
  <c r="P245" i="9" s="1"/>
  <c r="O128" i="9"/>
  <c r="P128" i="9" s="1"/>
  <c r="O165" i="9"/>
  <c r="P165" i="9" s="1"/>
  <c r="O184" i="9"/>
  <c r="P184" i="9" s="1"/>
  <c r="O192" i="9"/>
  <c r="P192" i="9" s="1"/>
  <c r="O53" i="9"/>
  <c r="P53" i="9" s="1"/>
  <c r="O50" i="9"/>
  <c r="P50" i="9" s="1"/>
  <c r="O199" i="9"/>
  <c r="P199" i="9" s="1"/>
  <c r="O64" i="9"/>
  <c r="P64" i="9" s="1"/>
  <c r="O46" i="9"/>
  <c r="P46" i="9" s="1"/>
  <c r="O115" i="9"/>
  <c r="P115" i="9" s="1"/>
  <c r="O34" i="9"/>
  <c r="P34" i="9" s="1"/>
  <c r="O116" i="9"/>
  <c r="P116" i="9" s="1"/>
  <c r="O195" i="9"/>
  <c r="P195" i="9" s="1"/>
  <c r="O203" i="9"/>
  <c r="P203" i="9" s="1"/>
  <c r="O177" i="9"/>
  <c r="P177" i="9" s="1"/>
  <c r="O139" i="9"/>
  <c r="P139" i="9" s="1"/>
  <c r="O226" i="9"/>
  <c r="P226" i="9" s="1"/>
  <c r="O65" i="9"/>
  <c r="P65" i="9" s="1"/>
  <c r="O37" i="9"/>
  <c r="P37" i="9" s="1"/>
  <c r="O30" i="9"/>
  <c r="P30" i="9" s="1"/>
  <c r="O133" i="9"/>
  <c r="P133" i="9" s="1"/>
  <c r="O181" i="9"/>
  <c r="P181" i="9" s="1"/>
  <c r="O148" i="9"/>
  <c r="P148" i="9" s="1"/>
  <c r="O269" i="9"/>
  <c r="O186" i="9"/>
  <c r="P186" i="9" s="1"/>
  <c r="O176" i="9"/>
  <c r="P176" i="9" s="1"/>
  <c r="O251" i="9"/>
  <c r="P251" i="9" s="1"/>
  <c r="O263" i="9"/>
  <c r="P263" i="9" s="1"/>
  <c r="O267" i="9"/>
  <c r="P267" i="9" s="1"/>
  <c r="O178" i="9"/>
  <c r="P178" i="9" s="1"/>
  <c r="O29" i="9"/>
  <c r="P29" i="9" s="1"/>
  <c r="O166" i="9"/>
  <c r="P166" i="9" s="1"/>
  <c r="O208" i="9"/>
  <c r="P208" i="9" s="1"/>
  <c r="O209" i="9"/>
  <c r="P209" i="9" s="1"/>
  <c r="O190" i="9"/>
  <c r="P190" i="9" s="1"/>
  <c r="O152" i="9"/>
  <c r="P152" i="9" s="1"/>
  <c r="O217" i="9"/>
  <c r="P217" i="9" s="1"/>
  <c r="O193" i="9"/>
  <c r="P193" i="9" s="1"/>
  <c r="O68" i="9"/>
  <c r="P68" i="9" s="1"/>
  <c r="O164" i="9"/>
  <c r="P164" i="9" s="1"/>
  <c r="O254" i="9"/>
  <c r="P254" i="9" s="1"/>
  <c r="O311" i="9"/>
  <c r="P311" i="9" s="1"/>
  <c r="O223" i="9"/>
  <c r="P223" i="9" s="1"/>
  <c r="O79" i="9"/>
  <c r="P79" i="9" s="1"/>
  <c r="O22" i="9"/>
  <c r="P22" i="9" s="1"/>
  <c r="O207" i="9"/>
  <c r="P207" i="9" s="1"/>
  <c r="O93" i="9"/>
  <c r="P93" i="9" s="1"/>
  <c r="O277" i="9"/>
  <c r="P277" i="9" s="1"/>
  <c r="O67" i="9"/>
  <c r="P67" i="9" s="1"/>
  <c r="O31" i="9"/>
  <c r="P31" i="9" s="1"/>
  <c r="O123" i="9"/>
  <c r="P123" i="9" s="1"/>
  <c r="O273" i="9"/>
  <c r="P273" i="9" s="1"/>
  <c r="O138" i="9"/>
  <c r="P138" i="9" s="1"/>
  <c r="O279" i="9"/>
  <c r="P279" i="9" s="1"/>
  <c r="O240" i="9"/>
  <c r="P240" i="9" s="1"/>
  <c r="O185" i="9"/>
  <c r="P185" i="9" s="1"/>
  <c r="O204" i="9"/>
  <c r="P204" i="9" s="1"/>
  <c r="O248" i="9"/>
  <c r="P248" i="9" s="1"/>
  <c r="O275" i="9"/>
  <c r="P275" i="9" s="1"/>
  <c r="O222" i="9"/>
  <c r="P222" i="9" s="1"/>
  <c r="O52" i="9"/>
  <c r="P52" i="9" s="1"/>
  <c r="O219" i="9"/>
  <c r="O196" i="9"/>
  <c r="P196" i="9" s="1"/>
  <c r="O159" i="9"/>
  <c r="P159" i="9" s="1"/>
  <c r="O66" i="9"/>
  <c r="P66" i="9" s="1"/>
  <c r="O91" i="9"/>
  <c r="P91" i="9" s="1"/>
  <c r="O214" i="9"/>
  <c r="P214" i="9" s="1"/>
  <c r="O256" i="9"/>
  <c r="P256" i="9" s="1"/>
  <c r="O197" i="9"/>
  <c r="P197" i="9" s="1"/>
  <c r="O127" i="9"/>
  <c r="P127" i="9" s="1"/>
  <c r="O210" i="9"/>
  <c r="P210" i="9" s="1"/>
  <c r="O146" i="9"/>
  <c r="P146" i="9" s="1"/>
  <c r="O249" i="9"/>
  <c r="P249" i="9" s="1"/>
  <c r="O97" i="9"/>
  <c r="P97" i="9" s="1"/>
  <c r="O175" i="9"/>
  <c r="P175" i="9" s="1"/>
  <c r="O167" i="9"/>
  <c r="P167" i="9" s="1"/>
  <c r="O63" i="9"/>
  <c r="P63" i="9" s="1"/>
  <c r="O59" i="9"/>
  <c r="P59" i="9" s="1"/>
  <c r="O131" i="9"/>
  <c r="P131" i="9" s="1"/>
  <c r="O153" i="9"/>
  <c r="P153" i="9" s="1"/>
  <c r="O262" i="9"/>
  <c r="P262" i="9" s="1"/>
  <c r="O96" i="9"/>
  <c r="P96" i="9" s="1"/>
  <c r="O233" i="9"/>
  <c r="P233" i="9" s="1"/>
  <c r="O117" i="9"/>
  <c r="P117" i="9" s="1"/>
  <c r="O118" i="9"/>
  <c r="P118" i="9" s="1"/>
  <c r="AN161" i="2"/>
  <c r="AO161" i="2"/>
  <c r="AN551" i="2"/>
  <c r="AO551" i="2"/>
  <c r="AO292" i="2"/>
  <c r="AN292" i="2"/>
  <c r="AN113" i="2"/>
  <c r="AO113" i="2"/>
  <c r="AN476" i="2"/>
  <c r="AO476" i="2"/>
  <c r="AN44" i="2"/>
  <c r="AO44" i="2"/>
  <c r="AN370" i="2"/>
  <c r="AO370" i="2"/>
  <c r="AN62" i="2"/>
  <c r="AO62" i="2"/>
  <c r="AN518" i="2"/>
  <c r="AO518" i="2"/>
  <c r="AO690" i="2"/>
  <c r="AN690" i="2"/>
  <c r="AO220" i="2"/>
  <c r="AN220" i="2"/>
  <c r="AN558" i="2"/>
  <c r="AO558" i="2"/>
  <c r="AO659" i="2"/>
  <c r="AN659" i="2"/>
  <c r="AN449" i="2"/>
  <c r="AO449" i="2"/>
  <c r="AO314" i="2"/>
  <c r="AN314" i="2"/>
  <c r="AN562" i="2"/>
  <c r="AO562" i="2"/>
  <c r="AN451" i="2"/>
  <c r="AO451" i="2"/>
  <c r="AN148" i="2"/>
  <c r="AO148" i="2"/>
  <c r="AN192" i="2"/>
  <c r="AO192" i="2"/>
  <c r="AN388" i="2"/>
  <c r="AO388" i="2"/>
  <c r="AN613" i="2"/>
  <c r="AO613" i="2"/>
  <c r="AO386" i="2"/>
  <c r="AN386" i="2"/>
  <c r="AN285" i="2"/>
  <c r="AO285" i="2"/>
  <c r="AN329" i="2"/>
  <c r="AO329" i="2"/>
  <c r="AO373" i="2"/>
  <c r="AN373" i="2"/>
  <c r="AN417" i="2"/>
  <c r="AO417" i="2"/>
  <c r="AN661" i="2"/>
  <c r="AO661" i="2"/>
  <c r="AN612" i="2"/>
  <c r="AO612" i="2"/>
  <c r="AN643" i="2"/>
  <c r="AO643" i="2"/>
  <c r="AN621" i="2"/>
  <c r="AO621" i="2"/>
  <c r="AN633" i="2"/>
  <c r="AO633" i="2"/>
  <c r="AN560" i="2"/>
  <c r="AO560" i="2"/>
  <c r="AO844" i="2"/>
  <c r="AN844" i="2"/>
  <c r="AN693" i="2"/>
  <c r="AO693" i="2"/>
  <c r="AO1039" i="2"/>
  <c r="AN1039" i="2"/>
  <c r="AN903" i="2"/>
  <c r="AO903" i="2"/>
  <c r="AN970" i="2"/>
  <c r="AO970" i="2"/>
  <c r="AN601" i="2"/>
  <c r="AO601" i="2"/>
  <c r="AO1017" i="2"/>
  <c r="AN1017" i="2"/>
  <c r="AN714" i="2"/>
  <c r="AO714" i="2"/>
  <c r="AN773" i="2"/>
  <c r="AO773" i="2"/>
  <c r="AO1102" i="2"/>
  <c r="AN1102" i="2"/>
  <c r="AN1157" i="2"/>
  <c r="AO1157" i="2"/>
  <c r="AN984" i="2"/>
  <c r="AO984" i="2"/>
  <c r="AO1156" i="2"/>
  <c r="AN1156" i="2"/>
  <c r="AN823" i="2"/>
  <c r="AO823" i="2"/>
  <c r="AN910" i="2"/>
  <c r="AO910" i="2"/>
  <c r="AN969" i="2"/>
  <c r="AO969" i="2"/>
  <c r="AO1090" i="2"/>
  <c r="AN1090" i="2"/>
  <c r="AN1057" i="2"/>
  <c r="AO1057" i="2"/>
  <c r="AN1241" i="2"/>
  <c r="AO1241" i="2"/>
  <c r="AN1223" i="2"/>
  <c r="AO1223" i="2"/>
  <c r="AO1010" i="2"/>
  <c r="AN1010" i="2"/>
  <c r="AO1054" i="2"/>
  <c r="AN1054" i="2"/>
  <c r="AN1235" i="2"/>
  <c r="AO1235" i="2"/>
  <c r="AN1212" i="2"/>
  <c r="AO1212" i="2"/>
  <c r="AN1260" i="2"/>
  <c r="AO1260" i="2"/>
  <c r="AO1245" i="2"/>
  <c r="AN1245" i="2"/>
  <c r="AN1286" i="2"/>
  <c r="AO1286" i="2"/>
  <c r="F63" i="5"/>
  <c r="AN26" i="2"/>
  <c r="AO26" i="2"/>
  <c r="AO41" i="2"/>
  <c r="AN41" i="2"/>
  <c r="AN66" i="2"/>
  <c r="AO66" i="2"/>
  <c r="AO21" i="2"/>
  <c r="AN21" i="2"/>
  <c r="AN25" i="2"/>
  <c r="AO25" i="2"/>
  <c r="AO266" i="2"/>
  <c r="AN266" i="2"/>
  <c r="AN79" i="2"/>
  <c r="AO79" i="2"/>
  <c r="AN459" i="2"/>
  <c r="AO459" i="2"/>
  <c r="AN88" i="2"/>
  <c r="AO88" i="2"/>
  <c r="AO444" i="2"/>
  <c r="AN444" i="2"/>
  <c r="AN709" i="2"/>
  <c r="AO709" i="2"/>
  <c r="AN452" i="2"/>
  <c r="AO452" i="2"/>
  <c r="AO756" i="2"/>
  <c r="AN756" i="2"/>
  <c r="AN588" i="2"/>
  <c r="AO588" i="2"/>
  <c r="AN463" i="2"/>
  <c r="AO463" i="2"/>
  <c r="AN639" i="2"/>
  <c r="AO639" i="2"/>
  <c r="AN110" i="2"/>
  <c r="AO110" i="2"/>
  <c r="AN154" i="2"/>
  <c r="AO154" i="2"/>
  <c r="AN198" i="2"/>
  <c r="AO198" i="2"/>
  <c r="AN497" i="2"/>
  <c r="AO497" i="2"/>
  <c r="AO298" i="2"/>
  <c r="AN298" i="2"/>
  <c r="AO566" i="2"/>
  <c r="AN566" i="2"/>
  <c r="AN291" i="2"/>
  <c r="AO291" i="2"/>
  <c r="AN335" i="2"/>
  <c r="AO335" i="2"/>
  <c r="AN379" i="2"/>
  <c r="AO379" i="2"/>
  <c r="AN423" i="2"/>
  <c r="AO423" i="2"/>
  <c r="AN730" i="2"/>
  <c r="AO730" i="2"/>
  <c r="AN742" i="2"/>
  <c r="AO742" i="2"/>
  <c r="AN737" i="2"/>
  <c r="AO737" i="2"/>
  <c r="AN674" i="2"/>
  <c r="AO674" i="2"/>
  <c r="AN766" i="2"/>
  <c r="AO766" i="2"/>
  <c r="AN692" i="2"/>
  <c r="AO692" i="2"/>
  <c r="AN578" i="2"/>
  <c r="AO578" i="2"/>
  <c r="AN808" i="2"/>
  <c r="AO808" i="2"/>
  <c r="AN782" i="2"/>
  <c r="AO782" i="2"/>
  <c r="AO968" i="2"/>
  <c r="AN968" i="2"/>
  <c r="AN867" i="2"/>
  <c r="AO867" i="2"/>
  <c r="AN652" i="2"/>
  <c r="AO652" i="2"/>
  <c r="AN609" i="2"/>
  <c r="AO609" i="2"/>
  <c r="AO1041" i="2"/>
  <c r="AN1041" i="2"/>
  <c r="AN843" i="2"/>
  <c r="AO843" i="2"/>
  <c r="AN854" i="2"/>
  <c r="AO854" i="2"/>
  <c r="AN873" i="2"/>
  <c r="AO873" i="2"/>
  <c r="AN1128" i="2"/>
  <c r="AO1128" i="2"/>
  <c r="AN820" i="2"/>
  <c r="AO820" i="2"/>
  <c r="AN829" i="2"/>
  <c r="AO829" i="2"/>
  <c r="AN976" i="2"/>
  <c r="AO976" i="2"/>
  <c r="AN1185" i="2"/>
  <c r="AO1185" i="2"/>
  <c r="AN928" i="2"/>
  <c r="AO928" i="2"/>
  <c r="AN1162" i="2"/>
  <c r="AO1162" i="2"/>
  <c r="AN1000" i="2"/>
  <c r="AO1000" i="2"/>
  <c r="AN1033" i="2"/>
  <c r="AO1033" i="2"/>
  <c r="AN1016" i="2"/>
  <c r="AO1016" i="2"/>
  <c r="AN1060" i="2"/>
  <c r="AO1060" i="2"/>
  <c r="AN1121" i="2"/>
  <c r="AO1121" i="2"/>
  <c r="AN1227" i="2"/>
  <c r="AO1227" i="2"/>
  <c r="AN1175" i="2"/>
  <c r="AO1175" i="2"/>
  <c r="AN1251" i="2"/>
  <c r="AO1251" i="2"/>
  <c r="AN37" i="2"/>
  <c r="AO37" i="2"/>
  <c r="AO191" i="2"/>
  <c r="AN191" i="2"/>
  <c r="AN47" i="2"/>
  <c r="AO47" i="2"/>
  <c r="AN561" i="2"/>
  <c r="AO561" i="2"/>
  <c r="AN537" i="2"/>
  <c r="AO537" i="2"/>
  <c r="AN508" i="2"/>
  <c r="AO508" i="2"/>
  <c r="AO58" i="2"/>
  <c r="AN58" i="2"/>
  <c r="AO219" i="2"/>
  <c r="AN219" i="2"/>
  <c r="AN614" i="2"/>
  <c r="AO614" i="2"/>
  <c r="AO324" i="2"/>
  <c r="AN324" i="2"/>
  <c r="AN156" i="2"/>
  <c r="AO156" i="2"/>
  <c r="AN503" i="2"/>
  <c r="AO503" i="2"/>
  <c r="AO306" i="2"/>
  <c r="AN306" i="2"/>
  <c r="AN293" i="2"/>
  <c r="AO293" i="2"/>
  <c r="AO337" i="2"/>
  <c r="AN337" i="2"/>
  <c r="AN381" i="2"/>
  <c r="AO381" i="2"/>
  <c r="AO743" i="2"/>
  <c r="AN743" i="2"/>
  <c r="AN846" i="2"/>
  <c r="AO846" i="2"/>
  <c r="AO740" i="2"/>
  <c r="AN740" i="2"/>
  <c r="AN687" i="2"/>
  <c r="AO687" i="2"/>
  <c r="AN836" i="2"/>
  <c r="AO836" i="2"/>
  <c r="AN735" i="2"/>
  <c r="AO735" i="2"/>
  <c r="AN586" i="2"/>
  <c r="AO586" i="2"/>
  <c r="AO796" i="2"/>
  <c r="AN796" i="2"/>
  <c r="AN610" i="2"/>
  <c r="AO610" i="2"/>
  <c r="AO914" i="2"/>
  <c r="AN914" i="2"/>
  <c r="AN748" i="2"/>
  <c r="AO748" i="2"/>
  <c r="AN616" i="2"/>
  <c r="AO616" i="2"/>
  <c r="AN1117" i="2"/>
  <c r="AO1117" i="2"/>
  <c r="AN871" i="2"/>
  <c r="AO871" i="2"/>
  <c r="AN862" i="2"/>
  <c r="AO862" i="2"/>
  <c r="AO958" i="2"/>
  <c r="AN958" i="2"/>
  <c r="AN1130" i="2"/>
  <c r="D50" i="4" s="1"/>
  <c r="E50" i="4" s="1"/>
  <c r="AO1130" i="2"/>
  <c r="F50" i="4" s="1"/>
  <c r="AO842" i="2"/>
  <c r="AN842" i="2"/>
  <c r="AN831" i="2"/>
  <c r="AO831" i="2"/>
  <c r="AN980" i="2"/>
  <c r="AO980" i="2"/>
  <c r="AN1198" i="2"/>
  <c r="AO1198" i="2"/>
  <c r="AO944" i="2"/>
  <c r="AN944" i="2"/>
  <c r="AN1163" i="2"/>
  <c r="AO1163" i="2"/>
  <c r="AN1068" i="2"/>
  <c r="AO1068" i="2"/>
  <c r="AO1055" i="2"/>
  <c r="AN1055" i="2"/>
  <c r="AN1018" i="2"/>
  <c r="AO1018" i="2"/>
  <c r="AN1071" i="2"/>
  <c r="AO1071" i="2"/>
  <c r="AN1206" i="2"/>
  <c r="AO1206" i="2"/>
  <c r="AO1250" i="2"/>
  <c r="AN1250" i="2"/>
  <c r="AN1253" i="2"/>
  <c r="AO1253" i="2"/>
  <c r="AN48" i="2"/>
  <c r="AO48" i="2"/>
  <c r="AN76" i="2"/>
  <c r="AO76" i="2"/>
  <c r="AN207" i="2"/>
  <c r="AO207" i="2"/>
  <c r="AO5" i="2"/>
  <c r="AN5" i="2"/>
  <c r="AO718" i="2"/>
  <c r="AN718" i="2"/>
  <c r="AN89" i="2"/>
  <c r="AO89" i="2"/>
  <c r="AO111" i="2"/>
  <c r="AN111" i="2"/>
  <c r="AO155" i="2"/>
  <c r="AN155" i="2"/>
  <c r="AO189" i="2"/>
  <c r="AN189" i="2"/>
  <c r="AN60" i="2"/>
  <c r="AO60" i="2"/>
  <c r="AN98" i="2"/>
  <c r="AO98" i="2"/>
  <c r="AN739" i="2"/>
  <c r="AO739" i="2"/>
  <c r="AN547" i="2"/>
  <c r="AO547" i="2"/>
  <c r="AN374" i="2"/>
  <c r="AO374" i="2"/>
  <c r="AN114" i="2"/>
  <c r="AO114" i="2"/>
  <c r="AN158" i="2"/>
  <c r="AO158" i="2"/>
  <c r="AN202" i="2"/>
  <c r="AO202" i="2"/>
  <c r="AO328" i="2"/>
  <c r="AN328" i="2"/>
  <c r="AO251" i="2"/>
  <c r="AN251" i="2"/>
  <c r="AN295" i="2"/>
  <c r="AO295" i="2"/>
  <c r="AN427" i="2"/>
  <c r="AO427" i="2"/>
  <c r="AN524" i="2"/>
  <c r="AO524" i="2"/>
  <c r="AN34" i="2"/>
  <c r="AO34" i="2"/>
  <c r="AN94" i="2"/>
  <c r="AO94" i="2"/>
  <c r="AO213" i="2"/>
  <c r="AN213" i="2"/>
  <c r="AN18" i="2"/>
  <c r="AO18" i="2"/>
  <c r="AN109" i="2"/>
  <c r="AO109" i="2"/>
  <c r="AN123" i="2"/>
  <c r="AO123" i="2"/>
  <c r="AN121" i="2"/>
  <c r="AO121" i="2"/>
  <c r="AN173" i="2"/>
  <c r="AO173" i="2"/>
  <c r="AN223" i="2"/>
  <c r="AO223" i="2"/>
  <c r="AN71" i="2"/>
  <c r="AO71" i="2"/>
  <c r="AN107" i="2"/>
  <c r="AO107" i="2"/>
  <c r="AN284" i="2"/>
  <c r="AO284" i="2"/>
  <c r="AN641" i="2"/>
  <c r="AO641" i="2"/>
  <c r="AO686" i="2"/>
  <c r="AN686" i="2"/>
  <c r="AO434" i="2"/>
  <c r="AN434" i="2"/>
  <c r="AN116" i="2"/>
  <c r="AO116" i="2"/>
  <c r="AN160" i="2"/>
  <c r="AO160" i="2"/>
  <c r="AN204" i="2"/>
  <c r="AO204" i="2"/>
  <c r="AN482" i="2"/>
  <c r="AO482" i="2"/>
  <c r="AO350" i="2"/>
  <c r="AN350" i="2"/>
  <c r="AN253" i="2"/>
  <c r="AO253" i="2"/>
  <c r="AN297" i="2"/>
  <c r="AO297" i="2"/>
  <c r="AN341" i="2"/>
  <c r="AO341" i="2"/>
  <c r="AN385" i="2"/>
  <c r="AO385" i="2"/>
  <c r="AN429" i="2"/>
  <c r="AO429" i="2"/>
  <c r="AO642" i="2"/>
  <c r="AN642" i="2"/>
  <c r="AN519" i="2"/>
  <c r="AO519" i="2"/>
  <c r="AN468" i="2"/>
  <c r="AO468" i="2"/>
  <c r="AN675" i="2"/>
  <c r="AO675" i="2"/>
  <c r="AO485" i="2"/>
  <c r="AN485" i="2"/>
  <c r="AN541" i="2"/>
  <c r="AO541" i="2"/>
  <c r="AN603" i="2"/>
  <c r="AO603" i="2"/>
  <c r="AN884" i="2"/>
  <c r="AO884" i="2"/>
  <c r="AO834" i="2"/>
  <c r="AN834" i="2"/>
  <c r="AO623" i="2"/>
  <c r="AN623" i="2"/>
  <c r="AO997" i="2"/>
  <c r="AN997" i="2"/>
  <c r="AN848" i="2"/>
  <c r="AO848" i="2"/>
  <c r="AN660" i="2"/>
  <c r="AO660" i="2"/>
  <c r="AN894" i="2"/>
  <c r="AO894" i="2"/>
  <c r="AN923" i="2"/>
  <c r="AO923" i="2"/>
  <c r="AN902" i="2"/>
  <c r="AO902" i="2"/>
  <c r="AO994" i="2"/>
  <c r="AN994" i="2"/>
  <c r="AN838" i="2"/>
  <c r="AO838" i="2"/>
  <c r="AO922" i="2"/>
  <c r="AN922" i="2"/>
  <c r="AN835" i="2"/>
  <c r="AO835" i="2"/>
  <c r="AN1113" i="2"/>
  <c r="AO1113" i="2"/>
  <c r="AN900" i="2"/>
  <c r="AO900" i="2"/>
  <c r="AO996" i="2"/>
  <c r="AN996" i="2"/>
  <c r="AN1228" i="2"/>
  <c r="AO1228" i="2"/>
  <c r="AN1103" i="2"/>
  <c r="AO1103" i="2"/>
  <c r="AN1072" i="2"/>
  <c r="AO1072" i="2"/>
  <c r="AN1022" i="2"/>
  <c r="AO1022" i="2"/>
  <c r="AN1164" i="2"/>
  <c r="AO1164" i="2"/>
  <c r="AN1273" i="2"/>
  <c r="AO1273" i="2"/>
  <c r="AN1173" i="2"/>
  <c r="AO1173" i="2"/>
  <c r="AO1218" i="2"/>
  <c r="AN1218" i="2"/>
  <c r="AO1257" i="2"/>
  <c r="AN1257" i="2"/>
  <c r="J311" i="9"/>
  <c r="K311" i="9" s="1"/>
  <c r="J313" i="9"/>
  <c r="K313" i="9" s="1"/>
  <c r="J302" i="9"/>
  <c r="K302" i="9" s="1"/>
  <c r="J291" i="9"/>
  <c r="K291" i="9" s="1"/>
  <c r="J280" i="9"/>
  <c r="K280" i="9" s="1"/>
  <c r="J269" i="9"/>
  <c r="K269" i="9" s="1"/>
  <c r="J258" i="9"/>
  <c r="K258" i="9" s="1"/>
  <c r="J315" i="9"/>
  <c r="K315" i="9" s="1"/>
  <c r="J304" i="9"/>
  <c r="K304" i="9" s="1"/>
  <c r="J317" i="9"/>
  <c r="K317" i="9" s="1"/>
  <c r="J319" i="9"/>
  <c r="K319" i="9" s="1"/>
  <c r="J308" i="9"/>
  <c r="K308" i="9" s="1"/>
  <c r="J297" i="9"/>
  <c r="K297" i="9" s="1"/>
  <c r="J286" i="9"/>
  <c r="K286" i="9" s="1"/>
  <c r="J275" i="9"/>
  <c r="K275" i="9" s="1"/>
  <c r="J264" i="9"/>
  <c r="K264" i="9" s="1"/>
  <c r="J253" i="9"/>
  <c r="K253" i="9" s="1"/>
  <c r="J242" i="9"/>
  <c r="K242" i="9" s="1"/>
  <c r="J231" i="9"/>
  <c r="K231" i="9" s="1"/>
  <c r="J220" i="9"/>
  <c r="K220" i="9" s="1"/>
  <c r="J209" i="9"/>
  <c r="K209" i="9" s="1"/>
  <c r="J198" i="9"/>
  <c r="K198" i="9" s="1"/>
  <c r="J187" i="9"/>
  <c r="K187" i="9" s="1"/>
  <c r="J176" i="9"/>
  <c r="K176" i="9" s="1"/>
  <c r="J165" i="9"/>
  <c r="K165" i="9" s="1"/>
  <c r="J154" i="9"/>
  <c r="K154" i="9" s="1"/>
  <c r="J143" i="9"/>
  <c r="K143" i="9" s="1"/>
  <c r="J132" i="9"/>
  <c r="K132" i="9" s="1"/>
  <c r="J121" i="9"/>
  <c r="K121" i="9" s="1"/>
  <c r="J110" i="9"/>
  <c r="K110" i="9" s="1"/>
  <c r="J99" i="9"/>
  <c r="K99" i="9" s="1"/>
  <c r="J88" i="9"/>
  <c r="K88" i="9" s="1"/>
  <c r="J310" i="9"/>
  <c r="K310" i="9" s="1"/>
  <c r="J299" i="9"/>
  <c r="K299" i="9" s="1"/>
  <c r="J288" i="9"/>
  <c r="K288" i="9" s="1"/>
  <c r="J277" i="9"/>
  <c r="K277" i="9" s="1"/>
  <c r="J266" i="9"/>
  <c r="K266" i="9" s="1"/>
  <c r="J255" i="9"/>
  <c r="K255" i="9" s="1"/>
  <c r="J244" i="9"/>
  <c r="K244" i="9" s="1"/>
  <c r="J233" i="9"/>
  <c r="K233" i="9" s="1"/>
  <c r="J222" i="9"/>
  <c r="K222" i="9" s="1"/>
  <c r="J211" i="9"/>
  <c r="K211" i="9" s="1"/>
  <c r="J200" i="9"/>
  <c r="K200" i="9" s="1"/>
  <c r="J189" i="9"/>
  <c r="K189" i="9" s="1"/>
  <c r="J178" i="9"/>
  <c r="K178" i="9" s="1"/>
  <c r="J167" i="9"/>
  <c r="K167" i="9" s="1"/>
  <c r="J156" i="9"/>
  <c r="K156" i="9" s="1"/>
  <c r="J145" i="9"/>
  <c r="K145" i="9" s="1"/>
  <c r="J134" i="9"/>
  <c r="K134" i="9" s="1"/>
  <c r="J123" i="9"/>
  <c r="K123" i="9" s="1"/>
  <c r="J112" i="9"/>
  <c r="K112" i="9" s="1"/>
  <c r="J101" i="9"/>
  <c r="K101" i="9" s="1"/>
  <c r="J90" i="9"/>
  <c r="K90" i="9" s="1"/>
  <c r="J312" i="9"/>
  <c r="K312" i="9" s="1"/>
  <c r="J314" i="9"/>
  <c r="K314" i="9" s="1"/>
  <c r="J303" i="9"/>
  <c r="K303" i="9" s="1"/>
  <c r="J292" i="9"/>
  <c r="K292" i="9" s="1"/>
  <c r="J281" i="9"/>
  <c r="K281" i="9" s="1"/>
  <c r="J270" i="9"/>
  <c r="K270" i="9" s="1"/>
  <c r="J259" i="9"/>
  <c r="K259" i="9" s="1"/>
  <c r="J248" i="9"/>
  <c r="K248" i="9" s="1"/>
  <c r="J237" i="9"/>
  <c r="K237" i="9" s="1"/>
  <c r="J226" i="9"/>
  <c r="K226" i="9" s="1"/>
  <c r="J215" i="9"/>
  <c r="K215" i="9" s="1"/>
  <c r="J204" i="9"/>
  <c r="K204" i="9" s="1"/>
  <c r="J193" i="9"/>
  <c r="K193" i="9" s="1"/>
  <c r="J182" i="9"/>
  <c r="K182" i="9" s="1"/>
  <c r="J171" i="9"/>
  <c r="K171" i="9" s="1"/>
  <c r="J160" i="9"/>
  <c r="K160" i="9" s="1"/>
  <c r="J149" i="9"/>
  <c r="K149" i="9" s="1"/>
  <c r="J138" i="9"/>
  <c r="K138" i="9" s="1"/>
  <c r="J127" i="9"/>
  <c r="K127" i="9" s="1"/>
  <c r="J116" i="9"/>
  <c r="K116" i="9" s="1"/>
  <c r="J105" i="9"/>
  <c r="K105" i="9" s="1"/>
  <c r="J94" i="9"/>
  <c r="K94" i="9" s="1"/>
  <c r="J83" i="9"/>
  <c r="K83" i="9" s="1"/>
  <c r="J72" i="9"/>
  <c r="K72" i="9" s="1"/>
  <c r="J316" i="9"/>
  <c r="K316" i="9" s="1"/>
  <c r="J318" i="9"/>
  <c r="K318" i="9" s="1"/>
  <c r="J307" i="9"/>
  <c r="K307" i="9" s="1"/>
  <c r="J296" i="9"/>
  <c r="K296" i="9" s="1"/>
  <c r="J285" i="9"/>
  <c r="K285" i="9" s="1"/>
  <c r="J306" i="9"/>
  <c r="K306" i="9" s="1"/>
  <c r="J300" i="9"/>
  <c r="K300" i="9" s="1"/>
  <c r="J287" i="9"/>
  <c r="K287" i="9" s="1"/>
  <c r="J245" i="9"/>
  <c r="K245" i="9" s="1"/>
  <c r="J210" i="9"/>
  <c r="K210" i="9" s="1"/>
  <c r="J202" i="9"/>
  <c r="K202" i="9" s="1"/>
  <c r="J170" i="9"/>
  <c r="K170" i="9" s="1"/>
  <c r="J136" i="9"/>
  <c r="K136" i="9" s="1"/>
  <c r="J92" i="9"/>
  <c r="K92" i="9" s="1"/>
  <c r="J80" i="9"/>
  <c r="K80" i="9" s="1"/>
  <c r="J268" i="9"/>
  <c r="K268" i="9" s="1"/>
  <c r="J250" i="9"/>
  <c r="K250" i="9" s="1"/>
  <c r="J172" i="9"/>
  <c r="K172" i="9" s="1"/>
  <c r="J151" i="9"/>
  <c r="K151" i="9" s="1"/>
  <c r="J125" i="9"/>
  <c r="K125" i="9" s="1"/>
  <c r="J84" i="9"/>
  <c r="K84" i="9" s="1"/>
  <c r="J77" i="9"/>
  <c r="K77" i="9" s="1"/>
  <c r="J70" i="9"/>
  <c r="K70" i="9" s="1"/>
  <c r="J289" i="9"/>
  <c r="K289" i="9" s="1"/>
  <c r="J174" i="9"/>
  <c r="K174" i="9" s="1"/>
  <c r="J161" i="9"/>
  <c r="K161" i="9" s="1"/>
  <c r="J153" i="9"/>
  <c r="K153" i="9" s="1"/>
  <c r="J140" i="9"/>
  <c r="K140" i="9" s="1"/>
  <c r="J91" i="9"/>
  <c r="K91" i="9" s="1"/>
  <c r="J74" i="9"/>
  <c r="K74" i="9" s="1"/>
  <c r="J298" i="9"/>
  <c r="K298" i="9" s="1"/>
  <c r="J261" i="9"/>
  <c r="K261" i="9" s="1"/>
  <c r="J241" i="9"/>
  <c r="K241" i="9" s="1"/>
  <c r="J217" i="9"/>
  <c r="K217" i="9" s="1"/>
  <c r="J190" i="9"/>
  <c r="K190" i="9" s="1"/>
  <c r="J166" i="9"/>
  <c r="K166" i="9" s="1"/>
  <c r="J56" i="9"/>
  <c r="K56" i="9" s="1"/>
  <c r="J45" i="9"/>
  <c r="K45" i="9" s="1"/>
  <c r="J34" i="9"/>
  <c r="K34" i="9" s="1"/>
  <c r="J23" i="9"/>
  <c r="K23" i="9" s="1"/>
  <c r="J279" i="9"/>
  <c r="K279" i="9" s="1"/>
  <c r="J243" i="9"/>
  <c r="K243" i="9" s="1"/>
  <c r="J238" i="9"/>
  <c r="K238" i="9" s="1"/>
  <c r="J203" i="9"/>
  <c r="K203" i="9" s="1"/>
  <c r="J163" i="9"/>
  <c r="K163" i="9" s="1"/>
  <c r="J155" i="9"/>
  <c r="K155" i="9" s="1"/>
  <c r="J142" i="9"/>
  <c r="K142" i="9" s="1"/>
  <c r="J129" i="9"/>
  <c r="K129" i="9" s="1"/>
  <c r="J103" i="9"/>
  <c r="K103" i="9" s="1"/>
  <c r="J69" i="9"/>
  <c r="K69" i="9" s="1"/>
  <c r="J60" i="9"/>
  <c r="K60" i="9" s="1"/>
  <c r="J49" i="9"/>
  <c r="K49" i="9" s="1"/>
  <c r="J38" i="9"/>
  <c r="K38" i="9" s="1"/>
  <c r="J27" i="9"/>
  <c r="K27" i="9" s="1"/>
  <c r="J294" i="9"/>
  <c r="K294" i="9" s="1"/>
  <c r="J235" i="9"/>
  <c r="K235" i="9" s="1"/>
  <c r="J219" i="9"/>
  <c r="K219" i="9" s="1"/>
  <c r="J184" i="9"/>
  <c r="K184" i="9" s="1"/>
  <c r="J108" i="9"/>
  <c r="K108" i="9" s="1"/>
  <c r="J208" i="9"/>
  <c r="K208" i="9" s="1"/>
  <c r="J192" i="9"/>
  <c r="K192" i="9" s="1"/>
  <c r="J168" i="9"/>
  <c r="K168" i="9" s="1"/>
  <c r="J147" i="9"/>
  <c r="K147" i="9" s="1"/>
  <c r="J256" i="9"/>
  <c r="K256" i="9" s="1"/>
  <c r="J139" i="9"/>
  <c r="K139" i="9" s="1"/>
  <c r="J66" i="9"/>
  <c r="K66" i="9" s="1"/>
  <c r="J61" i="9"/>
  <c r="K61" i="9" s="1"/>
  <c r="J239" i="9"/>
  <c r="K239" i="9" s="1"/>
  <c r="J236" i="9"/>
  <c r="K236" i="9" s="1"/>
  <c r="J273" i="9"/>
  <c r="K273" i="9" s="1"/>
  <c r="J207" i="9"/>
  <c r="K207" i="9" s="1"/>
  <c r="J191" i="9"/>
  <c r="K191" i="9" s="1"/>
  <c r="J124" i="9"/>
  <c r="K124" i="9" s="1"/>
  <c r="J118" i="9"/>
  <c r="K118" i="9" s="1"/>
  <c r="J109" i="9"/>
  <c r="K109" i="9" s="1"/>
  <c r="J100" i="9"/>
  <c r="K100" i="9" s="1"/>
  <c r="J97" i="9"/>
  <c r="K97" i="9" s="1"/>
  <c r="J305" i="9"/>
  <c r="K305" i="9" s="1"/>
  <c r="J262" i="9"/>
  <c r="K262" i="9" s="1"/>
  <c r="J216" i="9"/>
  <c r="K216" i="9" s="1"/>
  <c r="J194" i="9"/>
  <c r="K194" i="9" s="1"/>
  <c r="J85" i="9"/>
  <c r="K85" i="9" s="1"/>
  <c r="J71" i="9"/>
  <c r="K71" i="9" s="1"/>
  <c r="J40" i="9"/>
  <c r="K40" i="9" s="1"/>
  <c r="J30" i="9"/>
  <c r="K30" i="9" s="1"/>
  <c r="J22" i="9"/>
  <c r="K22" i="9" s="1"/>
  <c r="J212" i="9"/>
  <c r="K212" i="9" s="1"/>
  <c r="J183" i="9"/>
  <c r="K183" i="9" s="1"/>
  <c r="J57" i="9"/>
  <c r="K57" i="9" s="1"/>
  <c r="J29" i="9"/>
  <c r="K29" i="9" s="1"/>
  <c r="J225" i="9"/>
  <c r="K225" i="9" s="1"/>
  <c r="J196" i="9"/>
  <c r="K196" i="9" s="1"/>
  <c r="J180" i="9"/>
  <c r="K180" i="9" s="1"/>
  <c r="J93" i="9"/>
  <c r="K93" i="9" s="1"/>
  <c r="J62" i="9"/>
  <c r="K62" i="9" s="1"/>
  <c r="J52" i="9"/>
  <c r="K52" i="9" s="1"/>
  <c r="J44" i="9"/>
  <c r="K44" i="9" s="1"/>
  <c r="J260" i="9"/>
  <c r="K260" i="9" s="1"/>
  <c r="J257" i="9"/>
  <c r="K257" i="9" s="1"/>
  <c r="J234" i="9"/>
  <c r="K234" i="9" s="1"/>
  <c r="J278" i="9"/>
  <c r="K278" i="9" s="1"/>
  <c r="J271" i="9"/>
  <c r="K271" i="9" s="1"/>
  <c r="J247" i="9"/>
  <c r="K247" i="9" s="1"/>
  <c r="J228" i="9"/>
  <c r="K228" i="9" s="1"/>
  <c r="J221" i="9"/>
  <c r="K221" i="9" s="1"/>
  <c r="J218" i="9"/>
  <c r="K218" i="9" s="1"/>
  <c r="J205" i="9"/>
  <c r="K205" i="9" s="1"/>
  <c r="J173" i="9"/>
  <c r="K173" i="9" s="1"/>
  <c r="J128" i="9"/>
  <c r="K128" i="9" s="1"/>
  <c r="J107" i="9"/>
  <c r="K107" i="9" s="1"/>
  <c r="J26" i="9"/>
  <c r="K26" i="9" s="1"/>
  <c r="J21" i="9"/>
  <c r="K21" i="9" s="1"/>
  <c r="J159" i="9"/>
  <c r="K159" i="9" s="1"/>
  <c r="J137" i="9"/>
  <c r="K137" i="9" s="1"/>
  <c r="J274" i="9"/>
  <c r="K274" i="9" s="1"/>
  <c r="J267" i="9"/>
  <c r="K267" i="9" s="1"/>
  <c r="J224" i="9"/>
  <c r="K224" i="9" s="1"/>
  <c r="J122" i="9"/>
  <c r="K122" i="9" s="1"/>
  <c r="J119" i="9"/>
  <c r="K119" i="9" s="1"/>
  <c r="J95" i="9"/>
  <c r="K95" i="9" s="1"/>
  <c r="J64" i="9"/>
  <c r="K64" i="9" s="1"/>
  <c r="J284" i="9"/>
  <c r="K284" i="9" s="1"/>
  <c r="J214" i="9"/>
  <c r="K214" i="9" s="1"/>
  <c r="J195" i="9"/>
  <c r="K195" i="9" s="1"/>
  <c r="J169" i="9"/>
  <c r="K169" i="9" s="1"/>
  <c r="J152" i="9"/>
  <c r="K152" i="9" s="1"/>
  <c r="J146" i="9"/>
  <c r="K146" i="9" s="1"/>
  <c r="J89" i="9"/>
  <c r="K89" i="9" s="1"/>
  <c r="J46" i="9"/>
  <c r="K46" i="9" s="1"/>
  <c r="J283" i="9"/>
  <c r="K283" i="9" s="1"/>
  <c r="J213" i="9"/>
  <c r="K213" i="9" s="1"/>
  <c r="J201" i="9"/>
  <c r="K201" i="9" s="1"/>
  <c r="J197" i="9"/>
  <c r="K197" i="9" s="1"/>
  <c r="J185" i="9"/>
  <c r="K185" i="9" s="1"/>
  <c r="J73" i="9"/>
  <c r="K73" i="9" s="1"/>
  <c r="J53" i="9"/>
  <c r="K53" i="9" s="1"/>
  <c r="J230" i="9"/>
  <c r="K230" i="9" s="1"/>
  <c r="J181" i="9"/>
  <c r="K181" i="9" s="1"/>
  <c r="J177" i="9"/>
  <c r="K177" i="9" s="1"/>
  <c r="J43" i="9"/>
  <c r="K43" i="9" s="1"/>
  <c r="J254" i="9"/>
  <c r="K254" i="9" s="1"/>
  <c r="J246" i="9"/>
  <c r="K246" i="9" s="1"/>
  <c r="J188" i="9"/>
  <c r="K188" i="9" s="1"/>
  <c r="J164" i="9"/>
  <c r="K164" i="9" s="1"/>
  <c r="J115" i="9"/>
  <c r="K115" i="9" s="1"/>
  <c r="J76" i="9"/>
  <c r="K76" i="9" s="1"/>
  <c r="J282" i="9"/>
  <c r="K282" i="9" s="1"/>
  <c r="J111" i="9"/>
  <c r="K111" i="9" s="1"/>
  <c r="J295" i="9"/>
  <c r="K295" i="9" s="1"/>
  <c r="J232" i="9"/>
  <c r="K232" i="9" s="1"/>
  <c r="J79" i="9"/>
  <c r="K79" i="9" s="1"/>
  <c r="J65" i="9"/>
  <c r="K65" i="9" s="1"/>
  <c r="J58" i="9"/>
  <c r="K58" i="9" s="1"/>
  <c r="J158" i="9"/>
  <c r="K158" i="9" s="1"/>
  <c r="J131" i="9"/>
  <c r="K131" i="9" s="1"/>
  <c r="J82" i="9"/>
  <c r="K82" i="9" s="1"/>
  <c r="J75" i="9"/>
  <c r="K75" i="9" s="1"/>
  <c r="J68" i="9"/>
  <c r="K68" i="9" s="1"/>
  <c r="J42" i="9"/>
  <c r="K42" i="9" s="1"/>
  <c r="J265" i="9"/>
  <c r="K265" i="9" s="1"/>
  <c r="J229" i="9"/>
  <c r="K229" i="9" s="1"/>
  <c r="J135" i="9"/>
  <c r="K135" i="9" s="1"/>
  <c r="J114" i="9"/>
  <c r="K114" i="9" s="1"/>
  <c r="J96" i="9"/>
  <c r="K96" i="9" s="1"/>
  <c r="J48" i="9"/>
  <c r="K48" i="9" s="1"/>
  <c r="J290" i="9"/>
  <c r="K290" i="9" s="1"/>
  <c r="J117" i="9"/>
  <c r="K117" i="9" s="1"/>
  <c r="J20" i="9"/>
  <c r="K20" i="9" s="1"/>
  <c r="J240" i="9"/>
  <c r="K240" i="9" s="1"/>
  <c r="J186" i="9"/>
  <c r="K186" i="9" s="1"/>
  <c r="J35" i="9"/>
  <c r="K35" i="9" s="1"/>
  <c r="J32" i="9"/>
  <c r="K32" i="9" s="1"/>
  <c r="J276" i="9"/>
  <c r="K276" i="9" s="1"/>
  <c r="J223" i="9"/>
  <c r="K223" i="9" s="1"/>
  <c r="J102" i="9"/>
  <c r="K102" i="9" s="1"/>
  <c r="J41" i="9"/>
  <c r="K41" i="9" s="1"/>
  <c r="J272" i="9"/>
  <c r="K272" i="9" s="1"/>
  <c r="J227" i="9"/>
  <c r="K227" i="9" s="1"/>
  <c r="J47" i="9"/>
  <c r="K47" i="9" s="1"/>
  <c r="J25" i="9"/>
  <c r="K25" i="9" s="1"/>
  <c r="J162" i="9"/>
  <c r="K162" i="9" s="1"/>
  <c r="J120" i="9"/>
  <c r="K120" i="9" s="1"/>
  <c r="J24" i="9"/>
  <c r="K24" i="9" s="1"/>
  <c r="J150" i="9"/>
  <c r="K150" i="9" s="1"/>
  <c r="J63" i="9"/>
  <c r="K63" i="9" s="1"/>
  <c r="J51" i="9"/>
  <c r="K51" i="9" s="1"/>
  <c r="J293" i="9"/>
  <c r="K293" i="9" s="1"/>
  <c r="J179" i="9"/>
  <c r="K179" i="9" s="1"/>
  <c r="J175" i="9"/>
  <c r="K175" i="9" s="1"/>
  <c r="J113" i="9"/>
  <c r="K113" i="9" s="1"/>
  <c r="J301" i="9"/>
  <c r="K301" i="9" s="1"/>
  <c r="J33" i="9"/>
  <c r="K33" i="9" s="1"/>
  <c r="J141" i="9"/>
  <c r="K141" i="9" s="1"/>
  <c r="J59" i="9"/>
  <c r="K59" i="9" s="1"/>
  <c r="J55" i="9"/>
  <c r="K55" i="9" s="1"/>
  <c r="J206" i="9"/>
  <c r="K206" i="9" s="1"/>
  <c r="J28" i="9"/>
  <c r="K28" i="9" s="1"/>
  <c r="J130" i="9"/>
  <c r="K130" i="9" s="1"/>
  <c r="J87" i="9"/>
  <c r="K87" i="9" s="1"/>
  <c r="J126" i="9"/>
  <c r="K126" i="9" s="1"/>
  <c r="J104" i="9"/>
  <c r="K104" i="9" s="1"/>
  <c r="J31" i="9"/>
  <c r="K31" i="9" s="1"/>
  <c r="J81" i="9"/>
  <c r="K81" i="9" s="1"/>
  <c r="J67" i="9"/>
  <c r="K67" i="9" s="1"/>
  <c r="J199" i="9"/>
  <c r="K199" i="9" s="1"/>
  <c r="J39" i="9"/>
  <c r="K39" i="9" s="1"/>
  <c r="J37" i="9"/>
  <c r="K37" i="9" s="1"/>
  <c r="J249" i="9"/>
  <c r="K249" i="9" s="1"/>
  <c r="J144" i="9"/>
  <c r="K144" i="9" s="1"/>
  <c r="J98" i="9"/>
  <c r="K98" i="9" s="1"/>
  <c r="J36" i="9"/>
  <c r="K36" i="9" s="1"/>
  <c r="J50" i="9"/>
  <c r="K50" i="9" s="1"/>
  <c r="J252" i="9"/>
  <c r="K252" i="9" s="1"/>
  <c r="J106" i="9"/>
  <c r="K106" i="9" s="1"/>
  <c r="J148" i="9"/>
  <c r="K148" i="9" s="1"/>
  <c r="J54" i="9"/>
  <c r="K54" i="9" s="1"/>
  <c r="J86" i="9"/>
  <c r="K86" i="9" s="1"/>
  <c r="J157" i="9"/>
  <c r="K157" i="9" s="1"/>
  <c r="J251" i="9"/>
  <c r="K251" i="9" s="1"/>
  <c r="J78" i="9"/>
  <c r="K78" i="9" s="1"/>
  <c r="J263" i="9"/>
  <c r="K263" i="9" s="1"/>
  <c r="J133" i="9"/>
  <c r="K133" i="9" s="1"/>
  <c r="J309" i="9"/>
  <c r="K309" i="9" s="1"/>
  <c r="O58" i="9"/>
  <c r="P58" i="9" s="1"/>
  <c r="O62" i="9"/>
  <c r="P62" i="9" s="1"/>
  <c r="O312" i="9"/>
  <c r="P312" i="9" s="1"/>
  <c r="O317" i="9"/>
  <c r="P317" i="9" s="1"/>
  <c r="O292" i="9"/>
  <c r="P292" i="9" s="1"/>
  <c r="O88" i="9"/>
  <c r="P88" i="9" s="1"/>
  <c r="C17" i="10"/>
  <c r="C44" i="5"/>
  <c r="AO69" i="2"/>
  <c r="AN69" i="2"/>
  <c r="AN72" i="2"/>
  <c r="AO72" i="2"/>
  <c r="AN496" i="2"/>
  <c r="AO496" i="2"/>
  <c r="AO340" i="2"/>
  <c r="AN340" i="2"/>
  <c r="AN40" i="2"/>
  <c r="AO40" i="2"/>
  <c r="AO296" i="2"/>
  <c r="AN296" i="2"/>
  <c r="AO288" i="2"/>
  <c r="AN288" i="2"/>
  <c r="AO244" i="2"/>
  <c r="AN244" i="2"/>
  <c r="AO358" i="2"/>
  <c r="AN358" i="2"/>
  <c r="AN231" i="2"/>
  <c r="AO231" i="2"/>
  <c r="AO103" i="2"/>
  <c r="AN103" i="2"/>
  <c r="AN137" i="2"/>
  <c r="AO137" i="2"/>
  <c r="AN354" i="2"/>
  <c r="AO354" i="2"/>
  <c r="AN651" i="2"/>
  <c r="AO651" i="2"/>
  <c r="AO203" i="2"/>
  <c r="AN203" i="2"/>
  <c r="AN501" i="2"/>
  <c r="AO501" i="2"/>
  <c r="AN120" i="2"/>
  <c r="AO120" i="2"/>
  <c r="AN164" i="2"/>
  <c r="AO164" i="2"/>
  <c r="AN208" i="2"/>
  <c r="AO208" i="2"/>
  <c r="AN532" i="2"/>
  <c r="AO532" i="2"/>
  <c r="AO394" i="2"/>
  <c r="AN394" i="2"/>
  <c r="AN257" i="2"/>
  <c r="AO257" i="2"/>
  <c r="AN301" i="2"/>
  <c r="AO301" i="2"/>
  <c r="AN345" i="2"/>
  <c r="AO345" i="2"/>
  <c r="AO389" i="2"/>
  <c r="AN389" i="2"/>
  <c r="AN433" i="2"/>
  <c r="AO433" i="2"/>
  <c r="AN731" i="2"/>
  <c r="AO731" i="2"/>
  <c r="AN650" i="2"/>
  <c r="AO650" i="2"/>
  <c r="AN495" i="2"/>
  <c r="AO495" i="2"/>
  <c r="AN515" i="2"/>
  <c r="AO515" i="2"/>
  <c r="AN529" i="2"/>
  <c r="AO529" i="2"/>
  <c r="AN556" i="2"/>
  <c r="AO556" i="2"/>
  <c r="AN684" i="2"/>
  <c r="AO684" i="2"/>
  <c r="AN602" i="2"/>
  <c r="AO602" i="2"/>
  <c r="AO936" i="2"/>
  <c r="AN936" i="2"/>
  <c r="AN640" i="2"/>
  <c r="AO640" i="2"/>
  <c r="AN654" i="2"/>
  <c r="AO654" i="2"/>
  <c r="AN891" i="2"/>
  <c r="AO891" i="2"/>
  <c r="AN721" i="2"/>
  <c r="AO721" i="2"/>
  <c r="AN963" i="2"/>
  <c r="AO963" i="2"/>
  <c r="AN750" i="2"/>
  <c r="AO750" i="2"/>
  <c r="AO942" i="2"/>
  <c r="AN942" i="2"/>
  <c r="AN861" i="2"/>
  <c r="AO861" i="2"/>
  <c r="AO940" i="2"/>
  <c r="AN940" i="2"/>
  <c r="AN1085" i="2"/>
  <c r="AO1085" i="2"/>
  <c r="AN839" i="2"/>
  <c r="AO839" i="2"/>
  <c r="AO874" i="2"/>
  <c r="AN874" i="2"/>
  <c r="AN964" i="2"/>
  <c r="AO964" i="2"/>
  <c r="AO1025" i="2"/>
  <c r="AN1025" i="2"/>
  <c r="AO1064" i="2"/>
  <c r="F51" i="4" s="1"/>
  <c r="AN1064" i="2"/>
  <c r="D51" i="4" s="1"/>
  <c r="E51" i="4" s="1"/>
  <c r="AN1115" i="2"/>
  <c r="AO1115" i="2"/>
  <c r="AN1089" i="2"/>
  <c r="AO1089" i="2"/>
  <c r="AN1026" i="2"/>
  <c r="AO1026" i="2"/>
  <c r="AN1217" i="2"/>
  <c r="AO1217" i="2"/>
  <c r="AO1119" i="2"/>
  <c r="AN1119" i="2"/>
  <c r="AN1179" i="2"/>
  <c r="AO1179" i="2"/>
  <c r="AO1248" i="2"/>
  <c r="AN1248" i="2"/>
  <c r="AN1261" i="2"/>
  <c r="AO1261" i="2"/>
  <c r="H27" i="5"/>
  <c r="O281" i="9"/>
  <c r="P281" i="9" s="1"/>
  <c r="O61" i="9"/>
  <c r="P61" i="9" s="1"/>
  <c r="H51" i="5"/>
  <c r="AO135" i="2"/>
  <c r="AN135" i="2"/>
  <c r="AN90" i="2"/>
  <c r="AO90" i="2"/>
  <c r="AN105" i="2"/>
  <c r="AO105" i="2"/>
  <c r="AN352" i="2"/>
  <c r="AO352" i="2"/>
  <c r="AO51" i="2"/>
  <c r="AN51" i="2"/>
  <c r="AO304" i="2"/>
  <c r="AN304" i="2"/>
  <c r="AN308" i="2"/>
  <c r="AO308" i="2"/>
  <c r="AN460" i="2"/>
  <c r="AO460" i="2"/>
  <c r="AO406" i="2"/>
  <c r="AN406" i="2"/>
  <c r="AO254" i="2"/>
  <c r="AN254" i="2"/>
  <c r="AN141" i="2"/>
  <c r="AO141" i="2"/>
  <c r="AN143" i="2"/>
  <c r="AO143" i="2"/>
  <c r="AN575" i="2"/>
  <c r="AO575" i="2"/>
  <c r="AN326" i="2"/>
  <c r="AO326" i="2"/>
  <c r="AO232" i="2"/>
  <c r="AN232" i="2"/>
  <c r="AN629" i="2"/>
  <c r="AO629" i="2"/>
  <c r="AN122" i="2"/>
  <c r="AO122" i="2"/>
  <c r="AN166" i="2"/>
  <c r="AO166" i="2"/>
  <c r="AN210" i="2"/>
  <c r="AO210" i="2"/>
  <c r="AN539" i="2"/>
  <c r="AO539" i="2"/>
  <c r="AO416" i="2"/>
  <c r="AN416" i="2"/>
  <c r="AN259" i="2"/>
  <c r="AO259" i="2"/>
  <c r="AN303" i="2"/>
  <c r="AO303" i="2"/>
  <c r="AN347" i="2"/>
  <c r="AO347" i="2"/>
  <c r="AN391" i="2"/>
  <c r="AO391" i="2"/>
  <c r="AN435" i="2"/>
  <c r="AO435" i="2"/>
  <c r="AN732" i="2"/>
  <c r="AO732" i="2"/>
  <c r="AN656" i="2"/>
  <c r="AO656" i="2"/>
  <c r="AN533" i="2"/>
  <c r="AO533" i="2"/>
  <c r="AN528" i="2"/>
  <c r="AO528" i="2"/>
  <c r="AN538" i="2"/>
  <c r="AO538" i="2"/>
  <c r="AN591" i="2"/>
  <c r="AO591" i="2"/>
  <c r="AN747" i="2"/>
  <c r="AO747" i="2"/>
  <c r="AO605" i="2"/>
  <c r="AN605" i="2"/>
  <c r="AN995" i="2"/>
  <c r="AO995" i="2"/>
  <c r="AN678" i="2"/>
  <c r="AO678" i="2"/>
  <c r="AO698" i="2"/>
  <c r="AN698" i="2"/>
  <c r="AN925" i="2"/>
  <c r="AO925" i="2"/>
  <c r="AN729" i="2"/>
  <c r="AO729" i="2"/>
  <c r="AN701" i="2"/>
  <c r="AO701" i="2"/>
  <c r="AN757" i="2"/>
  <c r="AO757" i="2"/>
  <c r="AN973" i="2"/>
  <c r="AO973" i="2"/>
  <c r="AO918" i="2"/>
  <c r="AN918" i="2"/>
  <c r="AN947" i="2"/>
  <c r="AO947" i="2"/>
  <c r="AN797" i="2"/>
  <c r="AO797" i="2"/>
  <c r="AN841" i="2"/>
  <c r="AO841" i="2"/>
  <c r="AN881" i="2"/>
  <c r="AO881" i="2"/>
  <c r="AN971" i="2"/>
  <c r="AO971" i="2"/>
  <c r="AO1049" i="2"/>
  <c r="AN1049" i="2"/>
  <c r="AN1083" i="2"/>
  <c r="AO1083" i="2"/>
  <c r="AN1144" i="2"/>
  <c r="AO1144" i="2"/>
  <c r="AN1151" i="2"/>
  <c r="AO1151" i="2"/>
  <c r="AN1028" i="2"/>
  <c r="AO1028" i="2"/>
  <c r="AN1197" i="2"/>
  <c r="AO1197" i="2"/>
  <c r="AN1159" i="2"/>
  <c r="AO1159" i="2"/>
  <c r="AN1182" i="2"/>
  <c r="AO1182" i="2"/>
  <c r="AO1263" i="2"/>
  <c r="AN1263" i="2"/>
  <c r="C19" i="10"/>
  <c r="G61" i="5"/>
  <c r="P319" i="9"/>
  <c r="H13" i="9"/>
  <c r="H36" i="5"/>
  <c r="O150" i="9"/>
  <c r="P150" i="9" s="1"/>
  <c r="H28" i="5"/>
  <c r="AO362" i="2"/>
  <c r="AN362" i="2"/>
  <c r="AO27" i="2"/>
  <c r="AN27" i="2"/>
  <c r="AN42" i="2"/>
  <c r="AO42" i="2"/>
  <c r="AO39" i="2"/>
  <c r="AN39" i="2"/>
  <c r="AN378" i="2"/>
  <c r="AO378" i="2"/>
  <c r="AN68" i="2"/>
  <c r="AO68" i="2"/>
  <c r="AO247" i="2"/>
  <c r="AN247" i="2"/>
  <c r="AO225" i="2"/>
  <c r="AN225" i="2"/>
  <c r="AO245" i="2"/>
  <c r="AN245" i="2"/>
  <c r="AO205" i="2"/>
  <c r="AN205" i="2"/>
  <c r="AO270" i="2"/>
  <c r="AN270" i="2"/>
  <c r="AN412" i="2"/>
  <c r="AO412" i="2"/>
  <c r="AN611" i="2"/>
  <c r="AO611" i="2"/>
  <c r="AN117" i="2"/>
  <c r="AO117" i="2"/>
  <c r="AN520" i="2"/>
  <c r="AO520" i="2"/>
  <c r="AN481" i="2"/>
  <c r="AO481" i="2"/>
  <c r="AN579" i="2"/>
  <c r="AO579" i="2"/>
  <c r="AN138" i="2"/>
  <c r="AO138" i="2"/>
  <c r="AN182" i="2"/>
  <c r="AO182" i="2"/>
  <c r="AN294" i="2"/>
  <c r="AO294" i="2"/>
  <c r="AN410" i="2"/>
  <c r="AO410" i="2"/>
  <c r="AO264" i="2"/>
  <c r="AN264" i="2"/>
  <c r="AO275" i="2"/>
  <c r="AN275" i="2"/>
  <c r="AN319" i="2"/>
  <c r="AO319" i="2"/>
  <c r="AN363" i="2"/>
  <c r="AO363" i="2"/>
  <c r="AN407" i="2"/>
  <c r="AO407" i="2"/>
  <c r="AN522" i="2"/>
  <c r="AO522" i="2"/>
  <c r="AO787" i="2"/>
  <c r="AN787" i="2"/>
  <c r="AN512" i="2"/>
  <c r="AO512" i="2"/>
  <c r="AO658" i="2"/>
  <c r="AN658" i="2"/>
  <c r="AN513" i="2"/>
  <c r="AO513" i="2"/>
  <c r="AN475" i="2"/>
  <c r="AO475" i="2"/>
  <c r="AN938" i="2"/>
  <c r="AO938" i="2"/>
  <c r="AN545" i="2"/>
  <c r="AO545" i="2"/>
  <c r="AN752" i="2"/>
  <c r="AO752" i="2"/>
  <c r="AN791" i="2"/>
  <c r="AO791" i="2"/>
  <c r="AO962" i="2"/>
  <c r="AN962" i="2"/>
  <c r="AO858" i="2"/>
  <c r="AN858" i="2"/>
  <c r="AO906" i="2"/>
  <c r="AN906" i="2"/>
  <c r="AN907" i="2"/>
  <c r="AO907" i="2"/>
  <c r="AN941" i="2"/>
  <c r="AO941" i="2"/>
  <c r="AN865" i="2"/>
  <c r="AO865" i="2"/>
  <c r="AO924" i="2"/>
  <c r="AN924" i="2"/>
  <c r="AN1180" i="2"/>
  <c r="AO1180" i="2"/>
  <c r="AN1074" i="2"/>
  <c r="AO1074" i="2"/>
  <c r="AN813" i="2"/>
  <c r="AO813" i="2"/>
  <c r="AN1216" i="2"/>
  <c r="AO1216" i="2"/>
  <c r="AN845" i="2"/>
  <c r="AO845" i="2"/>
  <c r="AO911" i="2"/>
  <c r="AN911" i="2"/>
  <c r="AN1027" i="2"/>
  <c r="AO1027" i="2"/>
  <c r="AO1078" i="2"/>
  <c r="AN1078" i="2"/>
  <c r="AN998" i="2"/>
  <c r="AO998" i="2"/>
  <c r="AO1194" i="2"/>
  <c r="AN1194" i="2"/>
  <c r="AN1044" i="2"/>
  <c r="AO1044" i="2"/>
  <c r="AN1120" i="2"/>
  <c r="AO1120" i="2"/>
  <c r="AN1152" i="2"/>
  <c r="AO1152" i="2"/>
  <c r="AN1266" i="2"/>
  <c r="AO1266" i="2"/>
  <c r="AN1242" i="2"/>
  <c r="AO1242" i="2"/>
  <c r="AN1276" i="2"/>
  <c r="AO1276" i="2"/>
  <c r="AN91" i="2"/>
  <c r="AO91" i="2"/>
  <c r="AO53" i="2"/>
  <c r="AN53" i="2"/>
  <c r="AN221" i="2"/>
  <c r="AO221" i="2"/>
  <c r="AN248" i="2"/>
  <c r="AO248" i="2"/>
  <c r="AN280" i="2"/>
  <c r="AO280" i="2"/>
  <c r="AN356" i="2"/>
  <c r="AO356" i="2"/>
  <c r="AN426" i="2"/>
  <c r="AO426" i="2"/>
  <c r="AN139" i="2"/>
  <c r="AO139" i="2"/>
  <c r="AN493" i="2"/>
  <c r="AO493" i="2"/>
  <c r="AN140" i="2"/>
  <c r="AO140" i="2"/>
  <c r="AN300" i="2"/>
  <c r="AO300" i="2"/>
  <c r="AO286" i="2"/>
  <c r="AN286" i="2"/>
  <c r="AO365" i="2"/>
  <c r="AN365" i="2"/>
  <c r="AO1045" i="2"/>
  <c r="AN1045" i="2"/>
  <c r="AN12" i="2"/>
  <c r="AO12" i="2"/>
  <c r="AO63" i="2"/>
  <c r="AN63" i="2"/>
  <c r="AN376" i="2"/>
  <c r="AO376" i="2"/>
  <c r="AO224" i="2"/>
  <c r="AN224" i="2"/>
  <c r="AO29" i="2"/>
  <c r="AN29" i="2"/>
  <c r="AO234" i="2"/>
  <c r="AN234" i="2"/>
  <c r="AN197" i="2"/>
  <c r="AO197" i="2"/>
  <c r="AN237" i="2"/>
  <c r="AO237" i="2"/>
  <c r="AN272" i="2"/>
  <c r="AO272" i="2"/>
  <c r="AN227" i="2"/>
  <c r="AO227" i="2"/>
  <c r="AN82" i="2"/>
  <c r="AO82" i="2"/>
  <c r="AN131" i="2"/>
  <c r="AO131" i="2"/>
  <c r="AN338" i="2"/>
  <c r="AO338" i="2"/>
  <c r="AN648" i="2"/>
  <c r="AO648" i="2"/>
  <c r="AN181" i="2"/>
  <c r="AO181" i="2"/>
  <c r="AN488" i="2"/>
  <c r="AO488" i="2"/>
  <c r="AN118" i="2"/>
  <c r="AO118" i="2"/>
  <c r="AN162" i="2"/>
  <c r="AO162" i="2"/>
  <c r="AN206" i="2"/>
  <c r="AO206" i="2"/>
  <c r="AN531" i="2"/>
  <c r="AO531" i="2"/>
  <c r="AO372" i="2"/>
  <c r="AN372" i="2"/>
  <c r="AN255" i="2"/>
  <c r="AO255" i="2"/>
  <c r="AN299" i="2"/>
  <c r="AO299" i="2"/>
  <c r="AN343" i="2"/>
  <c r="AO343" i="2"/>
  <c r="AN387" i="2"/>
  <c r="AO387" i="2"/>
  <c r="AN431" i="2"/>
  <c r="AO431" i="2"/>
  <c r="AN676" i="2"/>
  <c r="AO676" i="2"/>
  <c r="AN544" i="2"/>
  <c r="AO544" i="2"/>
  <c r="AN473" i="2"/>
  <c r="AO473" i="2"/>
  <c r="AN711" i="2"/>
  <c r="AO711" i="2"/>
  <c r="AN498" i="2"/>
  <c r="AO498" i="2"/>
  <c r="AN550" i="2"/>
  <c r="AO550" i="2"/>
  <c r="AN606" i="2"/>
  <c r="AO606" i="2"/>
  <c r="AN577" i="2"/>
  <c r="AO577" i="2"/>
  <c r="AN893" i="2"/>
  <c r="AO893" i="2"/>
  <c r="AN626" i="2"/>
  <c r="AO626" i="2"/>
  <c r="AO647" i="2"/>
  <c r="AN647" i="2"/>
  <c r="AN849" i="2"/>
  <c r="AO849" i="2"/>
  <c r="AN691" i="2"/>
  <c r="AO691" i="2"/>
  <c r="AO916" i="2"/>
  <c r="AN916" i="2"/>
  <c r="AN945" i="2"/>
  <c r="AO945" i="2"/>
  <c r="AO912" i="2"/>
  <c r="AN912" i="2"/>
  <c r="AO1023" i="2"/>
  <c r="AN1023" i="2"/>
  <c r="AN872" i="2"/>
  <c r="AO872" i="2"/>
  <c r="AN1082" i="2"/>
  <c r="AO1082" i="2"/>
  <c r="AN837" i="2"/>
  <c r="AO837" i="2"/>
  <c r="AN1191" i="2"/>
  <c r="AO1191" i="2"/>
  <c r="AO921" i="2"/>
  <c r="AN921" i="2"/>
  <c r="AO1021" i="2"/>
  <c r="AN1021" i="2"/>
  <c r="AN1237" i="2"/>
  <c r="AO1237" i="2"/>
  <c r="AN1107" i="2"/>
  <c r="AO1107" i="2"/>
  <c r="AN1076" i="2"/>
  <c r="AO1076" i="2"/>
  <c r="AN1024" i="2"/>
  <c r="AO1024" i="2"/>
  <c r="AN1181" i="2"/>
  <c r="AO1181" i="2"/>
  <c r="AO1106" i="2"/>
  <c r="AN1106" i="2"/>
  <c r="AN1176" i="2"/>
  <c r="AO1176" i="2"/>
  <c r="AN1226" i="2"/>
  <c r="AO1226" i="2"/>
  <c r="AN1259" i="2"/>
  <c r="AO1259" i="2"/>
  <c r="AP1279" i="2"/>
  <c r="AQ1279" i="2" s="1"/>
  <c r="H25" i="5"/>
  <c r="AP1275" i="2"/>
  <c r="AQ1275" i="2" s="1"/>
  <c r="AP1243" i="2"/>
  <c r="AQ1243" i="2" s="1"/>
  <c r="AP1236" i="2"/>
  <c r="AQ1236" i="2" s="1"/>
  <c r="AP1225" i="2"/>
  <c r="AQ1225" i="2" s="1"/>
  <c r="AP1214" i="2"/>
  <c r="AQ1214" i="2" s="1"/>
  <c r="AP1203" i="2"/>
  <c r="AQ1203" i="2" s="1"/>
  <c r="AP1192" i="2"/>
  <c r="AQ1192" i="2" s="1"/>
  <c r="AP1181" i="2"/>
  <c r="AQ1181" i="2" s="1"/>
  <c r="AP1265" i="2"/>
  <c r="AQ1265" i="2" s="1"/>
  <c r="AP1252" i="2"/>
  <c r="AQ1252" i="2" s="1"/>
  <c r="AP1259" i="2"/>
  <c r="AQ1259" i="2" s="1"/>
  <c r="AP1234" i="2"/>
  <c r="AQ1234" i="2" s="1"/>
  <c r="AP1194" i="2"/>
  <c r="AQ1194" i="2" s="1"/>
  <c r="AP1164" i="2"/>
  <c r="AQ1164" i="2" s="1"/>
  <c r="AP1281" i="2"/>
  <c r="AQ1281" i="2" s="1"/>
  <c r="AP1273" i="2"/>
  <c r="AQ1273" i="2" s="1"/>
  <c r="AP1276" i="2"/>
  <c r="AQ1276" i="2" s="1"/>
  <c r="AP1266" i="2"/>
  <c r="AQ1266" i="2" s="1"/>
  <c r="AP1263" i="2"/>
  <c r="AQ1263" i="2" s="1"/>
  <c r="AP1251" i="2"/>
  <c r="AQ1251" i="2" s="1"/>
  <c r="AP1223" i="2"/>
  <c r="AQ1223" i="2" s="1"/>
  <c r="AP1183" i="2"/>
  <c r="AQ1183" i="2" s="1"/>
  <c r="AP1274" i="2"/>
  <c r="AQ1274" i="2" s="1"/>
  <c r="AP1250" i="2"/>
  <c r="AQ1250" i="2" s="1"/>
  <c r="AP1224" i="2"/>
  <c r="AQ1224" i="2" s="1"/>
  <c r="AP1218" i="2"/>
  <c r="AQ1218" i="2" s="1"/>
  <c r="AP1201" i="2"/>
  <c r="AQ1201" i="2" s="1"/>
  <c r="AP1184" i="2"/>
  <c r="AQ1184" i="2" s="1"/>
  <c r="AP1178" i="2"/>
  <c r="AQ1178" i="2" s="1"/>
  <c r="AP1161" i="2"/>
  <c r="AQ1161" i="2" s="1"/>
  <c r="AP1249" i="2"/>
  <c r="AQ1249" i="2" s="1"/>
  <c r="AP1240" i="2"/>
  <c r="AQ1240" i="2" s="1"/>
  <c r="AP1177" i="2"/>
  <c r="AQ1177" i="2" s="1"/>
  <c r="AP1163" i="2"/>
  <c r="AQ1163" i="2" s="1"/>
  <c r="AP1151" i="2"/>
  <c r="AQ1151" i="2" s="1"/>
  <c r="AP1149" i="2"/>
  <c r="AQ1149" i="2" s="1"/>
  <c r="AP1147" i="2"/>
  <c r="AQ1147" i="2" s="1"/>
  <c r="AP1285" i="2"/>
  <c r="AQ1285" i="2" s="1"/>
  <c r="AP1264" i="2"/>
  <c r="AQ1264" i="2" s="1"/>
  <c r="AP1233" i="2"/>
  <c r="AQ1233" i="2" s="1"/>
  <c r="AP1210" i="2"/>
  <c r="AQ1210" i="2" s="1"/>
  <c r="AP1268" i="2"/>
  <c r="AQ1268" i="2" s="1"/>
  <c r="AP1278" i="2"/>
  <c r="AQ1278" i="2" s="1"/>
  <c r="AP1271" i="2"/>
  <c r="AQ1271" i="2" s="1"/>
  <c r="AP1238" i="2"/>
  <c r="AQ1238" i="2" s="1"/>
  <c r="AP1208" i="2"/>
  <c r="AQ1208" i="2" s="1"/>
  <c r="AP1205" i="2"/>
  <c r="AQ1205" i="2" s="1"/>
  <c r="AP1191" i="2"/>
  <c r="AQ1191" i="2" s="1"/>
  <c r="AP1215" i="2"/>
  <c r="AQ1215" i="2" s="1"/>
  <c r="AP1144" i="2"/>
  <c r="AQ1144" i="2" s="1"/>
  <c r="AP1142" i="2"/>
  <c r="AQ1142" i="2" s="1"/>
  <c r="AP1140" i="2"/>
  <c r="AQ1140" i="2" s="1"/>
  <c r="AP1138" i="2"/>
  <c r="AQ1138" i="2" s="1"/>
  <c r="AP1136" i="2"/>
  <c r="AQ1136" i="2" s="1"/>
  <c r="AP1134" i="2"/>
  <c r="AQ1134" i="2" s="1"/>
  <c r="AP1132" i="2"/>
  <c r="AQ1132" i="2" s="1"/>
  <c r="AP1130" i="2"/>
  <c r="AQ1130" i="2" s="1"/>
  <c r="AP1128" i="2"/>
  <c r="AQ1128" i="2" s="1"/>
  <c r="AP1126" i="2"/>
  <c r="AQ1126" i="2" s="1"/>
  <c r="AP1124" i="2"/>
  <c r="AQ1124" i="2" s="1"/>
  <c r="AP1122" i="2"/>
  <c r="AQ1122" i="2" s="1"/>
  <c r="AP1120" i="2"/>
  <c r="AQ1120" i="2" s="1"/>
  <c r="AP1118" i="2"/>
  <c r="AQ1118" i="2" s="1"/>
  <c r="AP1116" i="2"/>
  <c r="AQ1116" i="2" s="1"/>
  <c r="AP1114" i="2"/>
  <c r="AQ1114" i="2" s="1"/>
  <c r="AP1112" i="2"/>
  <c r="AQ1112" i="2" s="1"/>
  <c r="AP1110" i="2"/>
  <c r="AQ1110" i="2" s="1"/>
  <c r="AP1108" i="2"/>
  <c r="AQ1108" i="2" s="1"/>
  <c r="AP1106" i="2"/>
  <c r="AQ1106" i="2" s="1"/>
  <c r="AP1104" i="2"/>
  <c r="AQ1104" i="2" s="1"/>
  <c r="AP1102" i="2"/>
  <c r="AQ1102" i="2" s="1"/>
  <c r="AP1100" i="2"/>
  <c r="AQ1100" i="2" s="1"/>
  <c r="AP1098" i="2"/>
  <c r="AQ1098" i="2" s="1"/>
  <c r="AP1096" i="2"/>
  <c r="AQ1096" i="2" s="1"/>
  <c r="AP1094" i="2"/>
  <c r="AQ1094" i="2" s="1"/>
  <c r="AP1092" i="2"/>
  <c r="AQ1092" i="2" s="1"/>
  <c r="AP1090" i="2"/>
  <c r="AQ1090" i="2" s="1"/>
  <c r="AP1088" i="2"/>
  <c r="AQ1088" i="2" s="1"/>
  <c r="AP1086" i="2"/>
  <c r="AQ1086" i="2" s="1"/>
  <c r="AP1084" i="2"/>
  <c r="AQ1084" i="2" s="1"/>
  <c r="AP1082" i="2"/>
  <c r="AQ1082" i="2" s="1"/>
  <c r="AP1080" i="2"/>
  <c r="AQ1080" i="2" s="1"/>
  <c r="AP1078" i="2"/>
  <c r="AQ1078" i="2" s="1"/>
  <c r="AP1076" i="2"/>
  <c r="AQ1076" i="2" s="1"/>
  <c r="AP1074" i="2"/>
  <c r="AQ1074" i="2" s="1"/>
  <c r="AP1072" i="2"/>
  <c r="AQ1072" i="2" s="1"/>
  <c r="AP1221" i="2"/>
  <c r="AQ1221" i="2" s="1"/>
  <c r="AP1190" i="2"/>
  <c r="AQ1190" i="2" s="1"/>
  <c r="AP1167" i="2"/>
  <c r="AQ1167" i="2" s="1"/>
  <c r="AP1160" i="2"/>
  <c r="AQ1160" i="2" s="1"/>
  <c r="AP1239" i="2"/>
  <c r="AQ1239" i="2" s="1"/>
  <c r="AP1229" i="2"/>
  <c r="AQ1229" i="2" s="1"/>
  <c r="AP1188" i="2"/>
  <c r="AQ1188" i="2" s="1"/>
  <c r="AP1180" i="2"/>
  <c r="AQ1180" i="2" s="1"/>
  <c r="AP1173" i="2"/>
  <c r="AQ1173" i="2" s="1"/>
  <c r="AP1155" i="2"/>
  <c r="AQ1155" i="2" s="1"/>
  <c r="AP1202" i="2"/>
  <c r="AQ1202" i="2" s="1"/>
  <c r="AP1129" i="2"/>
  <c r="AQ1129" i="2" s="1"/>
  <c r="AP1085" i="2"/>
  <c r="AQ1085" i="2" s="1"/>
  <c r="AP1284" i="2"/>
  <c r="AQ1284" i="2" s="1"/>
  <c r="AP1272" i="2"/>
  <c r="AQ1272" i="2" s="1"/>
  <c r="AP1228" i="2"/>
  <c r="AQ1228" i="2" s="1"/>
  <c r="AP1222" i="2"/>
  <c r="AQ1222" i="2" s="1"/>
  <c r="AP1172" i="2"/>
  <c r="AQ1172" i="2" s="1"/>
  <c r="AP1162" i="2"/>
  <c r="AQ1162" i="2" s="1"/>
  <c r="AP1131" i="2"/>
  <c r="AQ1131" i="2" s="1"/>
  <c r="AP1087" i="2"/>
  <c r="AQ1087" i="2" s="1"/>
  <c r="AP1277" i="2"/>
  <c r="AQ1277" i="2" s="1"/>
  <c r="AP1267" i="2"/>
  <c r="AQ1267" i="2" s="1"/>
  <c r="AP1213" i="2"/>
  <c r="AQ1213" i="2" s="1"/>
  <c r="AP1158" i="2"/>
  <c r="AQ1158" i="2" s="1"/>
  <c r="AP1095" i="2"/>
  <c r="AQ1095" i="2" s="1"/>
  <c r="AP1089" i="2"/>
  <c r="AQ1089" i="2" s="1"/>
  <c r="AP1083" i="2"/>
  <c r="AQ1083" i="2" s="1"/>
  <c r="AP1077" i="2"/>
  <c r="AQ1077" i="2" s="1"/>
  <c r="AP1255" i="2"/>
  <c r="AQ1255" i="2" s="1"/>
  <c r="AP1154" i="2"/>
  <c r="AQ1154" i="2" s="1"/>
  <c r="AP1286" i="2"/>
  <c r="AQ1286" i="2" s="1"/>
  <c r="AP1260" i="2"/>
  <c r="AQ1260" i="2" s="1"/>
  <c r="AP1254" i="2"/>
  <c r="AQ1254" i="2" s="1"/>
  <c r="AP1185" i="2"/>
  <c r="AQ1185" i="2" s="1"/>
  <c r="AP1170" i="2"/>
  <c r="AQ1170" i="2" s="1"/>
  <c r="AP1153" i="2"/>
  <c r="AQ1153" i="2" s="1"/>
  <c r="AP1137" i="2"/>
  <c r="AQ1137" i="2" s="1"/>
  <c r="AP1091" i="2"/>
  <c r="AQ1091" i="2" s="1"/>
  <c r="AP1064" i="2"/>
  <c r="AQ1064" i="2" s="1"/>
  <c r="AP1187" i="2"/>
  <c r="AQ1187" i="2" s="1"/>
  <c r="AP1186" i="2"/>
  <c r="AQ1186" i="2" s="1"/>
  <c r="AP1117" i="2"/>
  <c r="AQ1117" i="2" s="1"/>
  <c r="AP1067" i="2"/>
  <c r="AQ1067" i="2" s="1"/>
  <c r="AP1045" i="2"/>
  <c r="AQ1045" i="2" s="1"/>
  <c r="AP1023" i="2"/>
  <c r="AQ1023" i="2" s="1"/>
  <c r="AP999" i="2"/>
  <c r="AQ999" i="2" s="1"/>
  <c r="AP1257" i="2"/>
  <c r="AQ1257" i="2" s="1"/>
  <c r="AP1232" i="2"/>
  <c r="AQ1232" i="2" s="1"/>
  <c r="AP1226" i="2"/>
  <c r="AQ1226" i="2" s="1"/>
  <c r="AP1207" i="2"/>
  <c r="AQ1207" i="2" s="1"/>
  <c r="AP1193" i="2"/>
  <c r="AQ1193" i="2" s="1"/>
  <c r="AP1262" i="2"/>
  <c r="AQ1262" i="2" s="1"/>
  <c r="AP1237" i="2"/>
  <c r="AQ1237" i="2" s="1"/>
  <c r="AP1197" i="2"/>
  <c r="AQ1197" i="2" s="1"/>
  <c r="AP1052" i="2"/>
  <c r="AQ1052" i="2" s="1"/>
  <c r="AP1030" i="2"/>
  <c r="AQ1030" i="2" s="1"/>
  <c r="AP1008" i="2"/>
  <c r="AQ1008" i="2" s="1"/>
  <c r="AP984" i="2"/>
  <c r="AQ984" i="2" s="1"/>
  <c r="AP1230" i="2"/>
  <c r="AQ1230" i="2" s="1"/>
  <c r="AP1216" i="2"/>
  <c r="AQ1216" i="2" s="1"/>
  <c r="AP1156" i="2"/>
  <c r="AQ1156" i="2" s="1"/>
  <c r="AP1049" i="2"/>
  <c r="AQ1049" i="2" s="1"/>
  <c r="AP1027" i="2"/>
  <c r="AQ1027" i="2" s="1"/>
  <c r="C57" i="5" s="1"/>
  <c r="AP1005" i="2"/>
  <c r="AQ1005" i="2" s="1"/>
  <c r="AP1196" i="2"/>
  <c r="AQ1196" i="2" s="1"/>
  <c r="AP1247" i="2"/>
  <c r="AQ1247" i="2" s="1"/>
  <c r="AP1171" i="2"/>
  <c r="AQ1171" i="2" s="1"/>
  <c r="AP1169" i="2"/>
  <c r="AQ1169" i="2" s="1"/>
  <c r="AP1099" i="2"/>
  <c r="AQ1099" i="2" s="1"/>
  <c r="AP1065" i="2"/>
  <c r="AQ1065" i="2" s="1"/>
  <c r="AP1043" i="2"/>
  <c r="AQ1043" i="2" s="1"/>
  <c r="AP1021" i="2"/>
  <c r="AQ1021" i="2" s="1"/>
  <c r="AP1253" i="2"/>
  <c r="AQ1253" i="2" s="1"/>
  <c r="AP1280" i="2"/>
  <c r="AQ1280" i="2" s="1"/>
  <c r="AP1209" i="2"/>
  <c r="AQ1209" i="2" s="1"/>
  <c r="AP1133" i="2"/>
  <c r="AQ1133" i="2" s="1"/>
  <c r="AP1037" i="2"/>
  <c r="AQ1037" i="2" s="1"/>
  <c r="AP1013" i="2"/>
  <c r="AQ1013" i="2" s="1"/>
  <c r="AP994" i="2"/>
  <c r="AQ994" i="2" s="1"/>
  <c r="AP1145" i="2"/>
  <c r="AQ1145" i="2" s="1"/>
  <c r="AP1048" i="2"/>
  <c r="AQ1048" i="2" s="1"/>
  <c r="AP1044" i="2"/>
  <c r="AQ1044" i="2" s="1"/>
  <c r="AP1235" i="2"/>
  <c r="AQ1235" i="2" s="1"/>
  <c r="AP1200" i="2"/>
  <c r="AQ1200" i="2" s="1"/>
  <c r="AP1121" i="2"/>
  <c r="AQ1121" i="2" s="1"/>
  <c r="AP1071" i="2"/>
  <c r="AQ1071" i="2" s="1"/>
  <c r="AP1227" i="2"/>
  <c r="AQ1227" i="2" s="1"/>
  <c r="AP1199" i="2"/>
  <c r="AQ1199" i="2" s="1"/>
  <c r="AP1189" i="2"/>
  <c r="AQ1189" i="2" s="1"/>
  <c r="AP1159" i="2"/>
  <c r="AQ1159" i="2" s="1"/>
  <c r="AP1143" i="2"/>
  <c r="AQ1143" i="2" s="1"/>
  <c r="AP1125" i="2"/>
  <c r="AQ1125" i="2" s="1"/>
  <c r="AP1113" i="2"/>
  <c r="AQ1113" i="2" s="1"/>
  <c r="AP1081" i="2"/>
  <c r="AQ1081" i="2" s="1"/>
  <c r="AP1075" i="2"/>
  <c r="AQ1075" i="2" s="1"/>
  <c r="AP1070" i="2"/>
  <c r="AQ1070" i="2" s="1"/>
  <c r="AP1047" i="2"/>
  <c r="AQ1047" i="2" s="1"/>
  <c r="AP1220" i="2"/>
  <c r="AQ1220" i="2" s="1"/>
  <c r="AP1109" i="2"/>
  <c r="AQ1109" i="2" s="1"/>
  <c r="AP1063" i="2"/>
  <c r="AQ1063" i="2" s="1"/>
  <c r="AP975" i="2"/>
  <c r="AQ975" i="2" s="1"/>
  <c r="AP954" i="2"/>
  <c r="AQ954" i="2" s="1"/>
  <c r="AP931" i="2"/>
  <c r="AQ931" i="2" s="1"/>
  <c r="AP914" i="2"/>
  <c r="AQ914" i="2" s="1"/>
  <c r="AP1270" i="2"/>
  <c r="AQ1270" i="2" s="1"/>
  <c r="AP1206" i="2"/>
  <c r="AQ1206" i="2" s="1"/>
  <c r="AP1195" i="2"/>
  <c r="AQ1195" i="2" s="1"/>
  <c r="AP1175" i="2"/>
  <c r="AQ1175" i="2" s="1"/>
  <c r="AP1168" i="2"/>
  <c r="AQ1168" i="2" s="1"/>
  <c r="AP1055" i="2"/>
  <c r="AQ1055" i="2" s="1"/>
  <c r="AP982" i="2"/>
  <c r="AQ982" i="2" s="1"/>
  <c r="AP979" i="2"/>
  <c r="AQ979" i="2" s="1"/>
  <c r="AP967" i="2"/>
  <c r="AQ967" i="2" s="1"/>
  <c r="AP946" i="2"/>
  <c r="AQ946" i="2" s="1"/>
  <c r="AP911" i="2"/>
  <c r="AQ911" i="2" s="1"/>
  <c r="AP1042" i="2"/>
  <c r="AQ1042" i="2" s="1"/>
  <c r="AP1029" i="2"/>
  <c r="AQ1029" i="2" s="1"/>
  <c r="AP1024" i="2"/>
  <c r="AQ1024" i="2" s="1"/>
  <c r="AP991" i="2"/>
  <c r="AQ991" i="2" s="1"/>
  <c r="AP969" i="2"/>
  <c r="AQ969" i="2" s="1"/>
  <c r="AP948" i="2"/>
  <c r="AQ948" i="2" s="1"/>
  <c r="AP917" i="2"/>
  <c r="AQ917" i="2" s="1"/>
  <c r="AP1212" i="2"/>
  <c r="AQ1212" i="2" s="1"/>
  <c r="AP1165" i="2"/>
  <c r="AQ1165" i="2" s="1"/>
  <c r="AP1148" i="2"/>
  <c r="AQ1148" i="2" s="1"/>
  <c r="AP1256" i="2"/>
  <c r="AQ1256" i="2" s="1"/>
  <c r="AP1211" i="2"/>
  <c r="AQ1211" i="2" s="1"/>
  <c r="AP1053" i="2"/>
  <c r="AQ1053" i="2" s="1"/>
  <c r="AP1046" i="2"/>
  <c r="AQ1046" i="2" s="1"/>
  <c r="AP1035" i="2"/>
  <c r="AQ1035" i="2" s="1"/>
  <c r="AP1028" i="2"/>
  <c r="AQ1028" i="2" s="1"/>
  <c r="AP966" i="2"/>
  <c r="AQ966" i="2" s="1"/>
  <c r="AP943" i="2"/>
  <c r="AQ943" i="2" s="1"/>
  <c r="AP927" i="2"/>
  <c r="AQ927" i="2" s="1"/>
  <c r="AP906" i="2"/>
  <c r="AQ906" i="2" s="1"/>
  <c r="AP1241" i="2"/>
  <c r="AQ1241" i="2" s="1"/>
  <c r="AP997" i="2"/>
  <c r="AQ997" i="2" s="1"/>
  <c r="AP891" i="2"/>
  <c r="AQ891" i="2" s="1"/>
  <c r="AP884" i="2"/>
  <c r="AQ884" i="2" s="1"/>
  <c r="AP847" i="2"/>
  <c r="AQ847" i="2" s="1"/>
  <c r="AP1261" i="2"/>
  <c r="AQ1261" i="2" s="1"/>
  <c r="AP1258" i="2"/>
  <c r="AQ1258" i="2" s="1"/>
  <c r="AP1269" i="2"/>
  <c r="AQ1269" i="2" s="1"/>
  <c r="AP1246" i="2"/>
  <c r="AQ1246" i="2" s="1"/>
  <c r="AP1103" i="2"/>
  <c r="AQ1103" i="2" s="1"/>
  <c r="AP1040" i="2"/>
  <c r="AQ1040" i="2" s="1"/>
  <c r="AP985" i="2"/>
  <c r="AQ985" i="2" s="1"/>
  <c r="AP980" i="2"/>
  <c r="AQ980" i="2" s="1"/>
  <c r="AP973" i="2"/>
  <c r="AQ973" i="2" s="1"/>
  <c r="AP951" i="2"/>
  <c r="AQ951" i="2" s="1"/>
  <c r="AP945" i="2"/>
  <c r="AQ945" i="2" s="1"/>
  <c r="AP936" i="2"/>
  <c r="AQ936" i="2" s="1"/>
  <c r="AP883" i="2"/>
  <c r="AQ883" i="2" s="1"/>
  <c r="AP876" i="2"/>
  <c r="AQ876" i="2" s="1"/>
  <c r="AP1059" i="2"/>
  <c r="AQ1059" i="2" s="1"/>
  <c r="AP1015" i="2"/>
  <c r="AQ1015" i="2" s="1"/>
  <c r="AP970" i="2"/>
  <c r="AQ970" i="2" s="1"/>
  <c r="AP939" i="2"/>
  <c r="AQ939" i="2" s="1"/>
  <c r="AP929" i="2"/>
  <c r="AQ929" i="2" s="1"/>
  <c r="AP921" i="2"/>
  <c r="AQ921" i="2" s="1"/>
  <c r="AP904" i="2"/>
  <c r="AQ904" i="2" s="1"/>
  <c r="AP885" i="2"/>
  <c r="AQ885" i="2" s="1"/>
  <c r="AP878" i="2"/>
  <c r="AQ878" i="2" s="1"/>
  <c r="AP1245" i="2"/>
  <c r="AQ1245" i="2" s="1"/>
  <c r="AP1204" i="2"/>
  <c r="AQ1204" i="2" s="1"/>
  <c r="AP1166" i="2"/>
  <c r="AQ1166" i="2" s="1"/>
  <c r="AP1283" i="2"/>
  <c r="AQ1283" i="2" s="1"/>
  <c r="AP1242" i="2"/>
  <c r="AQ1242" i="2" s="1"/>
  <c r="AP1217" i="2"/>
  <c r="AQ1217" i="2" s="1"/>
  <c r="AP1025" i="2"/>
  <c r="AQ1025" i="2" s="1"/>
  <c r="AP998" i="2"/>
  <c r="AQ998" i="2" s="1"/>
  <c r="AP983" i="2"/>
  <c r="AQ983" i="2" s="1"/>
  <c r="AP978" i="2"/>
  <c r="AQ978" i="2" s="1"/>
  <c r="AP972" i="2"/>
  <c r="AQ972" i="2" s="1"/>
  <c r="AP938" i="2"/>
  <c r="AQ938" i="2" s="1"/>
  <c r="AP935" i="2"/>
  <c r="AQ935" i="2" s="1"/>
  <c r="AP859" i="2"/>
  <c r="AQ859" i="2" s="1"/>
  <c r="AP852" i="2"/>
  <c r="AQ852" i="2" s="1"/>
  <c r="AP1244" i="2"/>
  <c r="AQ1244" i="2" s="1"/>
  <c r="AP1115" i="2"/>
  <c r="AQ1115" i="2" s="1"/>
  <c r="AP981" i="2"/>
  <c r="AQ981" i="2" s="1"/>
  <c r="AP976" i="2"/>
  <c r="AQ976" i="2" s="1"/>
  <c r="AP866" i="2"/>
  <c r="AQ866" i="2" s="1"/>
  <c r="AP795" i="2"/>
  <c r="AQ795" i="2" s="1"/>
  <c r="AP772" i="2"/>
  <c r="AQ772" i="2" s="1"/>
  <c r="AP770" i="2"/>
  <c r="AQ770" i="2" s="1"/>
  <c r="AP768" i="2"/>
  <c r="AQ768" i="2" s="1"/>
  <c r="AP766" i="2"/>
  <c r="AQ766" i="2" s="1"/>
  <c r="AP764" i="2"/>
  <c r="AQ764" i="2" s="1"/>
  <c r="AP762" i="2"/>
  <c r="AQ762" i="2" s="1"/>
  <c r="AP760" i="2"/>
  <c r="AQ760" i="2" s="1"/>
  <c r="AP758" i="2"/>
  <c r="AQ758" i="2" s="1"/>
  <c r="AP756" i="2"/>
  <c r="AQ756" i="2" s="1"/>
  <c r="AP754" i="2"/>
  <c r="AQ754" i="2" s="1"/>
  <c r="AP752" i="2"/>
  <c r="AQ752" i="2" s="1"/>
  <c r="AP750" i="2"/>
  <c r="AQ750" i="2" s="1"/>
  <c r="AP748" i="2"/>
  <c r="AQ748" i="2" s="1"/>
  <c r="AP746" i="2"/>
  <c r="AQ746" i="2" s="1"/>
  <c r="AP744" i="2"/>
  <c r="AQ744" i="2" s="1"/>
  <c r="AP742" i="2"/>
  <c r="AQ742" i="2" s="1"/>
  <c r="AP1152" i="2"/>
  <c r="AQ1152" i="2" s="1"/>
  <c r="AP1146" i="2"/>
  <c r="AQ1146" i="2" s="1"/>
  <c r="AP1054" i="2"/>
  <c r="AQ1054" i="2" s="1"/>
  <c r="AP1157" i="2"/>
  <c r="AQ1157" i="2" s="1"/>
  <c r="AP1141" i="2"/>
  <c r="AQ1141" i="2" s="1"/>
  <c r="AP1139" i="2"/>
  <c r="AQ1139" i="2" s="1"/>
  <c r="AP1019" i="2"/>
  <c r="AQ1019" i="2" s="1"/>
  <c r="AP1182" i="2"/>
  <c r="AQ1182" i="2" s="1"/>
  <c r="AP1176" i="2"/>
  <c r="AQ1176" i="2" s="1"/>
  <c r="AP1248" i="2"/>
  <c r="AQ1248" i="2" s="1"/>
  <c r="AP1198" i="2"/>
  <c r="AQ1198" i="2" s="1"/>
  <c r="AP1061" i="2"/>
  <c r="AQ1061" i="2" s="1"/>
  <c r="AP1031" i="2"/>
  <c r="AQ1031" i="2" s="1"/>
  <c r="AP974" i="2"/>
  <c r="AQ974" i="2" s="1"/>
  <c r="AP971" i="2"/>
  <c r="AQ971" i="2" s="1"/>
  <c r="AP896" i="2"/>
  <c r="AQ896" i="2" s="1"/>
  <c r="AP890" i="2"/>
  <c r="AQ890" i="2" s="1"/>
  <c r="AP881" i="2"/>
  <c r="AQ881" i="2" s="1"/>
  <c r="AP875" i="2"/>
  <c r="AQ875" i="2" s="1"/>
  <c r="AP868" i="2"/>
  <c r="AQ868" i="2" s="1"/>
  <c r="AP1068" i="2"/>
  <c r="AQ1068" i="2" s="1"/>
  <c r="AP957" i="2"/>
  <c r="AQ957" i="2" s="1"/>
  <c r="AP923" i="2"/>
  <c r="AQ923" i="2" s="1"/>
  <c r="AP913" i="2"/>
  <c r="AQ913" i="2" s="1"/>
  <c r="AP909" i="2"/>
  <c r="AQ909" i="2" s="1"/>
  <c r="AP902" i="2"/>
  <c r="AQ902" i="2" s="1"/>
  <c r="AP1123" i="2"/>
  <c r="AQ1123" i="2" s="1"/>
  <c r="AP1219" i="2"/>
  <c r="AQ1219" i="2" s="1"/>
  <c r="AP1179" i="2"/>
  <c r="AQ1179" i="2" s="1"/>
  <c r="AP1036" i="2"/>
  <c r="AQ1036" i="2" s="1"/>
  <c r="AP1022" i="2"/>
  <c r="AQ1022" i="2" s="1"/>
  <c r="AP1012" i="2"/>
  <c r="AQ1012" i="2" s="1"/>
  <c r="AP908" i="2"/>
  <c r="AQ908" i="2" s="1"/>
  <c r="AP1062" i="2"/>
  <c r="AQ1062" i="2" s="1"/>
  <c r="AP1011" i="2"/>
  <c r="AQ1011" i="2" s="1"/>
  <c r="AP995" i="2"/>
  <c r="AQ995" i="2" s="1"/>
  <c r="AP962" i="2"/>
  <c r="AQ962" i="2" s="1"/>
  <c r="AP860" i="2"/>
  <c r="AQ860" i="2" s="1"/>
  <c r="AP857" i="2"/>
  <c r="AQ857" i="2" s="1"/>
  <c r="AP840" i="2"/>
  <c r="AQ840" i="2" s="1"/>
  <c r="AP830" i="2"/>
  <c r="AQ830" i="2" s="1"/>
  <c r="AP1060" i="2"/>
  <c r="AQ1060" i="2" s="1"/>
  <c r="AP1057" i="2"/>
  <c r="AQ1057" i="2" s="1"/>
  <c r="AP1018" i="2"/>
  <c r="AQ1018" i="2" s="1"/>
  <c r="AP1002" i="2"/>
  <c r="AQ1002" i="2" s="1"/>
  <c r="AP937" i="2"/>
  <c r="AQ937" i="2" s="1"/>
  <c r="AP920" i="2"/>
  <c r="AQ920" i="2" s="1"/>
  <c r="AP907" i="2"/>
  <c r="AQ907" i="2" s="1"/>
  <c r="AP903" i="2"/>
  <c r="AQ903" i="2" s="1"/>
  <c r="AP1119" i="2"/>
  <c r="AQ1119" i="2" s="1"/>
  <c r="AP1050" i="2"/>
  <c r="AQ1050" i="2" s="1"/>
  <c r="AP990" i="2"/>
  <c r="AQ990" i="2" s="1"/>
  <c r="AP961" i="2"/>
  <c r="AQ961" i="2" s="1"/>
  <c r="AP1041" i="2"/>
  <c r="AQ1041" i="2" s="1"/>
  <c r="AP1010" i="2"/>
  <c r="AQ1010" i="2" s="1"/>
  <c r="AP1007" i="2"/>
  <c r="AQ1007" i="2" s="1"/>
  <c r="AP1033" i="2"/>
  <c r="AQ1033" i="2" s="1"/>
  <c r="AP1026" i="2"/>
  <c r="AQ1026" i="2" s="1"/>
  <c r="AP955" i="2"/>
  <c r="AQ955" i="2" s="1"/>
  <c r="AP930" i="2"/>
  <c r="AQ930" i="2" s="1"/>
  <c r="AP886" i="2"/>
  <c r="AQ886" i="2" s="1"/>
  <c r="AP846" i="2"/>
  <c r="AQ846" i="2" s="1"/>
  <c r="AP825" i="2"/>
  <c r="AQ825" i="2" s="1"/>
  <c r="AP798" i="2"/>
  <c r="AQ798" i="2" s="1"/>
  <c r="AP1111" i="2"/>
  <c r="AQ1111" i="2" s="1"/>
  <c r="AP1105" i="2"/>
  <c r="AQ1105" i="2" s="1"/>
  <c r="AP1101" i="2"/>
  <c r="AQ1101" i="2" s="1"/>
  <c r="AP1231" i="2"/>
  <c r="AQ1231" i="2" s="1"/>
  <c r="AP1150" i="2"/>
  <c r="AQ1150" i="2" s="1"/>
  <c r="AP1017" i="2"/>
  <c r="AQ1017" i="2" s="1"/>
  <c r="AP963" i="2"/>
  <c r="AQ963" i="2" s="1"/>
  <c r="AP949" i="2"/>
  <c r="AQ949" i="2" s="1"/>
  <c r="AP940" i="2"/>
  <c r="AQ940" i="2" s="1"/>
  <c r="AP925" i="2"/>
  <c r="AQ925" i="2" s="1"/>
  <c r="AP869" i="2"/>
  <c r="AQ869" i="2" s="1"/>
  <c r="AP1014" i="2"/>
  <c r="AQ1014" i="2" s="1"/>
  <c r="AP1009" i="2"/>
  <c r="AQ1009" i="2" s="1"/>
  <c r="AP1000" i="2"/>
  <c r="AQ1000" i="2" s="1"/>
  <c r="AP959" i="2"/>
  <c r="AQ959" i="2" s="1"/>
  <c r="AP944" i="2"/>
  <c r="AQ944" i="2" s="1"/>
  <c r="AP888" i="2"/>
  <c r="AQ888" i="2" s="1"/>
  <c r="AP880" i="2"/>
  <c r="AQ880" i="2" s="1"/>
  <c r="AP842" i="2"/>
  <c r="AQ842" i="2" s="1"/>
  <c r="AP1107" i="2"/>
  <c r="AQ1107" i="2" s="1"/>
  <c r="AP932" i="2"/>
  <c r="AQ932" i="2" s="1"/>
  <c r="AP912" i="2"/>
  <c r="AQ912" i="2" s="1"/>
  <c r="AP858" i="2"/>
  <c r="AQ858" i="2" s="1"/>
  <c r="AP841" i="2"/>
  <c r="AQ841" i="2" s="1"/>
  <c r="AP833" i="2"/>
  <c r="AQ833" i="2" s="1"/>
  <c r="AP821" i="2"/>
  <c r="AQ821" i="2" s="1"/>
  <c r="AP817" i="2"/>
  <c r="AQ817" i="2" s="1"/>
  <c r="AP809" i="2"/>
  <c r="AQ809" i="2" s="1"/>
  <c r="AP799" i="2"/>
  <c r="AQ799" i="2" s="1"/>
  <c r="AP759" i="2"/>
  <c r="AQ759" i="2" s="1"/>
  <c r="AP1038" i="2"/>
  <c r="AQ1038" i="2" s="1"/>
  <c r="AP934" i="2"/>
  <c r="AQ934" i="2" s="1"/>
  <c r="AP900" i="2"/>
  <c r="AQ900" i="2" s="1"/>
  <c r="AP849" i="2"/>
  <c r="AQ849" i="2" s="1"/>
  <c r="AP816" i="2"/>
  <c r="AQ816" i="2" s="1"/>
  <c r="AP794" i="2"/>
  <c r="AQ794" i="2" s="1"/>
  <c r="AP753" i="2"/>
  <c r="AQ753" i="2" s="1"/>
  <c r="AP741" i="2"/>
  <c r="AQ741" i="2" s="1"/>
  <c r="AP739" i="2"/>
  <c r="AQ739" i="2" s="1"/>
  <c r="AP737" i="2"/>
  <c r="AQ737" i="2" s="1"/>
  <c r="AP735" i="2"/>
  <c r="AQ735" i="2" s="1"/>
  <c r="AP733" i="2"/>
  <c r="AQ733" i="2" s="1"/>
  <c r="AP731" i="2"/>
  <c r="AQ731" i="2" s="1"/>
  <c r="AP729" i="2"/>
  <c r="AQ729" i="2" s="1"/>
  <c r="AP727" i="2"/>
  <c r="AQ727" i="2" s="1"/>
  <c r="AP725" i="2"/>
  <c r="AQ725" i="2" s="1"/>
  <c r="AP723" i="2"/>
  <c r="AQ723" i="2" s="1"/>
  <c r="AP721" i="2"/>
  <c r="AQ721" i="2" s="1"/>
  <c r="AP719" i="2"/>
  <c r="AQ719" i="2" s="1"/>
  <c r="AP717" i="2"/>
  <c r="AQ717" i="2" s="1"/>
  <c r="AP715" i="2"/>
  <c r="AQ715" i="2" s="1"/>
  <c r="AP713" i="2"/>
  <c r="AQ713" i="2" s="1"/>
  <c r="AP711" i="2"/>
  <c r="AQ711" i="2" s="1"/>
  <c r="AP709" i="2"/>
  <c r="AQ709" i="2" s="1"/>
  <c r="AP707" i="2"/>
  <c r="AQ707" i="2" s="1"/>
  <c r="AP705" i="2"/>
  <c r="AQ705" i="2" s="1"/>
  <c r="AP703" i="2"/>
  <c r="AQ703" i="2" s="1"/>
  <c r="AP701" i="2"/>
  <c r="AQ701" i="2" s="1"/>
  <c r="AP699" i="2"/>
  <c r="AQ699" i="2" s="1"/>
  <c r="AP697" i="2"/>
  <c r="AQ697" i="2" s="1"/>
  <c r="AP695" i="2"/>
  <c r="AQ695" i="2" s="1"/>
  <c r="AP693" i="2"/>
  <c r="AQ693" i="2" s="1"/>
  <c r="AP691" i="2"/>
  <c r="AQ691" i="2" s="1"/>
  <c r="AP689" i="2"/>
  <c r="AQ689" i="2" s="1"/>
  <c r="AP922" i="2"/>
  <c r="AQ922" i="2" s="1"/>
  <c r="AP898" i="2"/>
  <c r="AQ898" i="2" s="1"/>
  <c r="AP894" i="2"/>
  <c r="AQ894" i="2" s="1"/>
  <c r="AP1003" i="2"/>
  <c r="AQ1003" i="2" s="1"/>
  <c r="AP916" i="2"/>
  <c r="AQ916" i="2" s="1"/>
  <c r="AP910" i="2"/>
  <c r="AQ910" i="2" s="1"/>
  <c r="AP780" i="2"/>
  <c r="AQ780" i="2" s="1"/>
  <c r="AP745" i="2"/>
  <c r="AQ745" i="2" s="1"/>
  <c r="AP710" i="2"/>
  <c r="AQ710" i="2" s="1"/>
  <c r="AP687" i="2"/>
  <c r="AQ687" i="2" s="1"/>
  <c r="AP685" i="2"/>
  <c r="AQ685" i="2" s="1"/>
  <c r="AP683" i="2"/>
  <c r="AQ683" i="2" s="1"/>
  <c r="AP681" i="2"/>
  <c r="AQ681" i="2" s="1"/>
  <c r="AP679" i="2"/>
  <c r="AQ679" i="2" s="1"/>
  <c r="AP677" i="2"/>
  <c r="AQ677" i="2" s="1"/>
  <c r="AP675" i="2"/>
  <c r="AQ675" i="2" s="1"/>
  <c r="AP673" i="2"/>
  <c r="AQ673" i="2" s="1"/>
  <c r="AP671" i="2"/>
  <c r="AQ671" i="2" s="1"/>
  <c r="AP669" i="2"/>
  <c r="AQ669" i="2" s="1"/>
  <c r="AP667" i="2"/>
  <c r="AQ667" i="2" s="1"/>
  <c r="AP665" i="2"/>
  <c r="AQ665" i="2" s="1"/>
  <c r="AP663" i="2"/>
  <c r="AQ663" i="2" s="1"/>
  <c r="AP661" i="2"/>
  <c r="AQ661" i="2" s="1"/>
  <c r="AP659" i="2"/>
  <c r="AQ659" i="2" s="1"/>
  <c r="AP657" i="2"/>
  <c r="AQ657" i="2" s="1"/>
  <c r="AP655" i="2"/>
  <c r="AQ655" i="2" s="1"/>
  <c r="AP653" i="2"/>
  <c r="AQ653" i="2" s="1"/>
  <c r="AP651" i="2"/>
  <c r="AQ651" i="2" s="1"/>
  <c r="AP649" i="2"/>
  <c r="AQ649" i="2" s="1"/>
  <c r="AP647" i="2"/>
  <c r="AQ647" i="2" s="1"/>
  <c r="AP645" i="2"/>
  <c r="AQ645" i="2" s="1"/>
  <c r="AP643" i="2"/>
  <c r="AQ643" i="2" s="1"/>
  <c r="AP641" i="2"/>
  <c r="AQ641" i="2" s="1"/>
  <c r="AP639" i="2"/>
  <c r="AQ639" i="2" s="1"/>
  <c r="AP637" i="2"/>
  <c r="AQ637" i="2" s="1"/>
  <c r="AP635" i="2"/>
  <c r="AQ635" i="2" s="1"/>
  <c r="AP633" i="2"/>
  <c r="AQ633" i="2" s="1"/>
  <c r="AP631" i="2"/>
  <c r="AQ631" i="2" s="1"/>
  <c r="AP629" i="2"/>
  <c r="AQ629" i="2" s="1"/>
  <c r="AP627" i="2"/>
  <c r="AQ627" i="2" s="1"/>
  <c r="AP625" i="2"/>
  <c r="AQ625" i="2" s="1"/>
  <c r="AP623" i="2"/>
  <c r="AQ623" i="2" s="1"/>
  <c r="AP621" i="2"/>
  <c r="AQ621" i="2" s="1"/>
  <c r="AP619" i="2"/>
  <c r="AQ619" i="2" s="1"/>
  <c r="AP617" i="2"/>
  <c r="AQ617" i="2" s="1"/>
  <c r="AP615" i="2"/>
  <c r="AQ615" i="2" s="1"/>
  <c r="AP613" i="2"/>
  <c r="AQ613" i="2" s="1"/>
  <c r="AP611" i="2"/>
  <c r="AQ611" i="2" s="1"/>
  <c r="AP609" i="2"/>
  <c r="AQ609" i="2" s="1"/>
  <c r="AP607" i="2"/>
  <c r="AQ607" i="2" s="1"/>
  <c r="AP605" i="2"/>
  <c r="AQ605" i="2" s="1"/>
  <c r="AP603" i="2"/>
  <c r="AQ603" i="2" s="1"/>
  <c r="AP601" i="2"/>
  <c r="AQ601" i="2" s="1"/>
  <c r="AP599" i="2"/>
  <c r="AQ599" i="2" s="1"/>
  <c r="AP597" i="2"/>
  <c r="AQ597" i="2" s="1"/>
  <c r="AP595" i="2"/>
  <c r="AQ595" i="2" s="1"/>
  <c r="AP593" i="2"/>
  <c r="AQ593" i="2" s="1"/>
  <c r="AP591" i="2"/>
  <c r="AQ591" i="2" s="1"/>
  <c r="AP589" i="2"/>
  <c r="AQ589" i="2" s="1"/>
  <c r="AP587" i="2"/>
  <c r="AQ587" i="2" s="1"/>
  <c r="AP585" i="2"/>
  <c r="AQ585" i="2" s="1"/>
  <c r="AP583" i="2"/>
  <c r="AQ583" i="2" s="1"/>
  <c r="AP581" i="2"/>
  <c r="AQ581" i="2" s="1"/>
  <c r="AP579" i="2"/>
  <c r="AQ579" i="2" s="1"/>
  <c r="AP577" i="2"/>
  <c r="AQ577" i="2" s="1"/>
  <c r="AP575" i="2"/>
  <c r="AQ575" i="2" s="1"/>
  <c r="AP573" i="2"/>
  <c r="AQ573" i="2" s="1"/>
  <c r="AP571" i="2"/>
  <c r="AQ571" i="2" s="1"/>
  <c r="AP569" i="2"/>
  <c r="AQ569" i="2" s="1"/>
  <c r="AP567" i="2"/>
  <c r="AQ567" i="2" s="1"/>
  <c r="AP565" i="2"/>
  <c r="AQ565" i="2" s="1"/>
  <c r="AP563" i="2"/>
  <c r="AQ563" i="2" s="1"/>
  <c r="AP561" i="2"/>
  <c r="AQ561" i="2" s="1"/>
  <c r="AP559" i="2"/>
  <c r="AQ559" i="2" s="1"/>
  <c r="AP557" i="2"/>
  <c r="AQ557" i="2" s="1"/>
  <c r="AP555" i="2"/>
  <c r="AQ555" i="2" s="1"/>
  <c r="AP553" i="2"/>
  <c r="AQ553" i="2" s="1"/>
  <c r="AP551" i="2"/>
  <c r="AQ551" i="2" s="1"/>
  <c r="AP549" i="2"/>
  <c r="AQ549" i="2" s="1"/>
  <c r="AP1127" i="2"/>
  <c r="AQ1127" i="2" s="1"/>
  <c r="AP1058" i="2"/>
  <c r="AQ1058" i="2" s="1"/>
  <c r="AP968" i="2"/>
  <c r="AQ968" i="2" s="1"/>
  <c r="AP872" i="2"/>
  <c r="AQ872" i="2" s="1"/>
  <c r="AP977" i="2"/>
  <c r="AQ977" i="2" s="1"/>
  <c r="AP915" i="2"/>
  <c r="AQ915" i="2" s="1"/>
  <c r="AP856" i="2"/>
  <c r="AQ856" i="2" s="1"/>
  <c r="AP836" i="2"/>
  <c r="AQ836" i="2" s="1"/>
  <c r="AP818" i="2"/>
  <c r="AQ818" i="2" s="1"/>
  <c r="AP782" i="2"/>
  <c r="AQ782" i="2" s="1"/>
  <c r="AP716" i="2"/>
  <c r="AQ716" i="2" s="1"/>
  <c r="AP1016" i="2"/>
  <c r="AQ1016" i="2" s="1"/>
  <c r="AP988" i="2"/>
  <c r="AQ988" i="2" s="1"/>
  <c r="AP863" i="2"/>
  <c r="AQ863" i="2" s="1"/>
  <c r="AP804" i="2"/>
  <c r="AQ804" i="2" s="1"/>
  <c r="AP1069" i="2"/>
  <c r="AQ1069" i="2" s="1"/>
  <c r="AP901" i="2"/>
  <c r="AQ901" i="2" s="1"/>
  <c r="AP879" i="2"/>
  <c r="AQ879" i="2" s="1"/>
  <c r="AP855" i="2"/>
  <c r="AQ855" i="2" s="1"/>
  <c r="AP800" i="2"/>
  <c r="AQ800" i="2" s="1"/>
  <c r="AP788" i="2"/>
  <c r="AQ788" i="2" s="1"/>
  <c r="AP781" i="2"/>
  <c r="AQ781" i="2" s="1"/>
  <c r="AP688" i="2"/>
  <c r="AQ688" i="2" s="1"/>
  <c r="AP662" i="2"/>
  <c r="AQ662" i="2" s="1"/>
  <c r="AP618" i="2"/>
  <c r="AQ618" i="2" s="1"/>
  <c r="AP574" i="2"/>
  <c r="AQ574" i="2" s="1"/>
  <c r="AP947" i="2"/>
  <c r="AQ947" i="2" s="1"/>
  <c r="AP942" i="2"/>
  <c r="AQ942" i="2" s="1"/>
  <c r="AP850" i="2"/>
  <c r="AQ850" i="2" s="1"/>
  <c r="AP826" i="2"/>
  <c r="AQ826" i="2" s="1"/>
  <c r="AP1066" i="2"/>
  <c r="AQ1066" i="2" s="1"/>
  <c r="AP1056" i="2"/>
  <c r="AQ1056" i="2" s="1"/>
  <c r="AP862" i="2"/>
  <c r="AQ862" i="2" s="1"/>
  <c r="AP854" i="2"/>
  <c r="AQ854" i="2" s="1"/>
  <c r="AP837" i="2"/>
  <c r="AQ837" i="2" s="1"/>
  <c r="AP831" i="2"/>
  <c r="AQ831" i="2" s="1"/>
  <c r="AP814" i="2"/>
  <c r="AQ814" i="2" s="1"/>
  <c r="AP986" i="2"/>
  <c r="AQ986" i="2" s="1"/>
  <c r="AP933" i="2"/>
  <c r="AQ933" i="2" s="1"/>
  <c r="AP871" i="2"/>
  <c r="AQ871" i="2" s="1"/>
  <c r="AP843" i="2"/>
  <c r="AQ843" i="2" s="1"/>
  <c r="AP820" i="2"/>
  <c r="AQ820" i="2" s="1"/>
  <c r="AP1135" i="2"/>
  <c r="AQ1135" i="2" s="1"/>
  <c r="AP941" i="2"/>
  <c r="AQ941" i="2" s="1"/>
  <c r="AP1079" i="2"/>
  <c r="AQ1079" i="2" s="1"/>
  <c r="AP953" i="2"/>
  <c r="AQ953" i="2" s="1"/>
  <c r="AP919" i="2"/>
  <c r="AQ919" i="2" s="1"/>
  <c r="AP1034" i="2"/>
  <c r="AQ1034" i="2" s="1"/>
  <c r="AP823" i="2"/>
  <c r="AQ823" i="2" s="1"/>
  <c r="AP790" i="2"/>
  <c r="AQ790" i="2" s="1"/>
  <c r="AP751" i="2"/>
  <c r="AQ751" i="2" s="1"/>
  <c r="AP722" i="2"/>
  <c r="AQ722" i="2" s="1"/>
  <c r="AP698" i="2"/>
  <c r="AQ698" i="2" s="1"/>
  <c r="AP654" i="2"/>
  <c r="AQ654" i="2" s="1"/>
  <c r="AP610" i="2"/>
  <c r="AQ610" i="2" s="1"/>
  <c r="AP566" i="2"/>
  <c r="AQ566" i="2" s="1"/>
  <c r="AP993" i="2"/>
  <c r="AQ993" i="2" s="1"/>
  <c r="AP889" i="2"/>
  <c r="AQ889" i="2" s="1"/>
  <c r="AP834" i="2"/>
  <c r="AQ834" i="2" s="1"/>
  <c r="AP828" i="2"/>
  <c r="AQ828" i="2" s="1"/>
  <c r="AP806" i="2"/>
  <c r="AQ806" i="2" s="1"/>
  <c r="AP769" i="2"/>
  <c r="AQ769" i="2" s="1"/>
  <c r="AP763" i="2"/>
  <c r="AQ763" i="2" s="1"/>
  <c r="AP706" i="2"/>
  <c r="AQ706" i="2" s="1"/>
  <c r="AP656" i="2"/>
  <c r="AQ656" i="2" s="1"/>
  <c r="AP992" i="2"/>
  <c r="AQ992" i="2" s="1"/>
  <c r="AP956" i="2"/>
  <c r="AQ956" i="2" s="1"/>
  <c r="AP1093" i="2"/>
  <c r="AQ1093" i="2" s="1"/>
  <c r="AP989" i="2"/>
  <c r="AQ989" i="2" s="1"/>
  <c r="AP928" i="2"/>
  <c r="AQ928" i="2" s="1"/>
  <c r="AP1097" i="2"/>
  <c r="AQ1097" i="2" s="1"/>
  <c r="AP1006" i="2"/>
  <c r="AQ1006" i="2" s="1"/>
  <c r="AP839" i="2"/>
  <c r="AQ839" i="2" s="1"/>
  <c r="AP827" i="2"/>
  <c r="AQ827" i="2" s="1"/>
  <c r="AP822" i="2"/>
  <c r="AQ822" i="2" s="1"/>
  <c r="AP815" i="2"/>
  <c r="AQ815" i="2" s="1"/>
  <c r="AP792" i="2"/>
  <c r="AQ792" i="2" s="1"/>
  <c r="AP738" i="2"/>
  <c r="AQ738" i="2" s="1"/>
  <c r="AP724" i="2"/>
  <c r="AQ724" i="2" s="1"/>
  <c r="AP700" i="2"/>
  <c r="AQ700" i="2" s="1"/>
  <c r="AP1282" i="2"/>
  <c r="AQ1282" i="2" s="1"/>
  <c r="AP877" i="2"/>
  <c r="AQ877" i="2" s="1"/>
  <c r="AP832" i="2"/>
  <c r="AQ832" i="2" s="1"/>
  <c r="AP684" i="2"/>
  <c r="AQ684" i="2" s="1"/>
  <c r="AP660" i="2"/>
  <c r="AQ660" i="2" s="1"/>
  <c r="AP1001" i="2"/>
  <c r="AQ1001" i="2" s="1"/>
  <c r="AP899" i="2"/>
  <c r="AQ899" i="2" s="1"/>
  <c r="AP1073" i="2"/>
  <c r="AQ1073" i="2" s="1"/>
  <c r="AP1174" i="2"/>
  <c r="AQ1174" i="2" s="1"/>
  <c r="AP845" i="2"/>
  <c r="AQ845" i="2" s="1"/>
  <c r="AP835" i="2"/>
  <c r="AQ835" i="2" s="1"/>
  <c r="AP813" i="2"/>
  <c r="AQ813" i="2" s="1"/>
  <c r="AP805" i="2"/>
  <c r="AQ805" i="2" s="1"/>
  <c r="AP755" i="2"/>
  <c r="AQ755" i="2" s="1"/>
  <c r="AP926" i="2"/>
  <c r="AQ926" i="2" s="1"/>
  <c r="AP882" i="2"/>
  <c r="AQ882" i="2" s="1"/>
  <c r="AP824" i="2"/>
  <c r="AQ824" i="2" s="1"/>
  <c r="AP786" i="2"/>
  <c r="AQ786" i="2" s="1"/>
  <c r="AP783" i="2"/>
  <c r="AQ783" i="2" s="1"/>
  <c r="AP777" i="2"/>
  <c r="AQ777" i="2" s="1"/>
  <c r="AP696" i="2"/>
  <c r="AQ696" i="2" s="1"/>
  <c r="AP692" i="2"/>
  <c r="AQ692" i="2" s="1"/>
  <c r="AP1020" i="2"/>
  <c r="AQ1020" i="2" s="1"/>
  <c r="AP1051" i="2"/>
  <c r="AQ1051" i="2" s="1"/>
  <c r="AP996" i="2"/>
  <c r="AQ996" i="2" s="1"/>
  <c r="AP987" i="2"/>
  <c r="AQ987" i="2" s="1"/>
  <c r="AP864" i="2"/>
  <c r="AQ864" i="2" s="1"/>
  <c r="AP776" i="2"/>
  <c r="AQ776" i="2" s="1"/>
  <c r="AP749" i="2"/>
  <c r="AQ749" i="2" s="1"/>
  <c r="AP678" i="2"/>
  <c r="AQ678" i="2" s="1"/>
  <c r="AP897" i="2"/>
  <c r="AQ897" i="2" s="1"/>
  <c r="AP853" i="2"/>
  <c r="AQ853" i="2" s="1"/>
  <c r="AP808" i="2"/>
  <c r="AQ808" i="2" s="1"/>
  <c r="AP642" i="2"/>
  <c r="AQ642" i="2" s="1"/>
  <c r="AP622" i="2"/>
  <c r="AQ622" i="2" s="1"/>
  <c r="AP558" i="2"/>
  <c r="AQ558" i="2" s="1"/>
  <c r="AP547" i="2"/>
  <c r="AQ547" i="2" s="1"/>
  <c r="AP536" i="2"/>
  <c r="AQ536" i="2" s="1"/>
  <c r="AP736" i="2"/>
  <c r="AQ736" i="2" s="1"/>
  <c r="AP730" i="2"/>
  <c r="AQ730" i="2" s="1"/>
  <c r="AP668" i="2"/>
  <c r="AQ668" i="2" s="1"/>
  <c r="AP658" i="2"/>
  <c r="AQ658" i="2" s="1"/>
  <c r="AP652" i="2"/>
  <c r="AQ652" i="2" s="1"/>
  <c r="AP638" i="2"/>
  <c r="AQ638" i="2" s="1"/>
  <c r="AP616" i="2"/>
  <c r="AQ616" i="2" s="1"/>
  <c r="AP596" i="2"/>
  <c r="AQ596" i="2" s="1"/>
  <c r="AP582" i="2"/>
  <c r="AQ582" i="2" s="1"/>
  <c r="AP867" i="2"/>
  <c r="AQ867" i="2" s="1"/>
  <c r="AP807" i="2"/>
  <c r="AQ807" i="2" s="1"/>
  <c r="AP775" i="2"/>
  <c r="AQ775" i="2" s="1"/>
  <c r="AP960" i="2"/>
  <c r="AQ960" i="2" s="1"/>
  <c r="AP905" i="2"/>
  <c r="AQ905" i="2" s="1"/>
  <c r="AP838" i="2"/>
  <c r="AQ838" i="2" s="1"/>
  <c r="AP950" i="2"/>
  <c r="AQ950" i="2" s="1"/>
  <c r="AP803" i="2"/>
  <c r="AQ803" i="2" s="1"/>
  <c r="AP801" i="2"/>
  <c r="AQ801" i="2" s="1"/>
  <c r="AP761" i="2"/>
  <c r="AQ761" i="2" s="1"/>
  <c r="AP670" i="2"/>
  <c r="AQ670" i="2" s="1"/>
  <c r="AP650" i="2"/>
  <c r="AQ650" i="2" s="1"/>
  <c r="AP600" i="2"/>
  <c r="AQ600" i="2" s="1"/>
  <c r="AP539" i="2"/>
  <c r="AQ539" i="2" s="1"/>
  <c r="AP802" i="2"/>
  <c r="AQ802" i="2" s="1"/>
  <c r="AP918" i="2"/>
  <c r="AQ918" i="2" s="1"/>
  <c r="AP887" i="2"/>
  <c r="AQ887" i="2" s="1"/>
  <c r="AP829" i="2"/>
  <c r="AQ829" i="2" s="1"/>
  <c r="AP812" i="2"/>
  <c r="AQ812" i="2" s="1"/>
  <c r="AP965" i="2"/>
  <c r="AQ965" i="2" s="1"/>
  <c r="AP811" i="2"/>
  <c r="AQ811" i="2" s="1"/>
  <c r="AP873" i="2"/>
  <c r="AQ873" i="2" s="1"/>
  <c r="AP778" i="2"/>
  <c r="AQ778" i="2" s="1"/>
  <c r="AP765" i="2"/>
  <c r="AQ765" i="2" s="1"/>
  <c r="AP720" i="2"/>
  <c r="AQ720" i="2" s="1"/>
  <c r="AP588" i="2"/>
  <c r="AQ588" i="2" s="1"/>
  <c r="AP564" i="2"/>
  <c r="AQ564" i="2" s="1"/>
  <c r="AP893" i="2"/>
  <c r="AQ893" i="2" s="1"/>
  <c r="AP789" i="2"/>
  <c r="AQ789" i="2" s="1"/>
  <c r="AP676" i="2"/>
  <c r="AQ676" i="2" s="1"/>
  <c r="AP646" i="2"/>
  <c r="AQ646" i="2" s="1"/>
  <c r="AP598" i="2"/>
  <c r="AQ598" i="2" s="1"/>
  <c r="AP530" i="2"/>
  <c r="AQ530" i="2" s="1"/>
  <c r="AP491" i="2"/>
  <c r="AQ491" i="2" s="1"/>
  <c r="AP486" i="2"/>
  <c r="AQ486" i="2" s="1"/>
  <c r="AP1004" i="2"/>
  <c r="AQ1004" i="2" s="1"/>
  <c r="AP787" i="2"/>
  <c r="AQ787" i="2" s="1"/>
  <c r="AP779" i="2"/>
  <c r="AQ779" i="2" s="1"/>
  <c r="AP874" i="2"/>
  <c r="AQ874" i="2" s="1"/>
  <c r="AP767" i="2"/>
  <c r="AQ767" i="2" s="1"/>
  <c r="AP634" i="2"/>
  <c r="AQ634" i="2" s="1"/>
  <c r="AP612" i="2"/>
  <c r="AQ612" i="2" s="1"/>
  <c r="AP576" i="2"/>
  <c r="AQ576" i="2" s="1"/>
  <c r="AP495" i="2"/>
  <c r="AQ495" i="2" s="1"/>
  <c r="AP490" i="2"/>
  <c r="AQ490" i="2" s="1"/>
  <c r="AP870" i="2"/>
  <c r="AQ870" i="2" s="1"/>
  <c r="AP796" i="2"/>
  <c r="AQ796" i="2" s="1"/>
  <c r="AP774" i="2"/>
  <c r="AQ774" i="2" s="1"/>
  <c r="AP743" i="2"/>
  <c r="AQ743" i="2" s="1"/>
  <c r="AP740" i="2"/>
  <c r="AQ740" i="2" s="1"/>
  <c r="AP686" i="2"/>
  <c r="AQ686" i="2" s="1"/>
  <c r="AP648" i="2"/>
  <c r="AQ648" i="2" s="1"/>
  <c r="AP540" i="2"/>
  <c r="AQ540" i="2" s="1"/>
  <c r="AP537" i="2"/>
  <c r="AQ537" i="2" s="1"/>
  <c r="AP523" i="2"/>
  <c r="AQ523" i="2" s="1"/>
  <c r="AP518" i="2"/>
  <c r="AQ518" i="2" s="1"/>
  <c r="AP1032" i="2"/>
  <c r="AQ1032" i="2" s="1"/>
  <c r="AP952" i="2"/>
  <c r="AQ952" i="2" s="1"/>
  <c r="AP865" i="2"/>
  <c r="AQ865" i="2" s="1"/>
  <c r="AP924" i="2"/>
  <c r="AQ924" i="2" s="1"/>
  <c r="AP819" i="2"/>
  <c r="AQ819" i="2" s="1"/>
  <c r="AP1039" i="2"/>
  <c r="AQ1039" i="2" s="1"/>
  <c r="AP861" i="2"/>
  <c r="AQ861" i="2" s="1"/>
  <c r="AP958" i="2"/>
  <c r="AQ958" i="2" s="1"/>
  <c r="AP895" i="2"/>
  <c r="AQ895" i="2" s="1"/>
  <c r="AP714" i="2"/>
  <c r="AQ714" i="2" s="1"/>
  <c r="AP590" i="2"/>
  <c r="AQ590" i="2" s="1"/>
  <c r="AP560" i="2"/>
  <c r="AQ560" i="2" s="1"/>
  <c r="AP552" i="2"/>
  <c r="AQ552" i="2" s="1"/>
  <c r="AP545" i="2"/>
  <c r="AQ545" i="2" s="1"/>
  <c r="AP542" i="2"/>
  <c r="AQ542" i="2" s="1"/>
  <c r="AP525" i="2"/>
  <c r="AQ525" i="2" s="1"/>
  <c r="AP520" i="2"/>
  <c r="AQ520" i="2" s="1"/>
  <c r="AP784" i="2"/>
  <c r="AQ784" i="2" s="1"/>
  <c r="AP702" i="2"/>
  <c r="AQ702" i="2" s="1"/>
  <c r="AP666" i="2"/>
  <c r="AQ666" i="2" s="1"/>
  <c r="AP640" i="2"/>
  <c r="AQ640" i="2" s="1"/>
  <c r="AP614" i="2"/>
  <c r="AQ614" i="2" s="1"/>
  <c r="AP964" i="2"/>
  <c r="AQ964" i="2" s="1"/>
  <c r="AP892" i="2"/>
  <c r="AQ892" i="2" s="1"/>
  <c r="AP708" i="2"/>
  <c r="AQ708" i="2" s="1"/>
  <c r="AP747" i="2"/>
  <c r="AQ747" i="2" s="1"/>
  <c r="AP664" i="2"/>
  <c r="AQ664" i="2" s="1"/>
  <c r="AP568" i="2"/>
  <c r="AQ568" i="2" s="1"/>
  <c r="AP516" i="2"/>
  <c r="AQ516" i="2" s="1"/>
  <c r="AP509" i="2"/>
  <c r="AQ509" i="2" s="1"/>
  <c r="AP506" i="2"/>
  <c r="AQ506" i="2" s="1"/>
  <c r="AP488" i="2"/>
  <c r="AQ488" i="2" s="1"/>
  <c r="AP470" i="2"/>
  <c r="AQ470" i="2" s="1"/>
  <c r="AP694" i="2"/>
  <c r="AQ694" i="2" s="1"/>
  <c r="AP463" i="2"/>
  <c r="AQ463" i="2" s="1"/>
  <c r="AP452" i="2"/>
  <c r="AQ452" i="2" s="1"/>
  <c r="AP734" i="2"/>
  <c r="AQ734" i="2" s="1"/>
  <c r="AP636" i="2"/>
  <c r="AQ636" i="2" s="1"/>
  <c r="AP628" i="2"/>
  <c r="AQ628" i="2" s="1"/>
  <c r="AP594" i="2"/>
  <c r="AQ594" i="2" s="1"/>
  <c r="AP487" i="2"/>
  <c r="AQ487" i="2" s="1"/>
  <c r="AP481" i="2"/>
  <c r="AQ481" i="2" s="1"/>
  <c r="AP478" i="2"/>
  <c r="AQ478" i="2" s="1"/>
  <c r="AP797" i="2"/>
  <c r="AQ797" i="2" s="1"/>
  <c r="AP606" i="2"/>
  <c r="AQ606" i="2" s="1"/>
  <c r="AP851" i="2"/>
  <c r="AQ851" i="2" s="1"/>
  <c r="AP810" i="2"/>
  <c r="AQ810" i="2" s="1"/>
  <c r="AP844" i="2"/>
  <c r="AQ844" i="2" s="1"/>
  <c r="AP732" i="2"/>
  <c r="AQ732" i="2" s="1"/>
  <c r="AP848" i="2"/>
  <c r="AQ848" i="2" s="1"/>
  <c r="AP712" i="2"/>
  <c r="AQ712" i="2" s="1"/>
  <c r="AP704" i="2"/>
  <c r="AQ704" i="2" s="1"/>
  <c r="AP690" i="2"/>
  <c r="AQ690" i="2" s="1"/>
  <c r="AP785" i="2"/>
  <c r="AQ785" i="2" s="1"/>
  <c r="AP531" i="2"/>
  <c r="AQ531" i="2" s="1"/>
  <c r="AP469" i="2"/>
  <c r="AQ469" i="2" s="1"/>
  <c r="AP458" i="2"/>
  <c r="AQ458" i="2" s="1"/>
  <c r="AP447" i="2"/>
  <c r="AQ447" i="2" s="1"/>
  <c r="AP620" i="2"/>
  <c r="AQ620" i="2" s="1"/>
  <c r="AP580" i="2"/>
  <c r="AQ580" i="2" s="1"/>
  <c r="AP512" i="2"/>
  <c r="AQ512" i="2" s="1"/>
  <c r="AP507" i="2"/>
  <c r="AQ507" i="2" s="1"/>
  <c r="AP477" i="2"/>
  <c r="AQ477" i="2" s="1"/>
  <c r="AP464" i="2"/>
  <c r="AQ464" i="2" s="1"/>
  <c r="AP427" i="2"/>
  <c r="AQ427" i="2" s="1"/>
  <c r="AP405" i="2"/>
  <c r="AQ405" i="2" s="1"/>
  <c r="AP383" i="2"/>
  <c r="AQ383" i="2" s="1"/>
  <c r="AP361" i="2"/>
  <c r="AQ361" i="2" s="1"/>
  <c r="AP339" i="2"/>
  <c r="AQ339" i="2" s="1"/>
  <c r="AP317" i="2"/>
  <c r="AQ317" i="2" s="1"/>
  <c r="AP604" i="2"/>
  <c r="AQ604" i="2" s="1"/>
  <c r="AP592" i="2"/>
  <c r="AQ592" i="2" s="1"/>
  <c r="AP497" i="2"/>
  <c r="AQ497" i="2" s="1"/>
  <c r="AP493" i="2"/>
  <c r="AQ493" i="2" s="1"/>
  <c r="AP473" i="2"/>
  <c r="AQ473" i="2" s="1"/>
  <c r="AP461" i="2"/>
  <c r="AQ461" i="2" s="1"/>
  <c r="AP455" i="2"/>
  <c r="AQ455" i="2" s="1"/>
  <c r="AP446" i="2"/>
  <c r="AQ446" i="2" s="1"/>
  <c r="AP435" i="2"/>
  <c r="AQ435" i="2" s="1"/>
  <c r="AP413" i="2"/>
  <c r="AQ413" i="2" s="1"/>
  <c r="AP391" i="2"/>
  <c r="AQ391" i="2" s="1"/>
  <c r="AP369" i="2"/>
  <c r="AQ369" i="2" s="1"/>
  <c r="AP347" i="2"/>
  <c r="AQ347" i="2" s="1"/>
  <c r="AP325" i="2"/>
  <c r="AQ325" i="2" s="1"/>
  <c r="AP303" i="2"/>
  <c r="AQ303" i="2" s="1"/>
  <c r="AP515" i="2"/>
  <c r="AQ515" i="2" s="1"/>
  <c r="AP476" i="2"/>
  <c r="AQ476" i="2" s="1"/>
  <c r="AP429" i="2"/>
  <c r="AQ429" i="2" s="1"/>
  <c r="AP407" i="2"/>
  <c r="AQ407" i="2" s="1"/>
  <c r="AP538" i="2"/>
  <c r="AQ538" i="2" s="1"/>
  <c r="AP451" i="2"/>
  <c r="AQ451" i="2" s="1"/>
  <c r="AP444" i="2"/>
  <c r="AQ444" i="2" s="1"/>
  <c r="AP431" i="2"/>
  <c r="AQ431" i="2" s="1"/>
  <c r="AP421" i="2"/>
  <c r="AQ421" i="2" s="1"/>
  <c r="AP262" i="2"/>
  <c r="AQ262" i="2" s="1"/>
  <c r="AP242" i="2"/>
  <c r="AQ242" i="2" s="1"/>
  <c r="AP231" i="2"/>
  <c r="AQ231" i="2" s="1"/>
  <c r="AP220" i="2"/>
  <c r="AQ220" i="2" s="1"/>
  <c r="AP546" i="2"/>
  <c r="AQ546" i="2" s="1"/>
  <c r="AP514" i="2"/>
  <c r="AQ514" i="2" s="1"/>
  <c r="AP492" i="2"/>
  <c r="AQ492" i="2" s="1"/>
  <c r="AP465" i="2"/>
  <c r="AQ465" i="2" s="1"/>
  <c r="AP441" i="2"/>
  <c r="AQ441" i="2" s="1"/>
  <c r="AP434" i="2"/>
  <c r="AQ434" i="2" s="1"/>
  <c r="AP414" i="2"/>
  <c r="AQ414" i="2" s="1"/>
  <c r="AP411" i="2"/>
  <c r="AQ411" i="2" s="1"/>
  <c r="AP394" i="2"/>
  <c r="AQ394" i="2" s="1"/>
  <c r="AP372" i="2"/>
  <c r="AQ372" i="2" s="1"/>
  <c r="AP350" i="2"/>
  <c r="AQ350" i="2" s="1"/>
  <c r="AP328" i="2"/>
  <c r="AQ328" i="2" s="1"/>
  <c r="AP306" i="2"/>
  <c r="AQ306" i="2" s="1"/>
  <c r="AP291" i="2"/>
  <c r="AQ291" i="2" s="1"/>
  <c r="AP288" i="2"/>
  <c r="AQ288" i="2" s="1"/>
  <c r="AP285" i="2"/>
  <c r="AQ285" i="2" s="1"/>
  <c r="AP282" i="2"/>
  <c r="AQ282" i="2" s="1"/>
  <c r="AP254" i="2"/>
  <c r="AQ254" i="2" s="1"/>
  <c r="AP524" i="2"/>
  <c r="AQ524" i="2" s="1"/>
  <c r="AP513" i="2"/>
  <c r="AQ513" i="2" s="1"/>
  <c r="AP454" i="2"/>
  <c r="AQ454" i="2" s="1"/>
  <c r="AP378" i="2"/>
  <c r="AQ378" i="2" s="1"/>
  <c r="AP356" i="2"/>
  <c r="AQ356" i="2" s="1"/>
  <c r="AP334" i="2"/>
  <c r="AQ334" i="2" s="1"/>
  <c r="AP312" i="2"/>
  <c r="AQ312" i="2" s="1"/>
  <c r="AP244" i="2"/>
  <c r="AQ244" i="2" s="1"/>
  <c r="AP233" i="2"/>
  <c r="AQ233" i="2" s="1"/>
  <c r="AP222" i="2"/>
  <c r="AQ222" i="2" s="1"/>
  <c r="AP773" i="2"/>
  <c r="AQ773" i="2" s="1"/>
  <c r="AP793" i="2"/>
  <c r="AQ793" i="2" s="1"/>
  <c r="AP791" i="2"/>
  <c r="AQ791" i="2" s="1"/>
  <c r="AP728" i="2"/>
  <c r="AQ728" i="2" s="1"/>
  <c r="AP632" i="2"/>
  <c r="AQ632" i="2" s="1"/>
  <c r="AP630" i="2"/>
  <c r="AQ630" i="2" s="1"/>
  <c r="AP584" i="2"/>
  <c r="AQ584" i="2" s="1"/>
  <c r="AP521" i="2"/>
  <c r="AQ521" i="2" s="1"/>
  <c r="AP501" i="2"/>
  <c r="AQ501" i="2" s="1"/>
  <c r="AP482" i="2"/>
  <c r="AQ482" i="2" s="1"/>
  <c r="AP443" i="2"/>
  <c r="AQ443" i="2" s="1"/>
  <c r="AP389" i="2"/>
  <c r="AQ389" i="2" s="1"/>
  <c r="AP374" i="2"/>
  <c r="AQ374" i="2" s="1"/>
  <c r="AP324" i="2"/>
  <c r="AQ324" i="2" s="1"/>
  <c r="AP320" i="2"/>
  <c r="AQ320" i="2" s="1"/>
  <c r="AP305" i="2"/>
  <c r="AQ305" i="2" s="1"/>
  <c r="AP275" i="2"/>
  <c r="AQ275" i="2" s="1"/>
  <c r="AP255" i="2"/>
  <c r="AQ255" i="2" s="1"/>
  <c r="AP726" i="2"/>
  <c r="AQ726" i="2" s="1"/>
  <c r="AP608" i="2"/>
  <c r="AQ608" i="2" s="1"/>
  <c r="AP550" i="2"/>
  <c r="AQ550" i="2" s="1"/>
  <c r="AP494" i="2"/>
  <c r="AQ494" i="2" s="1"/>
  <c r="AP475" i="2"/>
  <c r="AQ475" i="2" s="1"/>
  <c r="AP459" i="2"/>
  <c r="AQ459" i="2" s="1"/>
  <c r="AP442" i="2"/>
  <c r="AQ442" i="2" s="1"/>
  <c r="AP404" i="2"/>
  <c r="AQ404" i="2" s="1"/>
  <c r="AP397" i="2"/>
  <c r="AQ397" i="2" s="1"/>
  <c r="AP392" i="2"/>
  <c r="AQ392" i="2" s="1"/>
  <c r="AP351" i="2"/>
  <c r="AQ351" i="2" s="1"/>
  <c r="AP335" i="2"/>
  <c r="AQ335" i="2" s="1"/>
  <c r="AP626" i="2"/>
  <c r="AQ626" i="2" s="1"/>
  <c r="AP474" i="2"/>
  <c r="AQ474" i="2" s="1"/>
  <c r="AP433" i="2"/>
  <c r="AQ433" i="2" s="1"/>
  <c r="AP428" i="2"/>
  <c r="AQ428" i="2" s="1"/>
  <c r="AP674" i="2"/>
  <c r="AQ674" i="2" s="1"/>
  <c r="AP548" i="2"/>
  <c r="AQ548" i="2" s="1"/>
  <c r="AP534" i="2"/>
  <c r="AQ534" i="2" s="1"/>
  <c r="AP505" i="2"/>
  <c r="AQ505" i="2" s="1"/>
  <c r="AP387" i="2"/>
  <c r="AQ387" i="2" s="1"/>
  <c r="AP365" i="2"/>
  <c r="AQ365" i="2" s="1"/>
  <c r="AP327" i="2"/>
  <c r="AQ327" i="2" s="1"/>
  <c r="AP318" i="2"/>
  <c r="AQ318" i="2" s="1"/>
  <c r="AP256" i="2"/>
  <c r="AQ256" i="2" s="1"/>
  <c r="AP249" i="2"/>
  <c r="AQ249" i="2" s="1"/>
  <c r="AP226" i="2"/>
  <c r="AQ226" i="2" s="1"/>
  <c r="AP198" i="2"/>
  <c r="AQ198" i="2" s="1"/>
  <c r="AP176" i="2"/>
  <c r="AQ176" i="2" s="1"/>
  <c r="AP682" i="2"/>
  <c r="AQ682" i="2" s="1"/>
  <c r="AP602" i="2"/>
  <c r="AQ602" i="2" s="1"/>
  <c r="AP504" i="2"/>
  <c r="AQ504" i="2" s="1"/>
  <c r="AP468" i="2"/>
  <c r="AQ468" i="2" s="1"/>
  <c r="AP438" i="2"/>
  <c r="AQ438" i="2" s="1"/>
  <c r="AP386" i="2"/>
  <c r="AQ386" i="2" s="1"/>
  <c r="AP364" i="2"/>
  <c r="AQ364" i="2" s="1"/>
  <c r="AP360" i="2"/>
  <c r="AQ360" i="2" s="1"/>
  <c r="AP297" i="2"/>
  <c r="AQ297" i="2" s="1"/>
  <c r="AP270" i="2"/>
  <c r="AQ270" i="2" s="1"/>
  <c r="AP223" i="2"/>
  <c r="AQ223" i="2" s="1"/>
  <c r="AP217" i="2"/>
  <c r="AQ217" i="2" s="1"/>
  <c r="AP528" i="2"/>
  <c r="AQ528" i="2" s="1"/>
  <c r="AP480" i="2"/>
  <c r="AQ480" i="2" s="1"/>
  <c r="AP479" i="2"/>
  <c r="AQ479" i="2" s="1"/>
  <c r="AP457" i="2"/>
  <c r="AQ457" i="2" s="1"/>
  <c r="AP377" i="2"/>
  <c r="AQ377" i="2" s="1"/>
  <c r="AP313" i="2"/>
  <c r="AQ313" i="2" s="1"/>
  <c r="AP280" i="2"/>
  <c r="AQ280" i="2" s="1"/>
  <c r="AP562" i="2"/>
  <c r="AQ562" i="2" s="1"/>
  <c r="AP541" i="2"/>
  <c r="AQ541" i="2" s="1"/>
  <c r="AP472" i="2"/>
  <c r="AQ472" i="2" s="1"/>
  <c r="AP462" i="2"/>
  <c r="AQ462" i="2" s="1"/>
  <c r="AP408" i="2"/>
  <c r="AQ408" i="2" s="1"/>
  <c r="AP395" i="2"/>
  <c r="AQ395" i="2" s="1"/>
  <c r="AP373" i="2"/>
  <c r="AQ373" i="2" s="1"/>
  <c r="AP355" i="2"/>
  <c r="AQ355" i="2" s="1"/>
  <c r="AP338" i="2"/>
  <c r="AQ338" i="2" s="1"/>
  <c r="AP644" i="2"/>
  <c r="AQ644" i="2" s="1"/>
  <c r="AP578" i="2"/>
  <c r="AQ578" i="2" s="1"/>
  <c r="AP544" i="2"/>
  <c r="AQ544" i="2" s="1"/>
  <c r="AP543" i="2"/>
  <c r="AQ543" i="2" s="1"/>
  <c r="AP511" i="2"/>
  <c r="AQ511" i="2" s="1"/>
  <c r="AP460" i="2"/>
  <c r="AQ460" i="2" s="1"/>
  <c r="AP417" i="2"/>
  <c r="AQ417" i="2" s="1"/>
  <c r="AP384" i="2"/>
  <c r="AQ384" i="2" s="1"/>
  <c r="AP344" i="2"/>
  <c r="AQ344" i="2" s="1"/>
  <c r="AP301" i="2"/>
  <c r="AQ301" i="2" s="1"/>
  <c r="AP296" i="2"/>
  <c r="AQ296" i="2" s="1"/>
  <c r="AP263" i="2"/>
  <c r="AQ263" i="2" s="1"/>
  <c r="AP236" i="2"/>
  <c r="AQ236" i="2" s="1"/>
  <c r="AP211" i="2"/>
  <c r="AQ211" i="2" s="1"/>
  <c r="AP206" i="2"/>
  <c r="AQ206" i="2" s="1"/>
  <c r="AP203" i="2"/>
  <c r="AQ203" i="2" s="1"/>
  <c r="AP190" i="2"/>
  <c r="AQ190" i="2" s="1"/>
  <c r="AP179" i="2"/>
  <c r="AQ179" i="2" s="1"/>
  <c r="AP174" i="2"/>
  <c r="AQ174" i="2" s="1"/>
  <c r="AP156" i="2"/>
  <c r="AQ156" i="2" s="1"/>
  <c r="AP134" i="2"/>
  <c r="AQ134" i="2" s="1"/>
  <c r="AP586" i="2"/>
  <c r="AQ586" i="2" s="1"/>
  <c r="AP502" i="2"/>
  <c r="AQ502" i="2" s="1"/>
  <c r="AP680" i="2"/>
  <c r="AQ680" i="2" s="1"/>
  <c r="AP624" i="2"/>
  <c r="AQ624" i="2" s="1"/>
  <c r="AP333" i="2"/>
  <c r="AQ333" i="2" s="1"/>
  <c r="AP326" i="2"/>
  <c r="AQ326" i="2" s="1"/>
  <c r="AP321" i="2"/>
  <c r="AQ321" i="2" s="1"/>
  <c r="AP310" i="2"/>
  <c r="AQ310" i="2" s="1"/>
  <c r="AP266" i="2"/>
  <c r="AQ266" i="2" s="1"/>
  <c r="AP258" i="2"/>
  <c r="AQ258" i="2" s="1"/>
  <c r="AP771" i="2"/>
  <c r="AQ771" i="2" s="1"/>
  <c r="AP510" i="2"/>
  <c r="AQ510" i="2" s="1"/>
  <c r="AP471" i="2"/>
  <c r="AQ471" i="2" s="1"/>
  <c r="AP467" i="2"/>
  <c r="AQ467" i="2" s="1"/>
  <c r="AP426" i="2"/>
  <c r="AQ426" i="2" s="1"/>
  <c r="AP415" i="2"/>
  <c r="AQ415" i="2" s="1"/>
  <c r="AP382" i="2"/>
  <c r="AQ382" i="2" s="1"/>
  <c r="AP343" i="2"/>
  <c r="AQ343" i="2" s="1"/>
  <c r="AP279" i="2"/>
  <c r="AQ279" i="2" s="1"/>
  <c r="AP213" i="2"/>
  <c r="AQ213" i="2" s="1"/>
  <c r="AP208" i="2"/>
  <c r="AQ208" i="2" s="1"/>
  <c r="AP192" i="2"/>
  <c r="AQ192" i="2" s="1"/>
  <c r="AP143" i="2"/>
  <c r="AQ143" i="2" s="1"/>
  <c r="AP121" i="2"/>
  <c r="AQ121" i="2" s="1"/>
  <c r="AP757" i="2"/>
  <c r="AQ757" i="2" s="1"/>
  <c r="AP500" i="2"/>
  <c r="AQ500" i="2" s="1"/>
  <c r="AP437" i="2"/>
  <c r="AQ437" i="2" s="1"/>
  <c r="AP423" i="2"/>
  <c r="AQ423" i="2" s="1"/>
  <c r="AP406" i="2"/>
  <c r="AQ406" i="2" s="1"/>
  <c r="AP376" i="2"/>
  <c r="AQ376" i="2" s="1"/>
  <c r="AP368" i="2"/>
  <c r="AQ368" i="2" s="1"/>
  <c r="AP354" i="2"/>
  <c r="AQ354" i="2" s="1"/>
  <c r="AP329" i="2"/>
  <c r="AQ329" i="2" s="1"/>
  <c r="AP315" i="2"/>
  <c r="AQ315" i="2" s="1"/>
  <c r="AP314" i="2"/>
  <c r="AQ314" i="2" s="1"/>
  <c r="AP281" i="2"/>
  <c r="AQ281" i="2" s="1"/>
  <c r="AP240" i="2"/>
  <c r="AQ240" i="2" s="1"/>
  <c r="AP207" i="2"/>
  <c r="AQ207" i="2" s="1"/>
  <c r="AP182" i="2"/>
  <c r="AQ182" i="2" s="1"/>
  <c r="AP169" i="2"/>
  <c r="AQ169" i="2" s="1"/>
  <c r="AP140" i="2"/>
  <c r="AQ140" i="2" s="1"/>
  <c r="AP100" i="2"/>
  <c r="AQ100" i="2" s="1"/>
  <c r="AP570" i="2"/>
  <c r="AQ570" i="2" s="1"/>
  <c r="AP556" i="2"/>
  <c r="AQ556" i="2" s="1"/>
  <c r="AP496" i="2"/>
  <c r="AQ496" i="2" s="1"/>
  <c r="AP420" i="2"/>
  <c r="AQ420" i="2" s="1"/>
  <c r="AP412" i="2"/>
  <c r="AQ412" i="2" s="1"/>
  <c r="AP381" i="2"/>
  <c r="AQ381" i="2" s="1"/>
  <c r="AP366" i="2"/>
  <c r="AQ366" i="2" s="1"/>
  <c r="AP572" i="2"/>
  <c r="AQ572" i="2" s="1"/>
  <c r="AP522" i="2"/>
  <c r="AQ522" i="2" s="1"/>
  <c r="AP519" i="2"/>
  <c r="AQ519" i="2" s="1"/>
  <c r="AP445" i="2"/>
  <c r="AQ445" i="2" s="1"/>
  <c r="AP388" i="2"/>
  <c r="AQ388" i="2" s="1"/>
  <c r="AP375" i="2"/>
  <c r="AQ375" i="2" s="1"/>
  <c r="AP508" i="2"/>
  <c r="AQ508" i="2" s="1"/>
  <c r="AP483" i="2"/>
  <c r="AQ483" i="2" s="1"/>
  <c r="AP332" i="2"/>
  <c r="AQ332" i="2" s="1"/>
  <c r="AP170" i="2"/>
  <c r="AQ170" i="2" s="1"/>
  <c r="AP163" i="2"/>
  <c r="AQ163" i="2" s="1"/>
  <c r="AP153" i="2"/>
  <c r="AQ153" i="2" s="1"/>
  <c r="AP147" i="2"/>
  <c r="AQ147" i="2" s="1"/>
  <c r="AP113" i="2"/>
  <c r="AQ113" i="2" s="1"/>
  <c r="AP108" i="2"/>
  <c r="AQ108" i="2" s="1"/>
  <c r="AP98" i="2"/>
  <c r="AQ98" i="2" s="1"/>
  <c r="AP84" i="2"/>
  <c r="AQ84" i="2" s="1"/>
  <c r="AP62" i="2"/>
  <c r="AQ62" i="2" s="1"/>
  <c r="AP456" i="2"/>
  <c r="AQ456" i="2" s="1"/>
  <c r="AP432" i="2"/>
  <c r="AQ432" i="2" s="1"/>
  <c r="AP422" i="2"/>
  <c r="AQ422" i="2" s="1"/>
  <c r="AP346" i="2"/>
  <c r="AQ346" i="2" s="1"/>
  <c r="AP319" i="2"/>
  <c r="AQ319" i="2" s="1"/>
  <c r="AP302" i="2"/>
  <c r="AQ302" i="2" s="1"/>
  <c r="AP290" i="2"/>
  <c r="AQ290" i="2" s="1"/>
  <c r="AP257" i="2"/>
  <c r="AQ257" i="2" s="1"/>
  <c r="AP246" i="2"/>
  <c r="AQ246" i="2" s="1"/>
  <c r="AP241" i="2"/>
  <c r="AQ241" i="2" s="1"/>
  <c r="AP237" i="2"/>
  <c r="AQ237" i="2" s="1"/>
  <c r="AP228" i="2"/>
  <c r="AQ228" i="2" s="1"/>
  <c r="AP209" i="2"/>
  <c r="AQ209" i="2" s="1"/>
  <c r="AP484" i="2"/>
  <c r="AQ484" i="2" s="1"/>
  <c r="AP425" i="2"/>
  <c r="AQ425" i="2" s="1"/>
  <c r="AP424" i="2"/>
  <c r="AQ424" i="2" s="1"/>
  <c r="AP269" i="2"/>
  <c r="AQ269" i="2" s="1"/>
  <c r="AP248" i="2"/>
  <c r="AQ248" i="2" s="1"/>
  <c r="AP204" i="2"/>
  <c r="AQ204" i="2" s="1"/>
  <c r="AP177" i="2"/>
  <c r="AQ177" i="2" s="1"/>
  <c r="AP173" i="2"/>
  <c r="AQ173" i="2" s="1"/>
  <c r="AP141" i="2"/>
  <c r="AQ141" i="2" s="1"/>
  <c r="AP106" i="2"/>
  <c r="AQ106" i="2" s="1"/>
  <c r="AP93" i="2"/>
  <c r="AQ93" i="2" s="1"/>
  <c r="AP76" i="2"/>
  <c r="AQ76" i="2" s="1"/>
  <c r="AP71" i="2"/>
  <c r="AQ71" i="2" s="1"/>
  <c r="AP64" i="2"/>
  <c r="AQ64" i="2" s="1"/>
  <c r="AP57" i="2"/>
  <c r="AQ57" i="2" s="1"/>
  <c r="AP55" i="2"/>
  <c r="AQ55" i="2" s="1"/>
  <c r="AP53" i="2"/>
  <c r="AQ53" i="2" s="1"/>
  <c r="AP390" i="2"/>
  <c r="AQ390" i="2" s="1"/>
  <c r="AP316" i="2"/>
  <c r="AQ316" i="2" s="1"/>
  <c r="AP308" i="2"/>
  <c r="AQ308" i="2" s="1"/>
  <c r="AP261" i="2"/>
  <c r="AQ261" i="2" s="1"/>
  <c r="AP247" i="2"/>
  <c r="AQ247" i="2" s="1"/>
  <c r="AP196" i="2"/>
  <c r="AQ196" i="2" s="1"/>
  <c r="AP535" i="2"/>
  <c r="AQ535" i="2" s="1"/>
  <c r="AP529" i="2"/>
  <c r="AQ529" i="2" s="1"/>
  <c r="AP489" i="2"/>
  <c r="AQ489" i="2" s="1"/>
  <c r="AP357" i="2"/>
  <c r="AQ357" i="2" s="1"/>
  <c r="AP267" i="2"/>
  <c r="AQ267" i="2" s="1"/>
  <c r="AP503" i="2"/>
  <c r="AQ503" i="2" s="1"/>
  <c r="AP430" i="2"/>
  <c r="AQ430" i="2" s="1"/>
  <c r="AP409" i="2"/>
  <c r="AQ409" i="2" s="1"/>
  <c r="AP345" i="2"/>
  <c r="AQ345" i="2" s="1"/>
  <c r="AP336" i="2"/>
  <c r="AQ336" i="2" s="1"/>
  <c r="AP273" i="2"/>
  <c r="AQ273" i="2" s="1"/>
  <c r="AP187" i="2"/>
  <c r="AQ187" i="2" s="1"/>
  <c r="AP183" i="2"/>
  <c r="AQ183" i="2" s="1"/>
  <c r="AP154" i="2"/>
  <c r="AQ154" i="2" s="1"/>
  <c r="AP554" i="2"/>
  <c r="AQ554" i="2" s="1"/>
  <c r="AP533" i="2"/>
  <c r="AQ533" i="2" s="1"/>
  <c r="AP294" i="2"/>
  <c r="AQ294" i="2" s="1"/>
  <c r="AP272" i="2"/>
  <c r="AQ272" i="2" s="1"/>
  <c r="AP245" i="2"/>
  <c r="AQ245" i="2" s="1"/>
  <c r="AP216" i="2"/>
  <c r="AQ216" i="2" s="1"/>
  <c r="AP210" i="2"/>
  <c r="AQ210" i="2" s="1"/>
  <c r="AP200" i="2"/>
  <c r="AQ200" i="2" s="1"/>
  <c r="AP142" i="2"/>
  <c r="AQ142" i="2" s="1"/>
  <c r="AP117" i="2"/>
  <c r="AQ117" i="2" s="1"/>
  <c r="AP88" i="2"/>
  <c r="AQ88" i="2" s="1"/>
  <c r="AP70" i="2"/>
  <c r="AQ70" i="2" s="1"/>
  <c r="AP60" i="2"/>
  <c r="AQ60" i="2" s="1"/>
  <c r="AP466" i="2"/>
  <c r="AQ466" i="2" s="1"/>
  <c r="AP402" i="2"/>
  <c r="AQ402" i="2" s="1"/>
  <c r="AP359" i="2"/>
  <c r="AQ359" i="2" s="1"/>
  <c r="AP358" i="2"/>
  <c r="AQ358" i="2" s="1"/>
  <c r="AP331" i="2"/>
  <c r="AQ331" i="2" s="1"/>
  <c r="AP330" i="2"/>
  <c r="AQ330" i="2" s="1"/>
  <c r="AP252" i="2"/>
  <c r="AQ252" i="2" s="1"/>
  <c r="AP160" i="2"/>
  <c r="AQ160" i="2" s="1"/>
  <c r="AP155" i="2"/>
  <c r="AQ155" i="2" s="1"/>
  <c r="AP111" i="2"/>
  <c r="AQ111" i="2" s="1"/>
  <c r="AP75" i="2"/>
  <c r="AQ75" i="2" s="1"/>
  <c r="AP517" i="2"/>
  <c r="AQ517" i="2" s="1"/>
  <c r="AP184" i="2"/>
  <c r="AQ184" i="2" s="1"/>
  <c r="AP128" i="2"/>
  <c r="AQ128" i="2" s="1"/>
  <c r="AP114" i="2"/>
  <c r="AQ114" i="2" s="1"/>
  <c r="AP96" i="2"/>
  <c r="AQ96" i="2" s="1"/>
  <c r="AP65" i="2"/>
  <c r="AQ65" i="2" s="1"/>
  <c r="AP393" i="2"/>
  <c r="AQ393" i="2" s="1"/>
  <c r="AP215" i="2"/>
  <c r="AQ215" i="2" s="1"/>
  <c r="AP199" i="2"/>
  <c r="AQ199" i="2" s="1"/>
  <c r="AP132" i="2"/>
  <c r="AQ132" i="2" s="1"/>
  <c r="AP104" i="2"/>
  <c r="AQ104" i="2" s="1"/>
  <c r="AP80" i="2"/>
  <c r="AQ80" i="2" s="1"/>
  <c r="AP221" i="2"/>
  <c r="AQ221" i="2" s="1"/>
  <c r="AP85" i="2"/>
  <c r="AQ85" i="2" s="1"/>
  <c r="AP403" i="2"/>
  <c r="AQ403" i="2" s="1"/>
  <c r="AP341" i="2"/>
  <c r="AQ341" i="2" s="1"/>
  <c r="AP311" i="2"/>
  <c r="AQ311" i="2" s="1"/>
  <c r="AP293" i="2"/>
  <c r="AQ293" i="2" s="1"/>
  <c r="AP150" i="2"/>
  <c r="AQ150" i="2" s="1"/>
  <c r="AP146" i="2"/>
  <c r="AQ146" i="2" s="1"/>
  <c r="AP101" i="2"/>
  <c r="AQ101" i="2" s="1"/>
  <c r="AP672" i="2"/>
  <c r="AQ672" i="2" s="1"/>
  <c r="AP450" i="2"/>
  <c r="AQ450" i="2" s="1"/>
  <c r="AP418" i="2"/>
  <c r="AQ418" i="2" s="1"/>
  <c r="AP401" i="2"/>
  <c r="AQ401" i="2" s="1"/>
  <c r="AP178" i="2"/>
  <c r="AQ178" i="2" s="1"/>
  <c r="AP124" i="2"/>
  <c r="AQ124" i="2" s="1"/>
  <c r="AP59" i="2"/>
  <c r="AQ59" i="2" s="1"/>
  <c r="AP52" i="2"/>
  <c r="AQ52" i="2" s="1"/>
  <c r="AP50" i="2"/>
  <c r="AQ50" i="2" s="1"/>
  <c r="AP48" i="2"/>
  <c r="AQ48" i="2" s="1"/>
  <c r="AP46" i="2"/>
  <c r="AQ46" i="2" s="1"/>
  <c r="AP44" i="2"/>
  <c r="AQ44" i="2" s="1"/>
  <c r="AP42" i="2"/>
  <c r="AQ42" i="2" s="1"/>
  <c r="AP40" i="2"/>
  <c r="AQ40" i="2" s="1"/>
  <c r="AP38" i="2"/>
  <c r="AQ38" i="2" s="1"/>
  <c r="AP36" i="2"/>
  <c r="AQ36" i="2" s="1"/>
  <c r="AP34" i="2"/>
  <c r="AQ34" i="2" s="1"/>
  <c r="AP32" i="2"/>
  <c r="AQ32" i="2" s="1"/>
  <c r="AP30" i="2"/>
  <c r="AQ30" i="2" s="1"/>
  <c r="AP28" i="2"/>
  <c r="AQ28" i="2" s="1"/>
  <c r="AP26" i="2"/>
  <c r="AQ26" i="2" s="1"/>
  <c r="AP24" i="2"/>
  <c r="AQ24" i="2" s="1"/>
  <c r="AP22" i="2"/>
  <c r="AQ22" i="2" s="1"/>
  <c r="AP20" i="2"/>
  <c r="AQ20" i="2" s="1"/>
  <c r="AP18" i="2"/>
  <c r="AQ18" i="2" s="1"/>
  <c r="AP16" i="2"/>
  <c r="AQ16" i="2" s="1"/>
  <c r="AP449" i="2"/>
  <c r="AQ449" i="2" s="1"/>
  <c r="AP400" i="2"/>
  <c r="AQ400" i="2" s="1"/>
  <c r="AP363" i="2"/>
  <c r="AQ363" i="2" s="1"/>
  <c r="AP251" i="2"/>
  <c r="AQ251" i="2" s="1"/>
  <c r="AP219" i="2"/>
  <c r="AQ219" i="2" s="1"/>
  <c r="AP214" i="2"/>
  <c r="AQ214" i="2" s="1"/>
  <c r="AP167" i="2"/>
  <c r="AQ167" i="2" s="1"/>
  <c r="AP127" i="2"/>
  <c r="AQ127" i="2" s="1"/>
  <c r="AP77" i="2"/>
  <c r="AQ77" i="2" s="1"/>
  <c r="AP370" i="2"/>
  <c r="AQ370" i="2" s="1"/>
  <c r="AP323" i="2"/>
  <c r="AQ323" i="2" s="1"/>
  <c r="AP289" i="2"/>
  <c r="AQ289" i="2" s="1"/>
  <c r="AP277" i="2"/>
  <c r="AQ277" i="2" s="1"/>
  <c r="AP218" i="2"/>
  <c r="AQ218" i="2" s="1"/>
  <c r="AP171" i="2"/>
  <c r="AQ171" i="2" s="1"/>
  <c r="AP158" i="2"/>
  <c r="AQ158" i="2" s="1"/>
  <c r="AP130" i="2"/>
  <c r="AQ130" i="2" s="1"/>
  <c r="AP97" i="2"/>
  <c r="AQ97" i="2" s="1"/>
  <c r="AP92" i="2"/>
  <c r="AQ92" i="2" s="1"/>
  <c r="AP239" i="2"/>
  <c r="AQ239" i="2" s="1"/>
  <c r="AP166" i="2"/>
  <c r="AQ166" i="2" s="1"/>
  <c r="AP126" i="2"/>
  <c r="AQ126" i="2" s="1"/>
  <c r="AP115" i="2"/>
  <c r="AQ115" i="2" s="1"/>
  <c r="AP31" i="2"/>
  <c r="AQ31" i="2" s="1"/>
  <c r="AP29" i="2"/>
  <c r="AQ29" i="2" s="1"/>
  <c r="AP25" i="2"/>
  <c r="AQ25" i="2" s="1"/>
  <c r="AP21" i="2"/>
  <c r="AQ21" i="2" s="1"/>
  <c r="AP9" i="2"/>
  <c r="AQ9" i="2" s="1"/>
  <c r="AP7" i="2"/>
  <c r="AQ7" i="2" s="1"/>
  <c r="AP5" i="2"/>
  <c r="AQ5" i="2" s="1"/>
  <c r="AP3" i="2"/>
  <c r="AQ3" i="2" s="1"/>
  <c r="AP398" i="2"/>
  <c r="AQ398" i="2" s="1"/>
  <c r="AP371" i="2"/>
  <c r="AQ371" i="2" s="1"/>
  <c r="AP265" i="2"/>
  <c r="AQ265" i="2" s="1"/>
  <c r="AP234" i="2"/>
  <c r="AQ234" i="2" s="1"/>
  <c r="AP201" i="2"/>
  <c r="AQ201" i="2" s="1"/>
  <c r="AP175" i="2"/>
  <c r="AQ175" i="2" s="1"/>
  <c r="AP162" i="2"/>
  <c r="AQ162" i="2" s="1"/>
  <c r="AP157" i="2"/>
  <c r="AQ157" i="2" s="1"/>
  <c r="AP144" i="2"/>
  <c r="AQ144" i="2" s="1"/>
  <c r="AP212" i="2"/>
  <c r="AQ212" i="2" s="1"/>
  <c r="AP186" i="2"/>
  <c r="AQ186" i="2" s="1"/>
  <c r="AP152" i="2"/>
  <c r="AQ152" i="2" s="1"/>
  <c r="AP66" i="2"/>
  <c r="AQ66" i="2" s="1"/>
  <c r="AP58" i="2"/>
  <c r="AQ58" i="2" s="1"/>
  <c r="AP43" i="2"/>
  <c r="AQ43" i="2" s="1"/>
  <c r="AP27" i="2"/>
  <c r="AQ27" i="2" s="1"/>
  <c r="AP19" i="2"/>
  <c r="AQ19" i="2" s="1"/>
  <c r="AP17" i="2"/>
  <c r="AQ17" i="2" s="1"/>
  <c r="AP15" i="2"/>
  <c r="AQ15" i="2" s="1"/>
  <c r="AP13" i="2"/>
  <c r="AQ13" i="2" s="1"/>
  <c r="AP499" i="2"/>
  <c r="AQ499" i="2" s="1"/>
  <c r="AP440" i="2"/>
  <c r="AQ440" i="2" s="1"/>
  <c r="AP399" i="2"/>
  <c r="AQ399" i="2" s="1"/>
  <c r="AP385" i="2"/>
  <c r="AQ385" i="2" s="1"/>
  <c r="AP349" i="2"/>
  <c r="AQ349" i="2" s="1"/>
  <c r="AP348" i="2"/>
  <c r="AQ348" i="2" s="1"/>
  <c r="AP337" i="2"/>
  <c r="AQ337" i="2" s="1"/>
  <c r="AP322" i="2"/>
  <c r="AQ322" i="2" s="1"/>
  <c r="AP232" i="2"/>
  <c r="AQ232" i="2" s="1"/>
  <c r="AP109" i="2"/>
  <c r="AQ109" i="2" s="1"/>
  <c r="AP81" i="2"/>
  <c r="AQ81" i="2" s="1"/>
  <c r="AP380" i="2"/>
  <c r="AQ380" i="2" s="1"/>
  <c r="AP307" i="2"/>
  <c r="AQ307" i="2" s="1"/>
  <c r="AP304" i="2"/>
  <c r="AQ304" i="2" s="1"/>
  <c r="AP287" i="2"/>
  <c r="AQ287" i="2" s="1"/>
  <c r="AP286" i="2"/>
  <c r="AQ286" i="2" s="1"/>
  <c r="AP276" i="2"/>
  <c r="AQ276" i="2" s="1"/>
  <c r="AP230" i="2"/>
  <c r="AQ230" i="2" s="1"/>
  <c r="AP185" i="2"/>
  <c r="AQ185" i="2" s="1"/>
  <c r="AP180" i="2"/>
  <c r="AQ180" i="2" s="1"/>
  <c r="AP112" i="2"/>
  <c r="AQ112" i="2" s="1"/>
  <c r="AP105" i="2"/>
  <c r="AQ105" i="2" s="1"/>
  <c r="AP23" i="2"/>
  <c r="AQ23" i="2" s="1"/>
  <c r="AP718" i="2"/>
  <c r="AQ718" i="2" s="1"/>
  <c r="AP436" i="2"/>
  <c r="AQ436" i="2" s="1"/>
  <c r="AP274" i="2"/>
  <c r="AQ274" i="2" s="1"/>
  <c r="AP264" i="2"/>
  <c r="AQ264" i="2" s="1"/>
  <c r="AP148" i="2"/>
  <c r="AQ148" i="2" s="1"/>
  <c r="AP129" i="2"/>
  <c r="AQ129" i="2" s="1"/>
  <c r="AP94" i="2"/>
  <c r="AQ94" i="2" s="1"/>
  <c r="AP63" i="2"/>
  <c r="AQ63" i="2" s="1"/>
  <c r="AP51" i="2"/>
  <c r="AQ51" i="2" s="1"/>
  <c r="AP49" i="2"/>
  <c r="AQ49" i="2" s="1"/>
  <c r="AP47" i="2"/>
  <c r="AQ47" i="2" s="1"/>
  <c r="AP45" i="2"/>
  <c r="AQ45" i="2" s="1"/>
  <c r="AP41" i="2"/>
  <c r="AQ41" i="2" s="1"/>
  <c r="AP39" i="2"/>
  <c r="AQ39" i="2" s="1"/>
  <c r="AP37" i="2"/>
  <c r="AQ37" i="2" s="1"/>
  <c r="AP35" i="2"/>
  <c r="AQ35" i="2" s="1"/>
  <c r="AP33" i="2"/>
  <c r="AQ33" i="2" s="1"/>
  <c r="AP11" i="2"/>
  <c r="AQ11" i="2" s="1"/>
  <c r="AP526" i="2"/>
  <c r="AQ526" i="2" s="1"/>
  <c r="AP342" i="2"/>
  <c r="AQ342" i="2" s="1"/>
  <c r="AP159" i="2"/>
  <c r="AQ159" i="2" s="1"/>
  <c r="AP122" i="2"/>
  <c r="AQ122" i="2" s="1"/>
  <c r="AP120" i="2"/>
  <c r="AQ120" i="2" s="1"/>
  <c r="AP532" i="2"/>
  <c r="AQ532" i="2" s="1"/>
  <c r="AP410" i="2"/>
  <c r="AQ410" i="2" s="1"/>
  <c r="AP300" i="2"/>
  <c r="AQ300" i="2" s="1"/>
  <c r="AP268" i="2"/>
  <c r="AQ268" i="2" s="1"/>
  <c r="AP194" i="2"/>
  <c r="AQ194" i="2" s="1"/>
  <c r="AP118" i="2"/>
  <c r="AQ118" i="2" s="1"/>
  <c r="AP68" i="2"/>
  <c r="AQ68" i="2" s="1"/>
  <c r="AP8" i="2"/>
  <c r="AQ8" i="2" s="1"/>
  <c r="AP99" i="2"/>
  <c r="AQ99" i="2" s="1"/>
  <c r="AP396" i="2"/>
  <c r="AQ396" i="2" s="1"/>
  <c r="AP131" i="2"/>
  <c r="AQ131" i="2" s="1"/>
  <c r="AP67" i="2"/>
  <c r="AQ67" i="2" s="1"/>
  <c r="AP14" i="2"/>
  <c r="AQ14" i="2" s="1"/>
  <c r="AP56" i="2"/>
  <c r="AQ56" i="2" s="1"/>
  <c r="AP224" i="2"/>
  <c r="AQ224" i="2" s="1"/>
  <c r="AP193" i="2"/>
  <c r="AQ193" i="2" s="1"/>
  <c r="AP181" i="2"/>
  <c r="AQ181" i="2" s="1"/>
  <c r="AP353" i="2"/>
  <c r="AQ353" i="2" s="1"/>
  <c r="AP352" i="2"/>
  <c r="AQ352" i="2" s="1"/>
  <c r="AP95" i="2"/>
  <c r="AQ95" i="2" s="1"/>
  <c r="AP86" i="2"/>
  <c r="AQ86" i="2" s="1"/>
  <c r="AP340" i="2"/>
  <c r="AQ340" i="2" s="1"/>
  <c r="AP116" i="2"/>
  <c r="AQ116" i="2" s="1"/>
  <c r="AP54" i="2"/>
  <c r="AQ54" i="2" s="1"/>
  <c r="AP110" i="2"/>
  <c r="AQ110" i="2" s="1"/>
  <c r="AP107" i="2"/>
  <c r="AQ107" i="2" s="1"/>
  <c r="AP379" i="2"/>
  <c r="AQ379" i="2" s="1"/>
  <c r="AP299" i="2"/>
  <c r="AQ299" i="2" s="1"/>
  <c r="AP298" i="2"/>
  <c r="AQ298" i="2" s="1"/>
  <c r="AP235" i="2"/>
  <c r="AQ235" i="2" s="1"/>
  <c r="AP205" i="2"/>
  <c r="AQ205" i="2" s="1"/>
  <c r="AP151" i="2"/>
  <c r="AQ151" i="2" s="1"/>
  <c r="AP191" i="2"/>
  <c r="AQ191" i="2" s="1"/>
  <c r="AP189" i="2"/>
  <c r="AQ189" i="2" s="1"/>
  <c r="AP4" i="2"/>
  <c r="AQ4" i="2" s="1"/>
  <c r="AP498" i="2"/>
  <c r="AQ498" i="2" s="1"/>
  <c r="AP284" i="2"/>
  <c r="AQ284" i="2" s="1"/>
  <c r="AP260" i="2"/>
  <c r="AQ260" i="2" s="1"/>
  <c r="AP188" i="2"/>
  <c r="AQ188" i="2" s="1"/>
  <c r="AP10" i="2"/>
  <c r="AQ10" i="2" s="1"/>
  <c r="AP367" i="2"/>
  <c r="AQ367" i="2" s="1"/>
  <c r="AP168" i="2"/>
  <c r="AQ168" i="2" s="1"/>
  <c r="AP149" i="2"/>
  <c r="AQ149" i="2" s="1"/>
  <c r="AP139" i="2"/>
  <c r="AQ139" i="2" s="1"/>
  <c r="AP83" i="2"/>
  <c r="AQ83" i="2" s="1"/>
  <c r="AP74" i="2"/>
  <c r="AQ74" i="2" s="1"/>
  <c r="AP453" i="2"/>
  <c r="AQ453" i="2" s="1"/>
  <c r="AP292" i="2"/>
  <c r="AQ292" i="2" s="1"/>
  <c r="AP295" i="2"/>
  <c r="AQ295" i="2" s="1"/>
  <c r="AP283" i="2"/>
  <c r="AQ283" i="2" s="1"/>
  <c r="AP202" i="2"/>
  <c r="AQ202" i="2" s="1"/>
  <c r="AP172" i="2"/>
  <c r="AQ172" i="2" s="1"/>
  <c r="AP137" i="2"/>
  <c r="AQ137" i="2" s="1"/>
  <c r="AP125" i="2"/>
  <c r="AQ125" i="2" s="1"/>
  <c r="AP195" i="2"/>
  <c r="AQ195" i="2" s="1"/>
  <c r="AP119" i="2"/>
  <c r="AQ119" i="2" s="1"/>
  <c r="AP87" i="2"/>
  <c r="AQ87" i="2" s="1"/>
  <c r="AP2" i="2"/>
  <c r="AQ2" i="2" s="1"/>
  <c r="AP278" i="2"/>
  <c r="AQ278" i="2" s="1"/>
  <c r="AP145" i="2"/>
  <c r="AQ145" i="2" s="1"/>
  <c r="AP138" i="2"/>
  <c r="AQ138" i="2" s="1"/>
  <c r="AP73" i="2"/>
  <c r="AQ73" i="2" s="1"/>
  <c r="AP90" i="2"/>
  <c r="AQ90" i="2" s="1"/>
  <c r="AP6" i="2"/>
  <c r="AQ6" i="2" s="1"/>
  <c r="AP243" i="2"/>
  <c r="AQ243" i="2" s="1"/>
  <c r="AP229" i="2"/>
  <c r="AQ229" i="2" s="1"/>
  <c r="AP309" i="2"/>
  <c r="AQ309" i="2" s="1"/>
  <c r="AP164" i="2"/>
  <c r="AQ164" i="2" s="1"/>
  <c r="AP78" i="2"/>
  <c r="AQ78" i="2" s="1"/>
  <c r="AP259" i="2"/>
  <c r="AQ259" i="2" s="1"/>
  <c r="AP91" i="2"/>
  <c r="AQ91" i="2" s="1"/>
  <c r="AP82" i="2"/>
  <c r="AQ82" i="2" s="1"/>
  <c r="AP253" i="2"/>
  <c r="AQ253" i="2" s="1"/>
  <c r="AP72" i="2"/>
  <c r="AQ72" i="2" s="1"/>
  <c r="AP89" i="2"/>
  <c r="AQ89" i="2" s="1"/>
  <c r="AP69" i="2"/>
  <c r="AQ69" i="2" s="1"/>
  <c r="AP12" i="2"/>
  <c r="AQ12" i="2" s="1"/>
  <c r="AP439" i="2"/>
  <c r="AQ439" i="2" s="1"/>
  <c r="AP271" i="2"/>
  <c r="AQ271" i="2" s="1"/>
  <c r="AP161" i="2"/>
  <c r="AQ161" i="2" s="1"/>
  <c r="AP225" i="2"/>
  <c r="AQ225" i="2" s="1"/>
  <c r="AP133" i="2"/>
  <c r="AQ133" i="2" s="1"/>
  <c r="AP362" i="2"/>
  <c r="AQ362" i="2" s="1"/>
  <c r="AP136" i="2"/>
  <c r="AQ136" i="2" s="1"/>
  <c r="AP135" i="2"/>
  <c r="AQ135" i="2" s="1"/>
  <c r="AP123" i="2"/>
  <c r="AQ123" i="2" s="1"/>
  <c r="AP448" i="2"/>
  <c r="AQ448" i="2" s="1"/>
  <c r="AP419" i="2"/>
  <c r="AQ419" i="2" s="1"/>
  <c r="AP250" i="2"/>
  <c r="AQ250" i="2" s="1"/>
  <c r="AP103" i="2"/>
  <c r="AQ103" i="2" s="1"/>
  <c r="AP485" i="2"/>
  <c r="AQ485" i="2" s="1"/>
  <c r="AP238" i="2"/>
  <c r="AQ238" i="2" s="1"/>
  <c r="AP227" i="2"/>
  <c r="AQ227" i="2" s="1"/>
  <c r="AP197" i="2"/>
  <c r="AQ197" i="2" s="1"/>
  <c r="AP165" i="2"/>
  <c r="AQ165" i="2" s="1"/>
  <c r="AP102" i="2"/>
  <c r="AQ102" i="2" s="1"/>
  <c r="AP79" i="2"/>
  <c r="AQ79" i="2" s="1"/>
  <c r="AP61" i="2"/>
  <c r="AQ61" i="2" s="1"/>
  <c r="AP527" i="2"/>
  <c r="AQ527" i="2" s="1"/>
  <c r="AP416" i="2"/>
  <c r="AQ416" i="2" s="1"/>
  <c r="H29" i="5"/>
  <c r="O216" i="9"/>
  <c r="P216" i="9" s="1"/>
  <c r="G48" i="6" l="1"/>
  <c r="H48" i="6" s="1"/>
  <c r="F13" i="9"/>
  <c r="F8" i="9"/>
  <c r="C39" i="10" s="1"/>
  <c r="G9" i="6"/>
  <c r="C18" i="10"/>
  <c r="G37" i="6"/>
  <c r="H37" i="6" s="1"/>
  <c r="G22" i="6"/>
  <c r="H22" i="6" s="1"/>
  <c r="G40" i="6"/>
  <c r="H40" i="6" s="1"/>
  <c r="G13" i="9"/>
  <c r="G38" i="6"/>
  <c r="G50" i="6"/>
  <c r="H50" i="6" s="1"/>
  <c r="G44" i="6"/>
  <c r="H44" i="6" s="1"/>
  <c r="G36" i="6"/>
  <c r="H36" i="6" s="1"/>
  <c r="E8" i="9"/>
  <c r="C38" i="10" s="1"/>
  <c r="G53" i="6"/>
  <c r="H53" i="6" s="1"/>
  <c r="D12" i="9"/>
  <c r="C12" i="9"/>
  <c r="B12" i="9"/>
  <c r="C35" i="10" s="1"/>
  <c r="P219" i="9"/>
  <c r="H11" i="9"/>
  <c r="G47" i="6"/>
  <c r="H47" i="6" s="1"/>
  <c r="G54" i="6"/>
  <c r="H54" i="6" s="1"/>
  <c r="H38" i="6"/>
  <c r="L20" i="6"/>
  <c r="C10" i="9"/>
  <c r="C37" i="10" s="1"/>
  <c r="B10" i="9"/>
  <c r="C33" i="10" s="1"/>
  <c r="D10" i="9"/>
  <c r="E9" i="9"/>
  <c r="C41" i="10" s="1"/>
  <c r="F9" i="9"/>
  <c r="G9" i="9"/>
  <c r="C56" i="5"/>
  <c r="B13" i="9"/>
  <c r="C36" i="10" s="1"/>
  <c r="C13" i="9"/>
  <c r="D13" i="9"/>
  <c r="G20" i="6"/>
  <c r="H20" i="6" s="1"/>
  <c r="G45" i="6"/>
  <c r="H45" i="6" s="1"/>
  <c r="G33" i="6"/>
  <c r="H33" i="6" s="1"/>
  <c r="C55" i="5"/>
  <c r="G8" i="9"/>
  <c r="C40" i="10" s="1"/>
  <c r="D9" i="9"/>
  <c r="B9" i="9"/>
  <c r="C32" i="10" s="1"/>
  <c r="C9" i="9"/>
  <c r="G35" i="6"/>
  <c r="H35" i="6" s="1"/>
  <c r="G10" i="6"/>
  <c r="H10" i="6" s="1"/>
  <c r="G19" i="6"/>
  <c r="H19" i="6" s="1"/>
  <c r="G24" i="6"/>
  <c r="H24" i="6" s="1"/>
  <c r="E10" i="9"/>
  <c r="C42" i="10" s="1"/>
  <c r="G10" i="9"/>
  <c r="F10" i="9"/>
  <c r="C46" i="10" s="1"/>
  <c r="G21" i="6"/>
  <c r="K25" i="6"/>
  <c r="G31" i="6"/>
  <c r="H31" i="6" s="1"/>
  <c r="C20" i="10"/>
  <c r="G63" i="5"/>
  <c r="J8" i="9"/>
  <c r="K8" i="9"/>
  <c r="G26" i="6"/>
  <c r="H26" i="6" s="1"/>
  <c r="G51" i="6"/>
  <c r="H51" i="6" s="1"/>
  <c r="C42" i="4"/>
  <c r="C14" i="10" s="1"/>
  <c r="G29" i="6"/>
  <c r="H29" i="6" s="1"/>
  <c r="L18" i="6"/>
  <c r="H9" i="6"/>
  <c r="G11" i="9"/>
  <c r="F11" i="9"/>
  <c r="E11" i="9"/>
  <c r="C43" i="10" s="1"/>
  <c r="E13" i="9"/>
  <c r="C45" i="10" s="1"/>
  <c r="P269" i="9"/>
  <c r="E12" i="9" s="1"/>
  <c r="C44" i="10" s="1"/>
  <c r="H12" i="9"/>
  <c r="G41" i="6"/>
  <c r="H41" i="6" s="1"/>
  <c r="L11" i="6" s="1"/>
  <c r="I8" i="9"/>
  <c r="C8" i="9"/>
  <c r="B8" i="9"/>
  <c r="D8" i="9"/>
  <c r="G16" i="6"/>
  <c r="H16" i="6" s="1"/>
  <c r="G57" i="6"/>
  <c r="H57" i="6" s="1"/>
  <c r="L21" i="6"/>
  <c r="H58" i="6"/>
  <c r="B11" i="9"/>
  <c r="C34" i="10" s="1"/>
  <c r="D11" i="9"/>
  <c r="C11" i="9"/>
  <c r="G23" i="6"/>
  <c r="H23" i="6" s="1"/>
  <c r="G42" i="6"/>
  <c r="H42" i="6" s="1"/>
  <c r="K27" i="6" l="1"/>
  <c r="C25" i="10" s="1"/>
  <c r="H21" i="6"/>
  <c r="L19" i="6"/>
  <c r="G12" i="9"/>
  <c r="F12" i="9"/>
  <c r="K11" i="6"/>
  <c r="K12" i="6"/>
  <c r="C22" i="10" s="1"/>
  <c r="K10" i="6"/>
  <c r="K13" i="6" s="1"/>
  <c r="C21" i="10" s="1"/>
  <c r="L12" i="6"/>
  <c r="L10" i="6"/>
  <c r="L13" i="6" s="1"/>
  <c r="K15" i="6" l="1"/>
  <c r="C24" i="10" s="1"/>
  <c r="K14" i="6"/>
  <c r="L14" i="6"/>
  <c r="L15" i="6"/>
  <c r="C23" i="10" s="1"/>
</calcChain>
</file>

<file path=xl/sharedStrings.xml><?xml version="1.0" encoding="utf-8"?>
<sst xmlns="http://schemas.openxmlformats.org/spreadsheetml/2006/main" count="7985" uniqueCount="1437">
  <si>
    <t>MPG Cost Estimating Relationship (CER): the math behind the deck, live</t>
  </si>
  <si>
    <t>Purpose: every statistic quoted in the MPG Prediction Deck is recomputed here as an Excel formula over the actual data, so the</t>
  </si>
  <si>
    <t>coefficients, R-squared, F, t, p, nested F-tests, elasticities, and the 50-year normalization can be inspected and recalculated on demand.</t>
  </si>
  <si>
    <t>Sheets</t>
  </si>
  <si>
    <t xml:space="preserve">  Data: the 1,285 Model Year 2024 model types in the final CER (775 gasoline/diesel, 250 hybrid, 260 battery-electric) with log and dummy columns.</t>
  </si>
  <si>
    <t xml:space="preserve">  Data_Combustion: the 1,025 combustion-only rows used by the original (combustion-only) CER, alternative A.</t>
  </si>
  <si>
    <t xml:space="preserve">  CER: the final equation ln(MPG) = b0 + b1 ln(weight) + b2 ln(HP) + b3 hybrid + b4 electric, fit with LINEST; t, p, VIF, elasticities, prediction band, outliers.</t>
  </si>
  <si>
    <t xml:space="preserve">  Alternatives: specifications A through E, each fit with LINEST, and the nested F-tests that decided between them.</t>
  </si>
  <si>
    <t xml:space="preserve">  Normalization: the 50-year fleet series re-expressed at 2024 weight and horsepower using the CER's own elasticities, trend fit, and 2045 projection.</t>
  </si>
  <si>
    <t xml:space="preserve">  Class Productivity: figs 43, 45, 46: class series 1975 to 2024, in-class BEV share, live BEV backing-out, both normalizations, LINEST trends, R-squared, 2045 projections.</t>
  </si>
  <si>
    <t xml:space="preserve">  EV Productivity: fig 44: the Tesla fleet series (also the BEV proxy), normalized to constant weight, trend and R-squared.</t>
  </si>
  <si>
    <t xml:space="preserve">  Diffusion: the technology S-curves behind slide 7: share data for five technologies, the logistic parameters, live fitted curves, R-squared, 10-to-90% years, projections, and an Excel cross-check of k and t0.</t>
  </si>
  <si>
    <t xml:space="preserve">  Reference: the numbers on the slides next to the cell that produces each one.</t>
  </si>
  <si>
    <t>Conventions</t>
  </si>
  <si>
    <t xml:space="preserve">  Every computed value is a formula (LINEST, INDEX, EXP, T.DIST.2T, F.DIST.RT, SUMPRODUCT). Inputs are the data rows only.</t>
  </si>
  <si>
    <t xml:space="preserve">  Green cells are the headline results quoted in the deck.</t>
  </si>
  <si>
    <t xml:space="preserve">  LINEST returns ordinary (classical) standard errors. The deck reports HC1 heteroskedasticity-robust standard errors from the Python pipeline</t>
  </si>
  <si>
    <t xml:space="preserve">  (33_pooled_model.py); both are shown on the CER sheet. Coefficients, R-squared, F, and SSE are identical between the two.</t>
  </si>
  <si>
    <t xml:space="preserve">  Dependent variable: EPA unadjusted 2-cycle combined MPG (MPGe for battery-electric vehicles, miles per 33.7 kWh). Weight is CAFE inertia weight (lbs).</t>
  </si>
  <si>
    <t>Sources: EPA Model Year 2024 Fuel Economy and Technology data and Footprint data (epa.gov/automotive-trends); EPA MY2024 Test Car List</t>
  </si>
  <si>
    <t>(rated horsepower for battery-electric vehicles); EPA Automotive Trends Report fleet averages 1975 to 2024. Checksums and pipeline in</t>
  </si>
  <si>
    <t>DATA_SOURCES.md, github.com/SCherwonik/OS3180.</t>
  </si>
  <si>
    <t>carline</t>
  </si>
  <si>
    <t>manufacturer</t>
  </si>
  <si>
    <t>powertrain</t>
  </si>
  <si>
    <t>MPG or MPGe (unadjusted 2-cycle)</t>
  </si>
  <si>
    <t>weight_lbs</t>
  </si>
  <si>
    <t>horsepower</t>
  </si>
  <si>
    <t>footprint_sqft</t>
  </si>
  <si>
    <t>hp_source</t>
  </si>
  <si>
    <t>ln_mpg</t>
  </si>
  <si>
    <t>ln_weight</t>
  </si>
  <si>
    <t>ln_hp</t>
  </si>
  <si>
    <t>hybrid</t>
  </si>
  <si>
    <t>bev</t>
  </si>
  <si>
    <t>footprint (spec B block)</t>
  </si>
  <si>
    <t>electrified</t>
  </si>
  <si>
    <t>ordinal_0_1_2</t>
  </si>
  <si>
    <t>C: ln_weight</t>
  </si>
  <si>
    <t>C: ln_hp</t>
  </si>
  <si>
    <t>C: footprint</t>
  </si>
  <si>
    <t>C: electrified</t>
  </si>
  <si>
    <t>D: ln_weight</t>
  </si>
  <si>
    <t>D: ln_hp</t>
  </si>
  <si>
    <t>D: footprint</t>
  </si>
  <si>
    <t>D: ordinal</t>
  </si>
  <si>
    <t>E: ln_weight</t>
  </si>
  <si>
    <t>E: ln_hp</t>
  </si>
  <si>
    <t>E: footprint</t>
  </si>
  <si>
    <t>E: hybrid</t>
  </si>
  <si>
    <t>E: bev</t>
  </si>
  <si>
    <t>E: bev x ln_weight</t>
  </si>
  <si>
    <t>E: bev x ln_hp</t>
  </si>
  <si>
    <t>E: bev x footprint</t>
  </si>
  <si>
    <t>VIF ln_hp: ln_weight</t>
  </si>
  <si>
    <t>VIF ln_hp: hybrid</t>
  </si>
  <si>
    <t>VIF ln_hp: bev</t>
  </si>
  <si>
    <t>VIF hybrid: ln_weight</t>
  </si>
  <si>
    <t>VIF hybrid: ln_hp</t>
  </si>
  <si>
    <t>VIF hybrid: bev</t>
  </si>
  <si>
    <t>pred ln_mpg (CER)</t>
  </si>
  <si>
    <t>pred MPG (CER)</t>
  </si>
  <si>
    <t>residual (CER)</t>
  </si>
  <si>
    <t>pred ln_mpg (spec C)</t>
  </si>
  <si>
    <t>residual (spec C)</t>
  </si>
  <si>
    <t>DB12 V8</t>
  </si>
  <si>
    <t>Aston Martin Lagonda</t>
  </si>
  <si>
    <t>gas_diesel</t>
  </si>
  <si>
    <t>FE file ENG_RATED_HP</t>
  </si>
  <si>
    <t>Valour</t>
  </si>
  <si>
    <t>DBX V8</t>
  </si>
  <si>
    <t>DBX 707</t>
  </si>
  <si>
    <t>X3 xDrive30i</t>
  </si>
  <si>
    <t>BMW</t>
  </si>
  <si>
    <t>X4 xDrive30i</t>
  </si>
  <si>
    <t>X3 sDrive30i</t>
  </si>
  <si>
    <t>M850i xDrive Coupe</t>
  </si>
  <si>
    <t>M850i xDrive Convertible</t>
  </si>
  <si>
    <t>Z4 sDrive30i</t>
  </si>
  <si>
    <t>X3 M</t>
  </si>
  <si>
    <t>X3 M Competition</t>
  </si>
  <si>
    <t>X4 M</t>
  </si>
  <si>
    <t>X4 M Competition</t>
  </si>
  <si>
    <t>Z4 M40i</t>
  </si>
  <si>
    <t>M8 Competition Convertible</t>
  </si>
  <si>
    <t>M8 Competition Coupe</t>
  </si>
  <si>
    <t>M850i xDrive Gran Coupe</t>
  </si>
  <si>
    <t>840i xDrive Gran Coupe</t>
  </si>
  <si>
    <t>840i Gran Coupe</t>
  </si>
  <si>
    <t>840i xDrive Coupe</t>
  </si>
  <si>
    <t>840i Coupe</t>
  </si>
  <si>
    <t>840i xDrive Convertible</t>
  </si>
  <si>
    <t>840i Convertible</t>
  </si>
  <si>
    <t>M8 Competition Gran Coupe</t>
  </si>
  <si>
    <t>X5 M Competition</t>
  </si>
  <si>
    <t>X6 M Competition</t>
  </si>
  <si>
    <t>M235i xDrive Gran Coupe</t>
  </si>
  <si>
    <t>228i xDrive Gran Coupe</t>
  </si>
  <si>
    <t>228i Gran Coupe</t>
  </si>
  <si>
    <t>M440i xDrive Coupe</t>
  </si>
  <si>
    <t>M440i Convertible</t>
  </si>
  <si>
    <t>X6 xDrive40i</t>
  </si>
  <si>
    <t>430i Coupe</t>
  </si>
  <si>
    <t>430i xDrive Coupe</t>
  </si>
  <si>
    <t>M4 Coupe</t>
  </si>
  <si>
    <t>M4 Competition Coupe</t>
  </si>
  <si>
    <t>430i Convertible</t>
  </si>
  <si>
    <t>430i xDrive Convertible</t>
  </si>
  <si>
    <t>330i Sedan</t>
  </si>
  <si>
    <t>330i xDrive Sedan</t>
  </si>
  <si>
    <t>ALPINA B8 Gran Coupe</t>
  </si>
  <si>
    <t>M3 Competition M xDrive Sedan</t>
  </si>
  <si>
    <t>M4 Competition M xDrive Coupe</t>
  </si>
  <si>
    <t>M4CompetitionMxDriveConvertible</t>
  </si>
  <si>
    <t>M3 Sedan</t>
  </si>
  <si>
    <t>M3 Competition Sedan</t>
  </si>
  <si>
    <t>X3 M40i</t>
  </si>
  <si>
    <t>X4 M40i</t>
  </si>
  <si>
    <t>M340i Sedan</t>
  </si>
  <si>
    <t>M340i xDrive Sedan</t>
  </si>
  <si>
    <t>M440i Coupe</t>
  </si>
  <si>
    <t>M440i xDrive Convertible</t>
  </si>
  <si>
    <t>540i xDrive Sedan</t>
  </si>
  <si>
    <t>M440i xDrive Gran Coupe</t>
  </si>
  <si>
    <t>M240i xDrive Coupe</t>
  </si>
  <si>
    <t>330e xDrive Sedan</t>
  </si>
  <si>
    <t>330e Sedan</t>
  </si>
  <si>
    <t>230i Coupe</t>
  </si>
  <si>
    <t>230i xDrive Coupe</t>
  </si>
  <si>
    <t>430i Gran Coupe</t>
  </si>
  <si>
    <t>430i xDrive Gran Coupe</t>
  </si>
  <si>
    <t>M240i Coupe</t>
  </si>
  <si>
    <t>M440i Gran Coupe</t>
  </si>
  <si>
    <t>X7 M60i xDrive</t>
  </si>
  <si>
    <t>ALPINA XB7</t>
  </si>
  <si>
    <t>X7 xDrive40i</t>
  </si>
  <si>
    <t>760i xDrive Sedan</t>
  </si>
  <si>
    <t>740i Sedan</t>
  </si>
  <si>
    <t>740i xDrive Sedan</t>
  </si>
  <si>
    <t>X1 xDrive28i</t>
  </si>
  <si>
    <t>XM</t>
  </si>
  <si>
    <t>M2 Coupe</t>
  </si>
  <si>
    <t>750e xDrive Sedan</t>
  </si>
  <si>
    <t>X5 xDrive50e</t>
  </si>
  <si>
    <t>X5 sDrive40i</t>
  </si>
  <si>
    <t>X5 xDrive40i</t>
  </si>
  <si>
    <t>X5 M60i xDrive</t>
  </si>
  <si>
    <t>X6 M60i xDrive</t>
  </si>
  <si>
    <t>M3 CS Sedan</t>
  </si>
  <si>
    <t>XM Label</t>
  </si>
  <si>
    <t>530i Sedan</t>
  </si>
  <si>
    <t>530i xDrive Sedan</t>
  </si>
  <si>
    <t>X1 M35i</t>
  </si>
  <si>
    <t>X2 xDrive28i</t>
  </si>
  <si>
    <t>X2 M35i</t>
  </si>
  <si>
    <t>COOPER HARDTOP 2 DOOR</t>
  </si>
  <si>
    <t>COOPER S HARDTOP 2 DOOR</t>
  </si>
  <si>
    <t>COOPER S HARDTOP 4 DOOR</t>
  </si>
  <si>
    <t>COOPER S CONVERTIBLE</t>
  </si>
  <si>
    <t>COOPER S CLUBMAN</t>
  </si>
  <si>
    <t>COOPER CONVERTIBLE</t>
  </si>
  <si>
    <t>COOPER HARDTOP 4 DOOR</t>
  </si>
  <si>
    <t>COOPER COUNTRYMAN</t>
  </si>
  <si>
    <t>COOPER COUNTRYMAN ALL4</t>
  </si>
  <si>
    <t>COOPER S CLUBMAN ALL4</t>
  </si>
  <si>
    <t>COOPER S COUNTRYMAN</t>
  </si>
  <si>
    <t>COOPER S COUNTRYMAN ALL4</t>
  </si>
  <si>
    <t>JOHN COOPER WORKS CLUBMAN ALL4</t>
  </si>
  <si>
    <t>JOHN COOPER WORKS CONVERTIBLE</t>
  </si>
  <si>
    <t>JCW COUNTRYMAN ALL4</t>
  </si>
  <si>
    <t>JOHN COOPER WORKS HARDTOP 2 DOOR</t>
  </si>
  <si>
    <t>Supra 2.0</t>
  </si>
  <si>
    <t>Supra 3.0</t>
  </si>
  <si>
    <t>Pacifica</t>
  </si>
  <si>
    <t>FCA US LLC</t>
  </si>
  <si>
    <t>Pacifica Hybrid</t>
  </si>
  <si>
    <t>Pacifica AWD</t>
  </si>
  <si>
    <t>Voyager</t>
  </si>
  <si>
    <t>Hornet AWD</t>
  </si>
  <si>
    <t>Hornet PHEV AWD</t>
  </si>
  <si>
    <t>Durango RWD</t>
  </si>
  <si>
    <t>Durango AWD</t>
  </si>
  <si>
    <t>Durango SRT AWD</t>
  </si>
  <si>
    <t>Wrangler Rubicon 4dr 4X4</t>
  </si>
  <si>
    <t>Wrangler Rubicon 2dr 4X4</t>
  </si>
  <si>
    <t>Compass 4X4</t>
  </si>
  <si>
    <t>Wrangler 2dr 4X4</t>
  </si>
  <si>
    <t>Wrangler 4dr 4X4</t>
  </si>
  <si>
    <t>Wrangler 4dr 4xe</t>
  </si>
  <si>
    <t>Gladiator 4X4</t>
  </si>
  <si>
    <t>Wagoneer 4x2</t>
  </si>
  <si>
    <t>Wagoneer L 4x2</t>
  </si>
  <si>
    <t>Wagoneer 4x4</t>
  </si>
  <si>
    <t>Wagoneer L 4x4</t>
  </si>
  <si>
    <t>Grand Wagoneer 4x4</t>
  </si>
  <si>
    <t>Grand Wagoneer L 4x4</t>
  </si>
  <si>
    <t>Grand Cherokee L 4X2</t>
  </si>
  <si>
    <t>Grand Cherokee 4X2</t>
  </si>
  <si>
    <t>Grand Cherokee 4xe</t>
  </si>
  <si>
    <t>Grand Cherokee L 4X4</t>
  </si>
  <si>
    <t>Grand Cherokee 4X4</t>
  </si>
  <si>
    <t>Tonale eAWD</t>
  </si>
  <si>
    <t>Giulia</t>
  </si>
  <si>
    <t>Giulia AWD</t>
  </si>
  <si>
    <t>Stelvio</t>
  </si>
  <si>
    <t>Stelvio AWD</t>
  </si>
  <si>
    <t>1500 Classic 4X2</t>
  </si>
  <si>
    <t>1500 Classic 4X4</t>
  </si>
  <si>
    <t>1500 4X2</t>
  </si>
  <si>
    <t>1500 HFE 4X2</t>
  </si>
  <si>
    <t>1500 4X4</t>
  </si>
  <si>
    <t>1500 TRX 4x4</t>
  </si>
  <si>
    <t>812 Competizione</t>
  </si>
  <si>
    <t>Ferrari S.p.A.</t>
  </si>
  <si>
    <t>812 Competizione A</t>
  </si>
  <si>
    <t>Roma</t>
  </si>
  <si>
    <t>296 GTB</t>
  </si>
  <si>
    <t>296 GTS</t>
  </si>
  <si>
    <t>SF90 Stradale</t>
  </si>
  <si>
    <t>Roma Spider</t>
  </si>
  <si>
    <t>Purosangue</t>
  </si>
  <si>
    <t>SF90 Spider</t>
  </si>
  <si>
    <t>F173 HFC</t>
  </si>
  <si>
    <t>F173 HGC</t>
  </si>
  <si>
    <t>Ferrari Daytona SP3</t>
  </si>
  <si>
    <t>BRZ</t>
  </si>
  <si>
    <t>Subaru Corporation</t>
  </si>
  <si>
    <t>WRX</t>
  </si>
  <si>
    <t>CROSSTREK AWD</t>
  </si>
  <si>
    <t>IMPREZA</t>
  </si>
  <si>
    <t>LEGACY</t>
  </si>
  <si>
    <t>OUTBACK AWD</t>
  </si>
  <si>
    <t>FORESTER AWD</t>
  </si>
  <si>
    <t>ASCENT AWD</t>
  </si>
  <si>
    <t>ASCENT LIMITED/TOURING/ONYX EDITION AWD</t>
  </si>
  <si>
    <t>OUTBACK WILDERNESS AWD</t>
  </si>
  <si>
    <t>FORESTER WILDERNESS AWD</t>
  </si>
  <si>
    <t>CROSSTREK WILDERNESS AWD</t>
  </si>
  <si>
    <t>MUSTANG PERFORMANCE PACK</t>
  </si>
  <si>
    <t>Ford Motor Company</t>
  </si>
  <si>
    <t>MUSTANG DARK HORSE</t>
  </si>
  <si>
    <t>MUSTANG</t>
  </si>
  <si>
    <t>BRONCO 4WD</t>
  </si>
  <si>
    <t>BRONCO SPORT 4WD</t>
  </si>
  <si>
    <t>BRONCO BLACK DIAMOND 4WD</t>
  </si>
  <si>
    <t>BRONCO BADLANDS 4WD</t>
  </si>
  <si>
    <t>BRONCO RAPTOR 4WD</t>
  </si>
  <si>
    <t>BRONCO SASQUATCH 4WD</t>
  </si>
  <si>
    <t>MAVERICK HEV FWD</t>
  </si>
  <si>
    <t>MAVERICK FWD</t>
  </si>
  <si>
    <t>MAVERICK AWD</t>
  </si>
  <si>
    <t>MAVERICK TREMOR AWD</t>
  </si>
  <si>
    <t>EDGE AWD</t>
  </si>
  <si>
    <t>F150 PICKUP 2WD</t>
  </si>
  <si>
    <t>F150 PICKUP 4WD</t>
  </si>
  <si>
    <t>F150 RAPTOR 4WD</t>
  </si>
  <si>
    <t>F150 PICKUP 4WD HEV</t>
  </si>
  <si>
    <t>F150 PICKUP TREMOR 4WD</t>
  </si>
  <si>
    <t>RANGER 2WD</t>
  </si>
  <si>
    <t>RANGER 4WD</t>
  </si>
  <si>
    <t>EXPLORER RWD</t>
  </si>
  <si>
    <t>EXPLORER AWD</t>
  </si>
  <si>
    <t>RANGER RAPTOR 4WD</t>
  </si>
  <si>
    <t>ESCAPE FWD</t>
  </si>
  <si>
    <t>ESCAPE AWD</t>
  </si>
  <si>
    <t>EXPLORER TIMBERLINE AWD</t>
  </si>
  <si>
    <t>EXPLORER FFV AWD</t>
  </si>
  <si>
    <t>ESCAPE FWD HEV</t>
  </si>
  <si>
    <t>ESCAPE FWD PHEV</t>
  </si>
  <si>
    <t>ESCAPE AWD HEV</t>
  </si>
  <si>
    <t>F150 RAPTOR R 4WD</t>
  </si>
  <si>
    <t>EXPEDITION 2WD</t>
  </si>
  <si>
    <t>EXPEDITION 4WD</t>
  </si>
  <si>
    <t>EXPEDITION TIMBERLINE 4WD</t>
  </si>
  <si>
    <t>NAUTILUS AWD</t>
  </si>
  <si>
    <t>NAUTILUS HEV AWD</t>
  </si>
  <si>
    <t>NAVIGATOR 4WD</t>
  </si>
  <si>
    <t>CORSAIR FWD</t>
  </si>
  <si>
    <t>CORSAIR AWD PHEV</t>
  </si>
  <si>
    <t>CORSAIR AWD</t>
  </si>
  <si>
    <t>AVIATOR RWD</t>
  </si>
  <si>
    <t>AVIATOR AWD</t>
  </si>
  <si>
    <t>ENCLAVE FWD</t>
  </si>
  <si>
    <t>General Motors LLC</t>
  </si>
  <si>
    <t>ENCLAVE AWD</t>
  </si>
  <si>
    <t>ENCORE GX FWD</t>
  </si>
  <si>
    <t>ENCORE GX AWD</t>
  </si>
  <si>
    <t>ENVISTA</t>
  </si>
  <si>
    <t>ENVISION AWD</t>
  </si>
  <si>
    <t>ESCALADE 4WD</t>
  </si>
  <si>
    <t>ESCALADE 2WD</t>
  </si>
  <si>
    <t>XT5 HEARSE FWD</t>
  </si>
  <si>
    <t>XT5 LIMO FWD</t>
  </si>
  <si>
    <t>XT5 FWD</t>
  </si>
  <si>
    <t>XT5 AWD</t>
  </si>
  <si>
    <t>XT4 FWD</t>
  </si>
  <si>
    <t>XT4 AWD</t>
  </si>
  <si>
    <t>XT6 FWD</t>
  </si>
  <si>
    <t>XT6 AWD</t>
  </si>
  <si>
    <t>CT4</t>
  </si>
  <si>
    <t>CT4 AWD</t>
  </si>
  <si>
    <t>CT5</t>
  </si>
  <si>
    <t>CT5 AWD</t>
  </si>
  <si>
    <t>CT4 V</t>
  </si>
  <si>
    <t>CT5 V</t>
  </si>
  <si>
    <t>CT4 V AWD</t>
  </si>
  <si>
    <t>CT5 V AWD</t>
  </si>
  <si>
    <t>XT5 HEARSE AWD</t>
  </si>
  <si>
    <t>XT5 LIMO AWD</t>
  </si>
  <si>
    <t>ESCALADE V AWD</t>
  </si>
  <si>
    <t>SILVERADO 4WD ZR2</t>
  </si>
  <si>
    <t>SILVERADO 4WD MUD TERRAIN TIRES</t>
  </si>
  <si>
    <t>CORVETTE</t>
  </si>
  <si>
    <t>TRAILBLAZER FWD</t>
  </si>
  <si>
    <t>TRAILBLAZER AWD</t>
  </si>
  <si>
    <t>CORVETTE E-RAY</t>
  </si>
  <si>
    <t>CORVETTE Z06</t>
  </si>
  <si>
    <t>CORVETTE Z06 CARBON AERO</t>
  </si>
  <si>
    <t>COLORADO 4WD MUD TERRAIN TIRES</t>
  </si>
  <si>
    <t>TRAVERSE LIMITED FWD</t>
  </si>
  <si>
    <t>TRAVERSE LIMITED AWD</t>
  </si>
  <si>
    <t>TAHOE 2WD</t>
  </si>
  <si>
    <t>TRAVERSE FWD</t>
  </si>
  <si>
    <t>TRAVERSE AWD</t>
  </si>
  <si>
    <t>SUBURBAN 2WD</t>
  </si>
  <si>
    <t>TAHOE 4WD</t>
  </si>
  <si>
    <t>SUBURBAN 4WD</t>
  </si>
  <si>
    <t>TRAX</t>
  </si>
  <si>
    <t>COLORADO 2WD</t>
  </si>
  <si>
    <t>COLORADO 4WD</t>
  </si>
  <si>
    <t>CAMARO</t>
  </si>
  <si>
    <t>MALIBU</t>
  </si>
  <si>
    <t>EQUINOX FWD</t>
  </si>
  <si>
    <t>EQUINOX AWD</t>
  </si>
  <si>
    <t>COLORADO ZR2 4WD</t>
  </si>
  <si>
    <t>SILVERADO 2WD</t>
  </si>
  <si>
    <t>SILVERADO 4WD</t>
  </si>
  <si>
    <t>BLAZER FWD</t>
  </si>
  <si>
    <t>BLAZER AWD</t>
  </si>
  <si>
    <t>SILVERADO 2WD CAB CHASSIS</t>
  </si>
  <si>
    <t>COLORADO ZR2 BISON 4WD</t>
  </si>
  <si>
    <t>YUKON 2WD</t>
  </si>
  <si>
    <t>YUKON XL 2WD</t>
  </si>
  <si>
    <t>YUKON XL 4WD</t>
  </si>
  <si>
    <t>YUKON 4WD</t>
  </si>
  <si>
    <t>CANYON 2WD</t>
  </si>
  <si>
    <t>CANYON 4WD</t>
  </si>
  <si>
    <t>ACADIA FWD</t>
  </si>
  <si>
    <t>ACADIA AWD</t>
  </si>
  <si>
    <t>TERRAIN AWD</t>
  </si>
  <si>
    <t>SIERRA 2WD</t>
  </si>
  <si>
    <t>SIERRA 4WD</t>
  </si>
  <si>
    <t>SIERRA 2WD CAB CHASSIS</t>
  </si>
  <si>
    <t>TERRAIN FWD</t>
  </si>
  <si>
    <t>SIERRA 4WD MUD TERRAIN TIRES</t>
  </si>
  <si>
    <t>SIERRA 4WD AT4X</t>
  </si>
  <si>
    <t>CANYON 4WD MUD TERRAIN TIRES</t>
  </si>
  <si>
    <t>CANYON AT4X 4WD</t>
  </si>
  <si>
    <t>CANYON AT4X AEV 4WD</t>
  </si>
  <si>
    <t>CIVIC 4Dr</t>
  </si>
  <si>
    <t>American Honda Motor Co., Inc.</t>
  </si>
  <si>
    <t>CIVIC 5Dr</t>
  </si>
  <si>
    <t>ACCORD</t>
  </si>
  <si>
    <t>ACCORD SPORT/TOURING</t>
  </si>
  <si>
    <t>CR-V AWD</t>
  </si>
  <si>
    <t>CR-V FWD</t>
  </si>
  <si>
    <t>HR-V AWD</t>
  </si>
  <si>
    <t>HR-V FWD</t>
  </si>
  <si>
    <t>ODYSSEY FWD</t>
  </si>
  <si>
    <t>PILOT AWD</t>
  </si>
  <si>
    <t>PILOT FWD</t>
  </si>
  <si>
    <t>Pilot AWD Touring/Elite/Black</t>
  </si>
  <si>
    <t>Pilot AWD TRAILSPORT</t>
  </si>
  <si>
    <t>PASSPORT AWD</t>
  </si>
  <si>
    <t>RIDGELINE AWD</t>
  </si>
  <si>
    <t>RIDGELINE AWD TrailSport</t>
  </si>
  <si>
    <t>MDX AWD</t>
  </si>
  <si>
    <t>MDX FWD</t>
  </si>
  <si>
    <t>MDX AWD Type-S</t>
  </si>
  <si>
    <t>TLX FWD</t>
  </si>
  <si>
    <t>TLX AWD A-SPEC</t>
  </si>
  <si>
    <t>TLX Type-S</t>
  </si>
  <si>
    <t>RDX AWD</t>
  </si>
  <si>
    <t>RDX AWD A-SPEC</t>
  </si>
  <si>
    <t>INTEGRA</t>
  </si>
  <si>
    <t>INTEGRA A-SPEC</t>
  </si>
  <si>
    <t>Santa Fe AWD XRT</t>
  </si>
  <si>
    <t>Hyundai Motor Company</t>
  </si>
  <si>
    <t>Santa Fe AWD</t>
  </si>
  <si>
    <t>Santa Fe FWD</t>
  </si>
  <si>
    <t>Santa Fe Hybrid AWD</t>
  </si>
  <si>
    <t>Santa Fe Hybrid FWD</t>
  </si>
  <si>
    <t>Santa Cruz AWD</t>
  </si>
  <si>
    <t>Santa Cruz FWD</t>
  </si>
  <si>
    <t>Tucson FWD</t>
  </si>
  <si>
    <t>Tucson AWD</t>
  </si>
  <si>
    <t>Elantra</t>
  </si>
  <si>
    <t>Elantra Hybrid</t>
  </si>
  <si>
    <t>Elantra Hybrid Blue</t>
  </si>
  <si>
    <t>Elantra N</t>
  </si>
  <si>
    <t>Sonata Hybrid</t>
  </si>
  <si>
    <t>Kona AWD</t>
  </si>
  <si>
    <t>Kona FWD</t>
  </si>
  <si>
    <t>Tucson Plug-in Hybrid</t>
  </si>
  <si>
    <t>Tucson Hybrid Blue</t>
  </si>
  <si>
    <t>Tucson Hybrid</t>
  </si>
  <si>
    <t>Sonata FWD</t>
  </si>
  <si>
    <t>Sonata AWD</t>
  </si>
  <si>
    <t>Venue</t>
  </si>
  <si>
    <t>Palisade AWD</t>
  </si>
  <si>
    <t>Palisade FWD</t>
  </si>
  <si>
    <t>G90 AWD</t>
  </si>
  <si>
    <t>G90 MHEV</t>
  </si>
  <si>
    <t>G80 AWD</t>
  </si>
  <si>
    <t>GV80 AWD</t>
  </si>
  <si>
    <t>G70 AWD</t>
  </si>
  <si>
    <t>G70 RWD</t>
  </si>
  <si>
    <t>GV70 AWD</t>
  </si>
  <si>
    <t>Grenadier Station Wagon</t>
  </si>
  <si>
    <t>Ineos Automotive Limited</t>
  </si>
  <si>
    <t>Grenadier Fieldmaster Edition</t>
  </si>
  <si>
    <t>Grenadier Trialmaster Edition</t>
  </si>
  <si>
    <t>Grenadier Quartermaster</t>
  </si>
  <si>
    <t>Range Rover Velar</t>
  </si>
  <si>
    <t>Jaguar Land Rover Limited</t>
  </si>
  <si>
    <t>Range Rover Velar P400 MHEV</t>
  </si>
  <si>
    <t>Discovery</t>
  </si>
  <si>
    <t>Discovery MHEV</t>
  </si>
  <si>
    <t>Discovery Sport</t>
  </si>
  <si>
    <t>Range Rover Evoque</t>
  </si>
  <si>
    <t>Range Rover Sport P360 MHEV</t>
  </si>
  <si>
    <t>Range Rover Sport P400 MHEV</t>
  </si>
  <si>
    <t>Range Rover Sport P550 PHEV</t>
  </si>
  <si>
    <t>Range Rover MHEV</t>
  </si>
  <si>
    <t>Range Rover LWB MHEV</t>
  </si>
  <si>
    <t>Range Rover Sport SVR MHEV</t>
  </si>
  <si>
    <t>Range Rover SV MHEV</t>
  </si>
  <si>
    <t>Range Rover SV LWB MHEV</t>
  </si>
  <si>
    <t>Defender 110 MHEV</t>
  </si>
  <si>
    <t>Defender 90 MHEV</t>
  </si>
  <si>
    <t>Defender 90</t>
  </si>
  <si>
    <t>Defender 110</t>
  </si>
  <si>
    <t>Defender 130</t>
  </si>
  <si>
    <t>Range Rover P400 MHEV</t>
  </si>
  <si>
    <t>Range Rover P400 LWB MHEV</t>
  </si>
  <si>
    <t>Range Rover P550 PHEV</t>
  </si>
  <si>
    <t>Defender 130 P300 MHEV</t>
  </si>
  <si>
    <t>Defender 130 P400 MHEV</t>
  </si>
  <si>
    <t>Defender 130 Outbound</t>
  </si>
  <si>
    <t>F-TYPE R AWD Coupe</t>
  </si>
  <si>
    <t>F-TYPE R AWD Convertible</t>
  </si>
  <si>
    <t>F-TYPE P450 RWD Coupe</t>
  </si>
  <si>
    <t>F-TYPE P450 RWD Convertible</t>
  </si>
  <si>
    <t>F-TYPE P450 AWD R-Dynamic Coupe</t>
  </si>
  <si>
    <t>F-TYPE P450 AWD R-Dynamic Conv</t>
  </si>
  <si>
    <t>XF P250</t>
  </si>
  <si>
    <t>XF P300 AWD</t>
  </si>
  <si>
    <t>F-PACE</t>
  </si>
  <si>
    <t>F-PACE SVR</t>
  </si>
  <si>
    <t>F-PACE P400 MHEV</t>
  </si>
  <si>
    <t>E-PACE</t>
  </si>
  <si>
    <t>Telluride AWD</t>
  </si>
  <si>
    <t>Kia Corporation</t>
  </si>
  <si>
    <t>Telluride FWD</t>
  </si>
  <si>
    <t>Niro</t>
  </si>
  <si>
    <t>Niro FE</t>
  </si>
  <si>
    <t>Niro Plug-in Hybrid</t>
  </si>
  <si>
    <t>Soul</t>
  </si>
  <si>
    <t>Soul Eco dynamics</t>
  </si>
  <si>
    <t>K5</t>
  </si>
  <si>
    <t>K5 AWD</t>
  </si>
  <si>
    <t>Forte FE</t>
  </si>
  <si>
    <t>Forte</t>
  </si>
  <si>
    <t>Carnival</t>
  </si>
  <si>
    <t>Sportage AWD</t>
  </si>
  <si>
    <t>Sportage FWD</t>
  </si>
  <si>
    <t>Sportage Hybrid AWD</t>
  </si>
  <si>
    <t>Sportage Hybrid FWD</t>
  </si>
  <si>
    <t>Sportage Plug-in Hybrid</t>
  </si>
  <si>
    <t>Sportage X-pro</t>
  </si>
  <si>
    <t>Seltos AWD</t>
  </si>
  <si>
    <t>Seltos FWD</t>
  </si>
  <si>
    <t>Sorento AWD</t>
  </si>
  <si>
    <t>Sorento FWD</t>
  </si>
  <si>
    <t>Sorento Hybrid FWD</t>
  </si>
  <si>
    <t>Sorento Plug-in Hybrid</t>
  </si>
  <si>
    <t>Sorento Hybrid AWD</t>
  </si>
  <si>
    <t>Emira</t>
  </si>
  <si>
    <t>Lotus Cars Ltd</t>
  </si>
  <si>
    <t>Ghibli Trofeo</t>
  </si>
  <si>
    <t>Maserati North America, Inc.</t>
  </si>
  <si>
    <t>Quattroporte Modena AWD</t>
  </si>
  <si>
    <t>Ghibli Modena AWD</t>
  </si>
  <si>
    <t>Levante Modena</t>
  </si>
  <si>
    <t>Levante GT</t>
  </si>
  <si>
    <t>Levante Trofeo</t>
  </si>
  <si>
    <t>MC20</t>
  </si>
  <si>
    <t>MC20 Spyder</t>
  </si>
  <si>
    <t>Grecale Trofeo</t>
  </si>
  <si>
    <t>Grecale Modena</t>
  </si>
  <si>
    <t>Grecale GT</t>
  </si>
  <si>
    <t>Granturismo Trofeo</t>
  </si>
  <si>
    <t>Granturismo Modena</t>
  </si>
  <si>
    <t>Grancabrio Trofeo</t>
  </si>
  <si>
    <t>GLC 300</t>
  </si>
  <si>
    <t>Mercedes Benz</t>
  </si>
  <si>
    <t>GLC 300 4MATIC</t>
  </si>
  <si>
    <t>AMG C 63 S E Performance</t>
  </si>
  <si>
    <t>GLC 300 4MATIC (Coupe)</t>
  </si>
  <si>
    <t>C 300</t>
  </si>
  <si>
    <t>C 300 4MATIC</t>
  </si>
  <si>
    <t>AMG CLA 35 4MATIC</t>
  </si>
  <si>
    <t>AMG GLA 35 4MATIC</t>
  </si>
  <si>
    <t>AMG GLB 35 4MATIC</t>
  </si>
  <si>
    <t>AMG S 63 E Performance</t>
  </si>
  <si>
    <t>AMG CLA 45 S 4MATIC</t>
  </si>
  <si>
    <t>CLA 250 4MATIC</t>
  </si>
  <si>
    <t>AMG SL 43</t>
  </si>
  <si>
    <t>AMG SL 63 4MATIC+</t>
  </si>
  <si>
    <t>AMG SL 55 4MATIC+</t>
  </si>
  <si>
    <t>AMG SL 63 S E Performance</t>
  </si>
  <si>
    <t>CLA 250</t>
  </si>
  <si>
    <t>E 450 4MATIC</t>
  </si>
  <si>
    <t>E 450 4MATIC AT (station wagon)</t>
  </si>
  <si>
    <t>E 350 4MATIC</t>
  </si>
  <si>
    <t>AMG GLC 43 4MATIC</t>
  </si>
  <si>
    <t>AMG GLC 43 4MATIC (coupe)</t>
  </si>
  <si>
    <t>AMG C 43 4MATIC</t>
  </si>
  <si>
    <t>CLE 300 4MATIC (Convertible)</t>
  </si>
  <si>
    <t>CLE 300 4MATIC (Coupe)</t>
  </si>
  <si>
    <t>CLE 450 4MATIC (Convertible)</t>
  </si>
  <si>
    <t>CLE 450 4MATIC (Coupe)</t>
  </si>
  <si>
    <t>AMG CLE 53 4MATIC+ (Coupe)</t>
  </si>
  <si>
    <t>AMG GLE 63 S 4MATIC+ (coupe)</t>
  </si>
  <si>
    <t>AMG GLE 63 S 4MATIC+</t>
  </si>
  <si>
    <t>AMG GLS 63 4MATIC+</t>
  </si>
  <si>
    <t>GLS 600 4MATIC Maybach</t>
  </si>
  <si>
    <t>GLE 580 4MATIC</t>
  </si>
  <si>
    <t>GLS 580 4MATIC</t>
  </si>
  <si>
    <t>GLE 450 e 4MATIC</t>
  </si>
  <si>
    <t>GLE 450 4MATIC</t>
  </si>
  <si>
    <t>GLE 350 4MATIC</t>
  </si>
  <si>
    <t>GLS 450 4MATIC</t>
  </si>
  <si>
    <t>AMG GT 43 4MATIC+</t>
  </si>
  <si>
    <t>AMG GLE 53 4MATIC+</t>
  </si>
  <si>
    <t>AMG GLE 53 4MATIC+ (coupe)</t>
  </si>
  <si>
    <t>G 550</t>
  </si>
  <si>
    <t>AMG G 63</t>
  </si>
  <si>
    <t>AMG G 63 4x4 Squared</t>
  </si>
  <si>
    <t>GLA 250 4MATIC</t>
  </si>
  <si>
    <t>GLA 250</t>
  </si>
  <si>
    <t>S 500 4MATIC</t>
  </si>
  <si>
    <t>AMG GT 63 4MATIC+</t>
  </si>
  <si>
    <t>AMG GT 63 S E Performance</t>
  </si>
  <si>
    <t>AMG GT 55 4MATIC+ (coupe)</t>
  </si>
  <si>
    <t>AMG GT 63 4MATIC+ (coupe)</t>
  </si>
  <si>
    <t>AMG GT 53 4MATIC+</t>
  </si>
  <si>
    <t>GLB 250</t>
  </si>
  <si>
    <t>GLB 250 4MATIC</t>
  </si>
  <si>
    <t>S 580 4MATIC Maybach</t>
  </si>
  <si>
    <t>S 580 4MATIC</t>
  </si>
  <si>
    <t>Maybach S 680 4Matic</t>
  </si>
  <si>
    <t>S 580 e 4MATIC</t>
  </si>
  <si>
    <t>750S Coupe</t>
  </si>
  <si>
    <t>McLaren Automotive Limited</t>
  </si>
  <si>
    <t>750S Spider</t>
  </si>
  <si>
    <t>Artura</t>
  </si>
  <si>
    <t>MIRAGE</t>
  </si>
  <si>
    <t>Mitsubishi Motors Corporation</t>
  </si>
  <si>
    <t>MIRAGE G4</t>
  </si>
  <si>
    <t>Outlander PHEV</t>
  </si>
  <si>
    <t>Outlander Sport 2WD</t>
  </si>
  <si>
    <t>Outlander Sport 4WD</t>
  </si>
  <si>
    <t>ECLIPSE CROSS 2WD</t>
  </si>
  <si>
    <t>ECLIPSE CROSS 4WD</t>
  </si>
  <si>
    <t>ECLIPSE CROSS ES 4WD</t>
  </si>
  <si>
    <t>VERSA</t>
  </si>
  <si>
    <t>Nissan Motor Co., Ltd.</t>
  </si>
  <si>
    <t>SENTRA</t>
  </si>
  <si>
    <t>ALTIMA</t>
  </si>
  <si>
    <t>ALTIMA AWD</t>
  </si>
  <si>
    <t>KICKS</t>
  </si>
  <si>
    <t>SENTRA SR</t>
  </si>
  <si>
    <t>Z</t>
  </si>
  <si>
    <t>Z NISMO</t>
  </si>
  <si>
    <t>GT-R</t>
  </si>
  <si>
    <t>MURANO FWD</t>
  </si>
  <si>
    <t>MURANO AWD</t>
  </si>
  <si>
    <t>ALTIMA SR</t>
  </si>
  <si>
    <t>ALTIMA SL/SR</t>
  </si>
  <si>
    <t>ROGUE FWD</t>
  </si>
  <si>
    <t>ROGUE AWD</t>
  </si>
  <si>
    <t>ROGUE FWD SL/PLATINUM</t>
  </si>
  <si>
    <t>ROGUE AWD SL/PLATINUM</t>
  </si>
  <si>
    <t>FRONTIER 2WD</t>
  </si>
  <si>
    <t>FRONTIER 4WD</t>
  </si>
  <si>
    <t>FRONTIER 4WD PRO-4X</t>
  </si>
  <si>
    <t>ARMADA 2WD</t>
  </si>
  <si>
    <t>ARMADA 4WD</t>
  </si>
  <si>
    <t>TITAN 2WD</t>
  </si>
  <si>
    <t>TITAN 4WD</t>
  </si>
  <si>
    <t>TITAN 4WD PRO-4X</t>
  </si>
  <si>
    <t>PATHFINDER 2WD</t>
  </si>
  <si>
    <t>PATHFINDER 4WD</t>
  </si>
  <si>
    <t>PATHFINDER 4WD PLATINUM</t>
  </si>
  <si>
    <t>PATHFINDER 4WD ROCK CREEK</t>
  </si>
  <si>
    <t>Q50</t>
  </si>
  <si>
    <t>Q50 AWD</t>
  </si>
  <si>
    <t>Q50 RED SPORT</t>
  </si>
  <si>
    <t>Q50 AWD RED SPORT</t>
  </si>
  <si>
    <t>QX50</t>
  </si>
  <si>
    <t>QX50 AWD</t>
  </si>
  <si>
    <t>QX55 AWD</t>
  </si>
  <si>
    <t>QX80 2WD</t>
  </si>
  <si>
    <t>QX80 4WD</t>
  </si>
  <si>
    <t>QX60 FWD</t>
  </si>
  <si>
    <t>QX60 AWD</t>
  </si>
  <si>
    <t>Outlander 2WD</t>
  </si>
  <si>
    <t>Outlander 4WD</t>
  </si>
  <si>
    <t>Pagani Imola</t>
  </si>
  <si>
    <t xml:space="preserve">Pagani S.p.A. </t>
  </si>
  <si>
    <t>Pagani Huayra Roaster BC</t>
  </si>
  <si>
    <t>Pagani Utopia</t>
  </si>
  <si>
    <t>Macan</t>
  </si>
  <si>
    <t>Porsche AG</t>
  </si>
  <si>
    <t>Macan S</t>
  </si>
  <si>
    <t>Macan T</t>
  </si>
  <si>
    <t>Macan GTS</t>
  </si>
  <si>
    <t>Cayenne</t>
  </si>
  <si>
    <t>Cayenne Coupe</t>
  </si>
  <si>
    <t>Cayenne E-Hybrid</t>
  </si>
  <si>
    <t>Cayenne S</t>
  </si>
  <si>
    <t>Cayenne S Coupe</t>
  </si>
  <si>
    <t>Cayenne E-Hybrid Coupe</t>
  </si>
  <si>
    <t>Cayenne S E-Hybrid</t>
  </si>
  <si>
    <t>Cayenne S E-Hybrid Coupe</t>
  </si>
  <si>
    <t>Cayenne Turbo GT</t>
  </si>
  <si>
    <t>Cayenne Turbo E-Hybrid</t>
  </si>
  <si>
    <t>Cayenne Turbo E-Hybrid Coupe</t>
  </si>
  <si>
    <t>911 Carrera</t>
  </si>
  <si>
    <t>911 Carrera Cabriolet</t>
  </si>
  <si>
    <t>911 Carrera S</t>
  </si>
  <si>
    <t>911 Carrera S Cabriolet</t>
  </si>
  <si>
    <t>911 Carrera T</t>
  </si>
  <si>
    <t>911 Carrera 4S</t>
  </si>
  <si>
    <t>911 Carrera 4S Cabriolet</t>
  </si>
  <si>
    <t>911 Targa 4S</t>
  </si>
  <si>
    <t>911 Carrera 4</t>
  </si>
  <si>
    <t>911 Carrera 4 Cabriolet</t>
  </si>
  <si>
    <t>911 Targa 4</t>
  </si>
  <si>
    <t>911 Turbo</t>
  </si>
  <si>
    <t>911 Turbo Cabriolet</t>
  </si>
  <si>
    <t>911 Turbo S</t>
  </si>
  <si>
    <t>911 Turbo S Cabriolet</t>
  </si>
  <si>
    <t>911 Carrera GTS</t>
  </si>
  <si>
    <t>911 Carrera GTS Cabriolet</t>
  </si>
  <si>
    <t>911 Carrera 4 GTS</t>
  </si>
  <si>
    <t>911 Carrera 4 GTS Cabriolet</t>
  </si>
  <si>
    <t>911 Targa 4 GTS</t>
  </si>
  <si>
    <t>911 GT3</t>
  </si>
  <si>
    <t>911 GT3 RS</t>
  </si>
  <si>
    <t>911 GT3 Touring</t>
  </si>
  <si>
    <t>911 S/T</t>
  </si>
  <si>
    <t>911 Dakar</t>
  </si>
  <si>
    <t>Panamera</t>
  </si>
  <si>
    <t>Panamera 4</t>
  </si>
  <si>
    <t>718 Boxster</t>
  </si>
  <si>
    <t>718 Cayman</t>
  </si>
  <si>
    <t>718 Boxster S</t>
  </si>
  <si>
    <t>718 Cayman S</t>
  </si>
  <si>
    <t>718 Boxster GTS 4.0</t>
  </si>
  <si>
    <t>718 Cayman GTS 4.0</t>
  </si>
  <si>
    <t>718 GT4 RS</t>
  </si>
  <si>
    <t>718 Spyder RS</t>
  </si>
  <si>
    <t>Phantom</t>
  </si>
  <si>
    <t>Rolls-Royce Motor Cars Limited</t>
  </si>
  <si>
    <t>Cullinan</t>
  </si>
  <si>
    <t>Cullinan Black Badge</t>
  </si>
  <si>
    <t>Ghost</t>
  </si>
  <si>
    <t>Phantom Extended</t>
  </si>
  <si>
    <t>Ghost Extended</t>
  </si>
  <si>
    <t>Ghost Black Badge</t>
  </si>
  <si>
    <t>MAZDA3 4-Door 2WD</t>
  </si>
  <si>
    <t>Mazda Motor Corporation</t>
  </si>
  <si>
    <t>MAZDA3 5-Door 2WD</t>
  </si>
  <si>
    <t>MAZDA3 4-Door 4WD</t>
  </si>
  <si>
    <t>MAZDA3 5-Door 4WD</t>
  </si>
  <si>
    <t>MX-5</t>
  </si>
  <si>
    <t>CX-5 4WD</t>
  </si>
  <si>
    <t>CX-30 4WD</t>
  </si>
  <si>
    <t>MAZDA CX-50 4WD</t>
  </si>
  <si>
    <t>MAZDA CX-90 4WD</t>
  </si>
  <si>
    <t>COROLLA</t>
  </si>
  <si>
    <t>Toyota Motor Corporation</t>
  </si>
  <si>
    <t>CAMRY HYBRID LE</t>
  </si>
  <si>
    <t>CAMRY AWD LE/SE</t>
  </si>
  <si>
    <t>CAMRY HYBRID SE/XLE/XSE</t>
  </si>
  <si>
    <t>CAMRY AWD XLE/XSE</t>
  </si>
  <si>
    <t>CAMRY</t>
  </si>
  <si>
    <t>CAMRY TRD</t>
  </si>
  <si>
    <t>CAMRY LE/SE</t>
  </si>
  <si>
    <t>CAMRY XSE</t>
  </si>
  <si>
    <t>CAMRY XLE/XSE</t>
  </si>
  <si>
    <t>PRIUS</t>
  </si>
  <si>
    <t>PRIUS AWD</t>
  </si>
  <si>
    <t>PRIUS XLE/LTD</t>
  </si>
  <si>
    <t>PRIUS AWD XLE/LTD</t>
  </si>
  <si>
    <t>PRIUS PRIME SE</t>
  </si>
  <si>
    <t>PRIUS PRIME</t>
  </si>
  <si>
    <t>COROLLA HYBRID</t>
  </si>
  <si>
    <t>COROLLA HYBRID AWD</t>
  </si>
  <si>
    <t>COROLLA CROSS</t>
  </si>
  <si>
    <t>COROLLA CROSS AWD</t>
  </si>
  <si>
    <t>COROLLA CROSS HYBRID AWD</t>
  </si>
  <si>
    <t>4RUNNER 2WD</t>
  </si>
  <si>
    <t>4RUNNER 4WD</t>
  </si>
  <si>
    <t>TACOMA 2WD</t>
  </si>
  <si>
    <t>TACOMA SR5/SPORT/PRERUNNER 2WD</t>
  </si>
  <si>
    <t>TACOMA 4WD</t>
  </si>
  <si>
    <t>TACOMA 4WD MT</t>
  </si>
  <si>
    <t>TACOMA HYBRID 4WD</t>
  </si>
  <si>
    <t>TACOMA SR5/SPORT/OFFROAD/LIMITED 4WD</t>
  </si>
  <si>
    <t>LAND CRUISER</t>
  </si>
  <si>
    <t>HIGHLANDER</t>
  </si>
  <si>
    <t>HIGHLANDER AWD</t>
  </si>
  <si>
    <t>HIGHLANDER HYBRID AWD</t>
  </si>
  <si>
    <t>HIGHLANDER HYBRID AWD LTD/PLAT</t>
  </si>
  <si>
    <t>HIGHLANDER HYBRID</t>
  </si>
  <si>
    <t>TUNDRA 2WD</t>
  </si>
  <si>
    <t>TUNDRA 4WD</t>
  </si>
  <si>
    <t>TUNDRA 4WD PRO</t>
  </si>
  <si>
    <t>RAV4 PRIME AWD</t>
  </si>
  <si>
    <t>RAV4</t>
  </si>
  <si>
    <t>RAV4 HYBRID AWD WOODLAND EDITION</t>
  </si>
  <si>
    <t>RAV4 AWD</t>
  </si>
  <si>
    <t>RAV4 AWD TRD OFFROAD</t>
  </si>
  <si>
    <t>RAV4 AWD LE</t>
  </si>
  <si>
    <t>RAV4 HYBRID AWD</t>
  </si>
  <si>
    <t>SIENNA</t>
  </si>
  <si>
    <t>SIENNA AWD</t>
  </si>
  <si>
    <t>SEQUOIA 2WD</t>
  </si>
  <si>
    <t>SEQUOIA 4WD</t>
  </si>
  <si>
    <t>VENZA AWD</t>
  </si>
  <si>
    <t>GRAND HIGHLANDER LE/XLE</t>
  </si>
  <si>
    <t>GRAND HIGHLANDER LIMITED</t>
  </si>
  <si>
    <t>GRAND HIGHLANDER AWD LE/XLE</t>
  </si>
  <si>
    <t>GRAND HIGHLANDER AWD LIMITED/PLATINUM</t>
  </si>
  <si>
    <t>GRAND HIGHLANDER HYBRID</t>
  </si>
  <si>
    <t>GRAND HIGHLANDER HYBRID AWD</t>
  </si>
  <si>
    <t>COROLLA HATCHBACK</t>
  </si>
  <si>
    <t>COROLLA HATCHBACK XSE</t>
  </si>
  <si>
    <t>GR COROLLA</t>
  </si>
  <si>
    <t>GR86</t>
  </si>
  <si>
    <t>TOYOTA CROWN AWD</t>
  </si>
  <si>
    <t>LS 500</t>
  </si>
  <si>
    <t>LS 500 AWD</t>
  </si>
  <si>
    <t>LS 500h AWD</t>
  </si>
  <si>
    <t>UX 250h</t>
  </si>
  <si>
    <t>UX 250h AWD</t>
  </si>
  <si>
    <t>ES 350</t>
  </si>
  <si>
    <t>ES 300h</t>
  </si>
  <si>
    <t>ES 250 AWD</t>
  </si>
  <si>
    <t>ES 350 F SPORT</t>
  </si>
  <si>
    <t>LC 500</t>
  </si>
  <si>
    <t>LC 500 CONVERTIBLE</t>
  </si>
  <si>
    <t>LC 500h</t>
  </si>
  <si>
    <t>RC 350</t>
  </si>
  <si>
    <t>RC 300</t>
  </si>
  <si>
    <t>RC 350 AWD</t>
  </si>
  <si>
    <t>RC 300 AWD</t>
  </si>
  <si>
    <t>IS 300</t>
  </si>
  <si>
    <t>IS 350</t>
  </si>
  <si>
    <t>IS 350 AWD</t>
  </si>
  <si>
    <t>IS 300 AWD</t>
  </si>
  <si>
    <t>IS 500</t>
  </si>
  <si>
    <t>RC F</t>
  </si>
  <si>
    <t>TX 350</t>
  </si>
  <si>
    <t>TX 350 AWD</t>
  </si>
  <si>
    <t>TX 500h AWD</t>
  </si>
  <si>
    <t>TX 550h+ AWD</t>
  </si>
  <si>
    <t>LX 600</t>
  </si>
  <si>
    <t>GX 550</t>
  </si>
  <si>
    <t>RX 350</t>
  </si>
  <si>
    <t>RX 350 AWD</t>
  </si>
  <si>
    <t>RX 450h+ AWD</t>
  </si>
  <si>
    <t>RX 350h AWD</t>
  </si>
  <si>
    <t>RX 500h AWD</t>
  </si>
  <si>
    <t>NX 250</t>
  </si>
  <si>
    <t>NX 250 AWD</t>
  </si>
  <si>
    <t>NX 350 AWD</t>
  </si>
  <si>
    <t>NX 350 AWD F SPORT</t>
  </si>
  <si>
    <t>NX 450h+ AWD</t>
  </si>
  <si>
    <t>NX 350h AWD</t>
  </si>
  <si>
    <t>Taos</t>
  </si>
  <si>
    <t>Volkswagen Group of America, Inc.</t>
  </si>
  <si>
    <t>Taos 4Motion</t>
  </si>
  <si>
    <t>Tiguan S</t>
  </si>
  <si>
    <t>Tiguan</t>
  </si>
  <si>
    <t>Tiguan 4Motion</t>
  </si>
  <si>
    <t>Tiguan R-Line 4Motion</t>
  </si>
  <si>
    <t>Atlas</t>
  </si>
  <si>
    <t>Atlas SE 4Motion</t>
  </si>
  <si>
    <t>Atlas SEL 4Motion</t>
  </si>
  <si>
    <t>Atlas 4Motion Peak Edition</t>
  </si>
  <si>
    <t>Atlas Cross Sport</t>
  </si>
  <si>
    <t>Atlas Cross Sport 4Motion</t>
  </si>
  <si>
    <t>GTI</t>
  </si>
  <si>
    <t>Golf R</t>
  </si>
  <si>
    <t>GLI</t>
  </si>
  <si>
    <t>Jetta</t>
  </si>
  <si>
    <t>Jetta Sport/SE/SEL</t>
  </si>
  <si>
    <t>RS 3</t>
  </si>
  <si>
    <t>A4 quattro</t>
  </si>
  <si>
    <t>A4 allroad quattro</t>
  </si>
  <si>
    <t>A4 S line quattro</t>
  </si>
  <si>
    <t>S4</t>
  </si>
  <si>
    <t>A5 Sportback quattro</t>
  </si>
  <si>
    <t>S5 Coupe</t>
  </si>
  <si>
    <t>RS 5 Coupe</t>
  </si>
  <si>
    <t>S5 Sportback</t>
  </si>
  <si>
    <t>A5 Sportback S line quattro</t>
  </si>
  <si>
    <t>RS 5 Sportback</t>
  </si>
  <si>
    <t>A5 Cabriolet quattro</t>
  </si>
  <si>
    <t>A5 Coupe quattro</t>
  </si>
  <si>
    <t>S5 Cabriolet</t>
  </si>
  <si>
    <t>Q3 quattro</t>
  </si>
  <si>
    <t>Q3 S line quattro</t>
  </si>
  <si>
    <t>S3</t>
  </si>
  <si>
    <t>A3</t>
  </si>
  <si>
    <t>A3 quattro</t>
  </si>
  <si>
    <t>S7</t>
  </si>
  <si>
    <t>A7 quattro</t>
  </si>
  <si>
    <t>RS 7</t>
  </si>
  <si>
    <t>A6 quattro</t>
  </si>
  <si>
    <t>S6</t>
  </si>
  <si>
    <t>RS 6 Avant</t>
  </si>
  <si>
    <t>A6 allroad quattro</t>
  </si>
  <si>
    <t>A8 quattro</t>
  </si>
  <si>
    <t>S8</t>
  </si>
  <si>
    <t>Q7 quattro</t>
  </si>
  <si>
    <t>SQ7</t>
  </si>
  <si>
    <t>Q5 quattro</t>
  </si>
  <si>
    <t>Q5 S line quattro</t>
  </si>
  <si>
    <t>Q5 Sportback S line quattro</t>
  </si>
  <si>
    <t>Q5 Plug-In Hybrid quattro</t>
  </si>
  <si>
    <t>SQ5</t>
  </si>
  <si>
    <t>SQ5 Sportback</t>
  </si>
  <si>
    <t>Q8 quattro</t>
  </si>
  <si>
    <t>SQ8</t>
  </si>
  <si>
    <t>RS Q8</t>
  </si>
  <si>
    <t>Bentayga Hybrid</t>
  </si>
  <si>
    <t>Bentayga</t>
  </si>
  <si>
    <t>Continental GT</t>
  </si>
  <si>
    <t>Flying Spur</t>
  </si>
  <si>
    <t>Continental GTC</t>
  </si>
  <si>
    <t>Flying Spur Hybrid</t>
  </si>
  <si>
    <t>Bentayga EWB</t>
  </si>
  <si>
    <t>Huracan Coupe 2WD</t>
  </si>
  <si>
    <t>Urus S</t>
  </si>
  <si>
    <t>Urus Performante</t>
  </si>
  <si>
    <t>Huracan Spyder</t>
  </si>
  <si>
    <t>Huracan Sterrato</t>
  </si>
  <si>
    <t>Revuelto</t>
  </si>
  <si>
    <t>Chiron Super Sport</t>
  </si>
  <si>
    <t>S60 B5</t>
  </si>
  <si>
    <t>Volvo Car USA,  LLC</t>
  </si>
  <si>
    <t>S60 B5 AWD</t>
  </si>
  <si>
    <t>S60 T8 AWD Recharge</t>
  </si>
  <si>
    <t>V60 T8 AWD Recharge</t>
  </si>
  <si>
    <t>S90 B6 AWD</t>
  </si>
  <si>
    <t>S90 T8 AWD Recharge</t>
  </si>
  <si>
    <t>V90CC B6 AWD</t>
  </si>
  <si>
    <t>XC60 B5 AWD</t>
  </si>
  <si>
    <t>XC60 T8 AWD Recharge</t>
  </si>
  <si>
    <t>XC90 T8 AWD Recharge</t>
  </si>
  <si>
    <t>XC40 B5 AWD</t>
  </si>
  <si>
    <t>V60CC B5 AWD</t>
  </si>
  <si>
    <t>XC90 B5 AWD</t>
  </si>
  <si>
    <t>XC90 B6 AWD</t>
  </si>
  <si>
    <t>Nevera</t>
  </si>
  <si>
    <t>Bugatti Rimac LLC</t>
  </si>
  <si>
    <t>Test Car List: name+wt</t>
  </si>
  <si>
    <t>i4 M50 Gran Coupe (19'' Wheels)</t>
  </si>
  <si>
    <t>Test Car List: name</t>
  </si>
  <si>
    <t>i4 M50 Gran Coupe (20'' Wheels)</t>
  </si>
  <si>
    <t>i4eDrive40GranCoupe(18'' Wheels)</t>
  </si>
  <si>
    <t>i4eDrive40GranCoupe(19'' Wheels)</t>
  </si>
  <si>
    <t>iX xDrive50 (20'' Wheels)</t>
  </si>
  <si>
    <t>iX xDrive50 (21'' Wheels)</t>
  </si>
  <si>
    <t>iX xDrive50 (22'' Wheels)</t>
  </si>
  <si>
    <t>iX M60 (21'' Wheels)</t>
  </si>
  <si>
    <t>iX M60 (22'' Wheels)</t>
  </si>
  <si>
    <t>i7 xDrive60 Sedan (21'' Wheels)</t>
  </si>
  <si>
    <t>i7 xDrive60 Sedan (20'' Wheels)</t>
  </si>
  <si>
    <t>i7 xDrive60 Sedan (19'' Wheels)</t>
  </si>
  <si>
    <t>i4eDrive35GranCoupe(18'' Wheels)</t>
  </si>
  <si>
    <t>i4eDrive35GranCoupe(19'' Wheels)</t>
  </si>
  <si>
    <t>i7 eDrive50 Sedan (19'' Wheels)</t>
  </si>
  <si>
    <t>i7 eDrive50 Sedan (20'' Wheels)</t>
  </si>
  <si>
    <t>i7 eDrive50 Sedan (21'' Wheels)</t>
  </si>
  <si>
    <t>i7 M70 xDrive Sedan (20'' Wheels)</t>
  </si>
  <si>
    <t>i7 M70 xDrive Sedan (21'' Wheels)</t>
  </si>
  <si>
    <t>i5 eDrive40 Sedan (19'' Wheels)</t>
  </si>
  <si>
    <t>i5 eDrive40 Sedan (20'' Wheels)</t>
  </si>
  <si>
    <t>i5 eDrive40 Sedan (21'' Wheels)</t>
  </si>
  <si>
    <t>i5 M60 xDrive Sedan (19'' Wheels)</t>
  </si>
  <si>
    <t>i5 M60 xDrive Sedan (20'' Wheels)</t>
  </si>
  <si>
    <t>i5 M60 xDrive Sedan (21'' Wheels)</t>
  </si>
  <si>
    <t>i4 xDrive40 Gran Coupe (18'' Wheels)</t>
  </si>
  <si>
    <t>i4 xDrive40 Gran Coupe (19'' Wheels)</t>
  </si>
  <si>
    <t>COOPER SE HARDTOP 2 DOOR</t>
  </si>
  <si>
    <t>Test Car List: tg+wt</t>
  </si>
  <si>
    <t>Charger 2-Dr Daytona R/T AWD 18in</t>
  </si>
  <si>
    <t>Charger 2-Dr Daytona R/T AWD 20in Nexen</t>
  </si>
  <si>
    <t>Charger 2-Dr Daytona R/T AWD 20in Goodyear</t>
  </si>
  <si>
    <t>Charger 2-Dr Daytona Scat Pack Track Pack AWD A/S</t>
  </si>
  <si>
    <t>Charger 2-Dr Daytona Scat Pack Track Pack AWD</t>
  </si>
  <si>
    <t>Wagoneer S AWD (Falken tire)</t>
  </si>
  <si>
    <t>Wagoneer S AWD (Pirelli tire)</t>
  </si>
  <si>
    <t>500e</t>
  </si>
  <si>
    <t>500e All Season</t>
  </si>
  <si>
    <t>SOLTERRA AWD</t>
  </si>
  <si>
    <t>SOLTERRA LIMITED/TOURING AWD</t>
  </si>
  <si>
    <t>MUSTANG MACH-E RALLY</t>
  </si>
  <si>
    <t>Test Car List: tg</t>
  </si>
  <si>
    <t>MUSTANG MACH-E GT</t>
  </si>
  <si>
    <t>MUSTANG MACH-E RWD</t>
  </si>
  <si>
    <t>MUSTANG MACH-E AWD</t>
  </si>
  <si>
    <t>MUSTANG MACH-E AWD EXTENDED</t>
  </si>
  <si>
    <t>MUSTANG MACH-E RWD EXTENDED</t>
  </si>
  <si>
    <t>F150 LIGHTNING EXTENDED RANGE 4WD</t>
  </si>
  <si>
    <t>F150 LIGHTNING PRO EXT RANGE 4WD</t>
  </si>
  <si>
    <t>F150 PICKUP LIGHTNING 4WD</t>
  </si>
  <si>
    <t>F150 LIGHTNING PLATINUM 4WD</t>
  </si>
  <si>
    <t>LYRIQ</t>
  </si>
  <si>
    <t>LYRIQ AWD</t>
  </si>
  <si>
    <t>SILVERADO EV</t>
  </si>
  <si>
    <t>BLAZER EV AWD</t>
  </si>
  <si>
    <t>BLAZER EV RWD</t>
  </si>
  <si>
    <t>EQUINOX EV FWD</t>
  </si>
  <si>
    <t>EQUINOX EV AWD</t>
  </si>
  <si>
    <t>HUMMER EV SUV</t>
  </si>
  <si>
    <t>HUMMER EV PICKUP</t>
  </si>
  <si>
    <t>HUMMER EV SUV MT TIRES</t>
  </si>
  <si>
    <t>HUMMER EV PICKUP MT TIRES</t>
  </si>
  <si>
    <t>Prologue AWD</t>
  </si>
  <si>
    <t>Prologue FWD</t>
  </si>
  <si>
    <t>ZDX AWD</t>
  </si>
  <si>
    <t>ZDX RWD</t>
  </si>
  <si>
    <t>ZDX AWD Type S</t>
  </si>
  <si>
    <t>Ioniq 5 Long range AWD</t>
  </si>
  <si>
    <t>Ioniq 5 Long range RWD</t>
  </si>
  <si>
    <t>Ioniq 5 Standard range RWD</t>
  </si>
  <si>
    <t>Ioniq 5 Robo taxi</t>
  </si>
  <si>
    <t>Kona Electric Standard Range</t>
  </si>
  <si>
    <t>Kona Electric Long Range</t>
  </si>
  <si>
    <t>Ioniq 6 Long range RWD (18'' Wheels)</t>
  </si>
  <si>
    <t>Ioniq 6 Long range RWD (20'' Wheels)</t>
  </si>
  <si>
    <t>Ioniq 6 Long range AWD (18'' Wheels)</t>
  </si>
  <si>
    <t>Ioniq 6 Long range AWD (20'' Wheels)</t>
  </si>
  <si>
    <t>Ioniq 6 Standard Range RWD</t>
  </si>
  <si>
    <t>Electrified G80</t>
  </si>
  <si>
    <t>GV60 Standard</t>
  </si>
  <si>
    <t>GV60 Advanced (19'' Wheels)</t>
  </si>
  <si>
    <t>GV60 Advanced (20'' Wheels)</t>
  </si>
  <si>
    <t>GV60 Performance</t>
  </si>
  <si>
    <t>Electrified GV70</t>
  </si>
  <si>
    <t>I-PACE EV400 (20 inch tires)</t>
  </si>
  <si>
    <t>I-PACE EV400 SDS</t>
  </si>
  <si>
    <t>I-PACE EV400 (22 inch tire)</t>
  </si>
  <si>
    <t>Niro Electric</t>
  </si>
  <si>
    <t>EV6 Long Range AWD (19'' Wheels)</t>
  </si>
  <si>
    <t>EV6 AWD GT</t>
  </si>
  <si>
    <t>EV6 Long Range AWD (20'' Wheels)</t>
  </si>
  <si>
    <t>EV6 Standard Range RWD</t>
  </si>
  <si>
    <t>EV6 Long Range RWD</t>
  </si>
  <si>
    <t>EV9 Standard Range RWD</t>
  </si>
  <si>
    <t>EV9 Long Range RWD</t>
  </si>
  <si>
    <t>EV9 Long Range AWD</t>
  </si>
  <si>
    <t>EV9 Long Range AWD GT-Line</t>
  </si>
  <si>
    <t>Air Sapphire AWD</t>
  </si>
  <si>
    <t>Lucid USA, Inc.</t>
  </si>
  <si>
    <t>Air Pure RWD w/19" wheels</t>
  </si>
  <si>
    <t>Air Pure RWD w/20" wheels</t>
  </si>
  <si>
    <t>Air Touring AWD w/19" wheels</t>
  </si>
  <si>
    <t>Air Touring AWD w/20" wheels</t>
  </si>
  <si>
    <t>Air Touring AWD w/21" wheels</t>
  </si>
  <si>
    <t>Air G Touring XR AWD w/21" wheels</t>
  </si>
  <si>
    <t>Air G Touring XR AWD w/20" wheels</t>
  </si>
  <si>
    <t>Air G Touring XR AWD w/19" wheels</t>
  </si>
  <si>
    <t>Granturismo Folgore</t>
  </si>
  <si>
    <t>Grancabrio Folgore</t>
  </si>
  <si>
    <t>AMG EQS 4MATIC+</t>
  </si>
  <si>
    <t>EQS 450+</t>
  </si>
  <si>
    <t>EQS 580 4MATIC</t>
  </si>
  <si>
    <t>EQS 450+ (SUV)</t>
  </si>
  <si>
    <t>EQS 450 4MATIC</t>
  </si>
  <si>
    <t>EQB 250+</t>
  </si>
  <si>
    <t>EQB 300 4MATIC</t>
  </si>
  <si>
    <t>EQB 350 4MATIC</t>
  </si>
  <si>
    <t>AMG EQE 4MATIC+</t>
  </si>
  <si>
    <t>EQE 350+</t>
  </si>
  <si>
    <t>EQE 350 4MATIC</t>
  </si>
  <si>
    <t>EQE 500 4MATIC</t>
  </si>
  <si>
    <t>EQE 500 4MATIC (SUV)</t>
  </si>
  <si>
    <t>EQE 350+ (SUV)</t>
  </si>
  <si>
    <t>EQE 350 4MATIC (SUV)</t>
  </si>
  <si>
    <t>EQS 450 4MATIC (SUV)</t>
  </si>
  <si>
    <t>EQS 580 4MATIC (SUV)</t>
  </si>
  <si>
    <t>EQS 680 4MATIC Maybach (SUV)</t>
  </si>
  <si>
    <t>AMG EQE 4MATIC+ (SUV)</t>
  </si>
  <si>
    <t>LEAF</t>
  </si>
  <si>
    <t>LEAF SV</t>
  </si>
  <si>
    <t>ARIYA ENGAGE FWD 63kWh</t>
  </si>
  <si>
    <t>ARIYA ENGAGE e-4ORCE 63kWh</t>
  </si>
  <si>
    <t>ARIYA VENTURE+ FWD 87kWh</t>
  </si>
  <si>
    <t>ARIYA ENGAGE+/EVOLVE+ e-4ORCE 87kWh</t>
  </si>
  <si>
    <t>ARIYA PLATINUM+ e-4ORCE 87kWh 19in. Wheels</t>
  </si>
  <si>
    <t>ARIYA PLATINUM+ e-4ORCE 87kWh 20in. Wheels</t>
  </si>
  <si>
    <t>ARIYA EVOLVE+/EMPOWER+ FWD 87kWh</t>
  </si>
  <si>
    <t>Macan 4 Electric</t>
  </si>
  <si>
    <t>Macan Turbo Electric</t>
  </si>
  <si>
    <t>Taycan Performance Battery</t>
  </si>
  <si>
    <t>Taycan 4 Cross Turismo</t>
  </si>
  <si>
    <t>Taycan 4S Perf Battery Plus</t>
  </si>
  <si>
    <t>Taycan 4S Cross Turismo</t>
  </si>
  <si>
    <t>Taycan Turbo</t>
  </si>
  <si>
    <t>Taycan Turbo Cross Turismo</t>
  </si>
  <si>
    <t>Taycan Turbo S Cross Turismo</t>
  </si>
  <si>
    <t>Taycan GTS</t>
  </si>
  <si>
    <t>R1S Quad Large (20in)</t>
  </si>
  <si>
    <t>Rivian Automotive LLC</t>
  </si>
  <si>
    <t>R1S Quad Large (21in)</t>
  </si>
  <si>
    <t>R1S Quad Large (22in)</t>
  </si>
  <si>
    <t>R1S All-Terrain Dual Large (20in)</t>
  </si>
  <si>
    <t>R1S Dual Large (21in)</t>
  </si>
  <si>
    <t>R1S Dual Large (22in)</t>
  </si>
  <si>
    <t>R1S All-Terrain Performance Dual Large (20in)</t>
  </si>
  <si>
    <t>R1S Performance Dual Large (21in)</t>
  </si>
  <si>
    <t>R1S Performance Dual Large (22in)</t>
  </si>
  <si>
    <t>R1S All-Terrain Quad Large (20in)</t>
  </si>
  <si>
    <t>R1S All-Terrain Dual Max (20in)</t>
  </si>
  <si>
    <t>R1S Dual Max (21in)</t>
  </si>
  <si>
    <t>R1S Dual Max (22in)</t>
  </si>
  <si>
    <t>R1S All-Terrain Performance Dual Max (20in)</t>
  </si>
  <si>
    <t>R1S Performance Dual Max (21in)</t>
  </si>
  <si>
    <t>R1S Performance Dual Max (22in)</t>
  </si>
  <si>
    <t>R1S Dual Standard (21in)</t>
  </si>
  <si>
    <t>R1S Dual Standard (22in)</t>
  </si>
  <si>
    <t>R1S All-Terrain Dual Standard Plus (20in)</t>
  </si>
  <si>
    <t>R1S Dual Standard Plus (21in)</t>
  </si>
  <si>
    <t>R1S Dual Standard Plus (22in)</t>
  </si>
  <si>
    <t>R1S AT Performance Dual Standard Plus (20in)</t>
  </si>
  <si>
    <t>R1S Performance Dual Standard Plus (21in)</t>
  </si>
  <si>
    <t>R1S Performance Dual Standard (22in)</t>
  </si>
  <si>
    <t>R1T Quad Large (20in)</t>
  </si>
  <si>
    <t>R1T Quad Large (21in)</t>
  </si>
  <si>
    <t>R1T Quad Large (22in)</t>
  </si>
  <si>
    <t>R1T All-Terrain Dual Large (20in)</t>
  </si>
  <si>
    <t>R1T Dual Large (21in)</t>
  </si>
  <si>
    <t>R1T Dual Large (22in)</t>
  </si>
  <si>
    <t>R1T All-Terrain Performance Dual Large (20in)</t>
  </si>
  <si>
    <t>R1T Performance Dual Large (21in)</t>
  </si>
  <si>
    <t>R1T Performance Dual Large (22in)</t>
  </si>
  <si>
    <t>R1T All-Terrain Quad Large (20in)</t>
  </si>
  <si>
    <t>R1T All-Terrain Dual Max (20in)</t>
  </si>
  <si>
    <t>R1T Dual Max (21in)</t>
  </si>
  <si>
    <t>R1T Dual Max (22in)</t>
  </si>
  <si>
    <t>R1T All-Terrain Performance Dual Max (20in)</t>
  </si>
  <si>
    <t>R1T Performance Dual Max (21in)</t>
  </si>
  <si>
    <t>R1T Performance Dual Max (22in)</t>
  </si>
  <si>
    <t>R1T Dual Standard (21in)</t>
  </si>
  <si>
    <t>R1T Dual Standard (22in)</t>
  </si>
  <si>
    <t>R1T All-Terrain Dual Standard Plus (20in)</t>
  </si>
  <si>
    <t>R1T Dual Standard Plus (21in)</t>
  </si>
  <si>
    <t>R1T Dual Standard Plus (22in)</t>
  </si>
  <si>
    <t>R1T AT Performance Dual Standard Plus (20in)</t>
  </si>
  <si>
    <t>R1T Performance Dual Standard Plus (21in)</t>
  </si>
  <si>
    <t>R1T Performance Dual Standard Plus (22in)</t>
  </si>
  <si>
    <t>Spectre (22'' Wheels)</t>
  </si>
  <si>
    <t>Spectre (23'' Wheels)</t>
  </si>
  <si>
    <t>Black Badge Spectre (23'' Wheels)</t>
  </si>
  <si>
    <t>Model Y RWD</t>
  </si>
  <si>
    <t>Tesla, Inc.</t>
  </si>
  <si>
    <t>Model Y Long Range RWD</t>
  </si>
  <si>
    <t>Model Y Long Range AWD</t>
  </si>
  <si>
    <t>Model Y Long Range AWD-I</t>
  </si>
  <si>
    <t>Model Y Performance AWD</t>
  </si>
  <si>
    <t>Model S</t>
  </si>
  <si>
    <t>Model S Plaid (21" Wheels)</t>
  </si>
  <si>
    <t>Model S Plaid (19" Wheels)</t>
  </si>
  <si>
    <t>Model X</t>
  </si>
  <si>
    <t>Model X Plaid (22" Wheels)</t>
  </si>
  <si>
    <t>Model X Plaid (20" Wheels)</t>
  </si>
  <si>
    <t>Model 3 RWD</t>
  </si>
  <si>
    <t>Model 3 Long Range RWD</t>
  </si>
  <si>
    <t>Model 3 Long Range AWD</t>
  </si>
  <si>
    <t>Model 3 Long Range AWD-E</t>
  </si>
  <si>
    <t>Model 3 Performance AWD</t>
  </si>
  <si>
    <t>bZ4X</t>
  </si>
  <si>
    <t>bZ4X LIMITED</t>
  </si>
  <si>
    <t>bZ4X AWD</t>
  </si>
  <si>
    <t>bZ4X LIMITED AWD</t>
  </si>
  <si>
    <t>RZ 450e AWD (18inch Wheels)</t>
  </si>
  <si>
    <t>RZ 300e (18inch Wheels)</t>
  </si>
  <si>
    <t>RZ 450e AWD (20inch Wheels)</t>
  </si>
  <si>
    <t>RZ 300e (20inch Wheels)</t>
  </si>
  <si>
    <t>ID.4 AWD Pro S</t>
  </si>
  <si>
    <t>ID.4 Pro S</t>
  </si>
  <si>
    <t>ID.4 AWD Pro</t>
  </si>
  <si>
    <t>ID.4 Pro</t>
  </si>
  <si>
    <t>ID.4 S</t>
  </si>
  <si>
    <t>ID.4</t>
  </si>
  <si>
    <t>Q8 Sportback e-tron ultra quattro</t>
  </si>
  <si>
    <t>Q8 e-tron quattro</t>
  </si>
  <si>
    <t>Q8 Sportback e-tron quattro</t>
  </si>
  <si>
    <t>e-tron GT</t>
  </si>
  <si>
    <t>RS e-tron GT</t>
  </si>
  <si>
    <t>SQ8 e-tron (20 in. wheels)</t>
  </si>
  <si>
    <t>SQ8 Sportback e-tron (20 in.wheels)</t>
  </si>
  <si>
    <t>SQ8 e-tron (21/22 in.wheels)</t>
  </si>
  <si>
    <t>SQ8 Sportback e-tron (21/22 in.wheels)</t>
  </si>
  <si>
    <t>Q4 50 e-tron quattro</t>
  </si>
  <si>
    <t>Q4 Sportback 50 e-tron quattro</t>
  </si>
  <si>
    <t>Q4 40 e-tron</t>
  </si>
  <si>
    <t>Q4 55 e-tron quattro</t>
  </si>
  <si>
    <t>Q4 Sportback 55 e-tron quattro</t>
  </si>
  <si>
    <t>VF 8 Eco</t>
  </si>
  <si>
    <t>VinFast Trading and Production Joint Stock Company</t>
  </si>
  <si>
    <t>VF 8 Plus</t>
  </si>
  <si>
    <t>VF 9 Eco</t>
  </si>
  <si>
    <t>VF 9 Plus</t>
  </si>
  <si>
    <t>XC40 Recharge Twin</t>
  </si>
  <si>
    <t>C40 Recharge twin</t>
  </si>
  <si>
    <t>XC40 Recharge</t>
  </si>
  <si>
    <t>C40 Recharge</t>
  </si>
  <si>
    <t>Polestar 2 Dual Motor (19 Inch Wheels)</t>
  </si>
  <si>
    <t>Polestar 2 Dual Motor Performance Pack</t>
  </si>
  <si>
    <t>Polestar 2 Single Motor (19 Inch Wheels)</t>
  </si>
  <si>
    <t>Polestar 2 Dual Motor (20 Inch Wheels)</t>
  </si>
  <si>
    <t>Polestar 2 Single Motor (20 Inch Wheels)</t>
  </si>
  <si>
    <t>MPG</t>
  </si>
  <si>
    <t>footprint</t>
  </si>
  <si>
    <t>hybrid (block)</t>
  </si>
  <si>
    <t>The final CER: ln(MPG) = b0 + b1 ln(weight) + b2 ln(horsepower) + b3 hybrid + b4 electric</t>
  </si>
  <si>
    <t>Fit by LINEST over Data rows 2 to 1286 (n below). Coefficients, R-squared, F, and SSE match the Python fit exactly; LINEST standard errors are classical OLS, the deck's are HC1 robust (column H).</t>
  </si>
  <si>
    <t>n (model types)</t>
  </si>
  <si>
    <t>k (predictors)</t>
  </si>
  <si>
    <t>Term</t>
  </si>
  <si>
    <t>LINEST column</t>
  </si>
  <si>
    <t>Coefficient</t>
  </si>
  <si>
    <t>Std error (OLS, LINEST)</t>
  </si>
  <si>
    <t>t = coef / SE</t>
  </si>
  <si>
    <t>p (two-tailed)</t>
  </si>
  <si>
    <t>Verdict at alpha = 0.05</t>
  </si>
  <si>
    <t>HC1 robust SE (deck)</t>
  </si>
  <si>
    <t>t with HC1 SE</t>
  </si>
  <si>
    <t>intercept</t>
  </si>
  <si>
    <t>ln(weight)</t>
  </si>
  <si>
    <t>ln(horsepower)</t>
  </si>
  <si>
    <t>battery-electric</t>
  </si>
  <si>
    <t>Note: LINEST lists coefficients in reverse order (last predictor first, intercept last); column B is the LINEST column each term is read from with INDEX.</t>
  </si>
  <si>
    <t>Whole-model fit</t>
  </si>
  <si>
    <t>R-squared</t>
  </si>
  <si>
    <t>Adjusted R-squared</t>
  </si>
  <si>
    <t>Residual degrees of freedom</t>
  </si>
  <si>
    <t>F statistic (whole model, H0: all four coefficients are zero)</t>
  </si>
  <si>
    <t>F p-value</t>
  </si>
  <si>
    <t>F recomputed from R-squared: (R2/k) / ((1-R2)/df)</t>
  </si>
  <si>
    <t>Regression sum of squares</t>
  </si>
  <si>
    <t>Residual sum of squares (SSE)</t>
  </si>
  <si>
    <t>Residual standard error s (log units)</t>
  </si>
  <si>
    <t>Reading the coefficients (elasticities and premiums)</t>
  </si>
  <si>
    <t>MPG change for 10% more weight, elasticity reading b1 x 10% (the deck's figure)</t>
  </si>
  <si>
    <t>MPG change for 10% more horsepower, elasticity reading b2 x 10% (the deck's figure)</t>
  </si>
  <si>
    <t>Hybrid premium at identical weight and power, exp(b3) - 1</t>
  </si>
  <si>
    <t>Battery-electric premium, exp(b4) - 1, in MPG-equivalent</t>
  </si>
  <si>
    <t>Exact power-law reading for 10% more weight, 1.1^b1 - 1 (elasticity is the first-order approximation)</t>
  </si>
  <si>
    <t>Exact power-law reading for 10% more horsepower, 1.1^b2 - 1</t>
  </si>
  <si>
    <t>Variance inflation factors: VIF_j = 1 / (1 - R2 of predictor j regressed on the other three)</t>
  </si>
  <si>
    <t>Prediction band (in logs, leverage ignored)</t>
  </si>
  <si>
    <t>Typical miss, exp(s) - 1</t>
  </si>
  <si>
    <t>95% band factor, exp(1.96 s): predicted times or divided by</t>
  </si>
  <si>
    <t>Share of model types inside the band</t>
  </si>
  <si>
    <t>Named outliers on the predicted-vs-actual slide (looked up live from Data)</t>
  </si>
  <si>
    <t>actual</t>
  </si>
  <si>
    <t>predicted</t>
  </si>
  <si>
    <t>actual / predicted</t>
  </si>
  <si>
    <t>residual / s</t>
  </si>
  <si>
    <t>Alternative CERs, each fit with LINEST, and the nested F-tests between them</t>
  </si>
  <si>
    <t>Nested F = ((SSE_restricted - SSE_full) / q) / (SSE_full / df_full), where q is the number of restrictions; p from F.DIST.RT.</t>
  </si>
  <si>
    <t>Spec A: Combustion only (original CER): ln(weight), ln(HP), footprint, hybrid; n = 1,025</t>
  </si>
  <si>
    <t>n</t>
  </si>
  <si>
    <t>SE (OLS)</t>
  </si>
  <si>
    <t>t</t>
  </si>
  <si>
    <t>F (whole model)</t>
  </si>
  <si>
    <t>Residual df</t>
  </si>
  <si>
    <t>SSE</t>
  </si>
  <si>
    <t>Spec B: Pooled, powertrain factor plus footprint: ln(weight), ln(HP), hybrid, bev, footprint</t>
  </si>
  <si>
    <t>Spec C: Pooled, ONE merged electrified flag (hybrid or bev): ln(weight), ln(HP), footprint, electrified</t>
  </si>
  <si>
    <t>Spec D: Pooled, ordinal electrification 0/1/2: ln(weight), ln(HP), footprint, ordinal</t>
  </si>
  <si>
    <t>ordinal 0/1/2</t>
  </si>
  <si>
    <t>Spec E: B plus bev-specific slopes: adds bev x ln(weight), bev x ln(HP), bev x footprint</t>
  </si>
  <si>
    <t>bev x ln(weight)</t>
  </si>
  <si>
    <t>bev x ln(HP)</t>
  </si>
  <si>
    <t>bev x footprint</t>
  </si>
  <si>
    <t>Mean residual by powertrain under spec C (why one merged flag fails), exponentiated to percent; spec C predictions are Data column AP</t>
  </si>
  <si>
    <t>Nested F-tests</t>
  </si>
  <si>
    <t>Test</t>
  </si>
  <si>
    <t>SSE restricted</t>
  </si>
  <si>
    <t>SSE full</t>
  </si>
  <si>
    <t>q</t>
  </si>
  <si>
    <t>df full</t>
  </si>
  <si>
    <t>F</t>
  </si>
  <si>
    <t>p</t>
  </si>
  <si>
    <t>Footprint earns its place? final CER (restricted) vs spec B (adds footprint)</t>
  </si>
  <si>
    <t>One merged flag vs two levels: spec C (restricted) vs spec B (full)</t>
  </si>
  <si>
    <t>Common slopes vs bev-specific slopes: spec B (restricted) vs spec E (full)</t>
  </si>
  <si>
    <t>Battery-electric own elasticities under spec E (common slope plus interaction)</t>
  </si>
  <si>
    <t>weight elasticity for bev</t>
  </si>
  <si>
    <t>horsepower elasticity for bev</t>
  </si>
  <si>
    <t>Design-normalized fleet MPG: MPG_norm(t) = MPG(t) x (weight_t / weight_2024)^e_w x (HP_t / HP_2024)^e_h</t>
  </si>
  <si>
    <t>e_w and e_h are the CER's weight and horsepower elasticities (absolute values of CER!C8 and CER!C9). Fleet averages are production-weighted, EPA Automotive Trends, 1975 to 2024.</t>
  </si>
  <si>
    <t>e_w (weight elasticity)</t>
  </si>
  <si>
    <t>e_h (horsepower elasticity)</t>
  </si>
  <si>
    <t>2024 fleet weight (lbs)</t>
  </si>
  <si>
    <t>2024 fleet horsepower</t>
  </si>
  <si>
    <t>model year</t>
  </si>
  <si>
    <t>fleet MPG (raw)</t>
  </si>
  <si>
    <t>fleet weight (lbs)</t>
  </si>
  <si>
    <t>fleet HP</t>
  </si>
  <si>
    <t>weight factor</t>
  </si>
  <si>
    <t>HP factor</t>
  </si>
  <si>
    <t>MPG normalized to 2024 design</t>
  </si>
  <si>
    <t>ln(normalized)</t>
  </si>
  <si>
    <t>Trend fit: ln(normalized MPG) on model year</t>
  </si>
  <si>
    <t>Window</t>
  </si>
  <si>
    <t>1975 to 2024</t>
  </si>
  <si>
    <t>2005 to 2024</t>
  </si>
  <si>
    <t>slope (per year, log units)</t>
  </si>
  <si>
    <t>R-squared of the trend line</t>
  </si>
  <si>
    <t>growth per year, exp(slope) - 1</t>
  </si>
  <si>
    <t>projected 2035</t>
  </si>
  <si>
    <t>projected 2045</t>
  </si>
  <si>
    <t>Normalized path (the trough vanishes)</t>
  </si>
  <si>
    <t>raw MPG</t>
  </si>
  <si>
    <t>normalized</t>
  </si>
  <si>
    <t>Worked example, 1987 (the deck's normalization slide)</t>
  </si>
  <si>
    <t>raw 1987 fleet MPG</t>
  </si>
  <si>
    <t>weight factor (3221/4354)^e_w</t>
  </si>
  <si>
    <t>HP factor (118/258)^e_h</t>
  </si>
  <si>
    <t>normalized 1987 MPG</t>
  </si>
  <si>
    <t>Technology S-curves (deck slide 7): logistic diffusion, share(t) = L / (1 + exp(-k (t - t0)))</t>
  </si>
  <si>
    <t>Share data: EPA Automotive Trends technology-share series (production-weighted), through the preliminary 2025 point, as used in the fit. L, k, t0 are the nonlinear least-squares estimates from 10_stats.py (scipy curve_fit; 95% CIs from a 300-draw residual bootstrap); they are the only typed inputs on this sheet. Everything else is live: the fitted curve, residuals, R-squared, 10-to-90% years, projections, and an independent Excel cross-check that re-estimates k and t0 by a linearized fit (SLOPE and INTERCEPT of ln(share / (L - share)) on year, valid where 0 &lt; share &lt; L).</t>
  </si>
  <si>
    <t>Technology</t>
  </si>
  <si>
    <t>Ceiling L</t>
  </si>
  <si>
    <t>L status</t>
  </si>
  <si>
    <t>k (NLS)</t>
  </si>
  <si>
    <t>95% CI k</t>
  </si>
  <si>
    <t>midpoint t0 (NLS)</t>
  </si>
  <si>
    <t>95% CI t0</t>
  </si>
  <si>
    <t>10% to 90% years = LN(81)/k</t>
  </si>
  <si>
    <t>R-squared (live)</t>
  </si>
  <si>
    <t>k, Excel logit cross-check</t>
  </si>
  <si>
    <t>t0, Excel logit cross-check</t>
  </si>
  <si>
    <t>latest share (live)</t>
  </si>
  <si>
    <t>projected 2030</t>
  </si>
  <si>
    <t>projected 2040</t>
  </si>
  <si>
    <t>Turbo</t>
  </si>
  <si>
    <t>estimated</t>
  </si>
  <si>
    <t>0.243 to 0.324</t>
  </si>
  <si>
    <t>2016.5 to 2018.5</t>
  </si>
  <si>
    <t>GDI</t>
  </si>
  <si>
    <t>0.547 to 0.692</t>
  </si>
  <si>
    <t>2012.4 to 2012.8</t>
  </si>
  <si>
    <t>CVT</t>
  </si>
  <si>
    <t>0.346 to 0.546</t>
  </si>
  <si>
    <t>2010.9 to 2012.1</t>
  </si>
  <si>
    <t>Hybrid (HEV)</t>
  </si>
  <si>
    <t>assumed (takeoff)</t>
  </si>
  <si>
    <t>0.126 to 0.203</t>
  </si>
  <si>
    <t>2034.5 to 2042.4</t>
  </si>
  <si>
    <t>BEV</t>
  </si>
  <si>
    <t>0.229 to 0.398</t>
  </si>
  <si>
    <t>2029.7 to 2034.5</t>
  </si>
  <si>
    <t>Reading: the three completed curves (turbo, GDI, CVT) have data on both sides of the midpoint, so L is estimated. Hybrid and BEV are still on the ramp: a free fit cannot identify L, so it is fixed at 1 (takeoff assumed) and only k and t0 are estimated; their midpoints lie beyond the data. The logit cross-check weights points differently from nonlinear least squares (it up-weights the tails), so it lands near, not on, the NLS values.</t>
  </si>
  <si>
    <t>year</t>
  </si>
  <si>
    <t>share</t>
  </si>
  <si>
    <t>fitted</t>
  </si>
  <si>
    <t>residual</t>
  </si>
  <si>
    <t>logit ln(s/(L-s))</t>
  </si>
  <si>
    <t>Chart: 'EVs ride the same productivity clock' (fig44). Tesla fleet MPGe normalized to constant 2024 weight</t>
  </si>
  <si>
    <t>Series: EPA Automotive Trends, manufacturer = Tesla, production-weighted, 2012 to 2024: the only EV series in the project with MPGe, weight, and HP on the same basis. It is also the BEV proxy used to back electrics out of the class series (Class Productivity sheet). Normalized MPGe = MPGe x (weight / weight_2024)^e_w.</t>
  </si>
  <si>
    <t>e_w used (BEV-only model, MPGe on weight, n = 153, R2 0.708; typed input)</t>
  </si>
  <si>
    <t>for comparison: BEV own weight elasticity from spec E (live)</t>
  </si>
  <si>
    <t>Tesla fleet MPGe (raw)</t>
  </si>
  <si>
    <t>weight (lbs)</t>
  </si>
  <si>
    <t>MPGe normalized to 2024 weight</t>
  </si>
  <si>
    <t>Trend fit: ln(normalized MPGe) on year</t>
  </si>
  <si>
    <t>slope (log units per year)</t>
  </si>
  <si>
    <t>n (annual points)</t>
  </si>
  <si>
    <t>projected 2045 (MPGe-equivalent, illustrative)</t>
  </si>
  <si>
    <t>Charts: 'Normalized by class, the productivity law is universal' (fig43), 'Combustion alone kept the clock' (fig45), 'Without BEVs the classes converge harder' (fig46)</t>
  </si>
  <si>
    <t>Raw series: EPA Automotive Trends, production-weighted, by vehicle type, 1975 to 2024 (typed inputs: MPG, weight, HP, in-class BEV share). Everything else is live. BEVs-in normalization (fig43): MPG x (wt/wt_2024)^e_w x (HP/HP_2024)^e_h with the final CER's pooled elasticities, each class at its own 2024 design. Ex-BEV (fig45, fig46): the BEV share s is backed out first, harmonically for MPG and arithmetically for weight and HP, using the Tesla series as the BEV proxy: MPG_ice = (1 - s) / (1/MPG - s/MPGe_bev); wt_ice = (wt - s x wt_bev) / (1 - s); same for HP; then normalized with the combustion-only CER's elasticities (Alternatives spec A). Trend = LINEST of ln(normalized) on year; growth = exp(slope) - 1; 2045 = exp(intercept + slope x 2045).</t>
  </si>
  <si>
    <t>pooled e_w (final CER)</t>
  </si>
  <si>
    <t>combustion e_w (spec A)</t>
  </si>
  <si>
    <t>pooled e_h (final CER)</t>
  </si>
  <si>
    <t>combustion e_h (spec A)</t>
  </si>
  <si>
    <t>Scope</t>
  </si>
  <si>
    <t>BEVs in: growth per year</t>
  </si>
  <si>
    <t>BEVs in: R-squared</t>
  </si>
  <si>
    <t>BEVs in: 2045 at trend</t>
  </si>
  <si>
    <t>Ex-BEV: growth per year</t>
  </si>
  <si>
    <t>Ex-BEV: R-squared</t>
  </si>
  <si>
    <t>Ex-BEV: 2045 at trend</t>
  </si>
  <si>
    <t>Ex-BEV: 2024 normalized</t>
  </si>
  <si>
    <t>BEVs in: growth 2005 to 2024</t>
  </si>
  <si>
    <t>Ex-BEV: growth 2005 to 2024</t>
  </si>
  <si>
    <t>Ex-BEV: 2045 at 2005 to 2024 rate</t>
  </si>
  <si>
    <t>Fleet (all vehicles)</t>
  </si>
  <si>
    <t>Sedan/Wagon</t>
  </si>
  <si>
    <t>Car SUV</t>
  </si>
  <si>
    <t>Truck SUV</t>
  </si>
  <si>
    <t>Pickup</t>
  </si>
  <si>
    <t>Minivan/Van</t>
  </si>
  <si>
    <t>Reading: with BEVs in, Car SUV is the fastest class because the Model Y entered it (in-class BEV share 35.7% in 2023, column F); back the BEVs out and its rate falls into line with the others while every class still compounds near 2% a year. The fleet row with BEVs in reproduces the Normalization sheet.</t>
  </si>
  <si>
    <t>scope</t>
  </si>
  <si>
    <t>MPG (raw)</t>
  </si>
  <si>
    <t>HP</t>
  </si>
  <si>
    <t>in-class BEV share s</t>
  </si>
  <si>
    <t>Tesla MPGe (proxy)</t>
  </si>
  <si>
    <t>Tesla weight</t>
  </si>
  <si>
    <t>Tesla HP</t>
  </si>
  <si>
    <t>normalized, BEVs in</t>
  </si>
  <si>
    <t>ln</t>
  </si>
  <si>
    <t>MPG ex-BEV</t>
  </si>
  <si>
    <t>weight ex-BEV</t>
  </si>
  <si>
    <t>HP ex-BEV</t>
  </si>
  <si>
    <t>normalized, ex-BEV</t>
  </si>
  <si>
    <t>Deck numbers next to the cell that produces each one</t>
  </si>
  <si>
    <t>Deck claim</t>
  </si>
  <si>
    <t>Deck value</t>
  </si>
  <si>
    <t>Workbook value (live)</t>
  </si>
  <si>
    <t>Where</t>
  </si>
  <si>
    <t>Final CER R-squared</t>
  </si>
  <si>
    <t>CER!C15</t>
  </si>
  <si>
    <t>Final CER F(4, 1280)</t>
  </si>
  <si>
    <t>CER!C18</t>
  </si>
  <si>
    <t>ln(weight) coefficient</t>
  </si>
  <si>
    <t>CER!C8</t>
  </si>
  <si>
    <t>ln(horsepower) coefficient</t>
  </si>
  <si>
    <t>CER!C9</t>
  </si>
  <si>
    <t>hybrid coefficient</t>
  </si>
  <si>
    <t>CER!C10</t>
  </si>
  <si>
    <t>battery-electric coefficient</t>
  </si>
  <si>
    <t>CER!C11</t>
  </si>
  <si>
    <t>10% more weight costs (MPG)</t>
  </si>
  <si>
    <t>CER!C26</t>
  </si>
  <si>
    <t>10% more horsepower costs (MPG)</t>
  </si>
  <si>
    <t>CER!C27</t>
  </si>
  <si>
    <t>Hybrid premium</t>
  </si>
  <si>
    <t>CER!C28</t>
  </si>
  <si>
    <t>Battery-electric premium</t>
  </si>
  <si>
    <t>CER!C29</t>
  </si>
  <si>
    <t>Share inside the 95% band</t>
  </si>
  <si>
    <t>CER!C42</t>
  </si>
  <si>
    <t>Combustion-only CER R-squared (spec A)</t>
  </si>
  <si>
    <t>Alternatives!C6</t>
  </si>
  <si>
    <t>Merged electrified flag R-squared (spec C)</t>
  </si>
  <si>
    <t>Alternatives!C25</t>
  </si>
  <si>
    <t>BEV-specific slopes R-squared (spec E)</t>
  </si>
  <si>
    <t>Alternatives!C43</t>
  </si>
  <si>
    <t>Nested F, merged flag vs two levels</t>
  </si>
  <si>
    <t>Alternatives!F62</t>
  </si>
  <si>
    <t>Nested F, footprint</t>
  </si>
  <si>
    <t>Alternatives!F61</t>
  </si>
  <si>
    <t>Nested F, BEV-specific slopes</t>
  </si>
  <si>
    <t>Alternatives!F63</t>
  </si>
  <si>
    <t>Productivity growth 1975 to 2024 (per year)</t>
  </si>
  <si>
    <t>Normalization!K13</t>
  </si>
  <si>
    <t>Trend R-squared 1975 to 2024</t>
  </si>
  <si>
    <t>Normalization!K12</t>
  </si>
  <si>
    <t>2045 at the 2005 to 2024 rate</t>
  </si>
  <si>
    <t>Normalization!L15</t>
  </si>
  <si>
    <t>2045 at the 1975 to 2024 rate</t>
  </si>
  <si>
    <t>Normalization!K15</t>
  </si>
  <si>
    <t>Normalized 1987 MPG (worked example)</t>
  </si>
  <si>
    <t>Normalization!K27</t>
  </si>
  <si>
    <t>S-curve: GDI vs turbo rate ratio (2.1x)</t>
  </si>
  <si>
    <t>Diffusion!D6/D5</t>
  </si>
  <si>
    <t>S-curve: turbo 10 to 90% years</t>
  </si>
  <si>
    <t>Diffusion!H5</t>
  </si>
  <si>
    <t>S-curve: hybrid 10 to 90% years</t>
  </si>
  <si>
    <t>Diffusion!H8</t>
  </si>
  <si>
    <t>S-curve: BEV 10 to 90% years</t>
  </si>
  <si>
    <t>Diffusion!H9</t>
  </si>
  <si>
    <t>S-curve: hybrid midpoint</t>
  </si>
  <si>
    <t>Diffusion!F8</t>
  </si>
  <si>
    <t>S-curve: BEV midpoint</t>
  </si>
  <si>
    <t>Diffusion!F9</t>
  </si>
  <si>
    <t>fig43 Sedan/Wagon growth per year (BEVs in)</t>
  </si>
  <si>
    <t>Class Productivity!B9</t>
  </si>
  <si>
    <t>fig43 Car SUV growth per year (BEVs in)</t>
  </si>
  <si>
    <t>Class Productivity!B10</t>
  </si>
  <si>
    <t>fig43 Truck SUV growth per year (BEVs in)</t>
  </si>
  <si>
    <t>Class Productivity!B11</t>
  </si>
  <si>
    <t>fig43 Pickup growth per year (BEVs in)</t>
  </si>
  <si>
    <t>Class Productivity!B12</t>
  </si>
  <si>
    <t>fig43 Minivan/Van growth per year (BEVs in)</t>
  </si>
  <si>
    <t>Class Productivity!B13</t>
  </si>
  <si>
    <t>fig43 Car SUV R-squared (lowest of the classes)</t>
  </si>
  <si>
    <t>Class Productivity!C10</t>
  </si>
  <si>
    <t>fig45 fleet ex-BEV growth per year</t>
  </si>
  <si>
    <t>Class Productivity!E8</t>
  </si>
  <si>
    <t>fig45 fleet ex-BEV R-squared</t>
  </si>
  <si>
    <t>Class Productivity!F8</t>
  </si>
  <si>
    <t>fig45 fleet ex-BEV 2045 at trend</t>
  </si>
  <si>
    <t>Class Productivity!G8</t>
  </si>
  <si>
    <t>fig46 Sedan/Wagon ex-BEV growth per year</t>
  </si>
  <si>
    <t>Class Productivity!E9</t>
  </si>
  <si>
    <t>fig46 Car SUV ex-BEV growth per year</t>
  </si>
  <si>
    <t>Class Productivity!E10</t>
  </si>
  <si>
    <t>fig46 Truck SUV ex-BEV growth per year</t>
  </si>
  <si>
    <t>Class Productivity!E11</t>
  </si>
  <si>
    <t>fig46 Pickup ex-BEV growth per year</t>
  </si>
  <si>
    <t>Class Productivity!E12</t>
  </si>
  <si>
    <t>fig46 Minivan/Van ex-BEV growth per year</t>
  </si>
  <si>
    <t>Class Productivity!E13</t>
  </si>
  <si>
    <t>fig46 Car SUV ex-BEV R-squared</t>
  </si>
  <si>
    <t>Class Productivity!F10</t>
  </si>
  <si>
    <t>fig44 Tesla normalized growth per year</t>
  </si>
  <si>
    <t>EV Productivity!J12</t>
  </si>
  <si>
    <t>fig44 Tesla trend R-squared</t>
  </si>
  <si>
    <t>EV Productivity!J11</t>
  </si>
  <si>
    <t>fig44 Tesla 2045 at trend (MPGe-equivalent)</t>
  </si>
  <si>
    <t>EV Productivity!J14</t>
  </si>
  <si>
    <t>HC1 robust standard errors on the CER sheet (column H) come from 33_pooled_model.py; Excel's LINEST has no robust-error option, so those five numbers are the only typed statistics in the 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</si>
</sst>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
    <numFmt numFmtId="165" formatCode="0.000000"/>
    <numFmt numFmtId="166" formatCode="#,##0.0"/>
    <numFmt numFmtId="167" formatCode="0.000"/>
    <numFmt numFmtId="168" formatCode="0.0%"/>
    <numFmt numFmtId="169" formatCode="0.0"/>
    <numFmt numFmtId="170" formatCode="\+0%;\-0%;0%"/>
    <numFmt numFmtId="171" formatCode="0.00000"/>
  </numFmts>
  <fonts count="4" x14ac:knownFonts="1">
    <font>
      <sz val="11"/>
      <color theme="1"/>
      <name val="Calibri"/>
      <family val="2"/>
      <scheme val="minor"/>
    </font>
    <font>
      <b/>
      <sz val="13"/>
      <name val="Calibri"/>
    </font>
    <font>
      <sz val="11"/>
      <name val="Calibri"/>
    </font>
    <font>
      <b/>
      <sz val="11"/>
      <name val="Calibri"/>
    </font>
  </fonts>
  <fills count="3">
    <fill>
      <patternFill patternType="none"/>
    </fill>
    <fill>
      <patternFill patternType="gray125"/>
    </fill>
    <fill>
      <patternFill patternType="solid">
        <fgColor rgb="FFEBF1DE"/>
      </patternFill>
    </fill>
  </fills>
  <borders count="1">
    <border>
      <left/>
      <right/>
      <top/>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3" fillId="0" borderId="0" xfId="0" applyFont="1"/>
    <xf numFmtId="164" fontId="2" fillId="0" borderId="0" xfId="0" applyNumberFormat="1" applyFont="1"/>
    <xf numFmtId="3" fontId="2" fillId="0" borderId="0" xfId="0" applyNumberFormat="1" applyFont="1"/>
    <xf numFmtId="164" fontId="2" fillId="2" borderId="0" xfId="0" applyNumberFormat="1" applyFont="1" applyFill="1"/>
    <xf numFmtId="2" fontId="2" fillId="0" borderId="0" xfId="0" applyNumberFormat="1" applyFont="1"/>
    <xf numFmtId="165" fontId="2" fillId="0" borderId="0" xfId="0" applyNumberFormat="1" applyFont="1"/>
    <xf numFmtId="166" fontId="2" fillId="2" borderId="0" xfId="0" applyNumberFormat="1" applyFont="1" applyFill="1"/>
    <xf numFmtId="11" fontId="2" fillId="0" borderId="0" xfId="0" applyNumberFormat="1" applyFont="1"/>
    <xf numFmtId="166" fontId="2" fillId="0" borderId="0" xfId="0" applyNumberFormat="1" applyFont="1"/>
    <xf numFmtId="167" fontId="2" fillId="0" borderId="0" xfId="0" applyNumberFormat="1" applyFont="1"/>
    <xf numFmtId="168" fontId="2" fillId="2" borderId="0" xfId="0" applyNumberFormat="1" applyFont="1" applyFill="1"/>
    <xf numFmtId="9" fontId="2" fillId="2" borderId="0" xfId="0" applyNumberFormat="1" applyFont="1" applyFill="1"/>
    <xf numFmtId="168" fontId="2" fillId="0" borderId="0" xfId="0" applyNumberFormat="1" applyFont="1"/>
    <xf numFmtId="169" fontId="2" fillId="0" borderId="0" xfId="0" applyNumberFormat="1" applyFont="1"/>
    <xf numFmtId="167" fontId="2" fillId="2" borderId="0" xfId="0" applyNumberFormat="1" applyFont="1" applyFill="1"/>
    <xf numFmtId="170" fontId="2" fillId="2" borderId="0" xfId="0" applyNumberFormat="1" applyFont="1" applyFill="1"/>
    <xf numFmtId="4" fontId="2" fillId="2" borderId="0" xfId="0" applyNumberFormat="1" applyFont="1" applyFill="1"/>
    <xf numFmtId="171" fontId="2" fillId="0" borderId="0" xfId="0" applyNumberFormat="1" applyFont="1"/>
    <xf numFmtId="10" fontId="2" fillId="2" borderId="0" xfId="0" applyNumberFormat="1" applyFont="1" applyFill="1"/>
    <xf numFmtId="169" fontId="2" fillId="2" borderId="0" xfId="0" applyNumberFormat="1" applyFont="1" applyFill="1"/>
    <xf numFmtId="0" fontId="3" fillId="0" borderId="0" xfId="0" applyFont="1" applyAlignment="1">
      <alignment vertical="top" wrapText="1"/>
    </xf>
    <xf numFmtId="1" fontId="2" fillId="0" borderId="0" xfId="0" applyNumberFormat="1" applyFont="1"/>
    <xf numFmtId="1" fontId="2" fillId="2" borderId="0" xfId="0" applyNumberFormat="1" applyFont="1" applyFill="1"/>
    <xf numFmtId="10" fontId="2" fillId="0" borderId="0" xfId="0" applyNumberFormat="1" applyFont="1"/>
    <xf numFmtId="9" fontId="2" fillId="0" borderId="0" xfId="0" applyNumberFormat="1" applyFont="1"/>
    <xf numFmtId="3" fontId="2" fillId="2" borderId="0" xfId="0" applyNumberFormat="1" applyFont="1" applyFill="1"/>
    <xf numFmtId="2" fontId="2" fillId="2" borderId="0" xfId="0" applyNumberFormat="1" applyFont="1" applyFill="1"/>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
  <sheetViews>
    <sheetView tabSelected="1" workbookViewId="0"/>
  </sheetViews>
  <sheetFormatPr defaultRowHeight="14.5" x14ac:dyDescent="0.35"/>
  <cols>
    <col min="1" max="1" width="140" customWidth="1"/>
  </cols>
  <sheetData>
    <row r="1" spans="1:1" ht="17" x14ac:dyDescent="0.4">
      <c r="A1" s="1" t="s">
        <v>0</v>
      </c>
    </row>
    <row r="3" spans="1:1" x14ac:dyDescent="0.35">
      <c r="A3" s="2" t="s">
        <v>1</v>
      </c>
    </row>
    <row r="4" spans="1:1" x14ac:dyDescent="0.35">
      <c r="A4" s="2" t="s">
        <v>2</v>
      </c>
    </row>
    <row r="5" spans="1:1" x14ac:dyDescent="0.35">
      <c r="A5" s="2"/>
    </row>
    <row r="6" spans="1:1" x14ac:dyDescent="0.35">
      <c r="A6" s="3" t="s">
        <v>3</v>
      </c>
    </row>
    <row r="7" spans="1:1" x14ac:dyDescent="0.35">
      <c r="A7" s="2" t="s">
        <v>4</v>
      </c>
    </row>
    <row r="8" spans="1:1" x14ac:dyDescent="0.35">
      <c r="A8" s="2" t="s">
        <v>5</v>
      </c>
    </row>
    <row r="9" spans="1:1" x14ac:dyDescent="0.35">
      <c r="A9" s="2" t="s">
        <v>6</v>
      </c>
    </row>
    <row r="10" spans="1:1" x14ac:dyDescent="0.35">
      <c r="A10" s="2" t="s">
        <v>7</v>
      </c>
    </row>
    <row r="11" spans="1:1" x14ac:dyDescent="0.35">
      <c r="A11" s="2" t="s">
        <v>8</v>
      </c>
    </row>
    <row r="12" spans="1:1" x14ac:dyDescent="0.35">
      <c r="A12" s="2" t="s">
        <v>9</v>
      </c>
    </row>
    <row r="13" spans="1:1" x14ac:dyDescent="0.35">
      <c r="A13" s="2" t="s">
        <v>10</v>
      </c>
    </row>
    <row r="14" spans="1:1" x14ac:dyDescent="0.35">
      <c r="A14" s="2" t="s">
        <v>11</v>
      </c>
    </row>
    <row r="15" spans="1:1" x14ac:dyDescent="0.35">
      <c r="A15" s="2" t="s">
        <v>12</v>
      </c>
    </row>
    <row r="16" spans="1:1" x14ac:dyDescent="0.35">
      <c r="A16" s="2"/>
    </row>
    <row r="17" spans="1:1" x14ac:dyDescent="0.35">
      <c r="A17" s="3" t="s">
        <v>13</v>
      </c>
    </row>
    <row r="18" spans="1:1" x14ac:dyDescent="0.35">
      <c r="A18" s="2" t="s">
        <v>14</v>
      </c>
    </row>
    <row r="19" spans="1:1" x14ac:dyDescent="0.35">
      <c r="A19" s="2" t="s">
        <v>15</v>
      </c>
    </row>
    <row r="20" spans="1:1" x14ac:dyDescent="0.35">
      <c r="A20" s="2" t="s">
        <v>16</v>
      </c>
    </row>
    <row r="21" spans="1:1" x14ac:dyDescent="0.35">
      <c r="A21" s="2" t="s">
        <v>17</v>
      </c>
    </row>
    <row r="22" spans="1:1" x14ac:dyDescent="0.35">
      <c r="A22" s="2" t="s">
        <v>18</v>
      </c>
    </row>
    <row r="23" spans="1:1" x14ac:dyDescent="0.35">
      <c r="A23" s="2"/>
    </row>
    <row r="24" spans="1:1" x14ac:dyDescent="0.35">
      <c r="A24" s="2" t="s">
        <v>19</v>
      </c>
    </row>
    <row r="25" spans="1:1" x14ac:dyDescent="0.35">
      <c r="A25" s="2" t="s">
        <v>20</v>
      </c>
    </row>
    <row r="26" spans="1:1" x14ac:dyDescent="0.35">
      <c r="A26" s="2"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1286"/>
  <sheetViews>
    <sheetView workbookViewId="0">
      <pane xSplit="1" ySplit="1" topLeftCell="B2" activePane="bottomRight" state="frozen"/>
      <selection pane="topRight"/>
      <selection pane="bottomLeft"/>
      <selection pane="bottomRight"/>
    </sheetView>
  </sheetViews>
  <sheetFormatPr defaultRowHeight="14.5" x14ac:dyDescent="0.35"/>
  <cols>
    <col min="1" max="1" width="34" customWidth="1"/>
    <col min="2" max="2" width="30" customWidth="1"/>
    <col min="3" max="3" width="12" customWidth="1"/>
    <col min="4" max="4" width="14" customWidth="1"/>
    <col min="5" max="7" width="11" customWidth="1"/>
    <col min="8" max="8" width="24" customWidth="1"/>
    <col min="9" max="43" width="11" customWidth="1"/>
  </cols>
  <sheetData>
    <row r="1" spans="1:43" x14ac:dyDescent="0.35">
      <c r="A1" s="3" t="s">
        <v>22</v>
      </c>
      <c r="B1" s="3" t="s">
        <v>23</v>
      </c>
      <c r="C1" s="3" t="s">
        <v>24</v>
      </c>
      <c r="D1" s="3" t="s">
        <v>25</v>
      </c>
      <c r="E1" s="3" t="s">
        <v>26</v>
      </c>
      <c r="F1" s="3" t="s">
        <v>27</v>
      </c>
      <c r="G1" s="3" t="s">
        <v>28</v>
      </c>
      <c r="H1" s="3" t="s">
        <v>29</v>
      </c>
      <c r="I1" s="3" t="s">
        <v>30</v>
      </c>
      <c r="J1" s="3" t="s">
        <v>31</v>
      </c>
      <c r="K1" s="3" t="s">
        <v>32</v>
      </c>
      <c r="L1" s="3" t="s">
        <v>33</v>
      </c>
      <c r="M1" s="3" t="s">
        <v>34</v>
      </c>
      <c r="N1" s="3" t="s">
        <v>35</v>
      </c>
      <c r="O1" s="3" t="s">
        <v>36</v>
      </c>
      <c r="P1" s="3" t="s">
        <v>37</v>
      </c>
      <c r="Q1" s="3" t="s">
        <v>38</v>
      </c>
      <c r="R1" s="3" t="s">
        <v>39</v>
      </c>
      <c r="S1" s="3" t="s">
        <v>40</v>
      </c>
      <c r="T1" s="3" t="s">
        <v>41</v>
      </c>
      <c r="U1" s="3" t="s">
        <v>42</v>
      </c>
      <c r="V1" s="3" t="s">
        <v>43</v>
      </c>
      <c r="W1" s="3" t="s">
        <v>44</v>
      </c>
      <c r="X1" s="3" t="s">
        <v>45</v>
      </c>
      <c r="Y1" s="3" t="s">
        <v>46</v>
      </c>
      <c r="Z1" s="3" t="s">
        <v>47</v>
      </c>
      <c r="AA1" s="3" t="s">
        <v>48</v>
      </c>
      <c r="AB1" s="3" t="s">
        <v>49</v>
      </c>
      <c r="AC1" s="3" t="s">
        <v>50</v>
      </c>
      <c r="AD1" s="3" t="s">
        <v>51</v>
      </c>
      <c r="AE1" s="3" t="s">
        <v>52</v>
      </c>
      <c r="AF1" s="3" t="s">
        <v>53</v>
      </c>
      <c r="AG1" s="3" t="s">
        <v>54</v>
      </c>
      <c r="AH1" s="3" t="s">
        <v>55</v>
      </c>
      <c r="AI1" s="3" t="s">
        <v>56</v>
      </c>
      <c r="AJ1" s="3" t="s">
        <v>57</v>
      </c>
      <c r="AK1" s="3" t="s">
        <v>58</v>
      </c>
      <c r="AL1" s="3" t="s">
        <v>59</v>
      </c>
      <c r="AM1" s="3" t="s">
        <v>60</v>
      </c>
      <c r="AN1" s="3" t="s">
        <v>61</v>
      </c>
      <c r="AO1" s="3" t="s">
        <v>62</v>
      </c>
      <c r="AP1" s="3" t="s">
        <v>63</v>
      </c>
      <c r="AQ1" s="3" t="s">
        <v>64</v>
      </c>
    </row>
    <row r="2" spans="1:43" x14ac:dyDescent="0.35">
      <c r="A2" s="2" t="s">
        <v>65</v>
      </c>
      <c r="B2" s="2" t="s">
        <v>66</v>
      </c>
      <c r="C2" s="2" t="s">
        <v>67</v>
      </c>
      <c r="D2" s="2">
        <v>22.472899999999999</v>
      </c>
      <c r="E2" s="2">
        <v>4500</v>
      </c>
      <c r="F2" s="2">
        <v>680</v>
      </c>
      <c r="G2" s="2">
        <v>50</v>
      </c>
      <c r="H2" s="2" t="s">
        <v>68</v>
      </c>
      <c r="I2" s="4">
        <f t="shared" ref="I2:I65" si="0">LN(D2)</f>
        <v>3.1123101388397698</v>
      </c>
      <c r="J2" s="4">
        <f t="shared" ref="J2:J65" si="1">LN(E2)</f>
        <v>8.4118326757584114</v>
      </c>
      <c r="K2" s="4">
        <f t="shared" ref="K2:K65" si="2">LN(F2)</f>
        <v>6.522092798170152</v>
      </c>
      <c r="L2" s="2">
        <v>0</v>
      </c>
      <c r="M2" s="2">
        <v>0</v>
      </c>
      <c r="N2" s="4">
        <f t="shared" ref="N2:N65" si="3">G2</f>
        <v>50</v>
      </c>
      <c r="O2" s="4">
        <f t="shared" ref="O2:O65" si="4">L2+M2</f>
        <v>0</v>
      </c>
      <c r="P2" s="4">
        <f t="shared" ref="P2:P65" si="5">L2+2*M2</f>
        <v>0</v>
      </c>
      <c r="Q2" s="4">
        <f t="shared" ref="Q2:Q65" si="6">J2</f>
        <v>8.4118326757584114</v>
      </c>
      <c r="R2" s="4">
        <f t="shared" ref="R2:R65" si="7">K2</f>
        <v>6.522092798170152</v>
      </c>
      <c r="S2" s="4">
        <f t="shared" ref="S2:S65" si="8">G2</f>
        <v>50</v>
      </c>
      <c r="T2" s="4">
        <f t="shared" ref="T2:T65" si="9">O2</f>
        <v>0</v>
      </c>
      <c r="U2" s="4">
        <f t="shared" ref="U2:U65" si="10">J2</f>
        <v>8.4118326757584114</v>
      </c>
      <c r="V2" s="4">
        <f t="shared" ref="V2:V65" si="11">K2</f>
        <v>6.522092798170152</v>
      </c>
      <c r="W2" s="4">
        <f t="shared" ref="W2:W65" si="12">G2</f>
        <v>50</v>
      </c>
      <c r="X2" s="4">
        <f t="shared" ref="X2:X65" si="13">P2</f>
        <v>0</v>
      </c>
      <c r="Y2" s="4">
        <f t="shared" ref="Y2:Y65" si="14">J2</f>
        <v>8.4118326757584114</v>
      </c>
      <c r="Z2" s="4">
        <f t="shared" ref="Z2:Z65" si="15">K2</f>
        <v>6.522092798170152</v>
      </c>
      <c r="AA2" s="4">
        <f t="shared" ref="AA2:AA65" si="16">G2</f>
        <v>50</v>
      </c>
      <c r="AB2" s="4">
        <f t="shared" ref="AB2:AB65" si="17">L2</f>
        <v>0</v>
      </c>
      <c r="AC2" s="4">
        <f t="shared" ref="AC2:AC65" si="18">M2</f>
        <v>0</v>
      </c>
      <c r="AD2" s="4">
        <f t="shared" ref="AD2:AD65" si="19">M2*J2</f>
        <v>0</v>
      </c>
      <c r="AE2" s="4">
        <f t="shared" ref="AE2:AE65" si="20">M2*K2</f>
        <v>0</v>
      </c>
      <c r="AF2" s="4">
        <f t="shared" ref="AF2:AF65" si="21">M2*G2</f>
        <v>0</v>
      </c>
      <c r="AG2" s="4">
        <f t="shared" ref="AG2:AG65" si="22">J2</f>
        <v>8.4118326757584114</v>
      </c>
      <c r="AH2" s="4">
        <f t="shared" ref="AH2:AH65" si="23">L2</f>
        <v>0</v>
      </c>
      <c r="AI2" s="4">
        <f t="shared" ref="AI2:AI65" si="24">M2</f>
        <v>0</v>
      </c>
      <c r="AJ2" s="4">
        <f t="shared" ref="AJ2:AJ65" si="25">J2</f>
        <v>8.4118326757584114</v>
      </c>
      <c r="AK2" s="4">
        <f t="shared" ref="AK2:AK65" si="26">K2</f>
        <v>6.522092798170152</v>
      </c>
      <c r="AL2" s="4">
        <f t="shared" ref="AL2:AL65" si="27">M2</f>
        <v>0</v>
      </c>
      <c r="AM2" s="4">
        <f>CER!$C$7+CER!$C$8*J2+CER!$C$9*K2+CER!$C$10*L2+CER!$C$11*M2</f>
        <v>3.0433906051366826</v>
      </c>
      <c r="AN2" s="4">
        <f t="shared" ref="AN2:AN65" si="28">EXP(AM2)</f>
        <v>20.976244961577684</v>
      </c>
      <c r="AO2" s="4">
        <f t="shared" ref="AO2:AO65" si="29">I2-AM2</f>
        <v>6.8919533703087232E-2</v>
      </c>
      <c r="AP2" s="4">
        <f>Alternatives!$F$25+Alternatives!$F$26*J2+Alternatives!$F$27*K2+Alternatives!$F$28*G2+Alternatives!$F$29*O2</f>
        <v>3.1715446155163196</v>
      </c>
      <c r="AQ2" s="4">
        <f t="shared" ref="AQ2:AQ65" si="30">I2-AP2</f>
        <v>-5.9234476676549797E-2</v>
      </c>
    </row>
    <row r="3" spans="1:43" x14ac:dyDescent="0.35">
      <c r="A3" s="2" t="s">
        <v>69</v>
      </c>
      <c r="B3" s="2" t="s">
        <v>66</v>
      </c>
      <c r="C3" s="2" t="s">
        <v>67</v>
      </c>
      <c r="D3" s="2">
        <v>18.362400000000001</v>
      </c>
      <c r="E3" s="2">
        <v>4000</v>
      </c>
      <c r="F3" s="2">
        <v>715</v>
      </c>
      <c r="G3" s="2">
        <v>48.2</v>
      </c>
      <c r="H3" s="2" t="s">
        <v>68</v>
      </c>
      <c r="I3" s="4">
        <f t="shared" si="0"/>
        <v>2.9103050956036149</v>
      </c>
      <c r="J3" s="4">
        <f t="shared" si="1"/>
        <v>8.2940496401020276</v>
      </c>
      <c r="K3" s="4">
        <f t="shared" si="2"/>
        <v>6.5722825426940075</v>
      </c>
      <c r="L3" s="2">
        <v>0</v>
      </c>
      <c r="M3" s="2">
        <v>0</v>
      </c>
      <c r="N3" s="4">
        <f t="shared" si="3"/>
        <v>48.2</v>
      </c>
      <c r="O3" s="4">
        <f t="shared" si="4"/>
        <v>0</v>
      </c>
      <c r="P3" s="4">
        <f t="shared" si="5"/>
        <v>0</v>
      </c>
      <c r="Q3" s="4">
        <f t="shared" si="6"/>
        <v>8.2940496401020276</v>
      </c>
      <c r="R3" s="4">
        <f t="shared" si="7"/>
        <v>6.5722825426940075</v>
      </c>
      <c r="S3" s="4">
        <f t="shared" si="8"/>
        <v>48.2</v>
      </c>
      <c r="T3" s="4">
        <f t="shared" si="9"/>
        <v>0</v>
      </c>
      <c r="U3" s="4">
        <f t="shared" si="10"/>
        <v>8.2940496401020276</v>
      </c>
      <c r="V3" s="4">
        <f t="shared" si="11"/>
        <v>6.5722825426940075</v>
      </c>
      <c r="W3" s="4">
        <f t="shared" si="12"/>
        <v>48.2</v>
      </c>
      <c r="X3" s="4">
        <f t="shared" si="13"/>
        <v>0</v>
      </c>
      <c r="Y3" s="4">
        <f t="shared" si="14"/>
        <v>8.2940496401020276</v>
      </c>
      <c r="Z3" s="4">
        <f t="shared" si="15"/>
        <v>6.5722825426940075</v>
      </c>
      <c r="AA3" s="4">
        <f t="shared" si="16"/>
        <v>48.2</v>
      </c>
      <c r="AB3" s="4">
        <f t="shared" si="17"/>
        <v>0</v>
      </c>
      <c r="AC3" s="4">
        <f t="shared" si="18"/>
        <v>0</v>
      </c>
      <c r="AD3" s="4">
        <f t="shared" si="19"/>
        <v>0</v>
      </c>
      <c r="AE3" s="4">
        <f t="shared" si="20"/>
        <v>0</v>
      </c>
      <c r="AF3" s="4">
        <f t="shared" si="21"/>
        <v>0</v>
      </c>
      <c r="AG3" s="4">
        <f t="shared" si="22"/>
        <v>8.2940496401020276</v>
      </c>
      <c r="AH3" s="4">
        <f t="shared" si="23"/>
        <v>0</v>
      </c>
      <c r="AI3" s="4">
        <f t="shared" si="24"/>
        <v>0</v>
      </c>
      <c r="AJ3" s="4">
        <f t="shared" si="25"/>
        <v>8.2940496401020276</v>
      </c>
      <c r="AK3" s="4">
        <f t="shared" si="26"/>
        <v>6.5722825426940075</v>
      </c>
      <c r="AL3" s="4">
        <f t="shared" si="27"/>
        <v>0</v>
      </c>
      <c r="AM3" s="4">
        <f>CER!$C$7+CER!$C$8*J3+CER!$C$9*K3+CER!$C$10*L3+CER!$C$11*M3</f>
        <v>3.0781948687727954</v>
      </c>
      <c r="AN3" s="4">
        <f t="shared" si="28"/>
        <v>21.719161053120168</v>
      </c>
      <c r="AO3" s="4">
        <f t="shared" si="29"/>
        <v>-0.16788977316918041</v>
      </c>
      <c r="AP3" s="4">
        <f>Alternatives!$F$25+Alternatives!$F$26*J3+Alternatives!$F$27*K3+Alternatives!$F$28*G3+Alternatives!$F$29*O3</f>
        <v>3.1380119404338975</v>
      </c>
      <c r="AQ3" s="4">
        <f t="shared" si="30"/>
        <v>-0.22770684483028258</v>
      </c>
    </row>
    <row r="4" spans="1:43" x14ac:dyDescent="0.35">
      <c r="A4" s="2" t="s">
        <v>70</v>
      </c>
      <c r="B4" s="2" t="s">
        <v>66</v>
      </c>
      <c r="C4" s="2" t="s">
        <v>67</v>
      </c>
      <c r="D4" s="2">
        <v>20.666499999999999</v>
      </c>
      <c r="E4" s="2">
        <v>5500</v>
      </c>
      <c r="F4" s="2">
        <v>550</v>
      </c>
      <c r="G4" s="2">
        <v>55.4</v>
      </c>
      <c r="H4" s="2" t="s">
        <v>68</v>
      </c>
      <c r="I4" s="4">
        <f t="shared" si="0"/>
        <v>3.0285140318283346</v>
      </c>
      <c r="J4" s="4">
        <f t="shared" si="1"/>
        <v>8.6125033712205621</v>
      </c>
      <c r="K4" s="4">
        <f t="shared" si="2"/>
        <v>6.3099182782265162</v>
      </c>
      <c r="L4" s="2">
        <v>0</v>
      </c>
      <c r="M4" s="2">
        <v>0</v>
      </c>
      <c r="N4" s="4">
        <f t="shared" si="3"/>
        <v>55.4</v>
      </c>
      <c r="O4" s="4">
        <f t="shared" si="4"/>
        <v>0</v>
      </c>
      <c r="P4" s="4">
        <f t="shared" si="5"/>
        <v>0</v>
      </c>
      <c r="Q4" s="4">
        <f t="shared" si="6"/>
        <v>8.6125033712205621</v>
      </c>
      <c r="R4" s="4">
        <f t="shared" si="7"/>
        <v>6.3099182782265162</v>
      </c>
      <c r="S4" s="4">
        <f t="shared" si="8"/>
        <v>55.4</v>
      </c>
      <c r="T4" s="4">
        <f t="shared" si="9"/>
        <v>0</v>
      </c>
      <c r="U4" s="4">
        <f t="shared" si="10"/>
        <v>8.6125033712205621</v>
      </c>
      <c r="V4" s="4">
        <f t="shared" si="11"/>
        <v>6.3099182782265162</v>
      </c>
      <c r="W4" s="4">
        <f t="shared" si="12"/>
        <v>55.4</v>
      </c>
      <c r="X4" s="4">
        <f t="shared" si="13"/>
        <v>0</v>
      </c>
      <c r="Y4" s="4">
        <f t="shared" si="14"/>
        <v>8.6125033712205621</v>
      </c>
      <c r="Z4" s="4">
        <f t="shared" si="15"/>
        <v>6.3099182782265162</v>
      </c>
      <c r="AA4" s="4">
        <f t="shared" si="16"/>
        <v>55.4</v>
      </c>
      <c r="AB4" s="4">
        <f t="shared" si="17"/>
        <v>0</v>
      </c>
      <c r="AC4" s="4">
        <f t="shared" si="18"/>
        <v>0</v>
      </c>
      <c r="AD4" s="4">
        <f t="shared" si="19"/>
        <v>0</v>
      </c>
      <c r="AE4" s="4">
        <f t="shared" si="20"/>
        <v>0</v>
      </c>
      <c r="AF4" s="4">
        <f t="shared" si="21"/>
        <v>0</v>
      </c>
      <c r="AG4" s="4">
        <f t="shared" si="22"/>
        <v>8.6125033712205621</v>
      </c>
      <c r="AH4" s="4">
        <f t="shared" si="23"/>
        <v>0</v>
      </c>
      <c r="AI4" s="4">
        <f t="shared" si="24"/>
        <v>0</v>
      </c>
      <c r="AJ4" s="4">
        <f t="shared" si="25"/>
        <v>8.6125033712205621</v>
      </c>
      <c r="AK4" s="4">
        <f t="shared" si="26"/>
        <v>6.3099182782265162</v>
      </c>
      <c r="AL4" s="4">
        <f t="shared" si="27"/>
        <v>0</v>
      </c>
      <c r="AM4" s="4">
        <f>CER!$C$7+CER!$C$8*J4+CER!$C$9*K4+CER!$C$10*L4+CER!$C$11*M4</f>
        <v>3.0308256066354482</v>
      </c>
      <c r="AN4" s="4">
        <f t="shared" si="28"/>
        <v>20.714327417781572</v>
      </c>
      <c r="AO4" s="4">
        <f t="shared" si="29"/>
        <v>-2.3115748071136366E-3</v>
      </c>
      <c r="AP4" s="4">
        <f>Alternatives!$F$25+Alternatives!$F$26*J4+Alternatives!$F$27*K4+Alternatives!$F$28*G4+Alternatives!$F$29*O4</f>
        <v>3.2320322822866974</v>
      </c>
      <c r="AQ4" s="4">
        <f t="shared" si="30"/>
        <v>-0.2035182504583628</v>
      </c>
    </row>
    <row r="5" spans="1:43" x14ac:dyDescent="0.35">
      <c r="A5" s="2" t="s">
        <v>71</v>
      </c>
      <c r="B5" s="2" t="s">
        <v>66</v>
      </c>
      <c r="C5" s="2" t="s">
        <v>67</v>
      </c>
      <c r="D5" s="2">
        <v>21.5837</v>
      </c>
      <c r="E5" s="2">
        <v>5500</v>
      </c>
      <c r="F5" s="2">
        <v>707</v>
      </c>
      <c r="G5" s="2">
        <v>55.4</v>
      </c>
      <c r="H5" s="2" t="s">
        <v>68</v>
      </c>
      <c r="I5" s="4">
        <f t="shared" si="0"/>
        <v>3.0719384001842243</v>
      </c>
      <c r="J5" s="4">
        <f t="shared" si="1"/>
        <v>8.6125033712205621</v>
      </c>
      <c r="K5" s="4">
        <f t="shared" si="2"/>
        <v>6.5610306658965731</v>
      </c>
      <c r="L5" s="2">
        <v>0</v>
      </c>
      <c r="M5" s="2">
        <v>0</v>
      </c>
      <c r="N5" s="4">
        <f t="shared" si="3"/>
        <v>55.4</v>
      </c>
      <c r="O5" s="4">
        <f t="shared" si="4"/>
        <v>0</v>
      </c>
      <c r="P5" s="4">
        <f t="shared" si="5"/>
        <v>0</v>
      </c>
      <c r="Q5" s="4">
        <f t="shared" si="6"/>
        <v>8.6125033712205621</v>
      </c>
      <c r="R5" s="4">
        <f t="shared" si="7"/>
        <v>6.5610306658965731</v>
      </c>
      <c r="S5" s="4">
        <f t="shared" si="8"/>
        <v>55.4</v>
      </c>
      <c r="T5" s="4">
        <f t="shared" si="9"/>
        <v>0</v>
      </c>
      <c r="U5" s="4">
        <f t="shared" si="10"/>
        <v>8.6125033712205621</v>
      </c>
      <c r="V5" s="4">
        <f t="shared" si="11"/>
        <v>6.5610306658965731</v>
      </c>
      <c r="W5" s="4">
        <f t="shared" si="12"/>
        <v>55.4</v>
      </c>
      <c r="X5" s="4">
        <f t="shared" si="13"/>
        <v>0</v>
      </c>
      <c r="Y5" s="4">
        <f t="shared" si="14"/>
        <v>8.6125033712205621</v>
      </c>
      <c r="Z5" s="4">
        <f t="shared" si="15"/>
        <v>6.5610306658965731</v>
      </c>
      <c r="AA5" s="4">
        <f t="shared" si="16"/>
        <v>55.4</v>
      </c>
      <c r="AB5" s="4">
        <f t="shared" si="17"/>
        <v>0</v>
      </c>
      <c r="AC5" s="4">
        <f t="shared" si="18"/>
        <v>0</v>
      </c>
      <c r="AD5" s="4">
        <f t="shared" si="19"/>
        <v>0</v>
      </c>
      <c r="AE5" s="4">
        <f t="shared" si="20"/>
        <v>0</v>
      </c>
      <c r="AF5" s="4">
        <f t="shared" si="21"/>
        <v>0</v>
      </c>
      <c r="AG5" s="4">
        <f t="shared" si="22"/>
        <v>8.6125033712205621</v>
      </c>
      <c r="AH5" s="4">
        <f t="shared" si="23"/>
        <v>0</v>
      </c>
      <c r="AI5" s="4">
        <f t="shared" si="24"/>
        <v>0</v>
      </c>
      <c r="AJ5" s="4">
        <f t="shared" si="25"/>
        <v>8.6125033712205621</v>
      </c>
      <c r="AK5" s="4">
        <f t="shared" si="26"/>
        <v>6.5610306658965731</v>
      </c>
      <c r="AL5" s="4">
        <f t="shared" si="27"/>
        <v>0</v>
      </c>
      <c r="AM5" s="4">
        <f>CER!$C$7+CER!$C$8*J5+CER!$C$9*K5+CER!$C$10*L5+CER!$C$11*M5</f>
        <v>2.9381792697303486</v>
      </c>
      <c r="AN5" s="4">
        <f t="shared" si="28"/>
        <v>18.881436992848688</v>
      </c>
      <c r="AO5" s="4">
        <f t="shared" si="29"/>
        <v>0.13375913045387566</v>
      </c>
      <c r="AP5" s="4">
        <f>Alternatives!$F$25+Alternatives!$F$26*J5+Alternatives!$F$27*K5+Alternatives!$F$28*G5+Alternatives!$F$29*O5</f>
        <v>3.165208772862079</v>
      </c>
      <c r="AQ5" s="4">
        <f t="shared" si="30"/>
        <v>-9.3270372677854763E-2</v>
      </c>
    </row>
    <row r="6" spans="1:43" x14ac:dyDescent="0.35">
      <c r="A6" s="2" t="s">
        <v>72</v>
      </c>
      <c r="B6" s="2" t="s">
        <v>73</v>
      </c>
      <c r="C6" s="2" t="s">
        <v>67</v>
      </c>
      <c r="D6" s="2">
        <v>31.587299999999999</v>
      </c>
      <c r="E6" s="2">
        <v>4500</v>
      </c>
      <c r="F6" s="2">
        <v>248</v>
      </c>
      <c r="G6" s="2">
        <v>49.6</v>
      </c>
      <c r="H6" s="2" t="s">
        <v>68</v>
      </c>
      <c r="I6" s="4">
        <f t="shared" si="0"/>
        <v>3.4527551410757478</v>
      </c>
      <c r="J6" s="4">
        <f t="shared" si="1"/>
        <v>8.4118326757584114</v>
      </c>
      <c r="K6" s="4">
        <f t="shared" si="2"/>
        <v>5.5134287461649825</v>
      </c>
      <c r="L6" s="2">
        <v>0</v>
      </c>
      <c r="M6" s="2">
        <v>0</v>
      </c>
      <c r="N6" s="4">
        <f t="shared" si="3"/>
        <v>49.6</v>
      </c>
      <c r="O6" s="4">
        <f t="shared" si="4"/>
        <v>0</v>
      </c>
      <c r="P6" s="4">
        <f t="shared" si="5"/>
        <v>0</v>
      </c>
      <c r="Q6" s="4">
        <f t="shared" si="6"/>
        <v>8.4118326757584114</v>
      </c>
      <c r="R6" s="4">
        <f t="shared" si="7"/>
        <v>5.5134287461649825</v>
      </c>
      <c r="S6" s="4">
        <f t="shared" si="8"/>
        <v>49.6</v>
      </c>
      <c r="T6" s="4">
        <f t="shared" si="9"/>
        <v>0</v>
      </c>
      <c r="U6" s="4">
        <f t="shared" si="10"/>
        <v>8.4118326757584114</v>
      </c>
      <c r="V6" s="4">
        <f t="shared" si="11"/>
        <v>5.5134287461649825</v>
      </c>
      <c r="W6" s="4">
        <f t="shared" si="12"/>
        <v>49.6</v>
      </c>
      <c r="X6" s="4">
        <f t="shared" si="13"/>
        <v>0</v>
      </c>
      <c r="Y6" s="4">
        <f t="shared" si="14"/>
        <v>8.4118326757584114</v>
      </c>
      <c r="Z6" s="4">
        <f t="shared" si="15"/>
        <v>5.5134287461649825</v>
      </c>
      <c r="AA6" s="4">
        <f t="shared" si="16"/>
        <v>49.6</v>
      </c>
      <c r="AB6" s="4">
        <f t="shared" si="17"/>
        <v>0</v>
      </c>
      <c r="AC6" s="4">
        <f t="shared" si="18"/>
        <v>0</v>
      </c>
      <c r="AD6" s="4">
        <f t="shared" si="19"/>
        <v>0</v>
      </c>
      <c r="AE6" s="4">
        <f t="shared" si="20"/>
        <v>0</v>
      </c>
      <c r="AF6" s="4">
        <f t="shared" si="21"/>
        <v>0</v>
      </c>
      <c r="AG6" s="4">
        <f t="shared" si="22"/>
        <v>8.4118326757584114</v>
      </c>
      <c r="AH6" s="4">
        <f t="shared" si="23"/>
        <v>0</v>
      </c>
      <c r="AI6" s="4">
        <f t="shared" si="24"/>
        <v>0</v>
      </c>
      <c r="AJ6" s="4">
        <f t="shared" si="25"/>
        <v>8.4118326757584114</v>
      </c>
      <c r="AK6" s="4">
        <f t="shared" si="26"/>
        <v>5.5134287461649825</v>
      </c>
      <c r="AL6" s="4">
        <f t="shared" si="27"/>
        <v>0</v>
      </c>
      <c r="AM6" s="4">
        <f>CER!$C$7+CER!$C$8*J6+CER!$C$9*K6+CER!$C$10*L6+CER!$C$11*M6</f>
        <v>3.4155308665280044</v>
      </c>
      <c r="AN6" s="4">
        <f t="shared" si="28"/>
        <v>30.433101054700078</v>
      </c>
      <c r="AO6" s="4">
        <f t="shared" si="29"/>
        <v>3.7224274547743352E-2</v>
      </c>
      <c r="AP6" s="4">
        <f>Alternatives!$F$25+Alternatives!$F$26*J6+Alternatives!$F$27*K6+Alternatives!$F$28*G6+Alternatives!$F$29*O6</f>
        <v>3.4451630998440175</v>
      </c>
      <c r="AQ6" s="4">
        <f t="shared" si="30"/>
        <v>7.5920412317302954E-3</v>
      </c>
    </row>
    <row r="7" spans="1:43" x14ac:dyDescent="0.35">
      <c r="A7" s="2" t="s">
        <v>74</v>
      </c>
      <c r="B7" s="2" t="s">
        <v>73</v>
      </c>
      <c r="C7" s="2" t="s">
        <v>67</v>
      </c>
      <c r="D7" s="2">
        <v>31.587299999999999</v>
      </c>
      <c r="E7" s="2">
        <v>4500</v>
      </c>
      <c r="F7" s="2">
        <v>248</v>
      </c>
      <c r="G7" s="2">
        <v>50.7</v>
      </c>
      <c r="H7" s="2" t="s">
        <v>68</v>
      </c>
      <c r="I7" s="4">
        <f t="shared" si="0"/>
        <v>3.4527551410757478</v>
      </c>
      <c r="J7" s="4">
        <f t="shared" si="1"/>
        <v>8.4118326757584114</v>
      </c>
      <c r="K7" s="4">
        <f t="shared" si="2"/>
        <v>5.5134287461649825</v>
      </c>
      <c r="L7" s="2">
        <v>0</v>
      </c>
      <c r="M7" s="2">
        <v>0</v>
      </c>
      <c r="N7" s="4">
        <f t="shared" si="3"/>
        <v>50.7</v>
      </c>
      <c r="O7" s="4">
        <f t="shared" si="4"/>
        <v>0</v>
      </c>
      <c r="P7" s="4">
        <f t="shared" si="5"/>
        <v>0</v>
      </c>
      <c r="Q7" s="4">
        <f t="shared" si="6"/>
        <v>8.4118326757584114</v>
      </c>
      <c r="R7" s="4">
        <f t="shared" si="7"/>
        <v>5.5134287461649825</v>
      </c>
      <c r="S7" s="4">
        <f t="shared" si="8"/>
        <v>50.7</v>
      </c>
      <c r="T7" s="4">
        <f t="shared" si="9"/>
        <v>0</v>
      </c>
      <c r="U7" s="4">
        <f t="shared" si="10"/>
        <v>8.4118326757584114</v>
      </c>
      <c r="V7" s="4">
        <f t="shared" si="11"/>
        <v>5.5134287461649825</v>
      </c>
      <c r="W7" s="4">
        <f t="shared" si="12"/>
        <v>50.7</v>
      </c>
      <c r="X7" s="4">
        <f t="shared" si="13"/>
        <v>0</v>
      </c>
      <c r="Y7" s="4">
        <f t="shared" si="14"/>
        <v>8.4118326757584114</v>
      </c>
      <c r="Z7" s="4">
        <f t="shared" si="15"/>
        <v>5.5134287461649825</v>
      </c>
      <c r="AA7" s="4">
        <f t="shared" si="16"/>
        <v>50.7</v>
      </c>
      <c r="AB7" s="4">
        <f t="shared" si="17"/>
        <v>0</v>
      </c>
      <c r="AC7" s="4">
        <f t="shared" si="18"/>
        <v>0</v>
      </c>
      <c r="AD7" s="4">
        <f t="shared" si="19"/>
        <v>0</v>
      </c>
      <c r="AE7" s="4">
        <f t="shared" si="20"/>
        <v>0</v>
      </c>
      <c r="AF7" s="4">
        <f t="shared" si="21"/>
        <v>0</v>
      </c>
      <c r="AG7" s="4">
        <f t="shared" si="22"/>
        <v>8.4118326757584114</v>
      </c>
      <c r="AH7" s="4">
        <f t="shared" si="23"/>
        <v>0</v>
      </c>
      <c r="AI7" s="4">
        <f t="shared" si="24"/>
        <v>0</v>
      </c>
      <c r="AJ7" s="4">
        <f t="shared" si="25"/>
        <v>8.4118326757584114</v>
      </c>
      <c r="AK7" s="4">
        <f t="shared" si="26"/>
        <v>5.5134287461649825</v>
      </c>
      <c r="AL7" s="4">
        <f t="shared" si="27"/>
        <v>0</v>
      </c>
      <c r="AM7" s="4">
        <f>CER!$C$7+CER!$C$8*J7+CER!$C$9*K7+CER!$C$10*L7+CER!$C$11*M7</f>
        <v>3.4155308665280044</v>
      </c>
      <c r="AN7" s="4">
        <f t="shared" si="28"/>
        <v>30.433101054700078</v>
      </c>
      <c r="AO7" s="4">
        <f t="shared" si="29"/>
        <v>3.7224274547743352E-2</v>
      </c>
      <c r="AP7" s="4">
        <f>Alternatives!$F$25+Alternatives!$F$26*J7+Alternatives!$F$27*K7+Alternatives!$F$28*G7+Alternatives!$F$29*O7</f>
        <v>3.4308550538475666</v>
      </c>
      <c r="AQ7" s="4">
        <f t="shared" si="30"/>
        <v>2.1900087228181153E-2</v>
      </c>
    </row>
    <row r="8" spans="1:43" x14ac:dyDescent="0.35">
      <c r="A8" s="2" t="s">
        <v>75</v>
      </c>
      <c r="B8" s="2" t="s">
        <v>73</v>
      </c>
      <c r="C8" s="2" t="s">
        <v>67</v>
      </c>
      <c r="D8" s="2">
        <v>33.206299999999999</v>
      </c>
      <c r="E8" s="2">
        <v>4500</v>
      </c>
      <c r="F8" s="2">
        <v>248</v>
      </c>
      <c r="G8" s="2">
        <v>50.2</v>
      </c>
      <c r="H8" s="2" t="s">
        <v>68</v>
      </c>
      <c r="I8" s="4">
        <f t="shared" si="0"/>
        <v>3.5027396169566187</v>
      </c>
      <c r="J8" s="4">
        <f t="shared" si="1"/>
        <v>8.4118326757584114</v>
      </c>
      <c r="K8" s="4">
        <f t="shared" si="2"/>
        <v>5.5134287461649825</v>
      </c>
      <c r="L8" s="2">
        <v>0</v>
      </c>
      <c r="M8" s="2">
        <v>0</v>
      </c>
      <c r="N8" s="4">
        <f t="shared" si="3"/>
        <v>50.2</v>
      </c>
      <c r="O8" s="4">
        <f t="shared" si="4"/>
        <v>0</v>
      </c>
      <c r="P8" s="4">
        <f t="shared" si="5"/>
        <v>0</v>
      </c>
      <c r="Q8" s="4">
        <f t="shared" si="6"/>
        <v>8.4118326757584114</v>
      </c>
      <c r="R8" s="4">
        <f t="shared" si="7"/>
        <v>5.5134287461649825</v>
      </c>
      <c r="S8" s="4">
        <f t="shared" si="8"/>
        <v>50.2</v>
      </c>
      <c r="T8" s="4">
        <f t="shared" si="9"/>
        <v>0</v>
      </c>
      <c r="U8" s="4">
        <f t="shared" si="10"/>
        <v>8.4118326757584114</v>
      </c>
      <c r="V8" s="4">
        <f t="shared" si="11"/>
        <v>5.5134287461649825</v>
      </c>
      <c r="W8" s="4">
        <f t="shared" si="12"/>
        <v>50.2</v>
      </c>
      <c r="X8" s="4">
        <f t="shared" si="13"/>
        <v>0</v>
      </c>
      <c r="Y8" s="4">
        <f t="shared" si="14"/>
        <v>8.4118326757584114</v>
      </c>
      <c r="Z8" s="4">
        <f t="shared" si="15"/>
        <v>5.5134287461649825</v>
      </c>
      <c r="AA8" s="4">
        <f t="shared" si="16"/>
        <v>50.2</v>
      </c>
      <c r="AB8" s="4">
        <f t="shared" si="17"/>
        <v>0</v>
      </c>
      <c r="AC8" s="4">
        <f t="shared" si="18"/>
        <v>0</v>
      </c>
      <c r="AD8" s="4">
        <f t="shared" si="19"/>
        <v>0</v>
      </c>
      <c r="AE8" s="4">
        <f t="shared" si="20"/>
        <v>0</v>
      </c>
      <c r="AF8" s="4">
        <f t="shared" si="21"/>
        <v>0</v>
      </c>
      <c r="AG8" s="4">
        <f t="shared" si="22"/>
        <v>8.4118326757584114</v>
      </c>
      <c r="AH8" s="4">
        <f t="shared" si="23"/>
        <v>0</v>
      </c>
      <c r="AI8" s="4">
        <f t="shared" si="24"/>
        <v>0</v>
      </c>
      <c r="AJ8" s="4">
        <f t="shared" si="25"/>
        <v>8.4118326757584114</v>
      </c>
      <c r="AK8" s="4">
        <f t="shared" si="26"/>
        <v>5.5134287461649825</v>
      </c>
      <c r="AL8" s="4">
        <f t="shared" si="27"/>
        <v>0</v>
      </c>
      <c r="AM8" s="4">
        <f>CER!$C$7+CER!$C$8*J8+CER!$C$9*K8+CER!$C$10*L8+CER!$C$11*M8</f>
        <v>3.4155308665280044</v>
      </c>
      <c r="AN8" s="4">
        <f t="shared" si="28"/>
        <v>30.433101054700078</v>
      </c>
      <c r="AO8" s="4">
        <f t="shared" si="29"/>
        <v>8.7208750428614312E-2</v>
      </c>
      <c r="AP8" s="4">
        <f>Alternatives!$F$25+Alternatives!$F$26*J8+Alternatives!$F$27*K8+Alternatives!$F$28*G8+Alternatives!$F$29*O8</f>
        <v>3.437358711118681</v>
      </c>
      <c r="AQ8" s="4">
        <f t="shared" si="30"/>
        <v>6.5380905837937764E-2</v>
      </c>
    </row>
    <row r="9" spans="1:43" x14ac:dyDescent="0.35">
      <c r="A9" s="2" t="s">
        <v>76</v>
      </c>
      <c r="B9" s="2" t="s">
        <v>73</v>
      </c>
      <c r="C9" s="2" t="s">
        <v>67</v>
      </c>
      <c r="D9" s="2">
        <v>25.042400000000001</v>
      </c>
      <c r="E9" s="2">
        <v>4500</v>
      </c>
      <c r="F9" s="2">
        <v>523</v>
      </c>
      <c r="G9" s="2">
        <v>49.7</v>
      </c>
      <c r="H9" s="2" t="s">
        <v>68</v>
      </c>
      <c r="I9" s="4">
        <f t="shared" si="0"/>
        <v>3.2205703882842691</v>
      </c>
      <c r="J9" s="4">
        <f t="shared" si="1"/>
        <v>8.4118326757584114</v>
      </c>
      <c r="K9" s="4">
        <f t="shared" si="2"/>
        <v>6.2595814640649232</v>
      </c>
      <c r="L9" s="2">
        <v>0</v>
      </c>
      <c r="M9" s="2">
        <v>0</v>
      </c>
      <c r="N9" s="4">
        <f t="shared" si="3"/>
        <v>49.7</v>
      </c>
      <c r="O9" s="4">
        <f t="shared" si="4"/>
        <v>0</v>
      </c>
      <c r="P9" s="4">
        <f t="shared" si="5"/>
        <v>0</v>
      </c>
      <c r="Q9" s="4">
        <f t="shared" si="6"/>
        <v>8.4118326757584114</v>
      </c>
      <c r="R9" s="4">
        <f t="shared" si="7"/>
        <v>6.2595814640649232</v>
      </c>
      <c r="S9" s="4">
        <f t="shared" si="8"/>
        <v>49.7</v>
      </c>
      <c r="T9" s="4">
        <f t="shared" si="9"/>
        <v>0</v>
      </c>
      <c r="U9" s="4">
        <f t="shared" si="10"/>
        <v>8.4118326757584114</v>
      </c>
      <c r="V9" s="4">
        <f t="shared" si="11"/>
        <v>6.2595814640649232</v>
      </c>
      <c r="W9" s="4">
        <f t="shared" si="12"/>
        <v>49.7</v>
      </c>
      <c r="X9" s="4">
        <f t="shared" si="13"/>
        <v>0</v>
      </c>
      <c r="Y9" s="4">
        <f t="shared" si="14"/>
        <v>8.4118326757584114</v>
      </c>
      <c r="Z9" s="4">
        <f t="shared" si="15"/>
        <v>6.2595814640649232</v>
      </c>
      <c r="AA9" s="4">
        <f t="shared" si="16"/>
        <v>49.7</v>
      </c>
      <c r="AB9" s="4">
        <f t="shared" si="17"/>
        <v>0</v>
      </c>
      <c r="AC9" s="4">
        <f t="shared" si="18"/>
        <v>0</v>
      </c>
      <c r="AD9" s="4">
        <f t="shared" si="19"/>
        <v>0</v>
      </c>
      <c r="AE9" s="4">
        <f t="shared" si="20"/>
        <v>0</v>
      </c>
      <c r="AF9" s="4">
        <f t="shared" si="21"/>
        <v>0</v>
      </c>
      <c r="AG9" s="4">
        <f t="shared" si="22"/>
        <v>8.4118326757584114</v>
      </c>
      <c r="AH9" s="4">
        <f t="shared" si="23"/>
        <v>0</v>
      </c>
      <c r="AI9" s="4">
        <f t="shared" si="24"/>
        <v>0</v>
      </c>
      <c r="AJ9" s="4">
        <f t="shared" si="25"/>
        <v>8.4118326757584114</v>
      </c>
      <c r="AK9" s="4">
        <f t="shared" si="26"/>
        <v>6.2595814640649232</v>
      </c>
      <c r="AL9" s="4">
        <f t="shared" si="27"/>
        <v>0</v>
      </c>
      <c r="AM9" s="4">
        <f>CER!$C$7+CER!$C$8*J9+CER!$C$9*K9+CER!$C$10*L9+CER!$C$11*M9</f>
        <v>3.1402425116737498</v>
      </c>
      <c r="AN9" s="4">
        <f t="shared" si="28"/>
        <v>23.109470495590397</v>
      </c>
      <c r="AO9" s="4">
        <f t="shared" si="29"/>
        <v>8.0327876610519322E-2</v>
      </c>
      <c r="AP9" s="4">
        <f>Alternatives!$F$25+Alternatives!$F$26*J9+Alternatives!$F$27*K9+Alternatives!$F$28*G9+Alternatives!$F$29*O9</f>
        <v>3.2453036925736742</v>
      </c>
      <c r="AQ9" s="4">
        <f t="shared" si="30"/>
        <v>-2.4733304289405122E-2</v>
      </c>
    </row>
    <row r="10" spans="1:43" x14ac:dyDescent="0.35">
      <c r="A10" s="2" t="s">
        <v>77</v>
      </c>
      <c r="B10" s="2" t="s">
        <v>73</v>
      </c>
      <c r="C10" s="2" t="s">
        <v>67</v>
      </c>
      <c r="D10" s="2">
        <v>24.999700000000001</v>
      </c>
      <c r="E10" s="2">
        <v>5000</v>
      </c>
      <c r="F10" s="2">
        <v>523</v>
      </c>
      <c r="G10" s="2">
        <v>49.7</v>
      </c>
      <c r="H10" s="2" t="s">
        <v>68</v>
      </c>
      <c r="I10" s="4">
        <f t="shared" si="0"/>
        <v>3.2188638247962</v>
      </c>
      <c r="J10" s="4">
        <f t="shared" si="1"/>
        <v>8.5171931914162382</v>
      </c>
      <c r="K10" s="4">
        <f t="shared" si="2"/>
        <v>6.2595814640649232</v>
      </c>
      <c r="L10" s="2">
        <v>0</v>
      </c>
      <c r="M10" s="2">
        <v>0</v>
      </c>
      <c r="N10" s="4">
        <f t="shared" si="3"/>
        <v>49.7</v>
      </c>
      <c r="O10" s="4">
        <f t="shared" si="4"/>
        <v>0</v>
      </c>
      <c r="P10" s="4">
        <f t="shared" si="5"/>
        <v>0</v>
      </c>
      <c r="Q10" s="4">
        <f t="shared" si="6"/>
        <v>8.5171931914162382</v>
      </c>
      <c r="R10" s="4">
        <f t="shared" si="7"/>
        <v>6.2595814640649232</v>
      </c>
      <c r="S10" s="4">
        <f t="shared" si="8"/>
        <v>49.7</v>
      </c>
      <c r="T10" s="4">
        <f t="shared" si="9"/>
        <v>0</v>
      </c>
      <c r="U10" s="4">
        <f t="shared" si="10"/>
        <v>8.5171931914162382</v>
      </c>
      <c r="V10" s="4">
        <f t="shared" si="11"/>
        <v>6.2595814640649232</v>
      </c>
      <c r="W10" s="4">
        <f t="shared" si="12"/>
        <v>49.7</v>
      </c>
      <c r="X10" s="4">
        <f t="shared" si="13"/>
        <v>0</v>
      </c>
      <c r="Y10" s="4">
        <f t="shared" si="14"/>
        <v>8.5171931914162382</v>
      </c>
      <c r="Z10" s="4">
        <f t="shared" si="15"/>
        <v>6.2595814640649232</v>
      </c>
      <c r="AA10" s="4">
        <f t="shared" si="16"/>
        <v>49.7</v>
      </c>
      <c r="AB10" s="4">
        <f t="shared" si="17"/>
        <v>0</v>
      </c>
      <c r="AC10" s="4">
        <f t="shared" si="18"/>
        <v>0</v>
      </c>
      <c r="AD10" s="4">
        <f t="shared" si="19"/>
        <v>0</v>
      </c>
      <c r="AE10" s="4">
        <f t="shared" si="20"/>
        <v>0</v>
      </c>
      <c r="AF10" s="4">
        <f t="shared" si="21"/>
        <v>0</v>
      </c>
      <c r="AG10" s="4">
        <f t="shared" si="22"/>
        <v>8.5171931914162382</v>
      </c>
      <c r="AH10" s="4">
        <f t="shared" si="23"/>
        <v>0</v>
      </c>
      <c r="AI10" s="4">
        <f t="shared" si="24"/>
        <v>0</v>
      </c>
      <c r="AJ10" s="4">
        <f t="shared" si="25"/>
        <v>8.5171931914162382</v>
      </c>
      <c r="AK10" s="4">
        <f t="shared" si="26"/>
        <v>6.2595814640649232</v>
      </c>
      <c r="AL10" s="4">
        <f t="shared" si="27"/>
        <v>0</v>
      </c>
      <c r="AM10" s="4">
        <f>CER!$C$7+CER!$C$8*J10+CER!$C$9*K10+CER!$C$10*L10+CER!$C$11*M10</f>
        <v>3.092544845387025</v>
      </c>
      <c r="AN10" s="4">
        <f t="shared" si="28"/>
        <v>22.033077466070459</v>
      </c>
      <c r="AO10" s="4">
        <f t="shared" si="29"/>
        <v>0.12631897940917503</v>
      </c>
      <c r="AP10" s="4">
        <f>Alternatives!$F$25+Alternatives!$F$26*J10+Alternatives!$F$27*K10+Alternatives!$F$28*G10+Alternatives!$F$29*O10</f>
        <v>3.2842961420634054</v>
      </c>
      <c r="AQ10" s="4">
        <f t="shared" si="30"/>
        <v>-6.5432317267205331E-2</v>
      </c>
    </row>
    <row r="11" spans="1:43" x14ac:dyDescent="0.35">
      <c r="A11" s="2" t="s">
        <v>78</v>
      </c>
      <c r="B11" s="2" t="s">
        <v>73</v>
      </c>
      <c r="C11" s="2" t="s">
        <v>67</v>
      </c>
      <c r="D11" s="2">
        <v>37.762</v>
      </c>
      <c r="E11" s="2">
        <v>3500</v>
      </c>
      <c r="F11" s="2">
        <v>255</v>
      </c>
      <c r="G11" s="2">
        <v>42.9</v>
      </c>
      <c r="H11" s="2" t="s">
        <v>68</v>
      </c>
      <c r="I11" s="4">
        <f t="shared" si="0"/>
        <v>3.6313033059763402</v>
      </c>
      <c r="J11" s="4">
        <f t="shared" si="1"/>
        <v>8.1605182474775049</v>
      </c>
      <c r="K11" s="4">
        <f t="shared" si="2"/>
        <v>5.5412635451584258</v>
      </c>
      <c r="L11" s="2">
        <v>0</v>
      </c>
      <c r="M11" s="2">
        <v>0</v>
      </c>
      <c r="N11" s="4">
        <f t="shared" si="3"/>
        <v>42.9</v>
      </c>
      <c r="O11" s="4">
        <f t="shared" si="4"/>
        <v>0</v>
      </c>
      <c r="P11" s="4">
        <f t="shared" si="5"/>
        <v>0</v>
      </c>
      <c r="Q11" s="4">
        <f t="shared" si="6"/>
        <v>8.1605182474775049</v>
      </c>
      <c r="R11" s="4">
        <f t="shared" si="7"/>
        <v>5.5412635451584258</v>
      </c>
      <c r="S11" s="4">
        <f t="shared" si="8"/>
        <v>42.9</v>
      </c>
      <c r="T11" s="4">
        <f t="shared" si="9"/>
        <v>0</v>
      </c>
      <c r="U11" s="4">
        <f t="shared" si="10"/>
        <v>8.1605182474775049</v>
      </c>
      <c r="V11" s="4">
        <f t="shared" si="11"/>
        <v>5.5412635451584258</v>
      </c>
      <c r="W11" s="4">
        <f t="shared" si="12"/>
        <v>42.9</v>
      </c>
      <c r="X11" s="4">
        <f t="shared" si="13"/>
        <v>0</v>
      </c>
      <c r="Y11" s="4">
        <f t="shared" si="14"/>
        <v>8.1605182474775049</v>
      </c>
      <c r="Z11" s="4">
        <f t="shared" si="15"/>
        <v>5.5412635451584258</v>
      </c>
      <c r="AA11" s="4">
        <f t="shared" si="16"/>
        <v>42.9</v>
      </c>
      <c r="AB11" s="4">
        <f t="shared" si="17"/>
        <v>0</v>
      </c>
      <c r="AC11" s="4">
        <f t="shared" si="18"/>
        <v>0</v>
      </c>
      <c r="AD11" s="4">
        <f t="shared" si="19"/>
        <v>0</v>
      </c>
      <c r="AE11" s="4">
        <f t="shared" si="20"/>
        <v>0</v>
      </c>
      <c r="AF11" s="4">
        <f t="shared" si="21"/>
        <v>0</v>
      </c>
      <c r="AG11" s="4">
        <f t="shared" si="22"/>
        <v>8.1605182474775049</v>
      </c>
      <c r="AH11" s="4">
        <f t="shared" si="23"/>
        <v>0</v>
      </c>
      <c r="AI11" s="4">
        <f t="shared" si="24"/>
        <v>0</v>
      </c>
      <c r="AJ11" s="4">
        <f t="shared" si="25"/>
        <v>8.1605182474775049</v>
      </c>
      <c r="AK11" s="4">
        <f t="shared" si="26"/>
        <v>5.5412635451584258</v>
      </c>
      <c r="AL11" s="4">
        <f t="shared" si="27"/>
        <v>0</v>
      </c>
      <c r="AM11" s="4">
        <f>CER!$C$7+CER!$C$8*J11+CER!$C$9*K11+CER!$C$10*L11+CER!$C$11*M11</f>
        <v>3.5190337259888005</v>
      </c>
      <c r="AN11" s="4">
        <f t="shared" si="28"/>
        <v>33.751799215577797</v>
      </c>
      <c r="AO11" s="4">
        <f t="shared" si="29"/>
        <v>0.11226957998753972</v>
      </c>
      <c r="AP11" s="4">
        <f>Alternatives!$F$25+Alternatives!$F$26*J11+Alternatives!$F$27*K11+Alternatives!$F$28*G11+Alternatives!$F$29*O11</f>
        <v>3.4318970438105145</v>
      </c>
      <c r="AQ11" s="4">
        <f t="shared" si="30"/>
        <v>0.19940626216582569</v>
      </c>
    </row>
    <row r="12" spans="1:43" x14ac:dyDescent="0.35">
      <c r="A12" s="2" t="s">
        <v>79</v>
      </c>
      <c r="B12" s="2" t="s">
        <v>73</v>
      </c>
      <c r="C12" s="2" t="s">
        <v>67</v>
      </c>
      <c r="D12" s="2">
        <v>21.7837</v>
      </c>
      <c r="E12" s="2">
        <v>5000</v>
      </c>
      <c r="F12" s="2">
        <v>473</v>
      </c>
      <c r="G12" s="2">
        <v>49.7</v>
      </c>
      <c r="H12" s="2" t="s">
        <v>68</v>
      </c>
      <c r="I12" s="4">
        <f t="shared" si="0"/>
        <v>3.0811619837011612</v>
      </c>
      <c r="J12" s="4">
        <f t="shared" si="1"/>
        <v>8.5171931914162382</v>
      </c>
      <c r="K12" s="4">
        <f t="shared" si="2"/>
        <v>6.1590953884919326</v>
      </c>
      <c r="L12" s="2">
        <v>0</v>
      </c>
      <c r="M12" s="2">
        <v>0</v>
      </c>
      <c r="N12" s="4">
        <f t="shared" si="3"/>
        <v>49.7</v>
      </c>
      <c r="O12" s="4">
        <f t="shared" si="4"/>
        <v>0</v>
      </c>
      <c r="P12" s="4">
        <f t="shared" si="5"/>
        <v>0</v>
      </c>
      <c r="Q12" s="4">
        <f t="shared" si="6"/>
        <v>8.5171931914162382</v>
      </c>
      <c r="R12" s="4">
        <f t="shared" si="7"/>
        <v>6.1590953884919326</v>
      </c>
      <c r="S12" s="4">
        <f t="shared" si="8"/>
        <v>49.7</v>
      </c>
      <c r="T12" s="4">
        <f t="shared" si="9"/>
        <v>0</v>
      </c>
      <c r="U12" s="4">
        <f t="shared" si="10"/>
        <v>8.5171931914162382</v>
      </c>
      <c r="V12" s="4">
        <f t="shared" si="11"/>
        <v>6.1590953884919326</v>
      </c>
      <c r="W12" s="4">
        <f t="shared" si="12"/>
        <v>49.7</v>
      </c>
      <c r="X12" s="4">
        <f t="shared" si="13"/>
        <v>0</v>
      </c>
      <c r="Y12" s="4">
        <f t="shared" si="14"/>
        <v>8.5171931914162382</v>
      </c>
      <c r="Z12" s="4">
        <f t="shared" si="15"/>
        <v>6.1590953884919326</v>
      </c>
      <c r="AA12" s="4">
        <f t="shared" si="16"/>
        <v>49.7</v>
      </c>
      <c r="AB12" s="4">
        <f t="shared" si="17"/>
        <v>0</v>
      </c>
      <c r="AC12" s="4">
        <f t="shared" si="18"/>
        <v>0</v>
      </c>
      <c r="AD12" s="4">
        <f t="shared" si="19"/>
        <v>0</v>
      </c>
      <c r="AE12" s="4">
        <f t="shared" si="20"/>
        <v>0</v>
      </c>
      <c r="AF12" s="4">
        <f t="shared" si="21"/>
        <v>0</v>
      </c>
      <c r="AG12" s="4">
        <f t="shared" si="22"/>
        <v>8.5171931914162382</v>
      </c>
      <c r="AH12" s="4">
        <f t="shared" si="23"/>
        <v>0</v>
      </c>
      <c r="AI12" s="4">
        <f t="shared" si="24"/>
        <v>0</v>
      </c>
      <c r="AJ12" s="4">
        <f t="shared" si="25"/>
        <v>8.5171931914162382</v>
      </c>
      <c r="AK12" s="4">
        <f t="shared" si="26"/>
        <v>6.1590953884919326</v>
      </c>
      <c r="AL12" s="4">
        <f t="shared" si="27"/>
        <v>0</v>
      </c>
      <c r="AM12" s="4">
        <f>CER!$C$7+CER!$C$8*J12+CER!$C$9*K12+CER!$C$10*L12+CER!$C$11*M12</f>
        <v>3.1296185513008838</v>
      </c>
      <c r="AN12" s="4">
        <f t="shared" si="28"/>
        <v>22.865255956606745</v>
      </c>
      <c r="AO12" s="4">
        <f t="shared" si="29"/>
        <v>-4.8456567599722611E-2</v>
      </c>
      <c r="AP12" s="4">
        <f>Alternatives!$F$25+Alternatives!$F$26*J12+Alternatives!$F$27*K12+Alternatives!$F$28*G12+Alternatives!$F$29*O12</f>
        <v>3.3110364884095098</v>
      </c>
      <c r="AQ12" s="4">
        <f t="shared" si="30"/>
        <v>-0.22987450470834858</v>
      </c>
    </row>
    <row r="13" spans="1:43" x14ac:dyDescent="0.35">
      <c r="A13" s="2" t="s">
        <v>80</v>
      </c>
      <c r="B13" s="2" t="s">
        <v>73</v>
      </c>
      <c r="C13" s="2" t="s">
        <v>67</v>
      </c>
      <c r="D13" s="2">
        <v>21.7837</v>
      </c>
      <c r="E13" s="2">
        <v>5000</v>
      </c>
      <c r="F13" s="2">
        <v>503</v>
      </c>
      <c r="G13" s="2">
        <v>49.7</v>
      </c>
      <c r="H13" s="2" t="s">
        <v>68</v>
      </c>
      <c r="I13" s="4">
        <f t="shared" si="0"/>
        <v>3.0811619837011612</v>
      </c>
      <c r="J13" s="4">
        <f t="shared" si="1"/>
        <v>8.5171931914162382</v>
      </c>
      <c r="K13" s="4">
        <f t="shared" si="2"/>
        <v>6.2205901700997392</v>
      </c>
      <c r="L13" s="2">
        <v>0</v>
      </c>
      <c r="M13" s="2">
        <v>0</v>
      </c>
      <c r="N13" s="4">
        <f t="shared" si="3"/>
        <v>49.7</v>
      </c>
      <c r="O13" s="4">
        <f t="shared" si="4"/>
        <v>0</v>
      </c>
      <c r="P13" s="4">
        <f t="shared" si="5"/>
        <v>0</v>
      </c>
      <c r="Q13" s="4">
        <f t="shared" si="6"/>
        <v>8.5171931914162382</v>
      </c>
      <c r="R13" s="4">
        <f t="shared" si="7"/>
        <v>6.2205901700997392</v>
      </c>
      <c r="S13" s="4">
        <f t="shared" si="8"/>
        <v>49.7</v>
      </c>
      <c r="T13" s="4">
        <f t="shared" si="9"/>
        <v>0</v>
      </c>
      <c r="U13" s="4">
        <f t="shared" si="10"/>
        <v>8.5171931914162382</v>
      </c>
      <c r="V13" s="4">
        <f t="shared" si="11"/>
        <v>6.2205901700997392</v>
      </c>
      <c r="W13" s="4">
        <f t="shared" si="12"/>
        <v>49.7</v>
      </c>
      <c r="X13" s="4">
        <f t="shared" si="13"/>
        <v>0</v>
      </c>
      <c r="Y13" s="4">
        <f t="shared" si="14"/>
        <v>8.5171931914162382</v>
      </c>
      <c r="Z13" s="4">
        <f t="shared" si="15"/>
        <v>6.2205901700997392</v>
      </c>
      <c r="AA13" s="4">
        <f t="shared" si="16"/>
        <v>49.7</v>
      </c>
      <c r="AB13" s="4">
        <f t="shared" si="17"/>
        <v>0</v>
      </c>
      <c r="AC13" s="4">
        <f t="shared" si="18"/>
        <v>0</v>
      </c>
      <c r="AD13" s="4">
        <f t="shared" si="19"/>
        <v>0</v>
      </c>
      <c r="AE13" s="4">
        <f t="shared" si="20"/>
        <v>0</v>
      </c>
      <c r="AF13" s="4">
        <f t="shared" si="21"/>
        <v>0</v>
      </c>
      <c r="AG13" s="4">
        <f t="shared" si="22"/>
        <v>8.5171931914162382</v>
      </c>
      <c r="AH13" s="4">
        <f t="shared" si="23"/>
        <v>0</v>
      </c>
      <c r="AI13" s="4">
        <f t="shared" si="24"/>
        <v>0</v>
      </c>
      <c r="AJ13" s="4">
        <f t="shared" si="25"/>
        <v>8.5171931914162382</v>
      </c>
      <c r="AK13" s="4">
        <f t="shared" si="26"/>
        <v>6.2205901700997392</v>
      </c>
      <c r="AL13" s="4">
        <f t="shared" si="27"/>
        <v>0</v>
      </c>
      <c r="AM13" s="4">
        <f>CER!$C$7+CER!$C$8*J13+CER!$C$9*K13+CER!$C$10*L13+CER!$C$11*M13</f>
        <v>3.1069304381910356</v>
      </c>
      <c r="AN13" s="4">
        <f t="shared" si="28"/>
        <v>22.352327139033502</v>
      </c>
      <c r="AO13" s="4">
        <f t="shared" si="29"/>
        <v>-2.5768454489874415E-2</v>
      </c>
      <c r="AP13" s="4">
        <f>Alternatives!$F$25+Alternatives!$F$26*J13+Alternatives!$F$27*K13+Alternatives!$F$28*G13+Alternatives!$F$29*O13</f>
        <v>3.2946721140492397</v>
      </c>
      <c r="AQ13" s="4">
        <f t="shared" si="30"/>
        <v>-0.21351013034807842</v>
      </c>
    </row>
    <row r="14" spans="1:43" x14ac:dyDescent="0.35">
      <c r="A14" s="2" t="s">
        <v>81</v>
      </c>
      <c r="B14" s="2" t="s">
        <v>73</v>
      </c>
      <c r="C14" s="2" t="s">
        <v>67</v>
      </c>
      <c r="D14" s="2">
        <v>21.7837</v>
      </c>
      <c r="E14" s="2">
        <v>5000</v>
      </c>
      <c r="F14" s="2">
        <v>473</v>
      </c>
      <c r="G14" s="2">
        <v>50.2</v>
      </c>
      <c r="H14" s="2" t="s">
        <v>68</v>
      </c>
      <c r="I14" s="4">
        <f t="shared" si="0"/>
        <v>3.0811619837011612</v>
      </c>
      <c r="J14" s="4">
        <f t="shared" si="1"/>
        <v>8.5171931914162382</v>
      </c>
      <c r="K14" s="4">
        <f t="shared" si="2"/>
        <v>6.1590953884919326</v>
      </c>
      <c r="L14" s="2">
        <v>0</v>
      </c>
      <c r="M14" s="2">
        <v>0</v>
      </c>
      <c r="N14" s="4">
        <f t="shared" si="3"/>
        <v>50.2</v>
      </c>
      <c r="O14" s="4">
        <f t="shared" si="4"/>
        <v>0</v>
      </c>
      <c r="P14" s="4">
        <f t="shared" si="5"/>
        <v>0</v>
      </c>
      <c r="Q14" s="4">
        <f t="shared" si="6"/>
        <v>8.5171931914162382</v>
      </c>
      <c r="R14" s="4">
        <f t="shared" si="7"/>
        <v>6.1590953884919326</v>
      </c>
      <c r="S14" s="4">
        <f t="shared" si="8"/>
        <v>50.2</v>
      </c>
      <c r="T14" s="4">
        <f t="shared" si="9"/>
        <v>0</v>
      </c>
      <c r="U14" s="4">
        <f t="shared" si="10"/>
        <v>8.5171931914162382</v>
      </c>
      <c r="V14" s="4">
        <f t="shared" si="11"/>
        <v>6.1590953884919326</v>
      </c>
      <c r="W14" s="4">
        <f t="shared" si="12"/>
        <v>50.2</v>
      </c>
      <c r="X14" s="4">
        <f t="shared" si="13"/>
        <v>0</v>
      </c>
      <c r="Y14" s="4">
        <f t="shared" si="14"/>
        <v>8.5171931914162382</v>
      </c>
      <c r="Z14" s="4">
        <f t="shared" si="15"/>
        <v>6.1590953884919326</v>
      </c>
      <c r="AA14" s="4">
        <f t="shared" si="16"/>
        <v>50.2</v>
      </c>
      <c r="AB14" s="4">
        <f t="shared" si="17"/>
        <v>0</v>
      </c>
      <c r="AC14" s="4">
        <f t="shared" si="18"/>
        <v>0</v>
      </c>
      <c r="AD14" s="4">
        <f t="shared" si="19"/>
        <v>0</v>
      </c>
      <c r="AE14" s="4">
        <f t="shared" si="20"/>
        <v>0</v>
      </c>
      <c r="AF14" s="4">
        <f t="shared" si="21"/>
        <v>0</v>
      </c>
      <c r="AG14" s="4">
        <f t="shared" si="22"/>
        <v>8.5171931914162382</v>
      </c>
      <c r="AH14" s="4">
        <f t="shared" si="23"/>
        <v>0</v>
      </c>
      <c r="AI14" s="4">
        <f t="shared" si="24"/>
        <v>0</v>
      </c>
      <c r="AJ14" s="4">
        <f t="shared" si="25"/>
        <v>8.5171931914162382</v>
      </c>
      <c r="AK14" s="4">
        <f t="shared" si="26"/>
        <v>6.1590953884919326</v>
      </c>
      <c r="AL14" s="4">
        <f t="shared" si="27"/>
        <v>0</v>
      </c>
      <c r="AM14" s="4">
        <f>CER!$C$7+CER!$C$8*J14+CER!$C$9*K14+CER!$C$10*L14+CER!$C$11*M14</f>
        <v>3.1296185513008838</v>
      </c>
      <c r="AN14" s="4">
        <f t="shared" si="28"/>
        <v>22.865255956606745</v>
      </c>
      <c r="AO14" s="4">
        <f t="shared" si="29"/>
        <v>-4.8456567599722611E-2</v>
      </c>
      <c r="AP14" s="4">
        <f>Alternatives!$F$25+Alternatives!$F$26*J14+Alternatives!$F$27*K14+Alternatives!$F$28*G14+Alternatives!$F$29*O14</f>
        <v>3.3045328311383955</v>
      </c>
      <c r="AQ14" s="4">
        <f t="shared" si="30"/>
        <v>-0.22337084743723423</v>
      </c>
    </row>
    <row r="15" spans="1:43" x14ac:dyDescent="0.35">
      <c r="A15" s="2" t="s">
        <v>82</v>
      </c>
      <c r="B15" s="2" t="s">
        <v>73</v>
      </c>
      <c r="C15" s="2" t="s">
        <v>67</v>
      </c>
      <c r="D15" s="2">
        <v>21.7837</v>
      </c>
      <c r="E15" s="2">
        <v>5000</v>
      </c>
      <c r="F15" s="2">
        <v>503</v>
      </c>
      <c r="G15" s="2">
        <v>50.2</v>
      </c>
      <c r="H15" s="2" t="s">
        <v>68</v>
      </c>
      <c r="I15" s="4">
        <f t="shared" si="0"/>
        <v>3.0811619837011612</v>
      </c>
      <c r="J15" s="4">
        <f t="shared" si="1"/>
        <v>8.5171931914162382</v>
      </c>
      <c r="K15" s="4">
        <f t="shared" si="2"/>
        <v>6.2205901700997392</v>
      </c>
      <c r="L15" s="2">
        <v>0</v>
      </c>
      <c r="M15" s="2">
        <v>0</v>
      </c>
      <c r="N15" s="4">
        <f t="shared" si="3"/>
        <v>50.2</v>
      </c>
      <c r="O15" s="4">
        <f t="shared" si="4"/>
        <v>0</v>
      </c>
      <c r="P15" s="4">
        <f t="shared" si="5"/>
        <v>0</v>
      </c>
      <c r="Q15" s="4">
        <f t="shared" si="6"/>
        <v>8.5171931914162382</v>
      </c>
      <c r="R15" s="4">
        <f t="shared" si="7"/>
        <v>6.2205901700997392</v>
      </c>
      <c r="S15" s="4">
        <f t="shared" si="8"/>
        <v>50.2</v>
      </c>
      <c r="T15" s="4">
        <f t="shared" si="9"/>
        <v>0</v>
      </c>
      <c r="U15" s="4">
        <f t="shared" si="10"/>
        <v>8.5171931914162382</v>
      </c>
      <c r="V15" s="4">
        <f t="shared" si="11"/>
        <v>6.2205901700997392</v>
      </c>
      <c r="W15" s="4">
        <f t="shared" si="12"/>
        <v>50.2</v>
      </c>
      <c r="X15" s="4">
        <f t="shared" si="13"/>
        <v>0</v>
      </c>
      <c r="Y15" s="4">
        <f t="shared" si="14"/>
        <v>8.5171931914162382</v>
      </c>
      <c r="Z15" s="4">
        <f t="shared" si="15"/>
        <v>6.2205901700997392</v>
      </c>
      <c r="AA15" s="4">
        <f t="shared" si="16"/>
        <v>50.2</v>
      </c>
      <c r="AB15" s="4">
        <f t="shared" si="17"/>
        <v>0</v>
      </c>
      <c r="AC15" s="4">
        <f t="shared" si="18"/>
        <v>0</v>
      </c>
      <c r="AD15" s="4">
        <f t="shared" si="19"/>
        <v>0</v>
      </c>
      <c r="AE15" s="4">
        <f t="shared" si="20"/>
        <v>0</v>
      </c>
      <c r="AF15" s="4">
        <f t="shared" si="21"/>
        <v>0</v>
      </c>
      <c r="AG15" s="4">
        <f t="shared" si="22"/>
        <v>8.5171931914162382</v>
      </c>
      <c r="AH15" s="4">
        <f t="shared" si="23"/>
        <v>0</v>
      </c>
      <c r="AI15" s="4">
        <f t="shared" si="24"/>
        <v>0</v>
      </c>
      <c r="AJ15" s="4">
        <f t="shared" si="25"/>
        <v>8.5171931914162382</v>
      </c>
      <c r="AK15" s="4">
        <f t="shared" si="26"/>
        <v>6.2205901700997392</v>
      </c>
      <c r="AL15" s="4">
        <f t="shared" si="27"/>
        <v>0</v>
      </c>
      <c r="AM15" s="4">
        <f>CER!$C$7+CER!$C$8*J15+CER!$C$9*K15+CER!$C$10*L15+CER!$C$11*M15</f>
        <v>3.1069304381910356</v>
      </c>
      <c r="AN15" s="4">
        <f t="shared" si="28"/>
        <v>22.352327139033502</v>
      </c>
      <c r="AO15" s="4">
        <f t="shared" si="29"/>
        <v>-2.5768454489874415E-2</v>
      </c>
      <c r="AP15" s="4">
        <f>Alternatives!$F$25+Alternatives!$F$26*J15+Alternatives!$F$27*K15+Alternatives!$F$28*G15+Alternatives!$F$29*O15</f>
        <v>3.2881684567781253</v>
      </c>
      <c r="AQ15" s="4">
        <f t="shared" si="30"/>
        <v>-0.20700647307696407</v>
      </c>
    </row>
    <row r="16" spans="1:43" x14ac:dyDescent="0.35">
      <c r="A16" s="2" t="s">
        <v>83</v>
      </c>
      <c r="B16" s="2" t="s">
        <v>73</v>
      </c>
      <c r="C16" s="2" t="s">
        <v>67</v>
      </c>
      <c r="D16" s="2">
        <v>34.5503</v>
      </c>
      <c r="E16" s="2">
        <v>4000</v>
      </c>
      <c r="F16" s="2">
        <v>382</v>
      </c>
      <c r="G16" s="2">
        <v>42.3</v>
      </c>
      <c r="H16" s="2" t="s">
        <v>68</v>
      </c>
      <c r="I16" s="4">
        <f t="shared" si="0"/>
        <v>3.5424162332439986</v>
      </c>
      <c r="J16" s="4">
        <f t="shared" si="1"/>
        <v>8.2940496401020276</v>
      </c>
      <c r="K16" s="4">
        <f t="shared" si="2"/>
        <v>5.9454206086065753</v>
      </c>
      <c r="L16" s="2">
        <v>0</v>
      </c>
      <c r="M16" s="2">
        <v>0</v>
      </c>
      <c r="N16" s="4">
        <f t="shared" si="3"/>
        <v>42.3</v>
      </c>
      <c r="O16" s="4">
        <f t="shared" si="4"/>
        <v>0</v>
      </c>
      <c r="P16" s="4">
        <f t="shared" si="5"/>
        <v>0</v>
      </c>
      <c r="Q16" s="4">
        <f t="shared" si="6"/>
        <v>8.2940496401020276</v>
      </c>
      <c r="R16" s="4">
        <f t="shared" si="7"/>
        <v>5.9454206086065753</v>
      </c>
      <c r="S16" s="4">
        <f t="shared" si="8"/>
        <v>42.3</v>
      </c>
      <c r="T16" s="4">
        <f t="shared" si="9"/>
        <v>0</v>
      </c>
      <c r="U16" s="4">
        <f t="shared" si="10"/>
        <v>8.2940496401020276</v>
      </c>
      <c r="V16" s="4">
        <f t="shared" si="11"/>
        <v>5.9454206086065753</v>
      </c>
      <c r="W16" s="4">
        <f t="shared" si="12"/>
        <v>42.3</v>
      </c>
      <c r="X16" s="4">
        <f t="shared" si="13"/>
        <v>0</v>
      </c>
      <c r="Y16" s="4">
        <f t="shared" si="14"/>
        <v>8.2940496401020276</v>
      </c>
      <c r="Z16" s="4">
        <f t="shared" si="15"/>
        <v>5.9454206086065753</v>
      </c>
      <c r="AA16" s="4">
        <f t="shared" si="16"/>
        <v>42.3</v>
      </c>
      <c r="AB16" s="4">
        <f t="shared" si="17"/>
        <v>0</v>
      </c>
      <c r="AC16" s="4">
        <f t="shared" si="18"/>
        <v>0</v>
      </c>
      <c r="AD16" s="4">
        <f t="shared" si="19"/>
        <v>0</v>
      </c>
      <c r="AE16" s="4">
        <f t="shared" si="20"/>
        <v>0</v>
      </c>
      <c r="AF16" s="4">
        <f t="shared" si="21"/>
        <v>0</v>
      </c>
      <c r="AG16" s="4">
        <f t="shared" si="22"/>
        <v>8.2940496401020276</v>
      </c>
      <c r="AH16" s="4">
        <f t="shared" si="23"/>
        <v>0</v>
      </c>
      <c r="AI16" s="4">
        <f t="shared" si="24"/>
        <v>0</v>
      </c>
      <c r="AJ16" s="4">
        <f t="shared" si="25"/>
        <v>8.2940496401020276</v>
      </c>
      <c r="AK16" s="4">
        <f t="shared" si="26"/>
        <v>5.9454206086065753</v>
      </c>
      <c r="AL16" s="4">
        <f t="shared" si="27"/>
        <v>0</v>
      </c>
      <c r="AM16" s="4">
        <f>CER!$C$7+CER!$C$8*J16+CER!$C$9*K16+CER!$C$10*L16+CER!$C$11*M16</f>
        <v>3.3094716388171102</v>
      </c>
      <c r="AN16" s="4">
        <f t="shared" si="28"/>
        <v>27.370660056433831</v>
      </c>
      <c r="AO16" s="4">
        <f t="shared" si="29"/>
        <v>0.23294459442688842</v>
      </c>
      <c r="AP16" s="4">
        <f>Alternatives!$F$25+Alternatives!$F$26*J16+Alternatives!$F$27*K16+Alternatives!$F$28*G16+Alternatives!$F$29*O16</f>
        <v>3.3815693053968898</v>
      </c>
      <c r="AQ16" s="4">
        <f t="shared" si="30"/>
        <v>0.16084692784710874</v>
      </c>
    </row>
    <row r="17" spans="1:43" x14ac:dyDescent="0.35">
      <c r="A17" s="2" t="s">
        <v>84</v>
      </c>
      <c r="B17" s="2" t="s">
        <v>73</v>
      </c>
      <c r="C17" s="2" t="s">
        <v>67</v>
      </c>
      <c r="D17" s="2">
        <v>22.003599999999999</v>
      </c>
      <c r="E17" s="2">
        <v>4500</v>
      </c>
      <c r="F17" s="2">
        <v>617</v>
      </c>
      <c r="G17" s="2">
        <v>49.5</v>
      </c>
      <c r="H17" s="2" t="s">
        <v>68</v>
      </c>
      <c r="I17" s="4">
        <f t="shared" si="0"/>
        <v>3.0912060763349829</v>
      </c>
      <c r="J17" s="4">
        <f t="shared" si="1"/>
        <v>8.4118326757584114</v>
      </c>
      <c r="K17" s="4">
        <f t="shared" si="2"/>
        <v>6.4248690239053881</v>
      </c>
      <c r="L17" s="2">
        <v>0</v>
      </c>
      <c r="M17" s="2">
        <v>0</v>
      </c>
      <c r="N17" s="4">
        <f t="shared" si="3"/>
        <v>49.5</v>
      </c>
      <c r="O17" s="4">
        <f t="shared" si="4"/>
        <v>0</v>
      </c>
      <c r="P17" s="4">
        <f t="shared" si="5"/>
        <v>0</v>
      </c>
      <c r="Q17" s="4">
        <f t="shared" si="6"/>
        <v>8.4118326757584114</v>
      </c>
      <c r="R17" s="4">
        <f t="shared" si="7"/>
        <v>6.4248690239053881</v>
      </c>
      <c r="S17" s="4">
        <f t="shared" si="8"/>
        <v>49.5</v>
      </c>
      <c r="T17" s="4">
        <f t="shared" si="9"/>
        <v>0</v>
      </c>
      <c r="U17" s="4">
        <f t="shared" si="10"/>
        <v>8.4118326757584114</v>
      </c>
      <c r="V17" s="4">
        <f t="shared" si="11"/>
        <v>6.4248690239053881</v>
      </c>
      <c r="W17" s="4">
        <f t="shared" si="12"/>
        <v>49.5</v>
      </c>
      <c r="X17" s="4">
        <f t="shared" si="13"/>
        <v>0</v>
      </c>
      <c r="Y17" s="4">
        <f t="shared" si="14"/>
        <v>8.4118326757584114</v>
      </c>
      <c r="Z17" s="4">
        <f t="shared" si="15"/>
        <v>6.4248690239053881</v>
      </c>
      <c r="AA17" s="4">
        <f t="shared" si="16"/>
        <v>49.5</v>
      </c>
      <c r="AB17" s="4">
        <f t="shared" si="17"/>
        <v>0</v>
      </c>
      <c r="AC17" s="4">
        <f t="shared" si="18"/>
        <v>0</v>
      </c>
      <c r="AD17" s="4">
        <f t="shared" si="19"/>
        <v>0</v>
      </c>
      <c r="AE17" s="4">
        <f t="shared" si="20"/>
        <v>0</v>
      </c>
      <c r="AF17" s="4">
        <f t="shared" si="21"/>
        <v>0</v>
      </c>
      <c r="AG17" s="4">
        <f t="shared" si="22"/>
        <v>8.4118326757584114</v>
      </c>
      <c r="AH17" s="4">
        <f t="shared" si="23"/>
        <v>0</v>
      </c>
      <c r="AI17" s="4">
        <f t="shared" si="24"/>
        <v>0</v>
      </c>
      <c r="AJ17" s="4">
        <f t="shared" si="25"/>
        <v>8.4118326757584114</v>
      </c>
      <c r="AK17" s="4">
        <f t="shared" si="26"/>
        <v>6.4248690239053881</v>
      </c>
      <c r="AL17" s="4">
        <f t="shared" si="27"/>
        <v>0</v>
      </c>
      <c r="AM17" s="4">
        <f>CER!$C$7+CER!$C$8*J17+CER!$C$9*K17+CER!$C$10*L17+CER!$C$11*M17</f>
        <v>3.0792607054901295</v>
      </c>
      <c r="AN17" s="4">
        <f t="shared" si="28"/>
        <v>21.742322473393724</v>
      </c>
      <c r="AO17" s="4">
        <f t="shared" si="29"/>
        <v>1.1945370844853365E-2</v>
      </c>
      <c r="AP17" s="4">
        <f>Alternatives!$F$25+Alternatives!$F$26*J17+Alternatives!$F$27*K17+Alternatives!$F$28*G17+Alternatives!$F$29*O17</f>
        <v>3.203920488237094</v>
      </c>
      <c r="AQ17" s="4">
        <f t="shared" si="30"/>
        <v>-0.11271441190211107</v>
      </c>
    </row>
    <row r="18" spans="1:43" x14ac:dyDescent="0.35">
      <c r="A18" s="2" t="s">
        <v>85</v>
      </c>
      <c r="B18" s="2" t="s">
        <v>73</v>
      </c>
      <c r="C18" s="2" t="s">
        <v>67</v>
      </c>
      <c r="D18" s="2">
        <v>22.003599999999999</v>
      </c>
      <c r="E18" s="2">
        <v>4500</v>
      </c>
      <c r="F18" s="2">
        <v>617</v>
      </c>
      <c r="G18" s="2">
        <v>49.5</v>
      </c>
      <c r="H18" s="2" t="s">
        <v>68</v>
      </c>
      <c r="I18" s="4">
        <f t="shared" si="0"/>
        <v>3.0912060763349829</v>
      </c>
      <c r="J18" s="4">
        <f t="shared" si="1"/>
        <v>8.4118326757584114</v>
      </c>
      <c r="K18" s="4">
        <f t="shared" si="2"/>
        <v>6.4248690239053881</v>
      </c>
      <c r="L18" s="2">
        <v>0</v>
      </c>
      <c r="M18" s="2">
        <v>0</v>
      </c>
      <c r="N18" s="4">
        <f t="shared" si="3"/>
        <v>49.5</v>
      </c>
      <c r="O18" s="4">
        <f t="shared" si="4"/>
        <v>0</v>
      </c>
      <c r="P18" s="4">
        <f t="shared" si="5"/>
        <v>0</v>
      </c>
      <c r="Q18" s="4">
        <f t="shared" si="6"/>
        <v>8.4118326757584114</v>
      </c>
      <c r="R18" s="4">
        <f t="shared" si="7"/>
        <v>6.4248690239053881</v>
      </c>
      <c r="S18" s="4">
        <f t="shared" si="8"/>
        <v>49.5</v>
      </c>
      <c r="T18" s="4">
        <f t="shared" si="9"/>
        <v>0</v>
      </c>
      <c r="U18" s="4">
        <f t="shared" si="10"/>
        <v>8.4118326757584114</v>
      </c>
      <c r="V18" s="4">
        <f t="shared" si="11"/>
        <v>6.4248690239053881</v>
      </c>
      <c r="W18" s="4">
        <f t="shared" si="12"/>
        <v>49.5</v>
      </c>
      <c r="X18" s="4">
        <f t="shared" si="13"/>
        <v>0</v>
      </c>
      <c r="Y18" s="4">
        <f t="shared" si="14"/>
        <v>8.4118326757584114</v>
      </c>
      <c r="Z18" s="4">
        <f t="shared" si="15"/>
        <v>6.4248690239053881</v>
      </c>
      <c r="AA18" s="4">
        <f t="shared" si="16"/>
        <v>49.5</v>
      </c>
      <c r="AB18" s="4">
        <f t="shared" si="17"/>
        <v>0</v>
      </c>
      <c r="AC18" s="4">
        <f t="shared" si="18"/>
        <v>0</v>
      </c>
      <c r="AD18" s="4">
        <f t="shared" si="19"/>
        <v>0</v>
      </c>
      <c r="AE18" s="4">
        <f t="shared" si="20"/>
        <v>0</v>
      </c>
      <c r="AF18" s="4">
        <f t="shared" si="21"/>
        <v>0</v>
      </c>
      <c r="AG18" s="4">
        <f t="shared" si="22"/>
        <v>8.4118326757584114</v>
      </c>
      <c r="AH18" s="4">
        <f t="shared" si="23"/>
        <v>0</v>
      </c>
      <c r="AI18" s="4">
        <f t="shared" si="24"/>
        <v>0</v>
      </c>
      <c r="AJ18" s="4">
        <f t="shared" si="25"/>
        <v>8.4118326757584114</v>
      </c>
      <c r="AK18" s="4">
        <f t="shared" si="26"/>
        <v>6.4248690239053881</v>
      </c>
      <c r="AL18" s="4">
        <f t="shared" si="27"/>
        <v>0</v>
      </c>
      <c r="AM18" s="4">
        <f>CER!$C$7+CER!$C$8*J18+CER!$C$9*K18+CER!$C$10*L18+CER!$C$11*M18</f>
        <v>3.0792607054901295</v>
      </c>
      <c r="AN18" s="4">
        <f t="shared" si="28"/>
        <v>21.742322473393724</v>
      </c>
      <c r="AO18" s="4">
        <f t="shared" si="29"/>
        <v>1.1945370844853365E-2</v>
      </c>
      <c r="AP18" s="4">
        <f>Alternatives!$F$25+Alternatives!$F$26*J18+Alternatives!$F$27*K18+Alternatives!$F$28*G18+Alternatives!$F$29*O18</f>
        <v>3.203920488237094</v>
      </c>
      <c r="AQ18" s="4">
        <f t="shared" si="30"/>
        <v>-0.11271441190211107</v>
      </c>
    </row>
    <row r="19" spans="1:43" x14ac:dyDescent="0.35">
      <c r="A19" s="2" t="s">
        <v>86</v>
      </c>
      <c r="B19" s="2" t="s">
        <v>73</v>
      </c>
      <c r="C19" s="2" t="s">
        <v>67</v>
      </c>
      <c r="D19" s="2">
        <v>24.999700000000001</v>
      </c>
      <c r="E19" s="2">
        <v>5000</v>
      </c>
      <c r="F19" s="2">
        <v>523</v>
      </c>
      <c r="G19" s="2">
        <v>53.7</v>
      </c>
      <c r="H19" s="2" t="s">
        <v>68</v>
      </c>
      <c r="I19" s="4">
        <f t="shared" si="0"/>
        <v>3.2188638247962</v>
      </c>
      <c r="J19" s="4">
        <f t="shared" si="1"/>
        <v>8.5171931914162382</v>
      </c>
      <c r="K19" s="4">
        <f t="shared" si="2"/>
        <v>6.2595814640649232</v>
      </c>
      <c r="L19" s="2">
        <v>0</v>
      </c>
      <c r="M19" s="2">
        <v>0</v>
      </c>
      <c r="N19" s="4">
        <f t="shared" si="3"/>
        <v>53.7</v>
      </c>
      <c r="O19" s="4">
        <f t="shared" si="4"/>
        <v>0</v>
      </c>
      <c r="P19" s="4">
        <f t="shared" si="5"/>
        <v>0</v>
      </c>
      <c r="Q19" s="4">
        <f t="shared" si="6"/>
        <v>8.5171931914162382</v>
      </c>
      <c r="R19" s="4">
        <f t="shared" si="7"/>
        <v>6.2595814640649232</v>
      </c>
      <c r="S19" s="4">
        <f t="shared" si="8"/>
        <v>53.7</v>
      </c>
      <c r="T19" s="4">
        <f t="shared" si="9"/>
        <v>0</v>
      </c>
      <c r="U19" s="4">
        <f t="shared" si="10"/>
        <v>8.5171931914162382</v>
      </c>
      <c r="V19" s="4">
        <f t="shared" si="11"/>
        <v>6.2595814640649232</v>
      </c>
      <c r="W19" s="4">
        <f t="shared" si="12"/>
        <v>53.7</v>
      </c>
      <c r="X19" s="4">
        <f t="shared" si="13"/>
        <v>0</v>
      </c>
      <c r="Y19" s="4">
        <f t="shared" si="14"/>
        <v>8.5171931914162382</v>
      </c>
      <c r="Z19" s="4">
        <f t="shared" si="15"/>
        <v>6.2595814640649232</v>
      </c>
      <c r="AA19" s="4">
        <f t="shared" si="16"/>
        <v>53.7</v>
      </c>
      <c r="AB19" s="4">
        <f t="shared" si="17"/>
        <v>0</v>
      </c>
      <c r="AC19" s="4">
        <f t="shared" si="18"/>
        <v>0</v>
      </c>
      <c r="AD19" s="4">
        <f t="shared" si="19"/>
        <v>0</v>
      </c>
      <c r="AE19" s="4">
        <f t="shared" si="20"/>
        <v>0</v>
      </c>
      <c r="AF19" s="4">
        <f t="shared" si="21"/>
        <v>0</v>
      </c>
      <c r="AG19" s="4">
        <f t="shared" si="22"/>
        <v>8.5171931914162382</v>
      </c>
      <c r="AH19" s="4">
        <f t="shared" si="23"/>
        <v>0</v>
      </c>
      <c r="AI19" s="4">
        <f t="shared" si="24"/>
        <v>0</v>
      </c>
      <c r="AJ19" s="4">
        <f t="shared" si="25"/>
        <v>8.5171931914162382</v>
      </c>
      <c r="AK19" s="4">
        <f t="shared" si="26"/>
        <v>6.2595814640649232</v>
      </c>
      <c r="AL19" s="4">
        <f t="shared" si="27"/>
        <v>0</v>
      </c>
      <c r="AM19" s="4">
        <f>CER!$C$7+CER!$C$8*J19+CER!$C$9*K19+CER!$C$10*L19+CER!$C$11*M19</f>
        <v>3.092544845387025</v>
      </c>
      <c r="AN19" s="4">
        <f t="shared" si="28"/>
        <v>22.033077466070459</v>
      </c>
      <c r="AO19" s="4">
        <f t="shared" si="29"/>
        <v>0.12631897940917503</v>
      </c>
      <c r="AP19" s="4">
        <f>Alternatives!$F$25+Alternatives!$F$26*J19+Alternatives!$F$27*K19+Alternatives!$F$28*G19+Alternatives!$F$29*O19</f>
        <v>3.2322668838944923</v>
      </c>
      <c r="AQ19" s="4">
        <f t="shared" si="30"/>
        <v>-1.3403059098292314E-2</v>
      </c>
    </row>
    <row r="20" spans="1:43" x14ac:dyDescent="0.35">
      <c r="A20" s="2" t="s">
        <v>87</v>
      </c>
      <c r="B20" s="2" t="s">
        <v>73</v>
      </c>
      <c r="C20" s="2" t="s">
        <v>67</v>
      </c>
      <c r="D20" s="2">
        <v>31.263100000000001</v>
      </c>
      <c r="E20" s="2">
        <v>4500</v>
      </c>
      <c r="F20" s="2">
        <v>335</v>
      </c>
      <c r="G20" s="2">
        <v>53.7</v>
      </c>
      <c r="H20" s="2" t="s">
        <v>68</v>
      </c>
      <c r="I20" s="4">
        <f t="shared" si="0"/>
        <v>3.442438488342638</v>
      </c>
      <c r="J20" s="4">
        <f t="shared" si="1"/>
        <v>8.4118326757584114</v>
      </c>
      <c r="K20" s="4">
        <f t="shared" si="2"/>
        <v>5.8141305318250662</v>
      </c>
      <c r="L20" s="2">
        <v>0</v>
      </c>
      <c r="M20" s="2">
        <v>0</v>
      </c>
      <c r="N20" s="4">
        <f t="shared" si="3"/>
        <v>53.7</v>
      </c>
      <c r="O20" s="4">
        <f t="shared" si="4"/>
        <v>0</v>
      </c>
      <c r="P20" s="4">
        <f t="shared" si="5"/>
        <v>0</v>
      </c>
      <c r="Q20" s="4">
        <f t="shared" si="6"/>
        <v>8.4118326757584114</v>
      </c>
      <c r="R20" s="4">
        <f t="shared" si="7"/>
        <v>5.8141305318250662</v>
      </c>
      <c r="S20" s="4">
        <f t="shared" si="8"/>
        <v>53.7</v>
      </c>
      <c r="T20" s="4">
        <f t="shared" si="9"/>
        <v>0</v>
      </c>
      <c r="U20" s="4">
        <f t="shared" si="10"/>
        <v>8.4118326757584114</v>
      </c>
      <c r="V20" s="4">
        <f t="shared" si="11"/>
        <v>5.8141305318250662</v>
      </c>
      <c r="W20" s="4">
        <f t="shared" si="12"/>
        <v>53.7</v>
      </c>
      <c r="X20" s="4">
        <f t="shared" si="13"/>
        <v>0</v>
      </c>
      <c r="Y20" s="4">
        <f t="shared" si="14"/>
        <v>8.4118326757584114</v>
      </c>
      <c r="Z20" s="4">
        <f t="shared" si="15"/>
        <v>5.8141305318250662</v>
      </c>
      <c r="AA20" s="4">
        <f t="shared" si="16"/>
        <v>53.7</v>
      </c>
      <c r="AB20" s="4">
        <f t="shared" si="17"/>
        <v>0</v>
      </c>
      <c r="AC20" s="4">
        <f t="shared" si="18"/>
        <v>0</v>
      </c>
      <c r="AD20" s="4">
        <f t="shared" si="19"/>
        <v>0</v>
      </c>
      <c r="AE20" s="4">
        <f t="shared" si="20"/>
        <v>0</v>
      </c>
      <c r="AF20" s="4">
        <f t="shared" si="21"/>
        <v>0</v>
      </c>
      <c r="AG20" s="4">
        <f t="shared" si="22"/>
        <v>8.4118326757584114</v>
      </c>
      <c r="AH20" s="4">
        <f t="shared" si="23"/>
        <v>0</v>
      </c>
      <c r="AI20" s="4">
        <f t="shared" si="24"/>
        <v>0</v>
      </c>
      <c r="AJ20" s="4">
        <f t="shared" si="25"/>
        <v>8.4118326757584114</v>
      </c>
      <c r="AK20" s="4">
        <f t="shared" si="26"/>
        <v>5.8141305318250662</v>
      </c>
      <c r="AL20" s="4">
        <f t="shared" si="27"/>
        <v>0</v>
      </c>
      <c r="AM20" s="4">
        <f>CER!$C$7+CER!$C$8*J20+CER!$C$9*K20+CER!$C$10*L20+CER!$C$11*M20</f>
        <v>3.3045888329600159</v>
      </c>
      <c r="AN20" s="4">
        <f t="shared" si="28"/>
        <v>27.237340189593031</v>
      </c>
      <c r="AO20" s="4">
        <f t="shared" si="29"/>
        <v>0.13784965538262206</v>
      </c>
      <c r="AP20" s="4">
        <f>Alternatives!$F$25+Alternatives!$F$26*J20+Alternatives!$F$27*K20+Alternatives!$F$28*G20+Alternatives!$F$29*O20</f>
        <v>3.3118133676884747</v>
      </c>
      <c r="AQ20" s="4">
        <f t="shared" si="30"/>
        <v>0.13062512065416332</v>
      </c>
    </row>
    <row r="21" spans="1:43" x14ac:dyDescent="0.35">
      <c r="A21" s="2" t="s">
        <v>88</v>
      </c>
      <c r="B21" s="2" t="s">
        <v>73</v>
      </c>
      <c r="C21" s="2" t="s">
        <v>67</v>
      </c>
      <c r="D21" s="2">
        <v>31.283100000000001</v>
      </c>
      <c r="E21" s="2">
        <v>4500</v>
      </c>
      <c r="F21" s="2">
        <v>335</v>
      </c>
      <c r="G21" s="2">
        <v>53.7</v>
      </c>
      <c r="H21" s="2" t="s">
        <v>68</v>
      </c>
      <c r="I21" s="4">
        <f t="shared" si="0"/>
        <v>3.4430780156258831</v>
      </c>
      <c r="J21" s="4">
        <f t="shared" si="1"/>
        <v>8.4118326757584114</v>
      </c>
      <c r="K21" s="4">
        <f t="shared" si="2"/>
        <v>5.8141305318250662</v>
      </c>
      <c r="L21" s="2">
        <v>0</v>
      </c>
      <c r="M21" s="2">
        <v>0</v>
      </c>
      <c r="N21" s="4">
        <f t="shared" si="3"/>
        <v>53.7</v>
      </c>
      <c r="O21" s="4">
        <f t="shared" si="4"/>
        <v>0</v>
      </c>
      <c r="P21" s="4">
        <f t="shared" si="5"/>
        <v>0</v>
      </c>
      <c r="Q21" s="4">
        <f t="shared" si="6"/>
        <v>8.4118326757584114</v>
      </c>
      <c r="R21" s="4">
        <f t="shared" si="7"/>
        <v>5.8141305318250662</v>
      </c>
      <c r="S21" s="4">
        <f t="shared" si="8"/>
        <v>53.7</v>
      </c>
      <c r="T21" s="4">
        <f t="shared" si="9"/>
        <v>0</v>
      </c>
      <c r="U21" s="4">
        <f t="shared" si="10"/>
        <v>8.4118326757584114</v>
      </c>
      <c r="V21" s="4">
        <f t="shared" si="11"/>
        <v>5.8141305318250662</v>
      </c>
      <c r="W21" s="4">
        <f t="shared" si="12"/>
        <v>53.7</v>
      </c>
      <c r="X21" s="4">
        <f t="shared" si="13"/>
        <v>0</v>
      </c>
      <c r="Y21" s="4">
        <f t="shared" si="14"/>
        <v>8.4118326757584114</v>
      </c>
      <c r="Z21" s="4">
        <f t="shared" si="15"/>
        <v>5.8141305318250662</v>
      </c>
      <c r="AA21" s="4">
        <f t="shared" si="16"/>
        <v>53.7</v>
      </c>
      <c r="AB21" s="4">
        <f t="shared" si="17"/>
        <v>0</v>
      </c>
      <c r="AC21" s="4">
        <f t="shared" si="18"/>
        <v>0</v>
      </c>
      <c r="AD21" s="4">
        <f t="shared" si="19"/>
        <v>0</v>
      </c>
      <c r="AE21" s="4">
        <f t="shared" si="20"/>
        <v>0</v>
      </c>
      <c r="AF21" s="4">
        <f t="shared" si="21"/>
        <v>0</v>
      </c>
      <c r="AG21" s="4">
        <f t="shared" si="22"/>
        <v>8.4118326757584114</v>
      </c>
      <c r="AH21" s="4">
        <f t="shared" si="23"/>
        <v>0</v>
      </c>
      <c r="AI21" s="4">
        <f t="shared" si="24"/>
        <v>0</v>
      </c>
      <c r="AJ21" s="4">
        <f t="shared" si="25"/>
        <v>8.4118326757584114</v>
      </c>
      <c r="AK21" s="4">
        <f t="shared" si="26"/>
        <v>5.8141305318250662</v>
      </c>
      <c r="AL21" s="4">
        <f t="shared" si="27"/>
        <v>0</v>
      </c>
      <c r="AM21" s="4">
        <f>CER!$C$7+CER!$C$8*J21+CER!$C$9*K21+CER!$C$10*L21+CER!$C$11*M21</f>
        <v>3.3045888329600159</v>
      </c>
      <c r="AN21" s="4">
        <f t="shared" si="28"/>
        <v>27.237340189593031</v>
      </c>
      <c r="AO21" s="4">
        <f t="shared" si="29"/>
        <v>0.13848918266586718</v>
      </c>
      <c r="AP21" s="4">
        <f>Alternatives!$F$25+Alternatives!$F$26*J21+Alternatives!$F$27*K21+Alternatives!$F$28*G21+Alternatives!$F$29*O21</f>
        <v>3.3118133676884747</v>
      </c>
      <c r="AQ21" s="4">
        <f t="shared" si="30"/>
        <v>0.13126464793740844</v>
      </c>
    </row>
    <row r="22" spans="1:43" x14ac:dyDescent="0.35">
      <c r="A22" s="2" t="s">
        <v>89</v>
      </c>
      <c r="B22" s="2" t="s">
        <v>73</v>
      </c>
      <c r="C22" s="2" t="s">
        <v>67</v>
      </c>
      <c r="D22" s="2">
        <v>31.285399999999999</v>
      </c>
      <c r="E22" s="2">
        <v>4000</v>
      </c>
      <c r="F22" s="2">
        <v>335</v>
      </c>
      <c r="G22" s="2">
        <v>49.7</v>
      </c>
      <c r="H22" s="2" t="s">
        <v>68</v>
      </c>
      <c r="I22" s="4">
        <f t="shared" si="0"/>
        <v>3.4431515350486293</v>
      </c>
      <c r="J22" s="4">
        <f t="shared" si="1"/>
        <v>8.2940496401020276</v>
      </c>
      <c r="K22" s="4">
        <f t="shared" si="2"/>
        <v>5.8141305318250662</v>
      </c>
      <c r="L22" s="2">
        <v>0</v>
      </c>
      <c r="M22" s="2">
        <v>0</v>
      </c>
      <c r="N22" s="4">
        <f t="shared" si="3"/>
        <v>49.7</v>
      </c>
      <c r="O22" s="4">
        <f t="shared" si="4"/>
        <v>0</v>
      </c>
      <c r="P22" s="4">
        <f t="shared" si="5"/>
        <v>0</v>
      </c>
      <c r="Q22" s="4">
        <f t="shared" si="6"/>
        <v>8.2940496401020276</v>
      </c>
      <c r="R22" s="4">
        <f t="shared" si="7"/>
        <v>5.8141305318250662</v>
      </c>
      <c r="S22" s="4">
        <f t="shared" si="8"/>
        <v>49.7</v>
      </c>
      <c r="T22" s="4">
        <f t="shared" si="9"/>
        <v>0</v>
      </c>
      <c r="U22" s="4">
        <f t="shared" si="10"/>
        <v>8.2940496401020276</v>
      </c>
      <c r="V22" s="4">
        <f t="shared" si="11"/>
        <v>5.8141305318250662</v>
      </c>
      <c r="W22" s="4">
        <f t="shared" si="12"/>
        <v>49.7</v>
      </c>
      <c r="X22" s="4">
        <f t="shared" si="13"/>
        <v>0</v>
      </c>
      <c r="Y22" s="4">
        <f t="shared" si="14"/>
        <v>8.2940496401020276</v>
      </c>
      <c r="Z22" s="4">
        <f t="shared" si="15"/>
        <v>5.8141305318250662</v>
      </c>
      <c r="AA22" s="4">
        <f t="shared" si="16"/>
        <v>49.7</v>
      </c>
      <c r="AB22" s="4">
        <f t="shared" si="17"/>
        <v>0</v>
      </c>
      <c r="AC22" s="4">
        <f t="shared" si="18"/>
        <v>0</v>
      </c>
      <c r="AD22" s="4">
        <f t="shared" si="19"/>
        <v>0</v>
      </c>
      <c r="AE22" s="4">
        <f t="shared" si="20"/>
        <v>0</v>
      </c>
      <c r="AF22" s="4">
        <f t="shared" si="21"/>
        <v>0</v>
      </c>
      <c r="AG22" s="4">
        <f t="shared" si="22"/>
        <v>8.2940496401020276</v>
      </c>
      <c r="AH22" s="4">
        <f t="shared" si="23"/>
        <v>0</v>
      </c>
      <c r="AI22" s="4">
        <f t="shared" si="24"/>
        <v>0</v>
      </c>
      <c r="AJ22" s="4">
        <f t="shared" si="25"/>
        <v>8.2940496401020276</v>
      </c>
      <c r="AK22" s="4">
        <f t="shared" si="26"/>
        <v>5.8141305318250662</v>
      </c>
      <c r="AL22" s="4">
        <f t="shared" si="27"/>
        <v>0</v>
      </c>
      <c r="AM22" s="4">
        <f>CER!$C$7+CER!$C$8*J22+CER!$C$9*K22+CER!$C$10*L22+CER!$C$11*M22</f>
        <v>3.3579102873388158</v>
      </c>
      <c r="AN22" s="4">
        <f t="shared" si="28"/>
        <v>28.729092558538195</v>
      </c>
      <c r="AO22" s="4">
        <f t="shared" si="29"/>
        <v>8.524124770981345E-2</v>
      </c>
      <c r="AP22" s="4">
        <f>Alternatives!$F$25+Alternatives!$F$26*J22+Alternatives!$F$27*K22+Alternatives!$F$28*G22+Alternatives!$F$29*O22</f>
        <v>3.320252775903596</v>
      </c>
      <c r="AQ22" s="4">
        <f t="shared" si="30"/>
        <v>0.12289875914503323</v>
      </c>
    </row>
    <row r="23" spans="1:43" x14ac:dyDescent="0.35">
      <c r="A23" s="2" t="s">
        <v>90</v>
      </c>
      <c r="B23" s="2" t="s">
        <v>73</v>
      </c>
      <c r="C23" s="2" t="s">
        <v>67</v>
      </c>
      <c r="D23" s="2">
        <v>31.443300000000001</v>
      </c>
      <c r="E23" s="2">
        <v>4000</v>
      </c>
      <c r="F23" s="2">
        <v>335</v>
      </c>
      <c r="G23" s="2">
        <v>49.6</v>
      </c>
      <c r="H23" s="2" t="s">
        <v>68</v>
      </c>
      <c r="I23" s="4">
        <f t="shared" si="0"/>
        <v>3.4481859238849593</v>
      </c>
      <c r="J23" s="4">
        <f t="shared" si="1"/>
        <v>8.2940496401020276</v>
      </c>
      <c r="K23" s="4">
        <f t="shared" si="2"/>
        <v>5.8141305318250662</v>
      </c>
      <c r="L23" s="2">
        <v>0</v>
      </c>
      <c r="M23" s="2">
        <v>0</v>
      </c>
      <c r="N23" s="4">
        <f t="shared" si="3"/>
        <v>49.6</v>
      </c>
      <c r="O23" s="4">
        <f t="shared" si="4"/>
        <v>0</v>
      </c>
      <c r="P23" s="4">
        <f t="shared" si="5"/>
        <v>0</v>
      </c>
      <c r="Q23" s="4">
        <f t="shared" si="6"/>
        <v>8.2940496401020276</v>
      </c>
      <c r="R23" s="4">
        <f t="shared" si="7"/>
        <v>5.8141305318250662</v>
      </c>
      <c r="S23" s="4">
        <f t="shared" si="8"/>
        <v>49.6</v>
      </c>
      <c r="T23" s="4">
        <f t="shared" si="9"/>
        <v>0</v>
      </c>
      <c r="U23" s="4">
        <f t="shared" si="10"/>
        <v>8.2940496401020276</v>
      </c>
      <c r="V23" s="4">
        <f t="shared" si="11"/>
        <v>5.8141305318250662</v>
      </c>
      <c r="W23" s="4">
        <f t="shared" si="12"/>
        <v>49.6</v>
      </c>
      <c r="X23" s="4">
        <f t="shared" si="13"/>
        <v>0</v>
      </c>
      <c r="Y23" s="4">
        <f t="shared" si="14"/>
        <v>8.2940496401020276</v>
      </c>
      <c r="Z23" s="4">
        <f t="shared" si="15"/>
        <v>5.8141305318250662</v>
      </c>
      <c r="AA23" s="4">
        <f t="shared" si="16"/>
        <v>49.6</v>
      </c>
      <c r="AB23" s="4">
        <f t="shared" si="17"/>
        <v>0</v>
      </c>
      <c r="AC23" s="4">
        <f t="shared" si="18"/>
        <v>0</v>
      </c>
      <c r="AD23" s="4">
        <f t="shared" si="19"/>
        <v>0</v>
      </c>
      <c r="AE23" s="4">
        <f t="shared" si="20"/>
        <v>0</v>
      </c>
      <c r="AF23" s="4">
        <f t="shared" si="21"/>
        <v>0</v>
      </c>
      <c r="AG23" s="4">
        <f t="shared" si="22"/>
        <v>8.2940496401020276</v>
      </c>
      <c r="AH23" s="4">
        <f t="shared" si="23"/>
        <v>0</v>
      </c>
      <c r="AI23" s="4">
        <f t="shared" si="24"/>
        <v>0</v>
      </c>
      <c r="AJ23" s="4">
        <f t="shared" si="25"/>
        <v>8.2940496401020276</v>
      </c>
      <c r="AK23" s="4">
        <f t="shared" si="26"/>
        <v>5.8141305318250662</v>
      </c>
      <c r="AL23" s="4">
        <f t="shared" si="27"/>
        <v>0</v>
      </c>
      <c r="AM23" s="4">
        <f>CER!$C$7+CER!$C$8*J23+CER!$C$9*K23+CER!$C$10*L23+CER!$C$11*M23</f>
        <v>3.3579102873388158</v>
      </c>
      <c r="AN23" s="4">
        <f t="shared" si="28"/>
        <v>28.729092558538195</v>
      </c>
      <c r="AO23" s="4">
        <f t="shared" si="29"/>
        <v>9.0275636546143456E-2</v>
      </c>
      <c r="AP23" s="4">
        <f>Alternatives!$F$25+Alternatives!$F$26*J23+Alternatives!$F$27*K23+Alternatives!$F$28*G23+Alternatives!$F$29*O23</f>
        <v>3.3215535073578186</v>
      </c>
      <c r="AQ23" s="4">
        <f t="shared" si="30"/>
        <v>0.12663241652714063</v>
      </c>
    </row>
    <row r="24" spans="1:43" x14ac:dyDescent="0.35">
      <c r="A24" s="2" t="s">
        <v>91</v>
      </c>
      <c r="B24" s="2" t="s">
        <v>73</v>
      </c>
      <c r="C24" s="2" t="s">
        <v>67</v>
      </c>
      <c r="D24" s="2">
        <v>31.263100000000001</v>
      </c>
      <c r="E24" s="2">
        <v>4500</v>
      </c>
      <c r="F24" s="2">
        <v>335</v>
      </c>
      <c r="G24" s="2">
        <v>49.7</v>
      </c>
      <c r="H24" s="2" t="s">
        <v>68</v>
      </c>
      <c r="I24" s="4">
        <f t="shared" si="0"/>
        <v>3.442438488342638</v>
      </c>
      <c r="J24" s="4">
        <f t="shared" si="1"/>
        <v>8.4118326757584114</v>
      </c>
      <c r="K24" s="4">
        <f t="shared" si="2"/>
        <v>5.8141305318250662</v>
      </c>
      <c r="L24" s="2">
        <v>0</v>
      </c>
      <c r="M24" s="2">
        <v>0</v>
      </c>
      <c r="N24" s="4">
        <f t="shared" si="3"/>
        <v>49.7</v>
      </c>
      <c r="O24" s="4">
        <f t="shared" si="4"/>
        <v>0</v>
      </c>
      <c r="P24" s="4">
        <f t="shared" si="5"/>
        <v>0</v>
      </c>
      <c r="Q24" s="4">
        <f t="shared" si="6"/>
        <v>8.4118326757584114</v>
      </c>
      <c r="R24" s="4">
        <f t="shared" si="7"/>
        <v>5.8141305318250662</v>
      </c>
      <c r="S24" s="4">
        <f t="shared" si="8"/>
        <v>49.7</v>
      </c>
      <c r="T24" s="4">
        <f t="shared" si="9"/>
        <v>0</v>
      </c>
      <c r="U24" s="4">
        <f t="shared" si="10"/>
        <v>8.4118326757584114</v>
      </c>
      <c r="V24" s="4">
        <f t="shared" si="11"/>
        <v>5.8141305318250662</v>
      </c>
      <c r="W24" s="4">
        <f t="shared" si="12"/>
        <v>49.7</v>
      </c>
      <c r="X24" s="4">
        <f t="shared" si="13"/>
        <v>0</v>
      </c>
      <c r="Y24" s="4">
        <f t="shared" si="14"/>
        <v>8.4118326757584114</v>
      </c>
      <c r="Z24" s="4">
        <f t="shared" si="15"/>
        <v>5.8141305318250662</v>
      </c>
      <c r="AA24" s="4">
        <f t="shared" si="16"/>
        <v>49.7</v>
      </c>
      <c r="AB24" s="4">
        <f t="shared" si="17"/>
        <v>0</v>
      </c>
      <c r="AC24" s="4">
        <f t="shared" si="18"/>
        <v>0</v>
      </c>
      <c r="AD24" s="4">
        <f t="shared" si="19"/>
        <v>0</v>
      </c>
      <c r="AE24" s="4">
        <f t="shared" si="20"/>
        <v>0</v>
      </c>
      <c r="AF24" s="4">
        <f t="shared" si="21"/>
        <v>0</v>
      </c>
      <c r="AG24" s="4">
        <f t="shared" si="22"/>
        <v>8.4118326757584114</v>
      </c>
      <c r="AH24" s="4">
        <f t="shared" si="23"/>
        <v>0</v>
      </c>
      <c r="AI24" s="4">
        <f t="shared" si="24"/>
        <v>0</v>
      </c>
      <c r="AJ24" s="4">
        <f t="shared" si="25"/>
        <v>8.4118326757584114</v>
      </c>
      <c r="AK24" s="4">
        <f t="shared" si="26"/>
        <v>5.8141305318250662</v>
      </c>
      <c r="AL24" s="4">
        <f t="shared" si="27"/>
        <v>0</v>
      </c>
      <c r="AM24" s="4">
        <f>CER!$C$7+CER!$C$8*J24+CER!$C$9*K24+CER!$C$10*L24+CER!$C$11*M24</f>
        <v>3.3045888329600159</v>
      </c>
      <c r="AN24" s="4">
        <f t="shared" si="28"/>
        <v>27.237340189593031</v>
      </c>
      <c r="AO24" s="4">
        <f t="shared" si="29"/>
        <v>0.13784965538262206</v>
      </c>
      <c r="AP24" s="4">
        <f>Alternatives!$F$25+Alternatives!$F$26*J24+Alternatives!$F$27*K24+Alternatives!$F$28*G24+Alternatives!$F$29*O24</f>
        <v>3.3638426258573877</v>
      </c>
      <c r="AQ24" s="4">
        <f t="shared" si="30"/>
        <v>7.8595862485250301E-2</v>
      </c>
    </row>
    <row r="25" spans="1:43" x14ac:dyDescent="0.35">
      <c r="A25" s="2" t="s">
        <v>92</v>
      </c>
      <c r="B25" s="2" t="s">
        <v>73</v>
      </c>
      <c r="C25" s="2" t="s">
        <v>67</v>
      </c>
      <c r="D25" s="2">
        <v>31.283100000000001</v>
      </c>
      <c r="E25" s="2">
        <v>4500</v>
      </c>
      <c r="F25" s="2">
        <v>335</v>
      </c>
      <c r="G25" s="2">
        <v>49.6</v>
      </c>
      <c r="H25" s="2" t="s">
        <v>68</v>
      </c>
      <c r="I25" s="4">
        <f t="shared" si="0"/>
        <v>3.4430780156258831</v>
      </c>
      <c r="J25" s="4">
        <f t="shared" si="1"/>
        <v>8.4118326757584114</v>
      </c>
      <c r="K25" s="4">
        <f t="shared" si="2"/>
        <v>5.8141305318250662</v>
      </c>
      <c r="L25" s="2">
        <v>0</v>
      </c>
      <c r="M25" s="2">
        <v>0</v>
      </c>
      <c r="N25" s="4">
        <f t="shared" si="3"/>
        <v>49.6</v>
      </c>
      <c r="O25" s="4">
        <f t="shared" si="4"/>
        <v>0</v>
      </c>
      <c r="P25" s="4">
        <f t="shared" si="5"/>
        <v>0</v>
      </c>
      <c r="Q25" s="4">
        <f t="shared" si="6"/>
        <v>8.4118326757584114</v>
      </c>
      <c r="R25" s="4">
        <f t="shared" si="7"/>
        <v>5.8141305318250662</v>
      </c>
      <c r="S25" s="4">
        <f t="shared" si="8"/>
        <v>49.6</v>
      </c>
      <c r="T25" s="4">
        <f t="shared" si="9"/>
        <v>0</v>
      </c>
      <c r="U25" s="4">
        <f t="shared" si="10"/>
        <v>8.4118326757584114</v>
      </c>
      <c r="V25" s="4">
        <f t="shared" si="11"/>
        <v>5.8141305318250662</v>
      </c>
      <c r="W25" s="4">
        <f t="shared" si="12"/>
        <v>49.6</v>
      </c>
      <c r="X25" s="4">
        <f t="shared" si="13"/>
        <v>0</v>
      </c>
      <c r="Y25" s="4">
        <f t="shared" si="14"/>
        <v>8.4118326757584114</v>
      </c>
      <c r="Z25" s="4">
        <f t="shared" si="15"/>
        <v>5.8141305318250662</v>
      </c>
      <c r="AA25" s="4">
        <f t="shared" si="16"/>
        <v>49.6</v>
      </c>
      <c r="AB25" s="4">
        <f t="shared" si="17"/>
        <v>0</v>
      </c>
      <c r="AC25" s="4">
        <f t="shared" si="18"/>
        <v>0</v>
      </c>
      <c r="AD25" s="4">
        <f t="shared" si="19"/>
        <v>0</v>
      </c>
      <c r="AE25" s="4">
        <f t="shared" si="20"/>
        <v>0</v>
      </c>
      <c r="AF25" s="4">
        <f t="shared" si="21"/>
        <v>0</v>
      </c>
      <c r="AG25" s="4">
        <f t="shared" si="22"/>
        <v>8.4118326757584114</v>
      </c>
      <c r="AH25" s="4">
        <f t="shared" si="23"/>
        <v>0</v>
      </c>
      <c r="AI25" s="4">
        <f t="shared" si="24"/>
        <v>0</v>
      </c>
      <c r="AJ25" s="4">
        <f t="shared" si="25"/>
        <v>8.4118326757584114</v>
      </c>
      <c r="AK25" s="4">
        <f t="shared" si="26"/>
        <v>5.8141305318250662</v>
      </c>
      <c r="AL25" s="4">
        <f t="shared" si="27"/>
        <v>0</v>
      </c>
      <c r="AM25" s="4">
        <f>CER!$C$7+CER!$C$8*J25+CER!$C$9*K25+CER!$C$10*L25+CER!$C$11*M25</f>
        <v>3.3045888329600159</v>
      </c>
      <c r="AN25" s="4">
        <f t="shared" si="28"/>
        <v>27.237340189593031</v>
      </c>
      <c r="AO25" s="4">
        <f t="shared" si="29"/>
        <v>0.13848918266586718</v>
      </c>
      <c r="AP25" s="4">
        <f>Alternatives!$F$25+Alternatives!$F$26*J25+Alternatives!$F$27*K25+Alternatives!$F$28*G25+Alternatives!$F$29*O25</f>
        <v>3.3651433573116103</v>
      </c>
      <c r="AQ25" s="4">
        <f t="shared" si="30"/>
        <v>7.793465831427282E-2</v>
      </c>
    </row>
    <row r="26" spans="1:43" x14ac:dyDescent="0.35">
      <c r="A26" s="2" t="s">
        <v>93</v>
      </c>
      <c r="B26" s="2" t="s">
        <v>73</v>
      </c>
      <c r="C26" s="2" t="s">
        <v>67</v>
      </c>
      <c r="D26" s="2">
        <v>22.003599999999999</v>
      </c>
      <c r="E26" s="2">
        <v>4500</v>
      </c>
      <c r="F26" s="2">
        <v>617</v>
      </c>
      <c r="G26" s="2">
        <v>53.5</v>
      </c>
      <c r="H26" s="2" t="s">
        <v>68</v>
      </c>
      <c r="I26" s="4">
        <f t="shared" si="0"/>
        <v>3.0912060763349829</v>
      </c>
      <c r="J26" s="4">
        <f t="shared" si="1"/>
        <v>8.4118326757584114</v>
      </c>
      <c r="K26" s="4">
        <f t="shared" si="2"/>
        <v>6.4248690239053881</v>
      </c>
      <c r="L26" s="2">
        <v>0</v>
      </c>
      <c r="M26" s="2">
        <v>0</v>
      </c>
      <c r="N26" s="4">
        <f t="shared" si="3"/>
        <v>53.5</v>
      </c>
      <c r="O26" s="4">
        <f t="shared" si="4"/>
        <v>0</v>
      </c>
      <c r="P26" s="4">
        <f t="shared" si="5"/>
        <v>0</v>
      </c>
      <c r="Q26" s="4">
        <f t="shared" si="6"/>
        <v>8.4118326757584114</v>
      </c>
      <c r="R26" s="4">
        <f t="shared" si="7"/>
        <v>6.4248690239053881</v>
      </c>
      <c r="S26" s="4">
        <f t="shared" si="8"/>
        <v>53.5</v>
      </c>
      <c r="T26" s="4">
        <f t="shared" si="9"/>
        <v>0</v>
      </c>
      <c r="U26" s="4">
        <f t="shared" si="10"/>
        <v>8.4118326757584114</v>
      </c>
      <c r="V26" s="4">
        <f t="shared" si="11"/>
        <v>6.4248690239053881</v>
      </c>
      <c r="W26" s="4">
        <f t="shared" si="12"/>
        <v>53.5</v>
      </c>
      <c r="X26" s="4">
        <f t="shared" si="13"/>
        <v>0</v>
      </c>
      <c r="Y26" s="4">
        <f t="shared" si="14"/>
        <v>8.4118326757584114</v>
      </c>
      <c r="Z26" s="4">
        <f t="shared" si="15"/>
        <v>6.4248690239053881</v>
      </c>
      <c r="AA26" s="4">
        <f t="shared" si="16"/>
        <v>53.5</v>
      </c>
      <c r="AB26" s="4">
        <f t="shared" si="17"/>
        <v>0</v>
      </c>
      <c r="AC26" s="4">
        <f t="shared" si="18"/>
        <v>0</v>
      </c>
      <c r="AD26" s="4">
        <f t="shared" si="19"/>
        <v>0</v>
      </c>
      <c r="AE26" s="4">
        <f t="shared" si="20"/>
        <v>0</v>
      </c>
      <c r="AF26" s="4">
        <f t="shared" si="21"/>
        <v>0</v>
      </c>
      <c r="AG26" s="4">
        <f t="shared" si="22"/>
        <v>8.4118326757584114</v>
      </c>
      <c r="AH26" s="4">
        <f t="shared" si="23"/>
        <v>0</v>
      </c>
      <c r="AI26" s="4">
        <f t="shared" si="24"/>
        <v>0</v>
      </c>
      <c r="AJ26" s="4">
        <f t="shared" si="25"/>
        <v>8.4118326757584114</v>
      </c>
      <c r="AK26" s="4">
        <f t="shared" si="26"/>
        <v>6.4248690239053881</v>
      </c>
      <c r="AL26" s="4">
        <f t="shared" si="27"/>
        <v>0</v>
      </c>
      <c r="AM26" s="4">
        <f>CER!$C$7+CER!$C$8*J26+CER!$C$9*K26+CER!$C$10*L26+CER!$C$11*M26</f>
        <v>3.0792607054901295</v>
      </c>
      <c r="AN26" s="4">
        <f t="shared" si="28"/>
        <v>21.742322473393724</v>
      </c>
      <c r="AO26" s="4">
        <f t="shared" si="29"/>
        <v>1.1945370844853365E-2</v>
      </c>
      <c r="AP26" s="4">
        <f>Alternatives!$F$25+Alternatives!$F$26*J26+Alternatives!$F$27*K26+Alternatives!$F$28*G26+Alternatives!$F$29*O26</f>
        <v>3.1518912300681809</v>
      </c>
      <c r="AQ26" s="4">
        <f t="shared" si="30"/>
        <v>-6.068515373319805E-2</v>
      </c>
    </row>
    <row r="27" spans="1:43" x14ac:dyDescent="0.35">
      <c r="A27" s="2" t="s">
        <v>94</v>
      </c>
      <c r="B27" s="2" t="s">
        <v>73</v>
      </c>
      <c r="C27" s="2" t="s">
        <v>33</v>
      </c>
      <c r="D27" s="2">
        <v>18.950199999999999</v>
      </c>
      <c r="E27" s="2">
        <v>6000</v>
      </c>
      <c r="F27" s="2">
        <v>617</v>
      </c>
      <c r="G27" s="2">
        <v>54.2</v>
      </c>
      <c r="H27" s="2" t="s">
        <v>68</v>
      </c>
      <c r="I27" s="4">
        <f t="shared" si="0"/>
        <v>2.9418144855624511</v>
      </c>
      <c r="J27" s="4">
        <f t="shared" si="1"/>
        <v>8.6995147482101913</v>
      </c>
      <c r="K27" s="4">
        <f t="shared" si="2"/>
        <v>6.4248690239053881</v>
      </c>
      <c r="L27" s="2">
        <v>1</v>
      </c>
      <c r="M27" s="2">
        <v>0</v>
      </c>
      <c r="N27" s="4">
        <f t="shared" si="3"/>
        <v>54.2</v>
      </c>
      <c r="O27" s="4">
        <f t="shared" si="4"/>
        <v>1</v>
      </c>
      <c r="P27" s="4">
        <f t="shared" si="5"/>
        <v>1</v>
      </c>
      <c r="Q27" s="4">
        <f t="shared" si="6"/>
        <v>8.6995147482101913</v>
      </c>
      <c r="R27" s="4">
        <f t="shared" si="7"/>
        <v>6.4248690239053881</v>
      </c>
      <c r="S27" s="4">
        <f t="shared" si="8"/>
        <v>54.2</v>
      </c>
      <c r="T27" s="4">
        <f t="shared" si="9"/>
        <v>1</v>
      </c>
      <c r="U27" s="4">
        <f t="shared" si="10"/>
        <v>8.6995147482101913</v>
      </c>
      <c r="V27" s="4">
        <f t="shared" si="11"/>
        <v>6.4248690239053881</v>
      </c>
      <c r="W27" s="4">
        <f t="shared" si="12"/>
        <v>54.2</v>
      </c>
      <c r="X27" s="4">
        <f t="shared" si="13"/>
        <v>1</v>
      </c>
      <c r="Y27" s="4">
        <f t="shared" si="14"/>
        <v>8.6995147482101913</v>
      </c>
      <c r="Z27" s="4">
        <f t="shared" si="15"/>
        <v>6.4248690239053881</v>
      </c>
      <c r="AA27" s="4">
        <f t="shared" si="16"/>
        <v>54.2</v>
      </c>
      <c r="AB27" s="4">
        <f t="shared" si="17"/>
        <v>1</v>
      </c>
      <c r="AC27" s="4">
        <f t="shared" si="18"/>
        <v>0</v>
      </c>
      <c r="AD27" s="4">
        <f t="shared" si="19"/>
        <v>0</v>
      </c>
      <c r="AE27" s="4">
        <f t="shared" si="20"/>
        <v>0</v>
      </c>
      <c r="AF27" s="4">
        <f t="shared" si="21"/>
        <v>0</v>
      </c>
      <c r="AG27" s="4">
        <f t="shared" si="22"/>
        <v>8.6995147482101913</v>
      </c>
      <c r="AH27" s="4">
        <f t="shared" si="23"/>
        <v>1</v>
      </c>
      <c r="AI27" s="4">
        <f t="shared" si="24"/>
        <v>0</v>
      </c>
      <c r="AJ27" s="4">
        <f t="shared" si="25"/>
        <v>8.6995147482101913</v>
      </c>
      <c r="AK27" s="4">
        <f t="shared" si="26"/>
        <v>6.4248690239053881</v>
      </c>
      <c r="AL27" s="4">
        <f t="shared" si="27"/>
        <v>0</v>
      </c>
      <c r="AM27" s="4">
        <f>CER!$C$7+CER!$C$8*J27+CER!$C$9*K27+CER!$C$10*L27+CER!$C$11*M27</f>
        <v>3.1727779777077223</v>
      </c>
      <c r="AN27" s="4">
        <f t="shared" si="28"/>
        <v>23.873712965456129</v>
      </c>
      <c r="AO27" s="4">
        <f t="shared" si="29"/>
        <v>-0.23096349214527123</v>
      </c>
      <c r="AP27" s="4">
        <f>Alternatives!$F$25+Alternatives!$F$26*J27+Alternatives!$F$27*K27+Alternatives!$F$28*G27+Alternatives!$F$29*O27</f>
        <v>4.0939931399605882</v>
      </c>
      <c r="AQ27" s="4">
        <f t="shared" si="30"/>
        <v>-1.1521786543981372</v>
      </c>
    </row>
    <row r="28" spans="1:43" x14ac:dyDescent="0.35">
      <c r="A28" s="2" t="s">
        <v>95</v>
      </c>
      <c r="B28" s="2" t="s">
        <v>73</v>
      </c>
      <c r="C28" s="2" t="s">
        <v>33</v>
      </c>
      <c r="D28" s="2">
        <v>18.950199999999999</v>
      </c>
      <c r="E28" s="2">
        <v>6000</v>
      </c>
      <c r="F28" s="2">
        <v>617</v>
      </c>
      <c r="G28" s="2">
        <v>54.2</v>
      </c>
      <c r="H28" s="2" t="s">
        <v>68</v>
      </c>
      <c r="I28" s="4">
        <f t="shared" si="0"/>
        <v>2.9418144855624511</v>
      </c>
      <c r="J28" s="4">
        <f t="shared" si="1"/>
        <v>8.6995147482101913</v>
      </c>
      <c r="K28" s="4">
        <f t="shared" si="2"/>
        <v>6.4248690239053881</v>
      </c>
      <c r="L28" s="2">
        <v>1</v>
      </c>
      <c r="M28" s="2">
        <v>0</v>
      </c>
      <c r="N28" s="4">
        <f t="shared" si="3"/>
        <v>54.2</v>
      </c>
      <c r="O28" s="4">
        <f t="shared" si="4"/>
        <v>1</v>
      </c>
      <c r="P28" s="4">
        <f t="shared" si="5"/>
        <v>1</v>
      </c>
      <c r="Q28" s="4">
        <f t="shared" si="6"/>
        <v>8.6995147482101913</v>
      </c>
      <c r="R28" s="4">
        <f t="shared" si="7"/>
        <v>6.4248690239053881</v>
      </c>
      <c r="S28" s="4">
        <f t="shared" si="8"/>
        <v>54.2</v>
      </c>
      <c r="T28" s="4">
        <f t="shared" si="9"/>
        <v>1</v>
      </c>
      <c r="U28" s="4">
        <f t="shared" si="10"/>
        <v>8.6995147482101913</v>
      </c>
      <c r="V28" s="4">
        <f t="shared" si="11"/>
        <v>6.4248690239053881</v>
      </c>
      <c r="W28" s="4">
        <f t="shared" si="12"/>
        <v>54.2</v>
      </c>
      <c r="X28" s="4">
        <f t="shared" si="13"/>
        <v>1</v>
      </c>
      <c r="Y28" s="4">
        <f t="shared" si="14"/>
        <v>8.6995147482101913</v>
      </c>
      <c r="Z28" s="4">
        <f t="shared" si="15"/>
        <v>6.4248690239053881</v>
      </c>
      <c r="AA28" s="4">
        <f t="shared" si="16"/>
        <v>54.2</v>
      </c>
      <c r="AB28" s="4">
        <f t="shared" si="17"/>
        <v>1</v>
      </c>
      <c r="AC28" s="4">
        <f t="shared" si="18"/>
        <v>0</v>
      </c>
      <c r="AD28" s="4">
        <f t="shared" si="19"/>
        <v>0</v>
      </c>
      <c r="AE28" s="4">
        <f t="shared" si="20"/>
        <v>0</v>
      </c>
      <c r="AF28" s="4">
        <f t="shared" si="21"/>
        <v>0</v>
      </c>
      <c r="AG28" s="4">
        <f t="shared" si="22"/>
        <v>8.6995147482101913</v>
      </c>
      <c r="AH28" s="4">
        <f t="shared" si="23"/>
        <v>1</v>
      </c>
      <c r="AI28" s="4">
        <f t="shared" si="24"/>
        <v>0</v>
      </c>
      <c r="AJ28" s="4">
        <f t="shared" si="25"/>
        <v>8.6995147482101913</v>
      </c>
      <c r="AK28" s="4">
        <f t="shared" si="26"/>
        <v>6.4248690239053881</v>
      </c>
      <c r="AL28" s="4">
        <f t="shared" si="27"/>
        <v>0</v>
      </c>
      <c r="AM28" s="4">
        <f>CER!$C$7+CER!$C$8*J28+CER!$C$9*K28+CER!$C$10*L28+CER!$C$11*M28</f>
        <v>3.1727779777077223</v>
      </c>
      <c r="AN28" s="4">
        <f t="shared" si="28"/>
        <v>23.873712965456129</v>
      </c>
      <c r="AO28" s="4">
        <f t="shared" si="29"/>
        <v>-0.23096349214527123</v>
      </c>
      <c r="AP28" s="4">
        <f>Alternatives!$F$25+Alternatives!$F$26*J28+Alternatives!$F$27*K28+Alternatives!$F$28*G28+Alternatives!$F$29*O28</f>
        <v>4.0939931399605882</v>
      </c>
      <c r="AQ28" s="4">
        <f t="shared" si="30"/>
        <v>-1.1521786543981372</v>
      </c>
    </row>
    <row r="29" spans="1:43" x14ac:dyDescent="0.35">
      <c r="A29" s="2" t="s">
        <v>96</v>
      </c>
      <c r="B29" s="2" t="s">
        <v>73</v>
      </c>
      <c r="C29" s="2" t="s">
        <v>67</v>
      </c>
      <c r="D29" s="2">
        <v>36.553400000000003</v>
      </c>
      <c r="E29" s="2">
        <v>4000</v>
      </c>
      <c r="F29" s="2">
        <v>302</v>
      </c>
      <c r="G29" s="2">
        <v>44.8</v>
      </c>
      <c r="H29" s="2" t="s">
        <v>68</v>
      </c>
      <c r="I29" s="4">
        <f t="shared" si="0"/>
        <v>3.5987742051252067</v>
      </c>
      <c r="J29" s="4">
        <f t="shared" si="1"/>
        <v>8.2940496401020276</v>
      </c>
      <c r="K29" s="4">
        <f t="shared" si="2"/>
        <v>5.7104270173748697</v>
      </c>
      <c r="L29" s="2">
        <v>0</v>
      </c>
      <c r="M29" s="2">
        <v>0</v>
      </c>
      <c r="N29" s="4">
        <f t="shared" si="3"/>
        <v>44.8</v>
      </c>
      <c r="O29" s="4">
        <f t="shared" si="4"/>
        <v>0</v>
      </c>
      <c r="P29" s="4">
        <f t="shared" si="5"/>
        <v>0</v>
      </c>
      <c r="Q29" s="4">
        <f t="shared" si="6"/>
        <v>8.2940496401020276</v>
      </c>
      <c r="R29" s="4">
        <f t="shared" si="7"/>
        <v>5.7104270173748697</v>
      </c>
      <c r="S29" s="4">
        <f t="shared" si="8"/>
        <v>44.8</v>
      </c>
      <c r="T29" s="4">
        <f t="shared" si="9"/>
        <v>0</v>
      </c>
      <c r="U29" s="4">
        <f t="shared" si="10"/>
        <v>8.2940496401020276</v>
      </c>
      <c r="V29" s="4">
        <f t="shared" si="11"/>
        <v>5.7104270173748697</v>
      </c>
      <c r="W29" s="4">
        <f t="shared" si="12"/>
        <v>44.8</v>
      </c>
      <c r="X29" s="4">
        <f t="shared" si="13"/>
        <v>0</v>
      </c>
      <c r="Y29" s="4">
        <f t="shared" si="14"/>
        <v>8.2940496401020276</v>
      </c>
      <c r="Z29" s="4">
        <f t="shared" si="15"/>
        <v>5.7104270173748697</v>
      </c>
      <c r="AA29" s="4">
        <f t="shared" si="16"/>
        <v>44.8</v>
      </c>
      <c r="AB29" s="4">
        <f t="shared" si="17"/>
        <v>0</v>
      </c>
      <c r="AC29" s="4">
        <f t="shared" si="18"/>
        <v>0</v>
      </c>
      <c r="AD29" s="4">
        <f t="shared" si="19"/>
        <v>0</v>
      </c>
      <c r="AE29" s="4">
        <f t="shared" si="20"/>
        <v>0</v>
      </c>
      <c r="AF29" s="4">
        <f t="shared" si="21"/>
        <v>0</v>
      </c>
      <c r="AG29" s="4">
        <f t="shared" si="22"/>
        <v>8.2940496401020276</v>
      </c>
      <c r="AH29" s="4">
        <f t="shared" si="23"/>
        <v>0</v>
      </c>
      <c r="AI29" s="4">
        <f t="shared" si="24"/>
        <v>0</v>
      </c>
      <c r="AJ29" s="4">
        <f t="shared" si="25"/>
        <v>8.2940496401020276</v>
      </c>
      <c r="AK29" s="4">
        <f t="shared" si="26"/>
        <v>5.7104270173748697</v>
      </c>
      <c r="AL29" s="4">
        <f t="shared" si="27"/>
        <v>0</v>
      </c>
      <c r="AM29" s="4">
        <f>CER!$C$7+CER!$C$8*J29+CER!$C$9*K29+CER!$C$10*L29+CER!$C$11*M29</f>
        <v>3.3961710471011721</v>
      </c>
      <c r="AN29" s="4">
        <f t="shared" si="28"/>
        <v>29.849588289626759</v>
      </c>
      <c r="AO29" s="4">
        <f t="shared" si="29"/>
        <v>0.20260315802403461</v>
      </c>
      <c r="AP29" s="4">
        <f>Alternatives!$F$25+Alternatives!$F$26*J29+Alternatives!$F$27*K29+Alternatives!$F$28*G29+Alternatives!$F$29*O29</f>
        <v>3.411585156062984</v>
      </c>
      <c r="AQ29" s="4">
        <f t="shared" si="30"/>
        <v>0.18718904906222278</v>
      </c>
    </row>
    <row r="30" spans="1:43" x14ac:dyDescent="0.35">
      <c r="A30" s="2" t="s">
        <v>97</v>
      </c>
      <c r="B30" s="2" t="s">
        <v>73</v>
      </c>
      <c r="C30" s="2" t="s">
        <v>67</v>
      </c>
      <c r="D30" s="2">
        <v>35.658299999999997</v>
      </c>
      <c r="E30" s="2">
        <v>4000</v>
      </c>
      <c r="F30" s="2">
        <v>228</v>
      </c>
      <c r="G30" s="2">
        <v>44.9</v>
      </c>
      <c r="H30" s="2" t="s">
        <v>68</v>
      </c>
      <c r="I30" s="4">
        <f t="shared" si="0"/>
        <v>3.573981938836484</v>
      </c>
      <c r="J30" s="4">
        <f t="shared" si="1"/>
        <v>8.2940496401020276</v>
      </c>
      <c r="K30" s="4">
        <f t="shared" si="2"/>
        <v>5.4293456289544411</v>
      </c>
      <c r="L30" s="2">
        <v>0</v>
      </c>
      <c r="M30" s="2">
        <v>0</v>
      </c>
      <c r="N30" s="4">
        <f t="shared" si="3"/>
        <v>44.9</v>
      </c>
      <c r="O30" s="4">
        <f t="shared" si="4"/>
        <v>0</v>
      </c>
      <c r="P30" s="4">
        <f t="shared" si="5"/>
        <v>0</v>
      </c>
      <c r="Q30" s="4">
        <f t="shared" si="6"/>
        <v>8.2940496401020276</v>
      </c>
      <c r="R30" s="4">
        <f t="shared" si="7"/>
        <v>5.4293456289544411</v>
      </c>
      <c r="S30" s="4">
        <f t="shared" si="8"/>
        <v>44.9</v>
      </c>
      <c r="T30" s="4">
        <f t="shared" si="9"/>
        <v>0</v>
      </c>
      <c r="U30" s="4">
        <f t="shared" si="10"/>
        <v>8.2940496401020276</v>
      </c>
      <c r="V30" s="4">
        <f t="shared" si="11"/>
        <v>5.4293456289544411</v>
      </c>
      <c r="W30" s="4">
        <f t="shared" si="12"/>
        <v>44.9</v>
      </c>
      <c r="X30" s="4">
        <f t="shared" si="13"/>
        <v>0</v>
      </c>
      <c r="Y30" s="4">
        <f t="shared" si="14"/>
        <v>8.2940496401020276</v>
      </c>
      <c r="Z30" s="4">
        <f t="shared" si="15"/>
        <v>5.4293456289544411</v>
      </c>
      <c r="AA30" s="4">
        <f t="shared" si="16"/>
        <v>44.9</v>
      </c>
      <c r="AB30" s="4">
        <f t="shared" si="17"/>
        <v>0</v>
      </c>
      <c r="AC30" s="4">
        <f t="shared" si="18"/>
        <v>0</v>
      </c>
      <c r="AD30" s="4">
        <f t="shared" si="19"/>
        <v>0</v>
      </c>
      <c r="AE30" s="4">
        <f t="shared" si="20"/>
        <v>0</v>
      </c>
      <c r="AF30" s="4">
        <f t="shared" si="21"/>
        <v>0</v>
      </c>
      <c r="AG30" s="4">
        <f t="shared" si="22"/>
        <v>8.2940496401020276</v>
      </c>
      <c r="AH30" s="4">
        <f t="shared" si="23"/>
        <v>0</v>
      </c>
      <c r="AI30" s="4">
        <f t="shared" si="24"/>
        <v>0</v>
      </c>
      <c r="AJ30" s="4">
        <f t="shared" si="25"/>
        <v>8.2940496401020276</v>
      </c>
      <c r="AK30" s="4">
        <f t="shared" si="26"/>
        <v>5.4293456289544411</v>
      </c>
      <c r="AL30" s="4">
        <f t="shared" si="27"/>
        <v>0</v>
      </c>
      <c r="AM30" s="4">
        <f>CER!$C$7+CER!$C$8*J30+CER!$C$9*K30+CER!$C$10*L30+CER!$C$11*M30</f>
        <v>3.4998742584440086</v>
      </c>
      <c r="AN30" s="4">
        <f t="shared" si="28"/>
        <v>33.111288232017891</v>
      </c>
      <c r="AO30" s="4">
        <f t="shared" si="29"/>
        <v>7.4107680392475395E-2</v>
      </c>
      <c r="AP30" s="4">
        <f>Alternatives!$F$25+Alternatives!$F$26*J30+Alternatives!$F$27*K30+Alternatives!$F$28*G30+Alternatives!$F$29*O30</f>
        <v>3.4850829838613477</v>
      </c>
      <c r="AQ30" s="4">
        <f t="shared" si="30"/>
        <v>8.8898954975136224E-2</v>
      </c>
    </row>
    <row r="31" spans="1:43" x14ac:dyDescent="0.35">
      <c r="A31" s="2" t="s">
        <v>98</v>
      </c>
      <c r="B31" s="2" t="s">
        <v>73</v>
      </c>
      <c r="C31" s="2" t="s">
        <v>67</v>
      </c>
      <c r="D31" s="2">
        <v>37.527799999999999</v>
      </c>
      <c r="E31" s="2">
        <v>3500</v>
      </c>
      <c r="F31" s="2">
        <v>228</v>
      </c>
      <c r="G31" s="2">
        <v>44.9</v>
      </c>
      <c r="H31" s="2" t="s">
        <v>68</v>
      </c>
      <c r="I31" s="4">
        <f t="shared" si="0"/>
        <v>3.6250819916578734</v>
      </c>
      <c r="J31" s="4">
        <f t="shared" si="1"/>
        <v>8.1605182474775049</v>
      </c>
      <c r="K31" s="4">
        <f t="shared" si="2"/>
        <v>5.4293456289544411</v>
      </c>
      <c r="L31" s="2">
        <v>0</v>
      </c>
      <c r="M31" s="2">
        <v>0</v>
      </c>
      <c r="N31" s="4">
        <f t="shared" si="3"/>
        <v>44.9</v>
      </c>
      <c r="O31" s="4">
        <f t="shared" si="4"/>
        <v>0</v>
      </c>
      <c r="P31" s="4">
        <f t="shared" si="5"/>
        <v>0</v>
      </c>
      <c r="Q31" s="4">
        <f t="shared" si="6"/>
        <v>8.1605182474775049</v>
      </c>
      <c r="R31" s="4">
        <f t="shared" si="7"/>
        <v>5.4293456289544411</v>
      </c>
      <c r="S31" s="4">
        <f t="shared" si="8"/>
        <v>44.9</v>
      </c>
      <c r="T31" s="4">
        <f t="shared" si="9"/>
        <v>0</v>
      </c>
      <c r="U31" s="4">
        <f t="shared" si="10"/>
        <v>8.1605182474775049</v>
      </c>
      <c r="V31" s="4">
        <f t="shared" si="11"/>
        <v>5.4293456289544411</v>
      </c>
      <c r="W31" s="4">
        <f t="shared" si="12"/>
        <v>44.9</v>
      </c>
      <c r="X31" s="4">
        <f t="shared" si="13"/>
        <v>0</v>
      </c>
      <c r="Y31" s="4">
        <f t="shared" si="14"/>
        <v>8.1605182474775049</v>
      </c>
      <c r="Z31" s="4">
        <f t="shared" si="15"/>
        <v>5.4293456289544411</v>
      </c>
      <c r="AA31" s="4">
        <f t="shared" si="16"/>
        <v>44.9</v>
      </c>
      <c r="AB31" s="4">
        <f t="shared" si="17"/>
        <v>0</v>
      </c>
      <c r="AC31" s="4">
        <f t="shared" si="18"/>
        <v>0</v>
      </c>
      <c r="AD31" s="4">
        <f t="shared" si="19"/>
        <v>0</v>
      </c>
      <c r="AE31" s="4">
        <f t="shared" si="20"/>
        <v>0</v>
      </c>
      <c r="AF31" s="4">
        <f t="shared" si="21"/>
        <v>0</v>
      </c>
      <c r="AG31" s="4">
        <f t="shared" si="22"/>
        <v>8.1605182474775049</v>
      </c>
      <c r="AH31" s="4">
        <f t="shared" si="23"/>
        <v>0</v>
      </c>
      <c r="AI31" s="4">
        <f t="shared" si="24"/>
        <v>0</v>
      </c>
      <c r="AJ31" s="4">
        <f t="shared" si="25"/>
        <v>8.1605182474775049</v>
      </c>
      <c r="AK31" s="4">
        <f t="shared" si="26"/>
        <v>5.4293456289544411</v>
      </c>
      <c r="AL31" s="4">
        <f t="shared" si="27"/>
        <v>0</v>
      </c>
      <c r="AM31" s="4">
        <f>CER!$C$7+CER!$C$8*J31+CER!$C$9*K31+CER!$C$10*L31+CER!$C$11*M31</f>
        <v>3.5603251376413985</v>
      </c>
      <c r="AN31" s="4">
        <f t="shared" si="28"/>
        <v>35.17463188292151</v>
      </c>
      <c r="AO31" s="4">
        <f t="shared" si="29"/>
        <v>6.4756854016474907E-2</v>
      </c>
      <c r="AP31" s="4">
        <f>Alternatives!$F$25+Alternatives!$F$26*J31+Alternatives!$F$27*K31+Alternatives!$F$28*G31+Alternatives!$F$29*O31</f>
        <v>3.435664887815626</v>
      </c>
      <c r="AQ31" s="4">
        <f t="shared" si="30"/>
        <v>0.18941710384224741</v>
      </c>
    </row>
    <row r="32" spans="1:43" x14ac:dyDescent="0.35">
      <c r="A32" s="2" t="s">
        <v>99</v>
      </c>
      <c r="B32" s="2" t="s">
        <v>73</v>
      </c>
      <c r="C32" s="2" t="s">
        <v>33</v>
      </c>
      <c r="D32" s="2">
        <v>33.671799999999998</v>
      </c>
      <c r="E32" s="2">
        <v>4000</v>
      </c>
      <c r="F32" s="2">
        <v>382</v>
      </c>
      <c r="G32" s="2">
        <v>49.2</v>
      </c>
      <c r="H32" s="2" t="s">
        <v>68</v>
      </c>
      <c r="I32" s="4">
        <f t="shared" si="0"/>
        <v>3.5166606917975054</v>
      </c>
      <c r="J32" s="4">
        <f t="shared" si="1"/>
        <v>8.2940496401020276</v>
      </c>
      <c r="K32" s="4">
        <f t="shared" si="2"/>
        <v>5.9454206086065753</v>
      </c>
      <c r="L32" s="2">
        <v>1</v>
      </c>
      <c r="M32" s="2">
        <v>0</v>
      </c>
      <c r="N32" s="4">
        <f t="shared" si="3"/>
        <v>49.2</v>
      </c>
      <c r="O32" s="4">
        <f t="shared" si="4"/>
        <v>1</v>
      </c>
      <c r="P32" s="4">
        <f t="shared" si="5"/>
        <v>1</v>
      </c>
      <c r="Q32" s="4">
        <f t="shared" si="6"/>
        <v>8.2940496401020276</v>
      </c>
      <c r="R32" s="4">
        <f t="shared" si="7"/>
        <v>5.9454206086065753</v>
      </c>
      <c r="S32" s="4">
        <f t="shared" si="8"/>
        <v>49.2</v>
      </c>
      <c r="T32" s="4">
        <f t="shared" si="9"/>
        <v>1</v>
      </c>
      <c r="U32" s="4">
        <f t="shared" si="10"/>
        <v>8.2940496401020276</v>
      </c>
      <c r="V32" s="4">
        <f t="shared" si="11"/>
        <v>5.9454206086065753</v>
      </c>
      <c r="W32" s="4">
        <f t="shared" si="12"/>
        <v>49.2</v>
      </c>
      <c r="X32" s="4">
        <f t="shared" si="13"/>
        <v>1</v>
      </c>
      <c r="Y32" s="4">
        <f t="shared" si="14"/>
        <v>8.2940496401020276</v>
      </c>
      <c r="Z32" s="4">
        <f t="shared" si="15"/>
        <v>5.9454206086065753</v>
      </c>
      <c r="AA32" s="4">
        <f t="shared" si="16"/>
        <v>49.2</v>
      </c>
      <c r="AB32" s="4">
        <f t="shared" si="17"/>
        <v>1</v>
      </c>
      <c r="AC32" s="4">
        <f t="shared" si="18"/>
        <v>0</v>
      </c>
      <c r="AD32" s="4">
        <f t="shared" si="19"/>
        <v>0</v>
      </c>
      <c r="AE32" s="4">
        <f t="shared" si="20"/>
        <v>0</v>
      </c>
      <c r="AF32" s="4">
        <f t="shared" si="21"/>
        <v>0</v>
      </c>
      <c r="AG32" s="4">
        <f t="shared" si="22"/>
        <v>8.2940496401020276</v>
      </c>
      <c r="AH32" s="4">
        <f t="shared" si="23"/>
        <v>1</v>
      </c>
      <c r="AI32" s="4">
        <f t="shared" si="24"/>
        <v>0</v>
      </c>
      <c r="AJ32" s="4">
        <f t="shared" si="25"/>
        <v>8.2940496401020276</v>
      </c>
      <c r="AK32" s="4">
        <f t="shared" si="26"/>
        <v>5.9454206086065753</v>
      </c>
      <c r="AL32" s="4">
        <f t="shared" si="27"/>
        <v>0</v>
      </c>
      <c r="AM32" s="4">
        <f>CER!$C$7+CER!$C$8*J32+CER!$C$9*K32+CER!$C$10*L32+CER!$C$11*M32</f>
        <v>3.5332252087863361</v>
      </c>
      <c r="AN32" s="4">
        <f t="shared" si="28"/>
        <v>34.234202204158528</v>
      </c>
      <c r="AO32" s="4">
        <f t="shared" si="29"/>
        <v>-1.6564516988830658E-2</v>
      </c>
      <c r="AP32" s="4">
        <f>Alternatives!$F$25+Alternatives!$F$26*J32+Alternatives!$F$27*K32+Alternatives!$F$28*G32+Alternatives!$F$29*O32</f>
        <v>4.1365587639640111</v>
      </c>
      <c r="AQ32" s="4">
        <f t="shared" si="30"/>
        <v>-0.61989807216650572</v>
      </c>
    </row>
    <row r="33" spans="1:43" x14ac:dyDescent="0.35">
      <c r="A33" s="2" t="s">
        <v>100</v>
      </c>
      <c r="B33" s="2" t="s">
        <v>73</v>
      </c>
      <c r="C33" s="2" t="s">
        <v>33</v>
      </c>
      <c r="D33" s="2">
        <v>34.802300000000002</v>
      </c>
      <c r="E33" s="2">
        <v>4500</v>
      </c>
      <c r="F33" s="2">
        <v>382</v>
      </c>
      <c r="G33" s="2">
        <v>49.2</v>
      </c>
      <c r="H33" s="2" t="s">
        <v>68</v>
      </c>
      <c r="I33" s="4">
        <f t="shared" si="0"/>
        <v>3.5496834765504746</v>
      </c>
      <c r="J33" s="4">
        <f t="shared" si="1"/>
        <v>8.4118326757584114</v>
      </c>
      <c r="K33" s="4">
        <f t="shared" si="2"/>
        <v>5.9454206086065753</v>
      </c>
      <c r="L33" s="2">
        <v>1</v>
      </c>
      <c r="M33" s="2">
        <v>0</v>
      </c>
      <c r="N33" s="4">
        <f t="shared" si="3"/>
        <v>49.2</v>
      </c>
      <c r="O33" s="4">
        <f t="shared" si="4"/>
        <v>1</v>
      </c>
      <c r="P33" s="4">
        <f t="shared" si="5"/>
        <v>1</v>
      </c>
      <c r="Q33" s="4">
        <f t="shared" si="6"/>
        <v>8.4118326757584114</v>
      </c>
      <c r="R33" s="4">
        <f t="shared" si="7"/>
        <v>5.9454206086065753</v>
      </c>
      <c r="S33" s="4">
        <f t="shared" si="8"/>
        <v>49.2</v>
      </c>
      <c r="T33" s="4">
        <f t="shared" si="9"/>
        <v>1</v>
      </c>
      <c r="U33" s="4">
        <f t="shared" si="10"/>
        <v>8.4118326757584114</v>
      </c>
      <c r="V33" s="4">
        <f t="shared" si="11"/>
        <v>5.9454206086065753</v>
      </c>
      <c r="W33" s="4">
        <f t="shared" si="12"/>
        <v>49.2</v>
      </c>
      <c r="X33" s="4">
        <f t="shared" si="13"/>
        <v>1</v>
      </c>
      <c r="Y33" s="4">
        <f t="shared" si="14"/>
        <v>8.4118326757584114</v>
      </c>
      <c r="Z33" s="4">
        <f t="shared" si="15"/>
        <v>5.9454206086065753</v>
      </c>
      <c r="AA33" s="4">
        <f t="shared" si="16"/>
        <v>49.2</v>
      </c>
      <c r="AB33" s="4">
        <f t="shared" si="17"/>
        <v>1</v>
      </c>
      <c r="AC33" s="4">
        <f t="shared" si="18"/>
        <v>0</v>
      </c>
      <c r="AD33" s="4">
        <f t="shared" si="19"/>
        <v>0</v>
      </c>
      <c r="AE33" s="4">
        <f t="shared" si="20"/>
        <v>0</v>
      </c>
      <c r="AF33" s="4">
        <f t="shared" si="21"/>
        <v>0</v>
      </c>
      <c r="AG33" s="4">
        <f t="shared" si="22"/>
        <v>8.4118326757584114</v>
      </c>
      <c r="AH33" s="4">
        <f t="shared" si="23"/>
        <v>1</v>
      </c>
      <c r="AI33" s="4">
        <f t="shared" si="24"/>
        <v>0</v>
      </c>
      <c r="AJ33" s="4">
        <f t="shared" si="25"/>
        <v>8.4118326757584114</v>
      </c>
      <c r="AK33" s="4">
        <f t="shared" si="26"/>
        <v>5.9454206086065753</v>
      </c>
      <c r="AL33" s="4">
        <f t="shared" si="27"/>
        <v>0</v>
      </c>
      <c r="AM33" s="4">
        <f>CER!$C$7+CER!$C$8*J33+CER!$C$9*K33+CER!$C$10*L33+CER!$C$11*M33</f>
        <v>3.4799037544075362</v>
      </c>
      <c r="AN33" s="4">
        <f t="shared" si="28"/>
        <v>32.456598121017251</v>
      </c>
      <c r="AO33" s="4">
        <f t="shared" si="29"/>
        <v>6.9779722142938372E-2</v>
      </c>
      <c r="AP33" s="4">
        <f>Alternatives!$F$25+Alternatives!$F$26*J33+Alternatives!$F$27*K33+Alternatives!$F$28*G33+Alternatives!$F$29*O33</f>
        <v>4.1801486139178028</v>
      </c>
      <c r="AQ33" s="4">
        <f t="shared" si="30"/>
        <v>-0.63046513736732823</v>
      </c>
    </row>
    <row r="34" spans="1:43" x14ac:dyDescent="0.35">
      <c r="A34" s="2" t="s">
        <v>101</v>
      </c>
      <c r="B34" s="2" t="s">
        <v>73</v>
      </c>
      <c r="C34" s="2" t="s">
        <v>33</v>
      </c>
      <c r="D34" s="2">
        <v>32.482599999999998</v>
      </c>
      <c r="E34" s="2">
        <v>5000</v>
      </c>
      <c r="F34" s="2">
        <v>375</v>
      </c>
      <c r="G34" s="2">
        <v>54.2</v>
      </c>
      <c r="H34" s="2" t="s">
        <v>68</v>
      </c>
      <c r="I34" s="4">
        <f t="shared" si="0"/>
        <v>3.4807045613507896</v>
      </c>
      <c r="J34" s="4">
        <f t="shared" si="1"/>
        <v>8.5171931914162382</v>
      </c>
      <c r="K34" s="4">
        <f t="shared" si="2"/>
        <v>5.9269260259704106</v>
      </c>
      <c r="L34" s="2">
        <v>1</v>
      </c>
      <c r="M34" s="2">
        <v>0</v>
      </c>
      <c r="N34" s="4">
        <f t="shared" si="3"/>
        <v>54.2</v>
      </c>
      <c r="O34" s="4">
        <f t="shared" si="4"/>
        <v>1</v>
      </c>
      <c r="P34" s="4">
        <f t="shared" si="5"/>
        <v>1</v>
      </c>
      <c r="Q34" s="4">
        <f t="shared" si="6"/>
        <v>8.5171931914162382</v>
      </c>
      <c r="R34" s="4">
        <f t="shared" si="7"/>
        <v>5.9269260259704106</v>
      </c>
      <c r="S34" s="4">
        <f t="shared" si="8"/>
        <v>54.2</v>
      </c>
      <c r="T34" s="4">
        <f t="shared" si="9"/>
        <v>1</v>
      </c>
      <c r="U34" s="4">
        <f t="shared" si="10"/>
        <v>8.5171931914162382</v>
      </c>
      <c r="V34" s="4">
        <f t="shared" si="11"/>
        <v>5.9269260259704106</v>
      </c>
      <c r="W34" s="4">
        <f t="shared" si="12"/>
        <v>54.2</v>
      </c>
      <c r="X34" s="4">
        <f t="shared" si="13"/>
        <v>1</v>
      </c>
      <c r="Y34" s="4">
        <f t="shared" si="14"/>
        <v>8.5171931914162382</v>
      </c>
      <c r="Z34" s="4">
        <f t="shared" si="15"/>
        <v>5.9269260259704106</v>
      </c>
      <c r="AA34" s="4">
        <f t="shared" si="16"/>
        <v>54.2</v>
      </c>
      <c r="AB34" s="4">
        <f t="shared" si="17"/>
        <v>1</v>
      </c>
      <c r="AC34" s="4">
        <f t="shared" si="18"/>
        <v>0</v>
      </c>
      <c r="AD34" s="4">
        <f t="shared" si="19"/>
        <v>0</v>
      </c>
      <c r="AE34" s="4">
        <f t="shared" si="20"/>
        <v>0</v>
      </c>
      <c r="AF34" s="4">
        <f t="shared" si="21"/>
        <v>0</v>
      </c>
      <c r="AG34" s="4">
        <f t="shared" si="22"/>
        <v>8.5171931914162382</v>
      </c>
      <c r="AH34" s="4">
        <f t="shared" si="23"/>
        <v>1</v>
      </c>
      <c r="AI34" s="4">
        <f t="shared" si="24"/>
        <v>0</v>
      </c>
      <c r="AJ34" s="4">
        <f t="shared" si="25"/>
        <v>8.5171931914162382</v>
      </c>
      <c r="AK34" s="4">
        <f t="shared" si="26"/>
        <v>5.9269260259704106</v>
      </c>
      <c r="AL34" s="4">
        <f t="shared" si="27"/>
        <v>0</v>
      </c>
      <c r="AM34" s="4">
        <f>CER!$C$7+CER!$C$8*J34+CER!$C$9*K34+CER!$C$10*L34+CER!$C$11*M34</f>
        <v>3.4390295481250255</v>
      </c>
      <c r="AN34" s="4">
        <f t="shared" si="28"/>
        <v>31.15670740710836</v>
      </c>
      <c r="AO34" s="4">
        <f t="shared" si="29"/>
        <v>4.1675013225764168E-2</v>
      </c>
      <c r="AP34" s="4">
        <f>Alternatives!$F$25+Alternatives!$F$26*J34+Alternatives!$F$27*K34+Alternatives!$F$28*G34+Alternatives!$F$29*O34</f>
        <v>4.1590260834882073</v>
      </c>
      <c r="AQ34" s="4">
        <f t="shared" si="30"/>
        <v>-0.6783215221374177</v>
      </c>
    </row>
    <row r="35" spans="1:43" x14ac:dyDescent="0.35">
      <c r="A35" s="2" t="s">
        <v>102</v>
      </c>
      <c r="B35" s="2" t="s">
        <v>73</v>
      </c>
      <c r="C35" s="2" t="s">
        <v>67</v>
      </c>
      <c r="D35" s="2">
        <v>37.9816</v>
      </c>
      <c r="E35" s="2">
        <v>4000</v>
      </c>
      <c r="F35" s="2">
        <v>255</v>
      </c>
      <c r="G35" s="2">
        <v>49.2</v>
      </c>
      <c r="H35" s="2" t="s">
        <v>68</v>
      </c>
      <c r="I35" s="4">
        <f t="shared" si="0"/>
        <v>3.6371018319322967</v>
      </c>
      <c r="J35" s="4">
        <f t="shared" si="1"/>
        <v>8.2940496401020276</v>
      </c>
      <c r="K35" s="4">
        <f t="shared" si="2"/>
        <v>5.5412635451584258</v>
      </c>
      <c r="L35" s="2">
        <v>0</v>
      </c>
      <c r="M35" s="2">
        <v>0</v>
      </c>
      <c r="N35" s="4">
        <f t="shared" si="3"/>
        <v>49.2</v>
      </c>
      <c r="O35" s="4">
        <f t="shared" si="4"/>
        <v>0</v>
      </c>
      <c r="P35" s="4">
        <f t="shared" si="5"/>
        <v>0</v>
      </c>
      <c r="Q35" s="4">
        <f t="shared" si="6"/>
        <v>8.2940496401020276</v>
      </c>
      <c r="R35" s="4">
        <f t="shared" si="7"/>
        <v>5.5412635451584258</v>
      </c>
      <c r="S35" s="4">
        <f t="shared" si="8"/>
        <v>49.2</v>
      </c>
      <c r="T35" s="4">
        <f t="shared" si="9"/>
        <v>0</v>
      </c>
      <c r="U35" s="4">
        <f t="shared" si="10"/>
        <v>8.2940496401020276</v>
      </c>
      <c r="V35" s="4">
        <f t="shared" si="11"/>
        <v>5.5412635451584258</v>
      </c>
      <c r="W35" s="4">
        <f t="shared" si="12"/>
        <v>49.2</v>
      </c>
      <c r="X35" s="4">
        <f t="shared" si="13"/>
        <v>0</v>
      </c>
      <c r="Y35" s="4">
        <f t="shared" si="14"/>
        <v>8.2940496401020276</v>
      </c>
      <c r="Z35" s="4">
        <f t="shared" si="15"/>
        <v>5.5412635451584258</v>
      </c>
      <c r="AA35" s="4">
        <f t="shared" si="16"/>
        <v>49.2</v>
      </c>
      <c r="AB35" s="4">
        <f t="shared" si="17"/>
        <v>0</v>
      </c>
      <c r="AC35" s="4">
        <f t="shared" si="18"/>
        <v>0</v>
      </c>
      <c r="AD35" s="4">
        <f t="shared" si="19"/>
        <v>0</v>
      </c>
      <c r="AE35" s="4">
        <f t="shared" si="20"/>
        <v>0</v>
      </c>
      <c r="AF35" s="4">
        <f t="shared" si="21"/>
        <v>0</v>
      </c>
      <c r="AG35" s="4">
        <f t="shared" si="22"/>
        <v>8.2940496401020276</v>
      </c>
      <c r="AH35" s="4">
        <f t="shared" si="23"/>
        <v>0</v>
      </c>
      <c r="AI35" s="4">
        <f t="shared" si="24"/>
        <v>0</v>
      </c>
      <c r="AJ35" s="4">
        <f t="shared" si="25"/>
        <v>8.2940496401020276</v>
      </c>
      <c r="AK35" s="4">
        <f t="shared" si="26"/>
        <v>5.5412635451584258</v>
      </c>
      <c r="AL35" s="4">
        <f t="shared" si="27"/>
        <v>0</v>
      </c>
      <c r="AM35" s="4">
        <f>CER!$C$7+CER!$C$8*J35+CER!$C$9*K35+CER!$C$10*L35+CER!$C$11*M35</f>
        <v>3.4585828467914106</v>
      </c>
      <c r="AN35" s="4">
        <f t="shared" si="28"/>
        <v>31.771918918611579</v>
      </c>
      <c r="AO35" s="4">
        <f t="shared" si="29"/>
        <v>0.17851898514088615</v>
      </c>
      <c r="AP35" s="4">
        <f>Alternatives!$F$25+Alternatives!$F$26*J35+Alternatives!$F$27*K35+Alternatives!$F$28*G35+Alternatives!$F$29*O35</f>
        <v>3.3993690582401985</v>
      </c>
      <c r="AQ35" s="4">
        <f t="shared" si="30"/>
        <v>0.23773277369209822</v>
      </c>
    </row>
    <row r="36" spans="1:43" x14ac:dyDescent="0.35">
      <c r="A36" s="2" t="s">
        <v>103</v>
      </c>
      <c r="B36" s="2" t="s">
        <v>73</v>
      </c>
      <c r="C36" s="2" t="s">
        <v>67</v>
      </c>
      <c r="D36" s="2">
        <v>36.117400000000004</v>
      </c>
      <c r="E36" s="2">
        <v>4000</v>
      </c>
      <c r="F36" s="2">
        <v>255</v>
      </c>
      <c r="G36" s="2">
        <v>49.2</v>
      </c>
      <c r="H36" s="2" t="s">
        <v>68</v>
      </c>
      <c r="I36" s="4">
        <f t="shared" si="0"/>
        <v>3.5867747436766515</v>
      </c>
      <c r="J36" s="4">
        <f t="shared" si="1"/>
        <v>8.2940496401020276</v>
      </c>
      <c r="K36" s="4">
        <f t="shared" si="2"/>
        <v>5.5412635451584258</v>
      </c>
      <c r="L36" s="2">
        <v>0</v>
      </c>
      <c r="M36" s="2">
        <v>0</v>
      </c>
      <c r="N36" s="4">
        <f t="shared" si="3"/>
        <v>49.2</v>
      </c>
      <c r="O36" s="4">
        <f t="shared" si="4"/>
        <v>0</v>
      </c>
      <c r="P36" s="4">
        <f t="shared" si="5"/>
        <v>0</v>
      </c>
      <c r="Q36" s="4">
        <f t="shared" si="6"/>
        <v>8.2940496401020276</v>
      </c>
      <c r="R36" s="4">
        <f t="shared" si="7"/>
        <v>5.5412635451584258</v>
      </c>
      <c r="S36" s="4">
        <f t="shared" si="8"/>
        <v>49.2</v>
      </c>
      <c r="T36" s="4">
        <f t="shared" si="9"/>
        <v>0</v>
      </c>
      <c r="U36" s="4">
        <f t="shared" si="10"/>
        <v>8.2940496401020276</v>
      </c>
      <c r="V36" s="4">
        <f t="shared" si="11"/>
        <v>5.5412635451584258</v>
      </c>
      <c r="W36" s="4">
        <f t="shared" si="12"/>
        <v>49.2</v>
      </c>
      <c r="X36" s="4">
        <f t="shared" si="13"/>
        <v>0</v>
      </c>
      <c r="Y36" s="4">
        <f t="shared" si="14"/>
        <v>8.2940496401020276</v>
      </c>
      <c r="Z36" s="4">
        <f t="shared" si="15"/>
        <v>5.5412635451584258</v>
      </c>
      <c r="AA36" s="4">
        <f t="shared" si="16"/>
        <v>49.2</v>
      </c>
      <c r="AB36" s="4">
        <f t="shared" si="17"/>
        <v>0</v>
      </c>
      <c r="AC36" s="4">
        <f t="shared" si="18"/>
        <v>0</v>
      </c>
      <c r="AD36" s="4">
        <f t="shared" si="19"/>
        <v>0</v>
      </c>
      <c r="AE36" s="4">
        <f t="shared" si="20"/>
        <v>0</v>
      </c>
      <c r="AF36" s="4">
        <f t="shared" si="21"/>
        <v>0</v>
      </c>
      <c r="AG36" s="4">
        <f t="shared" si="22"/>
        <v>8.2940496401020276</v>
      </c>
      <c r="AH36" s="4">
        <f t="shared" si="23"/>
        <v>0</v>
      </c>
      <c r="AI36" s="4">
        <f t="shared" si="24"/>
        <v>0</v>
      </c>
      <c r="AJ36" s="4">
        <f t="shared" si="25"/>
        <v>8.2940496401020276</v>
      </c>
      <c r="AK36" s="4">
        <f t="shared" si="26"/>
        <v>5.5412635451584258</v>
      </c>
      <c r="AL36" s="4">
        <f t="shared" si="27"/>
        <v>0</v>
      </c>
      <c r="AM36" s="4">
        <f>CER!$C$7+CER!$C$8*J36+CER!$C$9*K36+CER!$C$10*L36+CER!$C$11*M36</f>
        <v>3.4585828467914106</v>
      </c>
      <c r="AN36" s="4">
        <f t="shared" si="28"/>
        <v>31.771918918611579</v>
      </c>
      <c r="AO36" s="4">
        <f t="shared" si="29"/>
        <v>0.12819189688524091</v>
      </c>
      <c r="AP36" s="4">
        <f>Alternatives!$F$25+Alternatives!$F$26*J36+Alternatives!$F$27*K36+Alternatives!$F$28*G36+Alternatives!$F$29*O36</f>
        <v>3.3993690582401985</v>
      </c>
      <c r="AQ36" s="4">
        <f t="shared" si="30"/>
        <v>0.18740568543645297</v>
      </c>
    </row>
    <row r="37" spans="1:43" x14ac:dyDescent="0.35">
      <c r="A37" s="2" t="s">
        <v>104</v>
      </c>
      <c r="B37" s="2" t="s">
        <v>73</v>
      </c>
      <c r="C37" s="2" t="s">
        <v>67</v>
      </c>
      <c r="D37" s="2">
        <v>24.101199999999999</v>
      </c>
      <c r="E37" s="2">
        <v>4000</v>
      </c>
      <c r="F37" s="2">
        <v>473</v>
      </c>
      <c r="G37" s="2">
        <v>49.5</v>
      </c>
      <c r="H37" s="2" t="s">
        <v>68</v>
      </c>
      <c r="I37" s="4">
        <f t="shared" si="0"/>
        <v>3.1822616317881227</v>
      </c>
      <c r="J37" s="4">
        <f t="shared" si="1"/>
        <v>8.2940496401020276</v>
      </c>
      <c r="K37" s="4">
        <f t="shared" si="2"/>
        <v>6.1590953884919326</v>
      </c>
      <c r="L37" s="2">
        <v>0</v>
      </c>
      <c r="M37" s="2">
        <v>0</v>
      </c>
      <c r="N37" s="4">
        <f t="shared" si="3"/>
        <v>49.5</v>
      </c>
      <c r="O37" s="4">
        <f t="shared" si="4"/>
        <v>0</v>
      </c>
      <c r="P37" s="4">
        <f t="shared" si="5"/>
        <v>0</v>
      </c>
      <c r="Q37" s="4">
        <f t="shared" si="6"/>
        <v>8.2940496401020276</v>
      </c>
      <c r="R37" s="4">
        <f t="shared" si="7"/>
        <v>6.1590953884919326</v>
      </c>
      <c r="S37" s="4">
        <f t="shared" si="8"/>
        <v>49.5</v>
      </c>
      <c r="T37" s="4">
        <f t="shared" si="9"/>
        <v>0</v>
      </c>
      <c r="U37" s="4">
        <f t="shared" si="10"/>
        <v>8.2940496401020276</v>
      </c>
      <c r="V37" s="4">
        <f t="shared" si="11"/>
        <v>6.1590953884919326</v>
      </c>
      <c r="W37" s="4">
        <f t="shared" si="12"/>
        <v>49.5</v>
      </c>
      <c r="X37" s="4">
        <f t="shared" si="13"/>
        <v>0</v>
      </c>
      <c r="Y37" s="4">
        <f t="shared" si="14"/>
        <v>8.2940496401020276</v>
      </c>
      <c r="Z37" s="4">
        <f t="shared" si="15"/>
        <v>6.1590953884919326</v>
      </c>
      <c r="AA37" s="4">
        <f t="shared" si="16"/>
        <v>49.5</v>
      </c>
      <c r="AB37" s="4">
        <f t="shared" si="17"/>
        <v>0</v>
      </c>
      <c r="AC37" s="4">
        <f t="shared" si="18"/>
        <v>0</v>
      </c>
      <c r="AD37" s="4">
        <f t="shared" si="19"/>
        <v>0</v>
      </c>
      <c r="AE37" s="4">
        <f t="shared" si="20"/>
        <v>0</v>
      </c>
      <c r="AF37" s="4">
        <f t="shared" si="21"/>
        <v>0</v>
      </c>
      <c r="AG37" s="4">
        <f t="shared" si="22"/>
        <v>8.2940496401020276</v>
      </c>
      <c r="AH37" s="4">
        <f t="shared" si="23"/>
        <v>0</v>
      </c>
      <c r="AI37" s="4">
        <f t="shared" si="24"/>
        <v>0</v>
      </c>
      <c r="AJ37" s="4">
        <f t="shared" si="25"/>
        <v>8.2940496401020276</v>
      </c>
      <c r="AK37" s="4">
        <f t="shared" si="26"/>
        <v>6.1590953884919326</v>
      </c>
      <c r="AL37" s="4">
        <f t="shared" si="27"/>
        <v>0</v>
      </c>
      <c r="AM37" s="4">
        <f>CER!$C$7+CER!$C$8*J37+CER!$C$9*K37+CER!$C$10*L37+CER!$C$11*M37</f>
        <v>3.2306376719664085</v>
      </c>
      <c r="AN37" s="4">
        <f t="shared" si="28"/>
        <v>25.295782240303392</v>
      </c>
      <c r="AO37" s="4">
        <f t="shared" si="29"/>
        <v>-4.8376040178285784E-2</v>
      </c>
      <c r="AP37" s="4">
        <f>Alternatives!$F$25+Alternatives!$F$26*J37+Alternatives!$F$27*K37+Alternatives!$F$28*G37+Alternatives!$F$29*O37</f>
        <v>3.2310556518744327</v>
      </c>
      <c r="AQ37" s="4">
        <f t="shared" si="30"/>
        <v>-4.8794020086309953E-2</v>
      </c>
    </row>
    <row r="38" spans="1:43" x14ac:dyDescent="0.35">
      <c r="A38" s="2" t="s">
        <v>105</v>
      </c>
      <c r="B38" s="2" t="s">
        <v>73</v>
      </c>
      <c r="C38" s="2" t="s">
        <v>67</v>
      </c>
      <c r="D38" s="2">
        <v>24.220400000000001</v>
      </c>
      <c r="E38" s="2">
        <v>4000</v>
      </c>
      <c r="F38" s="2">
        <v>503</v>
      </c>
      <c r="G38" s="2">
        <v>49.5</v>
      </c>
      <c r="H38" s="2" t="s">
        <v>68</v>
      </c>
      <c r="I38" s="4">
        <f t="shared" si="0"/>
        <v>3.1871952532652013</v>
      </c>
      <c r="J38" s="4">
        <f t="shared" si="1"/>
        <v>8.2940496401020276</v>
      </c>
      <c r="K38" s="4">
        <f t="shared" si="2"/>
        <v>6.2205901700997392</v>
      </c>
      <c r="L38" s="2">
        <v>0</v>
      </c>
      <c r="M38" s="2">
        <v>0</v>
      </c>
      <c r="N38" s="4">
        <f t="shared" si="3"/>
        <v>49.5</v>
      </c>
      <c r="O38" s="4">
        <f t="shared" si="4"/>
        <v>0</v>
      </c>
      <c r="P38" s="4">
        <f t="shared" si="5"/>
        <v>0</v>
      </c>
      <c r="Q38" s="4">
        <f t="shared" si="6"/>
        <v>8.2940496401020276</v>
      </c>
      <c r="R38" s="4">
        <f t="shared" si="7"/>
        <v>6.2205901700997392</v>
      </c>
      <c r="S38" s="4">
        <f t="shared" si="8"/>
        <v>49.5</v>
      </c>
      <c r="T38" s="4">
        <f t="shared" si="9"/>
        <v>0</v>
      </c>
      <c r="U38" s="4">
        <f t="shared" si="10"/>
        <v>8.2940496401020276</v>
      </c>
      <c r="V38" s="4">
        <f t="shared" si="11"/>
        <v>6.2205901700997392</v>
      </c>
      <c r="W38" s="4">
        <f t="shared" si="12"/>
        <v>49.5</v>
      </c>
      <c r="X38" s="4">
        <f t="shared" si="13"/>
        <v>0</v>
      </c>
      <c r="Y38" s="4">
        <f t="shared" si="14"/>
        <v>8.2940496401020276</v>
      </c>
      <c r="Z38" s="4">
        <f t="shared" si="15"/>
        <v>6.2205901700997392</v>
      </c>
      <c r="AA38" s="4">
        <f t="shared" si="16"/>
        <v>49.5</v>
      </c>
      <c r="AB38" s="4">
        <f t="shared" si="17"/>
        <v>0</v>
      </c>
      <c r="AC38" s="4">
        <f t="shared" si="18"/>
        <v>0</v>
      </c>
      <c r="AD38" s="4">
        <f t="shared" si="19"/>
        <v>0</v>
      </c>
      <c r="AE38" s="4">
        <f t="shared" si="20"/>
        <v>0</v>
      </c>
      <c r="AF38" s="4">
        <f t="shared" si="21"/>
        <v>0</v>
      </c>
      <c r="AG38" s="4">
        <f t="shared" si="22"/>
        <v>8.2940496401020276</v>
      </c>
      <c r="AH38" s="4">
        <f t="shared" si="23"/>
        <v>0</v>
      </c>
      <c r="AI38" s="4">
        <f t="shared" si="24"/>
        <v>0</v>
      </c>
      <c r="AJ38" s="4">
        <f t="shared" si="25"/>
        <v>8.2940496401020276</v>
      </c>
      <c r="AK38" s="4">
        <f t="shared" si="26"/>
        <v>6.2205901700997392</v>
      </c>
      <c r="AL38" s="4">
        <f t="shared" si="27"/>
        <v>0</v>
      </c>
      <c r="AM38" s="4">
        <f>CER!$C$7+CER!$C$8*J38+CER!$C$9*K38+CER!$C$10*L38+CER!$C$11*M38</f>
        <v>3.2079495588565603</v>
      </c>
      <c r="AN38" s="4">
        <f t="shared" si="28"/>
        <v>24.728330220578236</v>
      </c>
      <c r="AO38" s="4">
        <f t="shared" si="29"/>
        <v>-2.0754305591359046E-2</v>
      </c>
      <c r="AP38" s="4">
        <f>Alternatives!$F$25+Alternatives!$F$26*J38+Alternatives!$F$27*K38+Alternatives!$F$28*G38+Alternatives!$F$29*O38</f>
        <v>3.2146912775141625</v>
      </c>
      <c r="AQ38" s="4">
        <f t="shared" si="30"/>
        <v>-2.7496024248961248E-2</v>
      </c>
    </row>
    <row r="39" spans="1:43" x14ac:dyDescent="0.35">
      <c r="A39" s="2" t="s">
        <v>106</v>
      </c>
      <c r="B39" s="2" t="s">
        <v>73</v>
      </c>
      <c r="C39" s="2" t="s">
        <v>67</v>
      </c>
      <c r="D39" s="2">
        <v>37.9816</v>
      </c>
      <c r="E39" s="2">
        <v>4000</v>
      </c>
      <c r="F39" s="2">
        <v>255</v>
      </c>
      <c r="G39" s="2">
        <v>49.2</v>
      </c>
      <c r="H39" s="2" t="s">
        <v>68</v>
      </c>
      <c r="I39" s="4">
        <f t="shared" si="0"/>
        <v>3.6371018319322967</v>
      </c>
      <c r="J39" s="4">
        <f t="shared" si="1"/>
        <v>8.2940496401020276</v>
      </c>
      <c r="K39" s="4">
        <f t="shared" si="2"/>
        <v>5.5412635451584258</v>
      </c>
      <c r="L39" s="2">
        <v>0</v>
      </c>
      <c r="M39" s="2">
        <v>0</v>
      </c>
      <c r="N39" s="4">
        <f t="shared" si="3"/>
        <v>49.2</v>
      </c>
      <c r="O39" s="4">
        <f t="shared" si="4"/>
        <v>0</v>
      </c>
      <c r="P39" s="4">
        <f t="shared" si="5"/>
        <v>0</v>
      </c>
      <c r="Q39" s="4">
        <f t="shared" si="6"/>
        <v>8.2940496401020276</v>
      </c>
      <c r="R39" s="4">
        <f t="shared" si="7"/>
        <v>5.5412635451584258</v>
      </c>
      <c r="S39" s="4">
        <f t="shared" si="8"/>
        <v>49.2</v>
      </c>
      <c r="T39" s="4">
        <f t="shared" si="9"/>
        <v>0</v>
      </c>
      <c r="U39" s="4">
        <f t="shared" si="10"/>
        <v>8.2940496401020276</v>
      </c>
      <c r="V39" s="4">
        <f t="shared" si="11"/>
        <v>5.5412635451584258</v>
      </c>
      <c r="W39" s="4">
        <f t="shared" si="12"/>
        <v>49.2</v>
      </c>
      <c r="X39" s="4">
        <f t="shared" si="13"/>
        <v>0</v>
      </c>
      <c r="Y39" s="4">
        <f t="shared" si="14"/>
        <v>8.2940496401020276</v>
      </c>
      <c r="Z39" s="4">
        <f t="shared" si="15"/>
        <v>5.5412635451584258</v>
      </c>
      <c r="AA39" s="4">
        <f t="shared" si="16"/>
        <v>49.2</v>
      </c>
      <c r="AB39" s="4">
        <f t="shared" si="17"/>
        <v>0</v>
      </c>
      <c r="AC39" s="4">
        <f t="shared" si="18"/>
        <v>0</v>
      </c>
      <c r="AD39" s="4">
        <f t="shared" si="19"/>
        <v>0</v>
      </c>
      <c r="AE39" s="4">
        <f t="shared" si="20"/>
        <v>0</v>
      </c>
      <c r="AF39" s="4">
        <f t="shared" si="21"/>
        <v>0</v>
      </c>
      <c r="AG39" s="4">
        <f t="shared" si="22"/>
        <v>8.2940496401020276</v>
      </c>
      <c r="AH39" s="4">
        <f t="shared" si="23"/>
        <v>0</v>
      </c>
      <c r="AI39" s="4">
        <f t="shared" si="24"/>
        <v>0</v>
      </c>
      <c r="AJ39" s="4">
        <f t="shared" si="25"/>
        <v>8.2940496401020276</v>
      </c>
      <c r="AK39" s="4">
        <f t="shared" si="26"/>
        <v>5.5412635451584258</v>
      </c>
      <c r="AL39" s="4">
        <f t="shared" si="27"/>
        <v>0</v>
      </c>
      <c r="AM39" s="4">
        <f>CER!$C$7+CER!$C$8*J39+CER!$C$9*K39+CER!$C$10*L39+CER!$C$11*M39</f>
        <v>3.4585828467914106</v>
      </c>
      <c r="AN39" s="4">
        <f t="shared" si="28"/>
        <v>31.771918918611579</v>
      </c>
      <c r="AO39" s="4">
        <f t="shared" si="29"/>
        <v>0.17851898514088615</v>
      </c>
      <c r="AP39" s="4">
        <f>Alternatives!$F$25+Alternatives!$F$26*J39+Alternatives!$F$27*K39+Alternatives!$F$28*G39+Alternatives!$F$29*O39</f>
        <v>3.3993690582401985</v>
      </c>
      <c r="AQ39" s="4">
        <f t="shared" si="30"/>
        <v>0.23773277369209822</v>
      </c>
    </row>
    <row r="40" spans="1:43" x14ac:dyDescent="0.35">
      <c r="A40" s="2" t="s">
        <v>107</v>
      </c>
      <c r="B40" s="2" t="s">
        <v>73</v>
      </c>
      <c r="C40" s="2" t="s">
        <v>67</v>
      </c>
      <c r="D40" s="2">
        <v>36.117400000000004</v>
      </c>
      <c r="E40" s="2">
        <v>4000</v>
      </c>
      <c r="F40" s="2">
        <v>255</v>
      </c>
      <c r="G40" s="2">
        <v>49.2</v>
      </c>
      <c r="H40" s="2" t="s">
        <v>68</v>
      </c>
      <c r="I40" s="4">
        <f t="shared" si="0"/>
        <v>3.5867747436766515</v>
      </c>
      <c r="J40" s="4">
        <f t="shared" si="1"/>
        <v>8.2940496401020276</v>
      </c>
      <c r="K40" s="4">
        <f t="shared" si="2"/>
        <v>5.5412635451584258</v>
      </c>
      <c r="L40" s="2">
        <v>0</v>
      </c>
      <c r="M40" s="2">
        <v>0</v>
      </c>
      <c r="N40" s="4">
        <f t="shared" si="3"/>
        <v>49.2</v>
      </c>
      <c r="O40" s="4">
        <f t="shared" si="4"/>
        <v>0</v>
      </c>
      <c r="P40" s="4">
        <f t="shared" si="5"/>
        <v>0</v>
      </c>
      <c r="Q40" s="4">
        <f t="shared" si="6"/>
        <v>8.2940496401020276</v>
      </c>
      <c r="R40" s="4">
        <f t="shared" si="7"/>
        <v>5.5412635451584258</v>
      </c>
      <c r="S40" s="4">
        <f t="shared" si="8"/>
        <v>49.2</v>
      </c>
      <c r="T40" s="4">
        <f t="shared" si="9"/>
        <v>0</v>
      </c>
      <c r="U40" s="4">
        <f t="shared" si="10"/>
        <v>8.2940496401020276</v>
      </c>
      <c r="V40" s="4">
        <f t="shared" si="11"/>
        <v>5.5412635451584258</v>
      </c>
      <c r="W40" s="4">
        <f t="shared" si="12"/>
        <v>49.2</v>
      </c>
      <c r="X40" s="4">
        <f t="shared" si="13"/>
        <v>0</v>
      </c>
      <c r="Y40" s="4">
        <f t="shared" si="14"/>
        <v>8.2940496401020276</v>
      </c>
      <c r="Z40" s="4">
        <f t="shared" si="15"/>
        <v>5.5412635451584258</v>
      </c>
      <c r="AA40" s="4">
        <f t="shared" si="16"/>
        <v>49.2</v>
      </c>
      <c r="AB40" s="4">
        <f t="shared" si="17"/>
        <v>0</v>
      </c>
      <c r="AC40" s="4">
        <f t="shared" si="18"/>
        <v>0</v>
      </c>
      <c r="AD40" s="4">
        <f t="shared" si="19"/>
        <v>0</v>
      </c>
      <c r="AE40" s="4">
        <f t="shared" si="20"/>
        <v>0</v>
      </c>
      <c r="AF40" s="4">
        <f t="shared" si="21"/>
        <v>0</v>
      </c>
      <c r="AG40" s="4">
        <f t="shared" si="22"/>
        <v>8.2940496401020276</v>
      </c>
      <c r="AH40" s="4">
        <f t="shared" si="23"/>
        <v>0</v>
      </c>
      <c r="AI40" s="4">
        <f t="shared" si="24"/>
        <v>0</v>
      </c>
      <c r="AJ40" s="4">
        <f t="shared" si="25"/>
        <v>8.2940496401020276</v>
      </c>
      <c r="AK40" s="4">
        <f t="shared" si="26"/>
        <v>5.5412635451584258</v>
      </c>
      <c r="AL40" s="4">
        <f t="shared" si="27"/>
        <v>0</v>
      </c>
      <c r="AM40" s="4">
        <f>CER!$C$7+CER!$C$8*J40+CER!$C$9*K40+CER!$C$10*L40+CER!$C$11*M40</f>
        <v>3.4585828467914106</v>
      </c>
      <c r="AN40" s="4">
        <f t="shared" si="28"/>
        <v>31.771918918611579</v>
      </c>
      <c r="AO40" s="4">
        <f t="shared" si="29"/>
        <v>0.12819189688524091</v>
      </c>
      <c r="AP40" s="4">
        <f>Alternatives!$F$25+Alternatives!$F$26*J40+Alternatives!$F$27*K40+Alternatives!$F$28*G40+Alternatives!$F$29*O40</f>
        <v>3.3993690582401985</v>
      </c>
      <c r="AQ40" s="4">
        <f t="shared" si="30"/>
        <v>0.18740568543645297</v>
      </c>
    </row>
    <row r="41" spans="1:43" x14ac:dyDescent="0.35">
      <c r="A41" s="2" t="s">
        <v>108</v>
      </c>
      <c r="B41" s="2" t="s">
        <v>73</v>
      </c>
      <c r="C41" s="2" t="s">
        <v>67</v>
      </c>
      <c r="D41" s="2">
        <v>38.762799999999999</v>
      </c>
      <c r="E41" s="2">
        <v>4000</v>
      </c>
      <c r="F41" s="2">
        <v>255</v>
      </c>
      <c r="G41" s="2">
        <v>48.8</v>
      </c>
      <c r="H41" s="2" t="s">
        <v>68</v>
      </c>
      <c r="I41" s="4">
        <f t="shared" si="0"/>
        <v>3.6574610238355088</v>
      </c>
      <c r="J41" s="4">
        <f t="shared" si="1"/>
        <v>8.2940496401020276</v>
      </c>
      <c r="K41" s="4">
        <f t="shared" si="2"/>
        <v>5.5412635451584258</v>
      </c>
      <c r="L41" s="2">
        <v>0</v>
      </c>
      <c r="M41" s="2">
        <v>0</v>
      </c>
      <c r="N41" s="4">
        <f t="shared" si="3"/>
        <v>48.8</v>
      </c>
      <c r="O41" s="4">
        <f t="shared" si="4"/>
        <v>0</v>
      </c>
      <c r="P41" s="4">
        <f t="shared" si="5"/>
        <v>0</v>
      </c>
      <c r="Q41" s="4">
        <f t="shared" si="6"/>
        <v>8.2940496401020276</v>
      </c>
      <c r="R41" s="4">
        <f t="shared" si="7"/>
        <v>5.5412635451584258</v>
      </c>
      <c r="S41" s="4">
        <f t="shared" si="8"/>
        <v>48.8</v>
      </c>
      <c r="T41" s="4">
        <f t="shared" si="9"/>
        <v>0</v>
      </c>
      <c r="U41" s="4">
        <f t="shared" si="10"/>
        <v>8.2940496401020276</v>
      </c>
      <c r="V41" s="4">
        <f t="shared" si="11"/>
        <v>5.5412635451584258</v>
      </c>
      <c r="W41" s="4">
        <f t="shared" si="12"/>
        <v>48.8</v>
      </c>
      <c r="X41" s="4">
        <f t="shared" si="13"/>
        <v>0</v>
      </c>
      <c r="Y41" s="4">
        <f t="shared" si="14"/>
        <v>8.2940496401020276</v>
      </c>
      <c r="Z41" s="4">
        <f t="shared" si="15"/>
        <v>5.5412635451584258</v>
      </c>
      <c r="AA41" s="4">
        <f t="shared" si="16"/>
        <v>48.8</v>
      </c>
      <c r="AB41" s="4">
        <f t="shared" si="17"/>
        <v>0</v>
      </c>
      <c r="AC41" s="4">
        <f t="shared" si="18"/>
        <v>0</v>
      </c>
      <c r="AD41" s="4">
        <f t="shared" si="19"/>
        <v>0</v>
      </c>
      <c r="AE41" s="4">
        <f t="shared" si="20"/>
        <v>0</v>
      </c>
      <c r="AF41" s="4">
        <f t="shared" si="21"/>
        <v>0</v>
      </c>
      <c r="AG41" s="4">
        <f t="shared" si="22"/>
        <v>8.2940496401020276</v>
      </c>
      <c r="AH41" s="4">
        <f t="shared" si="23"/>
        <v>0</v>
      </c>
      <c r="AI41" s="4">
        <f t="shared" si="24"/>
        <v>0</v>
      </c>
      <c r="AJ41" s="4">
        <f t="shared" si="25"/>
        <v>8.2940496401020276</v>
      </c>
      <c r="AK41" s="4">
        <f t="shared" si="26"/>
        <v>5.5412635451584258</v>
      </c>
      <c r="AL41" s="4">
        <f t="shared" si="27"/>
        <v>0</v>
      </c>
      <c r="AM41" s="4">
        <f>CER!$C$7+CER!$C$8*J41+CER!$C$9*K41+CER!$C$10*L41+CER!$C$11*M41</f>
        <v>3.4585828467914106</v>
      </c>
      <c r="AN41" s="4">
        <f t="shared" si="28"/>
        <v>31.771918918611579</v>
      </c>
      <c r="AO41" s="4">
        <f t="shared" si="29"/>
        <v>0.19887817704409816</v>
      </c>
      <c r="AP41" s="4">
        <f>Alternatives!$F$25+Alternatives!$F$26*J41+Alternatives!$F$27*K41+Alternatives!$F$28*G41+Alternatives!$F$29*O41</f>
        <v>3.4045719840570903</v>
      </c>
      <c r="AQ41" s="4">
        <f t="shared" si="30"/>
        <v>0.25288903977841848</v>
      </c>
    </row>
    <row r="42" spans="1:43" x14ac:dyDescent="0.35">
      <c r="A42" s="2" t="s">
        <v>109</v>
      </c>
      <c r="B42" s="2" t="s">
        <v>73</v>
      </c>
      <c r="C42" s="2" t="s">
        <v>67</v>
      </c>
      <c r="D42" s="2">
        <v>36.831699999999998</v>
      </c>
      <c r="E42" s="2">
        <v>4000</v>
      </c>
      <c r="F42" s="2">
        <v>255</v>
      </c>
      <c r="G42" s="2">
        <v>48.8</v>
      </c>
      <c r="H42" s="2" t="s">
        <v>68</v>
      </c>
      <c r="I42" s="4">
        <f t="shared" si="0"/>
        <v>3.6063588874150758</v>
      </c>
      <c r="J42" s="4">
        <f t="shared" si="1"/>
        <v>8.2940496401020276</v>
      </c>
      <c r="K42" s="4">
        <f t="shared" si="2"/>
        <v>5.5412635451584258</v>
      </c>
      <c r="L42" s="2">
        <v>0</v>
      </c>
      <c r="M42" s="2">
        <v>0</v>
      </c>
      <c r="N42" s="4">
        <f t="shared" si="3"/>
        <v>48.8</v>
      </c>
      <c r="O42" s="4">
        <f t="shared" si="4"/>
        <v>0</v>
      </c>
      <c r="P42" s="4">
        <f t="shared" si="5"/>
        <v>0</v>
      </c>
      <c r="Q42" s="4">
        <f t="shared" si="6"/>
        <v>8.2940496401020276</v>
      </c>
      <c r="R42" s="4">
        <f t="shared" si="7"/>
        <v>5.5412635451584258</v>
      </c>
      <c r="S42" s="4">
        <f t="shared" si="8"/>
        <v>48.8</v>
      </c>
      <c r="T42" s="4">
        <f t="shared" si="9"/>
        <v>0</v>
      </c>
      <c r="U42" s="4">
        <f t="shared" si="10"/>
        <v>8.2940496401020276</v>
      </c>
      <c r="V42" s="4">
        <f t="shared" si="11"/>
        <v>5.5412635451584258</v>
      </c>
      <c r="W42" s="4">
        <f t="shared" si="12"/>
        <v>48.8</v>
      </c>
      <c r="X42" s="4">
        <f t="shared" si="13"/>
        <v>0</v>
      </c>
      <c r="Y42" s="4">
        <f t="shared" si="14"/>
        <v>8.2940496401020276</v>
      </c>
      <c r="Z42" s="4">
        <f t="shared" si="15"/>
        <v>5.5412635451584258</v>
      </c>
      <c r="AA42" s="4">
        <f t="shared" si="16"/>
        <v>48.8</v>
      </c>
      <c r="AB42" s="4">
        <f t="shared" si="17"/>
        <v>0</v>
      </c>
      <c r="AC42" s="4">
        <f t="shared" si="18"/>
        <v>0</v>
      </c>
      <c r="AD42" s="4">
        <f t="shared" si="19"/>
        <v>0</v>
      </c>
      <c r="AE42" s="4">
        <f t="shared" si="20"/>
        <v>0</v>
      </c>
      <c r="AF42" s="4">
        <f t="shared" si="21"/>
        <v>0</v>
      </c>
      <c r="AG42" s="4">
        <f t="shared" si="22"/>
        <v>8.2940496401020276</v>
      </c>
      <c r="AH42" s="4">
        <f t="shared" si="23"/>
        <v>0</v>
      </c>
      <c r="AI42" s="4">
        <f t="shared" si="24"/>
        <v>0</v>
      </c>
      <c r="AJ42" s="4">
        <f t="shared" si="25"/>
        <v>8.2940496401020276</v>
      </c>
      <c r="AK42" s="4">
        <f t="shared" si="26"/>
        <v>5.5412635451584258</v>
      </c>
      <c r="AL42" s="4">
        <f t="shared" si="27"/>
        <v>0</v>
      </c>
      <c r="AM42" s="4">
        <f>CER!$C$7+CER!$C$8*J42+CER!$C$9*K42+CER!$C$10*L42+CER!$C$11*M42</f>
        <v>3.4585828467914106</v>
      </c>
      <c r="AN42" s="4">
        <f t="shared" si="28"/>
        <v>31.771918918611579</v>
      </c>
      <c r="AO42" s="4">
        <f t="shared" si="29"/>
        <v>0.14777604062366523</v>
      </c>
      <c r="AP42" s="4">
        <f>Alternatives!$F$25+Alternatives!$F$26*J42+Alternatives!$F$27*K42+Alternatives!$F$28*G42+Alternatives!$F$29*O42</f>
        <v>3.4045719840570903</v>
      </c>
      <c r="AQ42" s="4">
        <f t="shared" si="30"/>
        <v>0.20178690335798555</v>
      </c>
    </row>
    <row r="43" spans="1:43" x14ac:dyDescent="0.35">
      <c r="A43" s="2" t="s">
        <v>110</v>
      </c>
      <c r="B43" s="2" t="s">
        <v>73</v>
      </c>
      <c r="C43" s="2" t="s">
        <v>67</v>
      </c>
      <c r="D43" s="2">
        <v>24.999700000000001</v>
      </c>
      <c r="E43" s="2">
        <v>5000</v>
      </c>
      <c r="F43" s="2">
        <v>612</v>
      </c>
      <c r="G43" s="2">
        <v>53.7</v>
      </c>
      <c r="H43" s="2" t="s">
        <v>68</v>
      </c>
      <c r="I43" s="4">
        <f t="shared" si="0"/>
        <v>3.2188638247962</v>
      </c>
      <c r="J43" s="4">
        <f t="shared" si="1"/>
        <v>8.5171931914162382</v>
      </c>
      <c r="K43" s="4">
        <f t="shared" si="2"/>
        <v>6.4167322825123261</v>
      </c>
      <c r="L43" s="2">
        <v>0</v>
      </c>
      <c r="M43" s="2">
        <v>0</v>
      </c>
      <c r="N43" s="4">
        <f t="shared" si="3"/>
        <v>53.7</v>
      </c>
      <c r="O43" s="4">
        <f t="shared" si="4"/>
        <v>0</v>
      </c>
      <c r="P43" s="4">
        <f t="shared" si="5"/>
        <v>0</v>
      </c>
      <c r="Q43" s="4">
        <f t="shared" si="6"/>
        <v>8.5171931914162382</v>
      </c>
      <c r="R43" s="4">
        <f t="shared" si="7"/>
        <v>6.4167322825123261</v>
      </c>
      <c r="S43" s="4">
        <f t="shared" si="8"/>
        <v>53.7</v>
      </c>
      <c r="T43" s="4">
        <f t="shared" si="9"/>
        <v>0</v>
      </c>
      <c r="U43" s="4">
        <f t="shared" si="10"/>
        <v>8.5171931914162382</v>
      </c>
      <c r="V43" s="4">
        <f t="shared" si="11"/>
        <v>6.4167322825123261</v>
      </c>
      <c r="W43" s="4">
        <f t="shared" si="12"/>
        <v>53.7</v>
      </c>
      <c r="X43" s="4">
        <f t="shared" si="13"/>
        <v>0</v>
      </c>
      <c r="Y43" s="4">
        <f t="shared" si="14"/>
        <v>8.5171931914162382</v>
      </c>
      <c r="Z43" s="4">
        <f t="shared" si="15"/>
        <v>6.4167322825123261</v>
      </c>
      <c r="AA43" s="4">
        <f t="shared" si="16"/>
        <v>53.7</v>
      </c>
      <c r="AB43" s="4">
        <f t="shared" si="17"/>
        <v>0</v>
      </c>
      <c r="AC43" s="4">
        <f t="shared" si="18"/>
        <v>0</v>
      </c>
      <c r="AD43" s="4">
        <f t="shared" si="19"/>
        <v>0</v>
      </c>
      <c r="AE43" s="4">
        <f t="shared" si="20"/>
        <v>0</v>
      </c>
      <c r="AF43" s="4">
        <f t="shared" si="21"/>
        <v>0</v>
      </c>
      <c r="AG43" s="4">
        <f t="shared" si="22"/>
        <v>8.5171931914162382</v>
      </c>
      <c r="AH43" s="4">
        <f t="shared" si="23"/>
        <v>0</v>
      </c>
      <c r="AI43" s="4">
        <f t="shared" si="24"/>
        <v>0</v>
      </c>
      <c r="AJ43" s="4">
        <f t="shared" si="25"/>
        <v>8.5171931914162382</v>
      </c>
      <c r="AK43" s="4">
        <f t="shared" si="26"/>
        <v>6.4167322825123261</v>
      </c>
      <c r="AL43" s="4">
        <f t="shared" si="27"/>
        <v>0</v>
      </c>
      <c r="AM43" s="4">
        <f>CER!$C$7+CER!$C$8*J43+CER!$C$9*K43+CER!$C$10*L43+CER!$C$11*M43</f>
        <v>3.0345650387917398</v>
      </c>
      <c r="AN43" s="4">
        <f t="shared" si="28"/>
        <v>20.79193224839182</v>
      </c>
      <c r="AO43" s="4">
        <f t="shared" si="29"/>
        <v>0.18429878600446026</v>
      </c>
      <c r="AP43" s="4">
        <f>Alternatives!$F$25+Alternatives!$F$26*J43+Alternatives!$F$27*K43+Alternatives!$F$28*G43+Alternatives!$F$29*O43</f>
        <v>3.190447484640464</v>
      </c>
      <c r="AQ43" s="4">
        <f t="shared" si="30"/>
        <v>2.841634015573602E-2</v>
      </c>
    </row>
    <row r="44" spans="1:43" x14ac:dyDescent="0.35">
      <c r="A44" s="2" t="s">
        <v>111</v>
      </c>
      <c r="B44" s="2" t="s">
        <v>73</v>
      </c>
      <c r="C44" s="2" t="s">
        <v>67</v>
      </c>
      <c r="D44" s="2">
        <v>23.921299999999999</v>
      </c>
      <c r="E44" s="2">
        <v>4000</v>
      </c>
      <c r="F44" s="2">
        <v>503</v>
      </c>
      <c r="G44" s="2">
        <v>49.5</v>
      </c>
      <c r="H44" s="2" t="s">
        <v>68</v>
      </c>
      <c r="I44" s="4">
        <f t="shared" si="0"/>
        <v>3.1747692754317285</v>
      </c>
      <c r="J44" s="4">
        <f t="shared" si="1"/>
        <v>8.2940496401020276</v>
      </c>
      <c r="K44" s="4">
        <f t="shared" si="2"/>
        <v>6.2205901700997392</v>
      </c>
      <c r="L44" s="2">
        <v>0</v>
      </c>
      <c r="M44" s="2">
        <v>0</v>
      </c>
      <c r="N44" s="4">
        <f t="shared" si="3"/>
        <v>49.5</v>
      </c>
      <c r="O44" s="4">
        <f t="shared" si="4"/>
        <v>0</v>
      </c>
      <c r="P44" s="4">
        <f t="shared" si="5"/>
        <v>0</v>
      </c>
      <c r="Q44" s="4">
        <f t="shared" si="6"/>
        <v>8.2940496401020276</v>
      </c>
      <c r="R44" s="4">
        <f t="shared" si="7"/>
        <v>6.2205901700997392</v>
      </c>
      <c r="S44" s="4">
        <f t="shared" si="8"/>
        <v>49.5</v>
      </c>
      <c r="T44" s="4">
        <f t="shared" si="9"/>
        <v>0</v>
      </c>
      <c r="U44" s="4">
        <f t="shared" si="10"/>
        <v>8.2940496401020276</v>
      </c>
      <c r="V44" s="4">
        <f t="shared" si="11"/>
        <v>6.2205901700997392</v>
      </c>
      <c r="W44" s="4">
        <f t="shared" si="12"/>
        <v>49.5</v>
      </c>
      <c r="X44" s="4">
        <f t="shared" si="13"/>
        <v>0</v>
      </c>
      <c r="Y44" s="4">
        <f t="shared" si="14"/>
        <v>8.2940496401020276</v>
      </c>
      <c r="Z44" s="4">
        <f t="shared" si="15"/>
        <v>6.2205901700997392</v>
      </c>
      <c r="AA44" s="4">
        <f t="shared" si="16"/>
        <v>49.5</v>
      </c>
      <c r="AB44" s="4">
        <f t="shared" si="17"/>
        <v>0</v>
      </c>
      <c r="AC44" s="4">
        <f t="shared" si="18"/>
        <v>0</v>
      </c>
      <c r="AD44" s="4">
        <f t="shared" si="19"/>
        <v>0</v>
      </c>
      <c r="AE44" s="4">
        <f t="shared" si="20"/>
        <v>0</v>
      </c>
      <c r="AF44" s="4">
        <f t="shared" si="21"/>
        <v>0</v>
      </c>
      <c r="AG44" s="4">
        <f t="shared" si="22"/>
        <v>8.2940496401020276</v>
      </c>
      <c r="AH44" s="4">
        <f t="shared" si="23"/>
        <v>0</v>
      </c>
      <c r="AI44" s="4">
        <f t="shared" si="24"/>
        <v>0</v>
      </c>
      <c r="AJ44" s="4">
        <f t="shared" si="25"/>
        <v>8.2940496401020276</v>
      </c>
      <c r="AK44" s="4">
        <f t="shared" si="26"/>
        <v>6.2205901700997392</v>
      </c>
      <c r="AL44" s="4">
        <f t="shared" si="27"/>
        <v>0</v>
      </c>
      <c r="AM44" s="4">
        <f>CER!$C$7+CER!$C$8*J44+CER!$C$9*K44+CER!$C$10*L44+CER!$C$11*M44</f>
        <v>3.2079495588565603</v>
      </c>
      <c r="AN44" s="4">
        <f t="shared" si="28"/>
        <v>24.728330220578236</v>
      </c>
      <c r="AO44" s="4">
        <f t="shared" si="29"/>
        <v>-3.3180283424831813E-2</v>
      </c>
      <c r="AP44" s="4">
        <f>Alternatives!$F$25+Alternatives!$F$26*J44+Alternatives!$F$27*K44+Alternatives!$F$28*G44+Alternatives!$F$29*O44</f>
        <v>3.2146912775141625</v>
      </c>
      <c r="AQ44" s="4">
        <f t="shared" si="30"/>
        <v>-3.9922002082434016E-2</v>
      </c>
    </row>
    <row r="45" spans="1:43" x14ac:dyDescent="0.35">
      <c r="A45" s="2" t="s">
        <v>112</v>
      </c>
      <c r="B45" s="2" t="s">
        <v>73</v>
      </c>
      <c r="C45" s="2" t="s">
        <v>67</v>
      </c>
      <c r="D45" s="2">
        <v>23.921299999999999</v>
      </c>
      <c r="E45" s="2">
        <v>4000</v>
      </c>
      <c r="F45" s="2">
        <v>503</v>
      </c>
      <c r="G45" s="2">
        <v>49.5</v>
      </c>
      <c r="H45" s="2" t="s">
        <v>68</v>
      </c>
      <c r="I45" s="4">
        <f t="shared" si="0"/>
        <v>3.1747692754317285</v>
      </c>
      <c r="J45" s="4">
        <f t="shared" si="1"/>
        <v>8.2940496401020276</v>
      </c>
      <c r="K45" s="4">
        <f t="shared" si="2"/>
        <v>6.2205901700997392</v>
      </c>
      <c r="L45" s="2">
        <v>0</v>
      </c>
      <c r="M45" s="2">
        <v>0</v>
      </c>
      <c r="N45" s="4">
        <f t="shared" si="3"/>
        <v>49.5</v>
      </c>
      <c r="O45" s="4">
        <f t="shared" si="4"/>
        <v>0</v>
      </c>
      <c r="P45" s="4">
        <f t="shared" si="5"/>
        <v>0</v>
      </c>
      <c r="Q45" s="4">
        <f t="shared" si="6"/>
        <v>8.2940496401020276</v>
      </c>
      <c r="R45" s="4">
        <f t="shared" si="7"/>
        <v>6.2205901700997392</v>
      </c>
      <c r="S45" s="4">
        <f t="shared" si="8"/>
        <v>49.5</v>
      </c>
      <c r="T45" s="4">
        <f t="shared" si="9"/>
        <v>0</v>
      </c>
      <c r="U45" s="4">
        <f t="shared" si="10"/>
        <v>8.2940496401020276</v>
      </c>
      <c r="V45" s="4">
        <f t="shared" si="11"/>
        <v>6.2205901700997392</v>
      </c>
      <c r="W45" s="4">
        <f t="shared" si="12"/>
        <v>49.5</v>
      </c>
      <c r="X45" s="4">
        <f t="shared" si="13"/>
        <v>0</v>
      </c>
      <c r="Y45" s="4">
        <f t="shared" si="14"/>
        <v>8.2940496401020276</v>
      </c>
      <c r="Z45" s="4">
        <f t="shared" si="15"/>
        <v>6.2205901700997392</v>
      </c>
      <c r="AA45" s="4">
        <f t="shared" si="16"/>
        <v>49.5</v>
      </c>
      <c r="AB45" s="4">
        <f t="shared" si="17"/>
        <v>0</v>
      </c>
      <c r="AC45" s="4">
        <f t="shared" si="18"/>
        <v>0</v>
      </c>
      <c r="AD45" s="4">
        <f t="shared" si="19"/>
        <v>0</v>
      </c>
      <c r="AE45" s="4">
        <f t="shared" si="20"/>
        <v>0</v>
      </c>
      <c r="AF45" s="4">
        <f t="shared" si="21"/>
        <v>0</v>
      </c>
      <c r="AG45" s="4">
        <f t="shared" si="22"/>
        <v>8.2940496401020276</v>
      </c>
      <c r="AH45" s="4">
        <f t="shared" si="23"/>
        <v>0</v>
      </c>
      <c r="AI45" s="4">
        <f t="shared" si="24"/>
        <v>0</v>
      </c>
      <c r="AJ45" s="4">
        <f t="shared" si="25"/>
        <v>8.2940496401020276</v>
      </c>
      <c r="AK45" s="4">
        <f t="shared" si="26"/>
        <v>6.2205901700997392</v>
      </c>
      <c r="AL45" s="4">
        <f t="shared" si="27"/>
        <v>0</v>
      </c>
      <c r="AM45" s="4">
        <f>CER!$C$7+CER!$C$8*J45+CER!$C$9*K45+CER!$C$10*L45+CER!$C$11*M45</f>
        <v>3.2079495588565603</v>
      </c>
      <c r="AN45" s="4">
        <f t="shared" si="28"/>
        <v>24.728330220578236</v>
      </c>
      <c r="AO45" s="4">
        <f t="shared" si="29"/>
        <v>-3.3180283424831813E-2</v>
      </c>
      <c r="AP45" s="4">
        <f>Alternatives!$F$25+Alternatives!$F$26*J45+Alternatives!$F$27*K45+Alternatives!$F$28*G45+Alternatives!$F$29*O45</f>
        <v>3.2146912775141625</v>
      </c>
      <c r="AQ45" s="4">
        <f t="shared" si="30"/>
        <v>-3.9922002082434016E-2</v>
      </c>
    </row>
    <row r="46" spans="1:43" x14ac:dyDescent="0.35">
      <c r="A46" s="2" t="s">
        <v>113</v>
      </c>
      <c r="B46" s="2" t="s">
        <v>73</v>
      </c>
      <c r="C46" s="2" t="s">
        <v>67</v>
      </c>
      <c r="D46" s="2">
        <v>23.472200000000001</v>
      </c>
      <c r="E46" s="2">
        <v>4500</v>
      </c>
      <c r="F46" s="2">
        <v>503</v>
      </c>
      <c r="G46" s="2">
        <v>49.5</v>
      </c>
      <c r="H46" s="2" t="s">
        <v>68</v>
      </c>
      <c r="I46" s="4">
        <f t="shared" si="0"/>
        <v>3.1558167421550536</v>
      </c>
      <c r="J46" s="4">
        <f t="shared" si="1"/>
        <v>8.4118326757584114</v>
      </c>
      <c r="K46" s="4">
        <f t="shared" si="2"/>
        <v>6.2205901700997392</v>
      </c>
      <c r="L46" s="2">
        <v>0</v>
      </c>
      <c r="M46" s="2">
        <v>0</v>
      </c>
      <c r="N46" s="4">
        <f t="shared" si="3"/>
        <v>49.5</v>
      </c>
      <c r="O46" s="4">
        <f t="shared" si="4"/>
        <v>0</v>
      </c>
      <c r="P46" s="4">
        <f t="shared" si="5"/>
        <v>0</v>
      </c>
      <c r="Q46" s="4">
        <f t="shared" si="6"/>
        <v>8.4118326757584114</v>
      </c>
      <c r="R46" s="4">
        <f t="shared" si="7"/>
        <v>6.2205901700997392</v>
      </c>
      <c r="S46" s="4">
        <f t="shared" si="8"/>
        <v>49.5</v>
      </c>
      <c r="T46" s="4">
        <f t="shared" si="9"/>
        <v>0</v>
      </c>
      <c r="U46" s="4">
        <f t="shared" si="10"/>
        <v>8.4118326757584114</v>
      </c>
      <c r="V46" s="4">
        <f t="shared" si="11"/>
        <v>6.2205901700997392</v>
      </c>
      <c r="W46" s="4">
        <f t="shared" si="12"/>
        <v>49.5</v>
      </c>
      <c r="X46" s="4">
        <f t="shared" si="13"/>
        <v>0</v>
      </c>
      <c r="Y46" s="4">
        <f t="shared" si="14"/>
        <v>8.4118326757584114</v>
      </c>
      <c r="Z46" s="4">
        <f t="shared" si="15"/>
        <v>6.2205901700997392</v>
      </c>
      <c r="AA46" s="4">
        <f t="shared" si="16"/>
        <v>49.5</v>
      </c>
      <c r="AB46" s="4">
        <f t="shared" si="17"/>
        <v>0</v>
      </c>
      <c r="AC46" s="4">
        <f t="shared" si="18"/>
        <v>0</v>
      </c>
      <c r="AD46" s="4">
        <f t="shared" si="19"/>
        <v>0</v>
      </c>
      <c r="AE46" s="4">
        <f t="shared" si="20"/>
        <v>0</v>
      </c>
      <c r="AF46" s="4">
        <f t="shared" si="21"/>
        <v>0</v>
      </c>
      <c r="AG46" s="4">
        <f t="shared" si="22"/>
        <v>8.4118326757584114</v>
      </c>
      <c r="AH46" s="4">
        <f t="shared" si="23"/>
        <v>0</v>
      </c>
      <c r="AI46" s="4">
        <f t="shared" si="24"/>
        <v>0</v>
      </c>
      <c r="AJ46" s="4">
        <f t="shared" si="25"/>
        <v>8.4118326757584114</v>
      </c>
      <c r="AK46" s="4">
        <f t="shared" si="26"/>
        <v>6.2205901700997392</v>
      </c>
      <c r="AL46" s="4">
        <f t="shared" si="27"/>
        <v>0</v>
      </c>
      <c r="AM46" s="4">
        <f>CER!$C$7+CER!$C$8*J46+CER!$C$9*K46+CER!$C$10*L46+CER!$C$11*M46</f>
        <v>3.1546281044777604</v>
      </c>
      <c r="AN46" s="4">
        <f t="shared" si="28"/>
        <v>23.444316633603915</v>
      </c>
      <c r="AO46" s="4">
        <f t="shared" si="29"/>
        <v>1.1886376772931584E-3</v>
      </c>
      <c r="AP46" s="4">
        <f>Alternatives!$F$25+Alternatives!$F$26*J46+Alternatives!$F$27*K46+Alternatives!$F$28*G46+Alternatives!$F$29*O46</f>
        <v>3.2582811274679542</v>
      </c>
      <c r="AQ46" s="4">
        <f t="shared" si="30"/>
        <v>-0.10246438531290059</v>
      </c>
    </row>
    <row r="47" spans="1:43" x14ac:dyDescent="0.35">
      <c r="A47" s="2" t="s">
        <v>114</v>
      </c>
      <c r="B47" s="2" t="s">
        <v>73</v>
      </c>
      <c r="C47" s="2" t="s">
        <v>67</v>
      </c>
      <c r="D47" s="2">
        <v>24.101199999999999</v>
      </c>
      <c r="E47" s="2">
        <v>4000</v>
      </c>
      <c r="F47" s="2">
        <v>473</v>
      </c>
      <c r="G47" s="2">
        <v>49.5</v>
      </c>
      <c r="H47" s="2" t="s">
        <v>68</v>
      </c>
      <c r="I47" s="4">
        <f t="shared" si="0"/>
        <v>3.1822616317881227</v>
      </c>
      <c r="J47" s="4">
        <f t="shared" si="1"/>
        <v>8.2940496401020276</v>
      </c>
      <c r="K47" s="4">
        <f t="shared" si="2"/>
        <v>6.1590953884919326</v>
      </c>
      <c r="L47" s="2">
        <v>0</v>
      </c>
      <c r="M47" s="2">
        <v>0</v>
      </c>
      <c r="N47" s="4">
        <f t="shared" si="3"/>
        <v>49.5</v>
      </c>
      <c r="O47" s="4">
        <f t="shared" si="4"/>
        <v>0</v>
      </c>
      <c r="P47" s="4">
        <f t="shared" si="5"/>
        <v>0</v>
      </c>
      <c r="Q47" s="4">
        <f t="shared" si="6"/>
        <v>8.2940496401020276</v>
      </c>
      <c r="R47" s="4">
        <f t="shared" si="7"/>
        <v>6.1590953884919326</v>
      </c>
      <c r="S47" s="4">
        <f t="shared" si="8"/>
        <v>49.5</v>
      </c>
      <c r="T47" s="4">
        <f t="shared" si="9"/>
        <v>0</v>
      </c>
      <c r="U47" s="4">
        <f t="shared" si="10"/>
        <v>8.2940496401020276</v>
      </c>
      <c r="V47" s="4">
        <f t="shared" si="11"/>
        <v>6.1590953884919326</v>
      </c>
      <c r="W47" s="4">
        <f t="shared" si="12"/>
        <v>49.5</v>
      </c>
      <c r="X47" s="4">
        <f t="shared" si="13"/>
        <v>0</v>
      </c>
      <c r="Y47" s="4">
        <f t="shared" si="14"/>
        <v>8.2940496401020276</v>
      </c>
      <c r="Z47" s="4">
        <f t="shared" si="15"/>
        <v>6.1590953884919326</v>
      </c>
      <c r="AA47" s="4">
        <f t="shared" si="16"/>
        <v>49.5</v>
      </c>
      <c r="AB47" s="4">
        <f t="shared" si="17"/>
        <v>0</v>
      </c>
      <c r="AC47" s="4">
        <f t="shared" si="18"/>
        <v>0</v>
      </c>
      <c r="AD47" s="4">
        <f t="shared" si="19"/>
        <v>0</v>
      </c>
      <c r="AE47" s="4">
        <f t="shared" si="20"/>
        <v>0</v>
      </c>
      <c r="AF47" s="4">
        <f t="shared" si="21"/>
        <v>0</v>
      </c>
      <c r="AG47" s="4">
        <f t="shared" si="22"/>
        <v>8.2940496401020276</v>
      </c>
      <c r="AH47" s="4">
        <f t="shared" si="23"/>
        <v>0</v>
      </c>
      <c r="AI47" s="4">
        <f t="shared" si="24"/>
        <v>0</v>
      </c>
      <c r="AJ47" s="4">
        <f t="shared" si="25"/>
        <v>8.2940496401020276</v>
      </c>
      <c r="AK47" s="4">
        <f t="shared" si="26"/>
        <v>6.1590953884919326</v>
      </c>
      <c r="AL47" s="4">
        <f t="shared" si="27"/>
        <v>0</v>
      </c>
      <c r="AM47" s="4">
        <f>CER!$C$7+CER!$C$8*J47+CER!$C$9*K47+CER!$C$10*L47+CER!$C$11*M47</f>
        <v>3.2306376719664085</v>
      </c>
      <c r="AN47" s="4">
        <f t="shared" si="28"/>
        <v>25.295782240303392</v>
      </c>
      <c r="AO47" s="4">
        <f t="shared" si="29"/>
        <v>-4.8376040178285784E-2</v>
      </c>
      <c r="AP47" s="4">
        <f>Alternatives!$F$25+Alternatives!$F$26*J47+Alternatives!$F$27*K47+Alternatives!$F$28*G47+Alternatives!$F$29*O47</f>
        <v>3.2310556518744327</v>
      </c>
      <c r="AQ47" s="4">
        <f t="shared" si="30"/>
        <v>-4.8794020086309953E-2</v>
      </c>
    </row>
    <row r="48" spans="1:43" x14ac:dyDescent="0.35">
      <c r="A48" s="2" t="s">
        <v>115</v>
      </c>
      <c r="B48" s="2" t="s">
        <v>73</v>
      </c>
      <c r="C48" s="2" t="s">
        <v>67</v>
      </c>
      <c r="D48" s="2">
        <v>24.220400000000001</v>
      </c>
      <c r="E48" s="2">
        <v>4000</v>
      </c>
      <c r="F48" s="2">
        <v>503</v>
      </c>
      <c r="G48" s="2">
        <v>49.5</v>
      </c>
      <c r="H48" s="2" t="s">
        <v>68</v>
      </c>
      <c r="I48" s="4">
        <f t="shared" si="0"/>
        <v>3.1871952532652013</v>
      </c>
      <c r="J48" s="4">
        <f t="shared" si="1"/>
        <v>8.2940496401020276</v>
      </c>
      <c r="K48" s="4">
        <f t="shared" si="2"/>
        <v>6.2205901700997392</v>
      </c>
      <c r="L48" s="2">
        <v>0</v>
      </c>
      <c r="M48" s="2">
        <v>0</v>
      </c>
      <c r="N48" s="4">
        <f t="shared" si="3"/>
        <v>49.5</v>
      </c>
      <c r="O48" s="4">
        <f t="shared" si="4"/>
        <v>0</v>
      </c>
      <c r="P48" s="4">
        <f t="shared" si="5"/>
        <v>0</v>
      </c>
      <c r="Q48" s="4">
        <f t="shared" si="6"/>
        <v>8.2940496401020276</v>
      </c>
      <c r="R48" s="4">
        <f t="shared" si="7"/>
        <v>6.2205901700997392</v>
      </c>
      <c r="S48" s="4">
        <f t="shared" si="8"/>
        <v>49.5</v>
      </c>
      <c r="T48" s="4">
        <f t="shared" si="9"/>
        <v>0</v>
      </c>
      <c r="U48" s="4">
        <f t="shared" si="10"/>
        <v>8.2940496401020276</v>
      </c>
      <c r="V48" s="4">
        <f t="shared" si="11"/>
        <v>6.2205901700997392</v>
      </c>
      <c r="W48" s="4">
        <f t="shared" si="12"/>
        <v>49.5</v>
      </c>
      <c r="X48" s="4">
        <f t="shared" si="13"/>
        <v>0</v>
      </c>
      <c r="Y48" s="4">
        <f t="shared" si="14"/>
        <v>8.2940496401020276</v>
      </c>
      <c r="Z48" s="4">
        <f t="shared" si="15"/>
        <v>6.2205901700997392</v>
      </c>
      <c r="AA48" s="4">
        <f t="shared" si="16"/>
        <v>49.5</v>
      </c>
      <c r="AB48" s="4">
        <f t="shared" si="17"/>
        <v>0</v>
      </c>
      <c r="AC48" s="4">
        <f t="shared" si="18"/>
        <v>0</v>
      </c>
      <c r="AD48" s="4">
        <f t="shared" si="19"/>
        <v>0</v>
      </c>
      <c r="AE48" s="4">
        <f t="shared" si="20"/>
        <v>0</v>
      </c>
      <c r="AF48" s="4">
        <f t="shared" si="21"/>
        <v>0</v>
      </c>
      <c r="AG48" s="4">
        <f t="shared" si="22"/>
        <v>8.2940496401020276</v>
      </c>
      <c r="AH48" s="4">
        <f t="shared" si="23"/>
        <v>0</v>
      </c>
      <c r="AI48" s="4">
        <f t="shared" si="24"/>
        <v>0</v>
      </c>
      <c r="AJ48" s="4">
        <f t="shared" si="25"/>
        <v>8.2940496401020276</v>
      </c>
      <c r="AK48" s="4">
        <f t="shared" si="26"/>
        <v>6.2205901700997392</v>
      </c>
      <c r="AL48" s="4">
        <f t="shared" si="27"/>
        <v>0</v>
      </c>
      <c r="AM48" s="4">
        <f>CER!$C$7+CER!$C$8*J48+CER!$C$9*K48+CER!$C$10*L48+CER!$C$11*M48</f>
        <v>3.2079495588565603</v>
      </c>
      <c r="AN48" s="4">
        <f t="shared" si="28"/>
        <v>24.728330220578236</v>
      </c>
      <c r="AO48" s="4">
        <f t="shared" si="29"/>
        <v>-2.0754305591359046E-2</v>
      </c>
      <c r="AP48" s="4">
        <f>Alternatives!$F$25+Alternatives!$F$26*J48+Alternatives!$F$27*K48+Alternatives!$F$28*G48+Alternatives!$F$29*O48</f>
        <v>3.2146912775141625</v>
      </c>
      <c r="AQ48" s="4">
        <f t="shared" si="30"/>
        <v>-2.7496024248961248E-2</v>
      </c>
    </row>
    <row r="49" spans="1:43" x14ac:dyDescent="0.35">
      <c r="A49" s="2" t="s">
        <v>116</v>
      </c>
      <c r="B49" s="2" t="s">
        <v>73</v>
      </c>
      <c r="C49" s="2" t="s">
        <v>33</v>
      </c>
      <c r="D49" s="2">
        <v>30.918299999999999</v>
      </c>
      <c r="E49" s="2">
        <v>4500</v>
      </c>
      <c r="F49" s="2">
        <v>382</v>
      </c>
      <c r="G49" s="2">
        <v>49.7</v>
      </c>
      <c r="H49" s="2" t="s">
        <v>68</v>
      </c>
      <c r="I49" s="4">
        <f t="shared" si="0"/>
        <v>3.4313482416126488</v>
      </c>
      <c r="J49" s="4">
        <f t="shared" si="1"/>
        <v>8.4118326757584114</v>
      </c>
      <c r="K49" s="4">
        <f t="shared" si="2"/>
        <v>5.9454206086065753</v>
      </c>
      <c r="L49" s="2">
        <v>1</v>
      </c>
      <c r="M49" s="2">
        <v>0</v>
      </c>
      <c r="N49" s="4">
        <f t="shared" si="3"/>
        <v>49.7</v>
      </c>
      <c r="O49" s="4">
        <f t="shared" si="4"/>
        <v>1</v>
      </c>
      <c r="P49" s="4">
        <f t="shared" si="5"/>
        <v>1</v>
      </c>
      <c r="Q49" s="4">
        <f t="shared" si="6"/>
        <v>8.4118326757584114</v>
      </c>
      <c r="R49" s="4">
        <f t="shared" si="7"/>
        <v>5.9454206086065753</v>
      </c>
      <c r="S49" s="4">
        <f t="shared" si="8"/>
        <v>49.7</v>
      </c>
      <c r="T49" s="4">
        <f t="shared" si="9"/>
        <v>1</v>
      </c>
      <c r="U49" s="4">
        <f t="shared" si="10"/>
        <v>8.4118326757584114</v>
      </c>
      <c r="V49" s="4">
        <f t="shared" si="11"/>
        <v>5.9454206086065753</v>
      </c>
      <c r="W49" s="4">
        <f t="shared" si="12"/>
        <v>49.7</v>
      </c>
      <c r="X49" s="4">
        <f t="shared" si="13"/>
        <v>1</v>
      </c>
      <c r="Y49" s="4">
        <f t="shared" si="14"/>
        <v>8.4118326757584114</v>
      </c>
      <c r="Z49" s="4">
        <f t="shared" si="15"/>
        <v>5.9454206086065753</v>
      </c>
      <c r="AA49" s="4">
        <f t="shared" si="16"/>
        <v>49.7</v>
      </c>
      <c r="AB49" s="4">
        <f t="shared" si="17"/>
        <v>1</v>
      </c>
      <c r="AC49" s="4">
        <f t="shared" si="18"/>
        <v>0</v>
      </c>
      <c r="AD49" s="4">
        <f t="shared" si="19"/>
        <v>0</v>
      </c>
      <c r="AE49" s="4">
        <f t="shared" si="20"/>
        <v>0</v>
      </c>
      <c r="AF49" s="4">
        <f t="shared" si="21"/>
        <v>0</v>
      </c>
      <c r="AG49" s="4">
        <f t="shared" si="22"/>
        <v>8.4118326757584114</v>
      </c>
      <c r="AH49" s="4">
        <f t="shared" si="23"/>
        <v>1</v>
      </c>
      <c r="AI49" s="4">
        <f t="shared" si="24"/>
        <v>0</v>
      </c>
      <c r="AJ49" s="4">
        <f t="shared" si="25"/>
        <v>8.4118326757584114</v>
      </c>
      <c r="AK49" s="4">
        <f t="shared" si="26"/>
        <v>5.9454206086065753</v>
      </c>
      <c r="AL49" s="4">
        <f t="shared" si="27"/>
        <v>0</v>
      </c>
      <c r="AM49" s="4">
        <f>CER!$C$7+CER!$C$8*J49+CER!$C$9*K49+CER!$C$10*L49+CER!$C$11*M49</f>
        <v>3.4799037544075362</v>
      </c>
      <c r="AN49" s="4">
        <f t="shared" si="28"/>
        <v>32.456598121017251</v>
      </c>
      <c r="AO49" s="4">
        <f t="shared" si="29"/>
        <v>-4.8555512794887346E-2</v>
      </c>
      <c r="AP49" s="4">
        <f>Alternatives!$F$25+Alternatives!$F$26*J49+Alternatives!$F$27*K49+Alternatives!$F$28*G49+Alternatives!$F$29*O49</f>
        <v>4.1736449566466884</v>
      </c>
      <c r="AQ49" s="4">
        <f t="shared" si="30"/>
        <v>-0.7422967150340396</v>
      </c>
    </row>
    <row r="50" spans="1:43" x14ac:dyDescent="0.35">
      <c r="A50" s="2" t="s">
        <v>117</v>
      </c>
      <c r="B50" s="2" t="s">
        <v>73</v>
      </c>
      <c r="C50" s="2" t="s">
        <v>33</v>
      </c>
      <c r="D50" s="2">
        <v>30.918299999999999</v>
      </c>
      <c r="E50" s="2">
        <v>4500</v>
      </c>
      <c r="F50" s="2">
        <v>382</v>
      </c>
      <c r="G50" s="2">
        <v>50.1</v>
      </c>
      <c r="H50" s="2" t="s">
        <v>68</v>
      </c>
      <c r="I50" s="4">
        <f t="shared" si="0"/>
        <v>3.4313482416126488</v>
      </c>
      <c r="J50" s="4">
        <f t="shared" si="1"/>
        <v>8.4118326757584114</v>
      </c>
      <c r="K50" s="4">
        <f t="shared" si="2"/>
        <v>5.9454206086065753</v>
      </c>
      <c r="L50" s="2">
        <v>1</v>
      </c>
      <c r="M50" s="2">
        <v>0</v>
      </c>
      <c r="N50" s="4">
        <f t="shared" si="3"/>
        <v>50.1</v>
      </c>
      <c r="O50" s="4">
        <f t="shared" si="4"/>
        <v>1</v>
      </c>
      <c r="P50" s="4">
        <f t="shared" si="5"/>
        <v>1</v>
      </c>
      <c r="Q50" s="4">
        <f t="shared" si="6"/>
        <v>8.4118326757584114</v>
      </c>
      <c r="R50" s="4">
        <f t="shared" si="7"/>
        <v>5.9454206086065753</v>
      </c>
      <c r="S50" s="4">
        <f t="shared" si="8"/>
        <v>50.1</v>
      </c>
      <c r="T50" s="4">
        <f t="shared" si="9"/>
        <v>1</v>
      </c>
      <c r="U50" s="4">
        <f t="shared" si="10"/>
        <v>8.4118326757584114</v>
      </c>
      <c r="V50" s="4">
        <f t="shared" si="11"/>
        <v>5.9454206086065753</v>
      </c>
      <c r="W50" s="4">
        <f t="shared" si="12"/>
        <v>50.1</v>
      </c>
      <c r="X50" s="4">
        <f t="shared" si="13"/>
        <v>1</v>
      </c>
      <c r="Y50" s="4">
        <f t="shared" si="14"/>
        <v>8.4118326757584114</v>
      </c>
      <c r="Z50" s="4">
        <f t="shared" si="15"/>
        <v>5.9454206086065753</v>
      </c>
      <c r="AA50" s="4">
        <f t="shared" si="16"/>
        <v>50.1</v>
      </c>
      <c r="AB50" s="4">
        <f t="shared" si="17"/>
        <v>1</v>
      </c>
      <c r="AC50" s="4">
        <f t="shared" si="18"/>
        <v>0</v>
      </c>
      <c r="AD50" s="4">
        <f t="shared" si="19"/>
        <v>0</v>
      </c>
      <c r="AE50" s="4">
        <f t="shared" si="20"/>
        <v>0</v>
      </c>
      <c r="AF50" s="4">
        <f t="shared" si="21"/>
        <v>0</v>
      </c>
      <c r="AG50" s="4">
        <f t="shared" si="22"/>
        <v>8.4118326757584114</v>
      </c>
      <c r="AH50" s="4">
        <f t="shared" si="23"/>
        <v>1</v>
      </c>
      <c r="AI50" s="4">
        <f t="shared" si="24"/>
        <v>0</v>
      </c>
      <c r="AJ50" s="4">
        <f t="shared" si="25"/>
        <v>8.4118326757584114</v>
      </c>
      <c r="AK50" s="4">
        <f t="shared" si="26"/>
        <v>5.9454206086065753</v>
      </c>
      <c r="AL50" s="4">
        <f t="shared" si="27"/>
        <v>0</v>
      </c>
      <c r="AM50" s="4">
        <f>CER!$C$7+CER!$C$8*J50+CER!$C$9*K50+CER!$C$10*L50+CER!$C$11*M50</f>
        <v>3.4799037544075362</v>
      </c>
      <c r="AN50" s="4">
        <f t="shared" si="28"/>
        <v>32.456598121017251</v>
      </c>
      <c r="AO50" s="4">
        <f t="shared" si="29"/>
        <v>-4.8555512794887346E-2</v>
      </c>
      <c r="AP50" s="4">
        <f>Alternatives!$F$25+Alternatives!$F$26*J50+Alternatives!$F$27*K50+Alternatives!$F$28*G50+Alternatives!$F$29*O50</f>
        <v>4.1684420308297971</v>
      </c>
      <c r="AQ50" s="4">
        <f t="shared" si="30"/>
        <v>-0.7370937892171483</v>
      </c>
    </row>
    <row r="51" spans="1:43" x14ac:dyDescent="0.35">
      <c r="A51" s="2" t="s">
        <v>118</v>
      </c>
      <c r="B51" s="2" t="s">
        <v>73</v>
      </c>
      <c r="C51" s="2" t="s">
        <v>33</v>
      </c>
      <c r="D51" s="2">
        <v>34.735399999999998</v>
      </c>
      <c r="E51" s="2">
        <v>4000</v>
      </c>
      <c r="F51" s="2">
        <v>382</v>
      </c>
      <c r="G51" s="2">
        <v>48.8</v>
      </c>
      <c r="H51" s="2" t="s">
        <v>68</v>
      </c>
      <c r="I51" s="4">
        <f t="shared" si="0"/>
        <v>3.5477593398407379</v>
      </c>
      <c r="J51" s="4">
        <f t="shared" si="1"/>
        <v>8.2940496401020276</v>
      </c>
      <c r="K51" s="4">
        <f t="shared" si="2"/>
        <v>5.9454206086065753</v>
      </c>
      <c r="L51" s="2">
        <v>1</v>
      </c>
      <c r="M51" s="2">
        <v>0</v>
      </c>
      <c r="N51" s="4">
        <f t="shared" si="3"/>
        <v>48.8</v>
      </c>
      <c r="O51" s="4">
        <f t="shared" si="4"/>
        <v>1</v>
      </c>
      <c r="P51" s="4">
        <f t="shared" si="5"/>
        <v>1</v>
      </c>
      <c r="Q51" s="4">
        <f t="shared" si="6"/>
        <v>8.2940496401020276</v>
      </c>
      <c r="R51" s="4">
        <f t="shared" si="7"/>
        <v>5.9454206086065753</v>
      </c>
      <c r="S51" s="4">
        <f t="shared" si="8"/>
        <v>48.8</v>
      </c>
      <c r="T51" s="4">
        <f t="shared" si="9"/>
        <v>1</v>
      </c>
      <c r="U51" s="4">
        <f t="shared" si="10"/>
        <v>8.2940496401020276</v>
      </c>
      <c r="V51" s="4">
        <f t="shared" si="11"/>
        <v>5.9454206086065753</v>
      </c>
      <c r="W51" s="4">
        <f t="shared" si="12"/>
        <v>48.8</v>
      </c>
      <c r="X51" s="4">
        <f t="shared" si="13"/>
        <v>1</v>
      </c>
      <c r="Y51" s="4">
        <f t="shared" si="14"/>
        <v>8.2940496401020276</v>
      </c>
      <c r="Z51" s="4">
        <f t="shared" si="15"/>
        <v>5.9454206086065753</v>
      </c>
      <c r="AA51" s="4">
        <f t="shared" si="16"/>
        <v>48.8</v>
      </c>
      <c r="AB51" s="4">
        <f t="shared" si="17"/>
        <v>1</v>
      </c>
      <c r="AC51" s="4">
        <f t="shared" si="18"/>
        <v>0</v>
      </c>
      <c r="AD51" s="4">
        <f t="shared" si="19"/>
        <v>0</v>
      </c>
      <c r="AE51" s="4">
        <f t="shared" si="20"/>
        <v>0</v>
      </c>
      <c r="AF51" s="4">
        <f t="shared" si="21"/>
        <v>0</v>
      </c>
      <c r="AG51" s="4">
        <f t="shared" si="22"/>
        <v>8.2940496401020276</v>
      </c>
      <c r="AH51" s="4">
        <f t="shared" si="23"/>
        <v>1</v>
      </c>
      <c r="AI51" s="4">
        <f t="shared" si="24"/>
        <v>0</v>
      </c>
      <c r="AJ51" s="4">
        <f t="shared" si="25"/>
        <v>8.2940496401020276</v>
      </c>
      <c r="AK51" s="4">
        <f t="shared" si="26"/>
        <v>5.9454206086065753</v>
      </c>
      <c r="AL51" s="4">
        <f t="shared" si="27"/>
        <v>0</v>
      </c>
      <c r="AM51" s="4">
        <f>CER!$C$7+CER!$C$8*J51+CER!$C$9*K51+CER!$C$10*L51+CER!$C$11*M51</f>
        <v>3.5332252087863361</v>
      </c>
      <c r="AN51" s="4">
        <f t="shared" si="28"/>
        <v>34.234202204158528</v>
      </c>
      <c r="AO51" s="4">
        <f t="shared" si="29"/>
        <v>1.4534131054401822E-2</v>
      </c>
      <c r="AP51" s="4">
        <f>Alternatives!$F$25+Alternatives!$F$26*J51+Alternatives!$F$27*K51+Alternatives!$F$28*G51+Alternatives!$F$29*O51</f>
        <v>4.1417616897809024</v>
      </c>
      <c r="AQ51" s="4">
        <f t="shared" si="30"/>
        <v>-0.59400234994016454</v>
      </c>
    </row>
    <row r="52" spans="1:43" x14ac:dyDescent="0.35">
      <c r="A52" s="2" t="s">
        <v>119</v>
      </c>
      <c r="B52" s="2" t="s">
        <v>73</v>
      </c>
      <c r="C52" s="2" t="s">
        <v>33</v>
      </c>
      <c r="D52" s="2">
        <v>34.513800000000003</v>
      </c>
      <c r="E52" s="2">
        <v>4000</v>
      </c>
      <c r="F52" s="2">
        <v>382</v>
      </c>
      <c r="G52" s="2">
        <v>48.8</v>
      </c>
      <c r="H52" s="2" t="s">
        <v>68</v>
      </c>
      <c r="I52" s="4">
        <f t="shared" si="0"/>
        <v>3.5413592440586412</v>
      </c>
      <c r="J52" s="4">
        <f t="shared" si="1"/>
        <v>8.2940496401020276</v>
      </c>
      <c r="K52" s="4">
        <f t="shared" si="2"/>
        <v>5.9454206086065753</v>
      </c>
      <c r="L52" s="2">
        <v>1</v>
      </c>
      <c r="M52" s="2">
        <v>0</v>
      </c>
      <c r="N52" s="4">
        <f t="shared" si="3"/>
        <v>48.8</v>
      </c>
      <c r="O52" s="4">
        <f t="shared" si="4"/>
        <v>1</v>
      </c>
      <c r="P52" s="4">
        <f t="shared" si="5"/>
        <v>1</v>
      </c>
      <c r="Q52" s="4">
        <f t="shared" si="6"/>
        <v>8.2940496401020276</v>
      </c>
      <c r="R52" s="4">
        <f t="shared" si="7"/>
        <v>5.9454206086065753</v>
      </c>
      <c r="S52" s="4">
        <f t="shared" si="8"/>
        <v>48.8</v>
      </c>
      <c r="T52" s="4">
        <f t="shared" si="9"/>
        <v>1</v>
      </c>
      <c r="U52" s="4">
        <f t="shared" si="10"/>
        <v>8.2940496401020276</v>
      </c>
      <c r="V52" s="4">
        <f t="shared" si="11"/>
        <v>5.9454206086065753</v>
      </c>
      <c r="W52" s="4">
        <f t="shared" si="12"/>
        <v>48.8</v>
      </c>
      <c r="X52" s="4">
        <f t="shared" si="13"/>
        <v>1</v>
      </c>
      <c r="Y52" s="4">
        <f t="shared" si="14"/>
        <v>8.2940496401020276</v>
      </c>
      <c r="Z52" s="4">
        <f t="shared" si="15"/>
        <v>5.9454206086065753</v>
      </c>
      <c r="AA52" s="4">
        <f t="shared" si="16"/>
        <v>48.8</v>
      </c>
      <c r="AB52" s="4">
        <f t="shared" si="17"/>
        <v>1</v>
      </c>
      <c r="AC52" s="4">
        <f t="shared" si="18"/>
        <v>0</v>
      </c>
      <c r="AD52" s="4">
        <f t="shared" si="19"/>
        <v>0</v>
      </c>
      <c r="AE52" s="4">
        <f t="shared" si="20"/>
        <v>0</v>
      </c>
      <c r="AF52" s="4">
        <f t="shared" si="21"/>
        <v>0</v>
      </c>
      <c r="AG52" s="4">
        <f t="shared" si="22"/>
        <v>8.2940496401020276</v>
      </c>
      <c r="AH52" s="4">
        <f t="shared" si="23"/>
        <v>1</v>
      </c>
      <c r="AI52" s="4">
        <f t="shared" si="24"/>
        <v>0</v>
      </c>
      <c r="AJ52" s="4">
        <f t="shared" si="25"/>
        <v>8.2940496401020276</v>
      </c>
      <c r="AK52" s="4">
        <f t="shared" si="26"/>
        <v>5.9454206086065753</v>
      </c>
      <c r="AL52" s="4">
        <f t="shared" si="27"/>
        <v>0</v>
      </c>
      <c r="AM52" s="4">
        <f>CER!$C$7+CER!$C$8*J52+CER!$C$9*K52+CER!$C$10*L52+CER!$C$11*M52</f>
        <v>3.5332252087863361</v>
      </c>
      <c r="AN52" s="4">
        <f t="shared" si="28"/>
        <v>34.234202204158528</v>
      </c>
      <c r="AO52" s="4">
        <f t="shared" si="29"/>
        <v>8.1340352723051623E-3</v>
      </c>
      <c r="AP52" s="4">
        <f>Alternatives!$F$25+Alternatives!$F$26*J52+Alternatives!$F$27*K52+Alternatives!$F$28*G52+Alternatives!$F$29*O52</f>
        <v>4.1417616897809024</v>
      </c>
      <c r="AQ52" s="4">
        <f t="shared" si="30"/>
        <v>-0.6004024457222612</v>
      </c>
    </row>
    <row r="53" spans="1:43" x14ac:dyDescent="0.35">
      <c r="A53" s="2" t="s">
        <v>120</v>
      </c>
      <c r="B53" s="2" t="s">
        <v>73</v>
      </c>
      <c r="C53" s="2" t="s">
        <v>33</v>
      </c>
      <c r="D53" s="2">
        <v>35.914700000000003</v>
      </c>
      <c r="E53" s="2">
        <v>4000</v>
      </c>
      <c r="F53" s="2">
        <v>382</v>
      </c>
      <c r="G53" s="2">
        <v>49.2</v>
      </c>
      <c r="H53" s="2" t="s">
        <v>68</v>
      </c>
      <c r="I53" s="4">
        <f t="shared" si="0"/>
        <v>3.5811466824360516</v>
      </c>
      <c r="J53" s="4">
        <f t="shared" si="1"/>
        <v>8.2940496401020276</v>
      </c>
      <c r="K53" s="4">
        <f t="shared" si="2"/>
        <v>5.9454206086065753</v>
      </c>
      <c r="L53" s="2">
        <v>1</v>
      </c>
      <c r="M53" s="2">
        <v>0</v>
      </c>
      <c r="N53" s="4">
        <f t="shared" si="3"/>
        <v>49.2</v>
      </c>
      <c r="O53" s="4">
        <f t="shared" si="4"/>
        <v>1</v>
      </c>
      <c r="P53" s="4">
        <f t="shared" si="5"/>
        <v>1</v>
      </c>
      <c r="Q53" s="4">
        <f t="shared" si="6"/>
        <v>8.2940496401020276</v>
      </c>
      <c r="R53" s="4">
        <f t="shared" si="7"/>
        <v>5.9454206086065753</v>
      </c>
      <c r="S53" s="4">
        <f t="shared" si="8"/>
        <v>49.2</v>
      </c>
      <c r="T53" s="4">
        <f t="shared" si="9"/>
        <v>1</v>
      </c>
      <c r="U53" s="4">
        <f t="shared" si="10"/>
        <v>8.2940496401020276</v>
      </c>
      <c r="V53" s="4">
        <f t="shared" si="11"/>
        <v>5.9454206086065753</v>
      </c>
      <c r="W53" s="4">
        <f t="shared" si="12"/>
        <v>49.2</v>
      </c>
      <c r="X53" s="4">
        <f t="shared" si="13"/>
        <v>1</v>
      </c>
      <c r="Y53" s="4">
        <f t="shared" si="14"/>
        <v>8.2940496401020276</v>
      </c>
      <c r="Z53" s="4">
        <f t="shared" si="15"/>
        <v>5.9454206086065753</v>
      </c>
      <c r="AA53" s="4">
        <f t="shared" si="16"/>
        <v>49.2</v>
      </c>
      <c r="AB53" s="4">
        <f t="shared" si="17"/>
        <v>1</v>
      </c>
      <c r="AC53" s="4">
        <f t="shared" si="18"/>
        <v>0</v>
      </c>
      <c r="AD53" s="4">
        <f t="shared" si="19"/>
        <v>0</v>
      </c>
      <c r="AE53" s="4">
        <f t="shared" si="20"/>
        <v>0</v>
      </c>
      <c r="AF53" s="4">
        <f t="shared" si="21"/>
        <v>0</v>
      </c>
      <c r="AG53" s="4">
        <f t="shared" si="22"/>
        <v>8.2940496401020276</v>
      </c>
      <c r="AH53" s="4">
        <f t="shared" si="23"/>
        <v>1</v>
      </c>
      <c r="AI53" s="4">
        <f t="shared" si="24"/>
        <v>0</v>
      </c>
      <c r="AJ53" s="4">
        <f t="shared" si="25"/>
        <v>8.2940496401020276</v>
      </c>
      <c r="AK53" s="4">
        <f t="shared" si="26"/>
        <v>5.9454206086065753</v>
      </c>
      <c r="AL53" s="4">
        <f t="shared" si="27"/>
        <v>0</v>
      </c>
      <c r="AM53" s="4">
        <f>CER!$C$7+CER!$C$8*J53+CER!$C$9*K53+CER!$C$10*L53+CER!$C$11*M53</f>
        <v>3.5332252087863361</v>
      </c>
      <c r="AN53" s="4">
        <f t="shared" si="28"/>
        <v>34.234202204158528</v>
      </c>
      <c r="AO53" s="4">
        <f t="shared" si="29"/>
        <v>4.7921473649715551E-2</v>
      </c>
      <c r="AP53" s="4">
        <f>Alternatives!$F$25+Alternatives!$F$26*J53+Alternatives!$F$27*K53+Alternatives!$F$28*G53+Alternatives!$F$29*O53</f>
        <v>4.1365587639640111</v>
      </c>
      <c r="AQ53" s="4">
        <f t="shared" si="30"/>
        <v>-0.55541208152795951</v>
      </c>
    </row>
    <row r="54" spans="1:43" x14ac:dyDescent="0.35">
      <c r="A54" s="2" t="s">
        <v>121</v>
      </c>
      <c r="B54" s="2" t="s">
        <v>73</v>
      </c>
      <c r="C54" s="2" t="s">
        <v>33</v>
      </c>
      <c r="D54" s="2">
        <v>33.361899999999999</v>
      </c>
      <c r="E54" s="2">
        <v>4500</v>
      </c>
      <c r="F54" s="2">
        <v>382</v>
      </c>
      <c r="G54" s="2">
        <v>49.2</v>
      </c>
      <c r="H54" s="2" t="s">
        <v>68</v>
      </c>
      <c r="I54" s="4">
        <f t="shared" si="0"/>
        <v>3.5074145303051543</v>
      </c>
      <c r="J54" s="4">
        <f t="shared" si="1"/>
        <v>8.4118326757584114</v>
      </c>
      <c r="K54" s="4">
        <f t="shared" si="2"/>
        <v>5.9454206086065753</v>
      </c>
      <c r="L54" s="2">
        <v>1</v>
      </c>
      <c r="M54" s="2">
        <v>0</v>
      </c>
      <c r="N54" s="4">
        <f t="shared" si="3"/>
        <v>49.2</v>
      </c>
      <c r="O54" s="4">
        <f t="shared" si="4"/>
        <v>1</v>
      </c>
      <c r="P54" s="4">
        <f t="shared" si="5"/>
        <v>1</v>
      </c>
      <c r="Q54" s="4">
        <f t="shared" si="6"/>
        <v>8.4118326757584114</v>
      </c>
      <c r="R54" s="4">
        <f t="shared" si="7"/>
        <v>5.9454206086065753</v>
      </c>
      <c r="S54" s="4">
        <f t="shared" si="8"/>
        <v>49.2</v>
      </c>
      <c r="T54" s="4">
        <f t="shared" si="9"/>
        <v>1</v>
      </c>
      <c r="U54" s="4">
        <f t="shared" si="10"/>
        <v>8.4118326757584114</v>
      </c>
      <c r="V54" s="4">
        <f t="shared" si="11"/>
        <v>5.9454206086065753</v>
      </c>
      <c r="W54" s="4">
        <f t="shared" si="12"/>
        <v>49.2</v>
      </c>
      <c r="X54" s="4">
        <f t="shared" si="13"/>
        <v>1</v>
      </c>
      <c r="Y54" s="4">
        <f t="shared" si="14"/>
        <v>8.4118326757584114</v>
      </c>
      <c r="Z54" s="4">
        <f t="shared" si="15"/>
        <v>5.9454206086065753</v>
      </c>
      <c r="AA54" s="4">
        <f t="shared" si="16"/>
        <v>49.2</v>
      </c>
      <c r="AB54" s="4">
        <f t="shared" si="17"/>
        <v>1</v>
      </c>
      <c r="AC54" s="4">
        <f t="shared" si="18"/>
        <v>0</v>
      </c>
      <c r="AD54" s="4">
        <f t="shared" si="19"/>
        <v>0</v>
      </c>
      <c r="AE54" s="4">
        <f t="shared" si="20"/>
        <v>0</v>
      </c>
      <c r="AF54" s="4">
        <f t="shared" si="21"/>
        <v>0</v>
      </c>
      <c r="AG54" s="4">
        <f t="shared" si="22"/>
        <v>8.4118326757584114</v>
      </c>
      <c r="AH54" s="4">
        <f t="shared" si="23"/>
        <v>1</v>
      </c>
      <c r="AI54" s="4">
        <f t="shared" si="24"/>
        <v>0</v>
      </c>
      <c r="AJ54" s="4">
        <f t="shared" si="25"/>
        <v>8.4118326757584114</v>
      </c>
      <c r="AK54" s="4">
        <f t="shared" si="26"/>
        <v>5.9454206086065753</v>
      </c>
      <c r="AL54" s="4">
        <f t="shared" si="27"/>
        <v>0</v>
      </c>
      <c r="AM54" s="4">
        <f>CER!$C$7+CER!$C$8*J54+CER!$C$9*K54+CER!$C$10*L54+CER!$C$11*M54</f>
        <v>3.4799037544075362</v>
      </c>
      <c r="AN54" s="4">
        <f t="shared" si="28"/>
        <v>32.456598121017251</v>
      </c>
      <c r="AO54" s="4">
        <f t="shared" si="29"/>
        <v>2.7510775897618078E-2</v>
      </c>
      <c r="AP54" s="4">
        <f>Alternatives!$F$25+Alternatives!$F$26*J54+Alternatives!$F$27*K54+Alternatives!$F$28*G54+Alternatives!$F$29*O54</f>
        <v>4.1801486139178028</v>
      </c>
      <c r="AQ54" s="4">
        <f t="shared" si="30"/>
        <v>-0.67273408361264853</v>
      </c>
    </row>
    <row r="55" spans="1:43" x14ac:dyDescent="0.35">
      <c r="A55" s="2" t="s">
        <v>122</v>
      </c>
      <c r="B55" s="2" t="s">
        <v>73</v>
      </c>
      <c r="C55" s="2" t="s">
        <v>33</v>
      </c>
      <c r="D55" s="2">
        <v>38.432499999999997</v>
      </c>
      <c r="E55" s="2">
        <v>4500</v>
      </c>
      <c r="F55" s="2">
        <v>375</v>
      </c>
      <c r="G55" s="2">
        <v>52.9</v>
      </c>
      <c r="H55" s="2" t="s">
        <v>68</v>
      </c>
      <c r="I55" s="4">
        <f t="shared" si="0"/>
        <v>3.6489034558046174</v>
      </c>
      <c r="J55" s="4">
        <f t="shared" si="1"/>
        <v>8.4118326757584114</v>
      </c>
      <c r="K55" s="4">
        <f t="shared" si="2"/>
        <v>5.9269260259704106</v>
      </c>
      <c r="L55" s="2">
        <v>1</v>
      </c>
      <c r="M55" s="2">
        <v>0</v>
      </c>
      <c r="N55" s="4">
        <f t="shared" si="3"/>
        <v>52.9</v>
      </c>
      <c r="O55" s="4">
        <f t="shared" si="4"/>
        <v>1</v>
      </c>
      <c r="P55" s="4">
        <f t="shared" si="5"/>
        <v>1</v>
      </c>
      <c r="Q55" s="4">
        <f t="shared" si="6"/>
        <v>8.4118326757584114</v>
      </c>
      <c r="R55" s="4">
        <f t="shared" si="7"/>
        <v>5.9269260259704106</v>
      </c>
      <c r="S55" s="4">
        <f t="shared" si="8"/>
        <v>52.9</v>
      </c>
      <c r="T55" s="4">
        <f t="shared" si="9"/>
        <v>1</v>
      </c>
      <c r="U55" s="4">
        <f t="shared" si="10"/>
        <v>8.4118326757584114</v>
      </c>
      <c r="V55" s="4">
        <f t="shared" si="11"/>
        <v>5.9269260259704106</v>
      </c>
      <c r="W55" s="4">
        <f t="shared" si="12"/>
        <v>52.9</v>
      </c>
      <c r="X55" s="4">
        <f t="shared" si="13"/>
        <v>1</v>
      </c>
      <c r="Y55" s="4">
        <f t="shared" si="14"/>
        <v>8.4118326757584114</v>
      </c>
      <c r="Z55" s="4">
        <f t="shared" si="15"/>
        <v>5.9269260259704106</v>
      </c>
      <c r="AA55" s="4">
        <f t="shared" si="16"/>
        <v>52.9</v>
      </c>
      <c r="AB55" s="4">
        <f t="shared" si="17"/>
        <v>1</v>
      </c>
      <c r="AC55" s="4">
        <f t="shared" si="18"/>
        <v>0</v>
      </c>
      <c r="AD55" s="4">
        <f t="shared" si="19"/>
        <v>0</v>
      </c>
      <c r="AE55" s="4">
        <f t="shared" si="20"/>
        <v>0</v>
      </c>
      <c r="AF55" s="4">
        <f t="shared" si="21"/>
        <v>0</v>
      </c>
      <c r="AG55" s="4">
        <f t="shared" si="22"/>
        <v>8.4118326757584114</v>
      </c>
      <c r="AH55" s="4">
        <f t="shared" si="23"/>
        <v>1</v>
      </c>
      <c r="AI55" s="4">
        <f t="shared" si="24"/>
        <v>0</v>
      </c>
      <c r="AJ55" s="4">
        <f t="shared" si="25"/>
        <v>8.4118326757584114</v>
      </c>
      <c r="AK55" s="4">
        <f t="shared" si="26"/>
        <v>5.9269260259704106</v>
      </c>
      <c r="AL55" s="4">
        <f t="shared" si="27"/>
        <v>0</v>
      </c>
      <c r="AM55" s="4">
        <f>CER!$C$7+CER!$C$8*J55+CER!$C$9*K55+CER!$C$10*L55+CER!$C$11*M55</f>
        <v>3.4867272144117503</v>
      </c>
      <c r="AN55" s="4">
        <f t="shared" si="28"/>
        <v>32.678821724885729</v>
      </c>
      <c r="AO55" s="4">
        <f t="shared" si="29"/>
        <v>0.16217624139286713</v>
      </c>
      <c r="AP55" s="4">
        <f>Alternatives!$F$25+Alternatives!$F$26*J55+Alternatives!$F$27*K55+Alternatives!$F$28*G55+Alternatives!$F$29*O55</f>
        <v>4.1369431429033723</v>
      </c>
      <c r="AQ55" s="4">
        <f t="shared" si="30"/>
        <v>-0.48803968709875489</v>
      </c>
    </row>
    <row r="56" spans="1:43" x14ac:dyDescent="0.35">
      <c r="A56" s="2" t="s">
        <v>123</v>
      </c>
      <c r="B56" s="2" t="s">
        <v>73</v>
      </c>
      <c r="C56" s="2" t="s">
        <v>33</v>
      </c>
      <c r="D56" s="2">
        <v>33.361899999999999</v>
      </c>
      <c r="E56" s="2">
        <v>4500</v>
      </c>
      <c r="F56" s="2">
        <v>382</v>
      </c>
      <c r="G56" s="2">
        <v>49.2</v>
      </c>
      <c r="H56" s="2" t="s">
        <v>68</v>
      </c>
      <c r="I56" s="4">
        <f t="shared" si="0"/>
        <v>3.5074145303051543</v>
      </c>
      <c r="J56" s="4">
        <f t="shared" si="1"/>
        <v>8.4118326757584114</v>
      </c>
      <c r="K56" s="4">
        <f t="shared" si="2"/>
        <v>5.9454206086065753</v>
      </c>
      <c r="L56" s="2">
        <v>1</v>
      </c>
      <c r="M56" s="2">
        <v>0</v>
      </c>
      <c r="N56" s="4">
        <f t="shared" si="3"/>
        <v>49.2</v>
      </c>
      <c r="O56" s="4">
        <f t="shared" si="4"/>
        <v>1</v>
      </c>
      <c r="P56" s="4">
        <f t="shared" si="5"/>
        <v>1</v>
      </c>
      <c r="Q56" s="4">
        <f t="shared" si="6"/>
        <v>8.4118326757584114</v>
      </c>
      <c r="R56" s="4">
        <f t="shared" si="7"/>
        <v>5.9454206086065753</v>
      </c>
      <c r="S56" s="4">
        <f t="shared" si="8"/>
        <v>49.2</v>
      </c>
      <c r="T56" s="4">
        <f t="shared" si="9"/>
        <v>1</v>
      </c>
      <c r="U56" s="4">
        <f t="shared" si="10"/>
        <v>8.4118326757584114</v>
      </c>
      <c r="V56" s="4">
        <f t="shared" si="11"/>
        <v>5.9454206086065753</v>
      </c>
      <c r="W56" s="4">
        <f t="shared" si="12"/>
        <v>49.2</v>
      </c>
      <c r="X56" s="4">
        <f t="shared" si="13"/>
        <v>1</v>
      </c>
      <c r="Y56" s="4">
        <f t="shared" si="14"/>
        <v>8.4118326757584114</v>
      </c>
      <c r="Z56" s="4">
        <f t="shared" si="15"/>
        <v>5.9454206086065753</v>
      </c>
      <c r="AA56" s="4">
        <f t="shared" si="16"/>
        <v>49.2</v>
      </c>
      <c r="AB56" s="4">
        <f t="shared" si="17"/>
        <v>1</v>
      </c>
      <c r="AC56" s="4">
        <f t="shared" si="18"/>
        <v>0</v>
      </c>
      <c r="AD56" s="4">
        <f t="shared" si="19"/>
        <v>0</v>
      </c>
      <c r="AE56" s="4">
        <f t="shared" si="20"/>
        <v>0</v>
      </c>
      <c r="AF56" s="4">
        <f t="shared" si="21"/>
        <v>0</v>
      </c>
      <c r="AG56" s="4">
        <f t="shared" si="22"/>
        <v>8.4118326757584114</v>
      </c>
      <c r="AH56" s="4">
        <f t="shared" si="23"/>
        <v>1</v>
      </c>
      <c r="AI56" s="4">
        <f t="shared" si="24"/>
        <v>0</v>
      </c>
      <c r="AJ56" s="4">
        <f t="shared" si="25"/>
        <v>8.4118326757584114</v>
      </c>
      <c r="AK56" s="4">
        <f t="shared" si="26"/>
        <v>5.9454206086065753</v>
      </c>
      <c r="AL56" s="4">
        <f t="shared" si="27"/>
        <v>0</v>
      </c>
      <c r="AM56" s="4">
        <f>CER!$C$7+CER!$C$8*J56+CER!$C$9*K56+CER!$C$10*L56+CER!$C$11*M56</f>
        <v>3.4799037544075362</v>
      </c>
      <c r="AN56" s="4">
        <f t="shared" si="28"/>
        <v>32.456598121017251</v>
      </c>
      <c r="AO56" s="4">
        <f t="shared" si="29"/>
        <v>2.7510775897618078E-2</v>
      </c>
      <c r="AP56" s="4">
        <f>Alternatives!$F$25+Alternatives!$F$26*J56+Alternatives!$F$27*K56+Alternatives!$F$28*G56+Alternatives!$F$29*O56</f>
        <v>4.1801486139178028</v>
      </c>
      <c r="AQ56" s="4">
        <f t="shared" si="30"/>
        <v>-0.67273408361264853</v>
      </c>
    </row>
    <row r="57" spans="1:43" x14ac:dyDescent="0.35">
      <c r="A57" s="2" t="s">
        <v>124</v>
      </c>
      <c r="B57" s="2" t="s">
        <v>73</v>
      </c>
      <c r="C57" s="2" t="s">
        <v>67</v>
      </c>
      <c r="D57" s="2">
        <v>34.827399999999997</v>
      </c>
      <c r="E57" s="2">
        <v>4000</v>
      </c>
      <c r="F57" s="2">
        <v>382</v>
      </c>
      <c r="G57" s="2">
        <v>46.8</v>
      </c>
      <c r="H57" s="2" t="s">
        <v>68</v>
      </c>
      <c r="I57" s="4">
        <f t="shared" si="0"/>
        <v>3.5504044332998848</v>
      </c>
      <c r="J57" s="4">
        <f t="shared" si="1"/>
        <v>8.2940496401020276</v>
      </c>
      <c r="K57" s="4">
        <f t="shared" si="2"/>
        <v>5.9454206086065753</v>
      </c>
      <c r="L57" s="2">
        <v>0</v>
      </c>
      <c r="M57" s="2">
        <v>0</v>
      </c>
      <c r="N57" s="4">
        <f t="shared" si="3"/>
        <v>46.8</v>
      </c>
      <c r="O57" s="4">
        <f t="shared" si="4"/>
        <v>0</v>
      </c>
      <c r="P57" s="4">
        <f t="shared" si="5"/>
        <v>0</v>
      </c>
      <c r="Q57" s="4">
        <f t="shared" si="6"/>
        <v>8.2940496401020276</v>
      </c>
      <c r="R57" s="4">
        <f t="shared" si="7"/>
        <v>5.9454206086065753</v>
      </c>
      <c r="S57" s="4">
        <f t="shared" si="8"/>
        <v>46.8</v>
      </c>
      <c r="T57" s="4">
        <f t="shared" si="9"/>
        <v>0</v>
      </c>
      <c r="U57" s="4">
        <f t="shared" si="10"/>
        <v>8.2940496401020276</v>
      </c>
      <c r="V57" s="4">
        <f t="shared" si="11"/>
        <v>5.9454206086065753</v>
      </c>
      <c r="W57" s="4">
        <f t="shared" si="12"/>
        <v>46.8</v>
      </c>
      <c r="X57" s="4">
        <f t="shared" si="13"/>
        <v>0</v>
      </c>
      <c r="Y57" s="4">
        <f t="shared" si="14"/>
        <v>8.2940496401020276</v>
      </c>
      <c r="Z57" s="4">
        <f t="shared" si="15"/>
        <v>5.9454206086065753</v>
      </c>
      <c r="AA57" s="4">
        <f t="shared" si="16"/>
        <v>46.8</v>
      </c>
      <c r="AB57" s="4">
        <f t="shared" si="17"/>
        <v>0</v>
      </c>
      <c r="AC57" s="4">
        <f t="shared" si="18"/>
        <v>0</v>
      </c>
      <c r="AD57" s="4">
        <f t="shared" si="19"/>
        <v>0</v>
      </c>
      <c r="AE57" s="4">
        <f t="shared" si="20"/>
        <v>0</v>
      </c>
      <c r="AF57" s="4">
        <f t="shared" si="21"/>
        <v>0</v>
      </c>
      <c r="AG57" s="4">
        <f t="shared" si="22"/>
        <v>8.2940496401020276</v>
      </c>
      <c r="AH57" s="4">
        <f t="shared" si="23"/>
        <v>0</v>
      </c>
      <c r="AI57" s="4">
        <f t="shared" si="24"/>
        <v>0</v>
      </c>
      <c r="AJ57" s="4">
        <f t="shared" si="25"/>
        <v>8.2940496401020276</v>
      </c>
      <c r="AK57" s="4">
        <f t="shared" si="26"/>
        <v>5.9454206086065753</v>
      </c>
      <c r="AL57" s="4">
        <f t="shared" si="27"/>
        <v>0</v>
      </c>
      <c r="AM57" s="4">
        <f>CER!$C$7+CER!$C$8*J57+CER!$C$9*K57+CER!$C$10*L57+CER!$C$11*M57</f>
        <v>3.3094716388171102</v>
      </c>
      <c r="AN57" s="4">
        <f t="shared" si="28"/>
        <v>27.370660056433831</v>
      </c>
      <c r="AO57" s="4">
        <f t="shared" si="29"/>
        <v>0.2409327944827746</v>
      </c>
      <c r="AP57" s="4">
        <f>Alternatives!$F$25+Alternatives!$F$26*J57+Alternatives!$F$27*K57+Alternatives!$F$28*G57+Alternatives!$F$29*O57</f>
        <v>3.3230363899568629</v>
      </c>
      <c r="AQ57" s="4">
        <f t="shared" si="30"/>
        <v>0.22736804334302185</v>
      </c>
    </row>
    <row r="58" spans="1:43" x14ac:dyDescent="0.35">
      <c r="A58" s="2" t="s">
        <v>125</v>
      </c>
      <c r="B58" s="2" t="s">
        <v>73</v>
      </c>
      <c r="C58" s="2" t="s">
        <v>33</v>
      </c>
      <c r="D58" s="2">
        <v>37.2254</v>
      </c>
      <c r="E58" s="2">
        <v>4500</v>
      </c>
      <c r="F58" s="2">
        <v>181</v>
      </c>
      <c r="G58" s="2">
        <v>48.8</v>
      </c>
      <c r="H58" s="2" t="s">
        <v>68</v>
      </c>
      <c r="I58" s="4">
        <f t="shared" si="0"/>
        <v>3.616991323979097</v>
      </c>
      <c r="J58" s="4">
        <f t="shared" si="1"/>
        <v>8.4118326757584114</v>
      </c>
      <c r="K58" s="4">
        <f t="shared" si="2"/>
        <v>5.1984970312658261</v>
      </c>
      <c r="L58" s="2">
        <v>1</v>
      </c>
      <c r="M58" s="2">
        <v>0</v>
      </c>
      <c r="N58" s="4">
        <f t="shared" si="3"/>
        <v>48.8</v>
      </c>
      <c r="O58" s="4">
        <f t="shared" si="4"/>
        <v>1</v>
      </c>
      <c r="P58" s="4">
        <f t="shared" si="5"/>
        <v>1</v>
      </c>
      <c r="Q58" s="4">
        <f t="shared" si="6"/>
        <v>8.4118326757584114</v>
      </c>
      <c r="R58" s="4">
        <f t="shared" si="7"/>
        <v>5.1984970312658261</v>
      </c>
      <c r="S58" s="4">
        <f t="shared" si="8"/>
        <v>48.8</v>
      </c>
      <c r="T58" s="4">
        <f t="shared" si="9"/>
        <v>1</v>
      </c>
      <c r="U58" s="4">
        <f t="shared" si="10"/>
        <v>8.4118326757584114</v>
      </c>
      <c r="V58" s="4">
        <f t="shared" si="11"/>
        <v>5.1984970312658261</v>
      </c>
      <c r="W58" s="4">
        <f t="shared" si="12"/>
        <v>48.8</v>
      </c>
      <c r="X58" s="4">
        <f t="shared" si="13"/>
        <v>1</v>
      </c>
      <c r="Y58" s="4">
        <f t="shared" si="14"/>
        <v>8.4118326757584114</v>
      </c>
      <c r="Z58" s="4">
        <f t="shared" si="15"/>
        <v>5.1984970312658261</v>
      </c>
      <c r="AA58" s="4">
        <f t="shared" si="16"/>
        <v>48.8</v>
      </c>
      <c r="AB58" s="4">
        <f t="shared" si="17"/>
        <v>1</v>
      </c>
      <c r="AC58" s="4">
        <f t="shared" si="18"/>
        <v>0</v>
      </c>
      <c r="AD58" s="4">
        <f t="shared" si="19"/>
        <v>0</v>
      </c>
      <c r="AE58" s="4">
        <f t="shared" si="20"/>
        <v>0</v>
      </c>
      <c r="AF58" s="4">
        <f t="shared" si="21"/>
        <v>0</v>
      </c>
      <c r="AG58" s="4">
        <f t="shared" si="22"/>
        <v>8.4118326757584114</v>
      </c>
      <c r="AH58" s="4">
        <f t="shared" si="23"/>
        <v>1</v>
      </c>
      <c r="AI58" s="4">
        <f t="shared" si="24"/>
        <v>0</v>
      </c>
      <c r="AJ58" s="4">
        <f t="shared" si="25"/>
        <v>8.4118326757584114</v>
      </c>
      <c r="AK58" s="4">
        <f t="shared" si="26"/>
        <v>5.1984970312658261</v>
      </c>
      <c r="AL58" s="4">
        <f t="shared" si="27"/>
        <v>0</v>
      </c>
      <c r="AM58" s="4">
        <f>CER!$C$7+CER!$C$8*J58+CER!$C$9*K58+CER!$C$10*L58+CER!$C$11*M58</f>
        <v>3.7554765130067524</v>
      </c>
      <c r="AN58" s="4">
        <f t="shared" si="28"/>
        <v>42.754588074611512</v>
      </c>
      <c r="AO58" s="4">
        <f t="shared" si="29"/>
        <v>-0.1384851890276555</v>
      </c>
      <c r="AP58" s="4">
        <f>Alternatives!$F$25+Alternatives!$F$26*J58+Alternatives!$F$27*K58+Alternatives!$F$28*G58+Alternatives!$F$29*O58</f>
        <v>4.3841153489318714</v>
      </c>
      <c r="AQ58" s="4">
        <f t="shared" si="30"/>
        <v>-0.76712402495277443</v>
      </c>
    </row>
    <row r="59" spans="1:43" x14ac:dyDescent="0.35">
      <c r="A59" s="2" t="s">
        <v>126</v>
      </c>
      <c r="B59" s="2" t="s">
        <v>73</v>
      </c>
      <c r="C59" s="2" t="s">
        <v>33</v>
      </c>
      <c r="D59" s="2">
        <v>39.082000000000001</v>
      </c>
      <c r="E59" s="2">
        <v>4500</v>
      </c>
      <c r="F59" s="2">
        <v>181</v>
      </c>
      <c r="G59" s="2">
        <v>48.8</v>
      </c>
      <c r="H59" s="2" t="s">
        <v>68</v>
      </c>
      <c r="I59" s="4">
        <f t="shared" si="0"/>
        <v>3.6656620029377516</v>
      </c>
      <c r="J59" s="4">
        <f t="shared" si="1"/>
        <v>8.4118326757584114</v>
      </c>
      <c r="K59" s="4">
        <f t="shared" si="2"/>
        <v>5.1984970312658261</v>
      </c>
      <c r="L59" s="2">
        <v>1</v>
      </c>
      <c r="M59" s="2">
        <v>0</v>
      </c>
      <c r="N59" s="4">
        <f t="shared" si="3"/>
        <v>48.8</v>
      </c>
      <c r="O59" s="4">
        <f t="shared" si="4"/>
        <v>1</v>
      </c>
      <c r="P59" s="4">
        <f t="shared" si="5"/>
        <v>1</v>
      </c>
      <c r="Q59" s="4">
        <f t="shared" si="6"/>
        <v>8.4118326757584114</v>
      </c>
      <c r="R59" s="4">
        <f t="shared" si="7"/>
        <v>5.1984970312658261</v>
      </c>
      <c r="S59" s="4">
        <f t="shared" si="8"/>
        <v>48.8</v>
      </c>
      <c r="T59" s="4">
        <f t="shared" si="9"/>
        <v>1</v>
      </c>
      <c r="U59" s="4">
        <f t="shared" si="10"/>
        <v>8.4118326757584114</v>
      </c>
      <c r="V59" s="4">
        <f t="shared" si="11"/>
        <v>5.1984970312658261</v>
      </c>
      <c r="W59" s="4">
        <f t="shared" si="12"/>
        <v>48.8</v>
      </c>
      <c r="X59" s="4">
        <f t="shared" si="13"/>
        <v>1</v>
      </c>
      <c r="Y59" s="4">
        <f t="shared" si="14"/>
        <v>8.4118326757584114</v>
      </c>
      <c r="Z59" s="4">
        <f t="shared" si="15"/>
        <v>5.1984970312658261</v>
      </c>
      <c r="AA59" s="4">
        <f t="shared" si="16"/>
        <v>48.8</v>
      </c>
      <c r="AB59" s="4">
        <f t="shared" si="17"/>
        <v>1</v>
      </c>
      <c r="AC59" s="4">
        <f t="shared" si="18"/>
        <v>0</v>
      </c>
      <c r="AD59" s="4">
        <f t="shared" si="19"/>
        <v>0</v>
      </c>
      <c r="AE59" s="4">
        <f t="shared" si="20"/>
        <v>0</v>
      </c>
      <c r="AF59" s="4">
        <f t="shared" si="21"/>
        <v>0</v>
      </c>
      <c r="AG59" s="4">
        <f t="shared" si="22"/>
        <v>8.4118326757584114</v>
      </c>
      <c r="AH59" s="4">
        <f t="shared" si="23"/>
        <v>1</v>
      </c>
      <c r="AI59" s="4">
        <f t="shared" si="24"/>
        <v>0</v>
      </c>
      <c r="AJ59" s="4">
        <f t="shared" si="25"/>
        <v>8.4118326757584114</v>
      </c>
      <c r="AK59" s="4">
        <f t="shared" si="26"/>
        <v>5.1984970312658261</v>
      </c>
      <c r="AL59" s="4">
        <f t="shared" si="27"/>
        <v>0</v>
      </c>
      <c r="AM59" s="4">
        <f>CER!$C$7+CER!$C$8*J59+CER!$C$9*K59+CER!$C$10*L59+CER!$C$11*M59</f>
        <v>3.7554765130067524</v>
      </c>
      <c r="AN59" s="4">
        <f t="shared" si="28"/>
        <v>42.754588074611512</v>
      </c>
      <c r="AO59" s="4">
        <f t="shared" si="29"/>
        <v>-8.9814510069000875E-2</v>
      </c>
      <c r="AP59" s="4">
        <f>Alternatives!$F$25+Alternatives!$F$26*J59+Alternatives!$F$27*K59+Alternatives!$F$28*G59+Alternatives!$F$29*O59</f>
        <v>4.3841153489318714</v>
      </c>
      <c r="AQ59" s="4">
        <f t="shared" si="30"/>
        <v>-0.71845334599411981</v>
      </c>
    </row>
    <row r="60" spans="1:43" x14ac:dyDescent="0.35">
      <c r="A60" s="2" t="s">
        <v>127</v>
      </c>
      <c r="B60" s="2" t="s">
        <v>73</v>
      </c>
      <c r="C60" s="2" t="s">
        <v>67</v>
      </c>
      <c r="D60" s="2">
        <v>40.199599999999997</v>
      </c>
      <c r="E60" s="2">
        <v>3500</v>
      </c>
      <c r="F60" s="2">
        <v>255</v>
      </c>
      <c r="G60" s="2">
        <v>46.9</v>
      </c>
      <c r="H60" s="2" t="s">
        <v>68</v>
      </c>
      <c r="I60" s="4">
        <f t="shared" si="0"/>
        <v>3.6938570453267152</v>
      </c>
      <c r="J60" s="4">
        <f t="shared" si="1"/>
        <v>8.1605182474775049</v>
      </c>
      <c r="K60" s="4">
        <f t="shared" si="2"/>
        <v>5.5412635451584258</v>
      </c>
      <c r="L60" s="2">
        <v>0</v>
      </c>
      <c r="M60" s="2">
        <v>0</v>
      </c>
      <c r="N60" s="4">
        <f t="shared" si="3"/>
        <v>46.9</v>
      </c>
      <c r="O60" s="4">
        <f t="shared" si="4"/>
        <v>0</v>
      </c>
      <c r="P60" s="4">
        <f t="shared" si="5"/>
        <v>0</v>
      </c>
      <c r="Q60" s="4">
        <f t="shared" si="6"/>
        <v>8.1605182474775049</v>
      </c>
      <c r="R60" s="4">
        <f t="shared" si="7"/>
        <v>5.5412635451584258</v>
      </c>
      <c r="S60" s="4">
        <f t="shared" si="8"/>
        <v>46.9</v>
      </c>
      <c r="T60" s="4">
        <f t="shared" si="9"/>
        <v>0</v>
      </c>
      <c r="U60" s="4">
        <f t="shared" si="10"/>
        <v>8.1605182474775049</v>
      </c>
      <c r="V60" s="4">
        <f t="shared" si="11"/>
        <v>5.5412635451584258</v>
      </c>
      <c r="W60" s="4">
        <f t="shared" si="12"/>
        <v>46.9</v>
      </c>
      <c r="X60" s="4">
        <f t="shared" si="13"/>
        <v>0</v>
      </c>
      <c r="Y60" s="4">
        <f t="shared" si="14"/>
        <v>8.1605182474775049</v>
      </c>
      <c r="Z60" s="4">
        <f t="shared" si="15"/>
        <v>5.5412635451584258</v>
      </c>
      <c r="AA60" s="4">
        <f t="shared" si="16"/>
        <v>46.9</v>
      </c>
      <c r="AB60" s="4">
        <f t="shared" si="17"/>
        <v>0</v>
      </c>
      <c r="AC60" s="4">
        <f t="shared" si="18"/>
        <v>0</v>
      </c>
      <c r="AD60" s="4">
        <f t="shared" si="19"/>
        <v>0</v>
      </c>
      <c r="AE60" s="4">
        <f t="shared" si="20"/>
        <v>0</v>
      </c>
      <c r="AF60" s="4">
        <f t="shared" si="21"/>
        <v>0</v>
      </c>
      <c r="AG60" s="4">
        <f t="shared" si="22"/>
        <v>8.1605182474775049</v>
      </c>
      <c r="AH60" s="4">
        <f t="shared" si="23"/>
        <v>0</v>
      </c>
      <c r="AI60" s="4">
        <f t="shared" si="24"/>
        <v>0</v>
      </c>
      <c r="AJ60" s="4">
        <f t="shared" si="25"/>
        <v>8.1605182474775049</v>
      </c>
      <c r="AK60" s="4">
        <f t="shared" si="26"/>
        <v>5.5412635451584258</v>
      </c>
      <c r="AL60" s="4">
        <f t="shared" si="27"/>
        <v>0</v>
      </c>
      <c r="AM60" s="4">
        <f>CER!$C$7+CER!$C$8*J60+CER!$C$9*K60+CER!$C$10*L60+CER!$C$11*M60</f>
        <v>3.5190337259888005</v>
      </c>
      <c r="AN60" s="4">
        <f t="shared" si="28"/>
        <v>33.751799215577797</v>
      </c>
      <c r="AO60" s="4">
        <f t="shared" si="29"/>
        <v>0.17482331933791473</v>
      </c>
      <c r="AP60" s="4">
        <f>Alternatives!$F$25+Alternatives!$F$26*J60+Alternatives!$F$27*K60+Alternatives!$F$28*G60+Alternatives!$F$29*O60</f>
        <v>3.3798677856416015</v>
      </c>
      <c r="AQ60" s="4">
        <f t="shared" si="30"/>
        <v>0.31398925968511371</v>
      </c>
    </row>
    <row r="61" spans="1:43" x14ac:dyDescent="0.35">
      <c r="A61" s="2" t="s">
        <v>128</v>
      </c>
      <c r="B61" s="2" t="s">
        <v>73</v>
      </c>
      <c r="C61" s="2" t="s">
        <v>67</v>
      </c>
      <c r="D61" s="2">
        <v>37.497500000000002</v>
      </c>
      <c r="E61" s="2">
        <v>4000</v>
      </c>
      <c r="F61" s="2">
        <v>255</v>
      </c>
      <c r="G61" s="2">
        <v>46.9</v>
      </c>
      <c r="H61" s="2" t="s">
        <v>68</v>
      </c>
      <c r="I61" s="4">
        <f t="shared" si="0"/>
        <v>3.6242742640873775</v>
      </c>
      <c r="J61" s="4">
        <f t="shared" si="1"/>
        <v>8.2940496401020276</v>
      </c>
      <c r="K61" s="4">
        <f t="shared" si="2"/>
        <v>5.5412635451584258</v>
      </c>
      <c r="L61" s="2">
        <v>0</v>
      </c>
      <c r="M61" s="2">
        <v>0</v>
      </c>
      <c r="N61" s="4">
        <f t="shared" si="3"/>
        <v>46.9</v>
      </c>
      <c r="O61" s="4">
        <f t="shared" si="4"/>
        <v>0</v>
      </c>
      <c r="P61" s="4">
        <f t="shared" si="5"/>
        <v>0</v>
      </c>
      <c r="Q61" s="4">
        <f t="shared" si="6"/>
        <v>8.2940496401020276</v>
      </c>
      <c r="R61" s="4">
        <f t="shared" si="7"/>
        <v>5.5412635451584258</v>
      </c>
      <c r="S61" s="4">
        <f t="shared" si="8"/>
        <v>46.9</v>
      </c>
      <c r="T61" s="4">
        <f t="shared" si="9"/>
        <v>0</v>
      </c>
      <c r="U61" s="4">
        <f t="shared" si="10"/>
        <v>8.2940496401020276</v>
      </c>
      <c r="V61" s="4">
        <f t="shared" si="11"/>
        <v>5.5412635451584258</v>
      </c>
      <c r="W61" s="4">
        <f t="shared" si="12"/>
        <v>46.9</v>
      </c>
      <c r="X61" s="4">
        <f t="shared" si="13"/>
        <v>0</v>
      </c>
      <c r="Y61" s="4">
        <f t="shared" si="14"/>
        <v>8.2940496401020276</v>
      </c>
      <c r="Z61" s="4">
        <f t="shared" si="15"/>
        <v>5.5412635451584258</v>
      </c>
      <c r="AA61" s="4">
        <f t="shared" si="16"/>
        <v>46.9</v>
      </c>
      <c r="AB61" s="4">
        <f t="shared" si="17"/>
        <v>0</v>
      </c>
      <c r="AC61" s="4">
        <f t="shared" si="18"/>
        <v>0</v>
      </c>
      <c r="AD61" s="4">
        <f t="shared" si="19"/>
        <v>0</v>
      </c>
      <c r="AE61" s="4">
        <f t="shared" si="20"/>
        <v>0</v>
      </c>
      <c r="AF61" s="4">
        <f t="shared" si="21"/>
        <v>0</v>
      </c>
      <c r="AG61" s="4">
        <f t="shared" si="22"/>
        <v>8.2940496401020276</v>
      </c>
      <c r="AH61" s="4">
        <f t="shared" si="23"/>
        <v>0</v>
      </c>
      <c r="AI61" s="4">
        <f t="shared" si="24"/>
        <v>0</v>
      </c>
      <c r="AJ61" s="4">
        <f t="shared" si="25"/>
        <v>8.2940496401020276</v>
      </c>
      <c r="AK61" s="4">
        <f t="shared" si="26"/>
        <v>5.5412635451584258</v>
      </c>
      <c r="AL61" s="4">
        <f t="shared" si="27"/>
        <v>0</v>
      </c>
      <c r="AM61" s="4">
        <f>CER!$C$7+CER!$C$8*J61+CER!$C$9*K61+CER!$C$10*L61+CER!$C$11*M61</f>
        <v>3.4585828467914106</v>
      </c>
      <c r="AN61" s="4">
        <f t="shared" si="28"/>
        <v>31.771918918611579</v>
      </c>
      <c r="AO61" s="4">
        <f t="shared" si="29"/>
        <v>0.16569141729596693</v>
      </c>
      <c r="AP61" s="4">
        <f>Alternatives!$F$25+Alternatives!$F$26*J61+Alternatives!$F$27*K61+Alternatives!$F$28*G61+Alternatives!$F$29*O61</f>
        <v>3.4292858816873237</v>
      </c>
      <c r="AQ61" s="4">
        <f t="shared" si="30"/>
        <v>0.19498838240005378</v>
      </c>
    </row>
    <row r="62" spans="1:43" x14ac:dyDescent="0.35">
      <c r="A62" s="2" t="s">
        <v>129</v>
      </c>
      <c r="B62" s="2" t="s">
        <v>73</v>
      </c>
      <c r="C62" s="2" t="s">
        <v>67</v>
      </c>
      <c r="D62" s="2">
        <v>37.9816</v>
      </c>
      <c r="E62" s="2">
        <v>4000</v>
      </c>
      <c r="F62" s="2">
        <v>255</v>
      </c>
      <c r="G62" s="2">
        <v>49</v>
      </c>
      <c r="H62" s="2" t="s">
        <v>68</v>
      </c>
      <c r="I62" s="4">
        <f t="shared" si="0"/>
        <v>3.6371018319322967</v>
      </c>
      <c r="J62" s="4">
        <f t="shared" si="1"/>
        <v>8.2940496401020276</v>
      </c>
      <c r="K62" s="4">
        <f t="shared" si="2"/>
        <v>5.5412635451584258</v>
      </c>
      <c r="L62" s="2">
        <v>0</v>
      </c>
      <c r="M62" s="2">
        <v>0</v>
      </c>
      <c r="N62" s="4">
        <f t="shared" si="3"/>
        <v>49</v>
      </c>
      <c r="O62" s="4">
        <f t="shared" si="4"/>
        <v>0</v>
      </c>
      <c r="P62" s="4">
        <f t="shared" si="5"/>
        <v>0</v>
      </c>
      <c r="Q62" s="4">
        <f t="shared" si="6"/>
        <v>8.2940496401020276</v>
      </c>
      <c r="R62" s="4">
        <f t="shared" si="7"/>
        <v>5.5412635451584258</v>
      </c>
      <c r="S62" s="4">
        <f t="shared" si="8"/>
        <v>49</v>
      </c>
      <c r="T62" s="4">
        <f t="shared" si="9"/>
        <v>0</v>
      </c>
      <c r="U62" s="4">
        <f t="shared" si="10"/>
        <v>8.2940496401020276</v>
      </c>
      <c r="V62" s="4">
        <f t="shared" si="11"/>
        <v>5.5412635451584258</v>
      </c>
      <c r="W62" s="4">
        <f t="shared" si="12"/>
        <v>49</v>
      </c>
      <c r="X62" s="4">
        <f t="shared" si="13"/>
        <v>0</v>
      </c>
      <c r="Y62" s="4">
        <f t="shared" si="14"/>
        <v>8.2940496401020276</v>
      </c>
      <c r="Z62" s="4">
        <f t="shared" si="15"/>
        <v>5.5412635451584258</v>
      </c>
      <c r="AA62" s="4">
        <f t="shared" si="16"/>
        <v>49</v>
      </c>
      <c r="AB62" s="4">
        <f t="shared" si="17"/>
        <v>0</v>
      </c>
      <c r="AC62" s="4">
        <f t="shared" si="18"/>
        <v>0</v>
      </c>
      <c r="AD62" s="4">
        <f t="shared" si="19"/>
        <v>0</v>
      </c>
      <c r="AE62" s="4">
        <f t="shared" si="20"/>
        <v>0</v>
      </c>
      <c r="AF62" s="4">
        <f t="shared" si="21"/>
        <v>0</v>
      </c>
      <c r="AG62" s="4">
        <f t="shared" si="22"/>
        <v>8.2940496401020276</v>
      </c>
      <c r="AH62" s="4">
        <f t="shared" si="23"/>
        <v>0</v>
      </c>
      <c r="AI62" s="4">
        <f t="shared" si="24"/>
        <v>0</v>
      </c>
      <c r="AJ62" s="4">
        <f t="shared" si="25"/>
        <v>8.2940496401020276</v>
      </c>
      <c r="AK62" s="4">
        <f t="shared" si="26"/>
        <v>5.5412635451584258</v>
      </c>
      <c r="AL62" s="4">
        <f t="shared" si="27"/>
        <v>0</v>
      </c>
      <c r="AM62" s="4">
        <f>CER!$C$7+CER!$C$8*J62+CER!$C$9*K62+CER!$C$10*L62+CER!$C$11*M62</f>
        <v>3.4585828467914106</v>
      </c>
      <c r="AN62" s="4">
        <f t="shared" si="28"/>
        <v>31.771918918611579</v>
      </c>
      <c r="AO62" s="4">
        <f t="shared" si="29"/>
        <v>0.17851898514088615</v>
      </c>
      <c r="AP62" s="4">
        <f>Alternatives!$F$25+Alternatives!$F$26*J62+Alternatives!$F$27*K62+Alternatives!$F$28*G62+Alternatives!$F$29*O62</f>
        <v>3.4019705211486446</v>
      </c>
      <c r="AQ62" s="4">
        <f t="shared" si="30"/>
        <v>0.23513131078365213</v>
      </c>
    </row>
    <row r="63" spans="1:43" x14ac:dyDescent="0.35">
      <c r="A63" s="2" t="s">
        <v>130</v>
      </c>
      <c r="B63" s="2" t="s">
        <v>73</v>
      </c>
      <c r="C63" s="2" t="s">
        <v>67</v>
      </c>
      <c r="D63" s="2">
        <v>36.117400000000004</v>
      </c>
      <c r="E63" s="2">
        <v>4000</v>
      </c>
      <c r="F63" s="2">
        <v>255</v>
      </c>
      <c r="G63" s="2">
        <v>49.2</v>
      </c>
      <c r="H63" s="2" t="s">
        <v>68</v>
      </c>
      <c r="I63" s="4">
        <f t="shared" si="0"/>
        <v>3.5867747436766515</v>
      </c>
      <c r="J63" s="4">
        <f t="shared" si="1"/>
        <v>8.2940496401020276</v>
      </c>
      <c r="K63" s="4">
        <f t="shared" si="2"/>
        <v>5.5412635451584258</v>
      </c>
      <c r="L63" s="2">
        <v>0</v>
      </c>
      <c r="M63" s="2">
        <v>0</v>
      </c>
      <c r="N63" s="4">
        <f t="shared" si="3"/>
        <v>49.2</v>
      </c>
      <c r="O63" s="4">
        <f t="shared" si="4"/>
        <v>0</v>
      </c>
      <c r="P63" s="4">
        <f t="shared" si="5"/>
        <v>0</v>
      </c>
      <c r="Q63" s="4">
        <f t="shared" si="6"/>
        <v>8.2940496401020276</v>
      </c>
      <c r="R63" s="4">
        <f t="shared" si="7"/>
        <v>5.5412635451584258</v>
      </c>
      <c r="S63" s="4">
        <f t="shared" si="8"/>
        <v>49.2</v>
      </c>
      <c r="T63" s="4">
        <f t="shared" si="9"/>
        <v>0</v>
      </c>
      <c r="U63" s="4">
        <f t="shared" si="10"/>
        <v>8.2940496401020276</v>
      </c>
      <c r="V63" s="4">
        <f t="shared" si="11"/>
        <v>5.5412635451584258</v>
      </c>
      <c r="W63" s="4">
        <f t="shared" si="12"/>
        <v>49.2</v>
      </c>
      <c r="X63" s="4">
        <f t="shared" si="13"/>
        <v>0</v>
      </c>
      <c r="Y63" s="4">
        <f t="shared" si="14"/>
        <v>8.2940496401020276</v>
      </c>
      <c r="Z63" s="4">
        <f t="shared" si="15"/>
        <v>5.5412635451584258</v>
      </c>
      <c r="AA63" s="4">
        <f t="shared" si="16"/>
        <v>49.2</v>
      </c>
      <c r="AB63" s="4">
        <f t="shared" si="17"/>
        <v>0</v>
      </c>
      <c r="AC63" s="4">
        <f t="shared" si="18"/>
        <v>0</v>
      </c>
      <c r="AD63" s="4">
        <f t="shared" si="19"/>
        <v>0</v>
      </c>
      <c r="AE63" s="4">
        <f t="shared" si="20"/>
        <v>0</v>
      </c>
      <c r="AF63" s="4">
        <f t="shared" si="21"/>
        <v>0</v>
      </c>
      <c r="AG63" s="4">
        <f t="shared" si="22"/>
        <v>8.2940496401020276</v>
      </c>
      <c r="AH63" s="4">
        <f t="shared" si="23"/>
        <v>0</v>
      </c>
      <c r="AI63" s="4">
        <f t="shared" si="24"/>
        <v>0</v>
      </c>
      <c r="AJ63" s="4">
        <f t="shared" si="25"/>
        <v>8.2940496401020276</v>
      </c>
      <c r="AK63" s="4">
        <f t="shared" si="26"/>
        <v>5.5412635451584258</v>
      </c>
      <c r="AL63" s="4">
        <f t="shared" si="27"/>
        <v>0</v>
      </c>
      <c r="AM63" s="4">
        <f>CER!$C$7+CER!$C$8*J63+CER!$C$9*K63+CER!$C$10*L63+CER!$C$11*M63</f>
        <v>3.4585828467914106</v>
      </c>
      <c r="AN63" s="4">
        <f t="shared" si="28"/>
        <v>31.771918918611579</v>
      </c>
      <c r="AO63" s="4">
        <f t="shared" si="29"/>
        <v>0.12819189688524091</v>
      </c>
      <c r="AP63" s="4">
        <f>Alternatives!$F$25+Alternatives!$F$26*J63+Alternatives!$F$27*K63+Alternatives!$F$28*G63+Alternatives!$F$29*O63</f>
        <v>3.3993690582401985</v>
      </c>
      <c r="AQ63" s="4">
        <f t="shared" si="30"/>
        <v>0.18740568543645297</v>
      </c>
    </row>
    <row r="64" spans="1:43" x14ac:dyDescent="0.35">
      <c r="A64" s="2" t="s">
        <v>131</v>
      </c>
      <c r="B64" s="2" t="s">
        <v>73</v>
      </c>
      <c r="C64" s="2" t="s">
        <v>67</v>
      </c>
      <c r="D64" s="2">
        <v>34.355600000000003</v>
      </c>
      <c r="E64" s="2">
        <v>4000</v>
      </c>
      <c r="F64" s="2">
        <v>382</v>
      </c>
      <c r="G64" s="2">
        <v>46.8</v>
      </c>
      <c r="H64" s="2" t="s">
        <v>68</v>
      </c>
      <c r="I64" s="4">
        <f t="shared" si="0"/>
        <v>3.5367650330372715</v>
      </c>
      <c r="J64" s="4">
        <f t="shared" si="1"/>
        <v>8.2940496401020276</v>
      </c>
      <c r="K64" s="4">
        <f t="shared" si="2"/>
        <v>5.9454206086065753</v>
      </c>
      <c r="L64" s="2">
        <v>0</v>
      </c>
      <c r="M64" s="2">
        <v>0</v>
      </c>
      <c r="N64" s="4">
        <f t="shared" si="3"/>
        <v>46.8</v>
      </c>
      <c r="O64" s="4">
        <f t="shared" si="4"/>
        <v>0</v>
      </c>
      <c r="P64" s="4">
        <f t="shared" si="5"/>
        <v>0</v>
      </c>
      <c r="Q64" s="4">
        <f t="shared" si="6"/>
        <v>8.2940496401020276</v>
      </c>
      <c r="R64" s="4">
        <f t="shared" si="7"/>
        <v>5.9454206086065753</v>
      </c>
      <c r="S64" s="4">
        <f t="shared" si="8"/>
        <v>46.8</v>
      </c>
      <c r="T64" s="4">
        <f t="shared" si="9"/>
        <v>0</v>
      </c>
      <c r="U64" s="4">
        <f t="shared" si="10"/>
        <v>8.2940496401020276</v>
      </c>
      <c r="V64" s="4">
        <f t="shared" si="11"/>
        <v>5.9454206086065753</v>
      </c>
      <c r="W64" s="4">
        <f t="shared" si="12"/>
        <v>46.8</v>
      </c>
      <c r="X64" s="4">
        <f t="shared" si="13"/>
        <v>0</v>
      </c>
      <c r="Y64" s="4">
        <f t="shared" si="14"/>
        <v>8.2940496401020276</v>
      </c>
      <c r="Z64" s="4">
        <f t="shared" si="15"/>
        <v>5.9454206086065753</v>
      </c>
      <c r="AA64" s="4">
        <f t="shared" si="16"/>
        <v>46.8</v>
      </c>
      <c r="AB64" s="4">
        <f t="shared" si="17"/>
        <v>0</v>
      </c>
      <c r="AC64" s="4">
        <f t="shared" si="18"/>
        <v>0</v>
      </c>
      <c r="AD64" s="4">
        <f t="shared" si="19"/>
        <v>0</v>
      </c>
      <c r="AE64" s="4">
        <f t="shared" si="20"/>
        <v>0</v>
      </c>
      <c r="AF64" s="4">
        <f t="shared" si="21"/>
        <v>0</v>
      </c>
      <c r="AG64" s="4">
        <f t="shared" si="22"/>
        <v>8.2940496401020276</v>
      </c>
      <c r="AH64" s="4">
        <f t="shared" si="23"/>
        <v>0</v>
      </c>
      <c r="AI64" s="4">
        <f t="shared" si="24"/>
        <v>0</v>
      </c>
      <c r="AJ64" s="4">
        <f t="shared" si="25"/>
        <v>8.2940496401020276</v>
      </c>
      <c r="AK64" s="4">
        <f t="shared" si="26"/>
        <v>5.9454206086065753</v>
      </c>
      <c r="AL64" s="4">
        <f t="shared" si="27"/>
        <v>0</v>
      </c>
      <c r="AM64" s="4">
        <f>CER!$C$7+CER!$C$8*J64+CER!$C$9*K64+CER!$C$10*L64+CER!$C$11*M64</f>
        <v>3.3094716388171102</v>
      </c>
      <c r="AN64" s="4">
        <f t="shared" si="28"/>
        <v>27.370660056433831</v>
      </c>
      <c r="AO64" s="4">
        <f t="shared" si="29"/>
        <v>0.22729339422016137</v>
      </c>
      <c r="AP64" s="4">
        <f>Alternatives!$F$25+Alternatives!$F$26*J64+Alternatives!$F$27*K64+Alternatives!$F$28*G64+Alternatives!$F$29*O64</f>
        <v>3.3230363899568629</v>
      </c>
      <c r="AQ64" s="4">
        <f t="shared" si="30"/>
        <v>0.21372864308040862</v>
      </c>
    </row>
    <row r="65" spans="1:43" x14ac:dyDescent="0.35">
      <c r="A65" s="2" t="s">
        <v>132</v>
      </c>
      <c r="B65" s="2" t="s">
        <v>73</v>
      </c>
      <c r="C65" s="2" t="s">
        <v>33</v>
      </c>
      <c r="D65" s="2">
        <v>35.914700000000003</v>
      </c>
      <c r="E65" s="2">
        <v>4000</v>
      </c>
      <c r="F65" s="2">
        <v>382</v>
      </c>
      <c r="G65" s="2">
        <v>49</v>
      </c>
      <c r="H65" s="2" t="s">
        <v>68</v>
      </c>
      <c r="I65" s="4">
        <f t="shared" si="0"/>
        <v>3.5811466824360516</v>
      </c>
      <c r="J65" s="4">
        <f t="shared" si="1"/>
        <v>8.2940496401020276</v>
      </c>
      <c r="K65" s="4">
        <f t="shared" si="2"/>
        <v>5.9454206086065753</v>
      </c>
      <c r="L65" s="2">
        <v>1</v>
      </c>
      <c r="M65" s="2">
        <v>0</v>
      </c>
      <c r="N65" s="4">
        <f t="shared" si="3"/>
        <v>49</v>
      </c>
      <c r="O65" s="4">
        <f t="shared" si="4"/>
        <v>1</v>
      </c>
      <c r="P65" s="4">
        <f t="shared" si="5"/>
        <v>1</v>
      </c>
      <c r="Q65" s="4">
        <f t="shared" si="6"/>
        <v>8.2940496401020276</v>
      </c>
      <c r="R65" s="4">
        <f t="shared" si="7"/>
        <v>5.9454206086065753</v>
      </c>
      <c r="S65" s="4">
        <f t="shared" si="8"/>
        <v>49</v>
      </c>
      <c r="T65" s="4">
        <f t="shared" si="9"/>
        <v>1</v>
      </c>
      <c r="U65" s="4">
        <f t="shared" si="10"/>
        <v>8.2940496401020276</v>
      </c>
      <c r="V65" s="4">
        <f t="shared" si="11"/>
        <v>5.9454206086065753</v>
      </c>
      <c r="W65" s="4">
        <f t="shared" si="12"/>
        <v>49</v>
      </c>
      <c r="X65" s="4">
        <f t="shared" si="13"/>
        <v>1</v>
      </c>
      <c r="Y65" s="4">
        <f t="shared" si="14"/>
        <v>8.2940496401020276</v>
      </c>
      <c r="Z65" s="4">
        <f t="shared" si="15"/>
        <v>5.9454206086065753</v>
      </c>
      <c r="AA65" s="4">
        <f t="shared" si="16"/>
        <v>49</v>
      </c>
      <c r="AB65" s="4">
        <f t="shared" si="17"/>
        <v>1</v>
      </c>
      <c r="AC65" s="4">
        <f t="shared" si="18"/>
        <v>0</v>
      </c>
      <c r="AD65" s="4">
        <f t="shared" si="19"/>
        <v>0</v>
      </c>
      <c r="AE65" s="4">
        <f t="shared" si="20"/>
        <v>0</v>
      </c>
      <c r="AF65" s="4">
        <f t="shared" si="21"/>
        <v>0</v>
      </c>
      <c r="AG65" s="4">
        <f t="shared" si="22"/>
        <v>8.2940496401020276</v>
      </c>
      <c r="AH65" s="4">
        <f t="shared" si="23"/>
        <v>1</v>
      </c>
      <c r="AI65" s="4">
        <f t="shared" si="24"/>
        <v>0</v>
      </c>
      <c r="AJ65" s="4">
        <f t="shared" si="25"/>
        <v>8.2940496401020276</v>
      </c>
      <c r="AK65" s="4">
        <f t="shared" si="26"/>
        <v>5.9454206086065753</v>
      </c>
      <c r="AL65" s="4">
        <f t="shared" si="27"/>
        <v>0</v>
      </c>
      <c r="AM65" s="4">
        <f>CER!$C$7+CER!$C$8*J65+CER!$C$9*K65+CER!$C$10*L65+CER!$C$11*M65</f>
        <v>3.5332252087863361</v>
      </c>
      <c r="AN65" s="4">
        <f t="shared" si="28"/>
        <v>34.234202204158528</v>
      </c>
      <c r="AO65" s="4">
        <f t="shared" si="29"/>
        <v>4.7921473649715551E-2</v>
      </c>
      <c r="AP65" s="4">
        <f>Alternatives!$F$25+Alternatives!$F$26*J65+Alternatives!$F$27*K65+Alternatives!$F$28*G65+Alternatives!$F$29*O65</f>
        <v>4.1391602268724572</v>
      </c>
      <c r="AQ65" s="4">
        <f t="shared" si="30"/>
        <v>-0.55801354443640561</v>
      </c>
    </row>
    <row r="66" spans="1:43" x14ac:dyDescent="0.35">
      <c r="A66" s="2" t="s">
        <v>133</v>
      </c>
      <c r="B66" s="2" t="s">
        <v>73</v>
      </c>
      <c r="C66" s="2" t="s">
        <v>33</v>
      </c>
      <c r="D66" s="2">
        <v>23.688300000000002</v>
      </c>
      <c r="E66" s="2">
        <v>6000</v>
      </c>
      <c r="F66" s="2">
        <v>523</v>
      </c>
      <c r="G66" s="2">
        <v>56.4</v>
      </c>
      <c r="H66" s="2" t="s">
        <v>68</v>
      </c>
      <c r="I66" s="4">
        <f t="shared" ref="I66:I129" si="31">LN(D66)</f>
        <v>3.1649812553594185</v>
      </c>
      <c r="J66" s="4">
        <f t="shared" ref="J66:J129" si="32">LN(E66)</f>
        <v>8.6995147482101913</v>
      </c>
      <c r="K66" s="4">
        <f t="shared" ref="K66:K129" si="33">LN(F66)</f>
        <v>6.2595814640649232</v>
      </c>
      <c r="L66" s="2">
        <v>1</v>
      </c>
      <c r="M66" s="2">
        <v>0</v>
      </c>
      <c r="N66" s="4">
        <f t="shared" ref="N66:N129" si="34">G66</f>
        <v>56.4</v>
      </c>
      <c r="O66" s="4">
        <f t="shared" ref="O66:O129" si="35">L66+M66</f>
        <v>1</v>
      </c>
      <c r="P66" s="4">
        <f t="shared" ref="P66:P129" si="36">L66+2*M66</f>
        <v>1</v>
      </c>
      <c r="Q66" s="4">
        <f t="shared" ref="Q66:Q129" si="37">J66</f>
        <v>8.6995147482101913</v>
      </c>
      <c r="R66" s="4">
        <f t="shared" ref="R66:R129" si="38">K66</f>
        <v>6.2595814640649232</v>
      </c>
      <c r="S66" s="4">
        <f t="shared" ref="S66:S129" si="39">G66</f>
        <v>56.4</v>
      </c>
      <c r="T66" s="4">
        <f t="shared" ref="T66:T129" si="40">O66</f>
        <v>1</v>
      </c>
      <c r="U66" s="4">
        <f t="shared" ref="U66:U129" si="41">J66</f>
        <v>8.6995147482101913</v>
      </c>
      <c r="V66" s="4">
        <f t="shared" ref="V66:V129" si="42">K66</f>
        <v>6.2595814640649232</v>
      </c>
      <c r="W66" s="4">
        <f t="shared" ref="W66:W129" si="43">G66</f>
        <v>56.4</v>
      </c>
      <c r="X66" s="4">
        <f t="shared" ref="X66:X129" si="44">P66</f>
        <v>1</v>
      </c>
      <c r="Y66" s="4">
        <f t="shared" ref="Y66:Y129" si="45">J66</f>
        <v>8.6995147482101913</v>
      </c>
      <c r="Z66" s="4">
        <f t="shared" ref="Z66:Z129" si="46">K66</f>
        <v>6.2595814640649232</v>
      </c>
      <c r="AA66" s="4">
        <f t="shared" ref="AA66:AA129" si="47">G66</f>
        <v>56.4</v>
      </c>
      <c r="AB66" s="4">
        <f t="shared" ref="AB66:AB129" si="48">L66</f>
        <v>1</v>
      </c>
      <c r="AC66" s="4">
        <f t="shared" ref="AC66:AC129" si="49">M66</f>
        <v>0</v>
      </c>
      <c r="AD66" s="4">
        <f t="shared" ref="AD66:AD129" si="50">M66*J66</f>
        <v>0</v>
      </c>
      <c r="AE66" s="4">
        <f t="shared" ref="AE66:AE129" si="51">M66*K66</f>
        <v>0</v>
      </c>
      <c r="AF66" s="4">
        <f t="shared" ref="AF66:AF129" si="52">M66*G66</f>
        <v>0</v>
      </c>
      <c r="AG66" s="4">
        <f t="shared" ref="AG66:AG129" si="53">J66</f>
        <v>8.6995147482101913</v>
      </c>
      <c r="AH66" s="4">
        <f t="shared" ref="AH66:AH129" si="54">L66</f>
        <v>1</v>
      </c>
      <c r="AI66" s="4">
        <f t="shared" ref="AI66:AI129" si="55">M66</f>
        <v>0</v>
      </c>
      <c r="AJ66" s="4">
        <f t="shared" ref="AJ66:AJ129" si="56">J66</f>
        <v>8.6995147482101913</v>
      </c>
      <c r="AK66" s="4">
        <f t="shared" ref="AK66:AK129" si="57">K66</f>
        <v>6.2595814640649232</v>
      </c>
      <c r="AL66" s="4">
        <f t="shared" ref="AL66:AL129" si="58">M66</f>
        <v>0</v>
      </c>
      <c r="AM66" s="4">
        <f>CER!$C$7+CER!$C$8*J66+CER!$C$9*K66+CER!$C$10*L66+CER!$C$11*M66</f>
        <v>3.2337597838913426</v>
      </c>
      <c r="AN66" s="4">
        <f t="shared" ref="AN66:AN129" si="59">EXP(AM66)</f>
        <v>25.374881918458044</v>
      </c>
      <c r="AO66" s="4">
        <f t="shared" ref="AO66:AO129" si="60">I66-AM66</f>
        <v>-6.877852853192401E-2</v>
      </c>
      <c r="AP66" s="4">
        <f>Alternatives!$F$25+Alternatives!$F$26*J66+Alternatives!$F$27*K66+Alternatives!$F$28*G66+Alternatives!$F$29*O66</f>
        <v>4.109361715212712</v>
      </c>
      <c r="AQ66" s="4">
        <f t="shared" ref="AQ66:AQ129" si="61">I66-AP66</f>
        <v>-0.94438045985329344</v>
      </c>
    </row>
    <row r="67" spans="1:43" x14ac:dyDescent="0.35">
      <c r="A67" s="2" t="s">
        <v>134</v>
      </c>
      <c r="B67" s="2" t="s">
        <v>73</v>
      </c>
      <c r="C67" s="2" t="s">
        <v>33</v>
      </c>
      <c r="D67" s="2">
        <v>22.3627</v>
      </c>
      <c r="E67" s="2">
        <v>6500</v>
      </c>
      <c r="F67" s="2">
        <v>631</v>
      </c>
      <c r="G67" s="2">
        <v>54.1</v>
      </c>
      <c r="H67" s="2" t="s">
        <v>68</v>
      </c>
      <c r="I67" s="4">
        <f t="shared" si="31"/>
        <v>3.1073943923387235</v>
      </c>
      <c r="J67" s="4">
        <f t="shared" si="32"/>
        <v>8.7795574558837277</v>
      </c>
      <c r="K67" s="4">
        <f t="shared" si="33"/>
        <v>6.4473058625412127</v>
      </c>
      <c r="L67" s="2">
        <v>1</v>
      </c>
      <c r="M67" s="2">
        <v>0</v>
      </c>
      <c r="N67" s="4">
        <f t="shared" si="34"/>
        <v>54.1</v>
      </c>
      <c r="O67" s="4">
        <f t="shared" si="35"/>
        <v>1</v>
      </c>
      <c r="P67" s="4">
        <f t="shared" si="36"/>
        <v>1</v>
      </c>
      <c r="Q67" s="4">
        <f t="shared" si="37"/>
        <v>8.7795574558837277</v>
      </c>
      <c r="R67" s="4">
        <f t="shared" si="38"/>
        <v>6.4473058625412127</v>
      </c>
      <c r="S67" s="4">
        <f t="shared" si="39"/>
        <v>54.1</v>
      </c>
      <c r="T67" s="4">
        <f t="shared" si="40"/>
        <v>1</v>
      </c>
      <c r="U67" s="4">
        <f t="shared" si="41"/>
        <v>8.7795574558837277</v>
      </c>
      <c r="V67" s="4">
        <f t="shared" si="42"/>
        <v>6.4473058625412127</v>
      </c>
      <c r="W67" s="4">
        <f t="shared" si="43"/>
        <v>54.1</v>
      </c>
      <c r="X67" s="4">
        <f t="shared" si="44"/>
        <v>1</v>
      </c>
      <c r="Y67" s="4">
        <f t="shared" si="45"/>
        <v>8.7795574558837277</v>
      </c>
      <c r="Z67" s="4">
        <f t="shared" si="46"/>
        <v>6.4473058625412127</v>
      </c>
      <c r="AA67" s="4">
        <f t="shared" si="47"/>
        <v>54.1</v>
      </c>
      <c r="AB67" s="4">
        <f t="shared" si="48"/>
        <v>1</v>
      </c>
      <c r="AC67" s="4">
        <f t="shared" si="49"/>
        <v>0</v>
      </c>
      <c r="AD67" s="4">
        <f t="shared" si="50"/>
        <v>0</v>
      </c>
      <c r="AE67" s="4">
        <f t="shared" si="51"/>
        <v>0</v>
      </c>
      <c r="AF67" s="4">
        <f t="shared" si="52"/>
        <v>0</v>
      </c>
      <c r="AG67" s="4">
        <f t="shared" si="53"/>
        <v>8.7795574558837277</v>
      </c>
      <c r="AH67" s="4">
        <f t="shared" si="54"/>
        <v>1</v>
      </c>
      <c r="AI67" s="4">
        <f t="shared" si="55"/>
        <v>0</v>
      </c>
      <c r="AJ67" s="4">
        <f t="shared" si="56"/>
        <v>8.7795574558837277</v>
      </c>
      <c r="AK67" s="4">
        <f t="shared" si="57"/>
        <v>6.4473058625412127</v>
      </c>
      <c r="AL67" s="4">
        <f t="shared" si="58"/>
        <v>0</v>
      </c>
      <c r="AM67" s="4">
        <f>CER!$C$7+CER!$C$8*J67+CER!$C$9*K67+CER!$C$10*L67+CER!$C$11*M67</f>
        <v>3.1282639834106645</v>
      </c>
      <c r="AN67" s="4">
        <f t="shared" si="59"/>
        <v>22.834304382822914</v>
      </c>
      <c r="AO67" s="4">
        <f t="shared" si="60"/>
        <v>-2.0869591071940974E-2</v>
      </c>
      <c r="AP67" s="4">
        <f>Alternatives!$F$25+Alternatives!$F$26*J67+Alternatives!$F$27*K67+Alternatives!$F$28*G67+Alternatives!$F$29*O67</f>
        <v>4.1189458887640997</v>
      </c>
      <c r="AQ67" s="4">
        <f t="shared" si="61"/>
        <v>-1.0115514964253762</v>
      </c>
    </row>
    <row r="68" spans="1:43" x14ac:dyDescent="0.35">
      <c r="A68" s="2" t="s">
        <v>135</v>
      </c>
      <c r="B68" s="2" t="s">
        <v>73</v>
      </c>
      <c r="C68" s="2" t="s">
        <v>33</v>
      </c>
      <c r="D68" s="2">
        <v>29.510300000000001</v>
      </c>
      <c r="E68" s="2">
        <v>5500</v>
      </c>
      <c r="F68" s="2">
        <v>375</v>
      </c>
      <c r="G68" s="2">
        <v>56.4</v>
      </c>
      <c r="H68" s="2" t="s">
        <v>68</v>
      </c>
      <c r="I68" s="4">
        <f t="shared" si="31"/>
        <v>3.3847393549485827</v>
      </c>
      <c r="J68" s="4">
        <f t="shared" si="32"/>
        <v>8.6125033712205621</v>
      </c>
      <c r="K68" s="4">
        <f t="shared" si="33"/>
        <v>5.9269260259704106</v>
      </c>
      <c r="L68" s="2">
        <v>1</v>
      </c>
      <c r="M68" s="2">
        <v>0</v>
      </c>
      <c r="N68" s="4">
        <f t="shared" si="34"/>
        <v>56.4</v>
      </c>
      <c r="O68" s="4">
        <f t="shared" si="35"/>
        <v>1</v>
      </c>
      <c r="P68" s="4">
        <f t="shared" si="36"/>
        <v>1</v>
      </c>
      <c r="Q68" s="4">
        <f t="shared" si="37"/>
        <v>8.6125033712205621</v>
      </c>
      <c r="R68" s="4">
        <f t="shared" si="38"/>
        <v>5.9269260259704106</v>
      </c>
      <c r="S68" s="4">
        <f t="shared" si="39"/>
        <v>56.4</v>
      </c>
      <c r="T68" s="4">
        <f t="shared" si="40"/>
        <v>1</v>
      </c>
      <c r="U68" s="4">
        <f t="shared" si="41"/>
        <v>8.6125033712205621</v>
      </c>
      <c r="V68" s="4">
        <f t="shared" si="42"/>
        <v>5.9269260259704106</v>
      </c>
      <c r="W68" s="4">
        <f t="shared" si="43"/>
        <v>56.4</v>
      </c>
      <c r="X68" s="4">
        <f t="shared" si="44"/>
        <v>1</v>
      </c>
      <c r="Y68" s="4">
        <f t="shared" si="45"/>
        <v>8.6125033712205621</v>
      </c>
      <c r="Z68" s="4">
        <f t="shared" si="46"/>
        <v>5.9269260259704106</v>
      </c>
      <c r="AA68" s="4">
        <f t="shared" si="47"/>
        <v>56.4</v>
      </c>
      <c r="AB68" s="4">
        <f t="shared" si="48"/>
        <v>1</v>
      </c>
      <c r="AC68" s="4">
        <f t="shared" si="49"/>
        <v>0</v>
      </c>
      <c r="AD68" s="4">
        <f t="shared" si="50"/>
        <v>0</v>
      </c>
      <c r="AE68" s="4">
        <f t="shared" si="51"/>
        <v>0</v>
      </c>
      <c r="AF68" s="4">
        <f t="shared" si="52"/>
        <v>0</v>
      </c>
      <c r="AG68" s="4">
        <f t="shared" si="53"/>
        <v>8.6125033712205621</v>
      </c>
      <c r="AH68" s="4">
        <f t="shared" si="54"/>
        <v>1</v>
      </c>
      <c r="AI68" s="4">
        <f t="shared" si="55"/>
        <v>0</v>
      </c>
      <c r="AJ68" s="4">
        <f t="shared" si="56"/>
        <v>8.6125033712205621</v>
      </c>
      <c r="AK68" s="4">
        <f t="shared" si="57"/>
        <v>5.9269260259704106</v>
      </c>
      <c r="AL68" s="4">
        <f t="shared" si="58"/>
        <v>0</v>
      </c>
      <c r="AM68" s="4">
        <f>CER!$C$7+CER!$C$8*J68+CER!$C$9*K68+CER!$C$10*L68+CER!$C$11*M68</f>
        <v>3.3958817605344795</v>
      </c>
      <c r="AN68" s="4">
        <f t="shared" si="59"/>
        <v>29.840954453599871</v>
      </c>
      <c r="AO68" s="4">
        <f t="shared" si="60"/>
        <v>-1.1142405585896853E-2</v>
      </c>
      <c r="AP68" s="4">
        <f>Alternatives!$F$25+Alternatives!$F$26*J68+Alternatives!$F$27*K68+Alternatives!$F$28*G68+Alternatives!$F$29*O68</f>
        <v>4.165682952610517</v>
      </c>
      <c r="AQ68" s="4">
        <f t="shared" si="61"/>
        <v>-0.78094359766193433</v>
      </c>
    </row>
    <row r="69" spans="1:43" x14ac:dyDescent="0.35">
      <c r="A69" s="2" t="s">
        <v>136</v>
      </c>
      <c r="B69" s="2" t="s">
        <v>73</v>
      </c>
      <c r="C69" s="2" t="s">
        <v>33</v>
      </c>
      <c r="D69" s="2">
        <v>26.634499999999999</v>
      </c>
      <c r="E69" s="2">
        <v>5500</v>
      </c>
      <c r="F69" s="2">
        <v>536</v>
      </c>
      <c r="G69" s="2">
        <v>57.3</v>
      </c>
      <c r="H69" s="2" t="s">
        <v>68</v>
      </c>
      <c r="I69" s="4">
        <f t="shared" si="31"/>
        <v>3.2822073679006638</v>
      </c>
      <c r="J69" s="4">
        <f t="shared" si="32"/>
        <v>8.6125033712205621</v>
      </c>
      <c r="K69" s="4">
        <f t="shared" si="33"/>
        <v>6.2841341610708019</v>
      </c>
      <c r="L69" s="2">
        <v>1</v>
      </c>
      <c r="M69" s="2">
        <v>0</v>
      </c>
      <c r="N69" s="4">
        <f t="shared" si="34"/>
        <v>57.3</v>
      </c>
      <c r="O69" s="4">
        <f t="shared" si="35"/>
        <v>1</v>
      </c>
      <c r="P69" s="4">
        <f t="shared" si="36"/>
        <v>1</v>
      </c>
      <c r="Q69" s="4">
        <f t="shared" si="37"/>
        <v>8.6125033712205621</v>
      </c>
      <c r="R69" s="4">
        <f t="shared" si="38"/>
        <v>6.2841341610708019</v>
      </c>
      <c r="S69" s="4">
        <f t="shared" si="39"/>
        <v>57.3</v>
      </c>
      <c r="T69" s="4">
        <f t="shared" si="40"/>
        <v>1</v>
      </c>
      <c r="U69" s="4">
        <f t="shared" si="41"/>
        <v>8.6125033712205621</v>
      </c>
      <c r="V69" s="4">
        <f t="shared" si="42"/>
        <v>6.2841341610708019</v>
      </c>
      <c r="W69" s="4">
        <f t="shared" si="43"/>
        <v>57.3</v>
      </c>
      <c r="X69" s="4">
        <f t="shared" si="44"/>
        <v>1</v>
      </c>
      <c r="Y69" s="4">
        <f t="shared" si="45"/>
        <v>8.6125033712205621</v>
      </c>
      <c r="Z69" s="4">
        <f t="shared" si="46"/>
        <v>6.2841341610708019</v>
      </c>
      <c r="AA69" s="4">
        <f t="shared" si="47"/>
        <v>57.3</v>
      </c>
      <c r="AB69" s="4">
        <f t="shared" si="48"/>
        <v>1</v>
      </c>
      <c r="AC69" s="4">
        <f t="shared" si="49"/>
        <v>0</v>
      </c>
      <c r="AD69" s="4">
        <f t="shared" si="50"/>
        <v>0</v>
      </c>
      <c r="AE69" s="4">
        <f t="shared" si="51"/>
        <v>0</v>
      </c>
      <c r="AF69" s="4">
        <f t="shared" si="52"/>
        <v>0</v>
      </c>
      <c r="AG69" s="4">
        <f t="shared" si="53"/>
        <v>8.6125033712205621</v>
      </c>
      <c r="AH69" s="4">
        <f t="shared" si="54"/>
        <v>1</v>
      </c>
      <c r="AI69" s="4">
        <f t="shared" si="55"/>
        <v>0</v>
      </c>
      <c r="AJ69" s="4">
        <f t="shared" si="56"/>
        <v>8.6125033712205621</v>
      </c>
      <c r="AK69" s="4">
        <f t="shared" si="57"/>
        <v>6.2841341610708019</v>
      </c>
      <c r="AL69" s="4">
        <f t="shared" si="58"/>
        <v>0</v>
      </c>
      <c r="AM69" s="4">
        <f>CER!$C$7+CER!$C$8*J69+CER!$C$9*K69+CER!$C$10*L69+CER!$C$11*M69</f>
        <v>3.2640920645468952</v>
      </c>
      <c r="AN69" s="4">
        <f t="shared" si="59"/>
        <v>26.156351927368334</v>
      </c>
      <c r="AO69" s="4">
        <f t="shared" si="60"/>
        <v>1.8115303353768653E-2</v>
      </c>
      <c r="AP69" s="4">
        <f>Alternatives!$F$25+Alternatives!$F$26*J69+Alternatives!$F$27*K69+Alternatives!$F$28*G69+Alternatives!$F$29*O69</f>
        <v>4.0589197241538475</v>
      </c>
      <c r="AQ69" s="4">
        <f t="shared" si="61"/>
        <v>-0.77671235625318369</v>
      </c>
    </row>
    <row r="70" spans="1:43" x14ac:dyDescent="0.35">
      <c r="A70" s="2" t="s">
        <v>137</v>
      </c>
      <c r="B70" s="2" t="s">
        <v>73</v>
      </c>
      <c r="C70" s="2" t="s">
        <v>33</v>
      </c>
      <c r="D70" s="2">
        <v>37.264499999999998</v>
      </c>
      <c r="E70" s="2">
        <v>5000</v>
      </c>
      <c r="F70" s="2">
        <v>375</v>
      </c>
      <c r="G70" s="2">
        <v>57.8</v>
      </c>
      <c r="H70" s="2" t="s">
        <v>68</v>
      </c>
      <c r="I70" s="4">
        <f t="shared" si="31"/>
        <v>3.6180411308278368</v>
      </c>
      <c r="J70" s="4">
        <f t="shared" si="32"/>
        <v>8.5171931914162382</v>
      </c>
      <c r="K70" s="4">
        <f t="shared" si="33"/>
        <v>5.9269260259704106</v>
      </c>
      <c r="L70" s="2">
        <v>1</v>
      </c>
      <c r="M70" s="2">
        <v>0</v>
      </c>
      <c r="N70" s="4">
        <f t="shared" si="34"/>
        <v>57.8</v>
      </c>
      <c r="O70" s="4">
        <f t="shared" si="35"/>
        <v>1</v>
      </c>
      <c r="P70" s="4">
        <f t="shared" si="36"/>
        <v>1</v>
      </c>
      <c r="Q70" s="4">
        <f t="shared" si="37"/>
        <v>8.5171931914162382</v>
      </c>
      <c r="R70" s="4">
        <f t="shared" si="38"/>
        <v>5.9269260259704106</v>
      </c>
      <c r="S70" s="4">
        <f t="shared" si="39"/>
        <v>57.8</v>
      </c>
      <c r="T70" s="4">
        <f t="shared" si="40"/>
        <v>1</v>
      </c>
      <c r="U70" s="4">
        <f t="shared" si="41"/>
        <v>8.5171931914162382</v>
      </c>
      <c r="V70" s="4">
        <f t="shared" si="42"/>
        <v>5.9269260259704106</v>
      </c>
      <c r="W70" s="4">
        <f t="shared" si="43"/>
        <v>57.8</v>
      </c>
      <c r="X70" s="4">
        <f t="shared" si="44"/>
        <v>1</v>
      </c>
      <c r="Y70" s="4">
        <f t="shared" si="45"/>
        <v>8.5171931914162382</v>
      </c>
      <c r="Z70" s="4">
        <f t="shared" si="46"/>
        <v>5.9269260259704106</v>
      </c>
      <c r="AA70" s="4">
        <f t="shared" si="47"/>
        <v>57.8</v>
      </c>
      <c r="AB70" s="4">
        <f t="shared" si="48"/>
        <v>1</v>
      </c>
      <c r="AC70" s="4">
        <f t="shared" si="49"/>
        <v>0</v>
      </c>
      <c r="AD70" s="4">
        <f t="shared" si="50"/>
        <v>0</v>
      </c>
      <c r="AE70" s="4">
        <f t="shared" si="51"/>
        <v>0</v>
      </c>
      <c r="AF70" s="4">
        <f t="shared" si="52"/>
        <v>0</v>
      </c>
      <c r="AG70" s="4">
        <f t="shared" si="53"/>
        <v>8.5171931914162382</v>
      </c>
      <c r="AH70" s="4">
        <f t="shared" si="54"/>
        <v>1</v>
      </c>
      <c r="AI70" s="4">
        <f t="shared" si="55"/>
        <v>0</v>
      </c>
      <c r="AJ70" s="4">
        <f t="shared" si="56"/>
        <v>8.5171931914162382</v>
      </c>
      <c r="AK70" s="4">
        <f t="shared" si="57"/>
        <v>5.9269260259704106</v>
      </c>
      <c r="AL70" s="4">
        <f t="shared" si="58"/>
        <v>0</v>
      </c>
      <c r="AM70" s="4">
        <f>CER!$C$7+CER!$C$8*J70+CER!$C$9*K70+CER!$C$10*L70+CER!$C$11*M70</f>
        <v>3.4390295481250255</v>
      </c>
      <c r="AN70" s="4">
        <f t="shared" si="59"/>
        <v>31.15670740710836</v>
      </c>
      <c r="AO70" s="4">
        <f t="shared" si="60"/>
        <v>0.17901158270281137</v>
      </c>
      <c r="AP70" s="4">
        <f>Alternatives!$F$25+Alternatives!$F$26*J70+Alternatives!$F$27*K70+Alternatives!$F$28*G70+Alternatives!$F$29*O70</f>
        <v>4.1121997511361847</v>
      </c>
      <c r="AQ70" s="4">
        <f t="shared" si="61"/>
        <v>-0.4941586203083479</v>
      </c>
    </row>
    <row r="71" spans="1:43" x14ac:dyDescent="0.35">
      <c r="A71" s="2" t="s">
        <v>138</v>
      </c>
      <c r="B71" s="2" t="s">
        <v>73</v>
      </c>
      <c r="C71" s="2" t="s">
        <v>33</v>
      </c>
      <c r="D71" s="2">
        <v>36.101999999999997</v>
      </c>
      <c r="E71" s="2">
        <v>5000</v>
      </c>
      <c r="F71" s="2">
        <v>375</v>
      </c>
      <c r="G71" s="2">
        <v>57.8</v>
      </c>
      <c r="H71" s="2" t="s">
        <v>68</v>
      </c>
      <c r="I71" s="4">
        <f t="shared" si="31"/>
        <v>3.5863482654662695</v>
      </c>
      <c r="J71" s="4">
        <f t="shared" si="32"/>
        <v>8.5171931914162382</v>
      </c>
      <c r="K71" s="4">
        <f t="shared" si="33"/>
        <v>5.9269260259704106</v>
      </c>
      <c r="L71" s="2">
        <v>1</v>
      </c>
      <c r="M71" s="2">
        <v>0</v>
      </c>
      <c r="N71" s="4">
        <f t="shared" si="34"/>
        <v>57.8</v>
      </c>
      <c r="O71" s="4">
        <f t="shared" si="35"/>
        <v>1</v>
      </c>
      <c r="P71" s="4">
        <f t="shared" si="36"/>
        <v>1</v>
      </c>
      <c r="Q71" s="4">
        <f t="shared" si="37"/>
        <v>8.5171931914162382</v>
      </c>
      <c r="R71" s="4">
        <f t="shared" si="38"/>
        <v>5.9269260259704106</v>
      </c>
      <c r="S71" s="4">
        <f t="shared" si="39"/>
        <v>57.8</v>
      </c>
      <c r="T71" s="4">
        <f t="shared" si="40"/>
        <v>1</v>
      </c>
      <c r="U71" s="4">
        <f t="shared" si="41"/>
        <v>8.5171931914162382</v>
      </c>
      <c r="V71" s="4">
        <f t="shared" si="42"/>
        <v>5.9269260259704106</v>
      </c>
      <c r="W71" s="4">
        <f t="shared" si="43"/>
        <v>57.8</v>
      </c>
      <c r="X71" s="4">
        <f t="shared" si="44"/>
        <v>1</v>
      </c>
      <c r="Y71" s="4">
        <f t="shared" si="45"/>
        <v>8.5171931914162382</v>
      </c>
      <c r="Z71" s="4">
        <f t="shared" si="46"/>
        <v>5.9269260259704106</v>
      </c>
      <c r="AA71" s="4">
        <f t="shared" si="47"/>
        <v>57.8</v>
      </c>
      <c r="AB71" s="4">
        <f t="shared" si="48"/>
        <v>1</v>
      </c>
      <c r="AC71" s="4">
        <f t="shared" si="49"/>
        <v>0</v>
      </c>
      <c r="AD71" s="4">
        <f t="shared" si="50"/>
        <v>0</v>
      </c>
      <c r="AE71" s="4">
        <f t="shared" si="51"/>
        <v>0</v>
      </c>
      <c r="AF71" s="4">
        <f t="shared" si="52"/>
        <v>0</v>
      </c>
      <c r="AG71" s="4">
        <f t="shared" si="53"/>
        <v>8.5171931914162382</v>
      </c>
      <c r="AH71" s="4">
        <f t="shared" si="54"/>
        <v>1</v>
      </c>
      <c r="AI71" s="4">
        <f t="shared" si="55"/>
        <v>0</v>
      </c>
      <c r="AJ71" s="4">
        <f t="shared" si="56"/>
        <v>8.5171931914162382</v>
      </c>
      <c r="AK71" s="4">
        <f t="shared" si="57"/>
        <v>5.9269260259704106</v>
      </c>
      <c r="AL71" s="4">
        <f t="shared" si="58"/>
        <v>0</v>
      </c>
      <c r="AM71" s="4">
        <f>CER!$C$7+CER!$C$8*J71+CER!$C$9*K71+CER!$C$10*L71+CER!$C$11*M71</f>
        <v>3.4390295481250255</v>
      </c>
      <c r="AN71" s="4">
        <f t="shared" si="59"/>
        <v>31.15670740710836</v>
      </c>
      <c r="AO71" s="4">
        <f t="shared" si="60"/>
        <v>0.14731871734124402</v>
      </c>
      <c r="AP71" s="4">
        <f>Alternatives!$F$25+Alternatives!$F$26*J71+Alternatives!$F$27*K71+Alternatives!$F$28*G71+Alternatives!$F$29*O71</f>
        <v>4.1121997511361847</v>
      </c>
      <c r="AQ71" s="4">
        <f t="shared" si="61"/>
        <v>-0.52585148566991524</v>
      </c>
    </row>
    <row r="72" spans="1:43" x14ac:dyDescent="0.35">
      <c r="A72" s="2" t="s">
        <v>139</v>
      </c>
      <c r="B72" s="2" t="s">
        <v>73</v>
      </c>
      <c r="C72" s="2" t="s">
        <v>67</v>
      </c>
      <c r="D72" s="2">
        <v>37.538699999999999</v>
      </c>
      <c r="E72" s="2">
        <v>4000</v>
      </c>
      <c r="F72" s="2">
        <v>241</v>
      </c>
      <c r="G72" s="2">
        <v>45.6</v>
      </c>
      <c r="H72" s="2" t="s">
        <v>68</v>
      </c>
      <c r="I72" s="4">
        <f t="shared" si="31"/>
        <v>3.6253724008304502</v>
      </c>
      <c r="J72" s="4">
        <f t="shared" si="32"/>
        <v>8.2940496401020276</v>
      </c>
      <c r="K72" s="4">
        <f t="shared" si="33"/>
        <v>5.4847969334906548</v>
      </c>
      <c r="L72" s="2">
        <v>0</v>
      </c>
      <c r="M72" s="2">
        <v>0</v>
      </c>
      <c r="N72" s="4">
        <f t="shared" si="34"/>
        <v>45.6</v>
      </c>
      <c r="O72" s="4">
        <f t="shared" si="35"/>
        <v>0</v>
      </c>
      <c r="P72" s="4">
        <f t="shared" si="36"/>
        <v>0</v>
      </c>
      <c r="Q72" s="4">
        <f t="shared" si="37"/>
        <v>8.2940496401020276</v>
      </c>
      <c r="R72" s="4">
        <f t="shared" si="38"/>
        <v>5.4847969334906548</v>
      </c>
      <c r="S72" s="4">
        <f t="shared" si="39"/>
        <v>45.6</v>
      </c>
      <c r="T72" s="4">
        <f t="shared" si="40"/>
        <v>0</v>
      </c>
      <c r="U72" s="4">
        <f t="shared" si="41"/>
        <v>8.2940496401020276</v>
      </c>
      <c r="V72" s="4">
        <f t="shared" si="42"/>
        <v>5.4847969334906548</v>
      </c>
      <c r="W72" s="4">
        <f t="shared" si="43"/>
        <v>45.6</v>
      </c>
      <c r="X72" s="4">
        <f t="shared" si="44"/>
        <v>0</v>
      </c>
      <c r="Y72" s="4">
        <f t="shared" si="45"/>
        <v>8.2940496401020276</v>
      </c>
      <c r="Z72" s="4">
        <f t="shared" si="46"/>
        <v>5.4847969334906548</v>
      </c>
      <c r="AA72" s="4">
        <f t="shared" si="47"/>
        <v>45.6</v>
      </c>
      <c r="AB72" s="4">
        <f t="shared" si="48"/>
        <v>0</v>
      </c>
      <c r="AC72" s="4">
        <f t="shared" si="49"/>
        <v>0</v>
      </c>
      <c r="AD72" s="4">
        <f t="shared" si="50"/>
        <v>0</v>
      </c>
      <c r="AE72" s="4">
        <f t="shared" si="51"/>
        <v>0</v>
      </c>
      <c r="AF72" s="4">
        <f t="shared" si="52"/>
        <v>0</v>
      </c>
      <c r="AG72" s="4">
        <f t="shared" si="53"/>
        <v>8.2940496401020276</v>
      </c>
      <c r="AH72" s="4">
        <f t="shared" si="54"/>
        <v>0</v>
      </c>
      <c r="AI72" s="4">
        <f t="shared" si="55"/>
        <v>0</v>
      </c>
      <c r="AJ72" s="4">
        <f t="shared" si="56"/>
        <v>8.2940496401020276</v>
      </c>
      <c r="AK72" s="4">
        <f t="shared" si="57"/>
        <v>5.4847969334906548</v>
      </c>
      <c r="AL72" s="4">
        <f t="shared" si="58"/>
        <v>0</v>
      </c>
      <c r="AM72" s="4">
        <f>CER!$C$7+CER!$C$8*J72+CER!$C$9*K72+CER!$C$10*L72+CER!$C$11*M72</f>
        <v>3.479415848209626</v>
      </c>
      <c r="AN72" s="4">
        <f t="shared" si="59"/>
        <v>32.440766208189189</v>
      </c>
      <c r="AO72" s="4">
        <f t="shared" si="60"/>
        <v>0.14595655262082419</v>
      </c>
      <c r="AP72" s="4">
        <f>Alternatives!$F$25+Alternatives!$F$26*J72+Alternatives!$F$27*K72+Alternatives!$F$28*G72+Alternatives!$F$29*O72</f>
        <v>3.4612217188111027</v>
      </c>
      <c r="AQ72" s="4">
        <f t="shared" si="61"/>
        <v>0.16415068201934746</v>
      </c>
    </row>
    <row r="73" spans="1:43" x14ac:dyDescent="0.35">
      <c r="A73" s="2" t="s">
        <v>140</v>
      </c>
      <c r="B73" s="2" t="s">
        <v>73</v>
      </c>
      <c r="C73" s="2" t="s">
        <v>33</v>
      </c>
      <c r="D73" s="2">
        <v>17.759499999999999</v>
      </c>
      <c r="E73" s="2">
        <v>6500</v>
      </c>
      <c r="F73" s="2">
        <v>483</v>
      </c>
      <c r="G73" s="2">
        <v>57</v>
      </c>
      <c r="H73" s="2" t="s">
        <v>68</v>
      </c>
      <c r="I73" s="4">
        <f t="shared" si="31"/>
        <v>2.8769205840145635</v>
      </c>
      <c r="J73" s="4">
        <f t="shared" si="32"/>
        <v>8.7795574558837277</v>
      </c>
      <c r="K73" s="4">
        <f t="shared" si="33"/>
        <v>6.1800166536525722</v>
      </c>
      <c r="L73" s="2">
        <v>1</v>
      </c>
      <c r="M73" s="2">
        <v>0</v>
      </c>
      <c r="N73" s="4">
        <f t="shared" si="34"/>
        <v>57</v>
      </c>
      <c r="O73" s="4">
        <f t="shared" si="35"/>
        <v>1</v>
      </c>
      <c r="P73" s="4">
        <f t="shared" si="36"/>
        <v>1</v>
      </c>
      <c r="Q73" s="4">
        <f t="shared" si="37"/>
        <v>8.7795574558837277</v>
      </c>
      <c r="R73" s="4">
        <f t="shared" si="38"/>
        <v>6.1800166536525722</v>
      </c>
      <c r="S73" s="4">
        <f t="shared" si="39"/>
        <v>57</v>
      </c>
      <c r="T73" s="4">
        <f t="shared" si="40"/>
        <v>1</v>
      </c>
      <c r="U73" s="4">
        <f t="shared" si="41"/>
        <v>8.7795574558837277</v>
      </c>
      <c r="V73" s="4">
        <f t="shared" si="42"/>
        <v>6.1800166536525722</v>
      </c>
      <c r="W73" s="4">
        <f t="shared" si="43"/>
        <v>57</v>
      </c>
      <c r="X73" s="4">
        <f t="shared" si="44"/>
        <v>1</v>
      </c>
      <c r="Y73" s="4">
        <f t="shared" si="45"/>
        <v>8.7795574558837277</v>
      </c>
      <c r="Z73" s="4">
        <f t="shared" si="46"/>
        <v>6.1800166536525722</v>
      </c>
      <c r="AA73" s="4">
        <f t="shared" si="47"/>
        <v>57</v>
      </c>
      <c r="AB73" s="4">
        <f t="shared" si="48"/>
        <v>1</v>
      </c>
      <c r="AC73" s="4">
        <f t="shared" si="49"/>
        <v>0</v>
      </c>
      <c r="AD73" s="4">
        <f t="shared" si="50"/>
        <v>0</v>
      </c>
      <c r="AE73" s="4">
        <f t="shared" si="51"/>
        <v>0</v>
      </c>
      <c r="AF73" s="4">
        <f t="shared" si="52"/>
        <v>0</v>
      </c>
      <c r="AG73" s="4">
        <f t="shared" si="53"/>
        <v>8.7795574558837277</v>
      </c>
      <c r="AH73" s="4">
        <f t="shared" si="54"/>
        <v>1</v>
      </c>
      <c r="AI73" s="4">
        <f t="shared" si="55"/>
        <v>0</v>
      </c>
      <c r="AJ73" s="4">
        <f t="shared" si="56"/>
        <v>8.7795574558837277</v>
      </c>
      <c r="AK73" s="4">
        <f t="shared" si="57"/>
        <v>6.1800166536525722</v>
      </c>
      <c r="AL73" s="4">
        <f t="shared" si="58"/>
        <v>0</v>
      </c>
      <c r="AM73" s="4">
        <f>CER!$C$7+CER!$C$8*J73+CER!$C$9*K73+CER!$C$10*L73+CER!$C$11*M73</f>
        <v>3.226878656814717</v>
      </c>
      <c r="AN73" s="4">
        <f t="shared" si="59"/>
        <v>25.200873505031709</v>
      </c>
      <c r="AO73" s="4">
        <f t="shared" si="60"/>
        <v>-0.34995807280015345</v>
      </c>
      <c r="AP73" s="4">
        <f>Alternatives!$F$25+Alternatives!$F$26*J73+Alternatives!$F$27*K73+Alternatives!$F$28*G73+Alternatives!$F$29*O73</f>
        <v>4.1523529993916153</v>
      </c>
      <c r="AQ73" s="4">
        <f t="shared" si="61"/>
        <v>-1.2754324153770518</v>
      </c>
    </row>
    <row r="74" spans="1:43" x14ac:dyDescent="0.35">
      <c r="A74" s="2" t="s">
        <v>141</v>
      </c>
      <c r="B74" s="2" t="s">
        <v>73</v>
      </c>
      <c r="C74" s="2" t="s">
        <v>67</v>
      </c>
      <c r="D74" s="2">
        <v>24.630700000000001</v>
      </c>
      <c r="E74" s="2">
        <v>4000</v>
      </c>
      <c r="F74" s="2">
        <v>453</v>
      </c>
      <c r="G74" s="2">
        <v>47.6</v>
      </c>
      <c r="H74" s="2" t="s">
        <v>68</v>
      </c>
      <c r="I74" s="4">
        <f t="shared" si="31"/>
        <v>3.2039936323538418</v>
      </c>
      <c r="J74" s="4">
        <f t="shared" si="32"/>
        <v>8.2940496401020276</v>
      </c>
      <c r="K74" s="4">
        <f t="shared" si="33"/>
        <v>6.1158921254830343</v>
      </c>
      <c r="L74" s="2">
        <v>0</v>
      </c>
      <c r="M74" s="2">
        <v>0</v>
      </c>
      <c r="N74" s="4">
        <f t="shared" si="34"/>
        <v>47.6</v>
      </c>
      <c r="O74" s="4">
        <f t="shared" si="35"/>
        <v>0</v>
      </c>
      <c r="P74" s="4">
        <f t="shared" si="36"/>
        <v>0</v>
      </c>
      <c r="Q74" s="4">
        <f t="shared" si="37"/>
        <v>8.2940496401020276</v>
      </c>
      <c r="R74" s="4">
        <f t="shared" si="38"/>
        <v>6.1158921254830343</v>
      </c>
      <c r="S74" s="4">
        <f t="shared" si="39"/>
        <v>47.6</v>
      </c>
      <c r="T74" s="4">
        <f t="shared" si="40"/>
        <v>0</v>
      </c>
      <c r="U74" s="4">
        <f t="shared" si="41"/>
        <v>8.2940496401020276</v>
      </c>
      <c r="V74" s="4">
        <f t="shared" si="42"/>
        <v>6.1158921254830343</v>
      </c>
      <c r="W74" s="4">
        <f t="shared" si="43"/>
        <v>47.6</v>
      </c>
      <c r="X74" s="4">
        <f t="shared" si="44"/>
        <v>0</v>
      </c>
      <c r="Y74" s="4">
        <f t="shared" si="45"/>
        <v>8.2940496401020276</v>
      </c>
      <c r="Z74" s="4">
        <f t="shared" si="46"/>
        <v>6.1158921254830343</v>
      </c>
      <c r="AA74" s="4">
        <f t="shared" si="47"/>
        <v>47.6</v>
      </c>
      <c r="AB74" s="4">
        <f t="shared" si="48"/>
        <v>0</v>
      </c>
      <c r="AC74" s="4">
        <f t="shared" si="49"/>
        <v>0</v>
      </c>
      <c r="AD74" s="4">
        <f t="shared" si="50"/>
        <v>0</v>
      </c>
      <c r="AE74" s="4">
        <f t="shared" si="51"/>
        <v>0</v>
      </c>
      <c r="AF74" s="4">
        <f t="shared" si="52"/>
        <v>0</v>
      </c>
      <c r="AG74" s="4">
        <f t="shared" si="53"/>
        <v>8.2940496401020276</v>
      </c>
      <c r="AH74" s="4">
        <f t="shared" si="54"/>
        <v>0</v>
      </c>
      <c r="AI74" s="4">
        <f t="shared" si="55"/>
        <v>0</v>
      </c>
      <c r="AJ74" s="4">
        <f t="shared" si="56"/>
        <v>8.2940496401020276</v>
      </c>
      <c r="AK74" s="4">
        <f t="shared" si="57"/>
        <v>6.1158921254830343</v>
      </c>
      <c r="AL74" s="4">
        <f t="shared" si="58"/>
        <v>0</v>
      </c>
      <c r="AM74" s="4">
        <f>CER!$C$7+CER!$C$8*J74+CER!$C$9*K74+CER!$C$10*L74+CER!$C$11*M74</f>
        <v>3.2465772442721015</v>
      </c>
      <c r="AN74" s="4">
        <f t="shared" si="59"/>
        <v>25.70221678153279</v>
      </c>
      <c r="AO74" s="4">
        <f t="shared" si="60"/>
        <v>-4.2583611918259656E-2</v>
      </c>
      <c r="AP74" s="4">
        <f>Alternatives!$F$25+Alternatives!$F$26*J74+Alternatives!$F$27*K74+Alternatives!$F$28*G74+Alternatives!$F$29*O74</f>
        <v>3.2672663684375607</v>
      </c>
      <c r="AQ74" s="4">
        <f t="shared" si="61"/>
        <v>-6.3272736083718861E-2</v>
      </c>
    </row>
    <row r="75" spans="1:43" x14ac:dyDescent="0.35">
      <c r="A75" s="2" t="s">
        <v>141</v>
      </c>
      <c r="B75" s="2" t="s">
        <v>73</v>
      </c>
      <c r="C75" s="2" t="s">
        <v>67</v>
      </c>
      <c r="D75" s="2">
        <v>23.9758</v>
      </c>
      <c r="E75" s="2">
        <v>4000</v>
      </c>
      <c r="F75" s="2">
        <v>453</v>
      </c>
      <c r="G75" s="2">
        <v>47.6</v>
      </c>
      <c r="H75" s="2" t="s">
        <v>68</v>
      </c>
      <c r="I75" s="4">
        <f t="shared" si="31"/>
        <v>3.1770449883045617</v>
      </c>
      <c r="J75" s="4">
        <f t="shared" si="32"/>
        <v>8.2940496401020276</v>
      </c>
      <c r="K75" s="4">
        <f t="shared" si="33"/>
        <v>6.1158921254830343</v>
      </c>
      <c r="L75" s="2">
        <v>0</v>
      </c>
      <c r="M75" s="2">
        <v>0</v>
      </c>
      <c r="N75" s="4">
        <f t="shared" si="34"/>
        <v>47.6</v>
      </c>
      <c r="O75" s="4">
        <f t="shared" si="35"/>
        <v>0</v>
      </c>
      <c r="P75" s="4">
        <f t="shared" si="36"/>
        <v>0</v>
      </c>
      <c r="Q75" s="4">
        <f t="shared" si="37"/>
        <v>8.2940496401020276</v>
      </c>
      <c r="R75" s="4">
        <f t="shared" si="38"/>
        <v>6.1158921254830343</v>
      </c>
      <c r="S75" s="4">
        <f t="shared" si="39"/>
        <v>47.6</v>
      </c>
      <c r="T75" s="4">
        <f t="shared" si="40"/>
        <v>0</v>
      </c>
      <c r="U75" s="4">
        <f t="shared" si="41"/>
        <v>8.2940496401020276</v>
      </c>
      <c r="V75" s="4">
        <f t="shared" si="42"/>
        <v>6.1158921254830343</v>
      </c>
      <c r="W75" s="4">
        <f t="shared" si="43"/>
        <v>47.6</v>
      </c>
      <c r="X75" s="4">
        <f t="shared" si="44"/>
        <v>0</v>
      </c>
      <c r="Y75" s="4">
        <f t="shared" si="45"/>
        <v>8.2940496401020276</v>
      </c>
      <c r="Z75" s="4">
        <f t="shared" si="46"/>
        <v>6.1158921254830343</v>
      </c>
      <c r="AA75" s="4">
        <f t="shared" si="47"/>
        <v>47.6</v>
      </c>
      <c r="AB75" s="4">
        <f t="shared" si="48"/>
        <v>0</v>
      </c>
      <c r="AC75" s="4">
        <f t="shared" si="49"/>
        <v>0</v>
      </c>
      <c r="AD75" s="4">
        <f t="shared" si="50"/>
        <v>0</v>
      </c>
      <c r="AE75" s="4">
        <f t="shared" si="51"/>
        <v>0</v>
      </c>
      <c r="AF75" s="4">
        <f t="shared" si="52"/>
        <v>0</v>
      </c>
      <c r="AG75" s="4">
        <f t="shared" si="53"/>
        <v>8.2940496401020276</v>
      </c>
      <c r="AH75" s="4">
        <f t="shared" si="54"/>
        <v>0</v>
      </c>
      <c r="AI75" s="4">
        <f t="shared" si="55"/>
        <v>0</v>
      </c>
      <c r="AJ75" s="4">
        <f t="shared" si="56"/>
        <v>8.2940496401020276</v>
      </c>
      <c r="AK75" s="4">
        <f t="shared" si="57"/>
        <v>6.1158921254830343</v>
      </c>
      <c r="AL75" s="4">
        <f t="shared" si="58"/>
        <v>0</v>
      </c>
      <c r="AM75" s="4">
        <f>CER!$C$7+CER!$C$8*J75+CER!$C$9*K75+CER!$C$10*L75+CER!$C$11*M75</f>
        <v>3.2465772442721015</v>
      </c>
      <c r="AN75" s="4">
        <f t="shared" si="59"/>
        <v>25.70221678153279</v>
      </c>
      <c r="AO75" s="4">
        <f t="shared" si="60"/>
        <v>-6.9532255967539758E-2</v>
      </c>
      <c r="AP75" s="4">
        <f>Alternatives!$F$25+Alternatives!$F$26*J75+Alternatives!$F$27*K75+Alternatives!$F$28*G75+Alternatives!$F$29*O75</f>
        <v>3.2672663684375607</v>
      </c>
      <c r="AQ75" s="4">
        <f t="shared" si="61"/>
        <v>-9.0221380132998963E-2</v>
      </c>
    </row>
    <row r="76" spans="1:43" x14ac:dyDescent="0.35">
      <c r="A76" s="2" t="s">
        <v>142</v>
      </c>
      <c r="B76" s="2" t="s">
        <v>73</v>
      </c>
      <c r="C76" s="2" t="s">
        <v>33</v>
      </c>
      <c r="D76" s="2">
        <v>35.546799999999998</v>
      </c>
      <c r="E76" s="2">
        <v>5500</v>
      </c>
      <c r="F76" s="2">
        <v>308</v>
      </c>
      <c r="G76" s="2">
        <v>57.8</v>
      </c>
      <c r="H76" s="2" t="s">
        <v>68</v>
      </c>
      <c r="I76" s="4">
        <f t="shared" si="31"/>
        <v>3.5708501381330433</v>
      </c>
      <c r="J76" s="4">
        <f t="shared" si="32"/>
        <v>8.6125033712205621</v>
      </c>
      <c r="K76" s="4">
        <f t="shared" si="33"/>
        <v>5.730099782973574</v>
      </c>
      <c r="L76" s="2">
        <v>1</v>
      </c>
      <c r="M76" s="2">
        <v>0</v>
      </c>
      <c r="N76" s="4">
        <f t="shared" si="34"/>
        <v>57.8</v>
      </c>
      <c r="O76" s="4">
        <f t="shared" si="35"/>
        <v>1</v>
      </c>
      <c r="P76" s="4">
        <f t="shared" si="36"/>
        <v>1</v>
      </c>
      <c r="Q76" s="4">
        <f t="shared" si="37"/>
        <v>8.6125033712205621</v>
      </c>
      <c r="R76" s="4">
        <f t="shared" si="38"/>
        <v>5.730099782973574</v>
      </c>
      <c r="S76" s="4">
        <f t="shared" si="39"/>
        <v>57.8</v>
      </c>
      <c r="T76" s="4">
        <f t="shared" si="40"/>
        <v>1</v>
      </c>
      <c r="U76" s="4">
        <f t="shared" si="41"/>
        <v>8.6125033712205621</v>
      </c>
      <c r="V76" s="4">
        <f t="shared" si="42"/>
        <v>5.730099782973574</v>
      </c>
      <c r="W76" s="4">
        <f t="shared" si="43"/>
        <v>57.8</v>
      </c>
      <c r="X76" s="4">
        <f t="shared" si="44"/>
        <v>1</v>
      </c>
      <c r="Y76" s="4">
        <f t="shared" si="45"/>
        <v>8.6125033712205621</v>
      </c>
      <c r="Z76" s="4">
        <f t="shared" si="46"/>
        <v>5.730099782973574</v>
      </c>
      <c r="AA76" s="4">
        <f t="shared" si="47"/>
        <v>57.8</v>
      </c>
      <c r="AB76" s="4">
        <f t="shared" si="48"/>
        <v>1</v>
      </c>
      <c r="AC76" s="4">
        <f t="shared" si="49"/>
        <v>0</v>
      </c>
      <c r="AD76" s="4">
        <f t="shared" si="50"/>
        <v>0</v>
      </c>
      <c r="AE76" s="4">
        <f t="shared" si="51"/>
        <v>0</v>
      </c>
      <c r="AF76" s="4">
        <f t="shared" si="52"/>
        <v>0</v>
      </c>
      <c r="AG76" s="4">
        <f t="shared" si="53"/>
        <v>8.6125033712205621</v>
      </c>
      <c r="AH76" s="4">
        <f t="shared" si="54"/>
        <v>1</v>
      </c>
      <c r="AI76" s="4">
        <f t="shared" si="55"/>
        <v>0</v>
      </c>
      <c r="AJ76" s="4">
        <f t="shared" si="56"/>
        <v>8.6125033712205621</v>
      </c>
      <c r="AK76" s="4">
        <f t="shared" si="57"/>
        <v>5.730099782973574</v>
      </c>
      <c r="AL76" s="4">
        <f t="shared" si="58"/>
        <v>0</v>
      </c>
      <c r="AM76" s="4">
        <f>CER!$C$7+CER!$C$8*J76+CER!$C$9*K76+CER!$C$10*L76+CER!$C$11*M76</f>
        <v>3.4684995656122988</v>
      </c>
      <c r="AN76" s="4">
        <f t="shared" si="59"/>
        <v>32.088559527972492</v>
      </c>
      <c r="AO76" s="4">
        <f t="shared" si="60"/>
        <v>0.10235057252074453</v>
      </c>
      <c r="AP76" s="4">
        <f>Alternatives!$F$25+Alternatives!$F$26*J76+Alternatives!$F$27*K76+Alternatives!$F$28*G76+Alternatives!$F$29*O76</f>
        <v>4.199850137459082</v>
      </c>
      <c r="AQ76" s="4">
        <f t="shared" si="61"/>
        <v>-0.62899999932603867</v>
      </c>
    </row>
    <row r="77" spans="1:43" x14ac:dyDescent="0.35">
      <c r="A77" s="2" t="s">
        <v>143</v>
      </c>
      <c r="B77" s="2" t="s">
        <v>73</v>
      </c>
      <c r="C77" s="2" t="s">
        <v>33</v>
      </c>
      <c r="D77" s="2">
        <v>32.624499999999998</v>
      </c>
      <c r="E77" s="2">
        <v>6000</v>
      </c>
      <c r="F77" s="2">
        <v>308</v>
      </c>
      <c r="G77" s="2">
        <v>54</v>
      </c>
      <c r="H77" s="2" t="s">
        <v>68</v>
      </c>
      <c r="I77" s="4">
        <f t="shared" si="31"/>
        <v>3.4850635398549201</v>
      </c>
      <c r="J77" s="4">
        <f t="shared" si="32"/>
        <v>8.6995147482101913</v>
      </c>
      <c r="K77" s="4">
        <f t="shared" si="33"/>
        <v>5.730099782973574</v>
      </c>
      <c r="L77" s="2">
        <v>1</v>
      </c>
      <c r="M77" s="2">
        <v>0</v>
      </c>
      <c r="N77" s="4">
        <f t="shared" si="34"/>
        <v>54</v>
      </c>
      <c r="O77" s="4">
        <f t="shared" si="35"/>
        <v>1</v>
      </c>
      <c r="P77" s="4">
        <f t="shared" si="36"/>
        <v>1</v>
      </c>
      <c r="Q77" s="4">
        <f t="shared" si="37"/>
        <v>8.6995147482101913</v>
      </c>
      <c r="R77" s="4">
        <f t="shared" si="38"/>
        <v>5.730099782973574</v>
      </c>
      <c r="S77" s="4">
        <f t="shared" si="39"/>
        <v>54</v>
      </c>
      <c r="T77" s="4">
        <f t="shared" si="40"/>
        <v>1</v>
      </c>
      <c r="U77" s="4">
        <f t="shared" si="41"/>
        <v>8.6995147482101913</v>
      </c>
      <c r="V77" s="4">
        <f t="shared" si="42"/>
        <v>5.730099782973574</v>
      </c>
      <c r="W77" s="4">
        <f t="shared" si="43"/>
        <v>54</v>
      </c>
      <c r="X77" s="4">
        <f t="shared" si="44"/>
        <v>1</v>
      </c>
      <c r="Y77" s="4">
        <f t="shared" si="45"/>
        <v>8.6995147482101913</v>
      </c>
      <c r="Z77" s="4">
        <f t="shared" si="46"/>
        <v>5.730099782973574</v>
      </c>
      <c r="AA77" s="4">
        <f t="shared" si="47"/>
        <v>54</v>
      </c>
      <c r="AB77" s="4">
        <f t="shared" si="48"/>
        <v>1</v>
      </c>
      <c r="AC77" s="4">
        <f t="shared" si="49"/>
        <v>0</v>
      </c>
      <c r="AD77" s="4">
        <f t="shared" si="50"/>
        <v>0</v>
      </c>
      <c r="AE77" s="4">
        <f t="shared" si="51"/>
        <v>0</v>
      </c>
      <c r="AF77" s="4">
        <f t="shared" si="52"/>
        <v>0</v>
      </c>
      <c r="AG77" s="4">
        <f t="shared" si="53"/>
        <v>8.6995147482101913</v>
      </c>
      <c r="AH77" s="4">
        <f t="shared" si="54"/>
        <v>1</v>
      </c>
      <c r="AI77" s="4">
        <f t="shared" si="55"/>
        <v>0</v>
      </c>
      <c r="AJ77" s="4">
        <f t="shared" si="56"/>
        <v>8.6995147482101913</v>
      </c>
      <c r="AK77" s="4">
        <f t="shared" si="57"/>
        <v>5.730099782973574</v>
      </c>
      <c r="AL77" s="4">
        <f t="shared" si="58"/>
        <v>0</v>
      </c>
      <c r="AM77" s="4">
        <f>CER!$C$7+CER!$C$8*J77+CER!$C$9*K77+CER!$C$10*L77+CER!$C$11*M77</f>
        <v>3.4291087217379363</v>
      </c>
      <c r="AN77" s="4">
        <f t="shared" si="59"/>
        <v>30.84913532939256</v>
      </c>
      <c r="AO77" s="4">
        <f t="shared" si="60"/>
        <v>5.5954818116983773E-2</v>
      </c>
      <c r="AP77" s="4">
        <f>Alternatives!$F$25+Alternatives!$F$26*J77+Alternatives!$F$27*K77+Alternatives!$F$28*G77+Alternatives!$F$29*O77</f>
        <v>4.2814796232780754</v>
      </c>
      <c r="AQ77" s="4">
        <f t="shared" si="61"/>
        <v>-0.79641608342315529</v>
      </c>
    </row>
    <row r="78" spans="1:43" x14ac:dyDescent="0.35">
      <c r="A78" s="2" t="s">
        <v>144</v>
      </c>
      <c r="B78" s="2" t="s">
        <v>73</v>
      </c>
      <c r="C78" s="2" t="s">
        <v>33</v>
      </c>
      <c r="D78" s="2">
        <v>32.903500000000001</v>
      </c>
      <c r="E78" s="2">
        <v>5000</v>
      </c>
      <c r="F78" s="2">
        <v>375</v>
      </c>
      <c r="G78" s="2">
        <v>54</v>
      </c>
      <c r="H78" s="2" t="s">
        <v>68</v>
      </c>
      <c r="I78" s="4">
        <f t="shared" si="31"/>
        <v>3.4935790350917819</v>
      </c>
      <c r="J78" s="4">
        <f t="shared" si="32"/>
        <v>8.5171931914162382</v>
      </c>
      <c r="K78" s="4">
        <f t="shared" si="33"/>
        <v>5.9269260259704106</v>
      </c>
      <c r="L78" s="2">
        <v>1</v>
      </c>
      <c r="M78" s="2">
        <v>0</v>
      </c>
      <c r="N78" s="4">
        <f t="shared" si="34"/>
        <v>54</v>
      </c>
      <c r="O78" s="4">
        <f t="shared" si="35"/>
        <v>1</v>
      </c>
      <c r="P78" s="4">
        <f t="shared" si="36"/>
        <v>1</v>
      </c>
      <c r="Q78" s="4">
        <f t="shared" si="37"/>
        <v>8.5171931914162382</v>
      </c>
      <c r="R78" s="4">
        <f t="shared" si="38"/>
        <v>5.9269260259704106</v>
      </c>
      <c r="S78" s="4">
        <f t="shared" si="39"/>
        <v>54</v>
      </c>
      <c r="T78" s="4">
        <f t="shared" si="40"/>
        <v>1</v>
      </c>
      <c r="U78" s="4">
        <f t="shared" si="41"/>
        <v>8.5171931914162382</v>
      </c>
      <c r="V78" s="4">
        <f t="shared" si="42"/>
        <v>5.9269260259704106</v>
      </c>
      <c r="W78" s="4">
        <f t="shared" si="43"/>
        <v>54</v>
      </c>
      <c r="X78" s="4">
        <f t="shared" si="44"/>
        <v>1</v>
      </c>
      <c r="Y78" s="4">
        <f t="shared" si="45"/>
        <v>8.5171931914162382</v>
      </c>
      <c r="Z78" s="4">
        <f t="shared" si="46"/>
        <v>5.9269260259704106</v>
      </c>
      <c r="AA78" s="4">
        <f t="shared" si="47"/>
        <v>54</v>
      </c>
      <c r="AB78" s="4">
        <f t="shared" si="48"/>
        <v>1</v>
      </c>
      <c r="AC78" s="4">
        <f t="shared" si="49"/>
        <v>0</v>
      </c>
      <c r="AD78" s="4">
        <f t="shared" si="50"/>
        <v>0</v>
      </c>
      <c r="AE78" s="4">
        <f t="shared" si="51"/>
        <v>0</v>
      </c>
      <c r="AF78" s="4">
        <f t="shared" si="52"/>
        <v>0</v>
      </c>
      <c r="AG78" s="4">
        <f t="shared" si="53"/>
        <v>8.5171931914162382</v>
      </c>
      <c r="AH78" s="4">
        <f t="shared" si="54"/>
        <v>1</v>
      </c>
      <c r="AI78" s="4">
        <f t="shared" si="55"/>
        <v>0</v>
      </c>
      <c r="AJ78" s="4">
        <f t="shared" si="56"/>
        <v>8.5171931914162382</v>
      </c>
      <c r="AK78" s="4">
        <f t="shared" si="57"/>
        <v>5.9269260259704106</v>
      </c>
      <c r="AL78" s="4">
        <f t="shared" si="58"/>
        <v>0</v>
      </c>
      <c r="AM78" s="4">
        <f>CER!$C$7+CER!$C$8*J78+CER!$C$9*K78+CER!$C$10*L78+CER!$C$11*M78</f>
        <v>3.4390295481250255</v>
      </c>
      <c r="AN78" s="4">
        <f t="shared" si="59"/>
        <v>31.15670740710836</v>
      </c>
      <c r="AO78" s="4">
        <f t="shared" si="60"/>
        <v>5.4549486966756433E-2</v>
      </c>
      <c r="AP78" s="4">
        <f>Alternatives!$F$25+Alternatives!$F$26*J78+Alternatives!$F$27*K78+Alternatives!$F$28*G78+Alternatives!$F$29*O78</f>
        <v>4.1616275463966517</v>
      </c>
      <c r="AQ78" s="4">
        <f t="shared" si="61"/>
        <v>-0.66804851130486975</v>
      </c>
    </row>
    <row r="79" spans="1:43" x14ac:dyDescent="0.35">
      <c r="A79" s="2" t="s">
        <v>145</v>
      </c>
      <c r="B79" s="2" t="s">
        <v>73</v>
      </c>
      <c r="C79" s="2" t="s">
        <v>33</v>
      </c>
      <c r="D79" s="2">
        <v>33.275599999999997</v>
      </c>
      <c r="E79" s="2">
        <v>5000</v>
      </c>
      <c r="F79" s="2">
        <v>375</v>
      </c>
      <c r="G79" s="2">
        <v>54</v>
      </c>
      <c r="H79" s="2" t="s">
        <v>68</v>
      </c>
      <c r="I79" s="4">
        <f t="shared" si="31"/>
        <v>3.5048243956738303</v>
      </c>
      <c r="J79" s="4">
        <f t="shared" si="32"/>
        <v>8.5171931914162382</v>
      </c>
      <c r="K79" s="4">
        <f t="shared" si="33"/>
        <v>5.9269260259704106</v>
      </c>
      <c r="L79" s="2">
        <v>1</v>
      </c>
      <c r="M79" s="2">
        <v>0</v>
      </c>
      <c r="N79" s="4">
        <f t="shared" si="34"/>
        <v>54</v>
      </c>
      <c r="O79" s="4">
        <f t="shared" si="35"/>
        <v>1</v>
      </c>
      <c r="P79" s="4">
        <f t="shared" si="36"/>
        <v>1</v>
      </c>
      <c r="Q79" s="4">
        <f t="shared" si="37"/>
        <v>8.5171931914162382</v>
      </c>
      <c r="R79" s="4">
        <f t="shared" si="38"/>
        <v>5.9269260259704106</v>
      </c>
      <c r="S79" s="4">
        <f t="shared" si="39"/>
        <v>54</v>
      </c>
      <c r="T79" s="4">
        <f t="shared" si="40"/>
        <v>1</v>
      </c>
      <c r="U79" s="4">
        <f t="shared" si="41"/>
        <v>8.5171931914162382</v>
      </c>
      <c r="V79" s="4">
        <f t="shared" si="42"/>
        <v>5.9269260259704106</v>
      </c>
      <c r="W79" s="4">
        <f t="shared" si="43"/>
        <v>54</v>
      </c>
      <c r="X79" s="4">
        <f t="shared" si="44"/>
        <v>1</v>
      </c>
      <c r="Y79" s="4">
        <f t="shared" si="45"/>
        <v>8.5171931914162382</v>
      </c>
      <c r="Z79" s="4">
        <f t="shared" si="46"/>
        <v>5.9269260259704106</v>
      </c>
      <c r="AA79" s="4">
        <f t="shared" si="47"/>
        <v>54</v>
      </c>
      <c r="AB79" s="4">
        <f t="shared" si="48"/>
        <v>1</v>
      </c>
      <c r="AC79" s="4">
        <f t="shared" si="49"/>
        <v>0</v>
      </c>
      <c r="AD79" s="4">
        <f t="shared" si="50"/>
        <v>0</v>
      </c>
      <c r="AE79" s="4">
        <f t="shared" si="51"/>
        <v>0</v>
      </c>
      <c r="AF79" s="4">
        <f t="shared" si="52"/>
        <v>0</v>
      </c>
      <c r="AG79" s="4">
        <f t="shared" si="53"/>
        <v>8.5171931914162382</v>
      </c>
      <c r="AH79" s="4">
        <f t="shared" si="54"/>
        <v>1</v>
      </c>
      <c r="AI79" s="4">
        <f t="shared" si="55"/>
        <v>0</v>
      </c>
      <c r="AJ79" s="4">
        <f t="shared" si="56"/>
        <v>8.5171931914162382</v>
      </c>
      <c r="AK79" s="4">
        <f t="shared" si="57"/>
        <v>5.9269260259704106</v>
      </c>
      <c r="AL79" s="4">
        <f t="shared" si="58"/>
        <v>0</v>
      </c>
      <c r="AM79" s="4">
        <f>CER!$C$7+CER!$C$8*J79+CER!$C$9*K79+CER!$C$10*L79+CER!$C$11*M79</f>
        <v>3.4390295481250255</v>
      </c>
      <c r="AN79" s="4">
        <f t="shared" si="59"/>
        <v>31.15670740710836</v>
      </c>
      <c r="AO79" s="4">
        <f t="shared" si="60"/>
        <v>6.5794847548804825E-2</v>
      </c>
      <c r="AP79" s="4">
        <f>Alternatives!$F$25+Alternatives!$F$26*J79+Alternatives!$F$27*K79+Alternatives!$F$28*G79+Alternatives!$F$29*O79</f>
        <v>4.1616275463966517</v>
      </c>
      <c r="AQ79" s="4">
        <f t="shared" si="61"/>
        <v>-0.65680315072282136</v>
      </c>
    </row>
    <row r="80" spans="1:43" x14ac:dyDescent="0.35">
      <c r="A80" s="2" t="s">
        <v>146</v>
      </c>
      <c r="B80" s="2" t="s">
        <v>73</v>
      </c>
      <c r="C80" s="2" t="s">
        <v>33</v>
      </c>
      <c r="D80" s="2">
        <v>24.872199999999999</v>
      </c>
      <c r="E80" s="2">
        <v>5500</v>
      </c>
      <c r="F80" s="2">
        <v>523</v>
      </c>
      <c r="G80" s="2">
        <v>54.2</v>
      </c>
      <c r="H80" s="2" t="s">
        <v>68</v>
      </c>
      <c r="I80" s="4">
        <f t="shared" si="31"/>
        <v>3.2137507138949171</v>
      </c>
      <c r="J80" s="4">
        <f t="shared" si="32"/>
        <v>8.6125033712205621</v>
      </c>
      <c r="K80" s="4">
        <f t="shared" si="33"/>
        <v>6.2595814640649232</v>
      </c>
      <c r="L80" s="2">
        <v>1</v>
      </c>
      <c r="M80" s="2">
        <v>0</v>
      </c>
      <c r="N80" s="4">
        <f t="shared" si="34"/>
        <v>54.2</v>
      </c>
      <c r="O80" s="4">
        <f t="shared" si="35"/>
        <v>1</v>
      </c>
      <c r="P80" s="4">
        <f t="shared" si="36"/>
        <v>1</v>
      </c>
      <c r="Q80" s="4">
        <f t="shared" si="37"/>
        <v>8.6125033712205621</v>
      </c>
      <c r="R80" s="4">
        <f t="shared" si="38"/>
        <v>6.2595814640649232</v>
      </c>
      <c r="S80" s="4">
        <f t="shared" si="39"/>
        <v>54.2</v>
      </c>
      <c r="T80" s="4">
        <f t="shared" si="40"/>
        <v>1</v>
      </c>
      <c r="U80" s="4">
        <f t="shared" si="41"/>
        <v>8.6125033712205621</v>
      </c>
      <c r="V80" s="4">
        <f t="shared" si="42"/>
        <v>6.2595814640649232</v>
      </c>
      <c r="W80" s="4">
        <f t="shared" si="43"/>
        <v>54.2</v>
      </c>
      <c r="X80" s="4">
        <f t="shared" si="44"/>
        <v>1</v>
      </c>
      <c r="Y80" s="4">
        <f t="shared" si="45"/>
        <v>8.6125033712205621</v>
      </c>
      <c r="Z80" s="4">
        <f t="shared" si="46"/>
        <v>6.2595814640649232</v>
      </c>
      <c r="AA80" s="4">
        <f t="shared" si="47"/>
        <v>54.2</v>
      </c>
      <c r="AB80" s="4">
        <f t="shared" si="48"/>
        <v>1</v>
      </c>
      <c r="AC80" s="4">
        <f t="shared" si="49"/>
        <v>0</v>
      </c>
      <c r="AD80" s="4">
        <f t="shared" si="50"/>
        <v>0</v>
      </c>
      <c r="AE80" s="4">
        <f t="shared" si="51"/>
        <v>0</v>
      </c>
      <c r="AF80" s="4">
        <f t="shared" si="52"/>
        <v>0</v>
      </c>
      <c r="AG80" s="4">
        <f t="shared" si="53"/>
        <v>8.6125033712205621</v>
      </c>
      <c r="AH80" s="4">
        <f t="shared" si="54"/>
        <v>1</v>
      </c>
      <c r="AI80" s="4">
        <f t="shared" si="55"/>
        <v>0</v>
      </c>
      <c r="AJ80" s="4">
        <f t="shared" si="56"/>
        <v>8.6125033712205621</v>
      </c>
      <c r="AK80" s="4">
        <f t="shared" si="57"/>
        <v>6.2595814640649232</v>
      </c>
      <c r="AL80" s="4">
        <f t="shared" si="58"/>
        <v>0</v>
      </c>
      <c r="AM80" s="4">
        <f>CER!$C$7+CER!$C$8*J80+CER!$C$9*K80+CER!$C$10*L80+CER!$C$11*M80</f>
        <v>3.273150627765705</v>
      </c>
      <c r="AN80" s="4">
        <f t="shared" si="59"/>
        <v>26.394367305974889</v>
      </c>
      <c r="AO80" s="4">
        <f t="shared" si="60"/>
        <v>-5.9399913870787913E-2</v>
      </c>
      <c r="AP80" s="4">
        <f>Alternatives!$F$25+Alternatives!$F$26*J80+Alternatives!$F$27*K80+Alternatives!$F$28*G80+Alternatives!$F$29*O80</f>
        <v>4.1057761166470872</v>
      </c>
      <c r="AQ80" s="4">
        <f t="shared" si="61"/>
        <v>-0.89202540275217013</v>
      </c>
    </row>
    <row r="81" spans="1:43" x14ac:dyDescent="0.35">
      <c r="A81" s="2" t="s">
        <v>147</v>
      </c>
      <c r="B81" s="2" t="s">
        <v>73</v>
      </c>
      <c r="C81" s="2" t="s">
        <v>33</v>
      </c>
      <c r="D81" s="2">
        <v>24.872199999999999</v>
      </c>
      <c r="E81" s="2">
        <v>5500</v>
      </c>
      <c r="F81" s="2">
        <v>523</v>
      </c>
      <c r="G81" s="2">
        <v>54.2</v>
      </c>
      <c r="H81" s="2" t="s">
        <v>68</v>
      </c>
      <c r="I81" s="4">
        <f t="shared" si="31"/>
        <v>3.2137507138949171</v>
      </c>
      <c r="J81" s="4">
        <f t="shared" si="32"/>
        <v>8.6125033712205621</v>
      </c>
      <c r="K81" s="4">
        <f t="shared" si="33"/>
        <v>6.2595814640649232</v>
      </c>
      <c r="L81" s="2">
        <v>1</v>
      </c>
      <c r="M81" s="2">
        <v>0</v>
      </c>
      <c r="N81" s="4">
        <f t="shared" si="34"/>
        <v>54.2</v>
      </c>
      <c r="O81" s="4">
        <f t="shared" si="35"/>
        <v>1</v>
      </c>
      <c r="P81" s="4">
        <f t="shared" si="36"/>
        <v>1</v>
      </c>
      <c r="Q81" s="4">
        <f t="shared" si="37"/>
        <v>8.6125033712205621</v>
      </c>
      <c r="R81" s="4">
        <f t="shared" si="38"/>
        <v>6.2595814640649232</v>
      </c>
      <c r="S81" s="4">
        <f t="shared" si="39"/>
        <v>54.2</v>
      </c>
      <c r="T81" s="4">
        <f t="shared" si="40"/>
        <v>1</v>
      </c>
      <c r="U81" s="4">
        <f t="shared" si="41"/>
        <v>8.6125033712205621</v>
      </c>
      <c r="V81" s="4">
        <f t="shared" si="42"/>
        <v>6.2595814640649232</v>
      </c>
      <c r="W81" s="4">
        <f t="shared" si="43"/>
        <v>54.2</v>
      </c>
      <c r="X81" s="4">
        <f t="shared" si="44"/>
        <v>1</v>
      </c>
      <c r="Y81" s="4">
        <f t="shared" si="45"/>
        <v>8.6125033712205621</v>
      </c>
      <c r="Z81" s="4">
        <f t="shared" si="46"/>
        <v>6.2595814640649232</v>
      </c>
      <c r="AA81" s="4">
        <f t="shared" si="47"/>
        <v>54.2</v>
      </c>
      <c r="AB81" s="4">
        <f t="shared" si="48"/>
        <v>1</v>
      </c>
      <c r="AC81" s="4">
        <f t="shared" si="49"/>
        <v>0</v>
      </c>
      <c r="AD81" s="4">
        <f t="shared" si="50"/>
        <v>0</v>
      </c>
      <c r="AE81" s="4">
        <f t="shared" si="51"/>
        <v>0</v>
      </c>
      <c r="AF81" s="4">
        <f t="shared" si="52"/>
        <v>0</v>
      </c>
      <c r="AG81" s="4">
        <f t="shared" si="53"/>
        <v>8.6125033712205621</v>
      </c>
      <c r="AH81" s="4">
        <f t="shared" si="54"/>
        <v>1</v>
      </c>
      <c r="AI81" s="4">
        <f t="shared" si="55"/>
        <v>0</v>
      </c>
      <c r="AJ81" s="4">
        <f t="shared" si="56"/>
        <v>8.6125033712205621</v>
      </c>
      <c r="AK81" s="4">
        <f t="shared" si="57"/>
        <v>6.2595814640649232</v>
      </c>
      <c r="AL81" s="4">
        <f t="shared" si="58"/>
        <v>0</v>
      </c>
      <c r="AM81" s="4">
        <f>CER!$C$7+CER!$C$8*J81+CER!$C$9*K81+CER!$C$10*L81+CER!$C$11*M81</f>
        <v>3.273150627765705</v>
      </c>
      <c r="AN81" s="4">
        <f t="shared" si="59"/>
        <v>26.394367305974889</v>
      </c>
      <c r="AO81" s="4">
        <f t="shared" si="60"/>
        <v>-5.9399913870787913E-2</v>
      </c>
      <c r="AP81" s="4">
        <f>Alternatives!$F$25+Alternatives!$F$26*J81+Alternatives!$F$27*K81+Alternatives!$F$28*G81+Alternatives!$F$29*O81</f>
        <v>4.1057761166470872</v>
      </c>
      <c r="AQ81" s="4">
        <f t="shared" si="61"/>
        <v>-0.89202540275217013</v>
      </c>
    </row>
    <row r="82" spans="1:43" x14ac:dyDescent="0.35">
      <c r="A82" s="2" t="s">
        <v>148</v>
      </c>
      <c r="B82" s="2" t="s">
        <v>73</v>
      </c>
      <c r="C82" s="2" t="s">
        <v>67</v>
      </c>
      <c r="D82" s="2">
        <v>23.012799999999999</v>
      </c>
      <c r="E82" s="2">
        <v>4000</v>
      </c>
      <c r="F82" s="2">
        <v>543</v>
      </c>
      <c r="G82" s="2">
        <v>49.7</v>
      </c>
      <c r="H82" s="2" t="s">
        <v>68</v>
      </c>
      <c r="I82" s="4">
        <f t="shared" si="31"/>
        <v>3.1360505828674876</v>
      </c>
      <c r="J82" s="4">
        <f t="shared" si="32"/>
        <v>8.2940496401020276</v>
      </c>
      <c r="K82" s="4">
        <f t="shared" si="33"/>
        <v>6.2971093199339352</v>
      </c>
      <c r="L82" s="2">
        <v>0</v>
      </c>
      <c r="M82" s="2">
        <v>0</v>
      </c>
      <c r="N82" s="4">
        <f t="shared" si="34"/>
        <v>49.7</v>
      </c>
      <c r="O82" s="4">
        <f t="shared" si="35"/>
        <v>0</v>
      </c>
      <c r="P82" s="4">
        <f t="shared" si="36"/>
        <v>0</v>
      </c>
      <c r="Q82" s="4">
        <f t="shared" si="37"/>
        <v>8.2940496401020276</v>
      </c>
      <c r="R82" s="4">
        <f t="shared" si="38"/>
        <v>6.2971093199339352</v>
      </c>
      <c r="S82" s="4">
        <f t="shared" si="39"/>
        <v>49.7</v>
      </c>
      <c r="T82" s="4">
        <f t="shared" si="40"/>
        <v>0</v>
      </c>
      <c r="U82" s="4">
        <f t="shared" si="41"/>
        <v>8.2940496401020276</v>
      </c>
      <c r="V82" s="4">
        <f t="shared" si="42"/>
        <v>6.2971093199339352</v>
      </c>
      <c r="W82" s="4">
        <f t="shared" si="43"/>
        <v>49.7</v>
      </c>
      <c r="X82" s="4">
        <f t="shared" si="44"/>
        <v>0</v>
      </c>
      <c r="Y82" s="4">
        <f t="shared" si="45"/>
        <v>8.2940496401020276</v>
      </c>
      <c r="Z82" s="4">
        <f t="shared" si="46"/>
        <v>6.2971093199339352</v>
      </c>
      <c r="AA82" s="4">
        <f t="shared" si="47"/>
        <v>49.7</v>
      </c>
      <c r="AB82" s="4">
        <f t="shared" si="48"/>
        <v>0</v>
      </c>
      <c r="AC82" s="4">
        <f t="shared" si="49"/>
        <v>0</v>
      </c>
      <c r="AD82" s="4">
        <f t="shared" si="50"/>
        <v>0</v>
      </c>
      <c r="AE82" s="4">
        <f t="shared" si="51"/>
        <v>0</v>
      </c>
      <c r="AF82" s="4">
        <f t="shared" si="52"/>
        <v>0</v>
      </c>
      <c r="AG82" s="4">
        <f t="shared" si="53"/>
        <v>8.2940496401020276</v>
      </c>
      <c r="AH82" s="4">
        <f t="shared" si="54"/>
        <v>0</v>
      </c>
      <c r="AI82" s="4">
        <f t="shared" si="55"/>
        <v>0</v>
      </c>
      <c r="AJ82" s="4">
        <f t="shared" si="56"/>
        <v>8.2940496401020276</v>
      </c>
      <c r="AK82" s="4">
        <f t="shared" si="57"/>
        <v>6.2971093199339352</v>
      </c>
      <c r="AL82" s="4">
        <f t="shared" si="58"/>
        <v>0</v>
      </c>
      <c r="AM82" s="4">
        <f>CER!$C$7+CER!$C$8*J82+CER!$C$9*K82+CER!$C$10*L82+CER!$C$11*M82</f>
        <v>3.1797182995347564</v>
      </c>
      <c r="AN82" s="4">
        <f t="shared" si="59"/>
        <v>24.039980524428589</v>
      </c>
      <c r="AO82" s="4">
        <f t="shared" si="60"/>
        <v>-4.3667716667268763E-2</v>
      </c>
      <c r="AP82" s="4">
        <f>Alternatives!$F$25+Alternatives!$F$26*J82+Alternatives!$F$27*K82+Alternatives!$F$28*G82+Alternatives!$F$29*O82</f>
        <v>3.191727306098858</v>
      </c>
      <c r="AQ82" s="4">
        <f t="shared" si="61"/>
        <v>-5.5676723231370406E-2</v>
      </c>
    </row>
    <row r="83" spans="1:43" x14ac:dyDescent="0.35">
      <c r="A83" s="2" t="s">
        <v>149</v>
      </c>
      <c r="B83" s="2" t="s">
        <v>73</v>
      </c>
      <c r="C83" s="2" t="s">
        <v>33</v>
      </c>
      <c r="D83" s="2">
        <v>17.866499999999998</v>
      </c>
      <c r="E83" s="2">
        <v>6500</v>
      </c>
      <c r="F83" s="2">
        <v>577</v>
      </c>
      <c r="G83" s="2">
        <v>57</v>
      </c>
      <c r="H83" s="2" t="s">
        <v>68</v>
      </c>
      <c r="I83" s="4">
        <f t="shared" si="31"/>
        <v>2.8829274510069283</v>
      </c>
      <c r="J83" s="4">
        <f t="shared" si="32"/>
        <v>8.7795574558837277</v>
      </c>
      <c r="K83" s="4">
        <f t="shared" si="33"/>
        <v>6.3578422665080998</v>
      </c>
      <c r="L83" s="2">
        <v>1</v>
      </c>
      <c r="M83" s="2">
        <v>0</v>
      </c>
      <c r="N83" s="4">
        <f t="shared" si="34"/>
        <v>57</v>
      </c>
      <c r="O83" s="4">
        <f t="shared" si="35"/>
        <v>1</v>
      </c>
      <c r="P83" s="4">
        <f t="shared" si="36"/>
        <v>1</v>
      </c>
      <c r="Q83" s="4">
        <f t="shared" si="37"/>
        <v>8.7795574558837277</v>
      </c>
      <c r="R83" s="4">
        <f t="shared" si="38"/>
        <v>6.3578422665080998</v>
      </c>
      <c r="S83" s="4">
        <f t="shared" si="39"/>
        <v>57</v>
      </c>
      <c r="T83" s="4">
        <f t="shared" si="40"/>
        <v>1</v>
      </c>
      <c r="U83" s="4">
        <f t="shared" si="41"/>
        <v>8.7795574558837277</v>
      </c>
      <c r="V83" s="4">
        <f t="shared" si="42"/>
        <v>6.3578422665080998</v>
      </c>
      <c r="W83" s="4">
        <f t="shared" si="43"/>
        <v>57</v>
      </c>
      <c r="X83" s="4">
        <f t="shared" si="44"/>
        <v>1</v>
      </c>
      <c r="Y83" s="4">
        <f t="shared" si="45"/>
        <v>8.7795574558837277</v>
      </c>
      <c r="Z83" s="4">
        <f t="shared" si="46"/>
        <v>6.3578422665080998</v>
      </c>
      <c r="AA83" s="4">
        <f t="shared" si="47"/>
        <v>57</v>
      </c>
      <c r="AB83" s="4">
        <f t="shared" si="48"/>
        <v>1</v>
      </c>
      <c r="AC83" s="4">
        <f t="shared" si="49"/>
        <v>0</v>
      </c>
      <c r="AD83" s="4">
        <f t="shared" si="50"/>
        <v>0</v>
      </c>
      <c r="AE83" s="4">
        <f t="shared" si="51"/>
        <v>0</v>
      </c>
      <c r="AF83" s="4">
        <f t="shared" si="52"/>
        <v>0</v>
      </c>
      <c r="AG83" s="4">
        <f t="shared" si="53"/>
        <v>8.7795574558837277</v>
      </c>
      <c r="AH83" s="4">
        <f t="shared" si="54"/>
        <v>1</v>
      </c>
      <c r="AI83" s="4">
        <f t="shared" si="55"/>
        <v>0</v>
      </c>
      <c r="AJ83" s="4">
        <f t="shared" si="56"/>
        <v>8.7795574558837277</v>
      </c>
      <c r="AK83" s="4">
        <f t="shared" si="57"/>
        <v>6.3578422665080998</v>
      </c>
      <c r="AL83" s="4">
        <f t="shared" si="58"/>
        <v>0</v>
      </c>
      <c r="AM83" s="4">
        <f>CER!$C$7+CER!$C$8*J83+CER!$C$9*K83+CER!$C$10*L83+CER!$C$11*M83</f>
        <v>3.1612710147870535</v>
      </c>
      <c r="AN83" s="4">
        <f t="shared" si="59"/>
        <v>23.600573551998963</v>
      </c>
      <c r="AO83" s="4">
        <f t="shared" si="60"/>
        <v>-0.27834356378012526</v>
      </c>
      <c r="AP83" s="4">
        <f>Alternatives!$F$25+Alternatives!$F$26*J83+Alternatives!$F$27*K83+Alternatives!$F$28*G83+Alternatives!$F$29*O83</f>
        <v>4.1050318312610994</v>
      </c>
      <c r="AQ83" s="4">
        <f t="shared" si="61"/>
        <v>-1.2221043802541711</v>
      </c>
    </row>
    <row r="84" spans="1:43" x14ac:dyDescent="0.35">
      <c r="A84" s="2" t="s">
        <v>150</v>
      </c>
      <c r="B84" s="2" t="s">
        <v>73</v>
      </c>
      <c r="C84" s="2" t="s">
        <v>33</v>
      </c>
      <c r="D84" s="2">
        <v>40.646299999999997</v>
      </c>
      <c r="E84" s="2">
        <v>4000</v>
      </c>
      <c r="F84" s="2">
        <v>255</v>
      </c>
      <c r="G84" s="2">
        <v>52.9</v>
      </c>
      <c r="H84" s="2" t="s">
        <v>68</v>
      </c>
      <c r="I84" s="4">
        <f t="shared" si="31"/>
        <v>3.7049078109409561</v>
      </c>
      <c r="J84" s="4">
        <f t="shared" si="32"/>
        <v>8.2940496401020276</v>
      </c>
      <c r="K84" s="4">
        <f t="shared" si="33"/>
        <v>5.5412635451584258</v>
      </c>
      <c r="L84" s="2">
        <v>1</v>
      </c>
      <c r="M84" s="2">
        <v>0</v>
      </c>
      <c r="N84" s="4">
        <f t="shared" si="34"/>
        <v>52.9</v>
      </c>
      <c r="O84" s="4">
        <f t="shared" si="35"/>
        <v>1</v>
      </c>
      <c r="P84" s="4">
        <f t="shared" si="36"/>
        <v>1</v>
      </c>
      <c r="Q84" s="4">
        <f t="shared" si="37"/>
        <v>8.2940496401020276</v>
      </c>
      <c r="R84" s="4">
        <f t="shared" si="38"/>
        <v>5.5412635451584258</v>
      </c>
      <c r="S84" s="4">
        <f t="shared" si="39"/>
        <v>52.9</v>
      </c>
      <c r="T84" s="4">
        <f t="shared" si="40"/>
        <v>1</v>
      </c>
      <c r="U84" s="4">
        <f t="shared" si="41"/>
        <v>8.2940496401020276</v>
      </c>
      <c r="V84" s="4">
        <f t="shared" si="42"/>
        <v>5.5412635451584258</v>
      </c>
      <c r="W84" s="4">
        <f t="shared" si="43"/>
        <v>52.9</v>
      </c>
      <c r="X84" s="4">
        <f t="shared" si="44"/>
        <v>1</v>
      </c>
      <c r="Y84" s="4">
        <f t="shared" si="45"/>
        <v>8.2940496401020276</v>
      </c>
      <c r="Z84" s="4">
        <f t="shared" si="46"/>
        <v>5.5412635451584258</v>
      </c>
      <c r="AA84" s="4">
        <f t="shared" si="47"/>
        <v>52.9</v>
      </c>
      <c r="AB84" s="4">
        <f t="shared" si="48"/>
        <v>1</v>
      </c>
      <c r="AC84" s="4">
        <f t="shared" si="49"/>
        <v>0</v>
      </c>
      <c r="AD84" s="4">
        <f t="shared" si="50"/>
        <v>0</v>
      </c>
      <c r="AE84" s="4">
        <f t="shared" si="51"/>
        <v>0</v>
      </c>
      <c r="AF84" s="4">
        <f t="shared" si="52"/>
        <v>0</v>
      </c>
      <c r="AG84" s="4">
        <f t="shared" si="53"/>
        <v>8.2940496401020276</v>
      </c>
      <c r="AH84" s="4">
        <f t="shared" si="54"/>
        <v>1</v>
      </c>
      <c r="AI84" s="4">
        <f t="shared" si="55"/>
        <v>0</v>
      </c>
      <c r="AJ84" s="4">
        <f t="shared" si="56"/>
        <v>8.2940496401020276</v>
      </c>
      <c r="AK84" s="4">
        <f t="shared" si="57"/>
        <v>5.5412635451584258</v>
      </c>
      <c r="AL84" s="4">
        <f t="shared" si="58"/>
        <v>0</v>
      </c>
      <c r="AM84" s="4">
        <f>CER!$C$7+CER!$C$8*J84+CER!$C$9*K84+CER!$C$10*L84+CER!$C$11*M84</f>
        <v>3.6823364167606365</v>
      </c>
      <c r="AN84" s="4">
        <f t="shared" si="59"/>
        <v>39.739132868233618</v>
      </c>
      <c r="AO84" s="4">
        <f t="shared" si="60"/>
        <v>2.2571394180319615E-2</v>
      </c>
      <c r="AP84" s="4">
        <f>Alternatives!$F$25+Alternatives!$F$26*J84+Alternatives!$F$27*K84+Alternatives!$F$28*G84+Alternatives!$F$29*O84</f>
        <v>4.1959819233424502</v>
      </c>
      <c r="AQ84" s="4">
        <f t="shared" si="61"/>
        <v>-0.49107411240149412</v>
      </c>
    </row>
    <row r="85" spans="1:43" x14ac:dyDescent="0.35">
      <c r="A85" s="2" t="s">
        <v>151</v>
      </c>
      <c r="B85" s="2" t="s">
        <v>73</v>
      </c>
      <c r="C85" s="2" t="s">
        <v>33</v>
      </c>
      <c r="D85" s="2">
        <v>40.6252</v>
      </c>
      <c r="E85" s="2">
        <v>4500</v>
      </c>
      <c r="F85" s="2">
        <v>255</v>
      </c>
      <c r="G85" s="2">
        <v>52.9</v>
      </c>
      <c r="H85" s="2" t="s">
        <v>68</v>
      </c>
      <c r="I85" s="4">
        <f t="shared" si="31"/>
        <v>3.7043885637147063</v>
      </c>
      <c r="J85" s="4">
        <f t="shared" si="32"/>
        <v>8.4118326757584114</v>
      </c>
      <c r="K85" s="4">
        <f t="shared" si="33"/>
        <v>5.5412635451584258</v>
      </c>
      <c r="L85" s="2">
        <v>1</v>
      </c>
      <c r="M85" s="2">
        <v>0</v>
      </c>
      <c r="N85" s="4">
        <f t="shared" si="34"/>
        <v>52.9</v>
      </c>
      <c r="O85" s="4">
        <f t="shared" si="35"/>
        <v>1</v>
      </c>
      <c r="P85" s="4">
        <f t="shared" si="36"/>
        <v>1</v>
      </c>
      <c r="Q85" s="4">
        <f t="shared" si="37"/>
        <v>8.4118326757584114</v>
      </c>
      <c r="R85" s="4">
        <f t="shared" si="38"/>
        <v>5.5412635451584258</v>
      </c>
      <c r="S85" s="4">
        <f t="shared" si="39"/>
        <v>52.9</v>
      </c>
      <c r="T85" s="4">
        <f t="shared" si="40"/>
        <v>1</v>
      </c>
      <c r="U85" s="4">
        <f t="shared" si="41"/>
        <v>8.4118326757584114</v>
      </c>
      <c r="V85" s="4">
        <f t="shared" si="42"/>
        <v>5.5412635451584258</v>
      </c>
      <c r="W85" s="4">
        <f t="shared" si="43"/>
        <v>52.9</v>
      </c>
      <c r="X85" s="4">
        <f t="shared" si="44"/>
        <v>1</v>
      </c>
      <c r="Y85" s="4">
        <f t="shared" si="45"/>
        <v>8.4118326757584114</v>
      </c>
      <c r="Z85" s="4">
        <f t="shared" si="46"/>
        <v>5.5412635451584258</v>
      </c>
      <c r="AA85" s="4">
        <f t="shared" si="47"/>
        <v>52.9</v>
      </c>
      <c r="AB85" s="4">
        <f t="shared" si="48"/>
        <v>1</v>
      </c>
      <c r="AC85" s="4">
        <f t="shared" si="49"/>
        <v>0</v>
      </c>
      <c r="AD85" s="4">
        <f t="shared" si="50"/>
        <v>0</v>
      </c>
      <c r="AE85" s="4">
        <f t="shared" si="51"/>
        <v>0</v>
      </c>
      <c r="AF85" s="4">
        <f t="shared" si="52"/>
        <v>0</v>
      </c>
      <c r="AG85" s="4">
        <f t="shared" si="53"/>
        <v>8.4118326757584114</v>
      </c>
      <c r="AH85" s="4">
        <f t="shared" si="54"/>
        <v>1</v>
      </c>
      <c r="AI85" s="4">
        <f t="shared" si="55"/>
        <v>0</v>
      </c>
      <c r="AJ85" s="4">
        <f t="shared" si="56"/>
        <v>8.4118326757584114</v>
      </c>
      <c r="AK85" s="4">
        <f t="shared" si="57"/>
        <v>5.5412635451584258</v>
      </c>
      <c r="AL85" s="4">
        <f t="shared" si="58"/>
        <v>0</v>
      </c>
      <c r="AM85" s="4">
        <f>CER!$C$7+CER!$C$8*J85+CER!$C$9*K85+CER!$C$10*L85+CER!$C$11*M85</f>
        <v>3.6290149623818366</v>
      </c>
      <c r="AN85" s="4">
        <f t="shared" si="59"/>
        <v>37.675686364477059</v>
      </c>
      <c r="AO85" s="4">
        <f t="shared" si="60"/>
        <v>7.5373601332869633E-2</v>
      </c>
      <c r="AP85" s="4">
        <f>Alternatives!$F$25+Alternatives!$F$26*J85+Alternatives!$F$27*K85+Alternatives!$F$28*G85+Alternatives!$F$29*O85</f>
        <v>4.2395717732962419</v>
      </c>
      <c r="AQ85" s="4">
        <f t="shared" si="61"/>
        <v>-0.53518320958153565</v>
      </c>
    </row>
    <row r="86" spans="1:43" x14ac:dyDescent="0.35">
      <c r="A86" s="2" t="s">
        <v>152</v>
      </c>
      <c r="B86" s="2" t="s">
        <v>73</v>
      </c>
      <c r="C86" s="2" t="s">
        <v>67</v>
      </c>
      <c r="D86" s="2">
        <v>35.038600000000002</v>
      </c>
      <c r="E86" s="2">
        <v>4000</v>
      </c>
      <c r="F86" s="2">
        <v>312</v>
      </c>
      <c r="G86" s="2">
        <v>45.9</v>
      </c>
      <c r="H86" s="2" t="s">
        <v>68</v>
      </c>
      <c r="I86" s="4">
        <f t="shared" si="31"/>
        <v>3.5564503109320955</v>
      </c>
      <c r="J86" s="4">
        <f t="shared" si="32"/>
        <v>8.2940496401020276</v>
      </c>
      <c r="K86" s="4">
        <f t="shared" si="33"/>
        <v>5.7430031878094825</v>
      </c>
      <c r="L86" s="2">
        <v>0</v>
      </c>
      <c r="M86" s="2">
        <v>0</v>
      </c>
      <c r="N86" s="4">
        <f t="shared" si="34"/>
        <v>45.9</v>
      </c>
      <c r="O86" s="4">
        <f t="shared" si="35"/>
        <v>0</v>
      </c>
      <c r="P86" s="4">
        <f t="shared" si="36"/>
        <v>0</v>
      </c>
      <c r="Q86" s="4">
        <f t="shared" si="37"/>
        <v>8.2940496401020276</v>
      </c>
      <c r="R86" s="4">
        <f t="shared" si="38"/>
        <v>5.7430031878094825</v>
      </c>
      <c r="S86" s="4">
        <f t="shared" si="39"/>
        <v>45.9</v>
      </c>
      <c r="T86" s="4">
        <f t="shared" si="40"/>
        <v>0</v>
      </c>
      <c r="U86" s="4">
        <f t="shared" si="41"/>
        <v>8.2940496401020276</v>
      </c>
      <c r="V86" s="4">
        <f t="shared" si="42"/>
        <v>5.7430031878094825</v>
      </c>
      <c r="W86" s="4">
        <f t="shared" si="43"/>
        <v>45.9</v>
      </c>
      <c r="X86" s="4">
        <f t="shared" si="44"/>
        <v>0</v>
      </c>
      <c r="Y86" s="4">
        <f t="shared" si="45"/>
        <v>8.2940496401020276</v>
      </c>
      <c r="Z86" s="4">
        <f t="shared" si="46"/>
        <v>5.7430031878094825</v>
      </c>
      <c r="AA86" s="4">
        <f t="shared" si="47"/>
        <v>45.9</v>
      </c>
      <c r="AB86" s="4">
        <f t="shared" si="48"/>
        <v>0</v>
      </c>
      <c r="AC86" s="4">
        <f t="shared" si="49"/>
        <v>0</v>
      </c>
      <c r="AD86" s="4">
        <f t="shared" si="50"/>
        <v>0</v>
      </c>
      <c r="AE86" s="4">
        <f t="shared" si="51"/>
        <v>0</v>
      </c>
      <c r="AF86" s="4">
        <f t="shared" si="52"/>
        <v>0</v>
      </c>
      <c r="AG86" s="4">
        <f t="shared" si="53"/>
        <v>8.2940496401020276</v>
      </c>
      <c r="AH86" s="4">
        <f t="shared" si="54"/>
        <v>0</v>
      </c>
      <c r="AI86" s="4">
        <f t="shared" si="55"/>
        <v>0</v>
      </c>
      <c r="AJ86" s="4">
        <f t="shared" si="56"/>
        <v>8.2940496401020276</v>
      </c>
      <c r="AK86" s="4">
        <f t="shared" si="57"/>
        <v>5.7430031878094825</v>
      </c>
      <c r="AL86" s="4">
        <f t="shared" si="58"/>
        <v>0</v>
      </c>
      <c r="AM86" s="4">
        <f>CER!$C$7+CER!$C$8*J86+CER!$C$9*K86+CER!$C$10*L86+CER!$C$11*M86</f>
        <v>3.384152273797449</v>
      </c>
      <c r="AN86" s="4">
        <f t="shared" si="59"/>
        <v>29.492980143683759</v>
      </c>
      <c r="AO86" s="4">
        <f t="shared" si="60"/>
        <v>0.17229803713464653</v>
      </c>
      <c r="AP86" s="4">
        <f>Alternatives!$F$25+Alternatives!$F$26*J86+Alternatives!$F$27*K86+Alternatives!$F$28*G86+Alternatives!$F$29*O86</f>
        <v>3.3886082663975556</v>
      </c>
      <c r="AQ86" s="4">
        <f t="shared" si="61"/>
        <v>0.16784204453453988</v>
      </c>
    </row>
    <row r="87" spans="1:43" x14ac:dyDescent="0.35">
      <c r="A87" s="2" t="s">
        <v>153</v>
      </c>
      <c r="B87" s="2" t="s">
        <v>73</v>
      </c>
      <c r="C87" s="2" t="s">
        <v>67</v>
      </c>
      <c r="D87" s="2">
        <v>37.073399999999999</v>
      </c>
      <c r="E87" s="2">
        <v>4000</v>
      </c>
      <c r="F87" s="2">
        <v>241</v>
      </c>
      <c r="G87" s="2">
        <v>45.9</v>
      </c>
      <c r="H87" s="2" t="s">
        <v>68</v>
      </c>
      <c r="I87" s="4">
        <f t="shared" si="31"/>
        <v>3.6128997313274183</v>
      </c>
      <c r="J87" s="4">
        <f t="shared" si="32"/>
        <v>8.2940496401020276</v>
      </c>
      <c r="K87" s="4">
        <f t="shared" si="33"/>
        <v>5.4847969334906548</v>
      </c>
      <c r="L87" s="2">
        <v>0</v>
      </c>
      <c r="M87" s="2">
        <v>0</v>
      </c>
      <c r="N87" s="4">
        <f t="shared" si="34"/>
        <v>45.9</v>
      </c>
      <c r="O87" s="4">
        <f t="shared" si="35"/>
        <v>0</v>
      </c>
      <c r="P87" s="4">
        <f t="shared" si="36"/>
        <v>0</v>
      </c>
      <c r="Q87" s="4">
        <f t="shared" si="37"/>
        <v>8.2940496401020276</v>
      </c>
      <c r="R87" s="4">
        <f t="shared" si="38"/>
        <v>5.4847969334906548</v>
      </c>
      <c r="S87" s="4">
        <f t="shared" si="39"/>
        <v>45.9</v>
      </c>
      <c r="T87" s="4">
        <f t="shared" si="40"/>
        <v>0</v>
      </c>
      <c r="U87" s="4">
        <f t="shared" si="41"/>
        <v>8.2940496401020276</v>
      </c>
      <c r="V87" s="4">
        <f t="shared" si="42"/>
        <v>5.4847969334906548</v>
      </c>
      <c r="W87" s="4">
        <f t="shared" si="43"/>
        <v>45.9</v>
      </c>
      <c r="X87" s="4">
        <f t="shared" si="44"/>
        <v>0</v>
      </c>
      <c r="Y87" s="4">
        <f t="shared" si="45"/>
        <v>8.2940496401020276</v>
      </c>
      <c r="Z87" s="4">
        <f t="shared" si="46"/>
        <v>5.4847969334906548</v>
      </c>
      <c r="AA87" s="4">
        <f t="shared" si="47"/>
        <v>45.9</v>
      </c>
      <c r="AB87" s="4">
        <f t="shared" si="48"/>
        <v>0</v>
      </c>
      <c r="AC87" s="4">
        <f t="shared" si="49"/>
        <v>0</v>
      </c>
      <c r="AD87" s="4">
        <f t="shared" si="50"/>
        <v>0</v>
      </c>
      <c r="AE87" s="4">
        <f t="shared" si="51"/>
        <v>0</v>
      </c>
      <c r="AF87" s="4">
        <f t="shared" si="52"/>
        <v>0</v>
      </c>
      <c r="AG87" s="4">
        <f t="shared" si="53"/>
        <v>8.2940496401020276</v>
      </c>
      <c r="AH87" s="4">
        <f t="shared" si="54"/>
        <v>0</v>
      </c>
      <c r="AI87" s="4">
        <f t="shared" si="55"/>
        <v>0</v>
      </c>
      <c r="AJ87" s="4">
        <f t="shared" si="56"/>
        <v>8.2940496401020276</v>
      </c>
      <c r="AK87" s="4">
        <f t="shared" si="57"/>
        <v>5.4847969334906548</v>
      </c>
      <c r="AL87" s="4">
        <f t="shared" si="58"/>
        <v>0</v>
      </c>
      <c r="AM87" s="4">
        <f>CER!$C$7+CER!$C$8*J87+CER!$C$9*K87+CER!$C$10*L87+CER!$C$11*M87</f>
        <v>3.479415848209626</v>
      </c>
      <c r="AN87" s="4">
        <f t="shared" si="59"/>
        <v>32.440766208189189</v>
      </c>
      <c r="AO87" s="4">
        <f t="shared" si="60"/>
        <v>0.13348388311779225</v>
      </c>
      <c r="AP87" s="4">
        <f>Alternatives!$F$25+Alternatives!$F$26*J87+Alternatives!$F$27*K87+Alternatives!$F$28*G87+Alternatives!$F$29*O87</f>
        <v>3.457319524448434</v>
      </c>
      <c r="AQ87" s="4">
        <f t="shared" si="61"/>
        <v>0.15558020687898422</v>
      </c>
    </row>
    <row r="88" spans="1:43" x14ac:dyDescent="0.35">
      <c r="A88" s="2" t="s">
        <v>154</v>
      </c>
      <c r="B88" s="2" t="s">
        <v>73</v>
      </c>
      <c r="C88" s="2" t="s">
        <v>67</v>
      </c>
      <c r="D88" s="2">
        <v>35.131500000000003</v>
      </c>
      <c r="E88" s="2">
        <v>4000</v>
      </c>
      <c r="F88" s="2">
        <v>312</v>
      </c>
      <c r="G88" s="2">
        <v>45.9</v>
      </c>
      <c r="H88" s="2" t="s">
        <v>68</v>
      </c>
      <c r="I88" s="4">
        <f t="shared" si="31"/>
        <v>3.5590981639144279</v>
      </c>
      <c r="J88" s="4">
        <f t="shared" si="32"/>
        <v>8.2940496401020276</v>
      </c>
      <c r="K88" s="4">
        <f t="shared" si="33"/>
        <v>5.7430031878094825</v>
      </c>
      <c r="L88" s="2">
        <v>0</v>
      </c>
      <c r="M88" s="2">
        <v>0</v>
      </c>
      <c r="N88" s="4">
        <f t="shared" si="34"/>
        <v>45.9</v>
      </c>
      <c r="O88" s="4">
        <f t="shared" si="35"/>
        <v>0</v>
      </c>
      <c r="P88" s="4">
        <f t="shared" si="36"/>
        <v>0</v>
      </c>
      <c r="Q88" s="4">
        <f t="shared" si="37"/>
        <v>8.2940496401020276</v>
      </c>
      <c r="R88" s="4">
        <f t="shared" si="38"/>
        <v>5.7430031878094825</v>
      </c>
      <c r="S88" s="4">
        <f t="shared" si="39"/>
        <v>45.9</v>
      </c>
      <c r="T88" s="4">
        <f t="shared" si="40"/>
        <v>0</v>
      </c>
      <c r="U88" s="4">
        <f t="shared" si="41"/>
        <v>8.2940496401020276</v>
      </c>
      <c r="V88" s="4">
        <f t="shared" si="42"/>
        <v>5.7430031878094825</v>
      </c>
      <c r="W88" s="4">
        <f t="shared" si="43"/>
        <v>45.9</v>
      </c>
      <c r="X88" s="4">
        <f t="shared" si="44"/>
        <v>0</v>
      </c>
      <c r="Y88" s="4">
        <f t="shared" si="45"/>
        <v>8.2940496401020276</v>
      </c>
      <c r="Z88" s="4">
        <f t="shared" si="46"/>
        <v>5.7430031878094825</v>
      </c>
      <c r="AA88" s="4">
        <f t="shared" si="47"/>
        <v>45.9</v>
      </c>
      <c r="AB88" s="4">
        <f t="shared" si="48"/>
        <v>0</v>
      </c>
      <c r="AC88" s="4">
        <f t="shared" si="49"/>
        <v>0</v>
      </c>
      <c r="AD88" s="4">
        <f t="shared" si="50"/>
        <v>0</v>
      </c>
      <c r="AE88" s="4">
        <f t="shared" si="51"/>
        <v>0</v>
      </c>
      <c r="AF88" s="4">
        <f t="shared" si="52"/>
        <v>0</v>
      </c>
      <c r="AG88" s="4">
        <f t="shared" si="53"/>
        <v>8.2940496401020276</v>
      </c>
      <c r="AH88" s="4">
        <f t="shared" si="54"/>
        <v>0</v>
      </c>
      <c r="AI88" s="4">
        <f t="shared" si="55"/>
        <v>0</v>
      </c>
      <c r="AJ88" s="4">
        <f t="shared" si="56"/>
        <v>8.2940496401020276</v>
      </c>
      <c r="AK88" s="4">
        <f t="shared" si="57"/>
        <v>5.7430031878094825</v>
      </c>
      <c r="AL88" s="4">
        <f t="shared" si="58"/>
        <v>0</v>
      </c>
      <c r="AM88" s="4">
        <f>CER!$C$7+CER!$C$8*J88+CER!$C$9*K88+CER!$C$10*L88+CER!$C$11*M88</f>
        <v>3.384152273797449</v>
      </c>
      <c r="AN88" s="4">
        <f t="shared" si="59"/>
        <v>29.492980143683759</v>
      </c>
      <c r="AO88" s="4">
        <f t="shared" si="60"/>
        <v>0.17494589011697892</v>
      </c>
      <c r="AP88" s="4">
        <f>Alternatives!$F$25+Alternatives!$F$26*J88+Alternatives!$F$27*K88+Alternatives!$F$28*G88+Alternatives!$F$29*O88</f>
        <v>3.3886082663975556</v>
      </c>
      <c r="AQ88" s="4">
        <f t="shared" si="61"/>
        <v>0.17048989751687227</v>
      </c>
    </row>
    <row r="89" spans="1:43" x14ac:dyDescent="0.35">
      <c r="A89" s="2" t="s">
        <v>155</v>
      </c>
      <c r="B89" s="2" t="s">
        <v>73</v>
      </c>
      <c r="C89" s="2" t="s">
        <v>67</v>
      </c>
      <c r="D89" s="2">
        <v>44.193800000000003</v>
      </c>
      <c r="E89" s="2">
        <v>3000</v>
      </c>
      <c r="F89" s="2">
        <v>134</v>
      </c>
      <c r="G89" s="2">
        <v>40.299999999999997</v>
      </c>
      <c r="H89" s="2" t="s">
        <v>68</v>
      </c>
      <c r="I89" s="4">
        <f t="shared" si="31"/>
        <v>3.7885845077514739</v>
      </c>
      <c r="J89" s="4">
        <f t="shared" si="32"/>
        <v>8.0063675676502459</v>
      </c>
      <c r="K89" s="4">
        <f t="shared" si="33"/>
        <v>4.8978397999509111</v>
      </c>
      <c r="L89" s="2">
        <v>0</v>
      </c>
      <c r="M89" s="2">
        <v>0</v>
      </c>
      <c r="N89" s="4">
        <f t="shared" si="34"/>
        <v>40.299999999999997</v>
      </c>
      <c r="O89" s="4">
        <f t="shared" si="35"/>
        <v>0</v>
      </c>
      <c r="P89" s="4">
        <f t="shared" si="36"/>
        <v>0</v>
      </c>
      <c r="Q89" s="4">
        <f t="shared" si="37"/>
        <v>8.0063675676502459</v>
      </c>
      <c r="R89" s="4">
        <f t="shared" si="38"/>
        <v>4.8978397999509111</v>
      </c>
      <c r="S89" s="4">
        <f t="shared" si="39"/>
        <v>40.299999999999997</v>
      </c>
      <c r="T89" s="4">
        <f t="shared" si="40"/>
        <v>0</v>
      </c>
      <c r="U89" s="4">
        <f t="shared" si="41"/>
        <v>8.0063675676502459</v>
      </c>
      <c r="V89" s="4">
        <f t="shared" si="42"/>
        <v>4.8978397999509111</v>
      </c>
      <c r="W89" s="4">
        <f t="shared" si="43"/>
        <v>40.299999999999997</v>
      </c>
      <c r="X89" s="4">
        <f t="shared" si="44"/>
        <v>0</v>
      </c>
      <c r="Y89" s="4">
        <f t="shared" si="45"/>
        <v>8.0063675676502459</v>
      </c>
      <c r="Z89" s="4">
        <f t="shared" si="46"/>
        <v>4.8978397999509111</v>
      </c>
      <c r="AA89" s="4">
        <f t="shared" si="47"/>
        <v>40.299999999999997</v>
      </c>
      <c r="AB89" s="4">
        <f t="shared" si="48"/>
        <v>0</v>
      </c>
      <c r="AC89" s="4">
        <f t="shared" si="49"/>
        <v>0</v>
      </c>
      <c r="AD89" s="4">
        <f t="shared" si="50"/>
        <v>0</v>
      </c>
      <c r="AE89" s="4">
        <f t="shared" si="51"/>
        <v>0</v>
      </c>
      <c r="AF89" s="4">
        <f t="shared" si="52"/>
        <v>0</v>
      </c>
      <c r="AG89" s="4">
        <f t="shared" si="53"/>
        <v>8.0063675676502459</v>
      </c>
      <c r="AH89" s="4">
        <f t="shared" si="54"/>
        <v>0</v>
      </c>
      <c r="AI89" s="4">
        <f t="shared" si="55"/>
        <v>0</v>
      </c>
      <c r="AJ89" s="4">
        <f t="shared" si="56"/>
        <v>8.0063675676502459</v>
      </c>
      <c r="AK89" s="4">
        <f t="shared" si="57"/>
        <v>4.8978397999509111</v>
      </c>
      <c r="AL89" s="4">
        <f t="shared" si="58"/>
        <v>0</v>
      </c>
      <c r="AM89" s="4">
        <f>CER!$C$7+CER!$C$8*J89+CER!$C$9*K89+CER!$C$10*L89+CER!$C$11*M89</f>
        <v>3.8262062906903722</v>
      </c>
      <c r="AN89" s="4">
        <f t="shared" si="59"/>
        <v>45.888121406648708</v>
      </c>
      <c r="AO89" s="4">
        <f t="shared" si="60"/>
        <v>-3.7621782938898285E-2</v>
      </c>
      <c r="AP89" s="4">
        <f>Alternatives!$F$25+Alternatives!$F$26*J89+Alternatives!$F$27*K89+Alternatives!$F$28*G89+Alternatives!$F$29*O89</f>
        <v>3.5798885286920967</v>
      </c>
      <c r="AQ89" s="4">
        <f t="shared" si="61"/>
        <v>0.2086959790593772</v>
      </c>
    </row>
    <row r="90" spans="1:43" x14ac:dyDescent="0.35">
      <c r="A90" s="2" t="s">
        <v>155</v>
      </c>
      <c r="B90" s="2" t="s">
        <v>73</v>
      </c>
      <c r="C90" s="2" t="s">
        <v>67</v>
      </c>
      <c r="D90" s="2">
        <v>42.4846</v>
      </c>
      <c r="E90" s="2">
        <v>3000</v>
      </c>
      <c r="F90" s="2">
        <v>134</v>
      </c>
      <c r="G90" s="2">
        <v>40.299999999999997</v>
      </c>
      <c r="H90" s="2" t="s">
        <v>68</v>
      </c>
      <c r="I90" s="4">
        <f t="shared" si="31"/>
        <v>3.7491416573235044</v>
      </c>
      <c r="J90" s="4">
        <f t="shared" si="32"/>
        <v>8.0063675676502459</v>
      </c>
      <c r="K90" s="4">
        <f t="shared" si="33"/>
        <v>4.8978397999509111</v>
      </c>
      <c r="L90" s="2">
        <v>0</v>
      </c>
      <c r="M90" s="2">
        <v>0</v>
      </c>
      <c r="N90" s="4">
        <f t="shared" si="34"/>
        <v>40.299999999999997</v>
      </c>
      <c r="O90" s="4">
        <f t="shared" si="35"/>
        <v>0</v>
      </c>
      <c r="P90" s="4">
        <f t="shared" si="36"/>
        <v>0</v>
      </c>
      <c r="Q90" s="4">
        <f t="shared" si="37"/>
        <v>8.0063675676502459</v>
      </c>
      <c r="R90" s="4">
        <f t="shared" si="38"/>
        <v>4.8978397999509111</v>
      </c>
      <c r="S90" s="4">
        <f t="shared" si="39"/>
        <v>40.299999999999997</v>
      </c>
      <c r="T90" s="4">
        <f t="shared" si="40"/>
        <v>0</v>
      </c>
      <c r="U90" s="4">
        <f t="shared" si="41"/>
        <v>8.0063675676502459</v>
      </c>
      <c r="V90" s="4">
        <f t="shared" si="42"/>
        <v>4.8978397999509111</v>
      </c>
      <c r="W90" s="4">
        <f t="shared" si="43"/>
        <v>40.299999999999997</v>
      </c>
      <c r="X90" s="4">
        <f t="shared" si="44"/>
        <v>0</v>
      </c>
      <c r="Y90" s="4">
        <f t="shared" si="45"/>
        <v>8.0063675676502459</v>
      </c>
      <c r="Z90" s="4">
        <f t="shared" si="46"/>
        <v>4.8978397999509111</v>
      </c>
      <c r="AA90" s="4">
        <f t="shared" si="47"/>
        <v>40.299999999999997</v>
      </c>
      <c r="AB90" s="4">
        <f t="shared" si="48"/>
        <v>0</v>
      </c>
      <c r="AC90" s="4">
        <f t="shared" si="49"/>
        <v>0</v>
      </c>
      <c r="AD90" s="4">
        <f t="shared" si="50"/>
        <v>0</v>
      </c>
      <c r="AE90" s="4">
        <f t="shared" si="51"/>
        <v>0</v>
      </c>
      <c r="AF90" s="4">
        <f t="shared" si="52"/>
        <v>0</v>
      </c>
      <c r="AG90" s="4">
        <f t="shared" si="53"/>
        <v>8.0063675676502459</v>
      </c>
      <c r="AH90" s="4">
        <f t="shared" si="54"/>
        <v>0</v>
      </c>
      <c r="AI90" s="4">
        <f t="shared" si="55"/>
        <v>0</v>
      </c>
      <c r="AJ90" s="4">
        <f t="shared" si="56"/>
        <v>8.0063675676502459</v>
      </c>
      <c r="AK90" s="4">
        <f t="shared" si="57"/>
        <v>4.8978397999509111</v>
      </c>
      <c r="AL90" s="4">
        <f t="shared" si="58"/>
        <v>0</v>
      </c>
      <c r="AM90" s="4">
        <f>CER!$C$7+CER!$C$8*J90+CER!$C$9*K90+CER!$C$10*L90+CER!$C$11*M90</f>
        <v>3.8262062906903722</v>
      </c>
      <c r="AN90" s="4">
        <f t="shared" si="59"/>
        <v>45.888121406648708</v>
      </c>
      <c r="AO90" s="4">
        <f t="shared" si="60"/>
        <v>-7.7064633366867863E-2</v>
      </c>
      <c r="AP90" s="4">
        <f>Alternatives!$F$25+Alternatives!$F$26*J90+Alternatives!$F$27*K90+Alternatives!$F$28*G90+Alternatives!$F$29*O90</f>
        <v>3.5798885286920967</v>
      </c>
      <c r="AQ90" s="4">
        <f t="shared" si="61"/>
        <v>0.16925312863140762</v>
      </c>
    </row>
    <row r="91" spans="1:43" x14ac:dyDescent="0.35">
      <c r="A91" s="2" t="s">
        <v>156</v>
      </c>
      <c r="B91" s="2" t="s">
        <v>73</v>
      </c>
      <c r="C91" s="2" t="s">
        <v>67</v>
      </c>
      <c r="D91" s="2">
        <v>43.005499999999998</v>
      </c>
      <c r="E91" s="2">
        <v>3000</v>
      </c>
      <c r="F91" s="2">
        <v>189</v>
      </c>
      <c r="G91" s="2">
        <v>39.9</v>
      </c>
      <c r="H91" s="2" t="s">
        <v>68</v>
      </c>
      <c r="I91" s="4">
        <f t="shared" si="31"/>
        <v>3.7613280144909065</v>
      </c>
      <c r="J91" s="4">
        <f t="shared" si="32"/>
        <v>8.0063675676502459</v>
      </c>
      <c r="K91" s="4">
        <f t="shared" si="33"/>
        <v>5.2417470150596426</v>
      </c>
      <c r="L91" s="2">
        <v>0</v>
      </c>
      <c r="M91" s="2">
        <v>0</v>
      </c>
      <c r="N91" s="4">
        <f t="shared" si="34"/>
        <v>39.9</v>
      </c>
      <c r="O91" s="4">
        <f t="shared" si="35"/>
        <v>0</v>
      </c>
      <c r="P91" s="4">
        <f t="shared" si="36"/>
        <v>0</v>
      </c>
      <c r="Q91" s="4">
        <f t="shared" si="37"/>
        <v>8.0063675676502459</v>
      </c>
      <c r="R91" s="4">
        <f t="shared" si="38"/>
        <v>5.2417470150596426</v>
      </c>
      <c r="S91" s="4">
        <f t="shared" si="39"/>
        <v>39.9</v>
      </c>
      <c r="T91" s="4">
        <f t="shared" si="40"/>
        <v>0</v>
      </c>
      <c r="U91" s="4">
        <f t="shared" si="41"/>
        <v>8.0063675676502459</v>
      </c>
      <c r="V91" s="4">
        <f t="shared" si="42"/>
        <v>5.2417470150596426</v>
      </c>
      <c r="W91" s="4">
        <f t="shared" si="43"/>
        <v>39.9</v>
      </c>
      <c r="X91" s="4">
        <f t="shared" si="44"/>
        <v>0</v>
      </c>
      <c r="Y91" s="4">
        <f t="shared" si="45"/>
        <v>8.0063675676502459</v>
      </c>
      <c r="Z91" s="4">
        <f t="shared" si="46"/>
        <v>5.2417470150596426</v>
      </c>
      <c r="AA91" s="4">
        <f t="shared" si="47"/>
        <v>39.9</v>
      </c>
      <c r="AB91" s="4">
        <f t="shared" si="48"/>
        <v>0</v>
      </c>
      <c r="AC91" s="4">
        <f t="shared" si="49"/>
        <v>0</v>
      </c>
      <c r="AD91" s="4">
        <f t="shared" si="50"/>
        <v>0</v>
      </c>
      <c r="AE91" s="4">
        <f t="shared" si="51"/>
        <v>0</v>
      </c>
      <c r="AF91" s="4">
        <f t="shared" si="52"/>
        <v>0</v>
      </c>
      <c r="AG91" s="4">
        <f t="shared" si="53"/>
        <v>8.0063675676502459</v>
      </c>
      <c r="AH91" s="4">
        <f t="shared" si="54"/>
        <v>0</v>
      </c>
      <c r="AI91" s="4">
        <f t="shared" si="55"/>
        <v>0</v>
      </c>
      <c r="AJ91" s="4">
        <f t="shared" si="56"/>
        <v>8.0063675676502459</v>
      </c>
      <c r="AK91" s="4">
        <f t="shared" si="57"/>
        <v>5.2417470150596426</v>
      </c>
      <c r="AL91" s="4">
        <f t="shared" si="58"/>
        <v>0</v>
      </c>
      <c r="AM91" s="4">
        <f>CER!$C$7+CER!$C$8*J91+CER!$C$9*K91+CER!$C$10*L91+CER!$C$11*M91</f>
        <v>3.6993238855223645</v>
      </c>
      <c r="AN91" s="4">
        <f t="shared" si="59"/>
        <v>40.419966594779076</v>
      </c>
      <c r="AO91" s="4">
        <f t="shared" si="60"/>
        <v>6.2004128968542016E-2</v>
      </c>
      <c r="AP91" s="4">
        <f>Alternatives!$F$25+Alternatives!$F$26*J91+Alternatives!$F$27*K91+Alternatives!$F$28*G91+Alternatives!$F$29*O91</f>
        <v>3.4935743165324737</v>
      </c>
      <c r="AQ91" s="4">
        <f t="shared" si="61"/>
        <v>0.26775369795843273</v>
      </c>
    </row>
    <row r="92" spans="1:43" x14ac:dyDescent="0.35">
      <c r="A92" s="2" t="s">
        <v>156</v>
      </c>
      <c r="B92" s="2" t="s">
        <v>73</v>
      </c>
      <c r="C92" s="2" t="s">
        <v>67</v>
      </c>
      <c r="D92" s="2">
        <v>35.754399999999997</v>
      </c>
      <c r="E92" s="2">
        <v>3000</v>
      </c>
      <c r="F92" s="2">
        <v>189</v>
      </c>
      <c r="G92" s="2">
        <v>39.9</v>
      </c>
      <c r="H92" s="2" t="s">
        <v>68</v>
      </c>
      <c r="I92" s="4">
        <f t="shared" si="31"/>
        <v>3.5766733384897504</v>
      </c>
      <c r="J92" s="4">
        <f t="shared" si="32"/>
        <v>8.0063675676502459</v>
      </c>
      <c r="K92" s="4">
        <f t="shared" si="33"/>
        <v>5.2417470150596426</v>
      </c>
      <c r="L92" s="2">
        <v>0</v>
      </c>
      <c r="M92" s="2">
        <v>0</v>
      </c>
      <c r="N92" s="4">
        <f t="shared" si="34"/>
        <v>39.9</v>
      </c>
      <c r="O92" s="4">
        <f t="shared" si="35"/>
        <v>0</v>
      </c>
      <c r="P92" s="4">
        <f t="shared" si="36"/>
        <v>0</v>
      </c>
      <c r="Q92" s="4">
        <f t="shared" si="37"/>
        <v>8.0063675676502459</v>
      </c>
      <c r="R92" s="4">
        <f t="shared" si="38"/>
        <v>5.2417470150596426</v>
      </c>
      <c r="S92" s="4">
        <f t="shared" si="39"/>
        <v>39.9</v>
      </c>
      <c r="T92" s="4">
        <f t="shared" si="40"/>
        <v>0</v>
      </c>
      <c r="U92" s="4">
        <f t="shared" si="41"/>
        <v>8.0063675676502459</v>
      </c>
      <c r="V92" s="4">
        <f t="shared" si="42"/>
        <v>5.2417470150596426</v>
      </c>
      <c r="W92" s="4">
        <f t="shared" si="43"/>
        <v>39.9</v>
      </c>
      <c r="X92" s="4">
        <f t="shared" si="44"/>
        <v>0</v>
      </c>
      <c r="Y92" s="4">
        <f t="shared" si="45"/>
        <v>8.0063675676502459</v>
      </c>
      <c r="Z92" s="4">
        <f t="shared" si="46"/>
        <v>5.2417470150596426</v>
      </c>
      <c r="AA92" s="4">
        <f t="shared" si="47"/>
        <v>39.9</v>
      </c>
      <c r="AB92" s="4">
        <f t="shared" si="48"/>
        <v>0</v>
      </c>
      <c r="AC92" s="4">
        <f t="shared" si="49"/>
        <v>0</v>
      </c>
      <c r="AD92" s="4">
        <f t="shared" si="50"/>
        <v>0</v>
      </c>
      <c r="AE92" s="4">
        <f t="shared" si="51"/>
        <v>0</v>
      </c>
      <c r="AF92" s="4">
        <f t="shared" si="52"/>
        <v>0</v>
      </c>
      <c r="AG92" s="4">
        <f t="shared" si="53"/>
        <v>8.0063675676502459</v>
      </c>
      <c r="AH92" s="4">
        <f t="shared" si="54"/>
        <v>0</v>
      </c>
      <c r="AI92" s="4">
        <f t="shared" si="55"/>
        <v>0</v>
      </c>
      <c r="AJ92" s="4">
        <f t="shared" si="56"/>
        <v>8.0063675676502459</v>
      </c>
      <c r="AK92" s="4">
        <f t="shared" si="57"/>
        <v>5.2417470150596426</v>
      </c>
      <c r="AL92" s="4">
        <f t="shared" si="58"/>
        <v>0</v>
      </c>
      <c r="AM92" s="4">
        <f>CER!$C$7+CER!$C$8*J92+CER!$C$9*K92+CER!$C$10*L92+CER!$C$11*M92</f>
        <v>3.6993238855223645</v>
      </c>
      <c r="AN92" s="4">
        <f t="shared" si="59"/>
        <v>40.419966594779076</v>
      </c>
      <c r="AO92" s="4">
        <f t="shared" si="60"/>
        <v>-0.12265054703261402</v>
      </c>
      <c r="AP92" s="4">
        <f>Alternatives!$F$25+Alternatives!$F$26*J92+Alternatives!$F$27*K92+Alternatives!$F$28*G92+Alternatives!$F$29*O92</f>
        <v>3.4935743165324737</v>
      </c>
      <c r="AQ92" s="4">
        <f t="shared" si="61"/>
        <v>8.3099021957276697E-2</v>
      </c>
    </row>
    <row r="93" spans="1:43" x14ac:dyDescent="0.35">
      <c r="A93" s="2" t="s">
        <v>157</v>
      </c>
      <c r="B93" s="2" t="s">
        <v>73</v>
      </c>
      <c r="C93" s="2" t="s">
        <v>67</v>
      </c>
      <c r="D93" s="2">
        <v>43.005499999999998</v>
      </c>
      <c r="E93" s="2">
        <v>3000</v>
      </c>
      <c r="F93" s="2">
        <v>189</v>
      </c>
      <c r="G93" s="2">
        <v>41.1</v>
      </c>
      <c r="H93" s="2" t="s">
        <v>68</v>
      </c>
      <c r="I93" s="4">
        <f t="shared" si="31"/>
        <v>3.7613280144909065</v>
      </c>
      <c r="J93" s="4">
        <f t="shared" si="32"/>
        <v>8.0063675676502459</v>
      </c>
      <c r="K93" s="4">
        <f t="shared" si="33"/>
        <v>5.2417470150596426</v>
      </c>
      <c r="L93" s="2">
        <v>0</v>
      </c>
      <c r="M93" s="2">
        <v>0</v>
      </c>
      <c r="N93" s="4">
        <f t="shared" si="34"/>
        <v>41.1</v>
      </c>
      <c r="O93" s="4">
        <f t="shared" si="35"/>
        <v>0</v>
      </c>
      <c r="P93" s="4">
        <f t="shared" si="36"/>
        <v>0</v>
      </c>
      <c r="Q93" s="4">
        <f t="shared" si="37"/>
        <v>8.0063675676502459</v>
      </c>
      <c r="R93" s="4">
        <f t="shared" si="38"/>
        <v>5.2417470150596426</v>
      </c>
      <c r="S93" s="4">
        <f t="shared" si="39"/>
        <v>41.1</v>
      </c>
      <c r="T93" s="4">
        <f t="shared" si="40"/>
        <v>0</v>
      </c>
      <c r="U93" s="4">
        <f t="shared" si="41"/>
        <v>8.0063675676502459</v>
      </c>
      <c r="V93" s="4">
        <f t="shared" si="42"/>
        <v>5.2417470150596426</v>
      </c>
      <c r="W93" s="4">
        <f t="shared" si="43"/>
        <v>41.1</v>
      </c>
      <c r="X93" s="4">
        <f t="shared" si="44"/>
        <v>0</v>
      </c>
      <c r="Y93" s="4">
        <f t="shared" si="45"/>
        <v>8.0063675676502459</v>
      </c>
      <c r="Z93" s="4">
        <f t="shared" si="46"/>
        <v>5.2417470150596426</v>
      </c>
      <c r="AA93" s="4">
        <f t="shared" si="47"/>
        <v>41.1</v>
      </c>
      <c r="AB93" s="4">
        <f t="shared" si="48"/>
        <v>0</v>
      </c>
      <c r="AC93" s="4">
        <f t="shared" si="49"/>
        <v>0</v>
      </c>
      <c r="AD93" s="4">
        <f t="shared" si="50"/>
        <v>0</v>
      </c>
      <c r="AE93" s="4">
        <f t="shared" si="51"/>
        <v>0</v>
      </c>
      <c r="AF93" s="4">
        <f t="shared" si="52"/>
        <v>0</v>
      </c>
      <c r="AG93" s="4">
        <f t="shared" si="53"/>
        <v>8.0063675676502459</v>
      </c>
      <c r="AH93" s="4">
        <f t="shared" si="54"/>
        <v>0</v>
      </c>
      <c r="AI93" s="4">
        <f t="shared" si="55"/>
        <v>0</v>
      </c>
      <c r="AJ93" s="4">
        <f t="shared" si="56"/>
        <v>8.0063675676502459</v>
      </c>
      <c r="AK93" s="4">
        <f t="shared" si="57"/>
        <v>5.2417470150596426</v>
      </c>
      <c r="AL93" s="4">
        <f t="shared" si="58"/>
        <v>0</v>
      </c>
      <c r="AM93" s="4">
        <f>CER!$C$7+CER!$C$8*J93+CER!$C$9*K93+CER!$C$10*L93+CER!$C$11*M93</f>
        <v>3.6993238855223645</v>
      </c>
      <c r="AN93" s="4">
        <f t="shared" si="59"/>
        <v>40.419966594779076</v>
      </c>
      <c r="AO93" s="4">
        <f t="shared" si="60"/>
        <v>6.2004128968542016E-2</v>
      </c>
      <c r="AP93" s="4">
        <f>Alternatives!$F$25+Alternatives!$F$26*J93+Alternatives!$F$27*K93+Alternatives!$F$28*G93+Alternatives!$F$29*O93</f>
        <v>3.4779655390817998</v>
      </c>
      <c r="AQ93" s="4">
        <f t="shared" si="61"/>
        <v>0.28336247540910664</v>
      </c>
    </row>
    <row r="94" spans="1:43" x14ac:dyDescent="0.35">
      <c r="A94" s="2" t="s">
        <v>157</v>
      </c>
      <c r="B94" s="2" t="s">
        <v>73</v>
      </c>
      <c r="C94" s="2" t="s">
        <v>67</v>
      </c>
      <c r="D94" s="2">
        <v>35.754399999999997</v>
      </c>
      <c r="E94" s="2">
        <v>3000</v>
      </c>
      <c r="F94" s="2">
        <v>189</v>
      </c>
      <c r="G94" s="2">
        <v>41.1</v>
      </c>
      <c r="H94" s="2" t="s">
        <v>68</v>
      </c>
      <c r="I94" s="4">
        <f t="shared" si="31"/>
        <v>3.5766733384897504</v>
      </c>
      <c r="J94" s="4">
        <f t="shared" si="32"/>
        <v>8.0063675676502459</v>
      </c>
      <c r="K94" s="4">
        <f t="shared" si="33"/>
        <v>5.2417470150596426</v>
      </c>
      <c r="L94" s="2">
        <v>0</v>
      </c>
      <c r="M94" s="2">
        <v>0</v>
      </c>
      <c r="N94" s="4">
        <f t="shared" si="34"/>
        <v>41.1</v>
      </c>
      <c r="O94" s="4">
        <f t="shared" si="35"/>
        <v>0</v>
      </c>
      <c r="P94" s="4">
        <f t="shared" si="36"/>
        <v>0</v>
      </c>
      <c r="Q94" s="4">
        <f t="shared" si="37"/>
        <v>8.0063675676502459</v>
      </c>
      <c r="R94" s="4">
        <f t="shared" si="38"/>
        <v>5.2417470150596426</v>
      </c>
      <c r="S94" s="4">
        <f t="shared" si="39"/>
        <v>41.1</v>
      </c>
      <c r="T94" s="4">
        <f t="shared" si="40"/>
        <v>0</v>
      </c>
      <c r="U94" s="4">
        <f t="shared" si="41"/>
        <v>8.0063675676502459</v>
      </c>
      <c r="V94" s="4">
        <f t="shared" si="42"/>
        <v>5.2417470150596426</v>
      </c>
      <c r="W94" s="4">
        <f t="shared" si="43"/>
        <v>41.1</v>
      </c>
      <c r="X94" s="4">
        <f t="shared" si="44"/>
        <v>0</v>
      </c>
      <c r="Y94" s="4">
        <f t="shared" si="45"/>
        <v>8.0063675676502459</v>
      </c>
      <c r="Z94" s="4">
        <f t="shared" si="46"/>
        <v>5.2417470150596426</v>
      </c>
      <c r="AA94" s="4">
        <f t="shared" si="47"/>
        <v>41.1</v>
      </c>
      <c r="AB94" s="4">
        <f t="shared" si="48"/>
        <v>0</v>
      </c>
      <c r="AC94" s="4">
        <f t="shared" si="49"/>
        <v>0</v>
      </c>
      <c r="AD94" s="4">
        <f t="shared" si="50"/>
        <v>0</v>
      </c>
      <c r="AE94" s="4">
        <f t="shared" si="51"/>
        <v>0</v>
      </c>
      <c r="AF94" s="4">
        <f t="shared" si="52"/>
        <v>0</v>
      </c>
      <c r="AG94" s="4">
        <f t="shared" si="53"/>
        <v>8.0063675676502459</v>
      </c>
      <c r="AH94" s="4">
        <f t="shared" si="54"/>
        <v>0</v>
      </c>
      <c r="AI94" s="4">
        <f t="shared" si="55"/>
        <v>0</v>
      </c>
      <c r="AJ94" s="4">
        <f t="shared" si="56"/>
        <v>8.0063675676502459</v>
      </c>
      <c r="AK94" s="4">
        <f t="shared" si="57"/>
        <v>5.2417470150596426</v>
      </c>
      <c r="AL94" s="4">
        <f t="shared" si="58"/>
        <v>0</v>
      </c>
      <c r="AM94" s="4">
        <f>CER!$C$7+CER!$C$8*J94+CER!$C$9*K94+CER!$C$10*L94+CER!$C$11*M94</f>
        <v>3.6993238855223645</v>
      </c>
      <c r="AN94" s="4">
        <f t="shared" si="59"/>
        <v>40.419966594779076</v>
      </c>
      <c r="AO94" s="4">
        <f t="shared" si="60"/>
        <v>-0.12265054703261402</v>
      </c>
      <c r="AP94" s="4">
        <f>Alternatives!$F$25+Alternatives!$F$26*J94+Alternatives!$F$27*K94+Alternatives!$F$28*G94+Alternatives!$F$29*O94</f>
        <v>3.4779655390817998</v>
      </c>
      <c r="AQ94" s="4">
        <f t="shared" si="61"/>
        <v>9.8707799407950603E-2</v>
      </c>
    </row>
    <row r="95" spans="1:43" x14ac:dyDescent="0.35">
      <c r="A95" s="2" t="s">
        <v>158</v>
      </c>
      <c r="B95" s="2" t="s">
        <v>73</v>
      </c>
      <c r="C95" s="2" t="s">
        <v>67</v>
      </c>
      <c r="D95" s="2">
        <v>40.924900000000001</v>
      </c>
      <c r="E95" s="2">
        <v>3500</v>
      </c>
      <c r="F95" s="2">
        <v>189</v>
      </c>
      <c r="G95" s="2">
        <v>39.9</v>
      </c>
      <c r="H95" s="2" t="s">
        <v>68</v>
      </c>
      <c r="I95" s="4">
        <f t="shared" si="31"/>
        <v>3.7117386797600167</v>
      </c>
      <c r="J95" s="4">
        <f t="shared" si="32"/>
        <v>8.1605182474775049</v>
      </c>
      <c r="K95" s="4">
        <f t="shared" si="33"/>
        <v>5.2417470150596426</v>
      </c>
      <c r="L95" s="2">
        <v>0</v>
      </c>
      <c r="M95" s="2">
        <v>0</v>
      </c>
      <c r="N95" s="4">
        <f t="shared" si="34"/>
        <v>39.9</v>
      </c>
      <c r="O95" s="4">
        <f t="shared" si="35"/>
        <v>0</v>
      </c>
      <c r="P95" s="4">
        <f t="shared" si="36"/>
        <v>0</v>
      </c>
      <c r="Q95" s="4">
        <f t="shared" si="37"/>
        <v>8.1605182474775049</v>
      </c>
      <c r="R95" s="4">
        <f t="shared" si="38"/>
        <v>5.2417470150596426</v>
      </c>
      <c r="S95" s="4">
        <f t="shared" si="39"/>
        <v>39.9</v>
      </c>
      <c r="T95" s="4">
        <f t="shared" si="40"/>
        <v>0</v>
      </c>
      <c r="U95" s="4">
        <f t="shared" si="41"/>
        <v>8.1605182474775049</v>
      </c>
      <c r="V95" s="4">
        <f t="shared" si="42"/>
        <v>5.2417470150596426</v>
      </c>
      <c r="W95" s="4">
        <f t="shared" si="43"/>
        <v>39.9</v>
      </c>
      <c r="X95" s="4">
        <f t="shared" si="44"/>
        <v>0</v>
      </c>
      <c r="Y95" s="4">
        <f t="shared" si="45"/>
        <v>8.1605182474775049</v>
      </c>
      <c r="Z95" s="4">
        <f t="shared" si="46"/>
        <v>5.2417470150596426</v>
      </c>
      <c r="AA95" s="4">
        <f t="shared" si="47"/>
        <v>39.9</v>
      </c>
      <c r="AB95" s="4">
        <f t="shared" si="48"/>
        <v>0</v>
      </c>
      <c r="AC95" s="4">
        <f t="shared" si="49"/>
        <v>0</v>
      </c>
      <c r="AD95" s="4">
        <f t="shared" si="50"/>
        <v>0</v>
      </c>
      <c r="AE95" s="4">
        <f t="shared" si="51"/>
        <v>0</v>
      </c>
      <c r="AF95" s="4">
        <f t="shared" si="52"/>
        <v>0</v>
      </c>
      <c r="AG95" s="4">
        <f t="shared" si="53"/>
        <v>8.1605182474775049</v>
      </c>
      <c r="AH95" s="4">
        <f t="shared" si="54"/>
        <v>0</v>
      </c>
      <c r="AI95" s="4">
        <f t="shared" si="55"/>
        <v>0</v>
      </c>
      <c r="AJ95" s="4">
        <f t="shared" si="56"/>
        <v>8.1605182474775049</v>
      </c>
      <c r="AK95" s="4">
        <f t="shared" si="57"/>
        <v>5.2417470150596426</v>
      </c>
      <c r="AL95" s="4">
        <f t="shared" si="58"/>
        <v>0</v>
      </c>
      <c r="AM95" s="4">
        <f>CER!$C$7+CER!$C$8*J95+CER!$C$9*K95+CER!$C$10*L95+CER!$C$11*M95</f>
        <v>3.6295384669681212</v>
      </c>
      <c r="AN95" s="4">
        <f t="shared" si="59"/>
        <v>37.695414922625055</v>
      </c>
      <c r="AO95" s="4">
        <f t="shared" si="60"/>
        <v>8.2200212791895488E-2</v>
      </c>
      <c r="AP95" s="4">
        <f>Alternatives!$F$25+Alternatives!$F$26*J95+Alternatives!$F$27*K95+Alternatives!$F$28*G95+Alternatives!$F$29*O95</f>
        <v>3.5506233216502245</v>
      </c>
      <c r="AQ95" s="4">
        <f t="shared" si="61"/>
        <v>0.16111535810979216</v>
      </c>
    </row>
    <row r="96" spans="1:43" x14ac:dyDescent="0.35">
      <c r="A96" s="2" t="s">
        <v>158</v>
      </c>
      <c r="B96" s="2" t="s">
        <v>73</v>
      </c>
      <c r="C96" s="2" t="s">
        <v>67</v>
      </c>
      <c r="D96" s="2">
        <v>35.854700000000001</v>
      </c>
      <c r="E96" s="2">
        <v>3500</v>
      </c>
      <c r="F96" s="2">
        <v>189</v>
      </c>
      <c r="G96" s="2">
        <v>39.9</v>
      </c>
      <c r="H96" s="2" t="s">
        <v>68</v>
      </c>
      <c r="I96" s="4">
        <f t="shared" si="31"/>
        <v>3.5794746602656478</v>
      </c>
      <c r="J96" s="4">
        <f t="shared" si="32"/>
        <v>8.1605182474775049</v>
      </c>
      <c r="K96" s="4">
        <f t="shared" si="33"/>
        <v>5.2417470150596426</v>
      </c>
      <c r="L96" s="2">
        <v>0</v>
      </c>
      <c r="M96" s="2">
        <v>0</v>
      </c>
      <c r="N96" s="4">
        <f t="shared" si="34"/>
        <v>39.9</v>
      </c>
      <c r="O96" s="4">
        <f t="shared" si="35"/>
        <v>0</v>
      </c>
      <c r="P96" s="4">
        <f t="shared" si="36"/>
        <v>0</v>
      </c>
      <c r="Q96" s="4">
        <f t="shared" si="37"/>
        <v>8.1605182474775049</v>
      </c>
      <c r="R96" s="4">
        <f t="shared" si="38"/>
        <v>5.2417470150596426</v>
      </c>
      <c r="S96" s="4">
        <f t="shared" si="39"/>
        <v>39.9</v>
      </c>
      <c r="T96" s="4">
        <f t="shared" si="40"/>
        <v>0</v>
      </c>
      <c r="U96" s="4">
        <f t="shared" si="41"/>
        <v>8.1605182474775049</v>
      </c>
      <c r="V96" s="4">
        <f t="shared" si="42"/>
        <v>5.2417470150596426</v>
      </c>
      <c r="W96" s="4">
        <f t="shared" si="43"/>
        <v>39.9</v>
      </c>
      <c r="X96" s="4">
        <f t="shared" si="44"/>
        <v>0</v>
      </c>
      <c r="Y96" s="4">
        <f t="shared" si="45"/>
        <v>8.1605182474775049</v>
      </c>
      <c r="Z96" s="4">
        <f t="shared" si="46"/>
        <v>5.2417470150596426</v>
      </c>
      <c r="AA96" s="4">
        <f t="shared" si="47"/>
        <v>39.9</v>
      </c>
      <c r="AB96" s="4">
        <f t="shared" si="48"/>
        <v>0</v>
      </c>
      <c r="AC96" s="4">
        <f t="shared" si="49"/>
        <v>0</v>
      </c>
      <c r="AD96" s="4">
        <f t="shared" si="50"/>
        <v>0</v>
      </c>
      <c r="AE96" s="4">
        <f t="shared" si="51"/>
        <v>0</v>
      </c>
      <c r="AF96" s="4">
        <f t="shared" si="52"/>
        <v>0</v>
      </c>
      <c r="AG96" s="4">
        <f t="shared" si="53"/>
        <v>8.1605182474775049</v>
      </c>
      <c r="AH96" s="4">
        <f t="shared" si="54"/>
        <v>0</v>
      </c>
      <c r="AI96" s="4">
        <f t="shared" si="55"/>
        <v>0</v>
      </c>
      <c r="AJ96" s="4">
        <f t="shared" si="56"/>
        <v>8.1605182474775049</v>
      </c>
      <c r="AK96" s="4">
        <f t="shared" si="57"/>
        <v>5.2417470150596426</v>
      </c>
      <c r="AL96" s="4">
        <f t="shared" si="58"/>
        <v>0</v>
      </c>
      <c r="AM96" s="4">
        <f>CER!$C$7+CER!$C$8*J96+CER!$C$9*K96+CER!$C$10*L96+CER!$C$11*M96</f>
        <v>3.6295384669681212</v>
      </c>
      <c r="AN96" s="4">
        <f t="shared" si="59"/>
        <v>37.695414922625055</v>
      </c>
      <c r="AO96" s="4">
        <f t="shared" si="60"/>
        <v>-5.0063806702473457E-2</v>
      </c>
      <c r="AP96" s="4">
        <f>Alternatives!$F$25+Alternatives!$F$26*J96+Alternatives!$F$27*K96+Alternatives!$F$28*G96+Alternatives!$F$29*O96</f>
        <v>3.5506233216502245</v>
      </c>
      <c r="AQ96" s="4">
        <f t="shared" si="61"/>
        <v>2.8851338615423217E-2</v>
      </c>
    </row>
    <row r="97" spans="1:43" x14ac:dyDescent="0.35">
      <c r="A97" s="2" t="s">
        <v>159</v>
      </c>
      <c r="B97" s="2" t="s">
        <v>73</v>
      </c>
      <c r="C97" s="2" t="s">
        <v>67</v>
      </c>
      <c r="D97" s="2">
        <v>38.836100000000002</v>
      </c>
      <c r="E97" s="2">
        <v>3500</v>
      </c>
      <c r="F97" s="2">
        <v>189</v>
      </c>
      <c r="G97" s="2">
        <v>44.8</v>
      </c>
      <c r="H97" s="2" t="s">
        <v>68</v>
      </c>
      <c r="I97" s="4">
        <f t="shared" si="31"/>
        <v>3.6593502264350604</v>
      </c>
      <c r="J97" s="4">
        <f t="shared" si="32"/>
        <v>8.1605182474775049</v>
      </c>
      <c r="K97" s="4">
        <f t="shared" si="33"/>
        <v>5.2417470150596426</v>
      </c>
      <c r="L97" s="2">
        <v>0</v>
      </c>
      <c r="M97" s="2">
        <v>0</v>
      </c>
      <c r="N97" s="4">
        <f t="shared" si="34"/>
        <v>44.8</v>
      </c>
      <c r="O97" s="4">
        <f t="shared" si="35"/>
        <v>0</v>
      </c>
      <c r="P97" s="4">
        <f t="shared" si="36"/>
        <v>0</v>
      </c>
      <c r="Q97" s="4">
        <f t="shared" si="37"/>
        <v>8.1605182474775049</v>
      </c>
      <c r="R97" s="4">
        <f t="shared" si="38"/>
        <v>5.2417470150596426</v>
      </c>
      <c r="S97" s="4">
        <f t="shared" si="39"/>
        <v>44.8</v>
      </c>
      <c r="T97" s="4">
        <f t="shared" si="40"/>
        <v>0</v>
      </c>
      <c r="U97" s="4">
        <f t="shared" si="41"/>
        <v>8.1605182474775049</v>
      </c>
      <c r="V97" s="4">
        <f t="shared" si="42"/>
        <v>5.2417470150596426</v>
      </c>
      <c r="W97" s="4">
        <f t="shared" si="43"/>
        <v>44.8</v>
      </c>
      <c r="X97" s="4">
        <f t="shared" si="44"/>
        <v>0</v>
      </c>
      <c r="Y97" s="4">
        <f t="shared" si="45"/>
        <v>8.1605182474775049</v>
      </c>
      <c r="Z97" s="4">
        <f t="shared" si="46"/>
        <v>5.2417470150596426</v>
      </c>
      <c r="AA97" s="4">
        <f t="shared" si="47"/>
        <v>44.8</v>
      </c>
      <c r="AB97" s="4">
        <f t="shared" si="48"/>
        <v>0</v>
      </c>
      <c r="AC97" s="4">
        <f t="shared" si="49"/>
        <v>0</v>
      </c>
      <c r="AD97" s="4">
        <f t="shared" si="50"/>
        <v>0</v>
      </c>
      <c r="AE97" s="4">
        <f t="shared" si="51"/>
        <v>0</v>
      </c>
      <c r="AF97" s="4">
        <f t="shared" si="52"/>
        <v>0</v>
      </c>
      <c r="AG97" s="4">
        <f t="shared" si="53"/>
        <v>8.1605182474775049</v>
      </c>
      <c r="AH97" s="4">
        <f t="shared" si="54"/>
        <v>0</v>
      </c>
      <c r="AI97" s="4">
        <f t="shared" si="55"/>
        <v>0</v>
      </c>
      <c r="AJ97" s="4">
        <f t="shared" si="56"/>
        <v>8.1605182474775049</v>
      </c>
      <c r="AK97" s="4">
        <f t="shared" si="57"/>
        <v>5.2417470150596426</v>
      </c>
      <c r="AL97" s="4">
        <f t="shared" si="58"/>
        <v>0</v>
      </c>
      <c r="AM97" s="4">
        <f>CER!$C$7+CER!$C$8*J97+CER!$C$9*K97+CER!$C$10*L97+CER!$C$11*M97</f>
        <v>3.6295384669681212</v>
      </c>
      <c r="AN97" s="4">
        <f t="shared" si="59"/>
        <v>37.695414922625055</v>
      </c>
      <c r="AO97" s="4">
        <f t="shared" si="60"/>
        <v>2.9811759466939147E-2</v>
      </c>
      <c r="AP97" s="4">
        <f>Alternatives!$F$25+Alternatives!$F$26*J97+Alternatives!$F$27*K97+Alternatives!$F$28*G97+Alternatives!$F$29*O97</f>
        <v>3.4868874803933063</v>
      </c>
      <c r="AQ97" s="4">
        <f t="shared" si="61"/>
        <v>0.17246274604175404</v>
      </c>
    </row>
    <row r="98" spans="1:43" x14ac:dyDescent="0.35">
      <c r="A98" s="2" t="s">
        <v>160</v>
      </c>
      <c r="B98" s="2" t="s">
        <v>73</v>
      </c>
      <c r="C98" s="2" t="s">
        <v>67</v>
      </c>
      <c r="D98" s="2">
        <v>44.193800000000003</v>
      </c>
      <c r="E98" s="2">
        <v>3000</v>
      </c>
      <c r="F98" s="2">
        <v>134</v>
      </c>
      <c r="G98" s="2">
        <v>40.299999999999997</v>
      </c>
      <c r="H98" s="2" t="s">
        <v>68</v>
      </c>
      <c r="I98" s="4">
        <f t="shared" si="31"/>
        <v>3.7885845077514739</v>
      </c>
      <c r="J98" s="4">
        <f t="shared" si="32"/>
        <v>8.0063675676502459</v>
      </c>
      <c r="K98" s="4">
        <f t="shared" si="33"/>
        <v>4.8978397999509111</v>
      </c>
      <c r="L98" s="2">
        <v>0</v>
      </c>
      <c r="M98" s="2">
        <v>0</v>
      </c>
      <c r="N98" s="4">
        <f t="shared" si="34"/>
        <v>40.299999999999997</v>
      </c>
      <c r="O98" s="4">
        <f t="shared" si="35"/>
        <v>0</v>
      </c>
      <c r="P98" s="4">
        <f t="shared" si="36"/>
        <v>0</v>
      </c>
      <c r="Q98" s="4">
        <f t="shared" si="37"/>
        <v>8.0063675676502459</v>
      </c>
      <c r="R98" s="4">
        <f t="shared" si="38"/>
        <v>4.8978397999509111</v>
      </c>
      <c r="S98" s="4">
        <f t="shared" si="39"/>
        <v>40.299999999999997</v>
      </c>
      <c r="T98" s="4">
        <f t="shared" si="40"/>
        <v>0</v>
      </c>
      <c r="U98" s="4">
        <f t="shared" si="41"/>
        <v>8.0063675676502459</v>
      </c>
      <c r="V98" s="4">
        <f t="shared" si="42"/>
        <v>4.8978397999509111</v>
      </c>
      <c r="W98" s="4">
        <f t="shared" si="43"/>
        <v>40.299999999999997</v>
      </c>
      <c r="X98" s="4">
        <f t="shared" si="44"/>
        <v>0</v>
      </c>
      <c r="Y98" s="4">
        <f t="shared" si="45"/>
        <v>8.0063675676502459</v>
      </c>
      <c r="Z98" s="4">
        <f t="shared" si="46"/>
        <v>4.8978397999509111</v>
      </c>
      <c r="AA98" s="4">
        <f t="shared" si="47"/>
        <v>40.299999999999997</v>
      </c>
      <c r="AB98" s="4">
        <f t="shared" si="48"/>
        <v>0</v>
      </c>
      <c r="AC98" s="4">
        <f t="shared" si="49"/>
        <v>0</v>
      </c>
      <c r="AD98" s="4">
        <f t="shared" si="50"/>
        <v>0</v>
      </c>
      <c r="AE98" s="4">
        <f t="shared" si="51"/>
        <v>0</v>
      </c>
      <c r="AF98" s="4">
        <f t="shared" si="52"/>
        <v>0</v>
      </c>
      <c r="AG98" s="4">
        <f t="shared" si="53"/>
        <v>8.0063675676502459</v>
      </c>
      <c r="AH98" s="4">
        <f t="shared" si="54"/>
        <v>0</v>
      </c>
      <c r="AI98" s="4">
        <f t="shared" si="55"/>
        <v>0</v>
      </c>
      <c r="AJ98" s="4">
        <f t="shared" si="56"/>
        <v>8.0063675676502459</v>
      </c>
      <c r="AK98" s="4">
        <f t="shared" si="57"/>
        <v>4.8978397999509111</v>
      </c>
      <c r="AL98" s="4">
        <f t="shared" si="58"/>
        <v>0</v>
      </c>
      <c r="AM98" s="4">
        <f>CER!$C$7+CER!$C$8*J98+CER!$C$9*K98+CER!$C$10*L98+CER!$C$11*M98</f>
        <v>3.8262062906903722</v>
      </c>
      <c r="AN98" s="4">
        <f t="shared" si="59"/>
        <v>45.888121406648708</v>
      </c>
      <c r="AO98" s="4">
        <f t="shared" si="60"/>
        <v>-3.7621782938898285E-2</v>
      </c>
      <c r="AP98" s="4">
        <f>Alternatives!$F$25+Alternatives!$F$26*J98+Alternatives!$F$27*K98+Alternatives!$F$28*G98+Alternatives!$F$29*O98</f>
        <v>3.5798885286920967</v>
      </c>
      <c r="AQ98" s="4">
        <f t="shared" si="61"/>
        <v>0.2086959790593772</v>
      </c>
    </row>
    <row r="99" spans="1:43" x14ac:dyDescent="0.35">
      <c r="A99" s="2" t="s">
        <v>160</v>
      </c>
      <c r="B99" s="2" t="s">
        <v>73</v>
      </c>
      <c r="C99" s="2" t="s">
        <v>67</v>
      </c>
      <c r="D99" s="2">
        <v>42.4846</v>
      </c>
      <c r="E99" s="2">
        <v>3000</v>
      </c>
      <c r="F99" s="2">
        <v>134</v>
      </c>
      <c r="G99" s="2">
        <v>40.299999999999997</v>
      </c>
      <c r="H99" s="2" t="s">
        <v>68</v>
      </c>
      <c r="I99" s="4">
        <f t="shared" si="31"/>
        <v>3.7491416573235044</v>
      </c>
      <c r="J99" s="4">
        <f t="shared" si="32"/>
        <v>8.0063675676502459</v>
      </c>
      <c r="K99" s="4">
        <f t="shared" si="33"/>
        <v>4.8978397999509111</v>
      </c>
      <c r="L99" s="2">
        <v>0</v>
      </c>
      <c r="M99" s="2">
        <v>0</v>
      </c>
      <c r="N99" s="4">
        <f t="shared" si="34"/>
        <v>40.299999999999997</v>
      </c>
      <c r="O99" s="4">
        <f t="shared" si="35"/>
        <v>0</v>
      </c>
      <c r="P99" s="4">
        <f t="shared" si="36"/>
        <v>0</v>
      </c>
      <c r="Q99" s="4">
        <f t="shared" si="37"/>
        <v>8.0063675676502459</v>
      </c>
      <c r="R99" s="4">
        <f t="shared" si="38"/>
        <v>4.8978397999509111</v>
      </c>
      <c r="S99" s="4">
        <f t="shared" si="39"/>
        <v>40.299999999999997</v>
      </c>
      <c r="T99" s="4">
        <f t="shared" si="40"/>
        <v>0</v>
      </c>
      <c r="U99" s="4">
        <f t="shared" si="41"/>
        <v>8.0063675676502459</v>
      </c>
      <c r="V99" s="4">
        <f t="shared" si="42"/>
        <v>4.8978397999509111</v>
      </c>
      <c r="W99" s="4">
        <f t="shared" si="43"/>
        <v>40.299999999999997</v>
      </c>
      <c r="X99" s="4">
        <f t="shared" si="44"/>
        <v>0</v>
      </c>
      <c r="Y99" s="4">
        <f t="shared" si="45"/>
        <v>8.0063675676502459</v>
      </c>
      <c r="Z99" s="4">
        <f t="shared" si="46"/>
        <v>4.8978397999509111</v>
      </c>
      <c r="AA99" s="4">
        <f t="shared" si="47"/>
        <v>40.299999999999997</v>
      </c>
      <c r="AB99" s="4">
        <f t="shared" si="48"/>
        <v>0</v>
      </c>
      <c r="AC99" s="4">
        <f t="shared" si="49"/>
        <v>0</v>
      </c>
      <c r="AD99" s="4">
        <f t="shared" si="50"/>
        <v>0</v>
      </c>
      <c r="AE99" s="4">
        <f t="shared" si="51"/>
        <v>0</v>
      </c>
      <c r="AF99" s="4">
        <f t="shared" si="52"/>
        <v>0</v>
      </c>
      <c r="AG99" s="4">
        <f t="shared" si="53"/>
        <v>8.0063675676502459</v>
      </c>
      <c r="AH99" s="4">
        <f t="shared" si="54"/>
        <v>0</v>
      </c>
      <c r="AI99" s="4">
        <f t="shared" si="55"/>
        <v>0</v>
      </c>
      <c r="AJ99" s="4">
        <f t="shared" si="56"/>
        <v>8.0063675676502459</v>
      </c>
      <c r="AK99" s="4">
        <f t="shared" si="57"/>
        <v>4.8978397999509111</v>
      </c>
      <c r="AL99" s="4">
        <f t="shared" si="58"/>
        <v>0</v>
      </c>
      <c r="AM99" s="4">
        <f>CER!$C$7+CER!$C$8*J99+CER!$C$9*K99+CER!$C$10*L99+CER!$C$11*M99</f>
        <v>3.8262062906903722</v>
      </c>
      <c r="AN99" s="4">
        <f t="shared" si="59"/>
        <v>45.888121406648708</v>
      </c>
      <c r="AO99" s="4">
        <f t="shared" si="60"/>
        <v>-7.7064633366867863E-2</v>
      </c>
      <c r="AP99" s="4">
        <f>Alternatives!$F$25+Alternatives!$F$26*J99+Alternatives!$F$27*K99+Alternatives!$F$28*G99+Alternatives!$F$29*O99</f>
        <v>3.5798885286920967</v>
      </c>
      <c r="AQ99" s="4">
        <f t="shared" si="61"/>
        <v>0.16925312863140762</v>
      </c>
    </row>
    <row r="100" spans="1:43" x14ac:dyDescent="0.35">
      <c r="A100" s="2" t="s">
        <v>161</v>
      </c>
      <c r="B100" s="2" t="s">
        <v>73</v>
      </c>
      <c r="C100" s="2" t="s">
        <v>67</v>
      </c>
      <c r="D100" s="2">
        <v>44.193800000000003</v>
      </c>
      <c r="E100" s="2">
        <v>3000</v>
      </c>
      <c r="F100" s="2">
        <v>134</v>
      </c>
      <c r="G100" s="2">
        <v>41.5</v>
      </c>
      <c r="H100" s="2" t="s">
        <v>68</v>
      </c>
      <c r="I100" s="4">
        <f t="shared" si="31"/>
        <v>3.7885845077514739</v>
      </c>
      <c r="J100" s="4">
        <f t="shared" si="32"/>
        <v>8.0063675676502459</v>
      </c>
      <c r="K100" s="4">
        <f t="shared" si="33"/>
        <v>4.8978397999509111</v>
      </c>
      <c r="L100" s="2">
        <v>0</v>
      </c>
      <c r="M100" s="2">
        <v>0</v>
      </c>
      <c r="N100" s="4">
        <f t="shared" si="34"/>
        <v>41.5</v>
      </c>
      <c r="O100" s="4">
        <f t="shared" si="35"/>
        <v>0</v>
      </c>
      <c r="P100" s="4">
        <f t="shared" si="36"/>
        <v>0</v>
      </c>
      <c r="Q100" s="4">
        <f t="shared" si="37"/>
        <v>8.0063675676502459</v>
      </c>
      <c r="R100" s="4">
        <f t="shared" si="38"/>
        <v>4.8978397999509111</v>
      </c>
      <c r="S100" s="4">
        <f t="shared" si="39"/>
        <v>41.5</v>
      </c>
      <c r="T100" s="4">
        <f t="shared" si="40"/>
        <v>0</v>
      </c>
      <c r="U100" s="4">
        <f t="shared" si="41"/>
        <v>8.0063675676502459</v>
      </c>
      <c r="V100" s="4">
        <f t="shared" si="42"/>
        <v>4.8978397999509111</v>
      </c>
      <c r="W100" s="4">
        <f t="shared" si="43"/>
        <v>41.5</v>
      </c>
      <c r="X100" s="4">
        <f t="shared" si="44"/>
        <v>0</v>
      </c>
      <c r="Y100" s="4">
        <f t="shared" si="45"/>
        <v>8.0063675676502459</v>
      </c>
      <c r="Z100" s="4">
        <f t="shared" si="46"/>
        <v>4.8978397999509111</v>
      </c>
      <c r="AA100" s="4">
        <f t="shared" si="47"/>
        <v>41.5</v>
      </c>
      <c r="AB100" s="4">
        <f t="shared" si="48"/>
        <v>0</v>
      </c>
      <c r="AC100" s="4">
        <f t="shared" si="49"/>
        <v>0</v>
      </c>
      <c r="AD100" s="4">
        <f t="shared" si="50"/>
        <v>0</v>
      </c>
      <c r="AE100" s="4">
        <f t="shared" si="51"/>
        <v>0</v>
      </c>
      <c r="AF100" s="4">
        <f t="shared" si="52"/>
        <v>0</v>
      </c>
      <c r="AG100" s="4">
        <f t="shared" si="53"/>
        <v>8.0063675676502459</v>
      </c>
      <c r="AH100" s="4">
        <f t="shared" si="54"/>
        <v>0</v>
      </c>
      <c r="AI100" s="4">
        <f t="shared" si="55"/>
        <v>0</v>
      </c>
      <c r="AJ100" s="4">
        <f t="shared" si="56"/>
        <v>8.0063675676502459</v>
      </c>
      <c r="AK100" s="4">
        <f t="shared" si="57"/>
        <v>4.8978397999509111</v>
      </c>
      <c r="AL100" s="4">
        <f t="shared" si="58"/>
        <v>0</v>
      </c>
      <c r="AM100" s="4">
        <f>CER!$C$7+CER!$C$8*J100+CER!$C$9*K100+CER!$C$10*L100+CER!$C$11*M100</f>
        <v>3.8262062906903722</v>
      </c>
      <c r="AN100" s="4">
        <f t="shared" si="59"/>
        <v>45.888121406648708</v>
      </c>
      <c r="AO100" s="4">
        <f t="shared" si="60"/>
        <v>-3.7621782938898285E-2</v>
      </c>
      <c r="AP100" s="4">
        <f>Alternatives!$F$25+Alternatives!$F$26*J100+Alternatives!$F$27*K100+Alternatives!$F$28*G100+Alternatives!$F$29*O100</f>
        <v>3.5642797512414228</v>
      </c>
      <c r="AQ100" s="4">
        <f t="shared" si="61"/>
        <v>0.22430475651005111</v>
      </c>
    </row>
    <row r="101" spans="1:43" x14ac:dyDescent="0.35">
      <c r="A101" s="2" t="s">
        <v>161</v>
      </c>
      <c r="B101" s="2" t="s">
        <v>73</v>
      </c>
      <c r="C101" s="2" t="s">
        <v>67</v>
      </c>
      <c r="D101" s="2">
        <v>42.4846</v>
      </c>
      <c r="E101" s="2">
        <v>3000</v>
      </c>
      <c r="F101" s="2">
        <v>134</v>
      </c>
      <c r="G101" s="2">
        <v>41.5</v>
      </c>
      <c r="H101" s="2" t="s">
        <v>68</v>
      </c>
      <c r="I101" s="4">
        <f t="shared" si="31"/>
        <v>3.7491416573235044</v>
      </c>
      <c r="J101" s="4">
        <f t="shared" si="32"/>
        <v>8.0063675676502459</v>
      </c>
      <c r="K101" s="4">
        <f t="shared" si="33"/>
        <v>4.8978397999509111</v>
      </c>
      <c r="L101" s="2">
        <v>0</v>
      </c>
      <c r="M101" s="2">
        <v>0</v>
      </c>
      <c r="N101" s="4">
        <f t="shared" si="34"/>
        <v>41.5</v>
      </c>
      <c r="O101" s="4">
        <f t="shared" si="35"/>
        <v>0</v>
      </c>
      <c r="P101" s="4">
        <f t="shared" si="36"/>
        <v>0</v>
      </c>
      <c r="Q101" s="4">
        <f t="shared" si="37"/>
        <v>8.0063675676502459</v>
      </c>
      <c r="R101" s="4">
        <f t="shared" si="38"/>
        <v>4.8978397999509111</v>
      </c>
      <c r="S101" s="4">
        <f t="shared" si="39"/>
        <v>41.5</v>
      </c>
      <c r="T101" s="4">
        <f t="shared" si="40"/>
        <v>0</v>
      </c>
      <c r="U101" s="4">
        <f t="shared" si="41"/>
        <v>8.0063675676502459</v>
      </c>
      <c r="V101" s="4">
        <f t="shared" si="42"/>
        <v>4.8978397999509111</v>
      </c>
      <c r="W101" s="4">
        <f t="shared" si="43"/>
        <v>41.5</v>
      </c>
      <c r="X101" s="4">
        <f t="shared" si="44"/>
        <v>0</v>
      </c>
      <c r="Y101" s="4">
        <f t="shared" si="45"/>
        <v>8.0063675676502459</v>
      </c>
      <c r="Z101" s="4">
        <f t="shared" si="46"/>
        <v>4.8978397999509111</v>
      </c>
      <c r="AA101" s="4">
        <f t="shared" si="47"/>
        <v>41.5</v>
      </c>
      <c r="AB101" s="4">
        <f t="shared" si="48"/>
        <v>0</v>
      </c>
      <c r="AC101" s="4">
        <f t="shared" si="49"/>
        <v>0</v>
      </c>
      <c r="AD101" s="4">
        <f t="shared" si="50"/>
        <v>0</v>
      </c>
      <c r="AE101" s="4">
        <f t="shared" si="51"/>
        <v>0</v>
      </c>
      <c r="AF101" s="4">
        <f t="shared" si="52"/>
        <v>0</v>
      </c>
      <c r="AG101" s="4">
        <f t="shared" si="53"/>
        <v>8.0063675676502459</v>
      </c>
      <c r="AH101" s="4">
        <f t="shared" si="54"/>
        <v>0</v>
      </c>
      <c r="AI101" s="4">
        <f t="shared" si="55"/>
        <v>0</v>
      </c>
      <c r="AJ101" s="4">
        <f t="shared" si="56"/>
        <v>8.0063675676502459</v>
      </c>
      <c r="AK101" s="4">
        <f t="shared" si="57"/>
        <v>4.8978397999509111</v>
      </c>
      <c r="AL101" s="4">
        <f t="shared" si="58"/>
        <v>0</v>
      </c>
      <c r="AM101" s="4">
        <f>CER!$C$7+CER!$C$8*J101+CER!$C$9*K101+CER!$C$10*L101+CER!$C$11*M101</f>
        <v>3.8262062906903722</v>
      </c>
      <c r="AN101" s="4">
        <f t="shared" si="59"/>
        <v>45.888121406648708</v>
      </c>
      <c r="AO101" s="4">
        <f t="shared" si="60"/>
        <v>-7.7064633366867863E-2</v>
      </c>
      <c r="AP101" s="4">
        <f>Alternatives!$F$25+Alternatives!$F$26*J101+Alternatives!$F$27*K101+Alternatives!$F$28*G101+Alternatives!$F$29*O101</f>
        <v>3.5642797512414228</v>
      </c>
      <c r="AQ101" s="4">
        <f t="shared" si="61"/>
        <v>0.18486190608208153</v>
      </c>
    </row>
    <row r="102" spans="1:43" x14ac:dyDescent="0.35">
      <c r="A102" s="2" t="s">
        <v>162</v>
      </c>
      <c r="B102" s="2" t="s">
        <v>73</v>
      </c>
      <c r="C102" s="2" t="s">
        <v>67</v>
      </c>
      <c r="D102" s="2">
        <v>38.171500000000002</v>
      </c>
      <c r="E102" s="2">
        <v>3500</v>
      </c>
      <c r="F102" s="2">
        <v>134</v>
      </c>
      <c r="G102" s="2">
        <v>45</v>
      </c>
      <c r="H102" s="2" t="s">
        <v>68</v>
      </c>
      <c r="I102" s="4">
        <f t="shared" si="31"/>
        <v>3.6420891638629116</v>
      </c>
      <c r="J102" s="4">
        <f t="shared" si="32"/>
        <v>8.1605182474775049</v>
      </c>
      <c r="K102" s="4">
        <f t="shared" si="33"/>
        <v>4.8978397999509111</v>
      </c>
      <c r="L102" s="2">
        <v>0</v>
      </c>
      <c r="M102" s="2">
        <v>0</v>
      </c>
      <c r="N102" s="4">
        <f t="shared" si="34"/>
        <v>45</v>
      </c>
      <c r="O102" s="4">
        <f t="shared" si="35"/>
        <v>0</v>
      </c>
      <c r="P102" s="4">
        <f t="shared" si="36"/>
        <v>0</v>
      </c>
      <c r="Q102" s="4">
        <f t="shared" si="37"/>
        <v>8.1605182474775049</v>
      </c>
      <c r="R102" s="4">
        <f t="shared" si="38"/>
        <v>4.8978397999509111</v>
      </c>
      <c r="S102" s="4">
        <f t="shared" si="39"/>
        <v>45</v>
      </c>
      <c r="T102" s="4">
        <f t="shared" si="40"/>
        <v>0</v>
      </c>
      <c r="U102" s="4">
        <f t="shared" si="41"/>
        <v>8.1605182474775049</v>
      </c>
      <c r="V102" s="4">
        <f t="shared" si="42"/>
        <v>4.8978397999509111</v>
      </c>
      <c r="W102" s="4">
        <f t="shared" si="43"/>
        <v>45</v>
      </c>
      <c r="X102" s="4">
        <f t="shared" si="44"/>
        <v>0</v>
      </c>
      <c r="Y102" s="4">
        <f t="shared" si="45"/>
        <v>8.1605182474775049</v>
      </c>
      <c r="Z102" s="4">
        <f t="shared" si="46"/>
        <v>4.8978397999509111</v>
      </c>
      <c r="AA102" s="4">
        <f t="shared" si="47"/>
        <v>45</v>
      </c>
      <c r="AB102" s="4">
        <f t="shared" si="48"/>
        <v>0</v>
      </c>
      <c r="AC102" s="4">
        <f t="shared" si="49"/>
        <v>0</v>
      </c>
      <c r="AD102" s="4">
        <f t="shared" si="50"/>
        <v>0</v>
      </c>
      <c r="AE102" s="4">
        <f t="shared" si="51"/>
        <v>0</v>
      </c>
      <c r="AF102" s="4">
        <f t="shared" si="52"/>
        <v>0</v>
      </c>
      <c r="AG102" s="4">
        <f t="shared" si="53"/>
        <v>8.1605182474775049</v>
      </c>
      <c r="AH102" s="4">
        <f t="shared" si="54"/>
        <v>0</v>
      </c>
      <c r="AI102" s="4">
        <f t="shared" si="55"/>
        <v>0</v>
      </c>
      <c r="AJ102" s="4">
        <f t="shared" si="56"/>
        <v>8.1605182474775049</v>
      </c>
      <c r="AK102" s="4">
        <f t="shared" si="57"/>
        <v>4.8978397999509111</v>
      </c>
      <c r="AL102" s="4">
        <f t="shared" si="58"/>
        <v>0</v>
      </c>
      <c r="AM102" s="4">
        <f>CER!$C$7+CER!$C$8*J102+CER!$C$9*K102+CER!$C$10*L102+CER!$C$11*M102</f>
        <v>3.756420872136129</v>
      </c>
      <c r="AN102" s="4">
        <f t="shared" si="59"/>
        <v>42.794982830758826</v>
      </c>
      <c r="AO102" s="4">
        <f t="shared" si="60"/>
        <v>-0.11433170827321737</v>
      </c>
      <c r="AP102" s="4">
        <f>Alternatives!$F$25+Alternatives!$F$26*J102+Alternatives!$F$27*K102+Alternatives!$F$28*G102+Alternatives!$F$29*O102</f>
        <v>3.5758031554613741</v>
      </c>
      <c r="AQ102" s="4">
        <f t="shared" si="61"/>
        <v>6.6286008401537533E-2</v>
      </c>
    </row>
    <row r="103" spans="1:43" x14ac:dyDescent="0.35">
      <c r="A103" s="2" t="s">
        <v>163</v>
      </c>
      <c r="B103" s="2" t="s">
        <v>73</v>
      </c>
      <c r="C103" s="2" t="s">
        <v>67</v>
      </c>
      <c r="D103" s="2">
        <v>34.962299999999999</v>
      </c>
      <c r="E103" s="2">
        <v>4000</v>
      </c>
      <c r="F103" s="2">
        <v>134</v>
      </c>
      <c r="G103" s="2">
        <v>45</v>
      </c>
      <c r="H103" s="2" t="s">
        <v>68</v>
      </c>
      <c r="I103" s="4">
        <f t="shared" si="31"/>
        <v>3.5542703380969862</v>
      </c>
      <c r="J103" s="4">
        <f t="shared" si="32"/>
        <v>8.2940496401020276</v>
      </c>
      <c r="K103" s="4">
        <f t="shared" si="33"/>
        <v>4.8978397999509111</v>
      </c>
      <c r="L103" s="2">
        <v>0</v>
      </c>
      <c r="M103" s="2">
        <v>0</v>
      </c>
      <c r="N103" s="4">
        <f t="shared" si="34"/>
        <v>45</v>
      </c>
      <c r="O103" s="4">
        <f t="shared" si="35"/>
        <v>0</v>
      </c>
      <c r="P103" s="4">
        <f t="shared" si="36"/>
        <v>0</v>
      </c>
      <c r="Q103" s="4">
        <f t="shared" si="37"/>
        <v>8.2940496401020276</v>
      </c>
      <c r="R103" s="4">
        <f t="shared" si="38"/>
        <v>4.8978397999509111</v>
      </c>
      <c r="S103" s="4">
        <f t="shared" si="39"/>
        <v>45</v>
      </c>
      <c r="T103" s="4">
        <f t="shared" si="40"/>
        <v>0</v>
      </c>
      <c r="U103" s="4">
        <f t="shared" si="41"/>
        <v>8.2940496401020276</v>
      </c>
      <c r="V103" s="4">
        <f t="shared" si="42"/>
        <v>4.8978397999509111</v>
      </c>
      <c r="W103" s="4">
        <f t="shared" si="43"/>
        <v>45</v>
      </c>
      <c r="X103" s="4">
        <f t="shared" si="44"/>
        <v>0</v>
      </c>
      <c r="Y103" s="4">
        <f t="shared" si="45"/>
        <v>8.2940496401020276</v>
      </c>
      <c r="Z103" s="4">
        <f t="shared" si="46"/>
        <v>4.8978397999509111</v>
      </c>
      <c r="AA103" s="4">
        <f t="shared" si="47"/>
        <v>45</v>
      </c>
      <c r="AB103" s="4">
        <f t="shared" si="48"/>
        <v>0</v>
      </c>
      <c r="AC103" s="4">
        <f t="shared" si="49"/>
        <v>0</v>
      </c>
      <c r="AD103" s="4">
        <f t="shared" si="50"/>
        <v>0</v>
      </c>
      <c r="AE103" s="4">
        <f t="shared" si="51"/>
        <v>0</v>
      </c>
      <c r="AF103" s="4">
        <f t="shared" si="52"/>
        <v>0</v>
      </c>
      <c r="AG103" s="4">
        <f t="shared" si="53"/>
        <v>8.2940496401020276</v>
      </c>
      <c r="AH103" s="4">
        <f t="shared" si="54"/>
        <v>0</v>
      </c>
      <c r="AI103" s="4">
        <f t="shared" si="55"/>
        <v>0</v>
      </c>
      <c r="AJ103" s="4">
        <f t="shared" si="56"/>
        <v>8.2940496401020276</v>
      </c>
      <c r="AK103" s="4">
        <f t="shared" si="57"/>
        <v>4.8978397999509111</v>
      </c>
      <c r="AL103" s="4">
        <f t="shared" si="58"/>
        <v>0</v>
      </c>
      <c r="AM103" s="4">
        <f>CER!$C$7+CER!$C$8*J103+CER!$C$9*K103+CER!$C$10*L103+CER!$C$11*M103</f>
        <v>3.6959699929387391</v>
      </c>
      <c r="AN103" s="4">
        <f t="shared" si="59"/>
        <v>40.284629448574641</v>
      </c>
      <c r="AO103" s="4">
        <f t="shared" si="60"/>
        <v>-0.14169965484175284</v>
      </c>
      <c r="AP103" s="4">
        <f>Alternatives!$F$25+Alternatives!$F$26*J103+Alternatives!$F$27*K103+Alternatives!$F$28*G103+Alternatives!$F$29*O103</f>
        <v>3.6252212515070958</v>
      </c>
      <c r="AQ103" s="4">
        <f t="shared" si="61"/>
        <v>-7.0950913410109617E-2</v>
      </c>
    </row>
    <row r="104" spans="1:43" x14ac:dyDescent="0.35">
      <c r="A104" s="2" t="s">
        <v>164</v>
      </c>
      <c r="B104" s="2" t="s">
        <v>73</v>
      </c>
      <c r="C104" s="2" t="s">
        <v>67</v>
      </c>
      <c r="D104" s="2">
        <v>35.495899999999999</v>
      </c>
      <c r="E104" s="2">
        <v>4000</v>
      </c>
      <c r="F104" s="2">
        <v>189</v>
      </c>
      <c r="G104" s="2">
        <v>44.8</v>
      </c>
      <c r="H104" s="2" t="s">
        <v>68</v>
      </c>
      <c r="I104" s="4">
        <f t="shared" si="31"/>
        <v>3.5694171968537982</v>
      </c>
      <c r="J104" s="4">
        <f t="shared" si="32"/>
        <v>8.2940496401020276</v>
      </c>
      <c r="K104" s="4">
        <f t="shared" si="33"/>
        <v>5.2417470150596426</v>
      </c>
      <c r="L104" s="2">
        <v>0</v>
      </c>
      <c r="M104" s="2">
        <v>0</v>
      </c>
      <c r="N104" s="4">
        <f t="shared" si="34"/>
        <v>44.8</v>
      </c>
      <c r="O104" s="4">
        <f t="shared" si="35"/>
        <v>0</v>
      </c>
      <c r="P104" s="4">
        <f t="shared" si="36"/>
        <v>0</v>
      </c>
      <c r="Q104" s="4">
        <f t="shared" si="37"/>
        <v>8.2940496401020276</v>
      </c>
      <c r="R104" s="4">
        <f t="shared" si="38"/>
        <v>5.2417470150596426</v>
      </c>
      <c r="S104" s="4">
        <f t="shared" si="39"/>
        <v>44.8</v>
      </c>
      <c r="T104" s="4">
        <f t="shared" si="40"/>
        <v>0</v>
      </c>
      <c r="U104" s="4">
        <f t="shared" si="41"/>
        <v>8.2940496401020276</v>
      </c>
      <c r="V104" s="4">
        <f t="shared" si="42"/>
        <v>5.2417470150596426</v>
      </c>
      <c r="W104" s="4">
        <f t="shared" si="43"/>
        <v>44.8</v>
      </c>
      <c r="X104" s="4">
        <f t="shared" si="44"/>
        <v>0</v>
      </c>
      <c r="Y104" s="4">
        <f t="shared" si="45"/>
        <v>8.2940496401020276</v>
      </c>
      <c r="Z104" s="4">
        <f t="shared" si="46"/>
        <v>5.2417470150596426</v>
      </c>
      <c r="AA104" s="4">
        <f t="shared" si="47"/>
        <v>44.8</v>
      </c>
      <c r="AB104" s="4">
        <f t="shared" si="48"/>
        <v>0</v>
      </c>
      <c r="AC104" s="4">
        <f t="shared" si="49"/>
        <v>0</v>
      </c>
      <c r="AD104" s="4">
        <f t="shared" si="50"/>
        <v>0</v>
      </c>
      <c r="AE104" s="4">
        <f t="shared" si="51"/>
        <v>0</v>
      </c>
      <c r="AF104" s="4">
        <f t="shared" si="52"/>
        <v>0</v>
      </c>
      <c r="AG104" s="4">
        <f t="shared" si="53"/>
        <v>8.2940496401020276</v>
      </c>
      <c r="AH104" s="4">
        <f t="shared" si="54"/>
        <v>0</v>
      </c>
      <c r="AI104" s="4">
        <f t="shared" si="55"/>
        <v>0</v>
      </c>
      <c r="AJ104" s="4">
        <f t="shared" si="56"/>
        <v>8.2940496401020276</v>
      </c>
      <c r="AK104" s="4">
        <f t="shared" si="57"/>
        <v>5.2417470150596426</v>
      </c>
      <c r="AL104" s="4">
        <f t="shared" si="58"/>
        <v>0</v>
      </c>
      <c r="AM104" s="4">
        <f>CER!$C$7+CER!$C$8*J104+CER!$C$9*K104+CER!$C$10*L104+CER!$C$11*M104</f>
        <v>3.5690875877707313</v>
      </c>
      <c r="AN104" s="4">
        <f t="shared" si="59"/>
        <v>35.484202156911934</v>
      </c>
      <c r="AO104" s="4">
        <f t="shared" si="60"/>
        <v>3.2960908306689518E-4</v>
      </c>
      <c r="AP104" s="4">
        <f>Alternatives!$F$25+Alternatives!$F$26*J104+Alternatives!$F$27*K104+Alternatives!$F$28*G104+Alternatives!$F$29*O104</f>
        <v>3.5363055764390281</v>
      </c>
      <c r="AQ104" s="4">
        <f t="shared" si="61"/>
        <v>3.3111620414770115E-2</v>
      </c>
    </row>
    <row r="105" spans="1:43" x14ac:dyDescent="0.35">
      <c r="A105" s="2" t="s">
        <v>165</v>
      </c>
      <c r="B105" s="2" t="s">
        <v>73</v>
      </c>
      <c r="C105" s="2" t="s">
        <v>67</v>
      </c>
      <c r="D105" s="2">
        <v>36.968800000000002</v>
      </c>
      <c r="E105" s="2">
        <v>4000</v>
      </c>
      <c r="F105" s="2">
        <v>189</v>
      </c>
      <c r="G105" s="2">
        <v>45</v>
      </c>
      <c r="H105" s="2" t="s">
        <v>68</v>
      </c>
      <c r="I105" s="4">
        <f t="shared" si="31"/>
        <v>3.6100743136714057</v>
      </c>
      <c r="J105" s="4">
        <f t="shared" si="32"/>
        <v>8.2940496401020276</v>
      </c>
      <c r="K105" s="4">
        <f t="shared" si="33"/>
        <v>5.2417470150596426</v>
      </c>
      <c r="L105" s="2">
        <v>0</v>
      </c>
      <c r="M105" s="2">
        <v>0</v>
      </c>
      <c r="N105" s="4">
        <f t="shared" si="34"/>
        <v>45</v>
      </c>
      <c r="O105" s="4">
        <f t="shared" si="35"/>
        <v>0</v>
      </c>
      <c r="P105" s="4">
        <f t="shared" si="36"/>
        <v>0</v>
      </c>
      <c r="Q105" s="4">
        <f t="shared" si="37"/>
        <v>8.2940496401020276</v>
      </c>
      <c r="R105" s="4">
        <f t="shared" si="38"/>
        <v>5.2417470150596426</v>
      </c>
      <c r="S105" s="4">
        <f t="shared" si="39"/>
        <v>45</v>
      </c>
      <c r="T105" s="4">
        <f t="shared" si="40"/>
        <v>0</v>
      </c>
      <c r="U105" s="4">
        <f t="shared" si="41"/>
        <v>8.2940496401020276</v>
      </c>
      <c r="V105" s="4">
        <f t="shared" si="42"/>
        <v>5.2417470150596426</v>
      </c>
      <c r="W105" s="4">
        <f t="shared" si="43"/>
        <v>45</v>
      </c>
      <c r="X105" s="4">
        <f t="shared" si="44"/>
        <v>0</v>
      </c>
      <c r="Y105" s="4">
        <f t="shared" si="45"/>
        <v>8.2940496401020276</v>
      </c>
      <c r="Z105" s="4">
        <f t="shared" si="46"/>
        <v>5.2417470150596426</v>
      </c>
      <c r="AA105" s="4">
        <f t="shared" si="47"/>
        <v>45</v>
      </c>
      <c r="AB105" s="4">
        <f t="shared" si="48"/>
        <v>0</v>
      </c>
      <c r="AC105" s="4">
        <f t="shared" si="49"/>
        <v>0</v>
      </c>
      <c r="AD105" s="4">
        <f t="shared" si="50"/>
        <v>0</v>
      </c>
      <c r="AE105" s="4">
        <f t="shared" si="51"/>
        <v>0</v>
      </c>
      <c r="AF105" s="4">
        <f t="shared" si="52"/>
        <v>0</v>
      </c>
      <c r="AG105" s="4">
        <f t="shared" si="53"/>
        <v>8.2940496401020276</v>
      </c>
      <c r="AH105" s="4">
        <f t="shared" si="54"/>
        <v>0</v>
      </c>
      <c r="AI105" s="4">
        <f t="shared" si="55"/>
        <v>0</v>
      </c>
      <c r="AJ105" s="4">
        <f t="shared" si="56"/>
        <v>8.2940496401020276</v>
      </c>
      <c r="AK105" s="4">
        <f t="shared" si="57"/>
        <v>5.2417470150596426</v>
      </c>
      <c r="AL105" s="4">
        <f t="shared" si="58"/>
        <v>0</v>
      </c>
      <c r="AM105" s="4">
        <f>CER!$C$7+CER!$C$8*J105+CER!$C$9*K105+CER!$C$10*L105+CER!$C$11*M105</f>
        <v>3.5690875877707313</v>
      </c>
      <c r="AN105" s="4">
        <f t="shared" si="59"/>
        <v>35.484202156911934</v>
      </c>
      <c r="AO105" s="4">
        <f t="shared" si="60"/>
        <v>4.0986725900674426E-2</v>
      </c>
      <c r="AP105" s="4">
        <f>Alternatives!$F$25+Alternatives!$F$26*J105+Alternatives!$F$27*K105+Alternatives!$F$28*G105+Alternatives!$F$29*O105</f>
        <v>3.5337041135305824</v>
      </c>
      <c r="AQ105" s="4">
        <f t="shared" si="61"/>
        <v>7.6370200140823297E-2</v>
      </c>
    </row>
    <row r="106" spans="1:43" x14ac:dyDescent="0.35">
      <c r="A106" s="2" t="s">
        <v>166</v>
      </c>
      <c r="B106" s="2" t="s">
        <v>73</v>
      </c>
      <c r="C106" s="2" t="s">
        <v>67</v>
      </c>
      <c r="D106" s="2">
        <v>34.470700000000001</v>
      </c>
      <c r="E106" s="2">
        <v>4000</v>
      </c>
      <c r="F106" s="2">
        <v>189</v>
      </c>
      <c r="G106" s="2">
        <v>45</v>
      </c>
      <c r="H106" s="2" t="s">
        <v>68</v>
      </c>
      <c r="I106" s="4">
        <f t="shared" si="31"/>
        <v>3.5401096878363592</v>
      </c>
      <c r="J106" s="4">
        <f t="shared" si="32"/>
        <v>8.2940496401020276</v>
      </c>
      <c r="K106" s="4">
        <f t="shared" si="33"/>
        <v>5.2417470150596426</v>
      </c>
      <c r="L106" s="2">
        <v>0</v>
      </c>
      <c r="M106" s="2">
        <v>0</v>
      </c>
      <c r="N106" s="4">
        <f t="shared" si="34"/>
        <v>45</v>
      </c>
      <c r="O106" s="4">
        <f t="shared" si="35"/>
        <v>0</v>
      </c>
      <c r="P106" s="4">
        <f t="shared" si="36"/>
        <v>0</v>
      </c>
      <c r="Q106" s="4">
        <f t="shared" si="37"/>
        <v>8.2940496401020276</v>
      </c>
      <c r="R106" s="4">
        <f t="shared" si="38"/>
        <v>5.2417470150596426</v>
      </c>
      <c r="S106" s="4">
        <f t="shared" si="39"/>
        <v>45</v>
      </c>
      <c r="T106" s="4">
        <f t="shared" si="40"/>
        <v>0</v>
      </c>
      <c r="U106" s="4">
        <f t="shared" si="41"/>
        <v>8.2940496401020276</v>
      </c>
      <c r="V106" s="4">
        <f t="shared" si="42"/>
        <v>5.2417470150596426</v>
      </c>
      <c r="W106" s="4">
        <f t="shared" si="43"/>
        <v>45</v>
      </c>
      <c r="X106" s="4">
        <f t="shared" si="44"/>
        <v>0</v>
      </c>
      <c r="Y106" s="4">
        <f t="shared" si="45"/>
        <v>8.2940496401020276</v>
      </c>
      <c r="Z106" s="4">
        <f t="shared" si="46"/>
        <v>5.2417470150596426</v>
      </c>
      <c r="AA106" s="4">
        <f t="shared" si="47"/>
        <v>45</v>
      </c>
      <c r="AB106" s="4">
        <f t="shared" si="48"/>
        <v>0</v>
      </c>
      <c r="AC106" s="4">
        <f t="shared" si="49"/>
        <v>0</v>
      </c>
      <c r="AD106" s="4">
        <f t="shared" si="50"/>
        <v>0</v>
      </c>
      <c r="AE106" s="4">
        <f t="shared" si="51"/>
        <v>0</v>
      </c>
      <c r="AF106" s="4">
        <f t="shared" si="52"/>
        <v>0</v>
      </c>
      <c r="AG106" s="4">
        <f t="shared" si="53"/>
        <v>8.2940496401020276</v>
      </c>
      <c r="AH106" s="4">
        <f t="shared" si="54"/>
        <v>0</v>
      </c>
      <c r="AI106" s="4">
        <f t="shared" si="55"/>
        <v>0</v>
      </c>
      <c r="AJ106" s="4">
        <f t="shared" si="56"/>
        <v>8.2940496401020276</v>
      </c>
      <c r="AK106" s="4">
        <f t="shared" si="57"/>
        <v>5.2417470150596426</v>
      </c>
      <c r="AL106" s="4">
        <f t="shared" si="58"/>
        <v>0</v>
      </c>
      <c r="AM106" s="4">
        <f>CER!$C$7+CER!$C$8*J106+CER!$C$9*K106+CER!$C$10*L106+CER!$C$11*M106</f>
        <v>3.5690875877707313</v>
      </c>
      <c r="AN106" s="4">
        <f t="shared" si="59"/>
        <v>35.484202156911934</v>
      </c>
      <c r="AO106" s="4">
        <f t="shared" si="60"/>
        <v>-2.8977899934372164E-2</v>
      </c>
      <c r="AP106" s="4">
        <f>Alternatives!$F$25+Alternatives!$F$26*J106+Alternatives!$F$27*K106+Alternatives!$F$28*G106+Alternatives!$F$29*O106</f>
        <v>3.5337041135305824</v>
      </c>
      <c r="AQ106" s="4">
        <f t="shared" si="61"/>
        <v>6.4055743057767067E-3</v>
      </c>
    </row>
    <row r="107" spans="1:43" x14ac:dyDescent="0.35">
      <c r="A107" s="2" t="s">
        <v>167</v>
      </c>
      <c r="B107" s="2" t="s">
        <v>73</v>
      </c>
      <c r="C107" s="2" t="s">
        <v>67</v>
      </c>
      <c r="D107" s="2">
        <v>34.871699999999997</v>
      </c>
      <c r="E107" s="2">
        <v>4000</v>
      </c>
      <c r="F107" s="2">
        <v>302</v>
      </c>
      <c r="G107" s="2">
        <v>44.8</v>
      </c>
      <c r="H107" s="2" t="s">
        <v>68</v>
      </c>
      <c r="I107" s="4">
        <f t="shared" si="31"/>
        <v>3.5516756120085149</v>
      </c>
      <c r="J107" s="4">
        <f t="shared" si="32"/>
        <v>8.2940496401020276</v>
      </c>
      <c r="K107" s="4">
        <f t="shared" si="33"/>
        <v>5.7104270173748697</v>
      </c>
      <c r="L107" s="2">
        <v>0</v>
      </c>
      <c r="M107" s="2">
        <v>0</v>
      </c>
      <c r="N107" s="4">
        <f t="shared" si="34"/>
        <v>44.8</v>
      </c>
      <c r="O107" s="4">
        <f t="shared" si="35"/>
        <v>0</v>
      </c>
      <c r="P107" s="4">
        <f t="shared" si="36"/>
        <v>0</v>
      </c>
      <c r="Q107" s="4">
        <f t="shared" si="37"/>
        <v>8.2940496401020276</v>
      </c>
      <c r="R107" s="4">
        <f t="shared" si="38"/>
        <v>5.7104270173748697</v>
      </c>
      <c r="S107" s="4">
        <f t="shared" si="39"/>
        <v>44.8</v>
      </c>
      <c r="T107" s="4">
        <f t="shared" si="40"/>
        <v>0</v>
      </c>
      <c r="U107" s="4">
        <f t="shared" si="41"/>
        <v>8.2940496401020276</v>
      </c>
      <c r="V107" s="4">
        <f t="shared" si="42"/>
        <v>5.7104270173748697</v>
      </c>
      <c r="W107" s="4">
        <f t="shared" si="43"/>
        <v>44.8</v>
      </c>
      <c r="X107" s="4">
        <f t="shared" si="44"/>
        <v>0</v>
      </c>
      <c r="Y107" s="4">
        <f t="shared" si="45"/>
        <v>8.2940496401020276</v>
      </c>
      <c r="Z107" s="4">
        <f t="shared" si="46"/>
        <v>5.7104270173748697</v>
      </c>
      <c r="AA107" s="4">
        <f t="shared" si="47"/>
        <v>44.8</v>
      </c>
      <c r="AB107" s="4">
        <f t="shared" si="48"/>
        <v>0</v>
      </c>
      <c r="AC107" s="4">
        <f t="shared" si="49"/>
        <v>0</v>
      </c>
      <c r="AD107" s="4">
        <f t="shared" si="50"/>
        <v>0</v>
      </c>
      <c r="AE107" s="4">
        <f t="shared" si="51"/>
        <v>0</v>
      </c>
      <c r="AF107" s="4">
        <f t="shared" si="52"/>
        <v>0</v>
      </c>
      <c r="AG107" s="4">
        <f t="shared" si="53"/>
        <v>8.2940496401020276</v>
      </c>
      <c r="AH107" s="4">
        <f t="shared" si="54"/>
        <v>0</v>
      </c>
      <c r="AI107" s="4">
        <f t="shared" si="55"/>
        <v>0</v>
      </c>
      <c r="AJ107" s="4">
        <f t="shared" si="56"/>
        <v>8.2940496401020276</v>
      </c>
      <c r="AK107" s="4">
        <f t="shared" si="57"/>
        <v>5.7104270173748697</v>
      </c>
      <c r="AL107" s="4">
        <f t="shared" si="58"/>
        <v>0</v>
      </c>
      <c r="AM107" s="4">
        <f>CER!$C$7+CER!$C$8*J107+CER!$C$9*K107+CER!$C$10*L107+CER!$C$11*M107</f>
        <v>3.3961710471011721</v>
      </c>
      <c r="AN107" s="4">
        <f t="shared" si="59"/>
        <v>29.849588289626759</v>
      </c>
      <c r="AO107" s="4">
        <f t="shared" si="60"/>
        <v>0.15550456490734277</v>
      </c>
      <c r="AP107" s="4">
        <f>Alternatives!$F$25+Alternatives!$F$26*J107+Alternatives!$F$27*K107+Alternatives!$F$28*G107+Alternatives!$F$29*O107</f>
        <v>3.411585156062984</v>
      </c>
      <c r="AQ107" s="4">
        <f t="shared" si="61"/>
        <v>0.14009045594553093</v>
      </c>
    </row>
    <row r="108" spans="1:43" x14ac:dyDescent="0.35">
      <c r="A108" s="2" t="s">
        <v>168</v>
      </c>
      <c r="B108" s="2" t="s">
        <v>73</v>
      </c>
      <c r="C108" s="2" t="s">
        <v>67</v>
      </c>
      <c r="D108" s="2">
        <v>37.359699999999997</v>
      </c>
      <c r="E108" s="2">
        <v>3500</v>
      </c>
      <c r="F108" s="2">
        <v>228</v>
      </c>
      <c r="G108" s="2">
        <v>39.9</v>
      </c>
      <c r="H108" s="2" t="s">
        <v>68</v>
      </c>
      <c r="I108" s="4">
        <f t="shared" si="31"/>
        <v>3.6205925833498145</v>
      </c>
      <c r="J108" s="4">
        <f t="shared" si="32"/>
        <v>8.1605182474775049</v>
      </c>
      <c r="K108" s="4">
        <f t="shared" si="33"/>
        <v>5.4293456289544411</v>
      </c>
      <c r="L108" s="2">
        <v>0</v>
      </c>
      <c r="M108" s="2">
        <v>0</v>
      </c>
      <c r="N108" s="4">
        <f t="shared" si="34"/>
        <v>39.9</v>
      </c>
      <c r="O108" s="4">
        <f t="shared" si="35"/>
        <v>0</v>
      </c>
      <c r="P108" s="4">
        <f t="shared" si="36"/>
        <v>0</v>
      </c>
      <c r="Q108" s="4">
        <f t="shared" si="37"/>
        <v>8.1605182474775049</v>
      </c>
      <c r="R108" s="4">
        <f t="shared" si="38"/>
        <v>5.4293456289544411</v>
      </c>
      <c r="S108" s="4">
        <f t="shared" si="39"/>
        <v>39.9</v>
      </c>
      <c r="T108" s="4">
        <f t="shared" si="40"/>
        <v>0</v>
      </c>
      <c r="U108" s="4">
        <f t="shared" si="41"/>
        <v>8.1605182474775049</v>
      </c>
      <c r="V108" s="4">
        <f t="shared" si="42"/>
        <v>5.4293456289544411</v>
      </c>
      <c r="W108" s="4">
        <f t="shared" si="43"/>
        <v>39.9</v>
      </c>
      <c r="X108" s="4">
        <f t="shared" si="44"/>
        <v>0</v>
      </c>
      <c r="Y108" s="4">
        <f t="shared" si="45"/>
        <v>8.1605182474775049</v>
      </c>
      <c r="Z108" s="4">
        <f t="shared" si="46"/>
        <v>5.4293456289544411</v>
      </c>
      <c r="AA108" s="4">
        <f t="shared" si="47"/>
        <v>39.9</v>
      </c>
      <c r="AB108" s="4">
        <f t="shared" si="48"/>
        <v>0</v>
      </c>
      <c r="AC108" s="4">
        <f t="shared" si="49"/>
        <v>0</v>
      </c>
      <c r="AD108" s="4">
        <f t="shared" si="50"/>
        <v>0</v>
      </c>
      <c r="AE108" s="4">
        <f t="shared" si="51"/>
        <v>0</v>
      </c>
      <c r="AF108" s="4">
        <f t="shared" si="52"/>
        <v>0</v>
      </c>
      <c r="AG108" s="4">
        <f t="shared" si="53"/>
        <v>8.1605182474775049</v>
      </c>
      <c r="AH108" s="4">
        <f t="shared" si="54"/>
        <v>0</v>
      </c>
      <c r="AI108" s="4">
        <f t="shared" si="55"/>
        <v>0</v>
      </c>
      <c r="AJ108" s="4">
        <f t="shared" si="56"/>
        <v>8.1605182474775049</v>
      </c>
      <c r="AK108" s="4">
        <f t="shared" si="57"/>
        <v>5.4293456289544411</v>
      </c>
      <c r="AL108" s="4">
        <f t="shared" si="58"/>
        <v>0</v>
      </c>
      <c r="AM108" s="4">
        <f>CER!$C$7+CER!$C$8*J108+CER!$C$9*K108+CER!$C$10*L108+CER!$C$11*M108</f>
        <v>3.5603251376413985</v>
      </c>
      <c r="AN108" s="4">
        <f t="shared" si="59"/>
        <v>35.17463188292151</v>
      </c>
      <c r="AO108" s="4">
        <f t="shared" si="60"/>
        <v>6.0267445708416023E-2</v>
      </c>
      <c r="AP108" s="4">
        <f>Alternatives!$F$25+Alternatives!$F$26*J108+Alternatives!$F$27*K108+Alternatives!$F$28*G108+Alternatives!$F$29*O108</f>
        <v>3.5007014605267672</v>
      </c>
      <c r="AQ108" s="4">
        <f t="shared" si="61"/>
        <v>0.11989112282304726</v>
      </c>
    </row>
    <row r="109" spans="1:43" x14ac:dyDescent="0.35">
      <c r="A109" s="2" t="s">
        <v>169</v>
      </c>
      <c r="B109" s="2" t="s">
        <v>73</v>
      </c>
      <c r="C109" s="2" t="s">
        <v>67</v>
      </c>
      <c r="D109" s="2">
        <v>34.959499999999998</v>
      </c>
      <c r="E109" s="2">
        <v>4000</v>
      </c>
      <c r="F109" s="2">
        <v>302</v>
      </c>
      <c r="G109" s="2">
        <v>45</v>
      </c>
      <c r="H109" s="2" t="s">
        <v>68</v>
      </c>
      <c r="I109" s="4">
        <f t="shared" si="31"/>
        <v>3.5541902486255625</v>
      </c>
      <c r="J109" s="4">
        <f t="shared" si="32"/>
        <v>8.2940496401020276</v>
      </c>
      <c r="K109" s="4">
        <f t="shared" si="33"/>
        <v>5.7104270173748697</v>
      </c>
      <c r="L109" s="2">
        <v>0</v>
      </c>
      <c r="M109" s="2">
        <v>0</v>
      </c>
      <c r="N109" s="4">
        <f t="shared" si="34"/>
        <v>45</v>
      </c>
      <c r="O109" s="4">
        <f t="shared" si="35"/>
        <v>0</v>
      </c>
      <c r="P109" s="4">
        <f t="shared" si="36"/>
        <v>0</v>
      </c>
      <c r="Q109" s="4">
        <f t="shared" si="37"/>
        <v>8.2940496401020276</v>
      </c>
      <c r="R109" s="4">
        <f t="shared" si="38"/>
        <v>5.7104270173748697</v>
      </c>
      <c r="S109" s="4">
        <f t="shared" si="39"/>
        <v>45</v>
      </c>
      <c r="T109" s="4">
        <f t="shared" si="40"/>
        <v>0</v>
      </c>
      <c r="U109" s="4">
        <f t="shared" si="41"/>
        <v>8.2940496401020276</v>
      </c>
      <c r="V109" s="4">
        <f t="shared" si="42"/>
        <v>5.7104270173748697</v>
      </c>
      <c r="W109" s="4">
        <f t="shared" si="43"/>
        <v>45</v>
      </c>
      <c r="X109" s="4">
        <f t="shared" si="44"/>
        <v>0</v>
      </c>
      <c r="Y109" s="4">
        <f t="shared" si="45"/>
        <v>8.2940496401020276</v>
      </c>
      <c r="Z109" s="4">
        <f t="shared" si="46"/>
        <v>5.7104270173748697</v>
      </c>
      <c r="AA109" s="4">
        <f t="shared" si="47"/>
        <v>45</v>
      </c>
      <c r="AB109" s="4">
        <f t="shared" si="48"/>
        <v>0</v>
      </c>
      <c r="AC109" s="4">
        <f t="shared" si="49"/>
        <v>0</v>
      </c>
      <c r="AD109" s="4">
        <f t="shared" si="50"/>
        <v>0</v>
      </c>
      <c r="AE109" s="4">
        <f t="shared" si="51"/>
        <v>0</v>
      </c>
      <c r="AF109" s="4">
        <f t="shared" si="52"/>
        <v>0</v>
      </c>
      <c r="AG109" s="4">
        <f t="shared" si="53"/>
        <v>8.2940496401020276</v>
      </c>
      <c r="AH109" s="4">
        <f t="shared" si="54"/>
        <v>0</v>
      </c>
      <c r="AI109" s="4">
        <f t="shared" si="55"/>
        <v>0</v>
      </c>
      <c r="AJ109" s="4">
        <f t="shared" si="56"/>
        <v>8.2940496401020276</v>
      </c>
      <c r="AK109" s="4">
        <f t="shared" si="57"/>
        <v>5.7104270173748697</v>
      </c>
      <c r="AL109" s="4">
        <f t="shared" si="58"/>
        <v>0</v>
      </c>
      <c r="AM109" s="4">
        <f>CER!$C$7+CER!$C$8*J109+CER!$C$9*K109+CER!$C$10*L109+CER!$C$11*M109</f>
        <v>3.3961710471011721</v>
      </c>
      <c r="AN109" s="4">
        <f t="shared" si="59"/>
        <v>29.849588289626759</v>
      </c>
      <c r="AO109" s="4">
        <f t="shared" si="60"/>
        <v>0.15801920152439042</v>
      </c>
      <c r="AP109" s="4">
        <f>Alternatives!$F$25+Alternatives!$F$26*J109+Alternatives!$F$27*K109+Alternatives!$F$28*G109+Alternatives!$F$29*O109</f>
        <v>3.4089836931545383</v>
      </c>
      <c r="AQ109" s="4">
        <f t="shared" si="61"/>
        <v>0.14520655547102423</v>
      </c>
    </row>
    <row r="110" spans="1:43" x14ac:dyDescent="0.35">
      <c r="A110" s="2" t="s">
        <v>170</v>
      </c>
      <c r="B110" s="2" t="s">
        <v>73</v>
      </c>
      <c r="C110" s="2" t="s">
        <v>67</v>
      </c>
      <c r="D110" s="2">
        <v>39.878300000000003</v>
      </c>
      <c r="E110" s="2">
        <v>3000</v>
      </c>
      <c r="F110" s="2">
        <v>228</v>
      </c>
      <c r="G110" s="2">
        <v>39.9</v>
      </c>
      <c r="H110" s="2" t="s">
        <v>68</v>
      </c>
      <c r="I110" s="4">
        <f t="shared" si="31"/>
        <v>3.6858323163013926</v>
      </c>
      <c r="J110" s="4">
        <f t="shared" si="32"/>
        <v>8.0063675676502459</v>
      </c>
      <c r="K110" s="4">
        <f t="shared" si="33"/>
        <v>5.4293456289544411</v>
      </c>
      <c r="L110" s="2">
        <v>0</v>
      </c>
      <c r="M110" s="2">
        <v>0</v>
      </c>
      <c r="N110" s="4">
        <f t="shared" si="34"/>
        <v>39.9</v>
      </c>
      <c r="O110" s="4">
        <f t="shared" si="35"/>
        <v>0</v>
      </c>
      <c r="P110" s="4">
        <f t="shared" si="36"/>
        <v>0</v>
      </c>
      <c r="Q110" s="4">
        <f t="shared" si="37"/>
        <v>8.0063675676502459</v>
      </c>
      <c r="R110" s="4">
        <f t="shared" si="38"/>
        <v>5.4293456289544411</v>
      </c>
      <c r="S110" s="4">
        <f t="shared" si="39"/>
        <v>39.9</v>
      </c>
      <c r="T110" s="4">
        <f t="shared" si="40"/>
        <v>0</v>
      </c>
      <c r="U110" s="4">
        <f t="shared" si="41"/>
        <v>8.0063675676502459</v>
      </c>
      <c r="V110" s="4">
        <f t="shared" si="42"/>
        <v>5.4293456289544411</v>
      </c>
      <c r="W110" s="4">
        <f t="shared" si="43"/>
        <v>39.9</v>
      </c>
      <c r="X110" s="4">
        <f t="shared" si="44"/>
        <v>0</v>
      </c>
      <c r="Y110" s="4">
        <f t="shared" si="45"/>
        <v>8.0063675676502459</v>
      </c>
      <c r="Z110" s="4">
        <f t="shared" si="46"/>
        <v>5.4293456289544411</v>
      </c>
      <c r="AA110" s="4">
        <f t="shared" si="47"/>
        <v>39.9</v>
      </c>
      <c r="AB110" s="4">
        <f t="shared" si="48"/>
        <v>0</v>
      </c>
      <c r="AC110" s="4">
        <f t="shared" si="49"/>
        <v>0</v>
      </c>
      <c r="AD110" s="4">
        <f t="shared" si="50"/>
        <v>0</v>
      </c>
      <c r="AE110" s="4">
        <f t="shared" si="51"/>
        <v>0</v>
      </c>
      <c r="AF110" s="4">
        <f t="shared" si="52"/>
        <v>0</v>
      </c>
      <c r="AG110" s="4">
        <f t="shared" si="53"/>
        <v>8.0063675676502459</v>
      </c>
      <c r="AH110" s="4">
        <f t="shared" si="54"/>
        <v>0</v>
      </c>
      <c r="AI110" s="4">
        <f t="shared" si="55"/>
        <v>0</v>
      </c>
      <c r="AJ110" s="4">
        <f t="shared" si="56"/>
        <v>8.0063675676502459</v>
      </c>
      <c r="AK110" s="4">
        <f t="shared" si="57"/>
        <v>5.4293456289544411</v>
      </c>
      <c r="AL110" s="4">
        <f t="shared" si="58"/>
        <v>0</v>
      </c>
      <c r="AM110" s="4">
        <f>CER!$C$7+CER!$C$8*J110+CER!$C$9*K110+CER!$C$10*L110+CER!$C$11*M110</f>
        <v>3.6301105561956417</v>
      </c>
      <c r="AN110" s="4">
        <f t="shared" si="59"/>
        <v>37.716986233198071</v>
      </c>
      <c r="AO110" s="4">
        <f t="shared" si="60"/>
        <v>5.5721760105750917E-2</v>
      </c>
      <c r="AP110" s="4">
        <f>Alternatives!$F$25+Alternatives!$F$26*J110+Alternatives!$F$27*K110+Alternatives!$F$28*G110+Alternatives!$F$29*O110</f>
        <v>3.4436524554090173</v>
      </c>
      <c r="AQ110" s="4">
        <f t="shared" si="61"/>
        <v>0.24217986089237531</v>
      </c>
    </row>
    <row r="111" spans="1:43" x14ac:dyDescent="0.35">
      <c r="A111" s="2" t="s">
        <v>170</v>
      </c>
      <c r="B111" s="2" t="s">
        <v>73</v>
      </c>
      <c r="C111" s="2" t="s">
        <v>67</v>
      </c>
      <c r="D111" s="2">
        <v>33.9955</v>
      </c>
      <c r="E111" s="2">
        <v>3000</v>
      </c>
      <c r="F111" s="2">
        <v>228</v>
      </c>
      <c r="G111" s="2">
        <v>39.9</v>
      </c>
      <c r="H111" s="2" t="s">
        <v>68</v>
      </c>
      <c r="I111" s="4">
        <f t="shared" si="31"/>
        <v>3.5262281629155616</v>
      </c>
      <c r="J111" s="4">
        <f t="shared" si="32"/>
        <v>8.0063675676502459</v>
      </c>
      <c r="K111" s="4">
        <f t="shared" si="33"/>
        <v>5.4293456289544411</v>
      </c>
      <c r="L111" s="2">
        <v>0</v>
      </c>
      <c r="M111" s="2">
        <v>0</v>
      </c>
      <c r="N111" s="4">
        <f t="shared" si="34"/>
        <v>39.9</v>
      </c>
      <c r="O111" s="4">
        <f t="shared" si="35"/>
        <v>0</v>
      </c>
      <c r="P111" s="4">
        <f t="shared" si="36"/>
        <v>0</v>
      </c>
      <c r="Q111" s="4">
        <f t="shared" si="37"/>
        <v>8.0063675676502459</v>
      </c>
      <c r="R111" s="4">
        <f t="shared" si="38"/>
        <v>5.4293456289544411</v>
      </c>
      <c r="S111" s="4">
        <f t="shared" si="39"/>
        <v>39.9</v>
      </c>
      <c r="T111" s="4">
        <f t="shared" si="40"/>
        <v>0</v>
      </c>
      <c r="U111" s="4">
        <f t="shared" si="41"/>
        <v>8.0063675676502459</v>
      </c>
      <c r="V111" s="4">
        <f t="shared" si="42"/>
        <v>5.4293456289544411</v>
      </c>
      <c r="W111" s="4">
        <f t="shared" si="43"/>
        <v>39.9</v>
      </c>
      <c r="X111" s="4">
        <f t="shared" si="44"/>
        <v>0</v>
      </c>
      <c r="Y111" s="4">
        <f t="shared" si="45"/>
        <v>8.0063675676502459</v>
      </c>
      <c r="Z111" s="4">
        <f t="shared" si="46"/>
        <v>5.4293456289544411</v>
      </c>
      <c r="AA111" s="4">
        <f t="shared" si="47"/>
        <v>39.9</v>
      </c>
      <c r="AB111" s="4">
        <f t="shared" si="48"/>
        <v>0</v>
      </c>
      <c r="AC111" s="4">
        <f t="shared" si="49"/>
        <v>0</v>
      </c>
      <c r="AD111" s="4">
        <f t="shared" si="50"/>
        <v>0</v>
      </c>
      <c r="AE111" s="4">
        <f t="shared" si="51"/>
        <v>0</v>
      </c>
      <c r="AF111" s="4">
        <f t="shared" si="52"/>
        <v>0</v>
      </c>
      <c r="AG111" s="4">
        <f t="shared" si="53"/>
        <v>8.0063675676502459</v>
      </c>
      <c r="AH111" s="4">
        <f t="shared" si="54"/>
        <v>0</v>
      </c>
      <c r="AI111" s="4">
        <f t="shared" si="55"/>
        <v>0</v>
      </c>
      <c r="AJ111" s="4">
        <f t="shared" si="56"/>
        <v>8.0063675676502459</v>
      </c>
      <c r="AK111" s="4">
        <f t="shared" si="57"/>
        <v>5.4293456289544411</v>
      </c>
      <c r="AL111" s="4">
        <f t="shared" si="58"/>
        <v>0</v>
      </c>
      <c r="AM111" s="4">
        <f>CER!$C$7+CER!$C$8*J111+CER!$C$9*K111+CER!$C$10*L111+CER!$C$11*M111</f>
        <v>3.6301105561956417</v>
      </c>
      <c r="AN111" s="4">
        <f t="shared" si="59"/>
        <v>37.716986233198071</v>
      </c>
      <c r="AO111" s="4">
        <f t="shared" si="60"/>
        <v>-0.10388239328008009</v>
      </c>
      <c r="AP111" s="4">
        <f>Alternatives!$F$25+Alternatives!$F$26*J111+Alternatives!$F$27*K111+Alternatives!$F$28*G111+Alternatives!$F$29*O111</f>
        <v>3.4436524554090173</v>
      </c>
      <c r="AQ111" s="4">
        <f t="shared" si="61"/>
        <v>8.2575707506544305E-2</v>
      </c>
    </row>
    <row r="112" spans="1:43" x14ac:dyDescent="0.35">
      <c r="A112" s="2" t="s">
        <v>171</v>
      </c>
      <c r="B112" s="2" t="s">
        <v>73</v>
      </c>
      <c r="C112" s="2" t="s">
        <v>67</v>
      </c>
      <c r="D112" s="2">
        <v>36.866799999999998</v>
      </c>
      <c r="E112" s="2">
        <v>3500</v>
      </c>
      <c r="F112" s="2">
        <v>255</v>
      </c>
      <c r="G112" s="2">
        <v>42.3</v>
      </c>
      <c r="H112" s="2" t="s">
        <v>68</v>
      </c>
      <c r="I112" s="4">
        <f t="shared" si="31"/>
        <v>3.6073114170501128</v>
      </c>
      <c r="J112" s="4">
        <f t="shared" si="32"/>
        <v>8.1605182474775049</v>
      </c>
      <c r="K112" s="4">
        <f t="shared" si="33"/>
        <v>5.5412635451584258</v>
      </c>
      <c r="L112" s="2">
        <v>0</v>
      </c>
      <c r="M112" s="2">
        <v>0</v>
      </c>
      <c r="N112" s="4">
        <f t="shared" si="34"/>
        <v>42.3</v>
      </c>
      <c r="O112" s="4">
        <f t="shared" si="35"/>
        <v>0</v>
      </c>
      <c r="P112" s="4">
        <f t="shared" si="36"/>
        <v>0</v>
      </c>
      <c r="Q112" s="4">
        <f t="shared" si="37"/>
        <v>8.1605182474775049</v>
      </c>
      <c r="R112" s="4">
        <f t="shared" si="38"/>
        <v>5.5412635451584258</v>
      </c>
      <c r="S112" s="4">
        <f t="shared" si="39"/>
        <v>42.3</v>
      </c>
      <c r="T112" s="4">
        <f t="shared" si="40"/>
        <v>0</v>
      </c>
      <c r="U112" s="4">
        <f t="shared" si="41"/>
        <v>8.1605182474775049</v>
      </c>
      <c r="V112" s="4">
        <f t="shared" si="42"/>
        <v>5.5412635451584258</v>
      </c>
      <c r="W112" s="4">
        <f t="shared" si="43"/>
        <v>42.3</v>
      </c>
      <c r="X112" s="4">
        <f t="shared" si="44"/>
        <v>0</v>
      </c>
      <c r="Y112" s="4">
        <f t="shared" si="45"/>
        <v>8.1605182474775049</v>
      </c>
      <c r="Z112" s="4">
        <f t="shared" si="46"/>
        <v>5.5412635451584258</v>
      </c>
      <c r="AA112" s="4">
        <f t="shared" si="47"/>
        <v>42.3</v>
      </c>
      <c r="AB112" s="4">
        <f t="shared" si="48"/>
        <v>0</v>
      </c>
      <c r="AC112" s="4">
        <f t="shared" si="49"/>
        <v>0</v>
      </c>
      <c r="AD112" s="4">
        <f t="shared" si="50"/>
        <v>0</v>
      </c>
      <c r="AE112" s="4">
        <f t="shared" si="51"/>
        <v>0</v>
      </c>
      <c r="AF112" s="4">
        <f t="shared" si="52"/>
        <v>0</v>
      </c>
      <c r="AG112" s="4">
        <f t="shared" si="53"/>
        <v>8.1605182474775049</v>
      </c>
      <c r="AH112" s="4">
        <f t="shared" si="54"/>
        <v>0</v>
      </c>
      <c r="AI112" s="4">
        <f t="shared" si="55"/>
        <v>0</v>
      </c>
      <c r="AJ112" s="4">
        <f t="shared" si="56"/>
        <v>8.1605182474775049</v>
      </c>
      <c r="AK112" s="4">
        <f t="shared" si="57"/>
        <v>5.5412635451584258</v>
      </c>
      <c r="AL112" s="4">
        <f t="shared" si="58"/>
        <v>0</v>
      </c>
      <c r="AM112" s="4">
        <f>CER!$C$7+CER!$C$8*J112+CER!$C$9*K112+CER!$C$10*L112+CER!$C$11*M112</f>
        <v>3.5190337259888005</v>
      </c>
      <c r="AN112" s="4">
        <f t="shared" si="59"/>
        <v>33.751799215577797</v>
      </c>
      <c r="AO112" s="4">
        <f t="shared" si="60"/>
        <v>8.8277691061312336E-2</v>
      </c>
      <c r="AP112" s="4">
        <f>Alternatives!$F$25+Alternatives!$F$26*J112+Alternatives!$F$27*K112+Alternatives!$F$28*G112+Alternatives!$F$29*O112</f>
        <v>3.4397014325358519</v>
      </c>
      <c r="AQ112" s="4">
        <f t="shared" si="61"/>
        <v>0.1676099845142609</v>
      </c>
    </row>
    <row r="113" spans="1:43" x14ac:dyDescent="0.35">
      <c r="A113" s="2" t="s">
        <v>172</v>
      </c>
      <c r="B113" s="2" t="s">
        <v>73</v>
      </c>
      <c r="C113" s="2" t="s">
        <v>67</v>
      </c>
      <c r="D113" s="2">
        <v>34.532699999999998</v>
      </c>
      <c r="E113" s="2">
        <v>3500</v>
      </c>
      <c r="F113" s="2">
        <v>382</v>
      </c>
      <c r="G113" s="2">
        <v>42.3</v>
      </c>
      <c r="H113" s="2" t="s">
        <v>68</v>
      </c>
      <c r="I113" s="4">
        <f t="shared" si="31"/>
        <v>3.5419067012207575</v>
      </c>
      <c r="J113" s="4">
        <f t="shared" si="32"/>
        <v>8.1605182474775049</v>
      </c>
      <c r="K113" s="4">
        <f t="shared" si="33"/>
        <v>5.9454206086065753</v>
      </c>
      <c r="L113" s="2">
        <v>0</v>
      </c>
      <c r="M113" s="2">
        <v>0</v>
      </c>
      <c r="N113" s="4">
        <f t="shared" si="34"/>
        <v>42.3</v>
      </c>
      <c r="O113" s="4">
        <f t="shared" si="35"/>
        <v>0</v>
      </c>
      <c r="P113" s="4">
        <f t="shared" si="36"/>
        <v>0</v>
      </c>
      <c r="Q113" s="4">
        <f t="shared" si="37"/>
        <v>8.1605182474775049</v>
      </c>
      <c r="R113" s="4">
        <f t="shared" si="38"/>
        <v>5.9454206086065753</v>
      </c>
      <c r="S113" s="4">
        <f t="shared" si="39"/>
        <v>42.3</v>
      </c>
      <c r="T113" s="4">
        <f t="shared" si="40"/>
        <v>0</v>
      </c>
      <c r="U113" s="4">
        <f t="shared" si="41"/>
        <v>8.1605182474775049</v>
      </c>
      <c r="V113" s="4">
        <f t="shared" si="42"/>
        <v>5.9454206086065753</v>
      </c>
      <c r="W113" s="4">
        <f t="shared" si="43"/>
        <v>42.3</v>
      </c>
      <c r="X113" s="4">
        <f t="shared" si="44"/>
        <v>0</v>
      </c>
      <c r="Y113" s="4">
        <f t="shared" si="45"/>
        <v>8.1605182474775049</v>
      </c>
      <c r="Z113" s="4">
        <f t="shared" si="46"/>
        <v>5.9454206086065753</v>
      </c>
      <c r="AA113" s="4">
        <f t="shared" si="47"/>
        <v>42.3</v>
      </c>
      <c r="AB113" s="4">
        <f t="shared" si="48"/>
        <v>0</v>
      </c>
      <c r="AC113" s="4">
        <f t="shared" si="49"/>
        <v>0</v>
      </c>
      <c r="AD113" s="4">
        <f t="shared" si="50"/>
        <v>0</v>
      </c>
      <c r="AE113" s="4">
        <f t="shared" si="51"/>
        <v>0</v>
      </c>
      <c r="AF113" s="4">
        <f t="shared" si="52"/>
        <v>0</v>
      </c>
      <c r="AG113" s="4">
        <f t="shared" si="53"/>
        <v>8.1605182474775049</v>
      </c>
      <c r="AH113" s="4">
        <f t="shared" si="54"/>
        <v>0</v>
      </c>
      <c r="AI113" s="4">
        <f t="shared" si="55"/>
        <v>0</v>
      </c>
      <c r="AJ113" s="4">
        <f t="shared" si="56"/>
        <v>8.1605182474775049</v>
      </c>
      <c r="AK113" s="4">
        <f t="shared" si="57"/>
        <v>5.9454206086065753</v>
      </c>
      <c r="AL113" s="4">
        <f t="shared" si="58"/>
        <v>0</v>
      </c>
      <c r="AM113" s="4">
        <f>CER!$C$7+CER!$C$8*J113+CER!$C$9*K113+CER!$C$10*L113+CER!$C$11*M113</f>
        <v>3.3699225180145</v>
      </c>
      <c r="AN113" s="4">
        <f t="shared" si="59"/>
        <v>29.076274083068828</v>
      </c>
      <c r="AO113" s="4">
        <f t="shared" si="60"/>
        <v>0.17198418320625741</v>
      </c>
      <c r="AP113" s="4">
        <f>Alternatives!$F$25+Alternatives!$F$26*J113+Alternatives!$F$27*K113+Alternatives!$F$28*G113+Alternatives!$F$29*O113</f>
        <v>3.332151209351168</v>
      </c>
      <c r="AQ113" s="4">
        <f t="shared" si="61"/>
        <v>0.20975549186958942</v>
      </c>
    </row>
    <row r="114" spans="1:43" x14ac:dyDescent="0.35">
      <c r="A114" s="2" t="s">
        <v>172</v>
      </c>
      <c r="B114" s="2" t="s">
        <v>73</v>
      </c>
      <c r="C114" s="2" t="s">
        <v>67</v>
      </c>
      <c r="D114" s="2">
        <v>28.136099999999999</v>
      </c>
      <c r="E114" s="2">
        <v>3500</v>
      </c>
      <c r="F114" s="2">
        <v>382</v>
      </c>
      <c r="G114" s="2">
        <v>42.3</v>
      </c>
      <c r="H114" s="2" t="s">
        <v>68</v>
      </c>
      <c r="I114" s="4">
        <f t="shared" si="31"/>
        <v>3.3370534493308472</v>
      </c>
      <c r="J114" s="4">
        <f t="shared" si="32"/>
        <v>8.1605182474775049</v>
      </c>
      <c r="K114" s="4">
        <f t="shared" si="33"/>
        <v>5.9454206086065753</v>
      </c>
      <c r="L114" s="2">
        <v>0</v>
      </c>
      <c r="M114" s="2">
        <v>0</v>
      </c>
      <c r="N114" s="4">
        <f t="shared" si="34"/>
        <v>42.3</v>
      </c>
      <c r="O114" s="4">
        <f t="shared" si="35"/>
        <v>0</v>
      </c>
      <c r="P114" s="4">
        <f t="shared" si="36"/>
        <v>0</v>
      </c>
      <c r="Q114" s="4">
        <f t="shared" si="37"/>
        <v>8.1605182474775049</v>
      </c>
      <c r="R114" s="4">
        <f t="shared" si="38"/>
        <v>5.9454206086065753</v>
      </c>
      <c r="S114" s="4">
        <f t="shared" si="39"/>
        <v>42.3</v>
      </c>
      <c r="T114" s="4">
        <f t="shared" si="40"/>
        <v>0</v>
      </c>
      <c r="U114" s="4">
        <f t="shared" si="41"/>
        <v>8.1605182474775049</v>
      </c>
      <c r="V114" s="4">
        <f t="shared" si="42"/>
        <v>5.9454206086065753</v>
      </c>
      <c r="W114" s="4">
        <f t="shared" si="43"/>
        <v>42.3</v>
      </c>
      <c r="X114" s="4">
        <f t="shared" si="44"/>
        <v>0</v>
      </c>
      <c r="Y114" s="4">
        <f t="shared" si="45"/>
        <v>8.1605182474775049</v>
      </c>
      <c r="Z114" s="4">
        <f t="shared" si="46"/>
        <v>5.9454206086065753</v>
      </c>
      <c r="AA114" s="4">
        <f t="shared" si="47"/>
        <v>42.3</v>
      </c>
      <c r="AB114" s="4">
        <f t="shared" si="48"/>
        <v>0</v>
      </c>
      <c r="AC114" s="4">
        <f t="shared" si="49"/>
        <v>0</v>
      </c>
      <c r="AD114" s="4">
        <f t="shared" si="50"/>
        <v>0</v>
      </c>
      <c r="AE114" s="4">
        <f t="shared" si="51"/>
        <v>0</v>
      </c>
      <c r="AF114" s="4">
        <f t="shared" si="52"/>
        <v>0</v>
      </c>
      <c r="AG114" s="4">
        <f t="shared" si="53"/>
        <v>8.1605182474775049</v>
      </c>
      <c r="AH114" s="4">
        <f t="shared" si="54"/>
        <v>0</v>
      </c>
      <c r="AI114" s="4">
        <f t="shared" si="55"/>
        <v>0</v>
      </c>
      <c r="AJ114" s="4">
        <f t="shared" si="56"/>
        <v>8.1605182474775049</v>
      </c>
      <c r="AK114" s="4">
        <f t="shared" si="57"/>
        <v>5.9454206086065753</v>
      </c>
      <c r="AL114" s="4">
        <f t="shared" si="58"/>
        <v>0</v>
      </c>
      <c r="AM114" s="4">
        <f>CER!$C$7+CER!$C$8*J114+CER!$C$9*K114+CER!$C$10*L114+CER!$C$11*M114</f>
        <v>3.3699225180145</v>
      </c>
      <c r="AN114" s="4">
        <f t="shared" si="59"/>
        <v>29.076274083068828</v>
      </c>
      <c r="AO114" s="4">
        <f t="shared" si="60"/>
        <v>-3.2869068683652802E-2</v>
      </c>
      <c r="AP114" s="4">
        <f>Alternatives!$F$25+Alternatives!$F$26*J114+Alternatives!$F$27*K114+Alternatives!$F$28*G114+Alternatives!$F$29*O114</f>
        <v>3.332151209351168</v>
      </c>
      <c r="AQ114" s="4">
        <f t="shared" si="61"/>
        <v>4.9022399796792016E-3</v>
      </c>
    </row>
    <row r="115" spans="1:43" x14ac:dyDescent="0.35">
      <c r="A115" s="2" t="s">
        <v>173</v>
      </c>
      <c r="B115" s="2" t="s">
        <v>174</v>
      </c>
      <c r="C115" s="2" t="s">
        <v>67</v>
      </c>
      <c r="D115" s="2">
        <v>29.180900000000001</v>
      </c>
      <c r="E115" s="2">
        <v>4500</v>
      </c>
      <c r="F115" s="2">
        <v>285</v>
      </c>
      <c r="G115" s="2">
        <v>58</v>
      </c>
      <c r="H115" s="2" t="s">
        <v>68</v>
      </c>
      <c r="I115" s="4">
        <f t="shared" si="31"/>
        <v>3.3735143856621832</v>
      </c>
      <c r="J115" s="4">
        <f t="shared" si="32"/>
        <v>8.4118326757584114</v>
      </c>
      <c r="K115" s="4">
        <f t="shared" si="33"/>
        <v>5.6524891802686508</v>
      </c>
      <c r="L115" s="2">
        <v>0</v>
      </c>
      <c r="M115" s="2">
        <v>0</v>
      </c>
      <c r="N115" s="4">
        <f t="shared" si="34"/>
        <v>58</v>
      </c>
      <c r="O115" s="4">
        <f t="shared" si="35"/>
        <v>0</v>
      </c>
      <c r="P115" s="4">
        <f t="shared" si="36"/>
        <v>0</v>
      </c>
      <c r="Q115" s="4">
        <f t="shared" si="37"/>
        <v>8.4118326757584114</v>
      </c>
      <c r="R115" s="4">
        <f t="shared" si="38"/>
        <v>5.6524891802686508</v>
      </c>
      <c r="S115" s="4">
        <f t="shared" si="39"/>
        <v>58</v>
      </c>
      <c r="T115" s="4">
        <f t="shared" si="40"/>
        <v>0</v>
      </c>
      <c r="U115" s="4">
        <f t="shared" si="41"/>
        <v>8.4118326757584114</v>
      </c>
      <c r="V115" s="4">
        <f t="shared" si="42"/>
        <v>5.6524891802686508</v>
      </c>
      <c r="W115" s="4">
        <f t="shared" si="43"/>
        <v>58</v>
      </c>
      <c r="X115" s="4">
        <f t="shared" si="44"/>
        <v>0</v>
      </c>
      <c r="Y115" s="4">
        <f t="shared" si="45"/>
        <v>8.4118326757584114</v>
      </c>
      <c r="Z115" s="4">
        <f t="shared" si="46"/>
        <v>5.6524891802686508</v>
      </c>
      <c r="AA115" s="4">
        <f t="shared" si="47"/>
        <v>58</v>
      </c>
      <c r="AB115" s="4">
        <f t="shared" si="48"/>
        <v>0</v>
      </c>
      <c r="AC115" s="4">
        <f t="shared" si="49"/>
        <v>0</v>
      </c>
      <c r="AD115" s="4">
        <f t="shared" si="50"/>
        <v>0</v>
      </c>
      <c r="AE115" s="4">
        <f t="shared" si="51"/>
        <v>0</v>
      </c>
      <c r="AF115" s="4">
        <f t="shared" si="52"/>
        <v>0</v>
      </c>
      <c r="AG115" s="4">
        <f t="shared" si="53"/>
        <v>8.4118326757584114</v>
      </c>
      <c r="AH115" s="4">
        <f t="shared" si="54"/>
        <v>0</v>
      </c>
      <c r="AI115" s="4">
        <f t="shared" si="55"/>
        <v>0</v>
      </c>
      <c r="AJ115" s="4">
        <f t="shared" si="56"/>
        <v>8.4118326757584114</v>
      </c>
      <c r="AK115" s="4">
        <f t="shared" si="57"/>
        <v>5.6524891802686508</v>
      </c>
      <c r="AL115" s="4">
        <f t="shared" si="58"/>
        <v>0</v>
      </c>
      <c r="AM115" s="4">
        <f>CER!$C$7+CER!$C$8*J115+CER!$C$9*K115+CER!$C$10*L115+CER!$C$11*M115</f>
        <v>3.3642253935177848</v>
      </c>
      <c r="AN115" s="4">
        <f t="shared" si="59"/>
        <v>28.911093902517447</v>
      </c>
      <c r="AO115" s="4">
        <f t="shared" si="60"/>
        <v>9.2889921443983781E-3</v>
      </c>
      <c r="AP115" s="4">
        <f>Alternatives!$F$25+Alternatives!$F$26*J115+Alternatives!$F$27*K115+Alternatives!$F$28*G115+Alternatives!$F$29*O115</f>
        <v>3.2988962900324585</v>
      </c>
      <c r="AQ115" s="4">
        <f t="shared" si="61"/>
        <v>7.4618095629724657E-2</v>
      </c>
    </row>
    <row r="116" spans="1:43" x14ac:dyDescent="0.35">
      <c r="A116" s="2" t="s">
        <v>175</v>
      </c>
      <c r="B116" s="2" t="s">
        <v>174</v>
      </c>
      <c r="C116" s="2" t="s">
        <v>33</v>
      </c>
      <c r="D116" s="2">
        <v>42.768500000000003</v>
      </c>
      <c r="E116" s="2">
        <v>5000</v>
      </c>
      <c r="F116" s="2">
        <v>220</v>
      </c>
      <c r="G116" s="2">
        <v>58</v>
      </c>
      <c r="H116" s="2" t="s">
        <v>68</v>
      </c>
      <c r="I116" s="4">
        <f t="shared" si="31"/>
        <v>3.7558018503121375</v>
      </c>
      <c r="J116" s="4">
        <f t="shared" si="32"/>
        <v>8.5171931914162382</v>
      </c>
      <c r="K116" s="4">
        <f t="shared" si="33"/>
        <v>5.393627546352362</v>
      </c>
      <c r="L116" s="2">
        <v>1</v>
      </c>
      <c r="M116" s="2">
        <v>0</v>
      </c>
      <c r="N116" s="4">
        <f t="shared" si="34"/>
        <v>58</v>
      </c>
      <c r="O116" s="4">
        <f t="shared" si="35"/>
        <v>1</v>
      </c>
      <c r="P116" s="4">
        <f t="shared" si="36"/>
        <v>1</v>
      </c>
      <c r="Q116" s="4">
        <f t="shared" si="37"/>
        <v>8.5171931914162382</v>
      </c>
      <c r="R116" s="4">
        <f t="shared" si="38"/>
        <v>5.393627546352362</v>
      </c>
      <c r="S116" s="4">
        <f t="shared" si="39"/>
        <v>58</v>
      </c>
      <c r="T116" s="4">
        <f t="shared" si="40"/>
        <v>1</v>
      </c>
      <c r="U116" s="4">
        <f t="shared" si="41"/>
        <v>8.5171931914162382</v>
      </c>
      <c r="V116" s="4">
        <f t="shared" si="42"/>
        <v>5.393627546352362</v>
      </c>
      <c r="W116" s="4">
        <f t="shared" si="43"/>
        <v>58</v>
      </c>
      <c r="X116" s="4">
        <f t="shared" si="44"/>
        <v>1</v>
      </c>
      <c r="Y116" s="4">
        <f t="shared" si="45"/>
        <v>8.5171931914162382</v>
      </c>
      <c r="Z116" s="4">
        <f t="shared" si="46"/>
        <v>5.393627546352362</v>
      </c>
      <c r="AA116" s="4">
        <f t="shared" si="47"/>
        <v>58</v>
      </c>
      <c r="AB116" s="4">
        <f t="shared" si="48"/>
        <v>1</v>
      </c>
      <c r="AC116" s="4">
        <f t="shared" si="49"/>
        <v>0</v>
      </c>
      <c r="AD116" s="4">
        <f t="shared" si="50"/>
        <v>0</v>
      </c>
      <c r="AE116" s="4">
        <f t="shared" si="51"/>
        <v>0</v>
      </c>
      <c r="AF116" s="4">
        <f t="shared" si="52"/>
        <v>0</v>
      </c>
      <c r="AG116" s="4">
        <f t="shared" si="53"/>
        <v>8.5171931914162382</v>
      </c>
      <c r="AH116" s="4">
        <f t="shared" si="54"/>
        <v>1</v>
      </c>
      <c r="AI116" s="4">
        <f t="shared" si="55"/>
        <v>0</v>
      </c>
      <c r="AJ116" s="4">
        <f t="shared" si="56"/>
        <v>8.5171931914162382</v>
      </c>
      <c r="AK116" s="4">
        <f t="shared" si="57"/>
        <v>5.393627546352362</v>
      </c>
      <c r="AL116" s="4">
        <f t="shared" si="58"/>
        <v>0</v>
      </c>
      <c r="AM116" s="4">
        <f>CER!$C$7+CER!$C$8*J116+CER!$C$9*K116+CER!$C$10*L116+CER!$C$11*M116</f>
        <v>3.6357866697951433</v>
      </c>
      <c r="AN116" s="4">
        <f t="shared" si="59"/>
        <v>37.931680870841014</v>
      </c>
      <c r="AO116" s="4">
        <f t="shared" si="60"/>
        <v>0.12001518051699422</v>
      </c>
      <c r="AP116" s="4">
        <f>Alternatives!$F$25+Alternatives!$F$26*J116+Alternatives!$F$27*K116+Alternatives!$F$28*G116+Alternatives!$F$29*O116</f>
        <v>4.2515143295252127</v>
      </c>
      <c r="AQ116" s="4">
        <f t="shared" si="61"/>
        <v>-0.49571247921307515</v>
      </c>
    </row>
    <row r="117" spans="1:43" x14ac:dyDescent="0.35">
      <c r="A117" s="2" t="s">
        <v>176</v>
      </c>
      <c r="B117" s="2" t="s">
        <v>174</v>
      </c>
      <c r="C117" s="2" t="s">
        <v>67</v>
      </c>
      <c r="D117" s="2">
        <v>25.457000000000001</v>
      </c>
      <c r="E117" s="2">
        <v>5000</v>
      </c>
      <c r="F117" s="2">
        <v>285</v>
      </c>
      <c r="G117" s="2">
        <v>58</v>
      </c>
      <c r="H117" s="2" t="s">
        <v>68</v>
      </c>
      <c r="I117" s="4">
        <f t="shared" si="31"/>
        <v>3.2369907542933718</v>
      </c>
      <c r="J117" s="4">
        <f t="shared" si="32"/>
        <v>8.5171931914162382</v>
      </c>
      <c r="K117" s="4">
        <f t="shared" si="33"/>
        <v>5.6524891802686508</v>
      </c>
      <c r="L117" s="2">
        <v>0</v>
      </c>
      <c r="M117" s="2">
        <v>0</v>
      </c>
      <c r="N117" s="4">
        <f t="shared" si="34"/>
        <v>58</v>
      </c>
      <c r="O117" s="4">
        <f t="shared" si="35"/>
        <v>0</v>
      </c>
      <c r="P117" s="4">
        <f t="shared" si="36"/>
        <v>0</v>
      </c>
      <c r="Q117" s="4">
        <f t="shared" si="37"/>
        <v>8.5171931914162382</v>
      </c>
      <c r="R117" s="4">
        <f t="shared" si="38"/>
        <v>5.6524891802686508</v>
      </c>
      <c r="S117" s="4">
        <f t="shared" si="39"/>
        <v>58</v>
      </c>
      <c r="T117" s="4">
        <f t="shared" si="40"/>
        <v>0</v>
      </c>
      <c r="U117" s="4">
        <f t="shared" si="41"/>
        <v>8.5171931914162382</v>
      </c>
      <c r="V117" s="4">
        <f t="shared" si="42"/>
        <v>5.6524891802686508</v>
      </c>
      <c r="W117" s="4">
        <f t="shared" si="43"/>
        <v>58</v>
      </c>
      <c r="X117" s="4">
        <f t="shared" si="44"/>
        <v>0</v>
      </c>
      <c r="Y117" s="4">
        <f t="shared" si="45"/>
        <v>8.5171931914162382</v>
      </c>
      <c r="Z117" s="4">
        <f t="shared" si="46"/>
        <v>5.6524891802686508</v>
      </c>
      <c r="AA117" s="4">
        <f t="shared" si="47"/>
        <v>58</v>
      </c>
      <c r="AB117" s="4">
        <f t="shared" si="48"/>
        <v>0</v>
      </c>
      <c r="AC117" s="4">
        <f t="shared" si="49"/>
        <v>0</v>
      </c>
      <c r="AD117" s="4">
        <f t="shared" si="50"/>
        <v>0</v>
      </c>
      <c r="AE117" s="4">
        <f t="shared" si="51"/>
        <v>0</v>
      </c>
      <c r="AF117" s="4">
        <f t="shared" si="52"/>
        <v>0</v>
      </c>
      <c r="AG117" s="4">
        <f t="shared" si="53"/>
        <v>8.5171931914162382</v>
      </c>
      <c r="AH117" s="4">
        <f t="shared" si="54"/>
        <v>0</v>
      </c>
      <c r="AI117" s="4">
        <f t="shared" si="55"/>
        <v>0</v>
      </c>
      <c r="AJ117" s="4">
        <f t="shared" si="56"/>
        <v>8.5171931914162382</v>
      </c>
      <c r="AK117" s="4">
        <f t="shared" si="57"/>
        <v>5.6524891802686508</v>
      </c>
      <c r="AL117" s="4">
        <f t="shared" si="58"/>
        <v>0</v>
      </c>
      <c r="AM117" s="4">
        <f>CER!$C$7+CER!$C$8*J117+CER!$C$9*K117+CER!$C$10*L117+CER!$C$11*M117</f>
        <v>3.31652772723106</v>
      </c>
      <c r="AN117" s="4">
        <f t="shared" si="59"/>
        <v>27.564472829637207</v>
      </c>
      <c r="AO117" s="4">
        <f t="shared" si="60"/>
        <v>-7.9536972937688244E-2</v>
      </c>
      <c r="AP117" s="4">
        <f>Alternatives!$F$25+Alternatives!$F$26*J117+Alternatives!$F$27*K117+Alternatives!$F$28*G117+Alternatives!$F$29*O117</f>
        <v>3.3378887395221897</v>
      </c>
      <c r="AQ117" s="4">
        <f t="shared" si="61"/>
        <v>-0.10089798522881788</v>
      </c>
    </row>
    <row r="118" spans="1:43" x14ac:dyDescent="0.35">
      <c r="A118" s="2" t="s">
        <v>177</v>
      </c>
      <c r="B118" s="2" t="s">
        <v>174</v>
      </c>
      <c r="C118" s="2" t="s">
        <v>67</v>
      </c>
      <c r="D118" s="2">
        <v>29.180900000000001</v>
      </c>
      <c r="E118" s="2">
        <v>4500</v>
      </c>
      <c r="F118" s="2">
        <v>285</v>
      </c>
      <c r="G118" s="2">
        <v>58</v>
      </c>
      <c r="H118" s="2" t="s">
        <v>68</v>
      </c>
      <c r="I118" s="4">
        <f t="shared" si="31"/>
        <v>3.3735143856621832</v>
      </c>
      <c r="J118" s="4">
        <f t="shared" si="32"/>
        <v>8.4118326757584114</v>
      </c>
      <c r="K118" s="4">
        <f t="shared" si="33"/>
        <v>5.6524891802686508</v>
      </c>
      <c r="L118" s="2">
        <v>0</v>
      </c>
      <c r="M118" s="2">
        <v>0</v>
      </c>
      <c r="N118" s="4">
        <f t="shared" si="34"/>
        <v>58</v>
      </c>
      <c r="O118" s="4">
        <f t="shared" si="35"/>
        <v>0</v>
      </c>
      <c r="P118" s="4">
        <f t="shared" si="36"/>
        <v>0</v>
      </c>
      <c r="Q118" s="4">
        <f t="shared" si="37"/>
        <v>8.4118326757584114</v>
      </c>
      <c r="R118" s="4">
        <f t="shared" si="38"/>
        <v>5.6524891802686508</v>
      </c>
      <c r="S118" s="4">
        <f t="shared" si="39"/>
        <v>58</v>
      </c>
      <c r="T118" s="4">
        <f t="shared" si="40"/>
        <v>0</v>
      </c>
      <c r="U118" s="4">
        <f t="shared" si="41"/>
        <v>8.4118326757584114</v>
      </c>
      <c r="V118" s="4">
        <f t="shared" si="42"/>
        <v>5.6524891802686508</v>
      </c>
      <c r="W118" s="4">
        <f t="shared" si="43"/>
        <v>58</v>
      </c>
      <c r="X118" s="4">
        <f t="shared" si="44"/>
        <v>0</v>
      </c>
      <c r="Y118" s="4">
        <f t="shared" si="45"/>
        <v>8.4118326757584114</v>
      </c>
      <c r="Z118" s="4">
        <f t="shared" si="46"/>
        <v>5.6524891802686508</v>
      </c>
      <c r="AA118" s="4">
        <f t="shared" si="47"/>
        <v>58</v>
      </c>
      <c r="AB118" s="4">
        <f t="shared" si="48"/>
        <v>0</v>
      </c>
      <c r="AC118" s="4">
        <f t="shared" si="49"/>
        <v>0</v>
      </c>
      <c r="AD118" s="4">
        <f t="shared" si="50"/>
        <v>0</v>
      </c>
      <c r="AE118" s="4">
        <f t="shared" si="51"/>
        <v>0</v>
      </c>
      <c r="AF118" s="4">
        <f t="shared" si="52"/>
        <v>0</v>
      </c>
      <c r="AG118" s="4">
        <f t="shared" si="53"/>
        <v>8.4118326757584114</v>
      </c>
      <c r="AH118" s="4">
        <f t="shared" si="54"/>
        <v>0</v>
      </c>
      <c r="AI118" s="4">
        <f t="shared" si="55"/>
        <v>0</v>
      </c>
      <c r="AJ118" s="4">
        <f t="shared" si="56"/>
        <v>8.4118326757584114</v>
      </c>
      <c r="AK118" s="4">
        <f t="shared" si="57"/>
        <v>5.6524891802686508</v>
      </c>
      <c r="AL118" s="4">
        <f t="shared" si="58"/>
        <v>0</v>
      </c>
      <c r="AM118" s="4">
        <f>CER!$C$7+CER!$C$8*J118+CER!$C$9*K118+CER!$C$10*L118+CER!$C$11*M118</f>
        <v>3.3642253935177848</v>
      </c>
      <c r="AN118" s="4">
        <f t="shared" si="59"/>
        <v>28.911093902517447</v>
      </c>
      <c r="AO118" s="4">
        <f t="shared" si="60"/>
        <v>9.2889921443983781E-3</v>
      </c>
      <c r="AP118" s="4">
        <f>Alternatives!$F$25+Alternatives!$F$26*J118+Alternatives!$F$27*K118+Alternatives!$F$28*G118+Alternatives!$F$29*O118</f>
        <v>3.2988962900324585</v>
      </c>
      <c r="AQ118" s="4">
        <f t="shared" si="61"/>
        <v>7.4618095629724657E-2</v>
      </c>
    </row>
    <row r="119" spans="1:43" x14ac:dyDescent="0.35">
      <c r="A119" s="2" t="s">
        <v>178</v>
      </c>
      <c r="B119" s="2" t="s">
        <v>174</v>
      </c>
      <c r="C119" s="2" t="s">
        <v>67</v>
      </c>
      <c r="D119" s="2">
        <v>31.5916</v>
      </c>
      <c r="E119" s="2">
        <v>4000</v>
      </c>
      <c r="F119" s="2">
        <v>200</v>
      </c>
      <c r="G119" s="2">
        <v>44.4</v>
      </c>
      <c r="H119" s="2" t="s">
        <v>68</v>
      </c>
      <c r="I119" s="4">
        <f t="shared" si="31"/>
        <v>3.4528912624709176</v>
      </c>
      <c r="J119" s="4">
        <f t="shared" si="32"/>
        <v>8.2940496401020276</v>
      </c>
      <c r="K119" s="4">
        <f t="shared" si="33"/>
        <v>5.2983173665480363</v>
      </c>
      <c r="L119" s="2">
        <v>0</v>
      </c>
      <c r="M119" s="2">
        <v>0</v>
      </c>
      <c r="N119" s="4">
        <f t="shared" si="34"/>
        <v>44.4</v>
      </c>
      <c r="O119" s="4">
        <f t="shared" si="35"/>
        <v>0</v>
      </c>
      <c r="P119" s="4">
        <f t="shared" si="36"/>
        <v>0</v>
      </c>
      <c r="Q119" s="4">
        <f t="shared" si="37"/>
        <v>8.2940496401020276</v>
      </c>
      <c r="R119" s="4">
        <f t="shared" si="38"/>
        <v>5.2983173665480363</v>
      </c>
      <c r="S119" s="4">
        <f t="shared" si="39"/>
        <v>44.4</v>
      </c>
      <c r="T119" s="4">
        <f t="shared" si="40"/>
        <v>0</v>
      </c>
      <c r="U119" s="4">
        <f t="shared" si="41"/>
        <v>8.2940496401020276</v>
      </c>
      <c r="V119" s="4">
        <f t="shared" si="42"/>
        <v>5.2983173665480363</v>
      </c>
      <c r="W119" s="4">
        <f t="shared" si="43"/>
        <v>44.4</v>
      </c>
      <c r="X119" s="4">
        <f t="shared" si="44"/>
        <v>0</v>
      </c>
      <c r="Y119" s="4">
        <f t="shared" si="45"/>
        <v>8.2940496401020276</v>
      </c>
      <c r="Z119" s="4">
        <f t="shared" si="46"/>
        <v>5.2983173665480363</v>
      </c>
      <c r="AA119" s="4">
        <f t="shared" si="47"/>
        <v>44.4</v>
      </c>
      <c r="AB119" s="4">
        <f t="shared" si="48"/>
        <v>0</v>
      </c>
      <c r="AC119" s="4">
        <f t="shared" si="49"/>
        <v>0</v>
      </c>
      <c r="AD119" s="4">
        <f t="shared" si="50"/>
        <v>0</v>
      </c>
      <c r="AE119" s="4">
        <f t="shared" si="51"/>
        <v>0</v>
      </c>
      <c r="AF119" s="4">
        <f t="shared" si="52"/>
        <v>0</v>
      </c>
      <c r="AG119" s="4">
        <f t="shared" si="53"/>
        <v>8.2940496401020276</v>
      </c>
      <c r="AH119" s="4">
        <f t="shared" si="54"/>
        <v>0</v>
      </c>
      <c r="AI119" s="4">
        <f t="shared" si="55"/>
        <v>0</v>
      </c>
      <c r="AJ119" s="4">
        <f t="shared" si="56"/>
        <v>8.2940496401020276</v>
      </c>
      <c r="AK119" s="4">
        <f t="shared" si="57"/>
        <v>5.2983173665480363</v>
      </c>
      <c r="AL119" s="4">
        <f t="shared" si="58"/>
        <v>0</v>
      </c>
      <c r="AM119" s="4">
        <f>CER!$C$7+CER!$C$8*J119+CER!$C$9*K119+CER!$C$10*L119+CER!$C$11*M119</f>
        <v>3.5482163121978192</v>
      </c>
      <c r="AN119" s="4">
        <f t="shared" si="59"/>
        <v>34.751276744952655</v>
      </c>
      <c r="AO119" s="4">
        <f t="shared" si="60"/>
        <v>-9.532504972690159E-2</v>
      </c>
      <c r="AP119" s="4">
        <f>Alternatives!$F$25+Alternatives!$F$26*J119+Alternatives!$F$27*K119+Alternatives!$F$28*G119+Alternatives!$F$29*O119</f>
        <v>3.5264545678367001</v>
      </c>
      <c r="AQ119" s="4">
        <f t="shared" si="61"/>
        <v>-7.3563305365782483E-2</v>
      </c>
    </row>
    <row r="120" spans="1:43" x14ac:dyDescent="0.35">
      <c r="A120" s="2" t="s">
        <v>179</v>
      </c>
      <c r="B120" s="2" t="s">
        <v>174</v>
      </c>
      <c r="C120" s="2" t="s">
        <v>33</v>
      </c>
      <c r="D120" s="2">
        <v>41.070300000000003</v>
      </c>
      <c r="E120" s="2">
        <v>4500</v>
      </c>
      <c r="F120" s="2">
        <v>180</v>
      </c>
      <c r="G120" s="2">
        <v>44.4</v>
      </c>
      <c r="H120" s="2" t="s">
        <v>68</v>
      </c>
      <c r="I120" s="4">
        <f t="shared" si="31"/>
        <v>3.715285232543688</v>
      </c>
      <c r="J120" s="4">
        <f t="shared" si="32"/>
        <v>8.4118326757584114</v>
      </c>
      <c r="K120" s="4">
        <f t="shared" si="33"/>
        <v>5.1929568508902104</v>
      </c>
      <c r="L120" s="2">
        <v>1</v>
      </c>
      <c r="M120" s="2">
        <v>0</v>
      </c>
      <c r="N120" s="4">
        <f t="shared" si="34"/>
        <v>44.4</v>
      </c>
      <c r="O120" s="4">
        <f t="shared" si="35"/>
        <v>1</v>
      </c>
      <c r="P120" s="4">
        <f t="shared" si="36"/>
        <v>1</v>
      </c>
      <c r="Q120" s="4">
        <f t="shared" si="37"/>
        <v>8.4118326757584114</v>
      </c>
      <c r="R120" s="4">
        <f t="shared" si="38"/>
        <v>5.1929568508902104</v>
      </c>
      <c r="S120" s="4">
        <f t="shared" si="39"/>
        <v>44.4</v>
      </c>
      <c r="T120" s="4">
        <f t="shared" si="40"/>
        <v>1</v>
      </c>
      <c r="U120" s="4">
        <f t="shared" si="41"/>
        <v>8.4118326757584114</v>
      </c>
      <c r="V120" s="4">
        <f t="shared" si="42"/>
        <v>5.1929568508902104</v>
      </c>
      <c r="W120" s="4">
        <f t="shared" si="43"/>
        <v>44.4</v>
      </c>
      <c r="X120" s="4">
        <f t="shared" si="44"/>
        <v>1</v>
      </c>
      <c r="Y120" s="4">
        <f t="shared" si="45"/>
        <v>8.4118326757584114</v>
      </c>
      <c r="Z120" s="4">
        <f t="shared" si="46"/>
        <v>5.1929568508902104</v>
      </c>
      <c r="AA120" s="4">
        <f t="shared" si="47"/>
        <v>44.4</v>
      </c>
      <c r="AB120" s="4">
        <f t="shared" si="48"/>
        <v>1</v>
      </c>
      <c r="AC120" s="4">
        <f t="shared" si="49"/>
        <v>0</v>
      </c>
      <c r="AD120" s="4">
        <f t="shared" si="50"/>
        <v>0</v>
      </c>
      <c r="AE120" s="4">
        <f t="shared" si="51"/>
        <v>0</v>
      </c>
      <c r="AF120" s="4">
        <f t="shared" si="52"/>
        <v>0</v>
      </c>
      <c r="AG120" s="4">
        <f t="shared" si="53"/>
        <v>8.4118326757584114</v>
      </c>
      <c r="AH120" s="4">
        <f t="shared" si="54"/>
        <v>1</v>
      </c>
      <c r="AI120" s="4">
        <f t="shared" si="55"/>
        <v>0</v>
      </c>
      <c r="AJ120" s="4">
        <f t="shared" si="56"/>
        <v>8.4118326757584114</v>
      </c>
      <c r="AK120" s="4">
        <f t="shared" si="57"/>
        <v>5.1929568508902104</v>
      </c>
      <c r="AL120" s="4">
        <f t="shared" si="58"/>
        <v>0</v>
      </c>
      <c r="AM120" s="4">
        <f>CER!$C$7+CER!$C$8*J120+CER!$C$9*K120+CER!$C$10*L120+CER!$C$11*M120</f>
        <v>3.7575205277300272</v>
      </c>
      <c r="AN120" s="4">
        <f t="shared" si="59"/>
        <v>42.842068457260908</v>
      </c>
      <c r="AO120" s="4">
        <f t="shared" si="60"/>
        <v>-4.2235295186339172E-2</v>
      </c>
      <c r="AP120" s="4">
        <f>Alternatives!$F$25+Alternatives!$F$26*J120+Alternatives!$F$27*K120+Alternatives!$F$28*G120+Alternatives!$F$29*O120</f>
        <v>4.4428218301396454</v>
      </c>
      <c r="AQ120" s="4">
        <f t="shared" si="61"/>
        <v>-0.72753659759595735</v>
      </c>
    </row>
    <row r="121" spans="1:43" x14ac:dyDescent="0.35">
      <c r="A121" s="2" t="s">
        <v>180</v>
      </c>
      <c r="B121" s="2" t="s">
        <v>174</v>
      </c>
      <c r="C121" s="2" t="s">
        <v>67</v>
      </c>
      <c r="D121" s="2">
        <v>28.0059</v>
      </c>
      <c r="E121" s="2">
        <v>5000</v>
      </c>
      <c r="F121" s="2">
        <v>295</v>
      </c>
      <c r="G121" s="2">
        <v>53.5</v>
      </c>
      <c r="H121" s="2" t="s">
        <v>68</v>
      </c>
      <c r="I121" s="4">
        <f t="shared" si="31"/>
        <v>3.3324152022637814</v>
      </c>
      <c r="J121" s="4">
        <f t="shared" si="32"/>
        <v>8.5171931914162382</v>
      </c>
      <c r="K121" s="4">
        <f t="shared" si="33"/>
        <v>5.6869753563398202</v>
      </c>
      <c r="L121" s="2">
        <v>0</v>
      </c>
      <c r="M121" s="2">
        <v>0</v>
      </c>
      <c r="N121" s="4">
        <f t="shared" si="34"/>
        <v>53.5</v>
      </c>
      <c r="O121" s="4">
        <f t="shared" si="35"/>
        <v>0</v>
      </c>
      <c r="P121" s="4">
        <f t="shared" si="36"/>
        <v>0</v>
      </c>
      <c r="Q121" s="4">
        <f t="shared" si="37"/>
        <v>8.5171931914162382</v>
      </c>
      <c r="R121" s="4">
        <f t="shared" si="38"/>
        <v>5.6869753563398202</v>
      </c>
      <c r="S121" s="4">
        <f t="shared" si="39"/>
        <v>53.5</v>
      </c>
      <c r="T121" s="4">
        <f t="shared" si="40"/>
        <v>0</v>
      </c>
      <c r="U121" s="4">
        <f t="shared" si="41"/>
        <v>8.5171931914162382</v>
      </c>
      <c r="V121" s="4">
        <f t="shared" si="42"/>
        <v>5.6869753563398202</v>
      </c>
      <c r="W121" s="4">
        <f t="shared" si="43"/>
        <v>53.5</v>
      </c>
      <c r="X121" s="4">
        <f t="shared" si="44"/>
        <v>0</v>
      </c>
      <c r="Y121" s="4">
        <f t="shared" si="45"/>
        <v>8.5171931914162382</v>
      </c>
      <c r="Z121" s="4">
        <f t="shared" si="46"/>
        <v>5.6869753563398202</v>
      </c>
      <c r="AA121" s="4">
        <f t="shared" si="47"/>
        <v>53.5</v>
      </c>
      <c r="AB121" s="4">
        <f t="shared" si="48"/>
        <v>0</v>
      </c>
      <c r="AC121" s="4">
        <f t="shared" si="49"/>
        <v>0</v>
      </c>
      <c r="AD121" s="4">
        <f t="shared" si="50"/>
        <v>0</v>
      </c>
      <c r="AE121" s="4">
        <f t="shared" si="51"/>
        <v>0</v>
      </c>
      <c r="AF121" s="4">
        <f t="shared" si="52"/>
        <v>0</v>
      </c>
      <c r="AG121" s="4">
        <f t="shared" si="53"/>
        <v>8.5171931914162382</v>
      </c>
      <c r="AH121" s="4">
        <f t="shared" si="54"/>
        <v>0</v>
      </c>
      <c r="AI121" s="4">
        <f t="shared" si="55"/>
        <v>0</v>
      </c>
      <c r="AJ121" s="4">
        <f t="shared" si="56"/>
        <v>8.5171931914162382</v>
      </c>
      <c r="AK121" s="4">
        <f t="shared" si="57"/>
        <v>5.6869753563398202</v>
      </c>
      <c r="AL121" s="4">
        <f t="shared" si="58"/>
        <v>0</v>
      </c>
      <c r="AM121" s="4">
        <f>CER!$C$7+CER!$C$8*J121+CER!$C$9*K121+CER!$C$10*L121+CER!$C$11*M121</f>
        <v>3.303804269354278</v>
      </c>
      <c r="AN121" s="4">
        <f t="shared" si="59"/>
        <v>27.215979144408202</v>
      </c>
      <c r="AO121" s="4">
        <f t="shared" si="60"/>
        <v>2.861093290950345E-2</v>
      </c>
      <c r="AP121" s="4">
        <f>Alternatives!$F$25+Alternatives!$F$26*J121+Alternatives!$F$27*K121+Alternatives!$F$28*G121+Alternatives!$F$29*O121</f>
        <v>3.3872445397545885</v>
      </c>
      <c r="AQ121" s="4">
        <f t="shared" si="61"/>
        <v>-5.4829337490807095E-2</v>
      </c>
    </row>
    <row r="122" spans="1:43" x14ac:dyDescent="0.35">
      <c r="A122" s="2" t="s">
        <v>180</v>
      </c>
      <c r="B122" s="2" t="s">
        <v>174</v>
      </c>
      <c r="C122" s="2" t="s">
        <v>67</v>
      </c>
      <c r="D122" s="2">
        <v>21.702000000000002</v>
      </c>
      <c r="E122" s="2">
        <v>5500</v>
      </c>
      <c r="F122" s="2">
        <v>357</v>
      </c>
      <c r="G122" s="2">
        <v>53.5</v>
      </c>
      <c r="H122" s="2" t="s">
        <v>68</v>
      </c>
      <c r="I122" s="4">
        <f t="shared" si="31"/>
        <v>3.0774044221980161</v>
      </c>
      <c r="J122" s="4">
        <f t="shared" si="32"/>
        <v>8.6125033712205621</v>
      </c>
      <c r="K122" s="4">
        <f t="shared" si="33"/>
        <v>5.8777357817796387</v>
      </c>
      <c r="L122" s="2">
        <v>0</v>
      </c>
      <c r="M122" s="2">
        <v>0</v>
      </c>
      <c r="N122" s="4">
        <f t="shared" si="34"/>
        <v>53.5</v>
      </c>
      <c r="O122" s="4">
        <f t="shared" si="35"/>
        <v>0</v>
      </c>
      <c r="P122" s="4">
        <f t="shared" si="36"/>
        <v>0</v>
      </c>
      <c r="Q122" s="4">
        <f t="shared" si="37"/>
        <v>8.6125033712205621</v>
      </c>
      <c r="R122" s="4">
        <f t="shared" si="38"/>
        <v>5.8777357817796387</v>
      </c>
      <c r="S122" s="4">
        <f t="shared" si="39"/>
        <v>53.5</v>
      </c>
      <c r="T122" s="4">
        <f t="shared" si="40"/>
        <v>0</v>
      </c>
      <c r="U122" s="4">
        <f t="shared" si="41"/>
        <v>8.6125033712205621</v>
      </c>
      <c r="V122" s="4">
        <f t="shared" si="42"/>
        <v>5.8777357817796387</v>
      </c>
      <c r="W122" s="4">
        <f t="shared" si="43"/>
        <v>53.5</v>
      </c>
      <c r="X122" s="4">
        <f t="shared" si="44"/>
        <v>0</v>
      </c>
      <c r="Y122" s="4">
        <f t="shared" si="45"/>
        <v>8.6125033712205621</v>
      </c>
      <c r="Z122" s="4">
        <f t="shared" si="46"/>
        <v>5.8777357817796387</v>
      </c>
      <c r="AA122" s="4">
        <f t="shared" si="47"/>
        <v>53.5</v>
      </c>
      <c r="AB122" s="4">
        <f t="shared" si="48"/>
        <v>0</v>
      </c>
      <c r="AC122" s="4">
        <f t="shared" si="49"/>
        <v>0</v>
      </c>
      <c r="AD122" s="4">
        <f t="shared" si="50"/>
        <v>0</v>
      </c>
      <c r="AE122" s="4">
        <f t="shared" si="51"/>
        <v>0</v>
      </c>
      <c r="AF122" s="4">
        <f t="shared" si="52"/>
        <v>0</v>
      </c>
      <c r="AG122" s="4">
        <f t="shared" si="53"/>
        <v>8.6125033712205621</v>
      </c>
      <c r="AH122" s="4">
        <f t="shared" si="54"/>
        <v>0</v>
      </c>
      <c r="AI122" s="4">
        <f t="shared" si="55"/>
        <v>0</v>
      </c>
      <c r="AJ122" s="4">
        <f t="shared" si="56"/>
        <v>8.6125033712205621</v>
      </c>
      <c r="AK122" s="4">
        <f t="shared" si="57"/>
        <v>5.8777357817796387</v>
      </c>
      <c r="AL122" s="4">
        <f t="shared" si="58"/>
        <v>0</v>
      </c>
      <c r="AM122" s="4">
        <f>CER!$C$7+CER!$C$8*J122+CER!$C$9*K122+CER!$C$10*L122+CER!$C$11*M122</f>
        <v>3.1902766219430414</v>
      </c>
      <c r="AN122" s="4">
        <f t="shared" si="59"/>
        <v>24.295147084444558</v>
      </c>
      <c r="AO122" s="4">
        <f t="shared" si="60"/>
        <v>-0.11287219974502527</v>
      </c>
      <c r="AP122" s="4">
        <f>Alternatives!$F$25+Alternatives!$F$26*J122+Alternatives!$F$27*K122+Alternatives!$F$28*G122+Alternatives!$F$29*O122</f>
        <v>3.3717542501775624</v>
      </c>
      <c r="AQ122" s="4">
        <f t="shared" si="61"/>
        <v>-0.29434982797954623</v>
      </c>
    </row>
    <row r="123" spans="1:43" x14ac:dyDescent="0.35">
      <c r="A123" s="2" t="s">
        <v>181</v>
      </c>
      <c r="B123" s="2" t="s">
        <v>174</v>
      </c>
      <c r="C123" s="2" t="s">
        <v>67</v>
      </c>
      <c r="D123" s="2">
        <v>27.611999999999998</v>
      </c>
      <c r="E123" s="2">
        <v>5000</v>
      </c>
      <c r="F123" s="2">
        <v>295</v>
      </c>
      <c r="G123" s="2">
        <v>53.5</v>
      </c>
      <c r="H123" s="2" t="s">
        <v>68</v>
      </c>
      <c r="I123" s="4">
        <f t="shared" si="31"/>
        <v>3.3182504608412291</v>
      </c>
      <c r="J123" s="4">
        <f t="shared" si="32"/>
        <v>8.5171931914162382</v>
      </c>
      <c r="K123" s="4">
        <f t="shared" si="33"/>
        <v>5.6869753563398202</v>
      </c>
      <c r="L123" s="2">
        <v>0</v>
      </c>
      <c r="M123" s="2">
        <v>0</v>
      </c>
      <c r="N123" s="4">
        <f t="shared" si="34"/>
        <v>53.5</v>
      </c>
      <c r="O123" s="4">
        <f t="shared" si="35"/>
        <v>0</v>
      </c>
      <c r="P123" s="4">
        <f t="shared" si="36"/>
        <v>0</v>
      </c>
      <c r="Q123" s="4">
        <f t="shared" si="37"/>
        <v>8.5171931914162382</v>
      </c>
      <c r="R123" s="4">
        <f t="shared" si="38"/>
        <v>5.6869753563398202</v>
      </c>
      <c r="S123" s="4">
        <f t="shared" si="39"/>
        <v>53.5</v>
      </c>
      <c r="T123" s="4">
        <f t="shared" si="40"/>
        <v>0</v>
      </c>
      <c r="U123" s="4">
        <f t="shared" si="41"/>
        <v>8.5171931914162382</v>
      </c>
      <c r="V123" s="4">
        <f t="shared" si="42"/>
        <v>5.6869753563398202</v>
      </c>
      <c r="W123" s="4">
        <f t="shared" si="43"/>
        <v>53.5</v>
      </c>
      <c r="X123" s="4">
        <f t="shared" si="44"/>
        <v>0</v>
      </c>
      <c r="Y123" s="4">
        <f t="shared" si="45"/>
        <v>8.5171931914162382</v>
      </c>
      <c r="Z123" s="4">
        <f t="shared" si="46"/>
        <v>5.6869753563398202</v>
      </c>
      <c r="AA123" s="4">
        <f t="shared" si="47"/>
        <v>53.5</v>
      </c>
      <c r="AB123" s="4">
        <f t="shared" si="48"/>
        <v>0</v>
      </c>
      <c r="AC123" s="4">
        <f t="shared" si="49"/>
        <v>0</v>
      </c>
      <c r="AD123" s="4">
        <f t="shared" si="50"/>
        <v>0</v>
      </c>
      <c r="AE123" s="4">
        <f t="shared" si="51"/>
        <v>0</v>
      </c>
      <c r="AF123" s="4">
        <f t="shared" si="52"/>
        <v>0</v>
      </c>
      <c r="AG123" s="4">
        <f t="shared" si="53"/>
        <v>8.5171931914162382</v>
      </c>
      <c r="AH123" s="4">
        <f t="shared" si="54"/>
        <v>0</v>
      </c>
      <c r="AI123" s="4">
        <f t="shared" si="55"/>
        <v>0</v>
      </c>
      <c r="AJ123" s="4">
        <f t="shared" si="56"/>
        <v>8.5171931914162382</v>
      </c>
      <c r="AK123" s="4">
        <f t="shared" si="57"/>
        <v>5.6869753563398202</v>
      </c>
      <c r="AL123" s="4">
        <f t="shared" si="58"/>
        <v>0</v>
      </c>
      <c r="AM123" s="4">
        <f>CER!$C$7+CER!$C$8*J123+CER!$C$9*K123+CER!$C$10*L123+CER!$C$11*M123</f>
        <v>3.303804269354278</v>
      </c>
      <c r="AN123" s="4">
        <f t="shared" si="59"/>
        <v>27.215979144408202</v>
      </c>
      <c r="AO123" s="4">
        <f t="shared" si="60"/>
        <v>1.4446191486951143E-2</v>
      </c>
      <c r="AP123" s="4">
        <f>Alternatives!$F$25+Alternatives!$F$26*J123+Alternatives!$F$27*K123+Alternatives!$F$28*G123+Alternatives!$F$29*O123</f>
        <v>3.3872445397545885</v>
      </c>
      <c r="AQ123" s="4">
        <f t="shared" si="61"/>
        <v>-6.8994078913359402E-2</v>
      </c>
    </row>
    <row r="124" spans="1:43" x14ac:dyDescent="0.35">
      <c r="A124" s="2" t="s">
        <v>181</v>
      </c>
      <c r="B124" s="2" t="s">
        <v>174</v>
      </c>
      <c r="C124" s="2" t="s">
        <v>67</v>
      </c>
      <c r="D124" s="2">
        <v>21.393999999999998</v>
      </c>
      <c r="E124" s="2">
        <v>5500</v>
      </c>
      <c r="F124" s="2">
        <v>357</v>
      </c>
      <c r="G124" s="2">
        <v>53.5</v>
      </c>
      <c r="H124" s="2" t="s">
        <v>68</v>
      </c>
      <c r="I124" s="4">
        <f t="shared" si="31"/>
        <v>3.063110508883939</v>
      </c>
      <c r="J124" s="4">
        <f t="shared" si="32"/>
        <v>8.6125033712205621</v>
      </c>
      <c r="K124" s="4">
        <f t="shared" si="33"/>
        <v>5.8777357817796387</v>
      </c>
      <c r="L124" s="2">
        <v>0</v>
      </c>
      <c r="M124" s="2">
        <v>0</v>
      </c>
      <c r="N124" s="4">
        <f t="shared" si="34"/>
        <v>53.5</v>
      </c>
      <c r="O124" s="4">
        <f t="shared" si="35"/>
        <v>0</v>
      </c>
      <c r="P124" s="4">
        <f t="shared" si="36"/>
        <v>0</v>
      </c>
      <c r="Q124" s="4">
        <f t="shared" si="37"/>
        <v>8.6125033712205621</v>
      </c>
      <c r="R124" s="4">
        <f t="shared" si="38"/>
        <v>5.8777357817796387</v>
      </c>
      <c r="S124" s="4">
        <f t="shared" si="39"/>
        <v>53.5</v>
      </c>
      <c r="T124" s="4">
        <f t="shared" si="40"/>
        <v>0</v>
      </c>
      <c r="U124" s="4">
        <f t="shared" si="41"/>
        <v>8.6125033712205621</v>
      </c>
      <c r="V124" s="4">
        <f t="shared" si="42"/>
        <v>5.8777357817796387</v>
      </c>
      <c r="W124" s="4">
        <f t="shared" si="43"/>
        <v>53.5</v>
      </c>
      <c r="X124" s="4">
        <f t="shared" si="44"/>
        <v>0</v>
      </c>
      <c r="Y124" s="4">
        <f t="shared" si="45"/>
        <v>8.6125033712205621</v>
      </c>
      <c r="Z124" s="4">
        <f t="shared" si="46"/>
        <v>5.8777357817796387</v>
      </c>
      <c r="AA124" s="4">
        <f t="shared" si="47"/>
        <v>53.5</v>
      </c>
      <c r="AB124" s="4">
        <f t="shared" si="48"/>
        <v>0</v>
      </c>
      <c r="AC124" s="4">
        <f t="shared" si="49"/>
        <v>0</v>
      </c>
      <c r="AD124" s="4">
        <f t="shared" si="50"/>
        <v>0</v>
      </c>
      <c r="AE124" s="4">
        <f t="shared" si="51"/>
        <v>0</v>
      </c>
      <c r="AF124" s="4">
        <f t="shared" si="52"/>
        <v>0</v>
      </c>
      <c r="AG124" s="4">
        <f t="shared" si="53"/>
        <v>8.6125033712205621</v>
      </c>
      <c r="AH124" s="4">
        <f t="shared" si="54"/>
        <v>0</v>
      </c>
      <c r="AI124" s="4">
        <f t="shared" si="55"/>
        <v>0</v>
      </c>
      <c r="AJ124" s="4">
        <f t="shared" si="56"/>
        <v>8.6125033712205621</v>
      </c>
      <c r="AK124" s="4">
        <f t="shared" si="57"/>
        <v>5.8777357817796387</v>
      </c>
      <c r="AL124" s="4">
        <f t="shared" si="58"/>
        <v>0</v>
      </c>
      <c r="AM124" s="4">
        <f>CER!$C$7+CER!$C$8*J124+CER!$C$9*K124+CER!$C$10*L124+CER!$C$11*M124</f>
        <v>3.1902766219430414</v>
      </c>
      <c r="AN124" s="4">
        <f t="shared" si="59"/>
        <v>24.295147084444558</v>
      </c>
      <c r="AO124" s="4">
        <f t="shared" si="60"/>
        <v>-0.12716611305910241</v>
      </c>
      <c r="AP124" s="4">
        <f>Alternatives!$F$25+Alternatives!$F$26*J124+Alternatives!$F$27*K124+Alternatives!$F$28*G124+Alternatives!$F$29*O124</f>
        <v>3.3717542501775624</v>
      </c>
      <c r="AQ124" s="4">
        <f t="shared" si="61"/>
        <v>-0.30864374129362337</v>
      </c>
    </row>
    <row r="125" spans="1:43" x14ac:dyDescent="0.35">
      <c r="A125" s="2" t="s">
        <v>182</v>
      </c>
      <c r="B125" s="2" t="s">
        <v>174</v>
      </c>
      <c r="C125" s="2" t="s">
        <v>67</v>
      </c>
      <c r="D125" s="2">
        <v>17.089200000000002</v>
      </c>
      <c r="E125" s="2">
        <v>6000</v>
      </c>
      <c r="F125" s="2">
        <v>710</v>
      </c>
      <c r="G125" s="2">
        <v>53.5</v>
      </c>
      <c r="H125" s="2" t="s">
        <v>68</v>
      </c>
      <c r="I125" s="4">
        <f t="shared" si="31"/>
        <v>2.8384466850312453</v>
      </c>
      <c r="J125" s="4">
        <f t="shared" si="32"/>
        <v>8.6995147482101913</v>
      </c>
      <c r="K125" s="4">
        <f t="shared" si="33"/>
        <v>6.5652649700353614</v>
      </c>
      <c r="L125" s="2">
        <v>0</v>
      </c>
      <c r="M125" s="2">
        <v>0</v>
      </c>
      <c r="N125" s="4">
        <f t="shared" si="34"/>
        <v>53.5</v>
      </c>
      <c r="O125" s="4">
        <f t="shared" si="35"/>
        <v>0</v>
      </c>
      <c r="P125" s="4">
        <f t="shared" si="36"/>
        <v>0</v>
      </c>
      <c r="Q125" s="4">
        <f t="shared" si="37"/>
        <v>8.6995147482101913</v>
      </c>
      <c r="R125" s="4">
        <f t="shared" si="38"/>
        <v>6.5652649700353614</v>
      </c>
      <c r="S125" s="4">
        <f t="shared" si="39"/>
        <v>53.5</v>
      </c>
      <c r="T125" s="4">
        <f t="shared" si="40"/>
        <v>0</v>
      </c>
      <c r="U125" s="4">
        <f t="shared" si="41"/>
        <v>8.6995147482101913</v>
      </c>
      <c r="V125" s="4">
        <f t="shared" si="42"/>
        <v>6.5652649700353614</v>
      </c>
      <c r="W125" s="4">
        <f t="shared" si="43"/>
        <v>53.5</v>
      </c>
      <c r="X125" s="4">
        <f t="shared" si="44"/>
        <v>0</v>
      </c>
      <c r="Y125" s="4">
        <f t="shared" si="45"/>
        <v>8.6995147482101913</v>
      </c>
      <c r="Z125" s="4">
        <f t="shared" si="46"/>
        <v>6.5652649700353614</v>
      </c>
      <c r="AA125" s="4">
        <f t="shared" si="47"/>
        <v>53.5</v>
      </c>
      <c r="AB125" s="4">
        <f t="shared" si="48"/>
        <v>0</v>
      </c>
      <c r="AC125" s="4">
        <f t="shared" si="49"/>
        <v>0</v>
      </c>
      <c r="AD125" s="4">
        <f t="shared" si="50"/>
        <v>0</v>
      </c>
      <c r="AE125" s="4">
        <f t="shared" si="51"/>
        <v>0</v>
      </c>
      <c r="AF125" s="4">
        <f t="shared" si="52"/>
        <v>0</v>
      </c>
      <c r="AG125" s="4">
        <f t="shared" si="53"/>
        <v>8.6995147482101913</v>
      </c>
      <c r="AH125" s="4">
        <f t="shared" si="54"/>
        <v>0</v>
      </c>
      <c r="AI125" s="4">
        <f t="shared" si="55"/>
        <v>0</v>
      </c>
      <c r="AJ125" s="4">
        <f t="shared" si="56"/>
        <v>8.6995147482101913</v>
      </c>
      <c r="AK125" s="4">
        <f t="shared" si="57"/>
        <v>6.5652649700353614</v>
      </c>
      <c r="AL125" s="4">
        <f t="shared" si="58"/>
        <v>0</v>
      </c>
      <c r="AM125" s="4">
        <f>CER!$C$7+CER!$C$8*J125+CER!$C$9*K125+CER!$C$10*L125+CER!$C$11*M125</f>
        <v>2.8972262059613776</v>
      </c>
      <c r="AN125" s="4">
        <f t="shared" si="59"/>
        <v>18.123803884093221</v>
      </c>
      <c r="AO125" s="4">
        <f t="shared" si="60"/>
        <v>-5.8779520930132279E-2</v>
      </c>
      <c r="AP125" s="4">
        <f>Alternatives!$F$25+Alternatives!$F$26*J125+Alternatives!$F$27*K125+Alternatives!$F$28*G125+Alternatives!$F$29*O125</f>
        <v>3.2209975705123464</v>
      </c>
      <c r="AQ125" s="4">
        <f t="shared" si="61"/>
        <v>-0.38255088548110106</v>
      </c>
    </row>
    <row r="126" spans="1:43" x14ac:dyDescent="0.35">
      <c r="A126" s="2" t="s">
        <v>182</v>
      </c>
      <c r="B126" s="2" t="s">
        <v>174</v>
      </c>
      <c r="C126" s="2" t="s">
        <v>67</v>
      </c>
      <c r="D126" s="2">
        <v>19.278700000000001</v>
      </c>
      <c r="E126" s="2">
        <v>6000</v>
      </c>
      <c r="F126" s="2">
        <v>475</v>
      </c>
      <c r="G126" s="2">
        <v>53.5</v>
      </c>
      <c r="H126" s="2" t="s">
        <v>68</v>
      </c>
      <c r="I126" s="4">
        <f t="shared" si="31"/>
        <v>2.9590008595231789</v>
      </c>
      <c r="J126" s="4">
        <f t="shared" si="32"/>
        <v>8.6995147482101913</v>
      </c>
      <c r="K126" s="4">
        <f t="shared" si="33"/>
        <v>6.1633148040346413</v>
      </c>
      <c r="L126" s="2">
        <v>0</v>
      </c>
      <c r="M126" s="2">
        <v>0</v>
      </c>
      <c r="N126" s="4">
        <f t="shared" si="34"/>
        <v>53.5</v>
      </c>
      <c r="O126" s="4">
        <f t="shared" si="35"/>
        <v>0</v>
      </c>
      <c r="P126" s="4">
        <f t="shared" si="36"/>
        <v>0</v>
      </c>
      <c r="Q126" s="4">
        <f t="shared" si="37"/>
        <v>8.6995147482101913</v>
      </c>
      <c r="R126" s="4">
        <f t="shared" si="38"/>
        <v>6.1633148040346413</v>
      </c>
      <c r="S126" s="4">
        <f t="shared" si="39"/>
        <v>53.5</v>
      </c>
      <c r="T126" s="4">
        <f t="shared" si="40"/>
        <v>0</v>
      </c>
      <c r="U126" s="4">
        <f t="shared" si="41"/>
        <v>8.6995147482101913</v>
      </c>
      <c r="V126" s="4">
        <f t="shared" si="42"/>
        <v>6.1633148040346413</v>
      </c>
      <c r="W126" s="4">
        <f t="shared" si="43"/>
        <v>53.5</v>
      </c>
      <c r="X126" s="4">
        <f t="shared" si="44"/>
        <v>0</v>
      </c>
      <c r="Y126" s="4">
        <f t="shared" si="45"/>
        <v>8.6995147482101913</v>
      </c>
      <c r="Z126" s="4">
        <f t="shared" si="46"/>
        <v>6.1633148040346413</v>
      </c>
      <c r="AA126" s="4">
        <f t="shared" si="47"/>
        <v>53.5</v>
      </c>
      <c r="AB126" s="4">
        <f t="shared" si="48"/>
        <v>0</v>
      </c>
      <c r="AC126" s="4">
        <f t="shared" si="49"/>
        <v>0</v>
      </c>
      <c r="AD126" s="4">
        <f t="shared" si="50"/>
        <v>0</v>
      </c>
      <c r="AE126" s="4">
        <f t="shared" si="51"/>
        <v>0</v>
      </c>
      <c r="AF126" s="4">
        <f t="shared" si="52"/>
        <v>0</v>
      </c>
      <c r="AG126" s="4">
        <f t="shared" si="53"/>
        <v>8.6995147482101913</v>
      </c>
      <c r="AH126" s="4">
        <f t="shared" si="54"/>
        <v>0</v>
      </c>
      <c r="AI126" s="4">
        <f t="shared" si="55"/>
        <v>0</v>
      </c>
      <c r="AJ126" s="4">
        <f t="shared" si="56"/>
        <v>8.6995147482101913</v>
      </c>
      <c r="AK126" s="4">
        <f t="shared" si="57"/>
        <v>6.1633148040346413</v>
      </c>
      <c r="AL126" s="4">
        <f t="shared" si="58"/>
        <v>0</v>
      </c>
      <c r="AM126" s="4">
        <f>CER!$C$7+CER!$C$8*J126+CER!$C$9*K126+CER!$C$10*L126+CER!$C$11*M126</f>
        <v>3.0455231929952991</v>
      </c>
      <c r="AN126" s="4">
        <f t="shared" si="59"/>
        <v>21.021026380084912</v>
      </c>
      <c r="AO126" s="4">
        <f t="shared" si="60"/>
        <v>-8.6522333472120128E-2</v>
      </c>
      <c r="AP126" s="4">
        <f>Alternatives!$F$25+Alternatives!$F$26*J126+Alternatives!$F$27*K126+Alternatives!$F$28*G126+Alternatives!$F$29*O126</f>
        <v>3.3279605162881136</v>
      </c>
      <c r="AQ126" s="4">
        <f t="shared" si="61"/>
        <v>-0.3689596567649347</v>
      </c>
    </row>
    <row r="127" spans="1:43" x14ac:dyDescent="0.35">
      <c r="A127" s="2" t="s">
        <v>183</v>
      </c>
      <c r="B127" s="2" t="s">
        <v>174</v>
      </c>
      <c r="C127" s="2" t="s">
        <v>67</v>
      </c>
      <c r="D127" s="2">
        <v>22.193100000000001</v>
      </c>
      <c r="E127" s="2">
        <v>5000</v>
      </c>
      <c r="F127" s="2">
        <v>285</v>
      </c>
      <c r="G127" s="2">
        <v>53</v>
      </c>
      <c r="H127" s="2" t="s">
        <v>68</v>
      </c>
      <c r="I127" s="4">
        <f t="shared" si="31"/>
        <v>3.099781429755732</v>
      </c>
      <c r="J127" s="4">
        <f t="shared" si="32"/>
        <v>8.5171931914162382</v>
      </c>
      <c r="K127" s="4">
        <f t="shared" si="33"/>
        <v>5.6524891802686508</v>
      </c>
      <c r="L127" s="2">
        <v>0</v>
      </c>
      <c r="M127" s="2">
        <v>0</v>
      </c>
      <c r="N127" s="4">
        <f t="shared" si="34"/>
        <v>53</v>
      </c>
      <c r="O127" s="4">
        <f t="shared" si="35"/>
        <v>0</v>
      </c>
      <c r="P127" s="4">
        <f t="shared" si="36"/>
        <v>0</v>
      </c>
      <c r="Q127" s="4">
        <f t="shared" si="37"/>
        <v>8.5171931914162382</v>
      </c>
      <c r="R127" s="4">
        <f t="shared" si="38"/>
        <v>5.6524891802686508</v>
      </c>
      <c r="S127" s="4">
        <f t="shared" si="39"/>
        <v>53</v>
      </c>
      <c r="T127" s="4">
        <f t="shared" si="40"/>
        <v>0</v>
      </c>
      <c r="U127" s="4">
        <f t="shared" si="41"/>
        <v>8.5171931914162382</v>
      </c>
      <c r="V127" s="4">
        <f t="shared" si="42"/>
        <v>5.6524891802686508</v>
      </c>
      <c r="W127" s="4">
        <f t="shared" si="43"/>
        <v>53</v>
      </c>
      <c r="X127" s="4">
        <f t="shared" si="44"/>
        <v>0</v>
      </c>
      <c r="Y127" s="4">
        <f t="shared" si="45"/>
        <v>8.5171931914162382</v>
      </c>
      <c r="Z127" s="4">
        <f t="shared" si="46"/>
        <v>5.6524891802686508</v>
      </c>
      <c r="AA127" s="4">
        <f t="shared" si="47"/>
        <v>53</v>
      </c>
      <c r="AB127" s="4">
        <f t="shared" si="48"/>
        <v>0</v>
      </c>
      <c r="AC127" s="4">
        <f t="shared" si="49"/>
        <v>0</v>
      </c>
      <c r="AD127" s="4">
        <f t="shared" si="50"/>
        <v>0</v>
      </c>
      <c r="AE127" s="4">
        <f t="shared" si="51"/>
        <v>0</v>
      </c>
      <c r="AF127" s="4">
        <f t="shared" si="52"/>
        <v>0</v>
      </c>
      <c r="AG127" s="4">
        <f t="shared" si="53"/>
        <v>8.5171931914162382</v>
      </c>
      <c r="AH127" s="4">
        <f t="shared" si="54"/>
        <v>0</v>
      </c>
      <c r="AI127" s="4">
        <f t="shared" si="55"/>
        <v>0</v>
      </c>
      <c r="AJ127" s="4">
        <f t="shared" si="56"/>
        <v>8.5171931914162382</v>
      </c>
      <c r="AK127" s="4">
        <f t="shared" si="57"/>
        <v>5.6524891802686508</v>
      </c>
      <c r="AL127" s="4">
        <f t="shared" si="58"/>
        <v>0</v>
      </c>
      <c r="AM127" s="4">
        <f>CER!$C$7+CER!$C$8*J127+CER!$C$9*K127+CER!$C$10*L127+CER!$C$11*M127</f>
        <v>3.31652772723106</v>
      </c>
      <c r="AN127" s="4">
        <f t="shared" si="59"/>
        <v>27.564472829637207</v>
      </c>
      <c r="AO127" s="4">
        <f t="shared" si="60"/>
        <v>-0.21674629747532803</v>
      </c>
      <c r="AP127" s="4">
        <f>Alternatives!$F$25+Alternatives!$F$26*J127+Alternatives!$F$27*K127+Alternatives!$F$28*G127+Alternatives!$F$29*O127</f>
        <v>3.4029253122333314</v>
      </c>
      <c r="AQ127" s="4">
        <f t="shared" si="61"/>
        <v>-0.30314388247759938</v>
      </c>
    </row>
    <row r="128" spans="1:43" x14ac:dyDescent="0.35">
      <c r="A128" s="2" t="s">
        <v>184</v>
      </c>
      <c r="B128" s="2" t="s">
        <v>174</v>
      </c>
      <c r="C128" s="2" t="s">
        <v>67</v>
      </c>
      <c r="D128" s="2">
        <v>22.971599999999999</v>
      </c>
      <c r="E128" s="2">
        <v>4500</v>
      </c>
      <c r="F128" s="2">
        <v>285</v>
      </c>
      <c r="G128" s="2">
        <v>43.3</v>
      </c>
      <c r="H128" s="2" t="s">
        <v>68</v>
      </c>
      <c r="I128" s="4">
        <f t="shared" si="31"/>
        <v>3.1342586703482742</v>
      </c>
      <c r="J128" s="4">
        <f t="shared" si="32"/>
        <v>8.4118326757584114</v>
      </c>
      <c r="K128" s="4">
        <f t="shared" si="33"/>
        <v>5.6524891802686508</v>
      </c>
      <c r="L128" s="2">
        <v>0</v>
      </c>
      <c r="M128" s="2">
        <v>0</v>
      </c>
      <c r="N128" s="4">
        <f t="shared" si="34"/>
        <v>43.3</v>
      </c>
      <c r="O128" s="4">
        <f t="shared" si="35"/>
        <v>0</v>
      </c>
      <c r="P128" s="4">
        <f t="shared" si="36"/>
        <v>0</v>
      </c>
      <c r="Q128" s="4">
        <f t="shared" si="37"/>
        <v>8.4118326757584114</v>
      </c>
      <c r="R128" s="4">
        <f t="shared" si="38"/>
        <v>5.6524891802686508</v>
      </c>
      <c r="S128" s="4">
        <f t="shared" si="39"/>
        <v>43.3</v>
      </c>
      <c r="T128" s="4">
        <f t="shared" si="40"/>
        <v>0</v>
      </c>
      <c r="U128" s="4">
        <f t="shared" si="41"/>
        <v>8.4118326757584114</v>
      </c>
      <c r="V128" s="4">
        <f t="shared" si="42"/>
        <v>5.6524891802686508</v>
      </c>
      <c r="W128" s="4">
        <f t="shared" si="43"/>
        <v>43.3</v>
      </c>
      <c r="X128" s="4">
        <f t="shared" si="44"/>
        <v>0</v>
      </c>
      <c r="Y128" s="4">
        <f t="shared" si="45"/>
        <v>8.4118326757584114</v>
      </c>
      <c r="Z128" s="4">
        <f t="shared" si="46"/>
        <v>5.6524891802686508</v>
      </c>
      <c r="AA128" s="4">
        <f t="shared" si="47"/>
        <v>43.3</v>
      </c>
      <c r="AB128" s="4">
        <f t="shared" si="48"/>
        <v>0</v>
      </c>
      <c r="AC128" s="4">
        <f t="shared" si="49"/>
        <v>0</v>
      </c>
      <c r="AD128" s="4">
        <f t="shared" si="50"/>
        <v>0</v>
      </c>
      <c r="AE128" s="4">
        <f t="shared" si="51"/>
        <v>0</v>
      </c>
      <c r="AF128" s="4">
        <f t="shared" si="52"/>
        <v>0</v>
      </c>
      <c r="AG128" s="4">
        <f t="shared" si="53"/>
        <v>8.4118326757584114</v>
      </c>
      <c r="AH128" s="4">
        <f t="shared" si="54"/>
        <v>0</v>
      </c>
      <c r="AI128" s="4">
        <f t="shared" si="55"/>
        <v>0</v>
      </c>
      <c r="AJ128" s="4">
        <f t="shared" si="56"/>
        <v>8.4118326757584114</v>
      </c>
      <c r="AK128" s="4">
        <f t="shared" si="57"/>
        <v>5.6524891802686508</v>
      </c>
      <c r="AL128" s="4">
        <f t="shared" si="58"/>
        <v>0</v>
      </c>
      <c r="AM128" s="4">
        <f>CER!$C$7+CER!$C$8*J128+CER!$C$9*K128+CER!$C$10*L128+CER!$C$11*M128</f>
        <v>3.3642253935177848</v>
      </c>
      <c r="AN128" s="4">
        <f t="shared" si="59"/>
        <v>28.911093902517447</v>
      </c>
      <c r="AO128" s="4">
        <f t="shared" si="60"/>
        <v>-0.22996672316951061</v>
      </c>
      <c r="AP128" s="4">
        <f>Alternatives!$F$25+Alternatives!$F$26*J128+Alternatives!$F$27*K128+Alternatives!$F$28*G128+Alternatives!$F$29*O128</f>
        <v>3.4901038138032145</v>
      </c>
      <c r="AQ128" s="4">
        <f t="shared" si="61"/>
        <v>-0.35584514345494034</v>
      </c>
    </row>
    <row r="129" spans="1:43" x14ac:dyDescent="0.35">
      <c r="A129" s="2" t="s">
        <v>185</v>
      </c>
      <c r="B129" s="2" t="s">
        <v>174</v>
      </c>
      <c r="C129" s="2" t="s">
        <v>67</v>
      </c>
      <c r="D129" s="2">
        <v>36.0154</v>
      </c>
      <c r="E129" s="2">
        <v>4000</v>
      </c>
      <c r="F129" s="2">
        <v>270</v>
      </c>
      <c r="G129" s="2">
        <v>43.6</v>
      </c>
      <c r="H129" s="2" t="s">
        <v>68</v>
      </c>
      <c r="I129" s="4">
        <f t="shared" si="31"/>
        <v>3.5839466247630596</v>
      </c>
      <c r="J129" s="4">
        <f t="shared" si="32"/>
        <v>8.2940496401020276</v>
      </c>
      <c r="K129" s="4">
        <f t="shared" si="33"/>
        <v>5.598421958998375</v>
      </c>
      <c r="L129" s="2">
        <v>0</v>
      </c>
      <c r="M129" s="2">
        <v>0</v>
      </c>
      <c r="N129" s="4">
        <f t="shared" si="34"/>
        <v>43.6</v>
      </c>
      <c r="O129" s="4">
        <f t="shared" si="35"/>
        <v>0</v>
      </c>
      <c r="P129" s="4">
        <f t="shared" si="36"/>
        <v>0</v>
      </c>
      <c r="Q129" s="4">
        <f t="shared" si="37"/>
        <v>8.2940496401020276</v>
      </c>
      <c r="R129" s="4">
        <f t="shared" si="38"/>
        <v>5.598421958998375</v>
      </c>
      <c r="S129" s="4">
        <f t="shared" si="39"/>
        <v>43.6</v>
      </c>
      <c r="T129" s="4">
        <f t="shared" si="40"/>
        <v>0</v>
      </c>
      <c r="U129" s="4">
        <f t="shared" si="41"/>
        <v>8.2940496401020276</v>
      </c>
      <c r="V129" s="4">
        <f t="shared" si="42"/>
        <v>5.598421958998375</v>
      </c>
      <c r="W129" s="4">
        <f t="shared" si="43"/>
        <v>43.6</v>
      </c>
      <c r="X129" s="4">
        <f t="shared" si="44"/>
        <v>0</v>
      </c>
      <c r="Y129" s="4">
        <f t="shared" si="45"/>
        <v>8.2940496401020276</v>
      </c>
      <c r="Z129" s="4">
        <f t="shared" si="46"/>
        <v>5.598421958998375</v>
      </c>
      <c r="AA129" s="4">
        <f t="shared" si="47"/>
        <v>43.6</v>
      </c>
      <c r="AB129" s="4">
        <f t="shared" si="48"/>
        <v>0</v>
      </c>
      <c r="AC129" s="4">
        <f t="shared" si="49"/>
        <v>0</v>
      </c>
      <c r="AD129" s="4">
        <f t="shared" si="50"/>
        <v>0</v>
      </c>
      <c r="AE129" s="4">
        <f t="shared" si="51"/>
        <v>0</v>
      </c>
      <c r="AF129" s="4">
        <f t="shared" si="52"/>
        <v>0</v>
      </c>
      <c r="AG129" s="4">
        <f t="shared" si="53"/>
        <v>8.2940496401020276</v>
      </c>
      <c r="AH129" s="4">
        <f t="shared" si="54"/>
        <v>0</v>
      </c>
      <c r="AI129" s="4">
        <f t="shared" si="55"/>
        <v>0</v>
      </c>
      <c r="AJ129" s="4">
        <f t="shared" si="56"/>
        <v>8.2940496401020276</v>
      </c>
      <c r="AK129" s="4">
        <f t="shared" si="57"/>
        <v>5.598421958998375</v>
      </c>
      <c r="AL129" s="4">
        <f t="shared" si="58"/>
        <v>0</v>
      </c>
      <c r="AM129" s="4">
        <f>CER!$C$7+CER!$C$8*J129+CER!$C$9*K129+CER!$C$10*L129+CER!$C$11*M129</f>
        <v>3.4374946093105305</v>
      </c>
      <c r="AN129" s="4">
        <f t="shared" si="59"/>
        <v>31.108920451985767</v>
      </c>
      <c r="AO129" s="4">
        <f t="shared" si="60"/>
        <v>0.14645201545252906</v>
      </c>
      <c r="AP129" s="4">
        <f>Alternatives!$F$25+Alternatives!$F$26*J129+Alternatives!$F$27*K129+Alternatives!$F$28*G129+Alternatives!$F$29*O129</f>
        <v>3.4569995960039557</v>
      </c>
      <c r="AQ129" s="4">
        <f t="shared" si="61"/>
        <v>0.12694702875910391</v>
      </c>
    </row>
    <row r="130" spans="1:43" x14ac:dyDescent="0.35">
      <c r="A130" s="2" t="s">
        <v>186</v>
      </c>
      <c r="B130" s="2" t="s">
        <v>174</v>
      </c>
      <c r="C130" s="2" t="s">
        <v>67</v>
      </c>
      <c r="D130" s="2">
        <v>29.395199999999999</v>
      </c>
      <c r="E130" s="2">
        <v>4500</v>
      </c>
      <c r="F130" s="2">
        <v>270</v>
      </c>
      <c r="G130" s="2">
        <v>43.3</v>
      </c>
      <c r="H130" s="2" t="s">
        <v>68</v>
      </c>
      <c r="I130" s="4">
        <f t="shared" ref="I130:I193" si="62">LN(D130)</f>
        <v>3.3808313957092824</v>
      </c>
      <c r="J130" s="4">
        <f t="shared" ref="J130:J193" si="63">LN(E130)</f>
        <v>8.4118326757584114</v>
      </c>
      <c r="K130" s="4">
        <f t="shared" ref="K130:K193" si="64">LN(F130)</f>
        <v>5.598421958998375</v>
      </c>
      <c r="L130" s="2">
        <v>0</v>
      </c>
      <c r="M130" s="2">
        <v>0</v>
      </c>
      <c r="N130" s="4">
        <f t="shared" ref="N130:N193" si="65">G130</f>
        <v>43.3</v>
      </c>
      <c r="O130" s="4">
        <f t="shared" ref="O130:O193" si="66">L130+M130</f>
        <v>0</v>
      </c>
      <c r="P130" s="4">
        <f t="shared" ref="P130:P193" si="67">L130+2*M130</f>
        <v>0</v>
      </c>
      <c r="Q130" s="4">
        <f t="shared" ref="Q130:Q193" si="68">J130</f>
        <v>8.4118326757584114</v>
      </c>
      <c r="R130" s="4">
        <f t="shared" ref="R130:R193" si="69">K130</f>
        <v>5.598421958998375</v>
      </c>
      <c r="S130" s="4">
        <f t="shared" ref="S130:S193" si="70">G130</f>
        <v>43.3</v>
      </c>
      <c r="T130" s="4">
        <f t="shared" ref="T130:T193" si="71">O130</f>
        <v>0</v>
      </c>
      <c r="U130" s="4">
        <f t="shared" ref="U130:U193" si="72">J130</f>
        <v>8.4118326757584114</v>
      </c>
      <c r="V130" s="4">
        <f t="shared" ref="V130:V193" si="73">K130</f>
        <v>5.598421958998375</v>
      </c>
      <c r="W130" s="4">
        <f t="shared" ref="W130:W193" si="74">G130</f>
        <v>43.3</v>
      </c>
      <c r="X130" s="4">
        <f t="shared" ref="X130:X193" si="75">P130</f>
        <v>0</v>
      </c>
      <c r="Y130" s="4">
        <f t="shared" ref="Y130:Y193" si="76">J130</f>
        <v>8.4118326757584114</v>
      </c>
      <c r="Z130" s="4">
        <f t="shared" ref="Z130:Z193" si="77">K130</f>
        <v>5.598421958998375</v>
      </c>
      <c r="AA130" s="4">
        <f t="shared" ref="AA130:AA193" si="78">G130</f>
        <v>43.3</v>
      </c>
      <c r="AB130" s="4">
        <f t="shared" ref="AB130:AB193" si="79">L130</f>
        <v>0</v>
      </c>
      <c r="AC130" s="4">
        <f t="shared" ref="AC130:AC193" si="80">M130</f>
        <v>0</v>
      </c>
      <c r="AD130" s="4">
        <f t="shared" ref="AD130:AD193" si="81">M130*J130</f>
        <v>0</v>
      </c>
      <c r="AE130" s="4">
        <f t="shared" ref="AE130:AE193" si="82">M130*K130</f>
        <v>0</v>
      </c>
      <c r="AF130" s="4">
        <f t="shared" ref="AF130:AF193" si="83">M130*G130</f>
        <v>0</v>
      </c>
      <c r="AG130" s="4">
        <f t="shared" ref="AG130:AG193" si="84">J130</f>
        <v>8.4118326757584114</v>
      </c>
      <c r="AH130" s="4">
        <f t="shared" ref="AH130:AH193" si="85">L130</f>
        <v>0</v>
      </c>
      <c r="AI130" s="4">
        <f t="shared" ref="AI130:AI193" si="86">M130</f>
        <v>0</v>
      </c>
      <c r="AJ130" s="4">
        <f t="shared" ref="AJ130:AJ193" si="87">J130</f>
        <v>8.4118326757584114</v>
      </c>
      <c r="AK130" s="4">
        <f t="shared" ref="AK130:AK193" si="88">K130</f>
        <v>5.598421958998375</v>
      </c>
      <c r="AL130" s="4">
        <f t="shared" ref="AL130:AL193" si="89">M130</f>
        <v>0</v>
      </c>
      <c r="AM130" s="4">
        <f>CER!$C$7+CER!$C$8*J130+CER!$C$9*K130+CER!$C$10*L130+CER!$C$11*M130</f>
        <v>3.3841731549317307</v>
      </c>
      <c r="AN130" s="4">
        <f t="shared" ref="AN130:AN193" si="90">EXP(AM130)</f>
        <v>29.49359599699234</v>
      </c>
      <c r="AO130" s="4">
        <f t="shared" ref="AO130:AO193" si="91">I130-AM130</f>
        <v>-3.3417592224482817E-3</v>
      </c>
      <c r="AP130" s="4">
        <f>Alternatives!$F$25+Alternatives!$F$26*J130+Alternatives!$F$27*K130+Alternatives!$F$28*G130+Alternatives!$F$29*O130</f>
        <v>3.504491640320416</v>
      </c>
      <c r="AQ130" s="4">
        <f t="shared" ref="AQ130:AQ193" si="92">I130-AP130</f>
        <v>-0.12366024461113367</v>
      </c>
    </row>
    <row r="131" spans="1:43" x14ac:dyDescent="0.35">
      <c r="A131" s="2" t="s">
        <v>186</v>
      </c>
      <c r="B131" s="2" t="s">
        <v>174</v>
      </c>
      <c r="C131" s="2" t="s">
        <v>67</v>
      </c>
      <c r="D131" s="2">
        <v>26.523700000000002</v>
      </c>
      <c r="E131" s="2">
        <v>4500</v>
      </c>
      <c r="F131" s="2">
        <v>285</v>
      </c>
      <c r="G131" s="2">
        <v>43.3</v>
      </c>
      <c r="H131" s="2" t="s">
        <v>68</v>
      </c>
      <c r="I131" s="4">
        <f t="shared" si="62"/>
        <v>3.2780386729314217</v>
      </c>
      <c r="J131" s="4">
        <f t="shared" si="63"/>
        <v>8.4118326757584114</v>
      </c>
      <c r="K131" s="4">
        <f t="shared" si="64"/>
        <v>5.6524891802686508</v>
      </c>
      <c r="L131" s="2">
        <v>0</v>
      </c>
      <c r="M131" s="2">
        <v>0</v>
      </c>
      <c r="N131" s="4">
        <f t="shared" si="65"/>
        <v>43.3</v>
      </c>
      <c r="O131" s="4">
        <f t="shared" si="66"/>
        <v>0</v>
      </c>
      <c r="P131" s="4">
        <f t="shared" si="67"/>
        <v>0</v>
      </c>
      <c r="Q131" s="4">
        <f t="shared" si="68"/>
        <v>8.4118326757584114</v>
      </c>
      <c r="R131" s="4">
        <f t="shared" si="69"/>
        <v>5.6524891802686508</v>
      </c>
      <c r="S131" s="4">
        <f t="shared" si="70"/>
        <v>43.3</v>
      </c>
      <c r="T131" s="4">
        <f t="shared" si="71"/>
        <v>0</v>
      </c>
      <c r="U131" s="4">
        <f t="shared" si="72"/>
        <v>8.4118326757584114</v>
      </c>
      <c r="V131" s="4">
        <f t="shared" si="73"/>
        <v>5.6524891802686508</v>
      </c>
      <c r="W131" s="4">
        <f t="shared" si="74"/>
        <v>43.3</v>
      </c>
      <c r="X131" s="4">
        <f t="shared" si="75"/>
        <v>0</v>
      </c>
      <c r="Y131" s="4">
        <f t="shared" si="76"/>
        <v>8.4118326757584114</v>
      </c>
      <c r="Z131" s="4">
        <f t="shared" si="77"/>
        <v>5.6524891802686508</v>
      </c>
      <c r="AA131" s="4">
        <f t="shared" si="78"/>
        <v>43.3</v>
      </c>
      <c r="AB131" s="4">
        <f t="shared" si="79"/>
        <v>0</v>
      </c>
      <c r="AC131" s="4">
        <f t="shared" si="80"/>
        <v>0</v>
      </c>
      <c r="AD131" s="4">
        <f t="shared" si="81"/>
        <v>0</v>
      </c>
      <c r="AE131" s="4">
        <f t="shared" si="82"/>
        <v>0</v>
      </c>
      <c r="AF131" s="4">
        <f t="shared" si="83"/>
        <v>0</v>
      </c>
      <c r="AG131" s="4">
        <f t="shared" si="84"/>
        <v>8.4118326757584114</v>
      </c>
      <c r="AH131" s="4">
        <f t="shared" si="85"/>
        <v>0</v>
      </c>
      <c r="AI131" s="4">
        <f t="shared" si="86"/>
        <v>0</v>
      </c>
      <c r="AJ131" s="4">
        <f t="shared" si="87"/>
        <v>8.4118326757584114</v>
      </c>
      <c r="AK131" s="4">
        <f t="shared" si="88"/>
        <v>5.6524891802686508</v>
      </c>
      <c r="AL131" s="4">
        <f t="shared" si="89"/>
        <v>0</v>
      </c>
      <c r="AM131" s="4">
        <f>CER!$C$7+CER!$C$8*J131+CER!$C$9*K131+CER!$C$10*L131+CER!$C$11*M131</f>
        <v>3.3642253935177848</v>
      </c>
      <c r="AN131" s="4">
        <f t="shared" si="90"/>
        <v>28.911093902517447</v>
      </c>
      <c r="AO131" s="4">
        <f t="shared" si="91"/>
        <v>-8.6186720586363119E-2</v>
      </c>
      <c r="AP131" s="4">
        <f>Alternatives!$F$25+Alternatives!$F$26*J131+Alternatives!$F$27*K131+Alternatives!$F$28*G131+Alternatives!$F$29*O131</f>
        <v>3.4901038138032145</v>
      </c>
      <c r="AQ131" s="4">
        <f t="shared" si="92"/>
        <v>-0.21206514087179285</v>
      </c>
    </row>
    <row r="132" spans="1:43" x14ac:dyDescent="0.35">
      <c r="A132" s="2" t="s">
        <v>186</v>
      </c>
      <c r="B132" s="2" t="s">
        <v>174</v>
      </c>
      <c r="C132" s="2" t="s">
        <v>67</v>
      </c>
      <c r="D132" s="2">
        <v>24.9741</v>
      </c>
      <c r="E132" s="2">
        <v>4500</v>
      </c>
      <c r="F132" s="2">
        <v>285</v>
      </c>
      <c r="G132" s="2">
        <v>43.3</v>
      </c>
      <c r="H132" s="2" t="s">
        <v>68</v>
      </c>
      <c r="I132" s="4">
        <f t="shared" si="62"/>
        <v>3.2178392878492676</v>
      </c>
      <c r="J132" s="4">
        <f t="shared" si="63"/>
        <v>8.4118326757584114</v>
      </c>
      <c r="K132" s="4">
        <f t="shared" si="64"/>
        <v>5.6524891802686508</v>
      </c>
      <c r="L132" s="2">
        <v>0</v>
      </c>
      <c r="M132" s="2">
        <v>0</v>
      </c>
      <c r="N132" s="4">
        <f t="shared" si="65"/>
        <v>43.3</v>
      </c>
      <c r="O132" s="4">
        <f t="shared" si="66"/>
        <v>0</v>
      </c>
      <c r="P132" s="4">
        <f t="shared" si="67"/>
        <v>0</v>
      </c>
      <c r="Q132" s="4">
        <f t="shared" si="68"/>
        <v>8.4118326757584114</v>
      </c>
      <c r="R132" s="4">
        <f t="shared" si="69"/>
        <v>5.6524891802686508</v>
      </c>
      <c r="S132" s="4">
        <f t="shared" si="70"/>
        <v>43.3</v>
      </c>
      <c r="T132" s="4">
        <f t="shared" si="71"/>
        <v>0</v>
      </c>
      <c r="U132" s="4">
        <f t="shared" si="72"/>
        <v>8.4118326757584114</v>
      </c>
      <c r="V132" s="4">
        <f t="shared" si="73"/>
        <v>5.6524891802686508</v>
      </c>
      <c r="W132" s="4">
        <f t="shared" si="74"/>
        <v>43.3</v>
      </c>
      <c r="X132" s="4">
        <f t="shared" si="75"/>
        <v>0</v>
      </c>
      <c r="Y132" s="4">
        <f t="shared" si="76"/>
        <v>8.4118326757584114</v>
      </c>
      <c r="Z132" s="4">
        <f t="shared" si="77"/>
        <v>5.6524891802686508</v>
      </c>
      <c r="AA132" s="4">
        <f t="shared" si="78"/>
        <v>43.3</v>
      </c>
      <c r="AB132" s="4">
        <f t="shared" si="79"/>
        <v>0</v>
      </c>
      <c r="AC132" s="4">
        <f t="shared" si="80"/>
        <v>0</v>
      </c>
      <c r="AD132" s="4">
        <f t="shared" si="81"/>
        <v>0</v>
      </c>
      <c r="AE132" s="4">
        <f t="shared" si="82"/>
        <v>0</v>
      </c>
      <c r="AF132" s="4">
        <f t="shared" si="83"/>
        <v>0</v>
      </c>
      <c r="AG132" s="4">
        <f t="shared" si="84"/>
        <v>8.4118326757584114</v>
      </c>
      <c r="AH132" s="4">
        <f t="shared" si="85"/>
        <v>0</v>
      </c>
      <c r="AI132" s="4">
        <f t="shared" si="86"/>
        <v>0</v>
      </c>
      <c r="AJ132" s="4">
        <f t="shared" si="87"/>
        <v>8.4118326757584114</v>
      </c>
      <c r="AK132" s="4">
        <f t="shared" si="88"/>
        <v>5.6524891802686508</v>
      </c>
      <c r="AL132" s="4">
        <f t="shared" si="89"/>
        <v>0</v>
      </c>
      <c r="AM132" s="4">
        <f>CER!$C$7+CER!$C$8*J132+CER!$C$9*K132+CER!$C$10*L132+CER!$C$11*M132</f>
        <v>3.3642253935177848</v>
      </c>
      <c r="AN132" s="4">
        <f t="shared" si="90"/>
        <v>28.911093902517447</v>
      </c>
      <c r="AO132" s="4">
        <f t="shared" si="91"/>
        <v>-0.14638610566851717</v>
      </c>
      <c r="AP132" s="4">
        <f>Alternatives!$F$25+Alternatives!$F$26*J132+Alternatives!$F$27*K132+Alternatives!$F$28*G132+Alternatives!$F$29*O132</f>
        <v>3.4901038138032145</v>
      </c>
      <c r="AQ132" s="4">
        <f t="shared" si="92"/>
        <v>-0.2722645259539469</v>
      </c>
    </row>
    <row r="133" spans="1:43" x14ac:dyDescent="0.35">
      <c r="A133" s="2" t="s">
        <v>187</v>
      </c>
      <c r="B133" s="2" t="s">
        <v>174</v>
      </c>
      <c r="C133" s="2" t="s">
        <v>67</v>
      </c>
      <c r="D133" s="2">
        <v>28.646000000000001</v>
      </c>
      <c r="E133" s="2">
        <v>4500</v>
      </c>
      <c r="F133" s="2">
        <v>270</v>
      </c>
      <c r="G133" s="2">
        <v>53</v>
      </c>
      <c r="H133" s="2" t="s">
        <v>68</v>
      </c>
      <c r="I133" s="4">
        <f t="shared" si="62"/>
        <v>3.3550138173576736</v>
      </c>
      <c r="J133" s="4">
        <f t="shared" si="63"/>
        <v>8.4118326757584114</v>
      </c>
      <c r="K133" s="4">
        <f t="shared" si="64"/>
        <v>5.598421958998375</v>
      </c>
      <c r="L133" s="2">
        <v>0</v>
      </c>
      <c r="M133" s="2">
        <v>0</v>
      </c>
      <c r="N133" s="4">
        <f t="shared" si="65"/>
        <v>53</v>
      </c>
      <c r="O133" s="4">
        <f t="shared" si="66"/>
        <v>0</v>
      </c>
      <c r="P133" s="4">
        <f t="shared" si="67"/>
        <v>0</v>
      </c>
      <c r="Q133" s="4">
        <f t="shared" si="68"/>
        <v>8.4118326757584114</v>
      </c>
      <c r="R133" s="4">
        <f t="shared" si="69"/>
        <v>5.598421958998375</v>
      </c>
      <c r="S133" s="4">
        <f t="shared" si="70"/>
        <v>53</v>
      </c>
      <c r="T133" s="4">
        <f t="shared" si="71"/>
        <v>0</v>
      </c>
      <c r="U133" s="4">
        <f t="shared" si="72"/>
        <v>8.4118326757584114</v>
      </c>
      <c r="V133" s="4">
        <f t="shared" si="73"/>
        <v>5.598421958998375</v>
      </c>
      <c r="W133" s="4">
        <f t="shared" si="74"/>
        <v>53</v>
      </c>
      <c r="X133" s="4">
        <f t="shared" si="75"/>
        <v>0</v>
      </c>
      <c r="Y133" s="4">
        <f t="shared" si="76"/>
        <v>8.4118326757584114</v>
      </c>
      <c r="Z133" s="4">
        <f t="shared" si="77"/>
        <v>5.598421958998375</v>
      </c>
      <c r="AA133" s="4">
        <f t="shared" si="78"/>
        <v>53</v>
      </c>
      <c r="AB133" s="4">
        <f t="shared" si="79"/>
        <v>0</v>
      </c>
      <c r="AC133" s="4">
        <f t="shared" si="80"/>
        <v>0</v>
      </c>
      <c r="AD133" s="4">
        <f t="shared" si="81"/>
        <v>0</v>
      </c>
      <c r="AE133" s="4">
        <f t="shared" si="82"/>
        <v>0</v>
      </c>
      <c r="AF133" s="4">
        <f t="shared" si="83"/>
        <v>0</v>
      </c>
      <c r="AG133" s="4">
        <f t="shared" si="84"/>
        <v>8.4118326757584114</v>
      </c>
      <c r="AH133" s="4">
        <f t="shared" si="85"/>
        <v>0</v>
      </c>
      <c r="AI133" s="4">
        <f t="shared" si="86"/>
        <v>0</v>
      </c>
      <c r="AJ133" s="4">
        <f t="shared" si="87"/>
        <v>8.4118326757584114</v>
      </c>
      <c r="AK133" s="4">
        <f t="shared" si="88"/>
        <v>5.598421958998375</v>
      </c>
      <c r="AL133" s="4">
        <f t="shared" si="89"/>
        <v>0</v>
      </c>
      <c r="AM133" s="4">
        <f>CER!$C$7+CER!$C$8*J133+CER!$C$9*K133+CER!$C$10*L133+CER!$C$11*M133</f>
        <v>3.3841731549317307</v>
      </c>
      <c r="AN133" s="4">
        <f t="shared" si="90"/>
        <v>29.49359599699234</v>
      </c>
      <c r="AO133" s="4">
        <f t="shared" si="91"/>
        <v>-2.9159337574057087E-2</v>
      </c>
      <c r="AP133" s="4">
        <f>Alternatives!$F$25+Alternatives!$F$26*J133+Alternatives!$F$27*K133+Alternatives!$F$28*G133+Alternatives!$F$29*O133</f>
        <v>3.3783206892608018</v>
      </c>
      <c r="AQ133" s="4">
        <f t="shared" si="92"/>
        <v>-2.330687190312819E-2</v>
      </c>
    </row>
    <row r="134" spans="1:43" x14ac:dyDescent="0.35">
      <c r="A134" s="2" t="s">
        <v>187</v>
      </c>
      <c r="B134" s="2" t="s">
        <v>174</v>
      </c>
      <c r="C134" s="2" t="s">
        <v>67</v>
      </c>
      <c r="D134" s="2">
        <v>25.667100000000001</v>
      </c>
      <c r="E134" s="2">
        <v>4500</v>
      </c>
      <c r="F134" s="2">
        <v>285</v>
      </c>
      <c r="G134" s="2">
        <v>53</v>
      </c>
      <c r="H134" s="2" t="s">
        <v>68</v>
      </c>
      <c r="I134" s="4">
        <f t="shared" si="62"/>
        <v>3.2452100161599393</v>
      </c>
      <c r="J134" s="4">
        <f t="shared" si="63"/>
        <v>8.4118326757584114</v>
      </c>
      <c r="K134" s="4">
        <f t="shared" si="64"/>
        <v>5.6524891802686508</v>
      </c>
      <c r="L134" s="2">
        <v>0</v>
      </c>
      <c r="M134" s="2">
        <v>0</v>
      </c>
      <c r="N134" s="4">
        <f t="shared" si="65"/>
        <v>53</v>
      </c>
      <c r="O134" s="4">
        <f t="shared" si="66"/>
        <v>0</v>
      </c>
      <c r="P134" s="4">
        <f t="shared" si="67"/>
        <v>0</v>
      </c>
      <c r="Q134" s="4">
        <f t="shared" si="68"/>
        <v>8.4118326757584114</v>
      </c>
      <c r="R134" s="4">
        <f t="shared" si="69"/>
        <v>5.6524891802686508</v>
      </c>
      <c r="S134" s="4">
        <f t="shared" si="70"/>
        <v>53</v>
      </c>
      <c r="T134" s="4">
        <f t="shared" si="71"/>
        <v>0</v>
      </c>
      <c r="U134" s="4">
        <f t="shared" si="72"/>
        <v>8.4118326757584114</v>
      </c>
      <c r="V134" s="4">
        <f t="shared" si="73"/>
        <v>5.6524891802686508</v>
      </c>
      <c r="W134" s="4">
        <f t="shared" si="74"/>
        <v>53</v>
      </c>
      <c r="X134" s="4">
        <f t="shared" si="75"/>
        <v>0</v>
      </c>
      <c r="Y134" s="4">
        <f t="shared" si="76"/>
        <v>8.4118326757584114</v>
      </c>
      <c r="Z134" s="4">
        <f t="shared" si="77"/>
        <v>5.6524891802686508</v>
      </c>
      <c r="AA134" s="4">
        <f t="shared" si="78"/>
        <v>53</v>
      </c>
      <c r="AB134" s="4">
        <f t="shared" si="79"/>
        <v>0</v>
      </c>
      <c r="AC134" s="4">
        <f t="shared" si="80"/>
        <v>0</v>
      </c>
      <c r="AD134" s="4">
        <f t="shared" si="81"/>
        <v>0</v>
      </c>
      <c r="AE134" s="4">
        <f t="shared" si="82"/>
        <v>0</v>
      </c>
      <c r="AF134" s="4">
        <f t="shared" si="83"/>
        <v>0</v>
      </c>
      <c r="AG134" s="4">
        <f t="shared" si="84"/>
        <v>8.4118326757584114</v>
      </c>
      <c r="AH134" s="4">
        <f t="shared" si="85"/>
        <v>0</v>
      </c>
      <c r="AI134" s="4">
        <f t="shared" si="86"/>
        <v>0</v>
      </c>
      <c r="AJ134" s="4">
        <f t="shared" si="87"/>
        <v>8.4118326757584114</v>
      </c>
      <c r="AK134" s="4">
        <f t="shared" si="88"/>
        <v>5.6524891802686508</v>
      </c>
      <c r="AL134" s="4">
        <f t="shared" si="89"/>
        <v>0</v>
      </c>
      <c r="AM134" s="4">
        <f>CER!$C$7+CER!$C$8*J134+CER!$C$9*K134+CER!$C$10*L134+CER!$C$11*M134</f>
        <v>3.3642253935177848</v>
      </c>
      <c r="AN134" s="4">
        <f t="shared" si="90"/>
        <v>28.911093902517447</v>
      </c>
      <c r="AO134" s="4">
        <f t="shared" si="91"/>
        <v>-0.11901537735784551</v>
      </c>
      <c r="AP134" s="4">
        <f>Alternatives!$F$25+Alternatives!$F$26*J134+Alternatives!$F$27*K134+Alternatives!$F$28*G134+Alternatives!$F$29*O134</f>
        <v>3.3639328627436003</v>
      </c>
      <c r="AQ134" s="4">
        <f t="shared" si="92"/>
        <v>-0.11872284658366095</v>
      </c>
    </row>
    <row r="135" spans="1:43" x14ac:dyDescent="0.35">
      <c r="A135" s="2" t="s">
        <v>187</v>
      </c>
      <c r="B135" s="2" t="s">
        <v>174</v>
      </c>
      <c r="C135" s="2" t="s">
        <v>67</v>
      </c>
      <c r="D135" s="2">
        <v>24.190899999999999</v>
      </c>
      <c r="E135" s="2">
        <v>4500</v>
      </c>
      <c r="F135" s="2">
        <v>285</v>
      </c>
      <c r="G135" s="2">
        <v>53</v>
      </c>
      <c r="H135" s="2" t="s">
        <v>68</v>
      </c>
      <c r="I135" s="4">
        <f t="shared" si="62"/>
        <v>3.1859765293866302</v>
      </c>
      <c r="J135" s="4">
        <f t="shared" si="63"/>
        <v>8.4118326757584114</v>
      </c>
      <c r="K135" s="4">
        <f t="shared" si="64"/>
        <v>5.6524891802686508</v>
      </c>
      <c r="L135" s="2">
        <v>0</v>
      </c>
      <c r="M135" s="2">
        <v>0</v>
      </c>
      <c r="N135" s="4">
        <f t="shared" si="65"/>
        <v>53</v>
      </c>
      <c r="O135" s="4">
        <f t="shared" si="66"/>
        <v>0</v>
      </c>
      <c r="P135" s="4">
        <f t="shared" si="67"/>
        <v>0</v>
      </c>
      <c r="Q135" s="4">
        <f t="shared" si="68"/>
        <v>8.4118326757584114</v>
      </c>
      <c r="R135" s="4">
        <f t="shared" si="69"/>
        <v>5.6524891802686508</v>
      </c>
      <c r="S135" s="4">
        <f t="shared" si="70"/>
        <v>53</v>
      </c>
      <c r="T135" s="4">
        <f t="shared" si="71"/>
        <v>0</v>
      </c>
      <c r="U135" s="4">
        <f t="shared" si="72"/>
        <v>8.4118326757584114</v>
      </c>
      <c r="V135" s="4">
        <f t="shared" si="73"/>
        <v>5.6524891802686508</v>
      </c>
      <c r="W135" s="4">
        <f t="shared" si="74"/>
        <v>53</v>
      </c>
      <c r="X135" s="4">
        <f t="shared" si="75"/>
        <v>0</v>
      </c>
      <c r="Y135" s="4">
        <f t="shared" si="76"/>
        <v>8.4118326757584114</v>
      </c>
      <c r="Z135" s="4">
        <f t="shared" si="77"/>
        <v>5.6524891802686508</v>
      </c>
      <c r="AA135" s="4">
        <f t="shared" si="78"/>
        <v>53</v>
      </c>
      <c r="AB135" s="4">
        <f t="shared" si="79"/>
        <v>0</v>
      </c>
      <c r="AC135" s="4">
        <f t="shared" si="80"/>
        <v>0</v>
      </c>
      <c r="AD135" s="4">
        <f t="shared" si="81"/>
        <v>0</v>
      </c>
      <c r="AE135" s="4">
        <f t="shared" si="82"/>
        <v>0</v>
      </c>
      <c r="AF135" s="4">
        <f t="shared" si="83"/>
        <v>0</v>
      </c>
      <c r="AG135" s="4">
        <f t="shared" si="84"/>
        <v>8.4118326757584114</v>
      </c>
      <c r="AH135" s="4">
        <f t="shared" si="85"/>
        <v>0</v>
      </c>
      <c r="AI135" s="4">
        <f t="shared" si="86"/>
        <v>0</v>
      </c>
      <c r="AJ135" s="4">
        <f t="shared" si="87"/>
        <v>8.4118326757584114</v>
      </c>
      <c r="AK135" s="4">
        <f t="shared" si="88"/>
        <v>5.6524891802686508</v>
      </c>
      <c r="AL135" s="4">
        <f t="shared" si="89"/>
        <v>0</v>
      </c>
      <c r="AM135" s="4">
        <f>CER!$C$7+CER!$C$8*J135+CER!$C$9*K135+CER!$C$10*L135+CER!$C$11*M135</f>
        <v>3.3642253935177848</v>
      </c>
      <c r="AN135" s="4">
        <f t="shared" si="90"/>
        <v>28.911093902517447</v>
      </c>
      <c r="AO135" s="4">
        <f t="shared" si="91"/>
        <v>-0.17824886413115459</v>
      </c>
      <c r="AP135" s="4">
        <f>Alternatives!$F$25+Alternatives!$F$26*J135+Alternatives!$F$27*K135+Alternatives!$F$28*G135+Alternatives!$F$29*O135</f>
        <v>3.3639328627436003</v>
      </c>
      <c r="AQ135" s="4">
        <f t="shared" si="92"/>
        <v>-0.17795633335697003</v>
      </c>
    </row>
    <row r="136" spans="1:43" x14ac:dyDescent="0.35">
      <c r="A136" s="2" t="s">
        <v>187</v>
      </c>
      <c r="B136" s="2" t="s">
        <v>174</v>
      </c>
      <c r="C136" s="2" t="s">
        <v>67</v>
      </c>
      <c r="D136" s="2">
        <v>17.862100000000002</v>
      </c>
      <c r="E136" s="2">
        <v>5500</v>
      </c>
      <c r="F136" s="2">
        <v>470</v>
      </c>
      <c r="G136" s="2">
        <v>53</v>
      </c>
      <c r="H136" s="2" t="s">
        <v>68</v>
      </c>
      <c r="I136" s="4">
        <f t="shared" si="62"/>
        <v>2.8826811497232372</v>
      </c>
      <c r="J136" s="4">
        <f t="shared" si="63"/>
        <v>8.6125033712205621</v>
      </c>
      <c r="K136" s="4">
        <f t="shared" si="64"/>
        <v>6.1527326947041043</v>
      </c>
      <c r="L136" s="2">
        <v>0</v>
      </c>
      <c r="M136" s="2">
        <v>0</v>
      </c>
      <c r="N136" s="4">
        <f t="shared" si="65"/>
        <v>53</v>
      </c>
      <c r="O136" s="4">
        <f t="shared" si="66"/>
        <v>0</v>
      </c>
      <c r="P136" s="4">
        <f t="shared" si="67"/>
        <v>0</v>
      </c>
      <c r="Q136" s="4">
        <f t="shared" si="68"/>
        <v>8.6125033712205621</v>
      </c>
      <c r="R136" s="4">
        <f t="shared" si="69"/>
        <v>6.1527326947041043</v>
      </c>
      <c r="S136" s="4">
        <f t="shared" si="70"/>
        <v>53</v>
      </c>
      <c r="T136" s="4">
        <f t="shared" si="71"/>
        <v>0</v>
      </c>
      <c r="U136" s="4">
        <f t="shared" si="72"/>
        <v>8.6125033712205621</v>
      </c>
      <c r="V136" s="4">
        <f t="shared" si="73"/>
        <v>6.1527326947041043</v>
      </c>
      <c r="W136" s="4">
        <f t="shared" si="74"/>
        <v>53</v>
      </c>
      <c r="X136" s="4">
        <f t="shared" si="75"/>
        <v>0</v>
      </c>
      <c r="Y136" s="4">
        <f t="shared" si="76"/>
        <v>8.6125033712205621</v>
      </c>
      <c r="Z136" s="4">
        <f t="shared" si="77"/>
        <v>6.1527326947041043</v>
      </c>
      <c r="AA136" s="4">
        <f t="shared" si="78"/>
        <v>53</v>
      </c>
      <c r="AB136" s="4">
        <f t="shared" si="79"/>
        <v>0</v>
      </c>
      <c r="AC136" s="4">
        <f t="shared" si="80"/>
        <v>0</v>
      </c>
      <c r="AD136" s="4">
        <f t="shared" si="81"/>
        <v>0</v>
      </c>
      <c r="AE136" s="4">
        <f t="shared" si="82"/>
        <v>0</v>
      </c>
      <c r="AF136" s="4">
        <f t="shared" si="83"/>
        <v>0</v>
      </c>
      <c r="AG136" s="4">
        <f t="shared" si="84"/>
        <v>8.6125033712205621</v>
      </c>
      <c r="AH136" s="4">
        <f t="shared" si="85"/>
        <v>0</v>
      </c>
      <c r="AI136" s="4">
        <f t="shared" si="86"/>
        <v>0</v>
      </c>
      <c r="AJ136" s="4">
        <f t="shared" si="87"/>
        <v>8.6125033712205621</v>
      </c>
      <c r="AK136" s="4">
        <f t="shared" si="88"/>
        <v>6.1527326947041043</v>
      </c>
      <c r="AL136" s="4">
        <f t="shared" si="89"/>
        <v>0</v>
      </c>
      <c r="AM136" s="4">
        <f>CER!$C$7+CER!$C$8*J136+CER!$C$9*K136+CER!$C$10*L136+CER!$C$11*M136</f>
        <v>3.0888182395866206</v>
      </c>
      <c r="AN136" s="4">
        <f t="shared" si="90"/>
        <v>21.951121675095006</v>
      </c>
      <c r="AO136" s="4">
        <f t="shared" si="91"/>
        <v>-0.20613708986338342</v>
      </c>
      <c r="AP136" s="4">
        <f>Alternatives!$F$25+Alternatives!$F$26*J136+Alternatives!$F$27*K136+Alternatives!$F$28*G136+Alternatives!$F$29*O136</f>
        <v>3.3050784877750683</v>
      </c>
      <c r="AQ136" s="4">
        <f t="shared" si="92"/>
        <v>-0.42239733805183111</v>
      </c>
    </row>
    <row r="137" spans="1:43" x14ac:dyDescent="0.35">
      <c r="A137" s="2" t="s">
        <v>188</v>
      </c>
      <c r="B137" s="2" t="s">
        <v>174</v>
      </c>
      <c r="C137" s="2" t="s">
        <v>33</v>
      </c>
      <c r="D137" s="2">
        <v>28.548400000000001</v>
      </c>
      <c r="E137" s="2">
        <v>5500</v>
      </c>
      <c r="F137" s="2">
        <v>270</v>
      </c>
      <c r="G137" s="2">
        <v>53</v>
      </c>
      <c r="H137" s="2" t="s">
        <v>68</v>
      </c>
      <c r="I137" s="4">
        <f t="shared" si="62"/>
        <v>3.3516008925000822</v>
      </c>
      <c r="J137" s="4">
        <f t="shared" si="63"/>
        <v>8.6125033712205621</v>
      </c>
      <c r="K137" s="4">
        <f t="shared" si="64"/>
        <v>5.598421958998375</v>
      </c>
      <c r="L137" s="2">
        <v>1</v>
      </c>
      <c r="M137" s="2">
        <v>0</v>
      </c>
      <c r="N137" s="4">
        <f t="shared" si="65"/>
        <v>53</v>
      </c>
      <c r="O137" s="4">
        <f t="shared" si="66"/>
        <v>1</v>
      </c>
      <c r="P137" s="4">
        <f t="shared" si="67"/>
        <v>1</v>
      </c>
      <c r="Q137" s="4">
        <f t="shared" si="68"/>
        <v>8.6125033712205621</v>
      </c>
      <c r="R137" s="4">
        <f t="shared" si="69"/>
        <v>5.598421958998375</v>
      </c>
      <c r="S137" s="4">
        <f t="shared" si="70"/>
        <v>53</v>
      </c>
      <c r="T137" s="4">
        <f t="shared" si="71"/>
        <v>1</v>
      </c>
      <c r="U137" s="4">
        <f t="shared" si="72"/>
        <v>8.6125033712205621</v>
      </c>
      <c r="V137" s="4">
        <f t="shared" si="73"/>
        <v>5.598421958998375</v>
      </c>
      <c r="W137" s="4">
        <f t="shared" si="74"/>
        <v>53</v>
      </c>
      <c r="X137" s="4">
        <f t="shared" si="75"/>
        <v>1</v>
      </c>
      <c r="Y137" s="4">
        <f t="shared" si="76"/>
        <v>8.6125033712205621</v>
      </c>
      <c r="Z137" s="4">
        <f t="shared" si="77"/>
        <v>5.598421958998375</v>
      </c>
      <c r="AA137" s="4">
        <f t="shared" si="78"/>
        <v>53</v>
      </c>
      <c r="AB137" s="4">
        <f t="shared" si="79"/>
        <v>1</v>
      </c>
      <c r="AC137" s="4">
        <f t="shared" si="80"/>
        <v>0</v>
      </c>
      <c r="AD137" s="4">
        <f t="shared" si="81"/>
        <v>0</v>
      </c>
      <c r="AE137" s="4">
        <f t="shared" si="82"/>
        <v>0</v>
      </c>
      <c r="AF137" s="4">
        <f t="shared" si="83"/>
        <v>0</v>
      </c>
      <c r="AG137" s="4">
        <f t="shared" si="84"/>
        <v>8.6125033712205621</v>
      </c>
      <c r="AH137" s="4">
        <f t="shared" si="85"/>
        <v>1</v>
      </c>
      <c r="AI137" s="4">
        <f t="shared" si="86"/>
        <v>0</v>
      </c>
      <c r="AJ137" s="4">
        <f t="shared" si="87"/>
        <v>8.6125033712205621</v>
      </c>
      <c r="AK137" s="4">
        <f t="shared" si="88"/>
        <v>5.598421958998375</v>
      </c>
      <c r="AL137" s="4">
        <f t="shared" si="89"/>
        <v>0</v>
      </c>
      <c r="AM137" s="4">
        <f>CER!$C$7+CER!$C$8*J137+CER!$C$9*K137+CER!$C$10*L137+CER!$C$11*M137</f>
        <v>3.5170812710236858</v>
      </c>
      <c r="AN137" s="4">
        <f t="shared" si="90"/>
        <v>33.685964638055566</v>
      </c>
      <c r="AO137" s="4">
        <f t="shared" si="91"/>
        <v>-0.16548037852360364</v>
      </c>
      <c r="AP137" s="4">
        <f>Alternatives!$F$25+Alternatives!$F$26*J137+Alternatives!$F$27*K137+Alternatives!$F$28*G137+Alternatives!$F$29*O137</f>
        <v>4.2973260287742416</v>
      </c>
      <c r="AQ137" s="4">
        <f t="shared" si="92"/>
        <v>-0.94572513627415944</v>
      </c>
    </row>
    <row r="138" spans="1:43" x14ac:dyDescent="0.35">
      <c r="A138" s="2" t="s">
        <v>189</v>
      </c>
      <c r="B138" s="2" t="s">
        <v>174</v>
      </c>
      <c r="C138" s="2" t="s">
        <v>67</v>
      </c>
      <c r="D138" s="2">
        <v>24.8217</v>
      </c>
      <c r="E138" s="2">
        <v>5000</v>
      </c>
      <c r="F138" s="2">
        <v>285</v>
      </c>
      <c r="G138" s="2">
        <v>61.4</v>
      </c>
      <c r="H138" s="2" t="s">
        <v>68</v>
      </c>
      <c r="I138" s="4">
        <f t="shared" si="62"/>
        <v>3.2117182705815974</v>
      </c>
      <c r="J138" s="4">
        <f t="shared" si="63"/>
        <v>8.5171931914162382</v>
      </c>
      <c r="K138" s="4">
        <f t="shared" si="64"/>
        <v>5.6524891802686508</v>
      </c>
      <c r="L138" s="2">
        <v>0</v>
      </c>
      <c r="M138" s="2">
        <v>0</v>
      </c>
      <c r="N138" s="4">
        <f t="shared" si="65"/>
        <v>61.4</v>
      </c>
      <c r="O138" s="4">
        <f t="shared" si="66"/>
        <v>0</v>
      </c>
      <c r="P138" s="4">
        <f t="shared" si="67"/>
        <v>0</v>
      </c>
      <c r="Q138" s="4">
        <f t="shared" si="68"/>
        <v>8.5171931914162382</v>
      </c>
      <c r="R138" s="4">
        <f t="shared" si="69"/>
        <v>5.6524891802686508</v>
      </c>
      <c r="S138" s="4">
        <f t="shared" si="70"/>
        <v>61.4</v>
      </c>
      <c r="T138" s="4">
        <f t="shared" si="71"/>
        <v>0</v>
      </c>
      <c r="U138" s="4">
        <f t="shared" si="72"/>
        <v>8.5171931914162382</v>
      </c>
      <c r="V138" s="4">
        <f t="shared" si="73"/>
        <v>5.6524891802686508</v>
      </c>
      <c r="W138" s="4">
        <f t="shared" si="74"/>
        <v>61.4</v>
      </c>
      <c r="X138" s="4">
        <f t="shared" si="75"/>
        <v>0</v>
      </c>
      <c r="Y138" s="4">
        <f t="shared" si="76"/>
        <v>8.5171931914162382</v>
      </c>
      <c r="Z138" s="4">
        <f t="shared" si="77"/>
        <v>5.6524891802686508</v>
      </c>
      <c r="AA138" s="4">
        <f t="shared" si="78"/>
        <v>61.4</v>
      </c>
      <c r="AB138" s="4">
        <f t="shared" si="79"/>
        <v>0</v>
      </c>
      <c r="AC138" s="4">
        <f t="shared" si="80"/>
        <v>0</v>
      </c>
      <c r="AD138" s="4">
        <f t="shared" si="81"/>
        <v>0</v>
      </c>
      <c r="AE138" s="4">
        <f t="shared" si="82"/>
        <v>0</v>
      </c>
      <c r="AF138" s="4">
        <f t="shared" si="83"/>
        <v>0</v>
      </c>
      <c r="AG138" s="4">
        <f t="shared" si="84"/>
        <v>8.5171931914162382</v>
      </c>
      <c r="AH138" s="4">
        <f t="shared" si="85"/>
        <v>0</v>
      </c>
      <c r="AI138" s="4">
        <f t="shared" si="86"/>
        <v>0</v>
      </c>
      <c r="AJ138" s="4">
        <f t="shared" si="87"/>
        <v>8.5171931914162382</v>
      </c>
      <c r="AK138" s="4">
        <f t="shared" si="88"/>
        <v>5.6524891802686508</v>
      </c>
      <c r="AL138" s="4">
        <f t="shared" si="89"/>
        <v>0</v>
      </c>
      <c r="AM138" s="4">
        <f>CER!$C$7+CER!$C$8*J138+CER!$C$9*K138+CER!$C$10*L138+CER!$C$11*M138</f>
        <v>3.31652772723106</v>
      </c>
      <c r="AN138" s="4">
        <f t="shared" si="90"/>
        <v>27.564472829637207</v>
      </c>
      <c r="AO138" s="4">
        <f t="shared" si="91"/>
        <v>-0.10480945664946262</v>
      </c>
      <c r="AP138" s="4">
        <f>Alternatives!$F$25+Alternatives!$F$26*J138+Alternatives!$F$27*K138+Alternatives!$F$28*G138+Alternatives!$F$29*O138</f>
        <v>3.2936638700786136</v>
      </c>
      <c r="AQ138" s="4">
        <f t="shared" si="92"/>
        <v>-8.1945599497016186E-2</v>
      </c>
    </row>
    <row r="139" spans="1:43" x14ac:dyDescent="0.35">
      <c r="A139" s="2" t="s">
        <v>189</v>
      </c>
      <c r="B139" s="2" t="s">
        <v>174</v>
      </c>
      <c r="C139" s="2" t="s">
        <v>67</v>
      </c>
      <c r="D139" s="2">
        <v>23.01</v>
      </c>
      <c r="E139" s="2">
        <v>5000</v>
      </c>
      <c r="F139" s="2">
        <v>285</v>
      </c>
      <c r="G139" s="2">
        <v>61.4</v>
      </c>
      <c r="H139" s="2" t="s">
        <v>68</v>
      </c>
      <c r="I139" s="4">
        <f t="shared" si="62"/>
        <v>3.1359289040472746</v>
      </c>
      <c r="J139" s="4">
        <f t="shared" si="63"/>
        <v>8.5171931914162382</v>
      </c>
      <c r="K139" s="4">
        <f t="shared" si="64"/>
        <v>5.6524891802686508</v>
      </c>
      <c r="L139" s="2">
        <v>0</v>
      </c>
      <c r="M139" s="2">
        <v>0</v>
      </c>
      <c r="N139" s="4">
        <f t="shared" si="65"/>
        <v>61.4</v>
      </c>
      <c r="O139" s="4">
        <f t="shared" si="66"/>
        <v>0</v>
      </c>
      <c r="P139" s="4">
        <f t="shared" si="67"/>
        <v>0</v>
      </c>
      <c r="Q139" s="4">
        <f t="shared" si="68"/>
        <v>8.5171931914162382</v>
      </c>
      <c r="R139" s="4">
        <f t="shared" si="69"/>
        <v>5.6524891802686508</v>
      </c>
      <c r="S139" s="4">
        <f t="shared" si="70"/>
        <v>61.4</v>
      </c>
      <c r="T139" s="4">
        <f t="shared" si="71"/>
        <v>0</v>
      </c>
      <c r="U139" s="4">
        <f t="shared" si="72"/>
        <v>8.5171931914162382</v>
      </c>
      <c r="V139" s="4">
        <f t="shared" si="73"/>
        <v>5.6524891802686508</v>
      </c>
      <c r="W139" s="4">
        <f t="shared" si="74"/>
        <v>61.4</v>
      </c>
      <c r="X139" s="4">
        <f t="shared" si="75"/>
        <v>0</v>
      </c>
      <c r="Y139" s="4">
        <f t="shared" si="76"/>
        <v>8.5171931914162382</v>
      </c>
      <c r="Z139" s="4">
        <f t="shared" si="77"/>
        <v>5.6524891802686508</v>
      </c>
      <c r="AA139" s="4">
        <f t="shared" si="78"/>
        <v>61.4</v>
      </c>
      <c r="AB139" s="4">
        <f t="shared" si="79"/>
        <v>0</v>
      </c>
      <c r="AC139" s="4">
        <f t="shared" si="80"/>
        <v>0</v>
      </c>
      <c r="AD139" s="4">
        <f t="shared" si="81"/>
        <v>0</v>
      </c>
      <c r="AE139" s="4">
        <f t="shared" si="82"/>
        <v>0</v>
      </c>
      <c r="AF139" s="4">
        <f t="shared" si="83"/>
        <v>0</v>
      </c>
      <c r="AG139" s="4">
        <f t="shared" si="84"/>
        <v>8.5171931914162382</v>
      </c>
      <c r="AH139" s="4">
        <f t="shared" si="85"/>
        <v>0</v>
      </c>
      <c r="AI139" s="4">
        <f t="shared" si="86"/>
        <v>0</v>
      </c>
      <c r="AJ139" s="4">
        <f t="shared" si="87"/>
        <v>8.5171931914162382</v>
      </c>
      <c r="AK139" s="4">
        <f t="shared" si="88"/>
        <v>5.6524891802686508</v>
      </c>
      <c r="AL139" s="4">
        <f t="shared" si="89"/>
        <v>0</v>
      </c>
      <c r="AM139" s="4">
        <f>CER!$C$7+CER!$C$8*J139+CER!$C$9*K139+CER!$C$10*L139+CER!$C$11*M139</f>
        <v>3.31652772723106</v>
      </c>
      <c r="AN139" s="4">
        <f t="shared" si="90"/>
        <v>27.564472829637207</v>
      </c>
      <c r="AO139" s="4">
        <f t="shared" si="91"/>
        <v>-0.1805988231837854</v>
      </c>
      <c r="AP139" s="4">
        <f>Alternatives!$F$25+Alternatives!$F$26*J139+Alternatives!$F$27*K139+Alternatives!$F$28*G139+Alternatives!$F$29*O139</f>
        <v>3.2936638700786136</v>
      </c>
      <c r="AQ139" s="4">
        <f t="shared" si="92"/>
        <v>-0.15773496603133896</v>
      </c>
    </row>
    <row r="140" spans="1:43" x14ac:dyDescent="0.35">
      <c r="A140" s="2" t="s">
        <v>190</v>
      </c>
      <c r="B140" s="2" t="s">
        <v>174</v>
      </c>
      <c r="C140" s="2" t="s">
        <v>67</v>
      </c>
      <c r="D140" s="2">
        <v>25.500800000000002</v>
      </c>
      <c r="E140" s="2">
        <v>6000</v>
      </c>
      <c r="F140" s="2">
        <v>420</v>
      </c>
      <c r="G140" s="2">
        <v>58.6</v>
      </c>
      <c r="H140" s="2" t="s">
        <v>68</v>
      </c>
      <c r="I140" s="4">
        <f t="shared" si="62"/>
        <v>3.2387098242212922</v>
      </c>
      <c r="J140" s="4">
        <f t="shared" si="63"/>
        <v>8.6995147482101913</v>
      </c>
      <c r="K140" s="4">
        <f t="shared" si="64"/>
        <v>6.0402547112774139</v>
      </c>
      <c r="L140" s="2">
        <v>0</v>
      </c>
      <c r="M140" s="2">
        <v>0</v>
      </c>
      <c r="N140" s="4">
        <f t="shared" si="65"/>
        <v>58.6</v>
      </c>
      <c r="O140" s="4">
        <f t="shared" si="66"/>
        <v>0</v>
      </c>
      <c r="P140" s="4">
        <f t="shared" si="67"/>
        <v>0</v>
      </c>
      <c r="Q140" s="4">
        <f t="shared" si="68"/>
        <v>8.6995147482101913</v>
      </c>
      <c r="R140" s="4">
        <f t="shared" si="69"/>
        <v>6.0402547112774139</v>
      </c>
      <c r="S140" s="4">
        <f t="shared" si="70"/>
        <v>58.6</v>
      </c>
      <c r="T140" s="4">
        <f t="shared" si="71"/>
        <v>0</v>
      </c>
      <c r="U140" s="4">
        <f t="shared" si="72"/>
        <v>8.6995147482101913</v>
      </c>
      <c r="V140" s="4">
        <f t="shared" si="73"/>
        <v>6.0402547112774139</v>
      </c>
      <c r="W140" s="4">
        <f t="shared" si="74"/>
        <v>58.6</v>
      </c>
      <c r="X140" s="4">
        <f t="shared" si="75"/>
        <v>0</v>
      </c>
      <c r="Y140" s="4">
        <f t="shared" si="76"/>
        <v>8.6995147482101913</v>
      </c>
      <c r="Z140" s="4">
        <f t="shared" si="77"/>
        <v>6.0402547112774139</v>
      </c>
      <c r="AA140" s="4">
        <f t="shared" si="78"/>
        <v>58.6</v>
      </c>
      <c r="AB140" s="4">
        <f t="shared" si="79"/>
        <v>0</v>
      </c>
      <c r="AC140" s="4">
        <f t="shared" si="80"/>
        <v>0</v>
      </c>
      <c r="AD140" s="4">
        <f t="shared" si="81"/>
        <v>0</v>
      </c>
      <c r="AE140" s="4">
        <f t="shared" si="82"/>
        <v>0</v>
      </c>
      <c r="AF140" s="4">
        <f t="shared" si="83"/>
        <v>0</v>
      </c>
      <c r="AG140" s="4">
        <f t="shared" si="84"/>
        <v>8.6995147482101913</v>
      </c>
      <c r="AH140" s="4">
        <f t="shared" si="85"/>
        <v>0</v>
      </c>
      <c r="AI140" s="4">
        <f t="shared" si="86"/>
        <v>0</v>
      </c>
      <c r="AJ140" s="4">
        <f t="shared" si="87"/>
        <v>8.6995147482101913</v>
      </c>
      <c r="AK140" s="4">
        <f t="shared" si="88"/>
        <v>6.0402547112774139</v>
      </c>
      <c r="AL140" s="4">
        <f t="shared" si="89"/>
        <v>0</v>
      </c>
      <c r="AM140" s="4">
        <f>CER!$C$7+CER!$C$8*J140+CER!$C$9*K140+CER!$C$10*L140+CER!$C$11*M140</f>
        <v>3.0909254406460165</v>
      </c>
      <c r="AN140" s="4">
        <f t="shared" si="90"/>
        <v>21.997425870935263</v>
      </c>
      <c r="AO140" s="4">
        <f t="shared" si="91"/>
        <v>0.14778438357527568</v>
      </c>
      <c r="AP140" s="4">
        <f>Alternatives!$F$25+Alternatives!$F$26*J140+Alternatives!$F$27*K140+Alternatives!$F$28*G140+Alternatives!$F$29*O140</f>
        <v>3.2943707294573454</v>
      </c>
      <c r="AQ140" s="4">
        <f t="shared" si="92"/>
        <v>-5.5660905236053271E-2</v>
      </c>
    </row>
    <row r="141" spans="1:43" x14ac:dyDescent="0.35">
      <c r="A141" s="2" t="s">
        <v>191</v>
      </c>
      <c r="B141" s="2" t="s">
        <v>174</v>
      </c>
      <c r="C141" s="2" t="s">
        <v>67</v>
      </c>
      <c r="D141" s="2">
        <v>25.500800000000002</v>
      </c>
      <c r="E141" s="2">
        <v>6000</v>
      </c>
      <c r="F141" s="2">
        <v>420</v>
      </c>
      <c r="G141" s="2">
        <v>61.8</v>
      </c>
      <c r="H141" s="2" t="s">
        <v>68</v>
      </c>
      <c r="I141" s="4">
        <f t="shared" si="62"/>
        <v>3.2387098242212922</v>
      </c>
      <c r="J141" s="4">
        <f t="shared" si="63"/>
        <v>8.6995147482101913</v>
      </c>
      <c r="K141" s="4">
        <f t="shared" si="64"/>
        <v>6.0402547112774139</v>
      </c>
      <c r="L141" s="2">
        <v>0</v>
      </c>
      <c r="M141" s="2">
        <v>0</v>
      </c>
      <c r="N141" s="4">
        <f t="shared" si="65"/>
        <v>61.8</v>
      </c>
      <c r="O141" s="4">
        <f t="shared" si="66"/>
        <v>0</v>
      </c>
      <c r="P141" s="4">
        <f t="shared" si="67"/>
        <v>0</v>
      </c>
      <c r="Q141" s="4">
        <f t="shared" si="68"/>
        <v>8.6995147482101913</v>
      </c>
      <c r="R141" s="4">
        <f t="shared" si="69"/>
        <v>6.0402547112774139</v>
      </c>
      <c r="S141" s="4">
        <f t="shared" si="70"/>
        <v>61.8</v>
      </c>
      <c r="T141" s="4">
        <f t="shared" si="71"/>
        <v>0</v>
      </c>
      <c r="U141" s="4">
        <f t="shared" si="72"/>
        <v>8.6995147482101913</v>
      </c>
      <c r="V141" s="4">
        <f t="shared" si="73"/>
        <v>6.0402547112774139</v>
      </c>
      <c r="W141" s="4">
        <f t="shared" si="74"/>
        <v>61.8</v>
      </c>
      <c r="X141" s="4">
        <f t="shared" si="75"/>
        <v>0</v>
      </c>
      <c r="Y141" s="4">
        <f t="shared" si="76"/>
        <v>8.6995147482101913</v>
      </c>
      <c r="Z141" s="4">
        <f t="shared" si="77"/>
        <v>6.0402547112774139</v>
      </c>
      <c r="AA141" s="4">
        <f t="shared" si="78"/>
        <v>61.8</v>
      </c>
      <c r="AB141" s="4">
        <f t="shared" si="79"/>
        <v>0</v>
      </c>
      <c r="AC141" s="4">
        <f t="shared" si="80"/>
        <v>0</v>
      </c>
      <c r="AD141" s="4">
        <f t="shared" si="81"/>
        <v>0</v>
      </c>
      <c r="AE141" s="4">
        <f t="shared" si="82"/>
        <v>0</v>
      </c>
      <c r="AF141" s="4">
        <f t="shared" si="83"/>
        <v>0</v>
      </c>
      <c r="AG141" s="4">
        <f t="shared" si="84"/>
        <v>8.6995147482101913</v>
      </c>
      <c r="AH141" s="4">
        <f t="shared" si="85"/>
        <v>0</v>
      </c>
      <c r="AI141" s="4">
        <f t="shared" si="86"/>
        <v>0</v>
      </c>
      <c r="AJ141" s="4">
        <f t="shared" si="87"/>
        <v>8.6995147482101913</v>
      </c>
      <c r="AK141" s="4">
        <f t="shared" si="88"/>
        <v>6.0402547112774139</v>
      </c>
      <c r="AL141" s="4">
        <f t="shared" si="89"/>
        <v>0</v>
      </c>
      <c r="AM141" s="4">
        <f>CER!$C$7+CER!$C$8*J141+CER!$C$9*K141+CER!$C$10*L141+CER!$C$11*M141</f>
        <v>3.0909254406460165</v>
      </c>
      <c r="AN141" s="4">
        <f t="shared" si="90"/>
        <v>21.997425870935263</v>
      </c>
      <c r="AO141" s="4">
        <f t="shared" si="91"/>
        <v>0.14778438357527568</v>
      </c>
      <c r="AP141" s="4">
        <f>Alternatives!$F$25+Alternatives!$F$26*J141+Alternatives!$F$27*K141+Alternatives!$F$28*G141+Alternatives!$F$29*O141</f>
        <v>3.2527473229222155</v>
      </c>
      <c r="AQ141" s="4">
        <f t="shared" si="92"/>
        <v>-1.4037498700923301E-2</v>
      </c>
    </row>
    <row r="142" spans="1:43" x14ac:dyDescent="0.35">
      <c r="A142" s="2" t="s">
        <v>192</v>
      </c>
      <c r="B142" s="2" t="s">
        <v>174</v>
      </c>
      <c r="C142" s="2" t="s">
        <v>67</v>
      </c>
      <c r="D142" s="2">
        <v>24.291399999999999</v>
      </c>
      <c r="E142" s="2">
        <v>6000</v>
      </c>
      <c r="F142" s="2">
        <v>420</v>
      </c>
      <c r="G142" s="2">
        <v>58.6</v>
      </c>
      <c r="H142" s="2" t="s">
        <v>68</v>
      </c>
      <c r="I142" s="4">
        <f t="shared" si="62"/>
        <v>3.1901223782407477</v>
      </c>
      <c r="J142" s="4">
        <f t="shared" si="63"/>
        <v>8.6995147482101913</v>
      </c>
      <c r="K142" s="4">
        <f t="shared" si="64"/>
        <v>6.0402547112774139</v>
      </c>
      <c r="L142" s="2">
        <v>0</v>
      </c>
      <c r="M142" s="2">
        <v>0</v>
      </c>
      <c r="N142" s="4">
        <f t="shared" si="65"/>
        <v>58.6</v>
      </c>
      <c r="O142" s="4">
        <f t="shared" si="66"/>
        <v>0</v>
      </c>
      <c r="P142" s="4">
        <f t="shared" si="67"/>
        <v>0</v>
      </c>
      <c r="Q142" s="4">
        <f t="shared" si="68"/>
        <v>8.6995147482101913</v>
      </c>
      <c r="R142" s="4">
        <f t="shared" si="69"/>
        <v>6.0402547112774139</v>
      </c>
      <c r="S142" s="4">
        <f t="shared" si="70"/>
        <v>58.6</v>
      </c>
      <c r="T142" s="4">
        <f t="shared" si="71"/>
        <v>0</v>
      </c>
      <c r="U142" s="4">
        <f t="shared" si="72"/>
        <v>8.6995147482101913</v>
      </c>
      <c r="V142" s="4">
        <f t="shared" si="73"/>
        <v>6.0402547112774139</v>
      </c>
      <c r="W142" s="4">
        <f t="shared" si="74"/>
        <v>58.6</v>
      </c>
      <c r="X142" s="4">
        <f t="shared" si="75"/>
        <v>0</v>
      </c>
      <c r="Y142" s="4">
        <f t="shared" si="76"/>
        <v>8.6995147482101913</v>
      </c>
      <c r="Z142" s="4">
        <f t="shared" si="77"/>
        <v>6.0402547112774139</v>
      </c>
      <c r="AA142" s="4">
        <f t="shared" si="78"/>
        <v>58.6</v>
      </c>
      <c r="AB142" s="4">
        <f t="shared" si="79"/>
        <v>0</v>
      </c>
      <c r="AC142" s="4">
        <f t="shared" si="80"/>
        <v>0</v>
      </c>
      <c r="AD142" s="4">
        <f t="shared" si="81"/>
        <v>0</v>
      </c>
      <c r="AE142" s="4">
        <f t="shared" si="82"/>
        <v>0</v>
      </c>
      <c r="AF142" s="4">
        <f t="shared" si="83"/>
        <v>0</v>
      </c>
      <c r="AG142" s="4">
        <f t="shared" si="84"/>
        <v>8.6995147482101913</v>
      </c>
      <c r="AH142" s="4">
        <f t="shared" si="85"/>
        <v>0</v>
      </c>
      <c r="AI142" s="4">
        <f t="shared" si="86"/>
        <v>0</v>
      </c>
      <c r="AJ142" s="4">
        <f t="shared" si="87"/>
        <v>8.6995147482101913</v>
      </c>
      <c r="AK142" s="4">
        <f t="shared" si="88"/>
        <v>6.0402547112774139</v>
      </c>
      <c r="AL142" s="4">
        <f t="shared" si="89"/>
        <v>0</v>
      </c>
      <c r="AM142" s="4">
        <f>CER!$C$7+CER!$C$8*J142+CER!$C$9*K142+CER!$C$10*L142+CER!$C$11*M142</f>
        <v>3.0909254406460165</v>
      </c>
      <c r="AN142" s="4">
        <f t="shared" si="90"/>
        <v>21.997425870935263</v>
      </c>
      <c r="AO142" s="4">
        <f t="shared" si="91"/>
        <v>9.9196937594731249E-2</v>
      </c>
      <c r="AP142" s="4">
        <f>Alternatives!$F$25+Alternatives!$F$26*J142+Alternatives!$F$27*K142+Alternatives!$F$28*G142+Alternatives!$F$29*O142</f>
        <v>3.2943707294573454</v>
      </c>
      <c r="AQ142" s="4">
        <f t="shared" si="92"/>
        <v>-0.1042483512165977</v>
      </c>
    </row>
    <row r="143" spans="1:43" x14ac:dyDescent="0.35">
      <c r="A143" s="2" t="s">
        <v>193</v>
      </c>
      <c r="B143" s="2" t="s">
        <v>174</v>
      </c>
      <c r="C143" s="2" t="s">
        <v>67</v>
      </c>
      <c r="D143" s="2">
        <v>24.1401</v>
      </c>
      <c r="E143" s="2">
        <v>6500</v>
      </c>
      <c r="F143" s="2">
        <v>420</v>
      </c>
      <c r="G143" s="2">
        <v>61.8</v>
      </c>
      <c r="H143" s="2" t="s">
        <v>68</v>
      </c>
      <c r="I143" s="4">
        <f t="shared" si="62"/>
        <v>3.1838743581628766</v>
      </c>
      <c r="J143" s="4">
        <f t="shared" si="63"/>
        <v>8.7795574558837277</v>
      </c>
      <c r="K143" s="4">
        <f t="shared" si="64"/>
        <v>6.0402547112774139</v>
      </c>
      <c r="L143" s="2">
        <v>0</v>
      </c>
      <c r="M143" s="2">
        <v>0</v>
      </c>
      <c r="N143" s="4">
        <f t="shared" si="65"/>
        <v>61.8</v>
      </c>
      <c r="O143" s="4">
        <f t="shared" si="66"/>
        <v>0</v>
      </c>
      <c r="P143" s="4">
        <f t="shared" si="67"/>
        <v>0</v>
      </c>
      <c r="Q143" s="4">
        <f t="shared" si="68"/>
        <v>8.7795574558837277</v>
      </c>
      <c r="R143" s="4">
        <f t="shared" si="69"/>
        <v>6.0402547112774139</v>
      </c>
      <c r="S143" s="4">
        <f t="shared" si="70"/>
        <v>61.8</v>
      </c>
      <c r="T143" s="4">
        <f t="shared" si="71"/>
        <v>0</v>
      </c>
      <c r="U143" s="4">
        <f t="shared" si="72"/>
        <v>8.7795574558837277</v>
      </c>
      <c r="V143" s="4">
        <f t="shared" si="73"/>
        <v>6.0402547112774139</v>
      </c>
      <c r="W143" s="4">
        <f t="shared" si="74"/>
        <v>61.8</v>
      </c>
      <c r="X143" s="4">
        <f t="shared" si="75"/>
        <v>0</v>
      </c>
      <c r="Y143" s="4">
        <f t="shared" si="76"/>
        <v>8.7795574558837277</v>
      </c>
      <c r="Z143" s="4">
        <f t="shared" si="77"/>
        <v>6.0402547112774139</v>
      </c>
      <c r="AA143" s="4">
        <f t="shared" si="78"/>
        <v>61.8</v>
      </c>
      <c r="AB143" s="4">
        <f t="shared" si="79"/>
        <v>0</v>
      </c>
      <c r="AC143" s="4">
        <f t="shared" si="80"/>
        <v>0</v>
      </c>
      <c r="AD143" s="4">
        <f t="shared" si="81"/>
        <v>0</v>
      </c>
      <c r="AE143" s="4">
        <f t="shared" si="82"/>
        <v>0</v>
      </c>
      <c r="AF143" s="4">
        <f t="shared" si="83"/>
        <v>0</v>
      </c>
      <c r="AG143" s="4">
        <f t="shared" si="84"/>
        <v>8.7795574558837277</v>
      </c>
      <c r="AH143" s="4">
        <f t="shared" si="85"/>
        <v>0</v>
      </c>
      <c r="AI143" s="4">
        <f t="shared" si="86"/>
        <v>0</v>
      </c>
      <c r="AJ143" s="4">
        <f t="shared" si="87"/>
        <v>8.7795574558837277</v>
      </c>
      <c r="AK143" s="4">
        <f t="shared" si="88"/>
        <v>6.0402547112774139</v>
      </c>
      <c r="AL143" s="4">
        <f t="shared" si="89"/>
        <v>0</v>
      </c>
      <c r="AM143" s="4">
        <f>CER!$C$7+CER!$C$8*J143+CER!$C$9*K143+CER!$C$10*L143+CER!$C$11*M143</f>
        <v>3.054689376922703</v>
      </c>
      <c r="AN143" s="4">
        <f t="shared" si="90"/>
        <v>21.214594760634821</v>
      </c>
      <c r="AO143" s="4">
        <f t="shared" si="91"/>
        <v>0.12918498124017352</v>
      </c>
      <c r="AP143" s="4">
        <f>Alternatives!$F$25+Alternatives!$F$26*J143+Alternatives!$F$27*K143+Alternatives!$F$28*G143+Alternatives!$F$29*O143</f>
        <v>3.2823700066808801</v>
      </c>
      <c r="AQ143" s="4">
        <f t="shared" si="92"/>
        <v>-9.849564851800352E-2</v>
      </c>
    </row>
    <row r="144" spans="1:43" x14ac:dyDescent="0.35">
      <c r="A144" s="2" t="s">
        <v>194</v>
      </c>
      <c r="B144" s="2" t="s">
        <v>174</v>
      </c>
      <c r="C144" s="2" t="s">
        <v>67</v>
      </c>
      <c r="D144" s="2">
        <v>21.1982</v>
      </c>
      <c r="E144" s="2">
        <v>6500</v>
      </c>
      <c r="F144" s="2">
        <v>510</v>
      </c>
      <c r="G144" s="2">
        <v>58.6</v>
      </c>
      <c r="H144" s="2" t="s">
        <v>68</v>
      </c>
      <c r="I144" s="4">
        <f t="shared" si="62"/>
        <v>3.0539162724128999</v>
      </c>
      <c r="J144" s="4">
        <f t="shared" si="63"/>
        <v>8.7795574558837277</v>
      </c>
      <c r="K144" s="4">
        <f t="shared" si="64"/>
        <v>6.2344107257183712</v>
      </c>
      <c r="L144" s="2">
        <v>0</v>
      </c>
      <c r="M144" s="2">
        <v>0</v>
      </c>
      <c r="N144" s="4">
        <f t="shared" si="65"/>
        <v>58.6</v>
      </c>
      <c r="O144" s="4">
        <f t="shared" si="66"/>
        <v>0</v>
      </c>
      <c r="P144" s="4">
        <f t="shared" si="67"/>
        <v>0</v>
      </c>
      <c r="Q144" s="4">
        <f t="shared" si="68"/>
        <v>8.7795574558837277</v>
      </c>
      <c r="R144" s="4">
        <f t="shared" si="69"/>
        <v>6.2344107257183712</v>
      </c>
      <c r="S144" s="4">
        <f t="shared" si="70"/>
        <v>58.6</v>
      </c>
      <c r="T144" s="4">
        <f t="shared" si="71"/>
        <v>0</v>
      </c>
      <c r="U144" s="4">
        <f t="shared" si="72"/>
        <v>8.7795574558837277</v>
      </c>
      <c r="V144" s="4">
        <f t="shared" si="73"/>
        <v>6.2344107257183712</v>
      </c>
      <c r="W144" s="4">
        <f t="shared" si="74"/>
        <v>58.6</v>
      </c>
      <c r="X144" s="4">
        <f t="shared" si="75"/>
        <v>0</v>
      </c>
      <c r="Y144" s="4">
        <f t="shared" si="76"/>
        <v>8.7795574558837277</v>
      </c>
      <c r="Z144" s="4">
        <f t="shared" si="77"/>
        <v>6.2344107257183712</v>
      </c>
      <c r="AA144" s="4">
        <f t="shared" si="78"/>
        <v>58.6</v>
      </c>
      <c r="AB144" s="4">
        <f t="shared" si="79"/>
        <v>0</v>
      </c>
      <c r="AC144" s="4">
        <f t="shared" si="80"/>
        <v>0</v>
      </c>
      <c r="AD144" s="4">
        <f t="shared" si="81"/>
        <v>0</v>
      </c>
      <c r="AE144" s="4">
        <f t="shared" si="82"/>
        <v>0</v>
      </c>
      <c r="AF144" s="4">
        <f t="shared" si="83"/>
        <v>0</v>
      </c>
      <c r="AG144" s="4">
        <f t="shared" si="84"/>
        <v>8.7795574558837277</v>
      </c>
      <c r="AH144" s="4">
        <f t="shared" si="85"/>
        <v>0</v>
      </c>
      <c r="AI144" s="4">
        <f t="shared" si="86"/>
        <v>0</v>
      </c>
      <c r="AJ144" s="4">
        <f t="shared" si="87"/>
        <v>8.7795574558837277</v>
      </c>
      <c r="AK144" s="4">
        <f t="shared" si="88"/>
        <v>6.2344107257183712</v>
      </c>
      <c r="AL144" s="4">
        <f t="shared" si="89"/>
        <v>0</v>
      </c>
      <c r="AM144" s="4">
        <f>CER!$C$7+CER!$C$8*J144+CER!$C$9*K144+CER!$C$10*L144+CER!$C$11*M144</f>
        <v>2.9830567358851647</v>
      </c>
      <c r="AN144" s="4">
        <f t="shared" si="90"/>
        <v>19.748089172069179</v>
      </c>
      <c r="AO144" s="4">
        <f t="shared" si="91"/>
        <v>7.0859536527735134E-2</v>
      </c>
      <c r="AP144" s="4">
        <f>Alternatives!$F$25+Alternatives!$F$26*J144+Alternatives!$F$27*K144+Alternatives!$F$28*G144+Alternatives!$F$29*O144</f>
        <v>3.2723265624436428</v>
      </c>
      <c r="AQ144" s="4">
        <f t="shared" si="92"/>
        <v>-0.21841029003074297</v>
      </c>
    </row>
    <row r="145" spans="1:43" x14ac:dyDescent="0.35">
      <c r="A145" s="2" t="s">
        <v>195</v>
      </c>
      <c r="B145" s="2" t="s">
        <v>174</v>
      </c>
      <c r="C145" s="2" t="s">
        <v>67</v>
      </c>
      <c r="D145" s="2">
        <v>21.1982</v>
      </c>
      <c r="E145" s="2">
        <v>7000</v>
      </c>
      <c r="F145" s="2">
        <v>510</v>
      </c>
      <c r="G145" s="2">
        <v>61.8</v>
      </c>
      <c r="H145" s="2" t="s">
        <v>68</v>
      </c>
      <c r="I145" s="4">
        <f t="shared" si="62"/>
        <v>3.0539162724128999</v>
      </c>
      <c r="J145" s="4">
        <f t="shared" si="63"/>
        <v>8.8536654280374503</v>
      </c>
      <c r="K145" s="4">
        <f t="shared" si="64"/>
        <v>6.2344107257183712</v>
      </c>
      <c r="L145" s="2">
        <v>0</v>
      </c>
      <c r="M145" s="2">
        <v>0</v>
      </c>
      <c r="N145" s="4">
        <f t="shared" si="65"/>
        <v>61.8</v>
      </c>
      <c r="O145" s="4">
        <f t="shared" si="66"/>
        <v>0</v>
      </c>
      <c r="P145" s="4">
        <f t="shared" si="67"/>
        <v>0</v>
      </c>
      <c r="Q145" s="4">
        <f t="shared" si="68"/>
        <v>8.8536654280374503</v>
      </c>
      <c r="R145" s="4">
        <f t="shared" si="69"/>
        <v>6.2344107257183712</v>
      </c>
      <c r="S145" s="4">
        <f t="shared" si="70"/>
        <v>61.8</v>
      </c>
      <c r="T145" s="4">
        <f t="shared" si="71"/>
        <v>0</v>
      </c>
      <c r="U145" s="4">
        <f t="shared" si="72"/>
        <v>8.8536654280374503</v>
      </c>
      <c r="V145" s="4">
        <f t="shared" si="73"/>
        <v>6.2344107257183712</v>
      </c>
      <c r="W145" s="4">
        <f t="shared" si="74"/>
        <v>61.8</v>
      </c>
      <c r="X145" s="4">
        <f t="shared" si="75"/>
        <v>0</v>
      </c>
      <c r="Y145" s="4">
        <f t="shared" si="76"/>
        <v>8.8536654280374503</v>
      </c>
      <c r="Z145" s="4">
        <f t="shared" si="77"/>
        <v>6.2344107257183712</v>
      </c>
      <c r="AA145" s="4">
        <f t="shared" si="78"/>
        <v>61.8</v>
      </c>
      <c r="AB145" s="4">
        <f t="shared" si="79"/>
        <v>0</v>
      </c>
      <c r="AC145" s="4">
        <f t="shared" si="80"/>
        <v>0</v>
      </c>
      <c r="AD145" s="4">
        <f t="shared" si="81"/>
        <v>0</v>
      </c>
      <c r="AE145" s="4">
        <f t="shared" si="82"/>
        <v>0</v>
      </c>
      <c r="AF145" s="4">
        <f t="shared" si="83"/>
        <v>0</v>
      </c>
      <c r="AG145" s="4">
        <f t="shared" si="84"/>
        <v>8.8536654280374503</v>
      </c>
      <c r="AH145" s="4">
        <f t="shared" si="85"/>
        <v>0</v>
      </c>
      <c r="AI145" s="4">
        <f t="shared" si="86"/>
        <v>0</v>
      </c>
      <c r="AJ145" s="4">
        <f t="shared" si="87"/>
        <v>8.8536654280374503</v>
      </c>
      <c r="AK145" s="4">
        <f t="shared" si="88"/>
        <v>6.2344107257183712</v>
      </c>
      <c r="AL145" s="4">
        <f t="shared" si="89"/>
        <v>0</v>
      </c>
      <c r="AM145" s="4">
        <f>CER!$C$7+CER!$C$8*J145+CER!$C$9*K145+CER!$C$10*L145+CER!$C$11*M145</f>
        <v>2.9495073810542349</v>
      </c>
      <c r="AN145" s="4">
        <f t="shared" si="90"/>
        <v>19.096544091321206</v>
      </c>
      <c r="AO145" s="4">
        <f t="shared" si="91"/>
        <v>0.10440889135866493</v>
      </c>
      <c r="AP145" s="4">
        <f>Alternatives!$F$25+Alternatives!$F$26*J145+Alternatives!$F$27*K145+Alternatives!$F$28*G145+Alternatives!$F$29*O145</f>
        <v>3.2581294772675982</v>
      </c>
      <c r="AQ145" s="4">
        <f t="shared" si="92"/>
        <v>-0.20421320485469829</v>
      </c>
    </row>
    <row r="146" spans="1:43" x14ac:dyDescent="0.35">
      <c r="A146" s="2" t="s">
        <v>196</v>
      </c>
      <c r="B146" s="2" t="s">
        <v>174</v>
      </c>
      <c r="C146" s="2" t="s">
        <v>67</v>
      </c>
      <c r="D146" s="2">
        <v>28.0059</v>
      </c>
      <c r="E146" s="2">
        <v>5000</v>
      </c>
      <c r="F146" s="2">
        <v>295</v>
      </c>
      <c r="G146" s="2">
        <v>55.5</v>
      </c>
      <c r="H146" s="2" t="s">
        <v>68</v>
      </c>
      <c r="I146" s="4">
        <f t="shared" si="62"/>
        <v>3.3324152022637814</v>
      </c>
      <c r="J146" s="4">
        <f t="shared" si="63"/>
        <v>8.5171931914162382</v>
      </c>
      <c r="K146" s="4">
        <f t="shared" si="64"/>
        <v>5.6869753563398202</v>
      </c>
      <c r="L146" s="2">
        <v>0</v>
      </c>
      <c r="M146" s="2">
        <v>0</v>
      </c>
      <c r="N146" s="4">
        <f t="shared" si="65"/>
        <v>55.5</v>
      </c>
      <c r="O146" s="4">
        <f t="shared" si="66"/>
        <v>0</v>
      </c>
      <c r="P146" s="4">
        <f t="shared" si="67"/>
        <v>0</v>
      </c>
      <c r="Q146" s="4">
        <f t="shared" si="68"/>
        <v>8.5171931914162382</v>
      </c>
      <c r="R146" s="4">
        <f t="shared" si="69"/>
        <v>5.6869753563398202</v>
      </c>
      <c r="S146" s="4">
        <f t="shared" si="70"/>
        <v>55.5</v>
      </c>
      <c r="T146" s="4">
        <f t="shared" si="71"/>
        <v>0</v>
      </c>
      <c r="U146" s="4">
        <f t="shared" si="72"/>
        <v>8.5171931914162382</v>
      </c>
      <c r="V146" s="4">
        <f t="shared" si="73"/>
        <v>5.6869753563398202</v>
      </c>
      <c r="W146" s="4">
        <f t="shared" si="74"/>
        <v>55.5</v>
      </c>
      <c r="X146" s="4">
        <f t="shared" si="75"/>
        <v>0</v>
      </c>
      <c r="Y146" s="4">
        <f t="shared" si="76"/>
        <v>8.5171931914162382</v>
      </c>
      <c r="Z146" s="4">
        <f t="shared" si="77"/>
        <v>5.6869753563398202</v>
      </c>
      <c r="AA146" s="4">
        <f t="shared" si="78"/>
        <v>55.5</v>
      </c>
      <c r="AB146" s="4">
        <f t="shared" si="79"/>
        <v>0</v>
      </c>
      <c r="AC146" s="4">
        <f t="shared" si="80"/>
        <v>0</v>
      </c>
      <c r="AD146" s="4">
        <f t="shared" si="81"/>
        <v>0</v>
      </c>
      <c r="AE146" s="4">
        <f t="shared" si="82"/>
        <v>0</v>
      </c>
      <c r="AF146" s="4">
        <f t="shared" si="83"/>
        <v>0</v>
      </c>
      <c r="AG146" s="4">
        <f t="shared" si="84"/>
        <v>8.5171931914162382</v>
      </c>
      <c r="AH146" s="4">
        <f t="shared" si="85"/>
        <v>0</v>
      </c>
      <c r="AI146" s="4">
        <f t="shared" si="86"/>
        <v>0</v>
      </c>
      <c r="AJ146" s="4">
        <f t="shared" si="87"/>
        <v>8.5171931914162382</v>
      </c>
      <c r="AK146" s="4">
        <f t="shared" si="88"/>
        <v>5.6869753563398202</v>
      </c>
      <c r="AL146" s="4">
        <f t="shared" si="89"/>
        <v>0</v>
      </c>
      <c r="AM146" s="4">
        <f>CER!$C$7+CER!$C$8*J146+CER!$C$9*K146+CER!$C$10*L146+CER!$C$11*M146</f>
        <v>3.303804269354278</v>
      </c>
      <c r="AN146" s="4">
        <f t="shared" si="90"/>
        <v>27.215979144408202</v>
      </c>
      <c r="AO146" s="4">
        <f t="shared" si="91"/>
        <v>2.861093290950345E-2</v>
      </c>
      <c r="AP146" s="4">
        <f>Alternatives!$F$25+Alternatives!$F$26*J146+Alternatives!$F$27*K146+Alternatives!$F$28*G146+Alternatives!$F$29*O146</f>
        <v>3.361229910670132</v>
      </c>
      <c r="AQ146" s="4">
        <f t="shared" si="92"/>
        <v>-2.8814708406350587E-2</v>
      </c>
    </row>
    <row r="147" spans="1:43" x14ac:dyDescent="0.35">
      <c r="A147" s="2" t="s">
        <v>197</v>
      </c>
      <c r="B147" s="2" t="s">
        <v>174</v>
      </c>
      <c r="C147" s="2" t="s">
        <v>67</v>
      </c>
      <c r="D147" s="2">
        <v>28.6845</v>
      </c>
      <c r="E147" s="2">
        <v>4500</v>
      </c>
      <c r="F147" s="2">
        <v>295</v>
      </c>
      <c r="G147" s="2">
        <v>53.2</v>
      </c>
      <c r="H147" s="2" t="s">
        <v>68</v>
      </c>
      <c r="I147" s="4">
        <f t="shared" si="62"/>
        <v>3.3563569071890016</v>
      </c>
      <c r="J147" s="4">
        <f t="shared" si="63"/>
        <v>8.4118326757584114</v>
      </c>
      <c r="K147" s="4">
        <f t="shared" si="64"/>
        <v>5.6869753563398202</v>
      </c>
      <c r="L147" s="2">
        <v>0</v>
      </c>
      <c r="M147" s="2">
        <v>0</v>
      </c>
      <c r="N147" s="4">
        <f t="shared" si="65"/>
        <v>53.2</v>
      </c>
      <c r="O147" s="4">
        <f t="shared" si="66"/>
        <v>0</v>
      </c>
      <c r="P147" s="4">
        <f t="shared" si="67"/>
        <v>0</v>
      </c>
      <c r="Q147" s="4">
        <f t="shared" si="68"/>
        <v>8.4118326757584114</v>
      </c>
      <c r="R147" s="4">
        <f t="shared" si="69"/>
        <v>5.6869753563398202</v>
      </c>
      <c r="S147" s="4">
        <f t="shared" si="70"/>
        <v>53.2</v>
      </c>
      <c r="T147" s="4">
        <f t="shared" si="71"/>
        <v>0</v>
      </c>
      <c r="U147" s="4">
        <f t="shared" si="72"/>
        <v>8.4118326757584114</v>
      </c>
      <c r="V147" s="4">
        <f t="shared" si="73"/>
        <v>5.6869753563398202</v>
      </c>
      <c r="W147" s="4">
        <f t="shared" si="74"/>
        <v>53.2</v>
      </c>
      <c r="X147" s="4">
        <f t="shared" si="75"/>
        <v>0</v>
      </c>
      <c r="Y147" s="4">
        <f t="shared" si="76"/>
        <v>8.4118326757584114</v>
      </c>
      <c r="Z147" s="4">
        <f t="shared" si="77"/>
        <v>5.6869753563398202</v>
      </c>
      <c r="AA147" s="4">
        <f t="shared" si="78"/>
        <v>53.2</v>
      </c>
      <c r="AB147" s="4">
        <f t="shared" si="79"/>
        <v>0</v>
      </c>
      <c r="AC147" s="4">
        <f t="shared" si="80"/>
        <v>0</v>
      </c>
      <c r="AD147" s="4">
        <f t="shared" si="81"/>
        <v>0</v>
      </c>
      <c r="AE147" s="4">
        <f t="shared" si="82"/>
        <v>0</v>
      </c>
      <c r="AF147" s="4">
        <f t="shared" si="83"/>
        <v>0</v>
      </c>
      <c r="AG147" s="4">
        <f t="shared" si="84"/>
        <v>8.4118326757584114</v>
      </c>
      <c r="AH147" s="4">
        <f t="shared" si="85"/>
        <v>0</v>
      </c>
      <c r="AI147" s="4">
        <f t="shared" si="86"/>
        <v>0</v>
      </c>
      <c r="AJ147" s="4">
        <f t="shared" si="87"/>
        <v>8.4118326757584114</v>
      </c>
      <c r="AK147" s="4">
        <f t="shared" si="88"/>
        <v>5.6869753563398202</v>
      </c>
      <c r="AL147" s="4">
        <f t="shared" si="89"/>
        <v>0</v>
      </c>
      <c r="AM147" s="4">
        <f>CER!$C$7+CER!$C$8*J147+CER!$C$9*K147+CER!$C$10*L147+CER!$C$11*M147</f>
        <v>3.3515019356410027</v>
      </c>
      <c r="AN147" s="4">
        <f t="shared" si="90"/>
        <v>28.545575079779177</v>
      </c>
      <c r="AO147" s="4">
        <f t="shared" si="91"/>
        <v>4.8549715479988542E-3</v>
      </c>
      <c r="AP147" s="4">
        <f>Alternatives!$F$25+Alternatives!$F$26*J147+Alternatives!$F$27*K147+Alternatives!$F$28*G147+Alternatives!$F$29*O147</f>
        <v>3.3521542846275256</v>
      </c>
      <c r="AQ147" s="4">
        <f t="shared" si="92"/>
        <v>4.202622561475966E-3</v>
      </c>
    </row>
    <row r="148" spans="1:43" x14ac:dyDescent="0.35">
      <c r="A148" s="2" t="s">
        <v>198</v>
      </c>
      <c r="B148" s="2" t="s">
        <v>174</v>
      </c>
      <c r="C148" s="2" t="s">
        <v>33</v>
      </c>
      <c r="D148" s="2">
        <v>33.130200000000002</v>
      </c>
      <c r="E148" s="2">
        <v>5500</v>
      </c>
      <c r="F148" s="2">
        <v>270</v>
      </c>
      <c r="G148" s="2">
        <v>53.2</v>
      </c>
      <c r="H148" s="2" t="s">
        <v>68</v>
      </c>
      <c r="I148" s="4">
        <f t="shared" si="62"/>
        <v>3.5004452531182131</v>
      </c>
      <c r="J148" s="4">
        <f t="shared" si="63"/>
        <v>8.6125033712205621</v>
      </c>
      <c r="K148" s="4">
        <f t="shared" si="64"/>
        <v>5.598421958998375</v>
      </c>
      <c r="L148" s="2">
        <v>1</v>
      </c>
      <c r="M148" s="2">
        <v>0</v>
      </c>
      <c r="N148" s="4">
        <f t="shared" si="65"/>
        <v>53.2</v>
      </c>
      <c r="O148" s="4">
        <f t="shared" si="66"/>
        <v>1</v>
      </c>
      <c r="P148" s="4">
        <f t="shared" si="67"/>
        <v>1</v>
      </c>
      <c r="Q148" s="4">
        <f t="shared" si="68"/>
        <v>8.6125033712205621</v>
      </c>
      <c r="R148" s="4">
        <f t="shared" si="69"/>
        <v>5.598421958998375</v>
      </c>
      <c r="S148" s="4">
        <f t="shared" si="70"/>
        <v>53.2</v>
      </c>
      <c r="T148" s="4">
        <f t="shared" si="71"/>
        <v>1</v>
      </c>
      <c r="U148" s="4">
        <f t="shared" si="72"/>
        <v>8.6125033712205621</v>
      </c>
      <c r="V148" s="4">
        <f t="shared" si="73"/>
        <v>5.598421958998375</v>
      </c>
      <c r="W148" s="4">
        <f t="shared" si="74"/>
        <v>53.2</v>
      </c>
      <c r="X148" s="4">
        <f t="shared" si="75"/>
        <v>1</v>
      </c>
      <c r="Y148" s="4">
        <f t="shared" si="76"/>
        <v>8.6125033712205621</v>
      </c>
      <c r="Z148" s="4">
        <f t="shared" si="77"/>
        <v>5.598421958998375</v>
      </c>
      <c r="AA148" s="4">
        <f t="shared" si="78"/>
        <v>53.2</v>
      </c>
      <c r="AB148" s="4">
        <f t="shared" si="79"/>
        <v>1</v>
      </c>
      <c r="AC148" s="4">
        <f t="shared" si="80"/>
        <v>0</v>
      </c>
      <c r="AD148" s="4">
        <f t="shared" si="81"/>
        <v>0</v>
      </c>
      <c r="AE148" s="4">
        <f t="shared" si="82"/>
        <v>0</v>
      </c>
      <c r="AF148" s="4">
        <f t="shared" si="83"/>
        <v>0</v>
      </c>
      <c r="AG148" s="4">
        <f t="shared" si="84"/>
        <v>8.6125033712205621</v>
      </c>
      <c r="AH148" s="4">
        <f t="shared" si="85"/>
        <v>1</v>
      </c>
      <c r="AI148" s="4">
        <f t="shared" si="86"/>
        <v>0</v>
      </c>
      <c r="AJ148" s="4">
        <f t="shared" si="87"/>
        <v>8.6125033712205621</v>
      </c>
      <c r="AK148" s="4">
        <f t="shared" si="88"/>
        <v>5.598421958998375</v>
      </c>
      <c r="AL148" s="4">
        <f t="shared" si="89"/>
        <v>0</v>
      </c>
      <c r="AM148" s="4">
        <f>CER!$C$7+CER!$C$8*J148+CER!$C$9*K148+CER!$C$10*L148+CER!$C$11*M148</f>
        <v>3.5170812710236858</v>
      </c>
      <c r="AN148" s="4">
        <f t="shared" si="90"/>
        <v>33.685964638055566</v>
      </c>
      <c r="AO148" s="4">
        <f t="shared" si="91"/>
        <v>-1.6636017905472755E-2</v>
      </c>
      <c r="AP148" s="4">
        <f>Alternatives!$F$25+Alternatives!$F$26*J148+Alternatives!$F$27*K148+Alternatives!$F$28*G148+Alternatives!$F$29*O148</f>
        <v>4.2947245658657955</v>
      </c>
      <c r="AQ148" s="4">
        <f t="shared" si="92"/>
        <v>-0.79427931274758246</v>
      </c>
    </row>
    <row r="149" spans="1:43" x14ac:dyDescent="0.35">
      <c r="A149" s="2" t="s">
        <v>199</v>
      </c>
      <c r="B149" s="2" t="s">
        <v>174</v>
      </c>
      <c r="C149" s="2" t="s">
        <v>67</v>
      </c>
      <c r="D149" s="2">
        <v>27.611999999999998</v>
      </c>
      <c r="E149" s="2">
        <v>5000</v>
      </c>
      <c r="F149" s="2">
        <v>295</v>
      </c>
      <c r="G149" s="2">
        <v>55.5</v>
      </c>
      <c r="H149" s="2" t="s">
        <v>68</v>
      </c>
      <c r="I149" s="4">
        <f t="shared" si="62"/>
        <v>3.3182504608412291</v>
      </c>
      <c r="J149" s="4">
        <f t="shared" si="63"/>
        <v>8.5171931914162382</v>
      </c>
      <c r="K149" s="4">
        <f t="shared" si="64"/>
        <v>5.6869753563398202</v>
      </c>
      <c r="L149" s="2">
        <v>0</v>
      </c>
      <c r="M149" s="2">
        <v>0</v>
      </c>
      <c r="N149" s="4">
        <f t="shared" si="65"/>
        <v>55.5</v>
      </c>
      <c r="O149" s="4">
        <f t="shared" si="66"/>
        <v>0</v>
      </c>
      <c r="P149" s="4">
        <f t="shared" si="67"/>
        <v>0</v>
      </c>
      <c r="Q149" s="4">
        <f t="shared" si="68"/>
        <v>8.5171931914162382</v>
      </c>
      <c r="R149" s="4">
        <f t="shared" si="69"/>
        <v>5.6869753563398202</v>
      </c>
      <c r="S149" s="4">
        <f t="shared" si="70"/>
        <v>55.5</v>
      </c>
      <c r="T149" s="4">
        <f t="shared" si="71"/>
        <v>0</v>
      </c>
      <c r="U149" s="4">
        <f t="shared" si="72"/>
        <v>8.5171931914162382</v>
      </c>
      <c r="V149" s="4">
        <f t="shared" si="73"/>
        <v>5.6869753563398202</v>
      </c>
      <c r="W149" s="4">
        <f t="shared" si="74"/>
        <v>55.5</v>
      </c>
      <c r="X149" s="4">
        <f t="shared" si="75"/>
        <v>0</v>
      </c>
      <c r="Y149" s="4">
        <f t="shared" si="76"/>
        <v>8.5171931914162382</v>
      </c>
      <c r="Z149" s="4">
        <f t="shared" si="77"/>
        <v>5.6869753563398202</v>
      </c>
      <c r="AA149" s="4">
        <f t="shared" si="78"/>
        <v>55.5</v>
      </c>
      <c r="AB149" s="4">
        <f t="shared" si="79"/>
        <v>0</v>
      </c>
      <c r="AC149" s="4">
        <f t="shared" si="80"/>
        <v>0</v>
      </c>
      <c r="AD149" s="4">
        <f t="shared" si="81"/>
        <v>0</v>
      </c>
      <c r="AE149" s="4">
        <f t="shared" si="82"/>
        <v>0</v>
      </c>
      <c r="AF149" s="4">
        <f t="shared" si="83"/>
        <v>0</v>
      </c>
      <c r="AG149" s="4">
        <f t="shared" si="84"/>
        <v>8.5171931914162382</v>
      </c>
      <c r="AH149" s="4">
        <f t="shared" si="85"/>
        <v>0</v>
      </c>
      <c r="AI149" s="4">
        <f t="shared" si="86"/>
        <v>0</v>
      </c>
      <c r="AJ149" s="4">
        <f t="shared" si="87"/>
        <v>8.5171931914162382</v>
      </c>
      <c r="AK149" s="4">
        <f t="shared" si="88"/>
        <v>5.6869753563398202</v>
      </c>
      <c r="AL149" s="4">
        <f t="shared" si="89"/>
        <v>0</v>
      </c>
      <c r="AM149" s="4">
        <f>CER!$C$7+CER!$C$8*J149+CER!$C$9*K149+CER!$C$10*L149+CER!$C$11*M149</f>
        <v>3.303804269354278</v>
      </c>
      <c r="AN149" s="4">
        <f t="shared" si="90"/>
        <v>27.215979144408202</v>
      </c>
      <c r="AO149" s="4">
        <f t="shared" si="91"/>
        <v>1.4446191486951143E-2</v>
      </c>
      <c r="AP149" s="4">
        <f>Alternatives!$F$25+Alternatives!$F$26*J149+Alternatives!$F$27*K149+Alternatives!$F$28*G149+Alternatives!$F$29*O149</f>
        <v>3.361229910670132</v>
      </c>
      <c r="AQ149" s="4">
        <f t="shared" si="92"/>
        <v>-4.2979449828902894E-2</v>
      </c>
    </row>
    <row r="150" spans="1:43" x14ac:dyDescent="0.35">
      <c r="A150" s="2" t="s">
        <v>199</v>
      </c>
      <c r="B150" s="2" t="s">
        <v>174</v>
      </c>
      <c r="C150" s="2" t="s">
        <v>67</v>
      </c>
      <c r="D150" s="2">
        <v>21.393999999999998</v>
      </c>
      <c r="E150" s="2">
        <v>5500</v>
      </c>
      <c r="F150" s="2">
        <v>357</v>
      </c>
      <c r="G150" s="2">
        <v>55.5</v>
      </c>
      <c r="H150" s="2" t="s">
        <v>68</v>
      </c>
      <c r="I150" s="4">
        <f t="shared" si="62"/>
        <v>3.063110508883939</v>
      </c>
      <c r="J150" s="4">
        <f t="shared" si="63"/>
        <v>8.6125033712205621</v>
      </c>
      <c r="K150" s="4">
        <f t="shared" si="64"/>
        <v>5.8777357817796387</v>
      </c>
      <c r="L150" s="2">
        <v>0</v>
      </c>
      <c r="M150" s="2">
        <v>0</v>
      </c>
      <c r="N150" s="4">
        <f t="shared" si="65"/>
        <v>55.5</v>
      </c>
      <c r="O150" s="4">
        <f t="shared" si="66"/>
        <v>0</v>
      </c>
      <c r="P150" s="4">
        <f t="shared" si="67"/>
        <v>0</v>
      </c>
      <c r="Q150" s="4">
        <f t="shared" si="68"/>
        <v>8.6125033712205621</v>
      </c>
      <c r="R150" s="4">
        <f t="shared" si="69"/>
        <v>5.8777357817796387</v>
      </c>
      <c r="S150" s="4">
        <f t="shared" si="70"/>
        <v>55.5</v>
      </c>
      <c r="T150" s="4">
        <f t="shared" si="71"/>
        <v>0</v>
      </c>
      <c r="U150" s="4">
        <f t="shared" si="72"/>
        <v>8.6125033712205621</v>
      </c>
      <c r="V150" s="4">
        <f t="shared" si="73"/>
        <v>5.8777357817796387</v>
      </c>
      <c r="W150" s="4">
        <f t="shared" si="74"/>
        <v>55.5</v>
      </c>
      <c r="X150" s="4">
        <f t="shared" si="75"/>
        <v>0</v>
      </c>
      <c r="Y150" s="4">
        <f t="shared" si="76"/>
        <v>8.6125033712205621</v>
      </c>
      <c r="Z150" s="4">
        <f t="shared" si="77"/>
        <v>5.8777357817796387</v>
      </c>
      <c r="AA150" s="4">
        <f t="shared" si="78"/>
        <v>55.5</v>
      </c>
      <c r="AB150" s="4">
        <f t="shared" si="79"/>
        <v>0</v>
      </c>
      <c r="AC150" s="4">
        <f t="shared" si="80"/>
        <v>0</v>
      </c>
      <c r="AD150" s="4">
        <f t="shared" si="81"/>
        <v>0</v>
      </c>
      <c r="AE150" s="4">
        <f t="shared" si="82"/>
        <v>0</v>
      </c>
      <c r="AF150" s="4">
        <f t="shared" si="83"/>
        <v>0</v>
      </c>
      <c r="AG150" s="4">
        <f t="shared" si="84"/>
        <v>8.6125033712205621</v>
      </c>
      <c r="AH150" s="4">
        <f t="shared" si="85"/>
        <v>0</v>
      </c>
      <c r="AI150" s="4">
        <f t="shared" si="86"/>
        <v>0</v>
      </c>
      <c r="AJ150" s="4">
        <f t="shared" si="87"/>
        <v>8.6125033712205621</v>
      </c>
      <c r="AK150" s="4">
        <f t="shared" si="88"/>
        <v>5.8777357817796387</v>
      </c>
      <c r="AL150" s="4">
        <f t="shared" si="89"/>
        <v>0</v>
      </c>
      <c r="AM150" s="4">
        <f>CER!$C$7+CER!$C$8*J150+CER!$C$9*K150+CER!$C$10*L150+CER!$C$11*M150</f>
        <v>3.1902766219430414</v>
      </c>
      <c r="AN150" s="4">
        <f t="shared" si="90"/>
        <v>24.295147084444558</v>
      </c>
      <c r="AO150" s="4">
        <f t="shared" si="91"/>
        <v>-0.12716611305910241</v>
      </c>
      <c r="AP150" s="4">
        <f>Alternatives!$F$25+Alternatives!$F$26*J150+Alternatives!$F$27*K150+Alternatives!$F$28*G150+Alternatives!$F$29*O150</f>
        <v>3.3457396210931059</v>
      </c>
      <c r="AQ150" s="4">
        <f t="shared" si="92"/>
        <v>-0.28262911220916687</v>
      </c>
    </row>
    <row r="151" spans="1:43" x14ac:dyDescent="0.35">
      <c r="A151" s="2" t="s">
        <v>200</v>
      </c>
      <c r="B151" s="2" t="s">
        <v>174</v>
      </c>
      <c r="C151" s="2" t="s">
        <v>67</v>
      </c>
      <c r="D151" s="2">
        <v>28.235299999999999</v>
      </c>
      <c r="E151" s="2">
        <v>4500</v>
      </c>
      <c r="F151" s="2">
        <v>295</v>
      </c>
      <c r="G151" s="2">
        <v>53.2</v>
      </c>
      <c r="H151" s="2" t="s">
        <v>68</v>
      </c>
      <c r="I151" s="4">
        <f t="shared" si="62"/>
        <v>3.3405729681790319</v>
      </c>
      <c r="J151" s="4">
        <f t="shared" si="63"/>
        <v>8.4118326757584114</v>
      </c>
      <c r="K151" s="4">
        <f t="shared" si="64"/>
        <v>5.6869753563398202</v>
      </c>
      <c r="L151" s="2">
        <v>0</v>
      </c>
      <c r="M151" s="2">
        <v>0</v>
      </c>
      <c r="N151" s="4">
        <f t="shared" si="65"/>
        <v>53.2</v>
      </c>
      <c r="O151" s="4">
        <f t="shared" si="66"/>
        <v>0</v>
      </c>
      <c r="P151" s="4">
        <f t="shared" si="67"/>
        <v>0</v>
      </c>
      <c r="Q151" s="4">
        <f t="shared" si="68"/>
        <v>8.4118326757584114</v>
      </c>
      <c r="R151" s="4">
        <f t="shared" si="69"/>
        <v>5.6869753563398202</v>
      </c>
      <c r="S151" s="4">
        <f t="shared" si="70"/>
        <v>53.2</v>
      </c>
      <c r="T151" s="4">
        <f t="shared" si="71"/>
        <v>0</v>
      </c>
      <c r="U151" s="4">
        <f t="shared" si="72"/>
        <v>8.4118326757584114</v>
      </c>
      <c r="V151" s="4">
        <f t="shared" si="73"/>
        <v>5.6869753563398202</v>
      </c>
      <c r="W151" s="4">
        <f t="shared" si="74"/>
        <v>53.2</v>
      </c>
      <c r="X151" s="4">
        <f t="shared" si="75"/>
        <v>0</v>
      </c>
      <c r="Y151" s="4">
        <f t="shared" si="76"/>
        <v>8.4118326757584114</v>
      </c>
      <c r="Z151" s="4">
        <f t="shared" si="77"/>
        <v>5.6869753563398202</v>
      </c>
      <c r="AA151" s="4">
        <f t="shared" si="78"/>
        <v>53.2</v>
      </c>
      <c r="AB151" s="4">
        <f t="shared" si="79"/>
        <v>0</v>
      </c>
      <c r="AC151" s="4">
        <f t="shared" si="80"/>
        <v>0</v>
      </c>
      <c r="AD151" s="4">
        <f t="shared" si="81"/>
        <v>0</v>
      </c>
      <c r="AE151" s="4">
        <f t="shared" si="82"/>
        <v>0</v>
      </c>
      <c r="AF151" s="4">
        <f t="shared" si="83"/>
        <v>0</v>
      </c>
      <c r="AG151" s="4">
        <f t="shared" si="84"/>
        <v>8.4118326757584114</v>
      </c>
      <c r="AH151" s="4">
        <f t="shared" si="85"/>
        <v>0</v>
      </c>
      <c r="AI151" s="4">
        <f t="shared" si="86"/>
        <v>0</v>
      </c>
      <c r="AJ151" s="4">
        <f t="shared" si="87"/>
        <v>8.4118326757584114</v>
      </c>
      <c r="AK151" s="4">
        <f t="shared" si="88"/>
        <v>5.6869753563398202</v>
      </c>
      <c r="AL151" s="4">
        <f t="shared" si="89"/>
        <v>0</v>
      </c>
      <c r="AM151" s="4">
        <f>CER!$C$7+CER!$C$8*J151+CER!$C$9*K151+CER!$C$10*L151+CER!$C$11*M151</f>
        <v>3.3515019356410027</v>
      </c>
      <c r="AN151" s="4">
        <f t="shared" si="90"/>
        <v>28.545575079779177</v>
      </c>
      <c r="AO151" s="4">
        <f t="shared" si="91"/>
        <v>-1.0928967461970807E-2</v>
      </c>
      <c r="AP151" s="4">
        <f>Alternatives!$F$25+Alternatives!$F$26*J151+Alternatives!$F$27*K151+Alternatives!$F$28*G151+Alternatives!$F$29*O151</f>
        <v>3.3521542846275256</v>
      </c>
      <c r="AQ151" s="4">
        <f t="shared" si="92"/>
        <v>-1.1581316448493695E-2</v>
      </c>
    </row>
    <row r="152" spans="1:43" x14ac:dyDescent="0.35">
      <c r="A152" s="2" t="s">
        <v>201</v>
      </c>
      <c r="B152" s="2" t="s">
        <v>174</v>
      </c>
      <c r="C152" s="2" t="s">
        <v>33</v>
      </c>
      <c r="D152" s="2">
        <v>41.070300000000003</v>
      </c>
      <c r="E152" s="2">
        <v>4500</v>
      </c>
      <c r="F152" s="2">
        <v>180</v>
      </c>
      <c r="G152" s="2">
        <v>44.4</v>
      </c>
      <c r="H152" s="2" t="s">
        <v>68</v>
      </c>
      <c r="I152" s="4">
        <f t="shared" si="62"/>
        <v>3.715285232543688</v>
      </c>
      <c r="J152" s="4">
        <f t="shared" si="63"/>
        <v>8.4118326757584114</v>
      </c>
      <c r="K152" s="4">
        <f t="shared" si="64"/>
        <v>5.1929568508902104</v>
      </c>
      <c r="L152" s="2">
        <v>1</v>
      </c>
      <c r="M152" s="2">
        <v>0</v>
      </c>
      <c r="N152" s="4">
        <f t="shared" si="65"/>
        <v>44.4</v>
      </c>
      <c r="O152" s="4">
        <f t="shared" si="66"/>
        <v>1</v>
      </c>
      <c r="P152" s="4">
        <f t="shared" si="67"/>
        <v>1</v>
      </c>
      <c r="Q152" s="4">
        <f t="shared" si="68"/>
        <v>8.4118326757584114</v>
      </c>
      <c r="R152" s="4">
        <f t="shared" si="69"/>
        <v>5.1929568508902104</v>
      </c>
      <c r="S152" s="4">
        <f t="shared" si="70"/>
        <v>44.4</v>
      </c>
      <c r="T152" s="4">
        <f t="shared" si="71"/>
        <v>1</v>
      </c>
      <c r="U152" s="4">
        <f t="shared" si="72"/>
        <v>8.4118326757584114</v>
      </c>
      <c r="V152" s="4">
        <f t="shared" si="73"/>
        <v>5.1929568508902104</v>
      </c>
      <c r="W152" s="4">
        <f t="shared" si="74"/>
        <v>44.4</v>
      </c>
      <c r="X152" s="4">
        <f t="shared" si="75"/>
        <v>1</v>
      </c>
      <c r="Y152" s="4">
        <f t="shared" si="76"/>
        <v>8.4118326757584114</v>
      </c>
      <c r="Z152" s="4">
        <f t="shared" si="77"/>
        <v>5.1929568508902104</v>
      </c>
      <c r="AA152" s="4">
        <f t="shared" si="78"/>
        <v>44.4</v>
      </c>
      <c r="AB152" s="4">
        <f t="shared" si="79"/>
        <v>1</v>
      </c>
      <c r="AC152" s="4">
        <f t="shared" si="80"/>
        <v>0</v>
      </c>
      <c r="AD152" s="4">
        <f t="shared" si="81"/>
        <v>0</v>
      </c>
      <c r="AE152" s="4">
        <f t="shared" si="82"/>
        <v>0</v>
      </c>
      <c r="AF152" s="4">
        <f t="shared" si="83"/>
        <v>0</v>
      </c>
      <c r="AG152" s="4">
        <f t="shared" si="84"/>
        <v>8.4118326757584114</v>
      </c>
      <c r="AH152" s="4">
        <f t="shared" si="85"/>
        <v>1</v>
      </c>
      <c r="AI152" s="4">
        <f t="shared" si="86"/>
        <v>0</v>
      </c>
      <c r="AJ152" s="4">
        <f t="shared" si="87"/>
        <v>8.4118326757584114</v>
      </c>
      <c r="AK152" s="4">
        <f t="shared" si="88"/>
        <v>5.1929568508902104</v>
      </c>
      <c r="AL152" s="4">
        <f t="shared" si="89"/>
        <v>0</v>
      </c>
      <c r="AM152" s="4">
        <f>CER!$C$7+CER!$C$8*J152+CER!$C$9*K152+CER!$C$10*L152+CER!$C$11*M152</f>
        <v>3.7575205277300272</v>
      </c>
      <c r="AN152" s="4">
        <f t="shared" si="90"/>
        <v>42.842068457260908</v>
      </c>
      <c r="AO152" s="4">
        <f t="shared" si="91"/>
        <v>-4.2235295186339172E-2</v>
      </c>
      <c r="AP152" s="4">
        <f>Alternatives!$F$25+Alternatives!$F$26*J152+Alternatives!$F$27*K152+Alternatives!$F$28*G152+Alternatives!$F$29*O152</f>
        <v>4.4428218301396454</v>
      </c>
      <c r="AQ152" s="4">
        <f t="shared" si="92"/>
        <v>-0.72753659759595735</v>
      </c>
    </row>
    <row r="153" spans="1:43" x14ac:dyDescent="0.35">
      <c r="A153" s="2" t="s">
        <v>202</v>
      </c>
      <c r="B153" s="2" t="s">
        <v>174</v>
      </c>
      <c r="C153" s="2" t="s">
        <v>67</v>
      </c>
      <c r="D153" s="2">
        <v>36.105899999999998</v>
      </c>
      <c r="E153" s="2">
        <v>4000</v>
      </c>
      <c r="F153" s="2">
        <v>280</v>
      </c>
      <c r="G153" s="2">
        <v>48.4</v>
      </c>
      <c r="H153" s="2" t="s">
        <v>68</v>
      </c>
      <c r="I153" s="4">
        <f t="shared" si="62"/>
        <v>3.5864562868878536</v>
      </c>
      <c r="J153" s="4">
        <f t="shared" si="63"/>
        <v>8.2940496401020276</v>
      </c>
      <c r="K153" s="4">
        <f t="shared" si="64"/>
        <v>5.6347896031692493</v>
      </c>
      <c r="L153" s="2">
        <v>0</v>
      </c>
      <c r="M153" s="2">
        <v>0</v>
      </c>
      <c r="N153" s="4">
        <f t="shared" si="65"/>
        <v>48.4</v>
      </c>
      <c r="O153" s="4">
        <f t="shared" si="66"/>
        <v>0</v>
      </c>
      <c r="P153" s="4">
        <f t="shared" si="67"/>
        <v>0</v>
      </c>
      <c r="Q153" s="4">
        <f t="shared" si="68"/>
        <v>8.2940496401020276</v>
      </c>
      <c r="R153" s="4">
        <f t="shared" si="69"/>
        <v>5.6347896031692493</v>
      </c>
      <c r="S153" s="4">
        <f t="shared" si="70"/>
        <v>48.4</v>
      </c>
      <c r="T153" s="4">
        <f t="shared" si="71"/>
        <v>0</v>
      </c>
      <c r="U153" s="4">
        <f t="shared" si="72"/>
        <v>8.2940496401020276</v>
      </c>
      <c r="V153" s="4">
        <f t="shared" si="73"/>
        <v>5.6347896031692493</v>
      </c>
      <c r="W153" s="4">
        <f t="shared" si="74"/>
        <v>48.4</v>
      </c>
      <c r="X153" s="4">
        <f t="shared" si="75"/>
        <v>0</v>
      </c>
      <c r="Y153" s="4">
        <f t="shared" si="76"/>
        <v>8.2940496401020276</v>
      </c>
      <c r="Z153" s="4">
        <f t="shared" si="77"/>
        <v>5.6347896031692493</v>
      </c>
      <c r="AA153" s="4">
        <f t="shared" si="78"/>
        <v>48.4</v>
      </c>
      <c r="AB153" s="4">
        <f t="shared" si="79"/>
        <v>0</v>
      </c>
      <c r="AC153" s="4">
        <f t="shared" si="80"/>
        <v>0</v>
      </c>
      <c r="AD153" s="4">
        <f t="shared" si="81"/>
        <v>0</v>
      </c>
      <c r="AE153" s="4">
        <f t="shared" si="82"/>
        <v>0</v>
      </c>
      <c r="AF153" s="4">
        <f t="shared" si="83"/>
        <v>0</v>
      </c>
      <c r="AG153" s="4">
        <f t="shared" si="84"/>
        <v>8.2940496401020276</v>
      </c>
      <c r="AH153" s="4">
        <f t="shared" si="85"/>
        <v>0</v>
      </c>
      <c r="AI153" s="4">
        <f t="shared" si="86"/>
        <v>0</v>
      </c>
      <c r="AJ153" s="4">
        <f t="shared" si="87"/>
        <v>8.2940496401020276</v>
      </c>
      <c r="AK153" s="4">
        <f t="shared" si="88"/>
        <v>5.6347896031692493</v>
      </c>
      <c r="AL153" s="4">
        <f t="shared" si="89"/>
        <v>0</v>
      </c>
      <c r="AM153" s="4">
        <f>CER!$C$7+CER!$C$8*J153+CER!$C$9*K153+CER!$C$10*L153+CER!$C$11*M153</f>
        <v>3.4240769956055201</v>
      </c>
      <c r="AN153" s="4">
        <f t="shared" si="90"/>
        <v>30.694300798150113</v>
      </c>
      <c r="AO153" s="4">
        <f t="shared" si="91"/>
        <v>0.16237929128233342</v>
      </c>
      <c r="AP153" s="4">
        <f>Alternatives!$F$25+Alternatives!$F$26*J153+Alternatives!$F$27*K153+Alternatives!$F$28*G153+Alternatives!$F$29*O153</f>
        <v>3.3848866935779962</v>
      </c>
      <c r="AQ153" s="4">
        <f t="shared" si="92"/>
        <v>0.20156959330985735</v>
      </c>
    </row>
    <row r="154" spans="1:43" x14ac:dyDescent="0.35">
      <c r="A154" s="2" t="s">
        <v>202</v>
      </c>
      <c r="B154" s="2" t="s">
        <v>174</v>
      </c>
      <c r="C154" s="2" t="s">
        <v>67</v>
      </c>
      <c r="D154" s="2">
        <v>26.4556</v>
      </c>
      <c r="E154" s="2">
        <v>4000</v>
      </c>
      <c r="F154" s="2">
        <v>505</v>
      </c>
      <c r="G154" s="2">
        <v>48.4</v>
      </c>
      <c r="H154" s="2" t="s">
        <v>68</v>
      </c>
      <c r="I154" s="4">
        <f t="shared" si="62"/>
        <v>3.2754678561215873</v>
      </c>
      <c r="J154" s="4">
        <f t="shared" si="63"/>
        <v>8.2940496401020276</v>
      </c>
      <c r="K154" s="4">
        <f t="shared" si="64"/>
        <v>6.2245584292753602</v>
      </c>
      <c r="L154" s="2">
        <v>0</v>
      </c>
      <c r="M154" s="2">
        <v>0</v>
      </c>
      <c r="N154" s="4">
        <f t="shared" si="65"/>
        <v>48.4</v>
      </c>
      <c r="O154" s="4">
        <f t="shared" si="66"/>
        <v>0</v>
      </c>
      <c r="P154" s="4">
        <f t="shared" si="67"/>
        <v>0</v>
      </c>
      <c r="Q154" s="4">
        <f t="shared" si="68"/>
        <v>8.2940496401020276</v>
      </c>
      <c r="R154" s="4">
        <f t="shared" si="69"/>
        <v>6.2245584292753602</v>
      </c>
      <c r="S154" s="4">
        <f t="shared" si="70"/>
        <v>48.4</v>
      </c>
      <c r="T154" s="4">
        <f t="shared" si="71"/>
        <v>0</v>
      </c>
      <c r="U154" s="4">
        <f t="shared" si="72"/>
        <v>8.2940496401020276</v>
      </c>
      <c r="V154" s="4">
        <f t="shared" si="73"/>
        <v>6.2245584292753602</v>
      </c>
      <c r="W154" s="4">
        <f t="shared" si="74"/>
        <v>48.4</v>
      </c>
      <c r="X154" s="4">
        <f t="shared" si="75"/>
        <v>0</v>
      </c>
      <c r="Y154" s="4">
        <f t="shared" si="76"/>
        <v>8.2940496401020276</v>
      </c>
      <c r="Z154" s="4">
        <f t="shared" si="77"/>
        <v>6.2245584292753602</v>
      </c>
      <c r="AA154" s="4">
        <f t="shared" si="78"/>
        <v>48.4</v>
      </c>
      <c r="AB154" s="4">
        <f t="shared" si="79"/>
        <v>0</v>
      </c>
      <c r="AC154" s="4">
        <f t="shared" si="80"/>
        <v>0</v>
      </c>
      <c r="AD154" s="4">
        <f t="shared" si="81"/>
        <v>0</v>
      </c>
      <c r="AE154" s="4">
        <f t="shared" si="82"/>
        <v>0</v>
      </c>
      <c r="AF154" s="4">
        <f t="shared" si="83"/>
        <v>0</v>
      </c>
      <c r="AG154" s="4">
        <f t="shared" si="84"/>
        <v>8.2940496401020276</v>
      </c>
      <c r="AH154" s="4">
        <f t="shared" si="85"/>
        <v>0</v>
      </c>
      <c r="AI154" s="4">
        <f t="shared" si="86"/>
        <v>0</v>
      </c>
      <c r="AJ154" s="4">
        <f t="shared" si="87"/>
        <v>8.2940496401020276</v>
      </c>
      <c r="AK154" s="4">
        <f t="shared" si="88"/>
        <v>6.2245584292753602</v>
      </c>
      <c r="AL154" s="4">
        <f t="shared" si="89"/>
        <v>0</v>
      </c>
      <c r="AM154" s="4">
        <f>CER!$C$7+CER!$C$8*J154+CER!$C$9*K154+CER!$C$10*L154+CER!$C$11*M154</f>
        <v>3.2064854945787182</v>
      </c>
      <c r="AN154" s="4">
        <f t="shared" si="90"/>
        <v>24.692152845115281</v>
      </c>
      <c r="AO154" s="4">
        <f t="shared" si="91"/>
        <v>6.8982361542869075E-2</v>
      </c>
      <c r="AP154" s="4">
        <f>Alternatives!$F$25+Alternatives!$F$26*J154+Alternatives!$F$27*K154+Alternatives!$F$28*G154+Alternatives!$F$29*O154</f>
        <v>3.2279433301887317</v>
      </c>
      <c r="AQ154" s="4">
        <f t="shared" si="92"/>
        <v>4.752452593285561E-2</v>
      </c>
    </row>
    <row r="155" spans="1:43" x14ac:dyDescent="0.35">
      <c r="A155" s="2" t="s">
        <v>203</v>
      </c>
      <c r="B155" s="2" t="s">
        <v>174</v>
      </c>
      <c r="C155" s="2" t="s">
        <v>67</v>
      </c>
      <c r="D155" s="2">
        <v>34.034999999999997</v>
      </c>
      <c r="E155" s="2">
        <v>4000</v>
      </c>
      <c r="F155" s="2">
        <v>280</v>
      </c>
      <c r="G155" s="2">
        <v>48.3</v>
      </c>
      <c r="H155" s="2" t="s">
        <v>68</v>
      </c>
      <c r="I155" s="4">
        <f t="shared" si="62"/>
        <v>3.5273894068999145</v>
      </c>
      <c r="J155" s="4">
        <f t="shared" si="63"/>
        <v>8.2940496401020276</v>
      </c>
      <c r="K155" s="4">
        <f t="shared" si="64"/>
        <v>5.6347896031692493</v>
      </c>
      <c r="L155" s="2">
        <v>0</v>
      </c>
      <c r="M155" s="2">
        <v>0</v>
      </c>
      <c r="N155" s="4">
        <f t="shared" si="65"/>
        <v>48.3</v>
      </c>
      <c r="O155" s="4">
        <f t="shared" si="66"/>
        <v>0</v>
      </c>
      <c r="P155" s="4">
        <f t="shared" si="67"/>
        <v>0</v>
      </c>
      <c r="Q155" s="4">
        <f t="shared" si="68"/>
        <v>8.2940496401020276</v>
      </c>
      <c r="R155" s="4">
        <f t="shared" si="69"/>
        <v>5.6347896031692493</v>
      </c>
      <c r="S155" s="4">
        <f t="shared" si="70"/>
        <v>48.3</v>
      </c>
      <c r="T155" s="4">
        <f t="shared" si="71"/>
        <v>0</v>
      </c>
      <c r="U155" s="4">
        <f t="shared" si="72"/>
        <v>8.2940496401020276</v>
      </c>
      <c r="V155" s="4">
        <f t="shared" si="73"/>
        <v>5.6347896031692493</v>
      </c>
      <c r="W155" s="4">
        <f t="shared" si="74"/>
        <v>48.3</v>
      </c>
      <c r="X155" s="4">
        <f t="shared" si="75"/>
        <v>0</v>
      </c>
      <c r="Y155" s="4">
        <f t="shared" si="76"/>
        <v>8.2940496401020276</v>
      </c>
      <c r="Z155" s="4">
        <f t="shared" si="77"/>
        <v>5.6347896031692493</v>
      </c>
      <c r="AA155" s="4">
        <f t="shared" si="78"/>
        <v>48.3</v>
      </c>
      <c r="AB155" s="4">
        <f t="shared" si="79"/>
        <v>0</v>
      </c>
      <c r="AC155" s="4">
        <f t="shared" si="80"/>
        <v>0</v>
      </c>
      <c r="AD155" s="4">
        <f t="shared" si="81"/>
        <v>0</v>
      </c>
      <c r="AE155" s="4">
        <f t="shared" si="82"/>
        <v>0</v>
      </c>
      <c r="AF155" s="4">
        <f t="shared" si="83"/>
        <v>0</v>
      </c>
      <c r="AG155" s="4">
        <f t="shared" si="84"/>
        <v>8.2940496401020276</v>
      </c>
      <c r="AH155" s="4">
        <f t="shared" si="85"/>
        <v>0</v>
      </c>
      <c r="AI155" s="4">
        <f t="shared" si="86"/>
        <v>0</v>
      </c>
      <c r="AJ155" s="4">
        <f t="shared" si="87"/>
        <v>8.2940496401020276</v>
      </c>
      <c r="AK155" s="4">
        <f t="shared" si="88"/>
        <v>5.6347896031692493</v>
      </c>
      <c r="AL155" s="4">
        <f t="shared" si="89"/>
        <v>0</v>
      </c>
      <c r="AM155" s="4">
        <f>CER!$C$7+CER!$C$8*J155+CER!$C$9*K155+CER!$C$10*L155+CER!$C$11*M155</f>
        <v>3.4240769956055201</v>
      </c>
      <c r="AN155" s="4">
        <f t="shared" si="90"/>
        <v>30.694300798150113</v>
      </c>
      <c r="AO155" s="4">
        <f t="shared" si="91"/>
        <v>0.10331241129439439</v>
      </c>
      <c r="AP155" s="4">
        <f>Alternatives!$F$25+Alternatives!$F$26*J155+Alternatives!$F$27*K155+Alternatives!$F$28*G155+Alternatives!$F$29*O155</f>
        <v>3.3861874250322188</v>
      </c>
      <c r="AQ155" s="4">
        <f t="shared" si="92"/>
        <v>0.14120198186769573</v>
      </c>
    </row>
    <row r="156" spans="1:43" x14ac:dyDescent="0.35">
      <c r="A156" s="2" t="s">
        <v>204</v>
      </c>
      <c r="B156" s="2" t="s">
        <v>174</v>
      </c>
      <c r="C156" s="2" t="s">
        <v>67</v>
      </c>
      <c r="D156" s="2">
        <v>33.7761</v>
      </c>
      <c r="E156" s="2">
        <v>4000</v>
      </c>
      <c r="F156" s="2">
        <v>280</v>
      </c>
      <c r="G156" s="2">
        <v>49.5</v>
      </c>
      <c r="H156" s="2" t="s">
        <v>68</v>
      </c>
      <c r="I156" s="4">
        <f t="shared" si="62"/>
        <v>3.519753451783723</v>
      </c>
      <c r="J156" s="4">
        <f t="shared" si="63"/>
        <v>8.2940496401020276</v>
      </c>
      <c r="K156" s="4">
        <f t="shared" si="64"/>
        <v>5.6347896031692493</v>
      </c>
      <c r="L156" s="2">
        <v>0</v>
      </c>
      <c r="M156" s="2">
        <v>0</v>
      </c>
      <c r="N156" s="4">
        <f t="shared" si="65"/>
        <v>49.5</v>
      </c>
      <c r="O156" s="4">
        <f t="shared" si="66"/>
        <v>0</v>
      </c>
      <c r="P156" s="4">
        <f t="shared" si="67"/>
        <v>0</v>
      </c>
      <c r="Q156" s="4">
        <f t="shared" si="68"/>
        <v>8.2940496401020276</v>
      </c>
      <c r="R156" s="4">
        <f t="shared" si="69"/>
        <v>5.6347896031692493</v>
      </c>
      <c r="S156" s="4">
        <f t="shared" si="70"/>
        <v>49.5</v>
      </c>
      <c r="T156" s="4">
        <f t="shared" si="71"/>
        <v>0</v>
      </c>
      <c r="U156" s="4">
        <f t="shared" si="72"/>
        <v>8.2940496401020276</v>
      </c>
      <c r="V156" s="4">
        <f t="shared" si="73"/>
        <v>5.6347896031692493</v>
      </c>
      <c r="W156" s="4">
        <f t="shared" si="74"/>
        <v>49.5</v>
      </c>
      <c r="X156" s="4">
        <f t="shared" si="75"/>
        <v>0</v>
      </c>
      <c r="Y156" s="4">
        <f t="shared" si="76"/>
        <v>8.2940496401020276</v>
      </c>
      <c r="Z156" s="4">
        <f t="shared" si="77"/>
        <v>5.6347896031692493</v>
      </c>
      <c r="AA156" s="4">
        <f t="shared" si="78"/>
        <v>49.5</v>
      </c>
      <c r="AB156" s="4">
        <f t="shared" si="79"/>
        <v>0</v>
      </c>
      <c r="AC156" s="4">
        <f t="shared" si="80"/>
        <v>0</v>
      </c>
      <c r="AD156" s="4">
        <f t="shared" si="81"/>
        <v>0</v>
      </c>
      <c r="AE156" s="4">
        <f t="shared" si="82"/>
        <v>0</v>
      </c>
      <c r="AF156" s="4">
        <f t="shared" si="83"/>
        <v>0</v>
      </c>
      <c r="AG156" s="4">
        <f t="shared" si="84"/>
        <v>8.2940496401020276</v>
      </c>
      <c r="AH156" s="4">
        <f t="shared" si="85"/>
        <v>0</v>
      </c>
      <c r="AI156" s="4">
        <f t="shared" si="86"/>
        <v>0</v>
      </c>
      <c r="AJ156" s="4">
        <f t="shared" si="87"/>
        <v>8.2940496401020276</v>
      </c>
      <c r="AK156" s="4">
        <f t="shared" si="88"/>
        <v>5.6347896031692493</v>
      </c>
      <c r="AL156" s="4">
        <f t="shared" si="89"/>
        <v>0</v>
      </c>
      <c r="AM156" s="4">
        <f>CER!$C$7+CER!$C$8*J156+CER!$C$9*K156+CER!$C$10*L156+CER!$C$11*M156</f>
        <v>3.4240769956055201</v>
      </c>
      <c r="AN156" s="4">
        <f t="shared" si="90"/>
        <v>30.694300798150113</v>
      </c>
      <c r="AO156" s="4">
        <f t="shared" si="91"/>
        <v>9.5676456178202862E-2</v>
      </c>
      <c r="AP156" s="4">
        <f>Alternatives!$F$25+Alternatives!$F$26*J156+Alternatives!$F$27*K156+Alternatives!$F$28*G156+Alternatives!$F$29*O156</f>
        <v>3.3705786475815449</v>
      </c>
      <c r="AQ156" s="4">
        <f t="shared" si="92"/>
        <v>0.1491748042021781</v>
      </c>
    </row>
    <row r="157" spans="1:43" x14ac:dyDescent="0.35">
      <c r="A157" s="2" t="s">
        <v>205</v>
      </c>
      <c r="B157" s="2" t="s">
        <v>174</v>
      </c>
      <c r="C157" s="2" t="s">
        <v>67</v>
      </c>
      <c r="D157" s="2">
        <v>32.418900000000001</v>
      </c>
      <c r="E157" s="2">
        <v>4000</v>
      </c>
      <c r="F157" s="2">
        <v>280</v>
      </c>
      <c r="G157" s="2">
        <v>49.5</v>
      </c>
      <c r="H157" s="2" t="s">
        <v>68</v>
      </c>
      <c r="I157" s="4">
        <f t="shared" si="62"/>
        <v>3.4787415860588644</v>
      </c>
      <c r="J157" s="4">
        <f t="shared" si="63"/>
        <v>8.2940496401020276</v>
      </c>
      <c r="K157" s="4">
        <f t="shared" si="64"/>
        <v>5.6347896031692493</v>
      </c>
      <c r="L157" s="2">
        <v>0</v>
      </c>
      <c r="M157" s="2">
        <v>0</v>
      </c>
      <c r="N157" s="4">
        <f t="shared" si="65"/>
        <v>49.5</v>
      </c>
      <c r="O157" s="4">
        <f t="shared" si="66"/>
        <v>0</v>
      </c>
      <c r="P157" s="4">
        <f t="shared" si="67"/>
        <v>0</v>
      </c>
      <c r="Q157" s="4">
        <f t="shared" si="68"/>
        <v>8.2940496401020276</v>
      </c>
      <c r="R157" s="4">
        <f t="shared" si="69"/>
        <v>5.6347896031692493</v>
      </c>
      <c r="S157" s="4">
        <f t="shared" si="70"/>
        <v>49.5</v>
      </c>
      <c r="T157" s="4">
        <f t="shared" si="71"/>
        <v>0</v>
      </c>
      <c r="U157" s="4">
        <f t="shared" si="72"/>
        <v>8.2940496401020276</v>
      </c>
      <c r="V157" s="4">
        <f t="shared" si="73"/>
        <v>5.6347896031692493</v>
      </c>
      <c r="W157" s="4">
        <f t="shared" si="74"/>
        <v>49.5</v>
      </c>
      <c r="X157" s="4">
        <f t="shared" si="75"/>
        <v>0</v>
      </c>
      <c r="Y157" s="4">
        <f t="shared" si="76"/>
        <v>8.2940496401020276</v>
      </c>
      <c r="Z157" s="4">
        <f t="shared" si="77"/>
        <v>5.6347896031692493</v>
      </c>
      <c r="AA157" s="4">
        <f t="shared" si="78"/>
        <v>49.5</v>
      </c>
      <c r="AB157" s="4">
        <f t="shared" si="79"/>
        <v>0</v>
      </c>
      <c r="AC157" s="4">
        <f t="shared" si="80"/>
        <v>0</v>
      </c>
      <c r="AD157" s="4">
        <f t="shared" si="81"/>
        <v>0</v>
      </c>
      <c r="AE157" s="4">
        <f t="shared" si="82"/>
        <v>0</v>
      </c>
      <c r="AF157" s="4">
        <f t="shared" si="83"/>
        <v>0</v>
      </c>
      <c r="AG157" s="4">
        <f t="shared" si="84"/>
        <v>8.2940496401020276</v>
      </c>
      <c r="AH157" s="4">
        <f t="shared" si="85"/>
        <v>0</v>
      </c>
      <c r="AI157" s="4">
        <f t="shared" si="86"/>
        <v>0</v>
      </c>
      <c r="AJ157" s="4">
        <f t="shared" si="87"/>
        <v>8.2940496401020276</v>
      </c>
      <c r="AK157" s="4">
        <f t="shared" si="88"/>
        <v>5.6347896031692493</v>
      </c>
      <c r="AL157" s="4">
        <f t="shared" si="89"/>
        <v>0</v>
      </c>
      <c r="AM157" s="4">
        <f>CER!$C$7+CER!$C$8*J157+CER!$C$9*K157+CER!$C$10*L157+CER!$C$11*M157</f>
        <v>3.4240769956055201</v>
      </c>
      <c r="AN157" s="4">
        <f t="shared" si="90"/>
        <v>30.694300798150113</v>
      </c>
      <c r="AO157" s="4">
        <f t="shared" si="91"/>
        <v>5.4664590453344264E-2</v>
      </c>
      <c r="AP157" s="4">
        <f>Alternatives!$F$25+Alternatives!$F$26*J157+Alternatives!$F$27*K157+Alternatives!$F$28*G157+Alternatives!$F$29*O157</f>
        <v>3.3705786475815449</v>
      </c>
      <c r="AQ157" s="4">
        <f t="shared" si="92"/>
        <v>0.1081629384773195</v>
      </c>
    </row>
    <row r="158" spans="1:43" x14ac:dyDescent="0.35">
      <c r="A158" s="2" t="s">
        <v>205</v>
      </c>
      <c r="B158" s="2" t="s">
        <v>174</v>
      </c>
      <c r="C158" s="2" t="s">
        <v>67</v>
      </c>
      <c r="D158" s="2">
        <v>24.864899999999999</v>
      </c>
      <c r="E158" s="2">
        <v>4500</v>
      </c>
      <c r="F158" s="2">
        <v>505</v>
      </c>
      <c r="G158" s="2">
        <v>49.5</v>
      </c>
      <c r="H158" s="2" t="s">
        <v>68</v>
      </c>
      <c r="I158" s="4">
        <f t="shared" si="62"/>
        <v>3.2134571704413415</v>
      </c>
      <c r="J158" s="4">
        <f t="shared" si="63"/>
        <v>8.4118326757584114</v>
      </c>
      <c r="K158" s="4">
        <f t="shared" si="64"/>
        <v>6.2245584292753602</v>
      </c>
      <c r="L158" s="2">
        <v>0</v>
      </c>
      <c r="M158" s="2">
        <v>0</v>
      </c>
      <c r="N158" s="4">
        <f t="shared" si="65"/>
        <v>49.5</v>
      </c>
      <c r="O158" s="4">
        <f t="shared" si="66"/>
        <v>0</v>
      </c>
      <c r="P158" s="4">
        <f t="shared" si="67"/>
        <v>0</v>
      </c>
      <c r="Q158" s="4">
        <f t="shared" si="68"/>
        <v>8.4118326757584114</v>
      </c>
      <c r="R158" s="4">
        <f t="shared" si="69"/>
        <v>6.2245584292753602</v>
      </c>
      <c r="S158" s="4">
        <f t="shared" si="70"/>
        <v>49.5</v>
      </c>
      <c r="T158" s="4">
        <f t="shared" si="71"/>
        <v>0</v>
      </c>
      <c r="U158" s="4">
        <f t="shared" si="72"/>
        <v>8.4118326757584114</v>
      </c>
      <c r="V158" s="4">
        <f t="shared" si="73"/>
        <v>6.2245584292753602</v>
      </c>
      <c r="W158" s="4">
        <f t="shared" si="74"/>
        <v>49.5</v>
      </c>
      <c r="X158" s="4">
        <f t="shared" si="75"/>
        <v>0</v>
      </c>
      <c r="Y158" s="4">
        <f t="shared" si="76"/>
        <v>8.4118326757584114</v>
      </c>
      <c r="Z158" s="4">
        <f t="shared" si="77"/>
        <v>6.2245584292753602</v>
      </c>
      <c r="AA158" s="4">
        <f t="shared" si="78"/>
        <v>49.5</v>
      </c>
      <c r="AB158" s="4">
        <f t="shared" si="79"/>
        <v>0</v>
      </c>
      <c r="AC158" s="4">
        <f t="shared" si="80"/>
        <v>0</v>
      </c>
      <c r="AD158" s="4">
        <f t="shared" si="81"/>
        <v>0</v>
      </c>
      <c r="AE158" s="4">
        <f t="shared" si="82"/>
        <v>0</v>
      </c>
      <c r="AF158" s="4">
        <f t="shared" si="83"/>
        <v>0</v>
      </c>
      <c r="AG158" s="4">
        <f t="shared" si="84"/>
        <v>8.4118326757584114</v>
      </c>
      <c r="AH158" s="4">
        <f t="shared" si="85"/>
        <v>0</v>
      </c>
      <c r="AI158" s="4">
        <f t="shared" si="86"/>
        <v>0</v>
      </c>
      <c r="AJ158" s="4">
        <f t="shared" si="87"/>
        <v>8.4118326757584114</v>
      </c>
      <c r="AK158" s="4">
        <f t="shared" si="88"/>
        <v>6.2245584292753602</v>
      </c>
      <c r="AL158" s="4">
        <f t="shared" si="89"/>
        <v>0</v>
      </c>
      <c r="AM158" s="4">
        <f>CER!$C$7+CER!$C$8*J158+CER!$C$9*K158+CER!$C$10*L158+CER!$C$11*M158</f>
        <v>3.1531640401999184</v>
      </c>
      <c r="AN158" s="4">
        <f t="shared" si="90"/>
        <v>23.410017761105824</v>
      </c>
      <c r="AO158" s="4">
        <f t="shared" si="91"/>
        <v>6.0293130241423132E-2</v>
      </c>
      <c r="AP158" s="4">
        <f>Alternatives!$F$25+Alternatives!$F$26*J158+Alternatives!$F$27*K158+Alternatives!$F$28*G158+Alternatives!$F$29*O158</f>
        <v>3.2572251341460721</v>
      </c>
      <c r="AQ158" s="4">
        <f t="shared" si="92"/>
        <v>-4.3767963704730573E-2</v>
      </c>
    </row>
    <row r="159" spans="1:43" x14ac:dyDescent="0.35">
      <c r="A159" s="2" t="s">
        <v>206</v>
      </c>
      <c r="B159" s="2" t="s">
        <v>174</v>
      </c>
      <c r="C159" s="2" t="s">
        <v>67</v>
      </c>
      <c r="D159" s="2">
        <v>25.621700000000001</v>
      </c>
      <c r="E159" s="2">
        <v>5000</v>
      </c>
      <c r="F159" s="2">
        <v>305</v>
      </c>
      <c r="G159" s="2">
        <v>66.7</v>
      </c>
      <c r="H159" s="2" t="s">
        <v>68</v>
      </c>
      <c r="I159" s="4">
        <f t="shared" si="62"/>
        <v>3.2434396486778483</v>
      </c>
      <c r="J159" s="4">
        <f t="shared" si="63"/>
        <v>8.5171931914162382</v>
      </c>
      <c r="K159" s="4">
        <f t="shared" si="64"/>
        <v>5.7203117766074119</v>
      </c>
      <c r="L159" s="2">
        <v>0</v>
      </c>
      <c r="M159" s="2">
        <v>0</v>
      </c>
      <c r="N159" s="4">
        <f t="shared" si="65"/>
        <v>66.7</v>
      </c>
      <c r="O159" s="4">
        <f t="shared" si="66"/>
        <v>0</v>
      </c>
      <c r="P159" s="4">
        <f t="shared" si="67"/>
        <v>0</v>
      </c>
      <c r="Q159" s="4">
        <f t="shared" si="68"/>
        <v>8.5171931914162382</v>
      </c>
      <c r="R159" s="4">
        <f t="shared" si="69"/>
        <v>5.7203117766074119</v>
      </c>
      <c r="S159" s="4">
        <f t="shared" si="70"/>
        <v>66.7</v>
      </c>
      <c r="T159" s="4">
        <f t="shared" si="71"/>
        <v>0</v>
      </c>
      <c r="U159" s="4">
        <f t="shared" si="72"/>
        <v>8.5171931914162382</v>
      </c>
      <c r="V159" s="4">
        <f t="shared" si="73"/>
        <v>5.7203117766074119</v>
      </c>
      <c r="W159" s="4">
        <f t="shared" si="74"/>
        <v>66.7</v>
      </c>
      <c r="X159" s="4">
        <f t="shared" si="75"/>
        <v>0</v>
      </c>
      <c r="Y159" s="4">
        <f t="shared" si="76"/>
        <v>8.5171931914162382</v>
      </c>
      <c r="Z159" s="4">
        <f t="shared" si="77"/>
        <v>5.7203117766074119</v>
      </c>
      <c r="AA159" s="4">
        <f t="shared" si="78"/>
        <v>66.7</v>
      </c>
      <c r="AB159" s="4">
        <f t="shared" si="79"/>
        <v>0</v>
      </c>
      <c r="AC159" s="4">
        <f t="shared" si="80"/>
        <v>0</v>
      </c>
      <c r="AD159" s="4">
        <f t="shared" si="81"/>
        <v>0</v>
      </c>
      <c r="AE159" s="4">
        <f t="shared" si="82"/>
        <v>0</v>
      </c>
      <c r="AF159" s="4">
        <f t="shared" si="83"/>
        <v>0</v>
      </c>
      <c r="AG159" s="4">
        <f t="shared" si="84"/>
        <v>8.5171931914162382</v>
      </c>
      <c r="AH159" s="4">
        <f t="shared" si="85"/>
        <v>0</v>
      </c>
      <c r="AI159" s="4">
        <f t="shared" si="86"/>
        <v>0</v>
      </c>
      <c r="AJ159" s="4">
        <f t="shared" si="87"/>
        <v>8.5171931914162382</v>
      </c>
      <c r="AK159" s="4">
        <f t="shared" si="88"/>
        <v>5.7203117766074119</v>
      </c>
      <c r="AL159" s="4">
        <f t="shared" si="89"/>
        <v>0</v>
      </c>
      <c r="AM159" s="4">
        <f>CER!$C$7+CER!$C$8*J159+CER!$C$9*K159+CER!$C$10*L159+CER!$C$11*M159</f>
        <v>3.2915050066537086</v>
      </c>
      <c r="AN159" s="4">
        <f t="shared" si="90"/>
        <v>26.88329275970926</v>
      </c>
      <c r="AO159" s="4">
        <f t="shared" si="91"/>
        <v>-4.8065357975860312E-2</v>
      </c>
      <c r="AP159" s="4">
        <f>Alternatives!$F$25+Alternatives!$F$26*J159+Alternatives!$F$27*K159+Alternatives!$F$28*G159+Alternatives!$F$29*O159</f>
        <v>3.2066768340695404</v>
      </c>
      <c r="AQ159" s="4">
        <f t="shared" si="92"/>
        <v>3.6762814608307881E-2</v>
      </c>
    </row>
    <row r="160" spans="1:43" x14ac:dyDescent="0.35">
      <c r="A160" s="2" t="s">
        <v>206</v>
      </c>
      <c r="B160" s="2" t="s">
        <v>174</v>
      </c>
      <c r="C160" s="2" t="s">
        <v>67</v>
      </c>
      <c r="D160" s="2">
        <v>21.8294</v>
      </c>
      <c r="E160" s="2">
        <v>5500</v>
      </c>
      <c r="F160" s="2">
        <v>395</v>
      </c>
      <c r="G160" s="2">
        <v>66.7</v>
      </c>
      <c r="H160" s="2" t="s">
        <v>68</v>
      </c>
      <c r="I160" s="4">
        <f t="shared" si="62"/>
        <v>3.0832576850718989</v>
      </c>
      <c r="J160" s="4">
        <f t="shared" si="63"/>
        <v>8.6125033712205621</v>
      </c>
      <c r="K160" s="4">
        <f t="shared" si="64"/>
        <v>5.978885764901122</v>
      </c>
      <c r="L160" s="2">
        <v>0</v>
      </c>
      <c r="M160" s="2">
        <v>0</v>
      </c>
      <c r="N160" s="4">
        <f t="shared" si="65"/>
        <v>66.7</v>
      </c>
      <c r="O160" s="4">
        <f t="shared" si="66"/>
        <v>0</v>
      </c>
      <c r="P160" s="4">
        <f t="shared" si="67"/>
        <v>0</v>
      </c>
      <c r="Q160" s="4">
        <f t="shared" si="68"/>
        <v>8.6125033712205621</v>
      </c>
      <c r="R160" s="4">
        <f t="shared" si="69"/>
        <v>5.978885764901122</v>
      </c>
      <c r="S160" s="4">
        <f t="shared" si="70"/>
        <v>66.7</v>
      </c>
      <c r="T160" s="4">
        <f t="shared" si="71"/>
        <v>0</v>
      </c>
      <c r="U160" s="4">
        <f t="shared" si="72"/>
        <v>8.6125033712205621</v>
      </c>
      <c r="V160" s="4">
        <f t="shared" si="73"/>
        <v>5.978885764901122</v>
      </c>
      <c r="W160" s="4">
        <f t="shared" si="74"/>
        <v>66.7</v>
      </c>
      <c r="X160" s="4">
        <f t="shared" si="75"/>
        <v>0</v>
      </c>
      <c r="Y160" s="4">
        <f t="shared" si="76"/>
        <v>8.6125033712205621</v>
      </c>
      <c r="Z160" s="4">
        <f t="shared" si="77"/>
        <v>5.978885764901122</v>
      </c>
      <c r="AA160" s="4">
        <f t="shared" si="78"/>
        <v>66.7</v>
      </c>
      <c r="AB160" s="4">
        <f t="shared" si="79"/>
        <v>0</v>
      </c>
      <c r="AC160" s="4">
        <f t="shared" si="80"/>
        <v>0</v>
      </c>
      <c r="AD160" s="4">
        <f t="shared" si="81"/>
        <v>0</v>
      </c>
      <c r="AE160" s="4">
        <f t="shared" si="82"/>
        <v>0</v>
      </c>
      <c r="AF160" s="4">
        <f t="shared" si="83"/>
        <v>0</v>
      </c>
      <c r="AG160" s="4">
        <f t="shared" si="84"/>
        <v>8.6125033712205621</v>
      </c>
      <c r="AH160" s="4">
        <f t="shared" si="85"/>
        <v>0</v>
      </c>
      <c r="AI160" s="4">
        <f t="shared" si="86"/>
        <v>0</v>
      </c>
      <c r="AJ160" s="4">
        <f t="shared" si="87"/>
        <v>8.6125033712205621</v>
      </c>
      <c r="AK160" s="4">
        <f t="shared" si="88"/>
        <v>5.978885764901122</v>
      </c>
      <c r="AL160" s="4">
        <f t="shared" si="89"/>
        <v>0</v>
      </c>
      <c r="AM160" s="4">
        <f>CER!$C$7+CER!$C$8*J160+CER!$C$9*K160+CER!$C$10*L160+CER!$C$11*M160</f>
        <v>3.1529579715125768</v>
      </c>
      <c r="AN160" s="4">
        <f t="shared" si="90"/>
        <v>23.405194186486067</v>
      </c>
      <c r="AO160" s="4">
        <f t="shared" si="91"/>
        <v>-6.9700286440677939E-2</v>
      </c>
      <c r="AP160" s="4">
        <f>Alternatives!$F$25+Alternatives!$F$26*J160+Alternatives!$F$27*K160+Alternatives!$F$28*G160+Alternatives!$F$29*O160</f>
        <v>3.17314067945762</v>
      </c>
      <c r="AQ160" s="4">
        <f t="shared" si="92"/>
        <v>-8.9882994385721116E-2</v>
      </c>
    </row>
    <row r="161" spans="1:43" x14ac:dyDescent="0.35">
      <c r="A161" s="2" t="s">
        <v>207</v>
      </c>
      <c r="B161" s="2" t="s">
        <v>174</v>
      </c>
      <c r="C161" s="2" t="s">
        <v>67</v>
      </c>
      <c r="D161" s="2">
        <v>24.371600000000001</v>
      </c>
      <c r="E161" s="2">
        <v>5500</v>
      </c>
      <c r="F161" s="2">
        <v>305</v>
      </c>
      <c r="G161" s="2">
        <v>66.2</v>
      </c>
      <c r="H161" s="2" t="s">
        <v>68</v>
      </c>
      <c r="I161" s="4">
        <f t="shared" si="62"/>
        <v>3.1934185199751823</v>
      </c>
      <c r="J161" s="4">
        <f t="shared" si="63"/>
        <v>8.6125033712205621</v>
      </c>
      <c r="K161" s="4">
        <f t="shared" si="64"/>
        <v>5.7203117766074119</v>
      </c>
      <c r="L161" s="2">
        <v>0</v>
      </c>
      <c r="M161" s="2">
        <v>0</v>
      </c>
      <c r="N161" s="4">
        <f t="shared" si="65"/>
        <v>66.2</v>
      </c>
      <c r="O161" s="4">
        <f t="shared" si="66"/>
        <v>0</v>
      </c>
      <c r="P161" s="4">
        <f t="shared" si="67"/>
        <v>0</v>
      </c>
      <c r="Q161" s="4">
        <f t="shared" si="68"/>
        <v>8.6125033712205621</v>
      </c>
      <c r="R161" s="4">
        <f t="shared" si="69"/>
        <v>5.7203117766074119</v>
      </c>
      <c r="S161" s="4">
        <f t="shared" si="70"/>
        <v>66.2</v>
      </c>
      <c r="T161" s="4">
        <f t="shared" si="71"/>
        <v>0</v>
      </c>
      <c r="U161" s="4">
        <f t="shared" si="72"/>
        <v>8.6125033712205621</v>
      </c>
      <c r="V161" s="4">
        <f t="shared" si="73"/>
        <v>5.7203117766074119</v>
      </c>
      <c r="W161" s="4">
        <f t="shared" si="74"/>
        <v>66.2</v>
      </c>
      <c r="X161" s="4">
        <f t="shared" si="75"/>
        <v>0</v>
      </c>
      <c r="Y161" s="4">
        <f t="shared" si="76"/>
        <v>8.6125033712205621</v>
      </c>
      <c r="Z161" s="4">
        <f t="shared" si="77"/>
        <v>5.7203117766074119</v>
      </c>
      <c r="AA161" s="4">
        <f t="shared" si="78"/>
        <v>66.2</v>
      </c>
      <c r="AB161" s="4">
        <f t="shared" si="79"/>
        <v>0</v>
      </c>
      <c r="AC161" s="4">
        <f t="shared" si="80"/>
        <v>0</v>
      </c>
      <c r="AD161" s="4">
        <f t="shared" si="81"/>
        <v>0</v>
      </c>
      <c r="AE161" s="4">
        <f t="shared" si="82"/>
        <v>0</v>
      </c>
      <c r="AF161" s="4">
        <f t="shared" si="83"/>
        <v>0</v>
      </c>
      <c r="AG161" s="4">
        <f t="shared" si="84"/>
        <v>8.6125033712205621</v>
      </c>
      <c r="AH161" s="4">
        <f t="shared" si="85"/>
        <v>0</v>
      </c>
      <c r="AI161" s="4">
        <f t="shared" si="86"/>
        <v>0</v>
      </c>
      <c r="AJ161" s="4">
        <f t="shared" si="87"/>
        <v>8.6125033712205621</v>
      </c>
      <c r="AK161" s="4">
        <f t="shared" si="88"/>
        <v>5.7203117766074119</v>
      </c>
      <c r="AL161" s="4">
        <f t="shared" si="89"/>
        <v>0</v>
      </c>
      <c r="AM161" s="4">
        <f>CER!$C$7+CER!$C$8*J161+CER!$C$9*K161+CER!$C$10*L161+CER!$C$11*M161</f>
        <v>3.2483572190631627</v>
      </c>
      <c r="AN161" s="4">
        <f t="shared" si="90"/>
        <v>25.748006819945584</v>
      </c>
      <c r="AO161" s="4">
        <f t="shared" si="91"/>
        <v>-5.4938699087980325E-2</v>
      </c>
      <c r="AP161" s="4">
        <f>Alternatives!$F$25+Alternatives!$F$26*J161+Alternatives!$F$27*K161+Alternatives!$F$28*G161+Alternatives!$F$29*O161</f>
        <v>3.2484534524558675</v>
      </c>
      <c r="AQ161" s="4">
        <f t="shared" si="92"/>
        <v>-5.5034932480685139E-2</v>
      </c>
    </row>
    <row r="162" spans="1:43" x14ac:dyDescent="0.35">
      <c r="A162" s="2" t="s">
        <v>207</v>
      </c>
      <c r="B162" s="2" t="s">
        <v>174</v>
      </c>
      <c r="C162" s="2" t="s">
        <v>67</v>
      </c>
      <c r="D162" s="2">
        <v>21.629100000000001</v>
      </c>
      <c r="E162" s="2">
        <v>5500</v>
      </c>
      <c r="F162" s="2">
        <v>395</v>
      </c>
      <c r="G162" s="2">
        <v>66.2</v>
      </c>
      <c r="H162" s="2" t="s">
        <v>68</v>
      </c>
      <c r="I162" s="4">
        <f t="shared" si="62"/>
        <v>3.074039630222734</v>
      </c>
      <c r="J162" s="4">
        <f t="shared" si="63"/>
        <v>8.6125033712205621</v>
      </c>
      <c r="K162" s="4">
        <f t="shared" si="64"/>
        <v>5.978885764901122</v>
      </c>
      <c r="L162" s="2">
        <v>0</v>
      </c>
      <c r="M162" s="2">
        <v>0</v>
      </c>
      <c r="N162" s="4">
        <f t="shared" si="65"/>
        <v>66.2</v>
      </c>
      <c r="O162" s="4">
        <f t="shared" si="66"/>
        <v>0</v>
      </c>
      <c r="P162" s="4">
        <f t="shared" si="67"/>
        <v>0</v>
      </c>
      <c r="Q162" s="4">
        <f t="shared" si="68"/>
        <v>8.6125033712205621</v>
      </c>
      <c r="R162" s="4">
        <f t="shared" si="69"/>
        <v>5.978885764901122</v>
      </c>
      <c r="S162" s="4">
        <f t="shared" si="70"/>
        <v>66.2</v>
      </c>
      <c r="T162" s="4">
        <f t="shared" si="71"/>
        <v>0</v>
      </c>
      <c r="U162" s="4">
        <f t="shared" si="72"/>
        <v>8.6125033712205621</v>
      </c>
      <c r="V162" s="4">
        <f t="shared" si="73"/>
        <v>5.978885764901122</v>
      </c>
      <c r="W162" s="4">
        <f t="shared" si="74"/>
        <v>66.2</v>
      </c>
      <c r="X162" s="4">
        <f t="shared" si="75"/>
        <v>0</v>
      </c>
      <c r="Y162" s="4">
        <f t="shared" si="76"/>
        <v>8.6125033712205621</v>
      </c>
      <c r="Z162" s="4">
        <f t="shared" si="77"/>
        <v>5.978885764901122</v>
      </c>
      <c r="AA162" s="4">
        <f t="shared" si="78"/>
        <v>66.2</v>
      </c>
      <c r="AB162" s="4">
        <f t="shared" si="79"/>
        <v>0</v>
      </c>
      <c r="AC162" s="4">
        <f t="shared" si="80"/>
        <v>0</v>
      </c>
      <c r="AD162" s="4">
        <f t="shared" si="81"/>
        <v>0</v>
      </c>
      <c r="AE162" s="4">
        <f t="shared" si="82"/>
        <v>0</v>
      </c>
      <c r="AF162" s="4">
        <f t="shared" si="83"/>
        <v>0</v>
      </c>
      <c r="AG162" s="4">
        <f t="shared" si="84"/>
        <v>8.6125033712205621</v>
      </c>
      <c r="AH162" s="4">
        <f t="shared" si="85"/>
        <v>0</v>
      </c>
      <c r="AI162" s="4">
        <f t="shared" si="86"/>
        <v>0</v>
      </c>
      <c r="AJ162" s="4">
        <f t="shared" si="87"/>
        <v>8.6125033712205621</v>
      </c>
      <c r="AK162" s="4">
        <f t="shared" si="88"/>
        <v>5.978885764901122</v>
      </c>
      <c r="AL162" s="4">
        <f t="shared" si="89"/>
        <v>0</v>
      </c>
      <c r="AM162" s="4">
        <f>CER!$C$7+CER!$C$8*J162+CER!$C$9*K162+CER!$C$10*L162+CER!$C$11*M162</f>
        <v>3.1529579715125768</v>
      </c>
      <c r="AN162" s="4">
        <f t="shared" si="90"/>
        <v>23.405194186486067</v>
      </c>
      <c r="AO162" s="4">
        <f t="shared" si="91"/>
        <v>-7.8918341289842875E-2</v>
      </c>
      <c r="AP162" s="4">
        <f>Alternatives!$F$25+Alternatives!$F$26*J162+Alternatives!$F$27*K162+Alternatives!$F$28*G162+Alternatives!$F$29*O162</f>
        <v>3.1796443367287339</v>
      </c>
      <c r="AQ162" s="4">
        <f t="shared" si="92"/>
        <v>-0.10560470650599996</v>
      </c>
    </row>
    <row r="163" spans="1:43" x14ac:dyDescent="0.35">
      <c r="A163" s="2" t="s">
        <v>208</v>
      </c>
      <c r="B163" s="2" t="s">
        <v>174</v>
      </c>
      <c r="C163" s="2" t="s">
        <v>33</v>
      </c>
      <c r="D163" s="2">
        <v>28.6678</v>
      </c>
      <c r="E163" s="2">
        <v>5000</v>
      </c>
      <c r="F163" s="2">
        <v>305</v>
      </c>
      <c r="G163" s="2">
        <v>66.5</v>
      </c>
      <c r="H163" s="2" t="s">
        <v>68</v>
      </c>
      <c r="I163" s="4">
        <f t="shared" si="62"/>
        <v>3.3557745416876359</v>
      </c>
      <c r="J163" s="4">
        <f t="shared" si="63"/>
        <v>8.5171931914162382</v>
      </c>
      <c r="K163" s="4">
        <f t="shared" si="64"/>
        <v>5.7203117766074119</v>
      </c>
      <c r="L163" s="2">
        <v>1</v>
      </c>
      <c r="M163" s="2">
        <v>0</v>
      </c>
      <c r="N163" s="4">
        <f t="shared" si="65"/>
        <v>66.5</v>
      </c>
      <c r="O163" s="4">
        <f t="shared" si="66"/>
        <v>1</v>
      </c>
      <c r="P163" s="4">
        <f t="shared" si="67"/>
        <v>1</v>
      </c>
      <c r="Q163" s="4">
        <f t="shared" si="68"/>
        <v>8.5171931914162382</v>
      </c>
      <c r="R163" s="4">
        <f t="shared" si="69"/>
        <v>5.7203117766074119</v>
      </c>
      <c r="S163" s="4">
        <f t="shared" si="70"/>
        <v>66.5</v>
      </c>
      <c r="T163" s="4">
        <f t="shared" si="71"/>
        <v>1</v>
      </c>
      <c r="U163" s="4">
        <f t="shared" si="72"/>
        <v>8.5171931914162382</v>
      </c>
      <c r="V163" s="4">
        <f t="shared" si="73"/>
        <v>5.7203117766074119</v>
      </c>
      <c r="W163" s="4">
        <f t="shared" si="74"/>
        <v>66.5</v>
      </c>
      <c r="X163" s="4">
        <f t="shared" si="75"/>
        <v>1</v>
      </c>
      <c r="Y163" s="4">
        <f t="shared" si="76"/>
        <v>8.5171931914162382</v>
      </c>
      <c r="Z163" s="4">
        <f t="shared" si="77"/>
        <v>5.7203117766074119</v>
      </c>
      <c r="AA163" s="4">
        <f t="shared" si="78"/>
        <v>66.5</v>
      </c>
      <c r="AB163" s="4">
        <f t="shared" si="79"/>
        <v>1</v>
      </c>
      <c r="AC163" s="4">
        <f t="shared" si="80"/>
        <v>0</v>
      </c>
      <c r="AD163" s="4">
        <f t="shared" si="81"/>
        <v>0</v>
      </c>
      <c r="AE163" s="4">
        <f t="shared" si="82"/>
        <v>0</v>
      </c>
      <c r="AF163" s="4">
        <f t="shared" si="83"/>
        <v>0</v>
      </c>
      <c r="AG163" s="4">
        <f t="shared" si="84"/>
        <v>8.5171931914162382</v>
      </c>
      <c r="AH163" s="4">
        <f t="shared" si="85"/>
        <v>1</v>
      </c>
      <c r="AI163" s="4">
        <f t="shared" si="86"/>
        <v>0</v>
      </c>
      <c r="AJ163" s="4">
        <f t="shared" si="87"/>
        <v>8.5171931914162382</v>
      </c>
      <c r="AK163" s="4">
        <f t="shared" si="88"/>
        <v>5.7203117766074119</v>
      </c>
      <c r="AL163" s="4">
        <f t="shared" si="89"/>
        <v>0</v>
      </c>
      <c r="AM163" s="4">
        <f>CER!$C$7+CER!$C$8*J163+CER!$C$9*K163+CER!$C$10*L163+CER!$C$11*M163</f>
        <v>3.5152585766229345</v>
      </c>
      <c r="AN163" s="4">
        <f t="shared" si="90"/>
        <v>33.624621340950917</v>
      </c>
      <c r="AO163" s="4">
        <f t="shared" si="91"/>
        <v>-0.15948403493529861</v>
      </c>
      <c r="AP163" s="4">
        <f>Alternatives!$F$25+Alternatives!$F$26*J163+Alternatives!$F$27*K163+Alternatives!$F$28*G163+Alternatives!$F$29*O163</f>
        <v>4.0540182258864821</v>
      </c>
      <c r="AQ163" s="4">
        <f t="shared" si="92"/>
        <v>-0.69824368419884619</v>
      </c>
    </row>
    <row r="164" spans="1:43" x14ac:dyDescent="0.35">
      <c r="A164" s="2" t="s">
        <v>208</v>
      </c>
      <c r="B164" s="2" t="s">
        <v>174</v>
      </c>
      <c r="C164" s="2" t="s">
        <v>33</v>
      </c>
      <c r="D164" s="2">
        <v>26.409300000000002</v>
      </c>
      <c r="E164" s="2">
        <v>5500</v>
      </c>
      <c r="F164" s="2">
        <v>392</v>
      </c>
      <c r="G164" s="2">
        <v>66.5</v>
      </c>
      <c r="H164" s="2" t="s">
        <v>68</v>
      </c>
      <c r="I164" s="4">
        <f t="shared" si="62"/>
        <v>3.2737162208460742</v>
      </c>
      <c r="J164" s="4">
        <f t="shared" si="63"/>
        <v>8.6125033712205621</v>
      </c>
      <c r="K164" s="4">
        <f t="shared" si="64"/>
        <v>5.9712618397904622</v>
      </c>
      <c r="L164" s="2">
        <v>1</v>
      </c>
      <c r="M164" s="2">
        <v>0</v>
      </c>
      <c r="N164" s="4">
        <f t="shared" si="65"/>
        <v>66.5</v>
      </c>
      <c r="O164" s="4">
        <f t="shared" si="66"/>
        <v>1</v>
      </c>
      <c r="P164" s="4">
        <f t="shared" si="67"/>
        <v>1</v>
      </c>
      <c r="Q164" s="4">
        <f t="shared" si="68"/>
        <v>8.6125033712205621</v>
      </c>
      <c r="R164" s="4">
        <f t="shared" si="69"/>
        <v>5.9712618397904622</v>
      </c>
      <c r="S164" s="4">
        <f t="shared" si="70"/>
        <v>66.5</v>
      </c>
      <c r="T164" s="4">
        <f t="shared" si="71"/>
        <v>1</v>
      </c>
      <c r="U164" s="4">
        <f t="shared" si="72"/>
        <v>8.6125033712205621</v>
      </c>
      <c r="V164" s="4">
        <f t="shared" si="73"/>
        <v>5.9712618397904622</v>
      </c>
      <c r="W164" s="4">
        <f t="shared" si="74"/>
        <v>66.5</v>
      </c>
      <c r="X164" s="4">
        <f t="shared" si="75"/>
        <v>1</v>
      </c>
      <c r="Y164" s="4">
        <f t="shared" si="76"/>
        <v>8.6125033712205621</v>
      </c>
      <c r="Z164" s="4">
        <f t="shared" si="77"/>
        <v>5.9712618397904622</v>
      </c>
      <c r="AA164" s="4">
        <f t="shared" si="78"/>
        <v>66.5</v>
      </c>
      <c r="AB164" s="4">
        <f t="shared" si="79"/>
        <v>1</v>
      </c>
      <c r="AC164" s="4">
        <f t="shared" si="80"/>
        <v>0</v>
      </c>
      <c r="AD164" s="4">
        <f t="shared" si="81"/>
        <v>0</v>
      </c>
      <c r="AE164" s="4">
        <f t="shared" si="82"/>
        <v>0</v>
      </c>
      <c r="AF164" s="4">
        <f t="shared" si="83"/>
        <v>0</v>
      </c>
      <c r="AG164" s="4">
        <f t="shared" si="84"/>
        <v>8.6125033712205621</v>
      </c>
      <c r="AH164" s="4">
        <f t="shared" si="85"/>
        <v>1</v>
      </c>
      <c r="AI164" s="4">
        <f t="shared" si="86"/>
        <v>0</v>
      </c>
      <c r="AJ164" s="4">
        <f t="shared" si="87"/>
        <v>8.6125033712205621</v>
      </c>
      <c r="AK164" s="4">
        <f t="shared" si="88"/>
        <v>5.9712618397904622</v>
      </c>
      <c r="AL164" s="4">
        <f t="shared" si="89"/>
        <v>0</v>
      </c>
      <c r="AM164" s="4">
        <f>CER!$C$7+CER!$C$8*J164+CER!$C$9*K164+CER!$C$10*L164+CER!$C$11*M164</f>
        <v>3.3795243407263764</v>
      </c>
      <c r="AN164" s="4">
        <f t="shared" si="90"/>
        <v>29.356803955703281</v>
      </c>
      <c r="AO164" s="4">
        <f t="shared" si="91"/>
        <v>-0.10580811988030225</v>
      </c>
      <c r="AP164" s="4">
        <f>Alternatives!$F$25+Alternatives!$F$26*J164+Alternatives!$F$27*K164+Alternatives!$F$28*G164+Alternatives!$F$29*O164</f>
        <v>4.0225108737411057</v>
      </c>
      <c r="AQ164" s="4">
        <f t="shared" si="92"/>
        <v>-0.74879465289503155</v>
      </c>
    </row>
    <row r="165" spans="1:43" x14ac:dyDescent="0.35">
      <c r="A165" s="2" t="s">
        <v>209</v>
      </c>
      <c r="B165" s="2" t="s">
        <v>174</v>
      </c>
      <c r="C165" s="2" t="s">
        <v>33</v>
      </c>
      <c r="D165" s="2">
        <v>29.794799999999999</v>
      </c>
      <c r="E165" s="2">
        <v>5000</v>
      </c>
      <c r="F165" s="2">
        <v>305</v>
      </c>
      <c r="G165" s="2">
        <v>66.5</v>
      </c>
      <c r="H165" s="2" t="s">
        <v>68</v>
      </c>
      <c r="I165" s="4">
        <f t="shared" si="62"/>
        <v>3.3943338816407524</v>
      </c>
      <c r="J165" s="4">
        <f t="shared" si="63"/>
        <v>8.5171931914162382</v>
      </c>
      <c r="K165" s="4">
        <f t="shared" si="64"/>
        <v>5.7203117766074119</v>
      </c>
      <c r="L165" s="2">
        <v>1</v>
      </c>
      <c r="M165" s="2">
        <v>0</v>
      </c>
      <c r="N165" s="4">
        <f t="shared" si="65"/>
        <v>66.5</v>
      </c>
      <c r="O165" s="4">
        <f t="shared" si="66"/>
        <v>1</v>
      </c>
      <c r="P165" s="4">
        <f t="shared" si="67"/>
        <v>1</v>
      </c>
      <c r="Q165" s="4">
        <f t="shared" si="68"/>
        <v>8.5171931914162382</v>
      </c>
      <c r="R165" s="4">
        <f t="shared" si="69"/>
        <v>5.7203117766074119</v>
      </c>
      <c r="S165" s="4">
        <f t="shared" si="70"/>
        <v>66.5</v>
      </c>
      <c r="T165" s="4">
        <f t="shared" si="71"/>
        <v>1</v>
      </c>
      <c r="U165" s="4">
        <f t="shared" si="72"/>
        <v>8.5171931914162382</v>
      </c>
      <c r="V165" s="4">
        <f t="shared" si="73"/>
        <v>5.7203117766074119</v>
      </c>
      <c r="W165" s="4">
        <f t="shared" si="74"/>
        <v>66.5</v>
      </c>
      <c r="X165" s="4">
        <f t="shared" si="75"/>
        <v>1</v>
      </c>
      <c r="Y165" s="4">
        <f t="shared" si="76"/>
        <v>8.5171931914162382</v>
      </c>
      <c r="Z165" s="4">
        <f t="shared" si="77"/>
        <v>5.7203117766074119</v>
      </c>
      <c r="AA165" s="4">
        <f t="shared" si="78"/>
        <v>66.5</v>
      </c>
      <c r="AB165" s="4">
        <f t="shared" si="79"/>
        <v>1</v>
      </c>
      <c r="AC165" s="4">
        <f t="shared" si="80"/>
        <v>0</v>
      </c>
      <c r="AD165" s="4">
        <f t="shared" si="81"/>
        <v>0</v>
      </c>
      <c r="AE165" s="4">
        <f t="shared" si="82"/>
        <v>0</v>
      </c>
      <c r="AF165" s="4">
        <f t="shared" si="83"/>
        <v>0</v>
      </c>
      <c r="AG165" s="4">
        <f t="shared" si="84"/>
        <v>8.5171931914162382</v>
      </c>
      <c r="AH165" s="4">
        <f t="shared" si="85"/>
        <v>1</v>
      </c>
      <c r="AI165" s="4">
        <f t="shared" si="86"/>
        <v>0</v>
      </c>
      <c r="AJ165" s="4">
        <f t="shared" si="87"/>
        <v>8.5171931914162382</v>
      </c>
      <c r="AK165" s="4">
        <f t="shared" si="88"/>
        <v>5.7203117766074119</v>
      </c>
      <c r="AL165" s="4">
        <f t="shared" si="89"/>
        <v>0</v>
      </c>
      <c r="AM165" s="4">
        <f>CER!$C$7+CER!$C$8*J165+CER!$C$9*K165+CER!$C$10*L165+CER!$C$11*M165</f>
        <v>3.5152585766229345</v>
      </c>
      <c r="AN165" s="4">
        <f t="shared" si="90"/>
        <v>33.624621340950917</v>
      </c>
      <c r="AO165" s="4">
        <f t="shared" si="91"/>
        <v>-0.12092469498218206</v>
      </c>
      <c r="AP165" s="4">
        <f>Alternatives!$F$25+Alternatives!$F$26*J165+Alternatives!$F$27*K165+Alternatives!$F$28*G165+Alternatives!$F$29*O165</f>
        <v>4.0540182258864821</v>
      </c>
      <c r="AQ165" s="4">
        <f t="shared" si="92"/>
        <v>-0.65968434424572964</v>
      </c>
    </row>
    <row r="166" spans="1:43" x14ac:dyDescent="0.35">
      <c r="A166" s="2" t="s">
        <v>210</v>
      </c>
      <c r="B166" s="2" t="s">
        <v>174</v>
      </c>
      <c r="C166" s="2" t="s">
        <v>33</v>
      </c>
      <c r="D166" s="2">
        <v>27.936699999999998</v>
      </c>
      <c r="E166" s="2">
        <v>5000</v>
      </c>
      <c r="F166" s="2">
        <v>305</v>
      </c>
      <c r="G166" s="2">
        <v>66.5</v>
      </c>
      <c r="H166" s="2" t="s">
        <v>68</v>
      </c>
      <c r="I166" s="4">
        <f t="shared" si="62"/>
        <v>3.329941236617032</v>
      </c>
      <c r="J166" s="4">
        <f t="shared" si="63"/>
        <v>8.5171931914162382</v>
      </c>
      <c r="K166" s="4">
        <f t="shared" si="64"/>
        <v>5.7203117766074119</v>
      </c>
      <c r="L166" s="2">
        <v>1</v>
      </c>
      <c r="M166" s="2">
        <v>0</v>
      </c>
      <c r="N166" s="4">
        <f t="shared" si="65"/>
        <v>66.5</v>
      </c>
      <c r="O166" s="4">
        <f t="shared" si="66"/>
        <v>1</v>
      </c>
      <c r="P166" s="4">
        <f t="shared" si="67"/>
        <v>1</v>
      </c>
      <c r="Q166" s="4">
        <f t="shared" si="68"/>
        <v>8.5171931914162382</v>
      </c>
      <c r="R166" s="4">
        <f t="shared" si="69"/>
        <v>5.7203117766074119</v>
      </c>
      <c r="S166" s="4">
        <f t="shared" si="70"/>
        <v>66.5</v>
      </c>
      <c r="T166" s="4">
        <f t="shared" si="71"/>
        <v>1</v>
      </c>
      <c r="U166" s="4">
        <f t="shared" si="72"/>
        <v>8.5171931914162382</v>
      </c>
      <c r="V166" s="4">
        <f t="shared" si="73"/>
        <v>5.7203117766074119</v>
      </c>
      <c r="W166" s="4">
        <f t="shared" si="74"/>
        <v>66.5</v>
      </c>
      <c r="X166" s="4">
        <f t="shared" si="75"/>
        <v>1</v>
      </c>
      <c r="Y166" s="4">
        <f t="shared" si="76"/>
        <v>8.5171931914162382</v>
      </c>
      <c r="Z166" s="4">
        <f t="shared" si="77"/>
        <v>5.7203117766074119</v>
      </c>
      <c r="AA166" s="4">
        <f t="shared" si="78"/>
        <v>66.5</v>
      </c>
      <c r="AB166" s="4">
        <f t="shared" si="79"/>
        <v>1</v>
      </c>
      <c r="AC166" s="4">
        <f t="shared" si="80"/>
        <v>0</v>
      </c>
      <c r="AD166" s="4">
        <f t="shared" si="81"/>
        <v>0</v>
      </c>
      <c r="AE166" s="4">
        <f t="shared" si="82"/>
        <v>0</v>
      </c>
      <c r="AF166" s="4">
        <f t="shared" si="83"/>
        <v>0</v>
      </c>
      <c r="AG166" s="4">
        <f t="shared" si="84"/>
        <v>8.5171931914162382</v>
      </c>
      <c r="AH166" s="4">
        <f t="shared" si="85"/>
        <v>1</v>
      </c>
      <c r="AI166" s="4">
        <f t="shared" si="86"/>
        <v>0</v>
      </c>
      <c r="AJ166" s="4">
        <f t="shared" si="87"/>
        <v>8.5171931914162382</v>
      </c>
      <c r="AK166" s="4">
        <f t="shared" si="88"/>
        <v>5.7203117766074119</v>
      </c>
      <c r="AL166" s="4">
        <f t="shared" si="89"/>
        <v>0</v>
      </c>
      <c r="AM166" s="4">
        <f>CER!$C$7+CER!$C$8*J166+CER!$C$9*K166+CER!$C$10*L166+CER!$C$11*M166</f>
        <v>3.5152585766229345</v>
      </c>
      <c r="AN166" s="4">
        <f t="shared" si="90"/>
        <v>33.624621340950917</v>
      </c>
      <c r="AO166" s="4">
        <f t="shared" si="91"/>
        <v>-0.1853173400059025</v>
      </c>
      <c r="AP166" s="4">
        <f>Alternatives!$F$25+Alternatives!$F$26*J166+Alternatives!$F$27*K166+Alternatives!$F$28*G166+Alternatives!$F$29*O166</f>
        <v>4.0540182258864821</v>
      </c>
      <c r="AQ166" s="4">
        <f t="shared" si="92"/>
        <v>-0.72407698926945008</v>
      </c>
    </row>
    <row r="167" spans="1:43" x14ac:dyDescent="0.35">
      <c r="A167" s="2" t="s">
        <v>210</v>
      </c>
      <c r="B167" s="2" t="s">
        <v>174</v>
      </c>
      <c r="C167" s="2" t="s">
        <v>33</v>
      </c>
      <c r="D167" s="2">
        <v>25.293399999999998</v>
      </c>
      <c r="E167" s="2">
        <v>5500</v>
      </c>
      <c r="F167" s="2">
        <v>392</v>
      </c>
      <c r="G167" s="2">
        <v>66.5</v>
      </c>
      <c r="H167" s="2" t="s">
        <v>68</v>
      </c>
      <c r="I167" s="4">
        <f t="shared" si="62"/>
        <v>3.2305434921358733</v>
      </c>
      <c r="J167" s="4">
        <f t="shared" si="63"/>
        <v>8.6125033712205621</v>
      </c>
      <c r="K167" s="4">
        <f t="shared" si="64"/>
        <v>5.9712618397904622</v>
      </c>
      <c r="L167" s="2">
        <v>1</v>
      </c>
      <c r="M167" s="2">
        <v>0</v>
      </c>
      <c r="N167" s="4">
        <f t="shared" si="65"/>
        <v>66.5</v>
      </c>
      <c r="O167" s="4">
        <f t="shared" si="66"/>
        <v>1</v>
      </c>
      <c r="P167" s="4">
        <f t="shared" si="67"/>
        <v>1</v>
      </c>
      <c r="Q167" s="4">
        <f t="shared" si="68"/>
        <v>8.6125033712205621</v>
      </c>
      <c r="R167" s="4">
        <f t="shared" si="69"/>
        <v>5.9712618397904622</v>
      </c>
      <c r="S167" s="4">
        <f t="shared" si="70"/>
        <v>66.5</v>
      </c>
      <c r="T167" s="4">
        <f t="shared" si="71"/>
        <v>1</v>
      </c>
      <c r="U167" s="4">
        <f t="shared" si="72"/>
        <v>8.6125033712205621</v>
      </c>
      <c r="V167" s="4">
        <f t="shared" si="73"/>
        <v>5.9712618397904622</v>
      </c>
      <c r="W167" s="4">
        <f t="shared" si="74"/>
        <v>66.5</v>
      </c>
      <c r="X167" s="4">
        <f t="shared" si="75"/>
        <v>1</v>
      </c>
      <c r="Y167" s="4">
        <f t="shared" si="76"/>
        <v>8.6125033712205621</v>
      </c>
      <c r="Z167" s="4">
        <f t="shared" si="77"/>
        <v>5.9712618397904622</v>
      </c>
      <c r="AA167" s="4">
        <f t="shared" si="78"/>
        <v>66.5</v>
      </c>
      <c r="AB167" s="4">
        <f t="shared" si="79"/>
        <v>1</v>
      </c>
      <c r="AC167" s="4">
        <f t="shared" si="80"/>
        <v>0</v>
      </c>
      <c r="AD167" s="4">
        <f t="shared" si="81"/>
        <v>0</v>
      </c>
      <c r="AE167" s="4">
        <f t="shared" si="82"/>
        <v>0</v>
      </c>
      <c r="AF167" s="4">
        <f t="shared" si="83"/>
        <v>0</v>
      </c>
      <c r="AG167" s="4">
        <f t="shared" si="84"/>
        <v>8.6125033712205621</v>
      </c>
      <c r="AH167" s="4">
        <f t="shared" si="85"/>
        <v>1</v>
      </c>
      <c r="AI167" s="4">
        <f t="shared" si="86"/>
        <v>0</v>
      </c>
      <c r="AJ167" s="4">
        <f t="shared" si="87"/>
        <v>8.6125033712205621</v>
      </c>
      <c r="AK167" s="4">
        <f t="shared" si="88"/>
        <v>5.9712618397904622</v>
      </c>
      <c r="AL167" s="4">
        <f t="shared" si="89"/>
        <v>0</v>
      </c>
      <c r="AM167" s="4">
        <f>CER!$C$7+CER!$C$8*J167+CER!$C$9*K167+CER!$C$10*L167+CER!$C$11*M167</f>
        <v>3.3795243407263764</v>
      </c>
      <c r="AN167" s="4">
        <f t="shared" si="90"/>
        <v>29.356803955703281</v>
      </c>
      <c r="AO167" s="4">
        <f t="shared" si="91"/>
        <v>-0.14898084859050309</v>
      </c>
      <c r="AP167" s="4">
        <f>Alternatives!$F$25+Alternatives!$F$26*J167+Alternatives!$F$27*K167+Alternatives!$F$28*G167+Alternatives!$F$29*O167</f>
        <v>4.0225108737411057</v>
      </c>
      <c r="AQ167" s="4">
        <f t="shared" si="92"/>
        <v>-0.79196738160523239</v>
      </c>
    </row>
    <row r="168" spans="1:43" x14ac:dyDescent="0.35">
      <c r="A168" s="2" t="s">
        <v>211</v>
      </c>
      <c r="B168" s="2" t="s">
        <v>174</v>
      </c>
      <c r="C168" s="2" t="s">
        <v>67</v>
      </c>
      <c r="D168" s="2">
        <v>15.0098</v>
      </c>
      <c r="E168" s="2">
        <v>7000</v>
      </c>
      <c r="F168" s="2">
        <v>702</v>
      </c>
      <c r="G168" s="2">
        <v>74.8</v>
      </c>
      <c r="H168" s="2" t="s">
        <v>68</v>
      </c>
      <c r="I168" s="4">
        <f t="shared" si="62"/>
        <v>2.708703321106233</v>
      </c>
      <c r="J168" s="4">
        <f t="shared" si="63"/>
        <v>8.8536654280374503</v>
      </c>
      <c r="K168" s="4">
        <f t="shared" si="64"/>
        <v>6.5539334040258108</v>
      </c>
      <c r="L168" s="2">
        <v>0</v>
      </c>
      <c r="M168" s="2">
        <v>0</v>
      </c>
      <c r="N168" s="4">
        <f t="shared" si="65"/>
        <v>74.8</v>
      </c>
      <c r="O168" s="4">
        <f t="shared" si="66"/>
        <v>0</v>
      </c>
      <c r="P168" s="4">
        <f t="shared" si="67"/>
        <v>0</v>
      </c>
      <c r="Q168" s="4">
        <f t="shared" si="68"/>
        <v>8.8536654280374503</v>
      </c>
      <c r="R168" s="4">
        <f t="shared" si="69"/>
        <v>6.5539334040258108</v>
      </c>
      <c r="S168" s="4">
        <f t="shared" si="70"/>
        <v>74.8</v>
      </c>
      <c r="T168" s="4">
        <f t="shared" si="71"/>
        <v>0</v>
      </c>
      <c r="U168" s="4">
        <f t="shared" si="72"/>
        <v>8.8536654280374503</v>
      </c>
      <c r="V168" s="4">
        <f t="shared" si="73"/>
        <v>6.5539334040258108</v>
      </c>
      <c r="W168" s="4">
        <f t="shared" si="74"/>
        <v>74.8</v>
      </c>
      <c r="X168" s="4">
        <f t="shared" si="75"/>
        <v>0</v>
      </c>
      <c r="Y168" s="4">
        <f t="shared" si="76"/>
        <v>8.8536654280374503</v>
      </c>
      <c r="Z168" s="4">
        <f t="shared" si="77"/>
        <v>6.5539334040258108</v>
      </c>
      <c r="AA168" s="4">
        <f t="shared" si="78"/>
        <v>74.8</v>
      </c>
      <c r="AB168" s="4">
        <f t="shared" si="79"/>
        <v>0</v>
      </c>
      <c r="AC168" s="4">
        <f t="shared" si="80"/>
        <v>0</v>
      </c>
      <c r="AD168" s="4">
        <f t="shared" si="81"/>
        <v>0</v>
      </c>
      <c r="AE168" s="4">
        <f t="shared" si="82"/>
        <v>0</v>
      </c>
      <c r="AF168" s="4">
        <f t="shared" si="83"/>
        <v>0</v>
      </c>
      <c r="AG168" s="4">
        <f t="shared" si="84"/>
        <v>8.8536654280374503</v>
      </c>
      <c r="AH168" s="4">
        <f t="shared" si="85"/>
        <v>0</v>
      </c>
      <c r="AI168" s="4">
        <f t="shared" si="86"/>
        <v>0</v>
      </c>
      <c r="AJ168" s="4">
        <f t="shared" si="87"/>
        <v>8.8536654280374503</v>
      </c>
      <c r="AK168" s="4">
        <f t="shared" si="88"/>
        <v>6.5539334040258108</v>
      </c>
      <c r="AL168" s="4">
        <f t="shared" si="89"/>
        <v>0</v>
      </c>
      <c r="AM168" s="4">
        <f>CER!$C$7+CER!$C$8*J168+CER!$C$9*K168+CER!$C$10*L168+CER!$C$11*M168</f>
        <v>2.8316214974546314</v>
      </c>
      <c r="AN168" s="4">
        <f t="shared" si="90"/>
        <v>16.972960135141417</v>
      </c>
      <c r="AO168" s="4">
        <f t="shared" si="91"/>
        <v>-0.12291817634839841</v>
      </c>
      <c r="AP168" s="4">
        <f>Alternatives!$F$25+Alternatives!$F$26*J168+Alternatives!$F$27*K168+Alternatives!$F$28*G168+Alternatives!$F$29*O168</f>
        <v>3.004006218547802</v>
      </c>
      <c r="AQ168" s="4">
        <f t="shared" si="92"/>
        <v>-0.29530289744156901</v>
      </c>
    </row>
    <row r="169" spans="1:43" x14ac:dyDescent="0.35">
      <c r="A169" s="2" t="s">
        <v>212</v>
      </c>
      <c r="B169" s="2" t="s">
        <v>213</v>
      </c>
      <c r="C169" s="2" t="s">
        <v>67</v>
      </c>
      <c r="D169" s="2">
        <v>17.2348</v>
      </c>
      <c r="E169" s="2">
        <v>4000</v>
      </c>
      <c r="F169" s="2">
        <v>814</v>
      </c>
      <c r="G169" s="2">
        <v>48.6</v>
      </c>
      <c r="H169" s="2" t="s">
        <v>68</v>
      </c>
      <c r="I169" s="4">
        <f t="shared" si="62"/>
        <v>2.8469305956079096</v>
      </c>
      <c r="J169" s="4">
        <f t="shared" si="63"/>
        <v>8.2940496401020276</v>
      </c>
      <c r="K169" s="4">
        <f t="shared" si="64"/>
        <v>6.70196036600254</v>
      </c>
      <c r="L169" s="2">
        <v>0</v>
      </c>
      <c r="M169" s="2">
        <v>0</v>
      </c>
      <c r="N169" s="4">
        <f t="shared" si="65"/>
        <v>48.6</v>
      </c>
      <c r="O169" s="4">
        <f t="shared" si="66"/>
        <v>0</v>
      </c>
      <c r="P169" s="4">
        <f t="shared" si="67"/>
        <v>0</v>
      </c>
      <c r="Q169" s="4">
        <f t="shared" si="68"/>
        <v>8.2940496401020276</v>
      </c>
      <c r="R169" s="4">
        <f t="shared" si="69"/>
        <v>6.70196036600254</v>
      </c>
      <c r="S169" s="4">
        <f t="shared" si="70"/>
        <v>48.6</v>
      </c>
      <c r="T169" s="4">
        <f t="shared" si="71"/>
        <v>0</v>
      </c>
      <c r="U169" s="4">
        <f t="shared" si="72"/>
        <v>8.2940496401020276</v>
      </c>
      <c r="V169" s="4">
        <f t="shared" si="73"/>
        <v>6.70196036600254</v>
      </c>
      <c r="W169" s="4">
        <f t="shared" si="74"/>
        <v>48.6</v>
      </c>
      <c r="X169" s="4">
        <f t="shared" si="75"/>
        <v>0</v>
      </c>
      <c r="Y169" s="4">
        <f t="shared" si="76"/>
        <v>8.2940496401020276</v>
      </c>
      <c r="Z169" s="4">
        <f t="shared" si="77"/>
        <v>6.70196036600254</v>
      </c>
      <c r="AA169" s="4">
        <f t="shared" si="78"/>
        <v>48.6</v>
      </c>
      <c r="AB169" s="4">
        <f t="shared" si="79"/>
        <v>0</v>
      </c>
      <c r="AC169" s="4">
        <f t="shared" si="80"/>
        <v>0</v>
      </c>
      <c r="AD169" s="4">
        <f t="shared" si="81"/>
        <v>0</v>
      </c>
      <c r="AE169" s="4">
        <f t="shared" si="82"/>
        <v>0</v>
      </c>
      <c r="AF169" s="4">
        <f t="shared" si="83"/>
        <v>0</v>
      </c>
      <c r="AG169" s="4">
        <f t="shared" si="84"/>
        <v>8.2940496401020276</v>
      </c>
      <c r="AH169" s="4">
        <f t="shared" si="85"/>
        <v>0</v>
      </c>
      <c r="AI169" s="4">
        <f t="shared" si="86"/>
        <v>0</v>
      </c>
      <c r="AJ169" s="4">
        <f t="shared" si="87"/>
        <v>8.2940496401020276</v>
      </c>
      <c r="AK169" s="4">
        <f t="shared" si="88"/>
        <v>6.70196036600254</v>
      </c>
      <c r="AL169" s="4">
        <f t="shared" si="89"/>
        <v>0</v>
      </c>
      <c r="AM169" s="4">
        <f>CER!$C$7+CER!$C$8*J169+CER!$C$9*K169+CER!$C$10*L169+CER!$C$11*M169</f>
        <v>3.0303510510351055</v>
      </c>
      <c r="AN169" s="4">
        <f t="shared" si="90"/>
        <v>20.704499649793735</v>
      </c>
      <c r="AO169" s="4">
        <f t="shared" si="91"/>
        <v>-0.18342045542719587</v>
      </c>
      <c r="AP169" s="4">
        <f>Alternatives!$F$25+Alternatives!$F$26*J169+Alternatives!$F$27*K169+Alternatives!$F$28*G169+Alternatives!$F$29*O169</f>
        <v>3.0983004532177674</v>
      </c>
      <c r="AQ169" s="4">
        <f t="shared" si="92"/>
        <v>-0.25136985760985775</v>
      </c>
    </row>
    <row r="170" spans="1:43" x14ac:dyDescent="0.35">
      <c r="A170" s="2" t="s">
        <v>214</v>
      </c>
      <c r="B170" s="2" t="s">
        <v>213</v>
      </c>
      <c r="C170" s="2" t="s">
        <v>67</v>
      </c>
      <c r="D170" s="2">
        <v>17.339500000000001</v>
      </c>
      <c r="E170" s="2">
        <v>4000</v>
      </c>
      <c r="F170" s="2">
        <v>814</v>
      </c>
      <c r="G170" s="2">
        <v>48.6</v>
      </c>
      <c r="H170" s="2" t="s">
        <v>68</v>
      </c>
      <c r="I170" s="4">
        <f t="shared" si="62"/>
        <v>2.8529871358732204</v>
      </c>
      <c r="J170" s="4">
        <f t="shared" si="63"/>
        <v>8.2940496401020276</v>
      </c>
      <c r="K170" s="4">
        <f t="shared" si="64"/>
        <v>6.70196036600254</v>
      </c>
      <c r="L170" s="2">
        <v>0</v>
      </c>
      <c r="M170" s="2">
        <v>0</v>
      </c>
      <c r="N170" s="4">
        <f t="shared" si="65"/>
        <v>48.6</v>
      </c>
      <c r="O170" s="4">
        <f t="shared" si="66"/>
        <v>0</v>
      </c>
      <c r="P170" s="4">
        <f t="shared" si="67"/>
        <v>0</v>
      </c>
      <c r="Q170" s="4">
        <f t="shared" si="68"/>
        <v>8.2940496401020276</v>
      </c>
      <c r="R170" s="4">
        <f t="shared" si="69"/>
        <v>6.70196036600254</v>
      </c>
      <c r="S170" s="4">
        <f t="shared" si="70"/>
        <v>48.6</v>
      </c>
      <c r="T170" s="4">
        <f t="shared" si="71"/>
        <v>0</v>
      </c>
      <c r="U170" s="4">
        <f t="shared" si="72"/>
        <v>8.2940496401020276</v>
      </c>
      <c r="V170" s="4">
        <f t="shared" si="73"/>
        <v>6.70196036600254</v>
      </c>
      <c r="W170" s="4">
        <f t="shared" si="74"/>
        <v>48.6</v>
      </c>
      <c r="X170" s="4">
        <f t="shared" si="75"/>
        <v>0</v>
      </c>
      <c r="Y170" s="4">
        <f t="shared" si="76"/>
        <v>8.2940496401020276</v>
      </c>
      <c r="Z170" s="4">
        <f t="shared" si="77"/>
        <v>6.70196036600254</v>
      </c>
      <c r="AA170" s="4">
        <f t="shared" si="78"/>
        <v>48.6</v>
      </c>
      <c r="AB170" s="4">
        <f t="shared" si="79"/>
        <v>0</v>
      </c>
      <c r="AC170" s="4">
        <f t="shared" si="80"/>
        <v>0</v>
      </c>
      <c r="AD170" s="4">
        <f t="shared" si="81"/>
        <v>0</v>
      </c>
      <c r="AE170" s="4">
        <f t="shared" si="82"/>
        <v>0</v>
      </c>
      <c r="AF170" s="4">
        <f t="shared" si="83"/>
        <v>0</v>
      </c>
      <c r="AG170" s="4">
        <f t="shared" si="84"/>
        <v>8.2940496401020276</v>
      </c>
      <c r="AH170" s="4">
        <f t="shared" si="85"/>
        <v>0</v>
      </c>
      <c r="AI170" s="4">
        <f t="shared" si="86"/>
        <v>0</v>
      </c>
      <c r="AJ170" s="4">
        <f t="shared" si="87"/>
        <v>8.2940496401020276</v>
      </c>
      <c r="AK170" s="4">
        <f t="shared" si="88"/>
        <v>6.70196036600254</v>
      </c>
      <c r="AL170" s="4">
        <f t="shared" si="89"/>
        <v>0</v>
      </c>
      <c r="AM170" s="4">
        <f>CER!$C$7+CER!$C$8*J170+CER!$C$9*K170+CER!$C$10*L170+CER!$C$11*M170</f>
        <v>3.0303510510351055</v>
      </c>
      <c r="AN170" s="4">
        <f t="shared" si="90"/>
        <v>20.704499649793735</v>
      </c>
      <c r="AO170" s="4">
        <f t="shared" si="91"/>
        <v>-0.1773639151618851</v>
      </c>
      <c r="AP170" s="4">
        <f>Alternatives!$F$25+Alternatives!$F$26*J170+Alternatives!$F$27*K170+Alternatives!$F$28*G170+Alternatives!$F$29*O170</f>
        <v>3.0983004532177674</v>
      </c>
      <c r="AQ170" s="4">
        <f t="shared" si="92"/>
        <v>-0.24531331734454698</v>
      </c>
    </row>
    <row r="171" spans="1:43" x14ac:dyDescent="0.35">
      <c r="A171" s="2" t="s">
        <v>215</v>
      </c>
      <c r="B171" s="2" t="s">
        <v>213</v>
      </c>
      <c r="C171" s="2" t="s">
        <v>67</v>
      </c>
      <c r="D171" s="2">
        <v>24.2605</v>
      </c>
      <c r="E171" s="2">
        <v>4000</v>
      </c>
      <c r="F171" s="2">
        <v>612</v>
      </c>
      <c r="G171" s="2">
        <v>47.9</v>
      </c>
      <c r="H171" s="2" t="s">
        <v>68</v>
      </c>
      <c r="I171" s="4">
        <f t="shared" si="62"/>
        <v>3.188849513361228</v>
      </c>
      <c r="J171" s="4">
        <f t="shared" si="63"/>
        <v>8.2940496401020276</v>
      </c>
      <c r="K171" s="4">
        <f t="shared" si="64"/>
        <v>6.4167322825123261</v>
      </c>
      <c r="L171" s="2">
        <v>0</v>
      </c>
      <c r="M171" s="2">
        <v>0</v>
      </c>
      <c r="N171" s="4">
        <f t="shared" si="65"/>
        <v>47.9</v>
      </c>
      <c r="O171" s="4">
        <f t="shared" si="66"/>
        <v>0</v>
      </c>
      <c r="P171" s="4">
        <f t="shared" si="67"/>
        <v>0</v>
      </c>
      <c r="Q171" s="4">
        <f t="shared" si="68"/>
        <v>8.2940496401020276</v>
      </c>
      <c r="R171" s="4">
        <f t="shared" si="69"/>
        <v>6.4167322825123261</v>
      </c>
      <c r="S171" s="4">
        <f t="shared" si="70"/>
        <v>47.9</v>
      </c>
      <c r="T171" s="4">
        <f t="shared" si="71"/>
        <v>0</v>
      </c>
      <c r="U171" s="4">
        <f t="shared" si="72"/>
        <v>8.2940496401020276</v>
      </c>
      <c r="V171" s="4">
        <f t="shared" si="73"/>
        <v>6.4167322825123261</v>
      </c>
      <c r="W171" s="4">
        <f t="shared" si="74"/>
        <v>47.9</v>
      </c>
      <c r="X171" s="4">
        <f t="shared" si="75"/>
        <v>0</v>
      </c>
      <c r="Y171" s="4">
        <f t="shared" si="76"/>
        <v>8.2940496401020276</v>
      </c>
      <c r="Z171" s="4">
        <f t="shared" si="77"/>
        <v>6.4167322825123261</v>
      </c>
      <c r="AA171" s="4">
        <f t="shared" si="78"/>
        <v>47.9</v>
      </c>
      <c r="AB171" s="4">
        <f t="shared" si="79"/>
        <v>0</v>
      </c>
      <c r="AC171" s="4">
        <f t="shared" si="80"/>
        <v>0</v>
      </c>
      <c r="AD171" s="4">
        <f t="shared" si="81"/>
        <v>0</v>
      </c>
      <c r="AE171" s="4">
        <f t="shared" si="82"/>
        <v>0</v>
      </c>
      <c r="AF171" s="4">
        <f t="shared" si="83"/>
        <v>0</v>
      </c>
      <c r="AG171" s="4">
        <f t="shared" si="84"/>
        <v>8.2940496401020276</v>
      </c>
      <c r="AH171" s="4">
        <f t="shared" si="85"/>
        <v>0</v>
      </c>
      <c r="AI171" s="4">
        <f t="shared" si="86"/>
        <v>0</v>
      </c>
      <c r="AJ171" s="4">
        <f t="shared" si="87"/>
        <v>8.2940496401020276</v>
      </c>
      <c r="AK171" s="4">
        <f t="shared" si="88"/>
        <v>6.4167322825123261</v>
      </c>
      <c r="AL171" s="4">
        <f t="shared" si="89"/>
        <v>0</v>
      </c>
      <c r="AM171" s="4">
        <f>CER!$C$7+CER!$C$8*J171+CER!$C$9*K171+CER!$C$10*L171+CER!$C$11*M171</f>
        <v>3.1355841594572644</v>
      </c>
      <c r="AN171" s="4">
        <f t="shared" si="90"/>
        <v>23.00206879418257</v>
      </c>
      <c r="AO171" s="4">
        <f t="shared" si="91"/>
        <v>5.3265353903963586E-2</v>
      </c>
      <c r="AP171" s="4">
        <f>Alternatives!$F$25+Alternatives!$F$26*J171+Alternatives!$F$27*K171+Alternatives!$F$28*G171+Alternatives!$F$29*O171</f>
        <v>3.1833076095418651</v>
      </c>
      <c r="AQ171" s="4">
        <f t="shared" si="92"/>
        <v>5.5419038193629255E-3</v>
      </c>
    </row>
    <row r="172" spans="1:43" x14ac:dyDescent="0.35">
      <c r="A172" s="2" t="s">
        <v>216</v>
      </c>
      <c r="B172" s="2" t="s">
        <v>213</v>
      </c>
      <c r="C172" s="2" t="s">
        <v>33</v>
      </c>
      <c r="D172" s="2">
        <v>23.041499999999999</v>
      </c>
      <c r="E172" s="2">
        <v>4000</v>
      </c>
      <c r="F172" s="2">
        <v>654</v>
      </c>
      <c r="G172" s="2">
        <v>46.2</v>
      </c>
      <c r="H172" s="2" t="s">
        <v>68</v>
      </c>
      <c r="I172" s="4">
        <f t="shared" si="62"/>
        <v>3.1372969378751727</v>
      </c>
      <c r="J172" s="4">
        <f t="shared" si="63"/>
        <v>8.2940496401020276</v>
      </c>
      <c r="K172" s="4">
        <f t="shared" si="64"/>
        <v>6.4831073514571989</v>
      </c>
      <c r="L172" s="2">
        <v>1</v>
      </c>
      <c r="M172" s="2">
        <v>0</v>
      </c>
      <c r="N172" s="4">
        <f t="shared" si="65"/>
        <v>46.2</v>
      </c>
      <c r="O172" s="4">
        <f t="shared" si="66"/>
        <v>1</v>
      </c>
      <c r="P172" s="4">
        <f t="shared" si="67"/>
        <v>1</v>
      </c>
      <c r="Q172" s="4">
        <f t="shared" si="68"/>
        <v>8.2940496401020276</v>
      </c>
      <c r="R172" s="4">
        <f t="shared" si="69"/>
        <v>6.4831073514571989</v>
      </c>
      <c r="S172" s="4">
        <f t="shared" si="70"/>
        <v>46.2</v>
      </c>
      <c r="T172" s="4">
        <f t="shared" si="71"/>
        <v>1</v>
      </c>
      <c r="U172" s="4">
        <f t="shared" si="72"/>
        <v>8.2940496401020276</v>
      </c>
      <c r="V172" s="4">
        <f t="shared" si="73"/>
        <v>6.4831073514571989</v>
      </c>
      <c r="W172" s="4">
        <f t="shared" si="74"/>
        <v>46.2</v>
      </c>
      <c r="X172" s="4">
        <f t="shared" si="75"/>
        <v>1</v>
      </c>
      <c r="Y172" s="4">
        <f t="shared" si="76"/>
        <v>8.2940496401020276</v>
      </c>
      <c r="Z172" s="4">
        <f t="shared" si="77"/>
        <v>6.4831073514571989</v>
      </c>
      <c r="AA172" s="4">
        <f t="shared" si="78"/>
        <v>46.2</v>
      </c>
      <c r="AB172" s="4">
        <f t="shared" si="79"/>
        <v>1</v>
      </c>
      <c r="AC172" s="4">
        <f t="shared" si="80"/>
        <v>0</v>
      </c>
      <c r="AD172" s="4">
        <f t="shared" si="81"/>
        <v>0</v>
      </c>
      <c r="AE172" s="4">
        <f t="shared" si="82"/>
        <v>0</v>
      </c>
      <c r="AF172" s="4">
        <f t="shared" si="83"/>
        <v>0</v>
      </c>
      <c r="AG172" s="4">
        <f t="shared" si="84"/>
        <v>8.2940496401020276</v>
      </c>
      <c r="AH172" s="4">
        <f t="shared" si="85"/>
        <v>1</v>
      </c>
      <c r="AI172" s="4">
        <f t="shared" si="86"/>
        <v>0</v>
      </c>
      <c r="AJ172" s="4">
        <f t="shared" si="87"/>
        <v>8.2940496401020276</v>
      </c>
      <c r="AK172" s="4">
        <f t="shared" si="88"/>
        <v>6.4831073514571989</v>
      </c>
      <c r="AL172" s="4">
        <f t="shared" si="89"/>
        <v>0</v>
      </c>
      <c r="AM172" s="4">
        <f>CER!$C$7+CER!$C$8*J172+CER!$C$9*K172+CER!$C$10*L172+CER!$C$11*M172</f>
        <v>3.3348490649817646</v>
      </c>
      <c r="AN172" s="4">
        <f t="shared" si="90"/>
        <v>28.074145532333212</v>
      </c>
      <c r="AO172" s="4">
        <f t="shared" si="91"/>
        <v>-0.19755212710659187</v>
      </c>
      <c r="AP172" s="4">
        <f>Alternatives!$F$25+Alternatives!$F$26*J172+Alternatives!$F$27*K172+Alternatives!$F$28*G172+Alternatives!$F$29*O172</f>
        <v>4.0324969057052229</v>
      </c>
      <c r="AQ172" s="4">
        <f t="shared" si="92"/>
        <v>-0.89519996783005018</v>
      </c>
    </row>
    <row r="173" spans="1:43" x14ac:dyDescent="0.35">
      <c r="A173" s="2" t="s">
        <v>217</v>
      </c>
      <c r="B173" s="2" t="s">
        <v>213</v>
      </c>
      <c r="C173" s="2" t="s">
        <v>33</v>
      </c>
      <c r="D173" s="2">
        <v>23.041499999999999</v>
      </c>
      <c r="E173" s="2">
        <v>4000</v>
      </c>
      <c r="F173" s="2">
        <v>654</v>
      </c>
      <c r="G173" s="2">
        <v>46.2</v>
      </c>
      <c r="H173" s="2" t="s">
        <v>68</v>
      </c>
      <c r="I173" s="4">
        <f t="shared" si="62"/>
        <v>3.1372969378751727</v>
      </c>
      <c r="J173" s="4">
        <f t="shared" si="63"/>
        <v>8.2940496401020276</v>
      </c>
      <c r="K173" s="4">
        <f t="shared" si="64"/>
        <v>6.4831073514571989</v>
      </c>
      <c r="L173" s="2">
        <v>1</v>
      </c>
      <c r="M173" s="2">
        <v>0</v>
      </c>
      <c r="N173" s="4">
        <f t="shared" si="65"/>
        <v>46.2</v>
      </c>
      <c r="O173" s="4">
        <f t="shared" si="66"/>
        <v>1</v>
      </c>
      <c r="P173" s="4">
        <f t="shared" si="67"/>
        <v>1</v>
      </c>
      <c r="Q173" s="4">
        <f t="shared" si="68"/>
        <v>8.2940496401020276</v>
      </c>
      <c r="R173" s="4">
        <f t="shared" si="69"/>
        <v>6.4831073514571989</v>
      </c>
      <c r="S173" s="4">
        <f t="shared" si="70"/>
        <v>46.2</v>
      </c>
      <c r="T173" s="4">
        <f t="shared" si="71"/>
        <v>1</v>
      </c>
      <c r="U173" s="4">
        <f t="shared" si="72"/>
        <v>8.2940496401020276</v>
      </c>
      <c r="V173" s="4">
        <f t="shared" si="73"/>
        <v>6.4831073514571989</v>
      </c>
      <c r="W173" s="4">
        <f t="shared" si="74"/>
        <v>46.2</v>
      </c>
      <c r="X173" s="4">
        <f t="shared" si="75"/>
        <v>1</v>
      </c>
      <c r="Y173" s="4">
        <f t="shared" si="76"/>
        <v>8.2940496401020276</v>
      </c>
      <c r="Z173" s="4">
        <f t="shared" si="77"/>
        <v>6.4831073514571989</v>
      </c>
      <c r="AA173" s="4">
        <f t="shared" si="78"/>
        <v>46.2</v>
      </c>
      <c r="AB173" s="4">
        <f t="shared" si="79"/>
        <v>1</v>
      </c>
      <c r="AC173" s="4">
        <f t="shared" si="80"/>
        <v>0</v>
      </c>
      <c r="AD173" s="4">
        <f t="shared" si="81"/>
        <v>0</v>
      </c>
      <c r="AE173" s="4">
        <f t="shared" si="82"/>
        <v>0</v>
      </c>
      <c r="AF173" s="4">
        <f t="shared" si="83"/>
        <v>0</v>
      </c>
      <c r="AG173" s="4">
        <f t="shared" si="84"/>
        <v>8.2940496401020276</v>
      </c>
      <c r="AH173" s="4">
        <f t="shared" si="85"/>
        <v>1</v>
      </c>
      <c r="AI173" s="4">
        <f t="shared" si="86"/>
        <v>0</v>
      </c>
      <c r="AJ173" s="4">
        <f t="shared" si="87"/>
        <v>8.2940496401020276</v>
      </c>
      <c r="AK173" s="4">
        <f t="shared" si="88"/>
        <v>6.4831073514571989</v>
      </c>
      <c r="AL173" s="4">
        <f t="shared" si="89"/>
        <v>0</v>
      </c>
      <c r="AM173" s="4">
        <f>CER!$C$7+CER!$C$8*J173+CER!$C$9*K173+CER!$C$10*L173+CER!$C$11*M173</f>
        <v>3.3348490649817646</v>
      </c>
      <c r="AN173" s="4">
        <f t="shared" si="90"/>
        <v>28.074145532333212</v>
      </c>
      <c r="AO173" s="4">
        <f t="shared" si="91"/>
        <v>-0.19755212710659187</v>
      </c>
      <c r="AP173" s="4">
        <f>Alternatives!$F$25+Alternatives!$F$26*J173+Alternatives!$F$27*K173+Alternatives!$F$28*G173+Alternatives!$F$29*O173</f>
        <v>4.0324969057052229</v>
      </c>
      <c r="AQ173" s="4">
        <f t="shared" si="92"/>
        <v>-0.89519996783005018</v>
      </c>
    </row>
    <row r="174" spans="1:43" x14ac:dyDescent="0.35">
      <c r="A174" s="2" t="s">
        <v>218</v>
      </c>
      <c r="B174" s="2" t="s">
        <v>213</v>
      </c>
      <c r="C174" s="2" t="s">
        <v>33</v>
      </c>
      <c r="D174" s="2">
        <v>22.735800000000001</v>
      </c>
      <c r="E174" s="2">
        <v>4000</v>
      </c>
      <c r="F174" s="2">
        <v>770</v>
      </c>
      <c r="G174" s="2">
        <v>47.5</v>
      </c>
      <c r="H174" s="2" t="s">
        <v>68</v>
      </c>
      <c r="I174" s="4">
        <f t="shared" si="62"/>
        <v>3.1239407746939571</v>
      </c>
      <c r="J174" s="4">
        <f t="shared" si="63"/>
        <v>8.2940496401020276</v>
      </c>
      <c r="K174" s="4">
        <f t="shared" si="64"/>
        <v>6.6463905148477291</v>
      </c>
      <c r="L174" s="2">
        <v>1</v>
      </c>
      <c r="M174" s="2">
        <v>0</v>
      </c>
      <c r="N174" s="4">
        <f t="shared" si="65"/>
        <v>47.5</v>
      </c>
      <c r="O174" s="4">
        <f t="shared" si="66"/>
        <v>1</v>
      </c>
      <c r="P174" s="4">
        <f t="shared" si="67"/>
        <v>1</v>
      </c>
      <c r="Q174" s="4">
        <f t="shared" si="68"/>
        <v>8.2940496401020276</v>
      </c>
      <c r="R174" s="4">
        <f t="shared" si="69"/>
        <v>6.6463905148477291</v>
      </c>
      <c r="S174" s="4">
        <f t="shared" si="70"/>
        <v>47.5</v>
      </c>
      <c r="T174" s="4">
        <f t="shared" si="71"/>
        <v>1</v>
      </c>
      <c r="U174" s="4">
        <f t="shared" si="72"/>
        <v>8.2940496401020276</v>
      </c>
      <c r="V174" s="4">
        <f t="shared" si="73"/>
        <v>6.6463905148477291</v>
      </c>
      <c r="W174" s="4">
        <f t="shared" si="74"/>
        <v>47.5</v>
      </c>
      <c r="X174" s="4">
        <f t="shared" si="75"/>
        <v>1</v>
      </c>
      <c r="Y174" s="4">
        <f t="shared" si="76"/>
        <v>8.2940496401020276</v>
      </c>
      <c r="Z174" s="4">
        <f t="shared" si="77"/>
        <v>6.6463905148477291</v>
      </c>
      <c r="AA174" s="4">
        <f t="shared" si="78"/>
        <v>47.5</v>
      </c>
      <c r="AB174" s="4">
        <f t="shared" si="79"/>
        <v>1</v>
      </c>
      <c r="AC174" s="4">
        <f t="shared" si="80"/>
        <v>0</v>
      </c>
      <c r="AD174" s="4">
        <f t="shared" si="81"/>
        <v>0</v>
      </c>
      <c r="AE174" s="4">
        <f t="shared" si="82"/>
        <v>0</v>
      </c>
      <c r="AF174" s="4">
        <f t="shared" si="83"/>
        <v>0</v>
      </c>
      <c r="AG174" s="4">
        <f t="shared" si="84"/>
        <v>8.2940496401020276</v>
      </c>
      <c r="AH174" s="4">
        <f t="shared" si="85"/>
        <v>1</v>
      </c>
      <c r="AI174" s="4">
        <f t="shared" si="86"/>
        <v>0</v>
      </c>
      <c r="AJ174" s="4">
        <f t="shared" si="87"/>
        <v>8.2940496401020276</v>
      </c>
      <c r="AK174" s="4">
        <f t="shared" si="88"/>
        <v>6.6463905148477291</v>
      </c>
      <c r="AL174" s="4">
        <f t="shared" si="89"/>
        <v>0</v>
      </c>
      <c r="AM174" s="4">
        <f>CER!$C$7+CER!$C$8*J174+CER!$C$9*K174+CER!$C$10*L174+CER!$C$11*M174</f>
        <v>3.2746067682684457</v>
      </c>
      <c r="AN174" s="4">
        <f t="shared" si="90"/>
        <v>26.432829209425005</v>
      </c>
      <c r="AO174" s="4">
        <f t="shared" si="91"/>
        <v>-0.15066599357448851</v>
      </c>
      <c r="AP174" s="4">
        <f>Alternatives!$F$25+Alternatives!$F$26*J174+Alternatives!$F$27*K174+Alternatives!$F$28*G174+Alternatives!$F$29*O174</f>
        <v>3.97213611943027</v>
      </c>
      <c r="AQ174" s="4">
        <f t="shared" si="92"/>
        <v>-0.84819534473631286</v>
      </c>
    </row>
    <row r="175" spans="1:43" x14ac:dyDescent="0.35">
      <c r="A175" s="2" t="s">
        <v>219</v>
      </c>
      <c r="B175" s="2" t="s">
        <v>213</v>
      </c>
      <c r="C175" s="2" t="s">
        <v>67</v>
      </c>
      <c r="D175" s="2">
        <v>26.648299999999999</v>
      </c>
      <c r="E175" s="2">
        <v>4000</v>
      </c>
      <c r="F175" s="2">
        <v>612</v>
      </c>
      <c r="G175" s="2">
        <v>47.9</v>
      </c>
      <c r="H175" s="2" t="s">
        <v>68</v>
      </c>
      <c r="I175" s="4">
        <f t="shared" si="62"/>
        <v>3.2827253587085252</v>
      </c>
      <c r="J175" s="4">
        <f t="shared" si="63"/>
        <v>8.2940496401020276</v>
      </c>
      <c r="K175" s="4">
        <f t="shared" si="64"/>
        <v>6.4167322825123261</v>
      </c>
      <c r="L175" s="2">
        <v>0</v>
      </c>
      <c r="M175" s="2">
        <v>0</v>
      </c>
      <c r="N175" s="4">
        <f t="shared" si="65"/>
        <v>47.9</v>
      </c>
      <c r="O175" s="4">
        <f t="shared" si="66"/>
        <v>0</v>
      </c>
      <c r="P175" s="4">
        <f t="shared" si="67"/>
        <v>0</v>
      </c>
      <c r="Q175" s="4">
        <f t="shared" si="68"/>
        <v>8.2940496401020276</v>
      </c>
      <c r="R175" s="4">
        <f t="shared" si="69"/>
        <v>6.4167322825123261</v>
      </c>
      <c r="S175" s="4">
        <f t="shared" si="70"/>
        <v>47.9</v>
      </c>
      <c r="T175" s="4">
        <f t="shared" si="71"/>
        <v>0</v>
      </c>
      <c r="U175" s="4">
        <f t="shared" si="72"/>
        <v>8.2940496401020276</v>
      </c>
      <c r="V175" s="4">
        <f t="shared" si="73"/>
        <v>6.4167322825123261</v>
      </c>
      <c r="W175" s="4">
        <f t="shared" si="74"/>
        <v>47.9</v>
      </c>
      <c r="X175" s="4">
        <f t="shared" si="75"/>
        <v>0</v>
      </c>
      <c r="Y175" s="4">
        <f t="shared" si="76"/>
        <v>8.2940496401020276</v>
      </c>
      <c r="Z175" s="4">
        <f t="shared" si="77"/>
        <v>6.4167322825123261</v>
      </c>
      <c r="AA175" s="4">
        <f t="shared" si="78"/>
        <v>47.9</v>
      </c>
      <c r="AB175" s="4">
        <f t="shared" si="79"/>
        <v>0</v>
      </c>
      <c r="AC175" s="4">
        <f t="shared" si="80"/>
        <v>0</v>
      </c>
      <c r="AD175" s="4">
        <f t="shared" si="81"/>
        <v>0</v>
      </c>
      <c r="AE175" s="4">
        <f t="shared" si="82"/>
        <v>0</v>
      </c>
      <c r="AF175" s="4">
        <f t="shared" si="83"/>
        <v>0</v>
      </c>
      <c r="AG175" s="4">
        <f t="shared" si="84"/>
        <v>8.2940496401020276</v>
      </c>
      <c r="AH175" s="4">
        <f t="shared" si="85"/>
        <v>0</v>
      </c>
      <c r="AI175" s="4">
        <f t="shared" si="86"/>
        <v>0</v>
      </c>
      <c r="AJ175" s="4">
        <f t="shared" si="87"/>
        <v>8.2940496401020276</v>
      </c>
      <c r="AK175" s="4">
        <f t="shared" si="88"/>
        <v>6.4167322825123261</v>
      </c>
      <c r="AL175" s="4">
        <f t="shared" si="89"/>
        <v>0</v>
      </c>
      <c r="AM175" s="4">
        <f>CER!$C$7+CER!$C$8*J175+CER!$C$9*K175+CER!$C$10*L175+CER!$C$11*M175</f>
        <v>3.1355841594572644</v>
      </c>
      <c r="AN175" s="4">
        <f t="shared" si="90"/>
        <v>23.00206879418257</v>
      </c>
      <c r="AO175" s="4">
        <f t="shared" si="91"/>
        <v>0.14714119925126079</v>
      </c>
      <c r="AP175" s="4">
        <f>Alternatives!$F$25+Alternatives!$F$26*J175+Alternatives!$F$27*K175+Alternatives!$F$28*G175+Alternatives!$F$29*O175</f>
        <v>3.1833076095418651</v>
      </c>
      <c r="AQ175" s="4">
        <f t="shared" si="92"/>
        <v>9.941774916666013E-2</v>
      </c>
    </row>
    <row r="176" spans="1:43" x14ac:dyDescent="0.35">
      <c r="A176" s="2" t="s">
        <v>220</v>
      </c>
      <c r="B176" s="2" t="s">
        <v>213</v>
      </c>
      <c r="C176" s="2" t="s">
        <v>67</v>
      </c>
      <c r="D176" s="2">
        <v>15.6691</v>
      </c>
      <c r="E176" s="2">
        <v>5000</v>
      </c>
      <c r="F176" s="2">
        <v>709</v>
      </c>
      <c r="G176" s="2">
        <v>56.1</v>
      </c>
      <c r="H176" s="2" t="s">
        <v>68</v>
      </c>
      <c r="I176" s="4">
        <f t="shared" si="62"/>
        <v>2.7516906201301148</v>
      </c>
      <c r="J176" s="4">
        <f t="shared" si="63"/>
        <v>8.5171931914162382</v>
      </c>
      <c r="K176" s="4">
        <f t="shared" si="64"/>
        <v>6.5638555265321274</v>
      </c>
      <c r="L176" s="2">
        <v>0</v>
      </c>
      <c r="M176" s="2">
        <v>0</v>
      </c>
      <c r="N176" s="4">
        <f t="shared" si="65"/>
        <v>56.1</v>
      </c>
      <c r="O176" s="4">
        <f t="shared" si="66"/>
        <v>0</v>
      </c>
      <c r="P176" s="4">
        <f t="shared" si="67"/>
        <v>0</v>
      </c>
      <c r="Q176" s="4">
        <f t="shared" si="68"/>
        <v>8.5171931914162382</v>
      </c>
      <c r="R176" s="4">
        <f t="shared" si="69"/>
        <v>6.5638555265321274</v>
      </c>
      <c r="S176" s="4">
        <f t="shared" si="70"/>
        <v>56.1</v>
      </c>
      <c r="T176" s="4">
        <f t="shared" si="71"/>
        <v>0</v>
      </c>
      <c r="U176" s="4">
        <f t="shared" si="72"/>
        <v>8.5171931914162382</v>
      </c>
      <c r="V176" s="4">
        <f t="shared" si="73"/>
        <v>6.5638555265321274</v>
      </c>
      <c r="W176" s="4">
        <f t="shared" si="74"/>
        <v>56.1</v>
      </c>
      <c r="X176" s="4">
        <f t="shared" si="75"/>
        <v>0</v>
      </c>
      <c r="Y176" s="4">
        <f t="shared" si="76"/>
        <v>8.5171931914162382</v>
      </c>
      <c r="Z176" s="4">
        <f t="shared" si="77"/>
        <v>6.5638555265321274</v>
      </c>
      <c r="AA176" s="4">
        <f t="shared" si="78"/>
        <v>56.1</v>
      </c>
      <c r="AB176" s="4">
        <f t="shared" si="79"/>
        <v>0</v>
      </c>
      <c r="AC176" s="4">
        <f t="shared" si="80"/>
        <v>0</v>
      </c>
      <c r="AD176" s="4">
        <f t="shared" si="81"/>
        <v>0</v>
      </c>
      <c r="AE176" s="4">
        <f t="shared" si="82"/>
        <v>0</v>
      </c>
      <c r="AF176" s="4">
        <f t="shared" si="83"/>
        <v>0</v>
      </c>
      <c r="AG176" s="4">
        <f t="shared" si="84"/>
        <v>8.5171931914162382</v>
      </c>
      <c r="AH176" s="4">
        <f t="shared" si="85"/>
        <v>0</v>
      </c>
      <c r="AI176" s="4">
        <f t="shared" si="86"/>
        <v>0</v>
      </c>
      <c r="AJ176" s="4">
        <f t="shared" si="87"/>
        <v>8.5171931914162382</v>
      </c>
      <c r="AK176" s="4">
        <f t="shared" si="88"/>
        <v>6.5638555265321274</v>
      </c>
      <c r="AL176" s="4">
        <f t="shared" si="89"/>
        <v>0</v>
      </c>
      <c r="AM176" s="4">
        <f>CER!$C$7+CER!$C$8*J176+CER!$C$9*K176+CER!$C$10*L176+CER!$C$11*M176</f>
        <v>2.9802848427468551</v>
      </c>
      <c r="AN176" s="4">
        <f t="shared" si="90"/>
        <v>19.693425375300258</v>
      </c>
      <c r="AO176" s="4">
        <f t="shared" si="91"/>
        <v>-0.22859422261674034</v>
      </c>
      <c r="AP176" s="4">
        <f>Alternatives!$F$25+Alternatives!$F$26*J176+Alternatives!$F$27*K176+Alternatives!$F$28*G176+Alternatives!$F$29*O176</f>
        <v>3.1200789679942296</v>
      </c>
      <c r="AQ176" s="4">
        <f t="shared" si="92"/>
        <v>-0.36838834786411478</v>
      </c>
    </row>
    <row r="177" spans="1:43" x14ac:dyDescent="0.35">
      <c r="A177" s="2" t="s">
        <v>221</v>
      </c>
      <c r="B177" s="2" t="s">
        <v>213</v>
      </c>
      <c r="C177" s="2" t="s">
        <v>33</v>
      </c>
      <c r="D177" s="2">
        <v>22.217400000000001</v>
      </c>
      <c r="E177" s="2">
        <v>4500</v>
      </c>
      <c r="F177" s="2">
        <v>770</v>
      </c>
      <c r="G177" s="2">
        <v>47.5</v>
      </c>
      <c r="H177" s="2" t="s">
        <v>68</v>
      </c>
      <c r="I177" s="4">
        <f t="shared" si="62"/>
        <v>3.1008757656639108</v>
      </c>
      <c r="J177" s="4">
        <f t="shared" si="63"/>
        <v>8.4118326757584114</v>
      </c>
      <c r="K177" s="4">
        <f t="shared" si="64"/>
        <v>6.6463905148477291</v>
      </c>
      <c r="L177" s="2">
        <v>1</v>
      </c>
      <c r="M177" s="2">
        <v>0</v>
      </c>
      <c r="N177" s="4">
        <f t="shared" si="65"/>
        <v>47.5</v>
      </c>
      <c r="O177" s="4">
        <f t="shared" si="66"/>
        <v>1</v>
      </c>
      <c r="P177" s="4">
        <f t="shared" si="67"/>
        <v>1</v>
      </c>
      <c r="Q177" s="4">
        <f t="shared" si="68"/>
        <v>8.4118326757584114</v>
      </c>
      <c r="R177" s="4">
        <f t="shared" si="69"/>
        <v>6.6463905148477291</v>
      </c>
      <c r="S177" s="4">
        <f t="shared" si="70"/>
        <v>47.5</v>
      </c>
      <c r="T177" s="4">
        <f t="shared" si="71"/>
        <v>1</v>
      </c>
      <c r="U177" s="4">
        <f t="shared" si="72"/>
        <v>8.4118326757584114</v>
      </c>
      <c r="V177" s="4">
        <f t="shared" si="73"/>
        <v>6.6463905148477291</v>
      </c>
      <c r="W177" s="4">
        <f t="shared" si="74"/>
        <v>47.5</v>
      </c>
      <c r="X177" s="4">
        <f t="shared" si="75"/>
        <v>1</v>
      </c>
      <c r="Y177" s="4">
        <f t="shared" si="76"/>
        <v>8.4118326757584114</v>
      </c>
      <c r="Z177" s="4">
        <f t="shared" si="77"/>
        <v>6.6463905148477291</v>
      </c>
      <c r="AA177" s="4">
        <f t="shared" si="78"/>
        <v>47.5</v>
      </c>
      <c r="AB177" s="4">
        <f t="shared" si="79"/>
        <v>1</v>
      </c>
      <c r="AC177" s="4">
        <f t="shared" si="80"/>
        <v>0</v>
      </c>
      <c r="AD177" s="4">
        <f t="shared" si="81"/>
        <v>0</v>
      </c>
      <c r="AE177" s="4">
        <f t="shared" si="82"/>
        <v>0</v>
      </c>
      <c r="AF177" s="4">
        <f t="shared" si="83"/>
        <v>0</v>
      </c>
      <c r="AG177" s="4">
        <f t="shared" si="84"/>
        <v>8.4118326757584114</v>
      </c>
      <c r="AH177" s="4">
        <f t="shared" si="85"/>
        <v>1</v>
      </c>
      <c r="AI177" s="4">
        <f t="shared" si="86"/>
        <v>0</v>
      </c>
      <c r="AJ177" s="4">
        <f t="shared" si="87"/>
        <v>8.4118326757584114</v>
      </c>
      <c r="AK177" s="4">
        <f t="shared" si="88"/>
        <v>6.6463905148477291</v>
      </c>
      <c r="AL177" s="4">
        <f t="shared" si="89"/>
        <v>0</v>
      </c>
      <c r="AM177" s="4">
        <f>CER!$C$7+CER!$C$8*J177+CER!$C$9*K177+CER!$C$10*L177+CER!$C$11*M177</f>
        <v>3.2212853138896458</v>
      </c>
      <c r="AN177" s="4">
        <f t="shared" si="90"/>
        <v>25.060309854323972</v>
      </c>
      <c r="AO177" s="4">
        <f t="shared" si="91"/>
        <v>-0.12040954822573502</v>
      </c>
      <c r="AP177" s="4">
        <f>Alternatives!$F$25+Alternatives!$F$26*J177+Alternatives!$F$27*K177+Alternatives!$F$28*G177+Alternatives!$F$29*O177</f>
        <v>4.0157259693840617</v>
      </c>
      <c r="AQ177" s="4">
        <f t="shared" si="92"/>
        <v>-0.91485020372015091</v>
      </c>
    </row>
    <row r="178" spans="1:43" x14ac:dyDescent="0.35">
      <c r="A178" s="2" t="s">
        <v>222</v>
      </c>
      <c r="B178" s="2" t="s">
        <v>213</v>
      </c>
      <c r="C178" s="2" t="s">
        <v>33</v>
      </c>
      <c r="D178" s="2">
        <v>21.916899999999998</v>
      </c>
      <c r="E178" s="2">
        <v>4000</v>
      </c>
      <c r="F178" s="2">
        <v>790</v>
      </c>
      <c r="G178" s="2">
        <v>47.8</v>
      </c>
      <c r="H178" s="2" t="s">
        <v>68</v>
      </c>
      <c r="I178" s="4">
        <f t="shared" si="62"/>
        <v>3.0872580287209246</v>
      </c>
      <c r="J178" s="4">
        <f t="shared" si="63"/>
        <v>8.2940496401020276</v>
      </c>
      <c r="K178" s="4">
        <f t="shared" si="64"/>
        <v>6.6720329454610674</v>
      </c>
      <c r="L178" s="2">
        <v>1</v>
      </c>
      <c r="M178" s="2">
        <v>0</v>
      </c>
      <c r="N178" s="4">
        <f t="shared" si="65"/>
        <v>47.8</v>
      </c>
      <c r="O178" s="4">
        <f t="shared" si="66"/>
        <v>1</v>
      </c>
      <c r="P178" s="4">
        <f t="shared" si="67"/>
        <v>1</v>
      </c>
      <c r="Q178" s="4">
        <f t="shared" si="68"/>
        <v>8.2940496401020276</v>
      </c>
      <c r="R178" s="4">
        <f t="shared" si="69"/>
        <v>6.6720329454610674</v>
      </c>
      <c r="S178" s="4">
        <f t="shared" si="70"/>
        <v>47.8</v>
      </c>
      <c r="T178" s="4">
        <f t="shared" si="71"/>
        <v>1</v>
      </c>
      <c r="U178" s="4">
        <f t="shared" si="72"/>
        <v>8.2940496401020276</v>
      </c>
      <c r="V178" s="4">
        <f t="shared" si="73"/>
        <v>6.6720329454610674</v>
      </c>
      <c r="W178" s="4">
        <f t="shared" si="74"/>
        <v>47.8</v>
      </c>
      <c r="X178" s="4">
        <f t="shared" si="75"/>
        <v>1</v>
      </c>
      <c r="Y178" s="4">
        <f t="shared" si="76"/>
        <v>8.2940496401020276</v>
      </c>
      <c r="Z178" s="4">
        <f t="shared" si="77"/>
        <v>6.6720329454610674</v>
      </c>
      <c r="AA178" s="4">
        <f t="shared" si="78"/>
        <v>47.8</v>
      </c>
      <c r="AB178" s="4">
        <f t="shared" si="79"/>
        <v>1</v>
      </c>
      <c r="AC178" s="4">
        <f t="shared" si="80"/>
        <v>0</v>
      </c>
      <c r="AD178" s="4">
        <f t="shared" si="81"/>
        <v>0</v>
      </c>
      <c r="AE178" s="4">
        <f t="shared" si="82"/>
        <v>0</v>
      </c>
      <c r="AF178" s="4">
        <f t="shared" si="83"/>
        <v>0</v>
      </c>
      <c r="AG178" s="4">
        <f t="shared" si="84"/>
        <v>8.2940496401020276</v>
      </c>
      <c r="AH178" s="4">
        <f t="shared" si="85"/>
        <v>1</v>
      </c>
      <c r="AI178" s="4">
        <f t="shared" si="86"/>
        <v>0</v>
      </c>
      <c r="AJ178" s="4">
        <f t="shared" si="87"/>
        <v>8.2940496401020276</v>
      </c>
      <c r="AK178" s="4">
        <f t="shared" si="88"/>
        <v>6.6720329454610674</v>
      </c>
      <c r="AL178" s="4">
        <f t="shared" si="89"/>
        <v>0</v>
      </c>
      <c r="AM178" s="4">
        <f>CER!$C$7+CER!$C$8*J178+CER!$C$9*K178+CER!$C$10*L178+CER!$C$11*M178</f>
        <v>3.2651461546853739</v>
      </c>
      <c r="AN178" s="4">
        <f t="shared" si="90"/>
        <v>26.183937616340689</v>
      </c>
      <c r="AO178" s="4">
        <f t="shared" si="91"/>
        <v>-0.17788812596444936</v>
      </c>
      <c r="AP178" s="4">
        <f>Alternatives!$F$25+Alternatives!$F$26*J178+Alternatives!$F$27*K178+Alternatives!$F$28*G178+Alternatives!$F$29*O178</f>
        <v>3.9614102186799585</v>
      </c>
      <c r="AQ178" s="4">
        <f t="shared" si="92"/>
        <v>-0.87415218995903388</v>
      </c>
    </row>
    <row r="179" spans="1:43" x14ac:dyDescent="0.35">
      <c r="A179" s="2" t="s">
        <v>223</v>
      </c>
      <c r="B179" s="2" t="s">
        <v>213</v>
      </c>
      <c r="C179" s="2" t="s">
        <v>33</v>
      </c>
      <c r="D179" s="2">
        <v>21.916899999999998</v>
      </c>
      <c r="E179" s="2">
        <v>4500</v>
      </c>
      <c r="F179" s="2">
        <v>790</v>
      </c>
      <c r="G179" s="2">
        <v>47.8</v>
      </c>
      <c r="H179" s="2" t="s">
        <v>68</v>
      </c>
      <c r="I179" s="4">
        <f t="shared" si="62"/>
        <v>3.0872580287209246</v>
      </c>
      <c r="J179" s="4">
        <f t="shared" si="63"/>
        <v>8.4118326757584114</v>
      </c>
      <c r="K179" s="4">
        <f t="shared" si="64"/>
        <v>6.6720329454610674</v>
      </c>
      <c r="L179" s="2">
        <v>1</v>
      </c>
      <c r="M179" s="2">
        <v>0</v>
      </c>
      <c r="N179" s="4">
        <f t="shared" si="65"/>
        <v>47.8</v>
      </c>
      <c r="O179" s="4">
        <f t="shared" si="66"/>
        <v>1</v>
      </c>
      <c r="P179" s="4">
        <f t="shared" si="67"/>
        <v>1</v>
      </c>
      <c r="Q179" s="4">
        <f t="shared" si="68"/>
        <v>8.4118326757584114</v>
      </c>
      <c r="R179" s="4">
        <f t="shared" si="69"/>
        <v>6.6720329454610674</v>
      </c>
      <c r="S179" s="4">
        <f t="shared" si="70"/>
        <v>47.8</v>
      </c>
      <c r="T179" s="4">
        <f t="shared" si="71"/>
        <v>1</v>
      </c>
      <c r="U179" s="4">
        <f t="shared" si="72"/>
        <v>8.4118326757584114</v>
      </c>
      <c r="V179" s="4">
        <f t="shared" si="73"/>
        <v>6.6720329454610674</v>
      </c>
      <c r="W179" s="4">
        <f t="shared" si="74"/>
        <v>47.8</v>
      </c>
      <c r="X179" s="4">
        <f t="shared" si="75"/>
        <v>1</v>
      </c>
      <c r="Y179" s="4">
        <f t="shared" si="76"/>
        <v>8.4118326757584114</v>
      </c>
      <c r="Z179" s="4">
        <f t="shared" si="77"/>
        <v>6.6720329454610674</v>
      </c>
      <c r="AA179" s="4">
        <f t="shared" si="78"/>
        <v>47.8</v>
      </c>
      <c r="AB179" s="4">
        <f t="shared" si="79"/>
        <v>1</v>
      </c>
      <c r="AC179" s="4">
        <f t="shared" si="80"/>
        <v>0</v>
      </c>
      <c r="AD179" s="4">
        <f t="shared" si="81"/>
        <v>0</v>
      </c>
      <c r="AE179" s="4">
        <f t="shared" si="82"/>
        <v>0</v>
      </c>
      <c r="AF179" s="4">
        <f t="shared" si="83"/>
        <v>0</v>
      </c>
      <c r="AG179" s="4">
        <f t="shared" si="84"/>
        <v>8.4118326757584114</v>
      </c>
      <c r="AH179" s="4">
        <f t="shared" si="85"/>
        <v>1</v>
      </c>
      <c r="AI179" s="4">
        <f t="shared" si="86"/>
        <v>0</v>
      </c>
      <c r="AJ179" s="4">
        <f t="shared" si="87"/>
        <v>8.4118326757584114</v>
      </c>
      <c r="AK179" s="4">
        <f t="shared" si="88"/>
        <v>6.6720329454610674</v>
      </c>
      <c r="AL179" s="4">
        <f t="shared" si="89"/>
        <v>0</v>
      </c>
      <c r="AM179" s="4">
        <f>CER!$C$7+CER!$C$8*J179+CER!$C$9*K179+CER!$C$10*L179+CER!$C$11*M179</f>
        <v>3.2118247003065741</v>
      </c>
      <c r="AN179" s="4">
        <f t="shared" si="90"/>
        <v>24.824341907290695</v>
      </c>
      <c r="AO179" s="4">
        <f t="shared" si="91"/>
        <v>-0.12456667158564949</v>
      </c>
      <c r="AP179" s="4">
        <f>Alternatives!$F$25+Alternatives!$F$26*J179+Alternatives!$F$27*K179+Alternatives!$F$28*G179+Alternatives!$F$29*O179</f>
        <v>4.0050000686337501</v>
      </c>
      <c r="AQ179" s="4">
        <f t="shared" si="92"/>
        <v>-0.91774203991282555</v>
      </c>
    </row>
    <row r="180" spans="1:43" x14ac:dyDescent="0.35">
      <c r="A180" s="2" t="s">
        <v>224</v>
      </c>
      <c r="B180" s="2" t="s">
        <v>213</v>
      </c>
      <c r="C180" s="2" t="s">
        <v>67</v>
      </c>
      <c r="D180" s="2">
        <v>16.990400000000001</v>
      </c>
      <c r="E180" s="2">
        <v>4000</v>
      </c>
      <c r="F180" s="2">
        <v>823</v>
      </c>
      <c r="G180" s="2">
        <v>48.1</v>
      </c>
      <c r="H180" s="2" t="s">
        <v>68</v>
      </c>
      <c r="I180" s="4">
        <f t="shared" si="62"/>
        <v>2.8326484786674442</v>
      </c>
      <c r="J180" s="4">
        <f t="shared" si="63"/>
        <v>8.2940496401020276</v>
      </c>
      <c r="K180" s="4">
        <f t="shared" si="64"/>
        <v>6.7129562006770698</v>
      </c>
      <c r="L180" s="2">
        <v>0</v>
      </c>
      <c r="M180" s="2">
        <v>0</v>
      </c>
      <c r="N180" s="4">
        <f t="shared" si="65"/>
        <v>48.1</v>
      </c>
      <c r="O180" s="4">
        <f t="shared" si="66"/>
        <v>0</v>
      </c>
      <c r="P180" s="4">
        <f t="shared" si="67"/>
        <v>0</v>
      </c>
      <c r="Q180" s="4">
        <f t="shared" si="68"/>
        <v>8.2940496401020276</v>
      </c>
      <c r="R180" s="4">
        <f t="shared" si="69"/>
        <v>6.7129562006770698</v>
      </c>
      <c r="S180" s="4">
        <f t="shared" si="70"/>
        <v>48.1</v>
      </c>
      <c r="T180" s="4">
        <f t="shared" si="71"/>
        <v>0</v>
      </c>
      <c r="U180" s="4">
        <f t="shared" si="72"/>
        <v>8.2940496401020276</v>
      </c>
      <c r="V180" s="4">
        <f t="shared" si="73"/>
        <v>6.7129562006770698</v>
      </c>
      <c r="W180" s="4">
        <f t="shared" si="74"/>
        <v>48.1</v>
      </c>
      <c r="X180" s="4">
        <f t="shared" si="75"/>
        <v>0</v>
      </c>
      <c r="Y180" s="4">
        <f t="shared" si="76"/>
        <v>8.2940496401020276</v>
      </c>
      <c r="Z180" s="4">
        <f t="shared" si="77"/>
        <v>6.7129562006770698</v>
      </c>
      <c r="AA180" s="4">
        <f t="shared" si="78"/>
        <v>48.1</v>
      </c>
      <c r="AB180" s="4">
        <f t="shared" si="79"/>
        <v>0</v>
      </c>
      <c r="AC180" s="4">
        <f t="shared" si="80"/>
        <v>0</v>
      </c>
      <c r="AD180" s="4">
        <f t="shared" si="81"/>
        <v>0</v>
      </c>
      <c r="AE180" s="4">
        <f t="shared" si="82"/>
        <v>0</v>
      </c>
      <c r="AF180" s="4">
        <f t="shared" si="83"/>
        <v>0</v>
      </c>
      <c r="AG180" s="4">
        <f t="shared" si="84"/>
        <v>8.2940496401020276</v>
      </c>
      <c r="AH180" s="4">
        <f t="shared" si="85"/>
        <v>0</v>
      </c>
      <c r="AI180" s="4">
        <f t="shared" si="86"/>
        <v>0</v>
      </c>
      <c r="AJ180" s="4">
        <f t="shared" si="87"/>
        <v>8.2940496401020276</v>
      </c>
      <c r="AK180" s="4">
        <f t="shared" si="88"/>
        <v>6.7129562006770698</v>
      </c>
      <c r="AL180" s="4">
        <f t="shared" si="89"/>
        <v>0</v>
      </c>
      <c r="AM180" s="4">
        <f>CER!$C$7+CER!$C$8*J180+CER!$C$9*K180+CER!$C$10*L180+CER!$C$11*M180</f>
        <v>3.0262942069532128</v>
      </c>
      <c r="AN180" s="4">
        <f t="shared" si="90"/>
        <v>20.62067486991754</v>
      </c>
      <c r="AO180" s="4">
        <f t="shared" si="91"/>
        <v>-0.19364572828576865</v>
      </c>
      <c r="AP180" s="4">
        <f>Alternatives!$F$25+Alternatives!$F$26*J180+Alternatives!$F$27*K180+Alternatives!$F$28*G180+Alternatives!$F$29*O180</f>
        <v>3.101878009276501</v>
      </c>
      <c r="AQ180" s="4">
        <f t="shared" si="92"/>
        <v>-0.26922953060905686</v>
      </c>
    </row>
    <row r="181" spans="1:43" x14ac:dyDescent="0.35">
      <c r="A181" s="2" t="s">
        <v>225</v>
      </c>
      <c r="B181" s="2" t="s">
        <v>226</v>
      </c>
      <c r="C181" s="2" t="s">
        <v>67</v>
      </c>
      <c r="D181" s="2">
        <v>29.328299999999999</v>
      </c>
      <c r="E181" s="2">
        <v>3000</v>
      </c>
      <c r="F181" s="2">
        <v>228</v>
      </c>
      <c r="G181" s="2">
        <v>42.5</v>
      </c>
      <c r="H181" s="2" t="s">
        <v>68</v>
      </c>
      <c r="I181" s="4">
        <f t="shared" si="62"/>
        <v>3.3785529201776017</v>
      </c>
      <c r="J181" s="4">
        <f t="shared" si="63"/>
        <v>8.0063675676502459</v>
      </c>
      <c r="K181" s="4">
        <f t="shared" si="64"/>
        <v>5.4293456289544411</v>
      </c>
      <c r="L181" s="2">
        <v>0</v>
      </c>
      <c r="M181" s="2">
        <v>0</v>
      </c>
      <c r="N181" s="4">
        <f t="shared" si="65"/>
        <v>42.5</v>
      </c>
      <c r="O181" s="4">
        <f t="shared" si="66"/>
        <v>0</v>
      </c>
      <c r="P181" s="4">
        <f t="shared" si="67"/>
        <v>0</v>
      </c>
      <c r="Q181" s="4">
        <f t="shared" si="68"/>
        <v>8.0063675676502459</v>
      </c>
      <c r="R181" s="4">
        <f t="shared" si="69"/>
        <v>5.4293456289544411</v>
      </c>
      <c r="S181" s="4">
        <f t="shared" si="70"/>
        <v>42.5</v>
      </c>
      <c r="T181" s="4">
        <f t="shared" si="71"/>
        <v>0</v>
      </c>
      <c r="U181" s="4">
        <f t="shared" si="72"/>
        <v>8.0063675676502459</v>
      </c>
      <c r="V181" s="4">
        <f t="shared" si="73"/>
        <v>5.4293456289544411</v>
      </c>
      <c r="W181" s="4">
        <f t="shared" si="74"/>
        <v>42.5</v>
      </c>
      <c r="X181" s="4">
        <f t="shared" si="75"/>
        <v>0</v>
      </c>
      <c r="Y181" s="4">
        <f t="shared" si="76"/>
        <v>8.0063675676502459</v>
      </c>
      <c r="Z181" s="4">
        <f t="shared" si="77"/>
        <v>5.4293456289544411</v>
      </c>
      <c r="AA181" s="4">
        <f t="shared" si="78"/>
        <v>42.5</v>
      </c>
      <c r="AB181" s="4">
        <f t="shared" si="79"/>
        <v>0</v>
      </c>
      <c r="AC181" s="4">
        <f t="shared" si="80"/>
        <v>0</v>
      </c>
      <c r="AD181" s="4">
        <f t="shared" si="81"/>
        <v>0</v>
      </c>
      <c r="AE181" s="4">
        <f t="shared" si="82"/>
        <v>0</v>
      </c>
      <c r="AF181" s="4">
        <f t="shared" si="83"/>
        <v>0</v>
      </c>
      <c r="AG181" s="4">
        <f t="shared" si="84"/>
        <v>8.0063675676502459</v>
      </c>
      <c r="AH181" s="4">
        <f t="shared" si="85"/>
        <v>0</v>
      </c>
      <c r="AI181" s="4">
        <f t="shared" si="86"/>
        <v>0</v>
      </c>
      <c r="AJ181" s="4">
        <f t="shared" si="87"/>
        <v>8.0063675676502459</v>
      </c>
      <c r="AK181" s="4">
        <f t="shared" si="88"/>
        <v>5.4293456289544411</v>
      </c>
      <c r="AL181" s="4">
        <f t="shared" si="89"/>
        <v>0</v>
      </c>
      <c r="AM181" s="4">
        <f>CER!$C$7+CER!$C$8*J181+CER!$C$9*K181+CER!$C$10*L181+CER!$C$11*M181</f>
        <v>3.6301105561956417</v>
      </c>
      <c r="AN181" s="4">
        <f t="shared" si="90"/>
        <v>37.716986233198071</v>
      </c>
      <c r="AO181" s="4">
        <f t="shared" si="91"/>
        <v>-0.25155763601804004</v>
      </c>
      <c r="AP181" s="4">
        <f>Alternatives!$F$25+Alternatives!$F$26*J181+Alternatives!$F$27*K181+Alternatives!$F$28*G181+Alternatives!$F$29*O181</f>
        <v>3.4098334375992239</v>
      </c>
      <c r="AQ181" s="4">
        <f t="shared" si="92"/>
        <v>-3.1280517421622189E-2</v>
      </c>
    </row>
    <row r="182" spans="1:43" x14ac:dyDescent="0.35">
      <c r="A182" s="2" t="s">
        <v>225</v>
      </c>
      <c r="B182" s="2" t="s">
        <v>226</v>
      </c>
      <c r="C182" s="2" t="s">
        <v>67</v>
      </c>
      <c r="D182" s="2">
        <v>32.620800000000003</v>
      </c>
      <c r="E182" s="2">
        <v>3000</v>
      </c>
      <c r="F182" s="2">
        <v>228</v>
      </c>
      <c r="G182" s="2">
        <v>42.5</v>
      </c>
      <c r="H182" s="2" t="s">
        <v>68</v>
      </c>
      <c r="I182" s="4">
        <f t="shared" si="62"/>
        <v>3.4849501217235308</v>
      </c>
      <c r="J182" s="4">
        <f t="shared" si="63"/>
        <v>8.0063675676502459</v>
      </c>
      <c r="K182" s="4">
        <f t="shared" si="64"/>
        <v>5.4293456289544411</v>
      </c>
      <c r="L182" s="2">
        <v>0</v>
      </c>
      <c r="M182" s="2">
        <v>0</v>
      </c>
      <c r="N182" s="4">
        <f t="shared" si="65"/>
        <v>42.5</v>
      </c>
      <c r="O182" s="4">
        <f t="shared" si="66"/>
        <v>0</v>
      </c>
      <c r="P182" s="4">
        <f t="shared" si="67"/>
        <v>0</v>
      </c>
      <c r="Q182" s="4">
        <f t="shared" si="68"/>
        <v>8.0063675676502459</v>
      </c>
      <c r="R182" s="4">
        <f t="shared" si="69"/>
        <v>5.4293456289544411</v>
      </c>
      <c r="S182" s="4">
        <f t="shared" si="70"/>
        <v>42.5</v>
      </c>
      <c r="T182" s="4">
        <f t="shared" si="71"/>
        <v>0</v>
      </c>
      <c r="U182" s="4">
        <f t="shared" si="72"/>
        <v>8.0063675676502459</v>
      </c>
      <c r="V182" s="4">
        <f t="shared" si="73"/>
        <v>5.4293456289544411</v>
      </c>
      <c r="W182" s="4">
        <f t="shared" si="74"/>
        <v>42.5</v>
      </c>
      <c r="X182" s="4">
        <f t="shared" si="75"/>
        <v>0</v>
      </c>
      <c r="Y182" s="4">
        <f t="shared" si="76"/>
        <v>8.0063675676502459</v>
      </c>
      <c r="Z182" s="4">
        <f t="shared" si="77"/>
        <v>5.4293456289544411</v>
      </c>
      <c r="AA182" s="4">
        <f t="shared" si="78"/>
        <v>42.5</v>
      </c>
      <c r="AB182" s="4">
        <f t="shared" si="79"/>
        <v>0</v>
      </c>
      <c r="AC182" s="4">
        <f t="shared" si="80"/>
        <v>0</v>
      </c>
      <c r="AD182" s="4">
        <f t="shared" si="81"/>
        <v>0</v>
      </c>
      <c r="AE182" s="4">
        <f t="shared" si="82"/>
        <v>0</v>
      </c>
      <c r="AF182" s="4">
        <f t="shared" si="83"/>
        <v>0</v>
      </c>
      <c r="AG182" s="4">
        <f t="shared" si="84"/>
        <v>8.0063675676502459</v>
      </c>
      <c r="AH182" s="4">
        <f t="shared" si="85"/>
        <v>0</v>
      </c>
      <c r="AI182" s="4">
        <f t="shared" si="86"/>
        <v>0</v>
      </c>
      <c r="AJ182" s="4">
        <f t="shared" si="87"/>
        <v>8.0063675676502459</v>
      </c>
      <c r="AK182" s="4">
        <f t="shared" si="88"/>
        <v>5.4293456289544411</v>
      </c>
      <c r="AL182" s="4">
        <f t="shared" si="89"/>
        <v>0</v>
      </c>
      <c r="AM182" s="4">
        <f>CER!$C$7+CER!$C$8*J182+CER!$C$9*K182+CER!$C$10*L182+CER!$C$11*M182</f>
        <v>3.6301105561956417</v>
      </c>
      <c r="AN182" s="4">
        <f t="shared" si="90"/>
        <v>37.716986233198071</v>
      </c>
      <c r="AO182" s="4">
        <f t="shared" si="91"/>
        <v>-0.14516043447211091</v>
      </c>
      <c r="AP182" s="4">
        <f>Alternatives!$F$25+Alternatives!$F$26*J182+Alternatives!$F$27*K182+Alternatives!$F$28*G182+Alternatives!$F$29*O182</f>
        <v>3.4098334375992239</v>
      </c>
      <c r="AQ182" s="4">
        <f t="shared" si="92"/>
        <v>7.5116684124306943E-2</v>
      </c>
    </row>
    <row r="183" spans="1:43" x14ac:dyDescent="0.35">
      <c r="A183" s="2" t="s">
        <v>227</v>
      </c>
      <c r="B183" s="2" t="s">
        <v>226</v>
      </c>
      <c r="C183" s="2" t="s">
        <v>67</v>
      </c>
      <c r="D183" s="2">
        <v>28.592700000000001</v>
      </c>
      <c r="E183" s="2">
        <v>3500</v>
      </c>
      <c r="F183" s="2">
        <v>271</v>
      </c>
      <c r="G183" s="2">
        <v>45</v>
      </c>
      <c r="H183" s="2" t="s">
        <v>68</v>
      </c>
      <c r="I183" s="4">
        <f t="shared" si="62"/>
        <v>3.3531514404900755</v>
      </c>
      <c r="J183" s="4">
        <f t="shared" si="63"/>
        <v>8.1605182474775049</v>
      </c>
      <c r="K183" s="4">
        <f t="shared" si="64"/>
        <v>5.602118820879701</v>
      </c>
      <c r="L183" s="2">
        <v>0</v>
      </c>
      <c r="M183" s="2">
        <v>0</v>
      </c>
      <c r="N183" s="4">
        <f t="shared" si="65"/>
        <v>45</v>
      </c>
      <c r="O183" s="4">
        <f t="shared" si="66"/>
        <v>0</v>
      </c>
      <c r="P183" s="4">
        <f t="shared" si="67"/>
        <v>0</v>
      </c>
      <c r="Q183" s="4">
        <f t="shared" si="68"/>
        <v>8.1605182474775049</v>
      </c>
      <c r="R183" s="4">
        <f t="shared" si="69"/>
        <v>5.602118820879701</v>
      </c>
      <c r="S183" s="4">
        <f t="shared" si="70"/>
        <v>45</v>
      </c>
      <c r="T183" s="4">
        <f t="shared" si="71"/>
        <v>0</v>
      </c>
      <c r="U183" s="4">
        <f t="shared" si="72"/>
        <v>8.1605182474775049</v>
      </c>
      <c r="V183" s="4">
        <f t="shared" si="73"/>
        <v>5.602118820879701</v>
      </c>
      <c r="W183" s="4">
        <f t="shared" si="74"/>
        <v>45</v>
      </c>
      <c r="X183" s="4">
        <f t="shared" si="75"/>
        <v>0</v>
      </c>
      <c r="Y183" s="4">
        <f t="shared" si="76"/>
        <v>8.1605182474775049</v>
      </c>
      <c r="Z183" s="4">
        <f t="shared" si="77"/>
        <v>5.602118820879701</v>
      </c>
      <c r="AA183" s="4">
        <f t="shared" si="78"/>
        <v>45</v>
      </c>
      <c r="AB183" s="4">
        <f t="shared" si="79"/>
        <v>0</v>
      </c>
      <c r="AC183" s="4">
        <f t="shared" si="80"/>
        <v>0</v>
      </c>
      <c r="AD183" s="4">
        <f t="shared" si="81"/>
        <v>0</v>
      </c>
      <c r="AE183" s="4">
        <f t="shared" si="82"/>
        <v>0</v>
      </c>
      <c r="AF183" s="4">
        <f t="shared" si="83"/>
        <v>0</v>
      </c>
      <c r="AG183" s="4">
        <f t="shared" si="84"/>
        <v>8.1605182474775049</v>
      </c>
      <c r="AH183" s="4">
        <f t="shared" si="85"/>
        <v>0</v>
      </c>
      <c r="AI183" s="4">
        <f t="shared" si="86"/>
        <v>0</v>
      </c>
      <c r="AJ183" s="4">
        <f t="shared" si="87"/>
        <v>8.1605182474775049</v>
      </c>
      <c r="AK183" s="4">
        <f t="shared" si="88"/>
        <v>5.602118820879701</v>
      </c>
      <c r="AL183" s="4">
        <f t="shared" si="89"/>
        <v>0</v>
      </c>
      <c r="AM183" s="4">
        <f>CER!$C$7+CER!$C$8*J183+CER!$C$9*K183+CER!$C$10*L183+CER!$C$11*M183</f>
        <v>3.4965815545557692</v>
      </c>
      <c r="AN183" s="4">
        <f t="shared" si="90"/>
        <v>33.002441862285892</v>
      </c>
      <c r="AO183" s="4">
        <f t="shared" si="91"/>
        <v>-0.14343011406569373</v>
      </c>
      <c r="AP183" s="4">
        <f>Alternatives!$F$25+Alternatives!$F$26*J183+Alternatives!$F$27*K183+Alternatives!$F$28*G183+Alternatives!$F$29*O183</f>
        <v>3.3883874878025084</v>
      </c>
      <c r="AQ183" s="4">
        <f t="shared" si="92"/>
        <v>-3.5236047312432905E-2</v>
      </c>
    </row>
    <row r="184" spans="1:43" x14ac:dyDescent="0.35">
      <c r="A184" s="2" t="s">
        <v>227</v>
      </c>
      <c r="B184" s="2" t="s">
        <v>226</v>
      </c>
      <c r="C184" s="2" t="s">
        <v>67</v>
      </c>
      <c r="D184" s="2">
        <v>27.4313</v>
      </c>
      <c r="E184" s="2">
        <v>4000</v>
      </c>
      <c r="F184" s="2">
        <v>271</v>
      </c>
      <c r="G184" s="2">
        <v>45</v>
      </c>
      <c r="H184" s="2" t="s">
        <v>68</v>
      </c>
      <c r="I184" s="4">
        <f t="shared" si="62"/>
        <v>3.3116846971914109</v>
      </c>
      <c r="J184" s="4">
        <f t="shared" si="63"/>
        <v>8.2940496401020276</v>
      </c>
      <c r="K184" s="4">
        <f t="shared" si="64"/>
        <v>5.602118820879701</v>
      </c>
      <c r="L184" s="2">
        <v>0</v>
      </c>
      <c r="M184" s="2">
        <v>0</v>
      </c>
      <c r="N184" s="4">
        <f t="shared" si="65"/>
        <v>45</v>
      </c>
      <c r="O184" s="4">
        <f t="shared" si="66"/>
        <v>0</v>
      </c>
      <c r="P184" s="4">
        <f t="shared" si="67"/>
        <v>0</v>
      </c>
      <c r="Q184" s="4">
        <f t="shared" si="68"/>
        <v>8.2940496401020276</v>
      </c>
      <c r="R184" s="4">
        <f t="shared" si="69"/>
        <v>5.602118820879701</v>
      </c>
      <c r="S184" s="4">
        <f t="shared" si="70"/>
        <v>45</v>
      </c>
      <c r="T184" s="4">
        <f t="shared" si="71"/>
        <v>0</v>
      </c>
      <c r="U184" s="4">
        <f t="shared" si="72"/>
        <v>8.2940496401020276</v>
      </c>
      <c r="V184" s="4">
        <f t="shared" si="73"/>
        <v>5.602118820879701</v>
      </c>
      <c r="W184" s="4">
        <f t="shared" si="74"/>
        <v>45</v>
      </c>
      <c r="X184" s="4">
        <f t="shared" si="75"/>
        <v>0</v>
      </c>
      <c r="Y184" s="4">
        <f t="shared" si="76"/>
        <v>8.2940496401020276</v>
      </c>
      <c r="Z184" s="4">
        <f t="shared" si="77"/>
        <v>5.602118820879701</v>
      </c>
      <c r="AA184" s="4">
        <f t="shared" si="78"/>
        <v>45</v>
      </c>
      <c r="AB184" s="4">
        <f t="shared" si="79"/>
        <v>0</v>
      </c>
      <c r="AC184" s="4">
        <f t="shared" si="80"/>
        <v>0</v>
      </c>
      <c r="AD184" s="4">
        <f t="shared" si="81"/>
        <v>0</v>
      </c>
      <c r="AE184" s="4">
        <f t="shared" si="82"/>
        <v>0</v>
      </c>
      <c r="AF184" s="4">
        <f t="shared" si="83"/>
        <v>0</v>
      </c>
      <c r="AG184" s="4">
        <f t="shared" si="84"/>
        <v>8.2940496401020276</v>
      </c>
      <c r="AH184" s="4">
        <f t="shared" si="85"/>
        <v>0</v>
      </c>
      <c r="AI184" s="4">
        <f t="shared" si="86"/>
        <v>0</v>
      </c>
      <c r="AJ184" s="4">
        <f t="shared" si="87"/>
        <v>8.2940496401020276</v>
      </c>
      <c r="AK184" s="4">
        <f t="shared" si="88"/>
        <v>5.602118820879701</v>
      </c>
      <c r="AL184" s="4">
        <f t="shared" si="89"/>
        <v>0</v>
      </c>
      <c r="AM184" s="4">
        <f>CER!$C$7+CER!$C$8*J184+CER!$C$9*K184+CER!$C$10*L184+CER!$C$11*M184</f>
        <v>3.4361306753583793</v>
      </c>
      <c r="AN184" s="4">
        <f t="shared" si="90"/>
        <v>31.066518862223848</v>
      </c>
      <c r="AO184" s="4">
        <f t="shared" si="91"/>
        <v>-0.12444597816696845</v>
      </c>
      <c r="AP184" s="4">
        <f>Alternatives!$F$25+Alternatives!$F$26*J184+Alternatives!$F$27*K184+Alternatives!$F$28*G184+Alternatives!$F$29*O184</f>
        <v>3.4378055838482302</v>
      </c>
      <c r="AQ184" s="4">
        <f t="shared" si="92"/>
        <v>-0.12612088665681931</v>
      </c>
    </row>
    <row r="185" spans="1:43" x14ac:dyDescent="0.35">
      <c r="A185" s="2" t="s">
        <v>228</v>
      </c>
      <c r="B185" s="2" t="s">
        <v>226</v>
      </c>
      <c r="C185" s="2" t="s">
        <v>67</v>
      </c>
      <c r="D185" s="2">
        <v>39.855899999999998</v>
      </c>
      <c r="E185" s="2">
        <v>3500</v>
      </c>
      <c r="F185" s="2">
        <v>152</v>
      </c>
      <c r="G185" s="2">
        <v>44.7</v>
      </c>
      <c r="H185" s="2" t="s">
        <v>68</v>
      </c>
      <c r="I185" s="4">
        <f t="shared" si="62"/>
        <v>3.6852704494841597</v>
      </c>
      <c r="J185" s="4">
        <f t="shared" si="63"/>
        <v>8.1605182474775049</v>
      </c>
      <c r="K185" s="4">
        <f t="shared" si="64"/>
        <v>5.0238805208462765</v>
      </c>
      <c r="L185" s="2">
        <v>0</v>
      </c>
      <c r="M185" s="2">
        <v>0</v>
      </c>
      <c r="N185" s="4">
        <f t="shared" si="65"/>
        <v>44.7</v>
      </c>
      <c r="O185" s="4">
        <f t="shared" si="66"/>
        <v>0</v>
      </c>
      <c r="P185" s="4">
        <f t="shared" si="67"/>
        <v>0</v>
      </c>
      <c r="Q185" s="4">
        <f t="shared" si="68"/>
        <v>8.1605182474775049</v>
      </c>
      <c r="R185" s="4">
        <f t="shared" si="69"/>
        <v>5.0238805208462765</v>
      </c>
      <c r="S185" s="4">
        <f t="shared" si="70"/>
        <v>44.7</v>
      </c>
      <c r="T185" s="4">
        <f t="shared" si="71"/>
        <v>0</v>
      </c>
      <c r="U185" s="4">
        <f t="shared" si="72"/>
        <v>8.1605182474775049</v>
      </c>
      <c r="V185" s="4">
        <f t="shared" si="73"/>
        <v>5.0238805208462765</v>
      </c>
      <c r="W185" s="4">
        <f t="shared" si="74"/>
        <v>44.7</v>
      </c>
      <c r="X185" s="4">
        <f t="shared" si="75"/>
        <v>0</v>
      </c>
      <c r="Y185" s="4">
        <f t="shared" si="76"/>
        <v>8.1605182474775049</v>
      </c>
      <c r="Z185" s="4">
        <f t="shared" si="77"/>
        <v>5.0238805208462765</v>
      </c>
      <c r="AA185" s="4">
        <f t="shared" si="78"/>
        <v>44.7</v>
      </c>
      <c r="AB185" s="4">
        <f t="shared" si="79"/>
        <v>0</v>
      </c>
      <c r="AC185" s="4">
        <f t="shared" si="80"/>
        <v>0</v>
      </c>
      <c r="AD185" s="4">
        <f t="shared" si="81"/>
        <v>0</v>
      </c>
      <c r="AE185" s="4">
        <f t="shared" si="82"/>
        <v>0</v>
      </c>
      <c r="AF185" s="4">
        <f t="shared" si="83"/>
        <v>0</v>
      </c>
      <c r="AG185" s="4">
        <f t="shared" si="84"/>
        <v>8.1605182474775049</v>
      </c>
      <c r="AH185" s="4">
        <f t="shared" si="85"/>
        <v>0</v>
      </c>
      <c r="AI185" s="4">
        <f t="shared" si="86"/>
        <v>0</v>
      </c>
      <c r="AJ185" s="4">
        <f t="shared" si="87"/>
        <v>8.1605182474775049</v>
      </c>
      <c r="AK185" s="4">
        <f t="shared" si="88"/>
        <v>5.0238805208462765</v>
      </c>
      <c r="AL185" s="4">
        <f t="shared" si="89"/>
        <v>0</v>
      </c>
      <c r="AM185" s="4">
        <f>CER!$C$7+CER!$C$8*J185+CER!$C$9*K185+CER!$C$10*L185+CER!$C$11*M185</f>
        <v>3.7099189404704696</v>
      </c>
      <c r="AN185" s="4">
        <f t="shared" si="90"/>
        <v>40.850495070868014</v>
      </c>
      <c r="AO185" s="4">
        <f t="shared" si="91"/>
        <v>-2.4648490986309834E-2</v>
      </c>
      <c r="AP185" s="4">
        <f>Alternatives!$F$25+Alternatives!$F$26*J185+Alternatives!$F$27*K185+Alternatives!$F$28*G185+Alternatives!$F$29*O185</f>
        <v>3.5461646576312553</v>
      </c>
      <c r="AQ185" s="4">
        <f t="shared" si="92"/>
        <v>0.13910579185290439</v>
      </c>
    </row>
    <row r="186" spans="1:43" x14ac:dyDescent="0.35">
      <c r="A186" s="2" t="s">
        <v>228</v>
      </c>
      <c r="B186" s="2" t="s">
        <v>226</v>
      </c>
      <c r="C186" s="2" t="s">
        <v>67</v>
      </c>
      <c r="D186" s="2">
        <v>39.202399999999997</v>
      </c>
      <c r="E186" s="2">
        <v>3500</v>
      </c>
      <c r="F186" s="2">
        <v>182</v>
      </c>
      <c r="G186" s="2">
        <v>44.7</v>
      </c>
      <c r="H186" s="2" t="s">
        <v>68</v>
      </c>
      <c r="I186" s="4">
        <f t="shared" si="62"/>
        <v>3.6687379694120703</v>
      </c>
      <c r="J186" s="4">
        <f t="shared" si="63"/>
        <v>8.1605182474775049</v>
      </c>
      <c r="K186" s="4">
        <f t="shared" si="64"/>
        <v>5.2040066870767951</v>
      </c>
      <c r="L186" s="2">
        <v>0</v>
      </c>
      <c r="M186" s="2">
        <v>0</v>
      </c>
      <c r="N186" s="4">
        <f t="shared" si="65"/>
        <v>44.7</v>
      </c>
      <c r="O186" s="4">
        <f t="shared" si="66"/>
        <v>0</v>
      </c>
      <c r="P186" s="4">
        <f t="shared" si="67"/>
        <v>0</v>
      </c>
      <c r="Q186" s="4">
        <f t="shared" si="68"/>
        <v>8.1605182474775049</v>
      </c>
      <c r="R186" s="4">
        <f t="shared" si="69"/>
        <v>5.2040066870767951</v>
      </c>
      <c r="S186" s="4">
        <f t="shared" si="70"/>
        <v>44.7</v>
      </c>
      <c r="T186" s="4">
        <f t="shared" si="71"/>
        <v>0</v>
      </c>
      <c r="U186" s="4">
        <f t="shared" si="72"/>
        <v>8.1605182474775049</v>
      </c>
      <c r="V186" s="4">
        <f t="shared" si="73"/>
        <v>5.2040066870767951</v>
      </c>
      <c r="W186" s="4">
        <f t="shared" si="74"/>
        <v>44.7</v>
      </c>
      <c r="X186" s="4">
        <f t="shared" si="75"/>
        <v>0</v>
      </c>
      <c r="Y186" s="4">
        <f t="shared" si="76"/>
        <v>8.1605182474775049</v>
      </c>
      <c r="Z186" s="4">
        <f t="shared" si="77"/>
        <v>5.2040066870767951</v>
      </c>
      <c r="AA186" s="4">
        <f t="shared" si="78"/>
        <v>44.7</v>
      </c>
      <c r="AB186" s="4">
        <f t="shared" si="79"/>
        <v>0</v>
      </c>
      <c r="AC186" s="4">
        <f t="shared" si="80"/>
        <v>0</v>
      </c>
      <c r="AD186" s="4">
        <f t="shared" si="81"/>
        <v>0</v>
      </c>
      <c r="AE186" s="4">
        <f t="shared" si="82"/>
        <v>0</v>
      </c>
      <c r="AF186" s="4">
        <f t="shared" si="83"/>
        <v>0</v>
      </c>
      <c r="AG186" s="4">
        <f t="shared" si="84"/>
        <v>8.1605182474775049</v>
      </c>
      <c r="AH186" s="4">
        <f t="shared" si="85"/>
        <v>0</v>
      </c>
      <c r="AI186" s="4">
        <f t="shared" si="86"/>
        <v>0</v>
      </c>
      <c r="AJ186" s="4">
        <f t="shared" si="87"/>
        <v>8.1605182474775049</v>
      </c>
      <c r="AK186" s="4">
        <f t="shared" si="88"/>
        <v>5.2040066870767951</v>
      </c>
      <c r="AL186" s="4">
        <f t="shared" si="89"/>
        <v>0</v>
      </c>
      <c r="AM186" s="4">
        <f>CER!$C$7+CER!$C$8*J186+CER!$C$9*K186+CER!$C$10*L186+CER!$C$11*M186</f>
        <v>3.6434625237366864</v>
      </c>
      <c r="AN186" s="4">
        <f t="shared" si="90"/>
        <v>38.223959220870917</v>
      </c>
      <c r="AO186" s="4">
        <f t="shared" si="91"/>
        <v>2.5275445675383867E-2</v>
      </c>
      <c r="AP186" s="4">
        <f>Alternatives!$F$25+Alternatives!$F$26*J186+Alternatives!$F$27*K186+Alternatives!$F$28*G186+Alternatives!$F$29*O186</f>
        <v>3.4982312893159477</v>
      </c>
      <c r="AQ186" s="4">
        <f t="shared" si="92"/>
        <v>0.17050668009612258</v>
      </c>
    </row>
    <row r="187" spans="1:43" x14ac:dyDescent="0.35">
      <c r="A187" s="2" t="s">
        <v>229</v>
      </c>
      <c r="B187" s="2" t="s">
        <v>226</v>
      </c>
      <c r="C187" s="2" t="s">
        <v>67</v>
      </c>
      <c r="D187" s="2">
        <v>40.291899999999998</v>
      </c>
      <c r="E187" s="2">
        <v>3500</v>
      </c>
      <c r="F187" s="2">
        <v>152</v>
      </c>
      <c r="G187" s="2">
        <v>44.3</v>
      </c>
      <c r="H187" s="2" t="s">
        <v>68</v>
      </c>
      <c r="I187" s="4">
        <f t="shared" si="62"/>
        <v>3.6961504561950953</v>
      </c>
      <c r="J187" s="4">
        <f t="shared" si="63"/>
        <v>8.1605182474775049</v>
      </c>
      <c r="K187" s="4">
        <f t="shared" si="64"/>
        <v>5.0238805208462765</v>
      </c>
      <c r="L187" s="2">
        <v>0</v>
      </c>
      <c r="M187" s="2">
        <v>0</v>
      </c>
      <c r="N187" s="4">
        <f t="shared" si="65"/>
        <v>44.3</v>
      </c>
      <c r="O187" s="4">
        <f t="shared" si="66"/>
        <v>0</v>
      </c>
      <c r="P187" s="4">
        <f t="shared" si="67"/>
        <v>0</v>
      </c>
      <c r="Q187" s="4">
        <f t="shared" si="68"/>
        <v>8.1605182474775049</v>
      </c>
      <c r="R187" s="4">
        <f t="shared" si="69"/>
        <v>5.0238805208462765</v>
      </c>
      <c r="S187" s="4">
        <f t="shared" si="70"/>
        <v>44.3</v>
      </c>
      <c r="T187" s="4">
        <f t="shared" si="71"/>
        <v>0</v>
      </c>
      <c r="U187" s="4">
        <f t="shared" si="72"/>
        <v>8.1605182474775049</v>
      </c>
      <c r="V187" s="4">
        <f t="shared" si="73"/>
        <v>5.0238805208462765</v>
      </c>
      <c r="W187" s="4">
        <f t="shared" si="74"/>
        <v>44.3</v>
      </c>
      <c r="X187" s="4">
        <f t="shared" si="75"/>
        <v>0</v>
      </c>
      <c r="Y187" s="4">
        <f t="shared" si="76"/>
        <v>8.1605182474775049</v>
      </c>
      <c r="Z187" s="4">
        <f t="shared" si="77"/>
        <v>5.0238805208462765</v>
      </c>
      <c r="AA187" s="4">
        <f t="shared" si="78"/>
        <v>44.3</v>
      </c>
      <c r="AB187" s="4">
        <f t="shared" si="79"/>
        <v>0</v>
      </c>
      <c r="AC187" s="4">
        <f t="shared" si="80"/>
        <v>0</v>
      </c>
      <c r="AD187" s="4">
        <f t="shared" si="81"/>
        <v>0</v>
      </c>
      <c r="AE187" s="4">
        <f t="shared" si="82"/>
        <v>0</v>
      </c>
      <c r="AF187" s="4">
        <f t="shared" si="83"/>
        <v>0</v>
      </c>
      <c r="AG187" s="4">
        <f t="shared" si="84"/>
        <v>8.1605182474775049</v>
      </c>
      <c r="AH187" s="4">
        <f t="shared" si="85"/>
        <v>0</v>
      </c>
      <c r="AI187" s="4">
        <f t="shared" si="86"/>
        <v>0</v>
      </c>
      <c r="AJ187" s="4">
        <f t="shared" si="87"/>
        <v>8.1605182474775049</v>
      </c>
      <c r="AK187" s="4">
        <f t="shared" si="88"/>
        <v>5.0238805208462765</v>
      </c>
      <c r="AL187" s="4">
        <f t="shared" si="89"/>
        <v>0</v>
      </c>
      <c r="AM187" s="4">
        <f>CER!$C$7+CER!$C$8*J187+CER!$C$9*K187+CER!$C$10*L187+CER!$C$11*M187</f>
        <v>3.7099189404704696</v>
      </c>
      <c r="AN187" s="4">
        <f t="shared" si="90"/>
        <v>40.850495070868014</v>
      </c>
      <c r="AO187" s="4">
        <f t="shared" si="91"/>
        <v>-1.3768484275374249E-2</v>
      </c>
      <c r="AP187" s="4">
        <f>Alternatives!$F$25+Alternatives!$F$26*J187+Alternatives!$F$27*K187+Alternatives!$F$28*G187+Alternatives!$F$29*O187</f>
        <v>3.5513675834481466</v>
      </c>
      <c r="AQ187" s="4">
        <f t="shared" si="92"/>
        <v>0.14478287274694868</v>
      </c>
    </row>
    <row r="188" spans="1:43" x14ac:dyDescent="0.35">
      <c r="A188" s="2" t="s">
        <v>229</v>
      </c>
      <c r="B188" s="2" t="s">
        <v>226</v>
      </c>
      <c r="C188" s="2" t="s">
        <v>67</v>
      </c>
      <c r="D188" s="2">
        <v>39.046599999999998</v>
      </c>
      <c r="E188" s="2">
        <v>3500</v>
      </c>
      <c r="F188" s="2">
        <v>182</v>
      </c>
      <c r="G188" s="2">
        <v>44.3</v>
      </c>
      <c r="H188" s="2" t="s">
        <v>68</v>
      </c>
      <c r="I188" s="4">
        <f t="shared" si="62"/>
        <v>3.6647558046333528</v>
      </c>
      <c r="J188" s="4">
        <f t="shared" si="63"/>
        <v>8.1605182474775049</v>
      </c>
      <c r="K188" s="4">
        <f t="shared" si="64"/>
        <v>5.2040066870767951</v>
      </c>
      <c r="L188" s="2">
        <v>0</v>
      </c>
      <c r="M188" s="2">
        <v>0</v>
      </c>
      <c r="N188" s="4">
        <f t="shared" si="65"/>
        <v>44.3</v>
      </c>
      <c r="O188" s="4">
        <f t="shared" si="66"/>
        <v>0</v>
      </c>
      <c r="P188" s="4">
        <f t="shared" si="67"/>
        <v>0</v>
      </c>
      <c r="Q188" s="4">
        <f t="shared" si="68"/>
        <v>8.1605182474775049</v>
      </c>
      <c r="R188" s="4">
        <f t="shared" si="69"/>
        <v>5.2040066870767951</v>
      </c>
      <c r="S188" s="4">
        <f t="shared" si="70"/>
        <v>44.3</v>
      </c>
      <c r="T188" s="4">
        <f t="shared" si="71"/>
        <v>0</v>
      </c>
      <c r="U188" s="4">
        <f t="shared" si="72"/>
        <v>8.1605182474775049</v>
      </c>
      <c r="V188" s="4">
        <f t="shared" si="73"/>
        <v>5.2040066870767951</v>
      </c>
      <c r="W188" s="4">
        <f t="shared" si="74"/>
        <v>44.3</v>
      </c>
      <c r="X188" s="4">
        <f t="shared" si="75"/>
        <v>0</v>
      </c>
      <c r="Y188" s="4">
        <f t="shared" si="76"/>
        <v>8.1605182474775049</v>
      </c>
      <c r="Z188" s="4">
        <f t="shared" si="77"/>
        <v>5.2040066870767951</v>
      </c>
      <c r="AA188" s="4">
        <f t="shared" si="78"/>
        <v>44.3</v>
      </c>
      <c r="AB188" s="4">
        <f t="shared" si="79"/>
        <v>0</v>
      </c>
      <c r="AC188" s="4">
        <f t="shared" si="80"/>
        <v>0</v>
      </c>
      <c r="AD188" s="4">
        <f t="shared" si="81"/>
        <v>0</v>
      </c>
      <c r="AE188" s="4">
        <f t="shared" si="82"/>
        <v>0</v>
      </c>
      <c r="AF188" s="4">
        <f t="shared" si="83"/>
        <v>0</v>
      </c>
      <c r="AG188" s="4">
        <f t="shared" si="84"/>
        <v>8.1605182474775049</v>
      </c>
      <c r="AH188" s="4">
        <f t="shared" si="85"/>
        <v>0</v>
      </c>
      <c r="AI188" s="4">
        <f t="shared" si="86"/>
        <v>0</v>
      </c>
      <c r="AJ188" s="4">
        <f t="shared" si="87"/>
        <v>8.1605182474775049</v>
      </c>
      <c r="AK188" s="4">
        <f t="shared" si="88"/>
        <v>5.2040066870767951</v>
      </c>
      <c r="AL188" s="4">
        <f t="shared" si="89"/>
        <v>0</v>
      </c>
      <c r="AM188" s="4">
        <f>CER!$C$7+CER!$C$8*J188+CER!$C$9*K188+CER!$C$10*L188+CER!$C$11*M188</f>
        <v>3.6434625237366864</v>
      </c>
      <c r="AN188" s="4">
        <f t="shared" si="90"/>
        <v>38.223959220870917</v>
      </c>
      <c r="AO188" s="4">
        <f t="shared" si="91"/>
        <v>2.1293280896666378E-2</v>
      </c>
      <c r="AP188" s="4">
        <f>Alternatives!$F$25+Alternatives!$F$26*J188+Alternatives!$F$27*K188+Alternatives!$F$28*G188+Alternatives!$F$29*O188</f>
        <v>3.503434215132839</v>
      </c>
      <c r="AQ188" s="4">
        <f t="shared" si="92"/>
        <v>0.16132158950051378</v>
      </c>
    </row>
    <row r="189" spans="1:43" x14ac:dyDescent="0.35">
      <c r="A189" s="2" t="s">
        <v>230</v>
      </c>
      <c r="B189" s="2" t="s">
        <v>226</v>
      </c>
      <c r="C189" s="2" t="s">
        <v>67</v>
      </c>
      <c r="D189" s="2">
        <v>40.803800000000003</v>
      </c>
      <c r="E189" s="2">
        <v>4000</v>
      </c>
      <c r="F189" s="2">
        <v>182</v>
      </c>
      <c r="G189" s="2">
        <v>47.2</v>
      </c>
      <c r="H189" s="2" t="s">
        <v>68</v>
      </c>
      <c r="I189" s="4">
        <f t="shared" si="62"/>
        <v>3.7087752143280133</v>
      </c>
      <c r="J189" s="4">
        <f t="shared" si="63"/>
        <v>8.2940496401020276</v>
      </c>
      <c r="K189" s="4">
        <f t="shared" si="64"/>
        <v>5.2040066870767951</v>
      </c>
      <c r="L189" s="2">
        <v>0</v>
      </c>
      <c r="M189" s="2">
        <v>0</v>
      </c>
      <c r="N189" s="4">
        <f t="shared" si="65"/>
        <v>47.2</v>
      </c>
      <c r="O189" s="4">
        <f t="shared" si="66"/>
        <v>0</v>
      </c>
      <c r="P189" s="4">
        <f t="shared" si="67"/>
        <v>0</v>
      </c>
      <c r="Q189" s="4">
        <f t="shared" si="68"/>
        <v>8.2940496401020276</v>
      </c>
      <c r="R189" s="4">
        <f t="shared" si="69"/>
        <v>5.2040066870767951</v>
      </c>
      <c r="S189" s="4">
        <f t="shared" si="70"/>
        <v>47.2</v>
      </c>
      <c r="T189" s="4">
        <f t="shared" si="71"/>
        <v>0</v>
      </c>
      <c r="U189" s="4">
        <f t="shared" si="72"/>
        <v>8.2940496401020276</v>
      </c>
      <c r="V189" s="4">
        <f t="shared" si="73"/>
        <v>5.2040066870767951</v>
      </c>
      <c r="W189" s="4">
        <f t="shared" si="74"/>
        <v>47.2</v>
      </c>
      <c r="X189" s="4">
        <f t="shared" si="75"/>
        <v>0</v>
      </c>
      <c r="Y189" s="4">
        <f t="shared" si="76"/>
        <v>8.2940496401020276</v>
      </c>
      <c r="Z189" s="4">
        <f t="shared" si="77"/>
        <v>5.2040066870767951</v>
      </c>
      <c r="AA189" s="4">
        <f t="shared" si="78"/>
        <v>47.2</v>
      </c>
      <c r="AB189" s="4">
        <f t="shared" si="79"/>
        <v>0</v>
      </c>
      <c r="AC189" s="4">
        <f t="shared" si="80"/>
        <v>0</v>
      </c>
      <c r="AD189" s="4">
        <f t="shared" si="81"/>
        <v>0</v>
      </c>
      <c r="AE189" s="4">
        <f t="shared" si="82"/>
        <v>0</v>
      </c>
      <c r="AF189" s="4">
        <f t="shared" si="83"/>
        <v>0</v>
      </c>
      <c r="AG189" s="4">
        <f t="shared" si="84"/>
        <v>8.2940496401020276</v>
      </c>
      <c r="AH189" s="4">
        <f t="shared" si="85"/>
        <v>0</v>
      </c>
      <c r="AI189" s="4">
        <f t="shared" si="86"/>
        <v>0</v>
      </c>
      <c r="AJ189" s="4">
        <f t="shared" si="87"/>
        <v>8.2940496401020276</v>
      </c>
      <c r="AK189" s="4">
        <f t="shared" si="88"/>
        <v>5.2040066870767951</v>
      </c>
      <c r="AL189" s="4">
        <f t="shared" si="89"/>
        <v>0</v>
      </c>
      <c r="AM189" s="4">
        <f>CER!$C$7+CER!$C$8*J189+CER!$C$9*K189+CER!$C$10*L189+CER!$C$11*M189</f>
        <v>3.5830116445392965</v>
      </c>
      <c r="AN189" s="4">
        <f t="shared" si="90"/>
        <v>35.981742050459637</v>
      </c>
      <c r="AO189" s="4">
        <f t="shared" si="91"/>
        <v>0.12576356978871672</v>
      </c>
      <c r="AP189" s="4">
        <f>Alternatives!$F$25+Alternatives!$F$26*J189+Alternatives!$F$27*K189+Alternatives!$F$28*G189+Alternatives!$F$29*O189</f>
        <v>3.5151310990060991</v>
      </c>
      <c r="AQ189" s="4">
        <f t="shared" si="92"/>
        <v>0.19364411532191417</v>
      </c>
    </row>
    <row r="190" spans="1:43" x14ac:dyDescent="0.35">
      <c r="A190" s="2" t="s">
        <v>230</v>
      </c>
      <c r="B190" s="2" t="s">
        <v>226</v>
      </c>
      <c r="C190" s="2" t="s">
        <v>67</v>
      </c>
      <c r="D190" s="2">
        <v>35.002800000000001</v>
      </c>
      <c r="E190" s="2">
        <v>4000</v>
      </c>
      <c r="F190" s="2">
        <v>260</v>
      </c>
      <c r="G190" s="2">
        <v>47.2</v>
      </c>
      <c r="H190" s="2" t="s">
        <v>68</v>
      </c>
      <c r="I190" s="4">
        <f t="shared" si="62"/>
        <v>3.5554280582895843</v>
      </c>
      <c r="J190" s="4">
        <f t="shared" si="63"/>
        <v>8.2940496401020276</v>
      </c>
      <c r="K190" s="4">
        <f t="shared" si="64"/>
        <v>5.5606816310155276</v>
      </c>
      <c r="L190" s="2">
        <v>0</v>
      </c>
      <c r="M190" s="2">
        <v>0</v>
      </c>
      <c r="N190" s="4">
        <f t="shared" si="65"/>
        <v>47.2</v>
      </c>
      <c r="O190" s="4">
        <f t="shared" si="66"/>
        <v>0</v>
      </c>
      <c r="P190" s="4">
        <f t="shared" si="67"/>
        <v>0</v>
      </c>
      <c r="Q190" s="4">
        <f t="shared" si="68"/>
        <v>8.2940496401020276</v>
      </c>
      <c r="R190" s="4">
        <f t="shared" si="69"/>
        <v>5.5606816310155276</v>
      </c>
      <c r="S190" s="4">
        <f t="shared" si="70"/>
        <v>47.2</v>
      </c>
      <c r="T190" s="4">
        <f t="shared" si="71"/>
        <v>0</v>
      </c>
      <c r="U190" s="4">
        <f t="shared" si="72"/>
        <v>8.2940496401020276</v>
      </c>
      <c r="V190" s="4">
        <f t="shared" si="73"/>
        <v>5.5606816310155276</v>
      </c>
      <c r="W190" s="4">
        <f t="shared" si="74"/>
        <v>47.2</v>
      </c>
      <c r="X190" s="4">
        <f t="shared" si="75"/>
        <v>0</v>
      </c>
      <c r="Y190" s="4">
        <f t="shared" si="76"/>
        <v>8.2940496401020276</v>
      </c>
      <c r="Z190" s="4">
        <f t="shared" si="77"/>
        <v>5.5606816310155276</v>
      </c>
      <c r="AA190" s="4">
        <f t="shared" si="78"/>
        <v>47.2</v>
      </c>
      <c r="AB190" s="4">
        <f t="shared" si="79"/>
        <v>0</v>
      </c>
      <c r="AC190" s="4">
        <f t="shared" si="80"/>
        <v>0</v>
      </c>
      <c r="AD190" s="4">
        <f t="shared" si="81"/>
        <v>0</v>
      </c>
      <c r="AE190" s="4">
        <f t="shared" si="82"/>
        <v>0</v>
      </c>
      <c r="AF190" s="4">
        <f t="shared" si="83"/>
        <v>0</v>
      </c>
      <c r="AG190" s="4">
        <f t="shared" si="84"/>
        <v>8.2940496401020276</v>
      </c>
      <c r="AH190" s="4">
        <f t="shared" si="85"/>
        <v>0</v>
      </c>
      <c r="AI190" s="4">
        <f t="shared" si="86"/>
        <v>0</v>
      </c>
      <c r="AJ190" s="4">
        <f t="shared" si="87"/>
        <v>8.2940496401020276</v>
      </c>
      <c r="AK190" s="4">
        <f t="shared" si="88"/>
        <v>5.5606816310155276</v>
      </c>
      <c r="AL190" s="4">
        <f t="shared" si="89"/>
        <v>0</v>
      </c>
      <c r="AM190" s="4">
        <f>CER!$C$7+CER!$C$8*J190+CER!$C$9*K190+CER!$C$10*L190+CER!$C$11*M190</f>
        <v>3.4514186660790958</v>
      </c>
      <c r="AN190" s="4">
        <f t="shared" si="90"/>
        <v>31.54511256084653</v>
      </c>
      <c r="AO190" s="4">
        <f t="shared" si="91"/>
        <v>0.10400939221048855</v>
      </c>
      <c r="AP190" s="4">
        <f>Alternatives!$F$25+Alternatives!$F$26*J190+Alternatives!$F$27*K190+Alternatives!$F$28*G190+Alternatives!$F$29*O190</f>
        <v>3.4202163411203528</v>
      </c>
      <c r="AQ190" s="4">
        <f t="shared" si="92"/>
        <v>0.13521171716923153</v>
      </c>
    </row>
    <row r="191" spans="1:43" x14ac:dyDescent="0.35">
      <c r="A191" s="2" t="s">
        <v>231</v>
      </c>
      <c r="B191" s="2" t="s">
        <v>226</v>
      </c>
      <c r="C191" s="2" t="s">
        <v>67</v>
      </c>
      <c r="D191" s="2">
        <v>38.056100000000001</v>
      </c>
      <c r="E191" s="2">
        <v>4000</v>
      </c>
      <c r="F191" s="2">
        <v>182</v>
      </c>
      <c r="G191" s="2">
        <v>46.8</v>
      </c>
      <c r="H191" s="2" t="s">
        <v>68</v>
      </c>
      <c r="I191" s="4">
        <f t="shared" si="62"/>
        <v>3.6390613868330659</v>
      </c>
      <c r="J191" s="4">
        <f t="shared" si="63"/>
        <v>8.2940496401020276</v>
      </c>
      <c r="K191" s="4">
        <f t="shared" si="64"/>
        <v>5.2040066870767951</v>
      </c>
      <c r="L191" s="2">
        <v>0</v>
      </c>
      <c r="M191" s="2">
        <v>0</v>
      </c>
      <c r="N191" s="4">
        <f t="shared" si="65"/>
        <v>46.8</v>
      </c>
      <c r="O191" s="4">
        <f t="shared" si="66"/>
        <v>0</v>
      </c>
      <c r="P191" s="4">
        <f t="shared" si="67"/>
        <v>0</v>
      </c>
      <c r="Q191" s="4">
        <f t="shared" si="68"/>
        <v>8.2940496401020276</v>
      </c>
      <c r="R191" s="4">
        <f t="shared" si="69"/>
        <v>5.2040066870767951</v>
      </c>
      <c r="S191" s="4">
        <f t="shared" si="70"/>
        <v>46.8</v>
      </c>
      <c r="T191" s="4">
        <f t="shared" si="71"/>
        <v>0</v>
      </c>
      <c r="U191" s="4">
        <f t="shared" si="72"/>
        <v>8.2940496401020276</v>
      </c>
      <c r="V191" s="4">
        <f t="shared" si="73"/>
        <v>5.2040066870767951</v>
      </c>
      <c r="W191" s="4">
        <f t="shared" si="74"/>
        <v>46.8</v>
      </c>
      <c r="X191" s="4">
        <f t="shared" si="75"/>
        <v>0</v>
      </c>
      <c r="Y191" s="4">
        <f t="shared" si="76"/>
        <v>8.2940496401020276</v>
      </c>
      <c r="Z191" s="4">
        <f t="shared" si="77"/>
        <v>5.2040066870767951</v>
      </c>
      <c r="AA191" s="4">
        <f t="shared" si="78"/>
        <v>46.8</v>
      </c>
      <c r="AB191" s="4">
        <f t="shared" si="79"/>
        <v>0</v>
      </c>
      <c r="AC191" s="4">
        <f t="shared" si="80"/>
        <v>0</v>
      </c>
      <c r="AD191" s="4">
        <f t="shared" si="81"/>
        <v>0</v>
      </c>
      <c r="AE191" s="4">
        <f t="shared" si="82"/>
        <v>0</v>
      </c>
      <c r="AF191" s="4">
        <f t="shared" si="83"/>
        <v>0</v>
      </c>
      <c r="AG191" s="4">
        <f t="shared" si="84"/>
        <v>8.2940496401020276</v>
      </c>
      <c r="AH191" s="4">
        <f t="shared" si="85"/>
        <v>0</v>
      </c>
      <c r="AI191" s="4">
        <f t="shared" si="86"/>
        <v>0</v>
      </c>
      <c r="AJ191" s="4">
        <f t="shared" si="87"/>
        <v>8.2940496401020276</v>
      </c>
      <c r="AK191" s="4">
        <f t="shared" si="88"/>
        <v>5.2040066870767951</v>
      </c>
      <c r="AL191" s="4">
        <f t="shared" si="89"/>
        <v>0</v>
      </c>
      <c r="AM191" s="4">
        <f>CER!$C$7+CER!$C$8*J191+CER!$C$9*K191+CER!$C$10*L191+CER!$C$11*M191</f>
        <v>3.5830116445392965</v>
      </c>
      <c r="AN191" s="4">
        <f t="shared" si="90"/>
        <v>35.981742050459637</v>
      </c>
      <c r="AO191" s="4">
        <f t="shared" si="91"/>
        <v>5.6049742293769356E-2</v>
      </c>
      <c r="AP191" s="4">
        <f>Alternatives!$F$25+Alternatives!$F$26*J191+Alternatives!$F$27*K191+Alternatives!$F$28*G191+Alternatives!$F$29*O191</f>
        <v>3.5203340248229904</v>
      </c>
      <c r="AQ191" s="4">
        <f t="shared" si="92"/>
        <v>0.1187273620100755</v>
      </c>
    </row>
    <row r="192" spans="1:43" x14ac:dyDescent="0.35">
      <c r="A192" s="2" t="s">
        <v>231</v>
      </c>
      <c r="B192" s="2" t="s">
        <v>226</v>
      </c>
      <c r="C192" s="2" t="s">
        <v>67</v>
      </c>
      <c r="D192" s="2">
        <v>32.923900000000003</v>
      </c>
      <c r="E192" s="2">
        <v>4000</v>
      </c>
      <c r="F192" s="2">
        <v>260</v>
      </c>
      <c r="G192" s="2">
        <v>46.8</v>
      </c>
      <c r="H192" s="2" t="s">
        <v>68</v>
      </c>
      <c r="I192" s="4">
        <f t="shared" si="62"/>
        <v>3.4941988378077653</v>
      </c>
      <c r="J192" s="4">
        <f t="shared" si="63"/>
        <v>8.2940496401020276</v>
      </c>
      <c r="K192" s="4">
        <f t="shared" si="64"/>
        <v>5.5606816310155276</v>
      </c>
      <c r="L192" s="2">
        <v>0</v>
      </c>
      <c r="M192" s="2">
        <v>0</v>
      </c>
      <c r="N192" s="4">
        <f t="shared" si="65"/>
        <v>46.8</v>
      </c>
      <c r="O192" s="4">
        <f t="shared" si="66"/>
        <v>0</v>
      </c>
      <c r="P192" s="4">
        <f t="shared" si="67"/>
        <v>0</v>
      </c>
      <c r="Q192" s="4">
        <f t="shared" si="68"/>
        <v>8.2940496401020276</v>
      </c>
      <c r="R192" s="4">
        <f t="shared" si="69"/>
        <v>5.5606816310155276</v>
      </c>
      <c r="S192" s="4">
        <f t="shared" si="70"/>
        <v>46.8</v>
      </c>
      <c r="T192" s="4">
        <f t="shared" si="71"/>
        <v>0</v>
      </c>
      <c r="U192" s="4">
        <f t="shared" si="72"/>
        <v>8.2940496401020276</v>
      </c>
      <c r="V192" s="4">
        <f t="shared" si="73"/>
        <v>5.5606816310155276</v>
      </c>
      <c r="W192" s="4">
        <f t="shared" si="74"/>
        <v>46.8</v>
      </c>
      <c r="X192" s="4">
        <f t="shared" si="75"/>
        <v>0</v>
      </c>
      <c r="Y192" s="4">
        <f t="shared" si="76"/>
        <v>8.2940496401020276</v>
      </c>
      <c r="Z192" s="4">
        <f t="shared" si="77"/>
        <v>5.5606816310155276</v>
      </c>
      <c r="AA192" s="4">
        <f t="shared" si="78"/>
        <v>46.8</v>
      </c>
      <c r="AB192" s="4">
        <f t="shared" si="79"/>
        <v>0</v>
      </c>
      <c r="AC192" s="4">
        <f t="shared" si="80"/>
        <v>0</v>
      </c>
      <c r="AD192" s="4">
        <f t="shared" si="81"/>
        <v>0</v>
      </c>
      <c r="AE192" s="4">
        <f t="shared" si="82"/>
        <v>0</v>
      </c>
      <c r="AF192" s="4">
        <f t="shared" si="83"/>
        <v>0</v>
      </c>
      <c r="AG192" s="4">
        <f t="shared" si="84"/>
        <v>8.2940496401020276</v>
      </c>
      <c r="AH192" s="4">
        <f t="shared" si="85"/>
        <v>0</v>
      </c>
      <c r="AI192" s="4">
        <f t="shared" si="86"/>
        <v>0</v>
      </c>
      <c r="AJ192" s="4">
        <f t="shared" si="87"/>
        <v>8.2940496401020276</v>
      </c>
      <c r="AK192" s="4">
        <f t="shared" si="88"/>
        <v>5.5606816310155276</v>
      </c>
      <c r="AL192" s="4">
        <f t="shared" si="89"/>
        <v>0</v>
      </c>
      <c r="AM192" s="4">
        <f>CER!$C$7+CER!$C$8*J192+CER!$C$9*K192+CER!$C$10*L192+CER!$C$11*M192</f>
        <v>3.4514186660790958</v>
      </c>
      <c r="AN192" s="4">
        <f t="shared" si="90"/>
        <v>31.54511256084653</v>
      </c>
      <c r="AO192" s="4">
        <f t="shared" si="91"/>
        <v>4.2780171728669547E-2</v>
      </c>
      <c r="AP192" s="4">
        <f>Alternatives!$F$25+Alternatives!$F$26*J192+Alternatives!$F$27*K192+Alternatives!$F$28*G192+Alternatives!$F$29*O192</f>
        <v>3.4254192669372441</v>
      </c>
      <c r="AQ192" s="4">
        <f t="shared" si="92"/>
        <v>6.8779570870521223E-2</v>
      </c>
    </row>
    <row r="193" spans="1:43" x14ac:dyDescent="0.35">
      <c r="A193" s="2" t="s">
        <v>232</v>
      </c>
      <c r="B193" s="2" t="s">
        <v>226</v>
      </c>
      <c r="C193" s="2" t="s">
        <v>67</v>
      </c>
      <c r="D193" s="2">
        <v>38.748800000000003</v>
      </c>
      <c r="E193" s="2">
        <v>3500</v>
      </c>
      <c r="F193" s="2">
        <v>182</v>
      </c>
      <c r="G193" s="2">
        <v>45</v>
      </c>
      <c r="H193" s="2" t="s">
        <v>68</v>
      </c>
      <c r="I193" s="4">
        <f t="shared" si="62"/>
        <v>3.6570997875779101</v>
      </c>
      <c r="J193" s="4">
        <f t="shared" si="63"/>
        <v>8.1605182474775049</v>
      </c>
      <c r="K193" s="4">
        <f t="shared" si="64"/>
        <v>5.2040066870767951</v>
      </c>
      <c r="L193" s="2">
        <v>0</v>
      </c>
      <c r="M193" s="2">
        <v>0</v>
      </c>
      <c r="N193" s="4">
        <f t="shared" si="65"/>
        <v>45</v>
      </c>
      <c r="O193" s="4">
        <f t="shared" si="66"/>
        <v>0</v>
      </c>
      <c r="P193" s="4">
        <f t="shared" si="67"/>
        <v>0</v>
      </c>
      <c r="Q193" s="4">
        <f t="shared" si="68"/>
        <v>8.1605182474775049</v>
      </c>
      <c r="R193" s="4">
        <f t="shared" si="69"/>
        <v>5.2040066870767951</v>
      </c>
      <c r="S193" s="4">
        <f t="shared" si="70"/>
        <v>45</v>
      </c>
      <c r="T193" s="4">
        <f t="shared" si="71"/>
        <v>0</v>
      </c>
      <c r="U193" s="4">
        <f t="shared" si="72"/>
        <v>8.1605182474775049</v>
      </c>
      <c r="V193" s="4">
        <f t="shared" si="73"/>
        <v>5.2040066870767951</v>
      </c>
      <c r="W193" s="4">
        <f t="shared" si="74"/>
        <v>45</v>
      </c>
      <c r="X193" s="4">
        <f t="shared" si="75"/>
        <v>0</v>
      </c>
      <c r="Y193" s="4">
        <f t="shared" si="76"/>
        <v>8.1605182474775049</v>
      </c>
      <c r="Z193" s="4">
        <f t="shared" si="77"/>
        <v>5.2040066870767951</v>
      </c>
      <c r="AA193" s="4">
        <f t="shared" si="78"/>
        <v>45</v>
      </c>
      <c r="AB193" s="4">
        <f t="shared" si="79"/>
        <v>0</v>
      </c>
      <c r="AC193" s="4">
        <f t="shared" si="80"/>
        <v>0</v>
      </c>
      <c r="AD193" s="4">
        <f t="shared" si="81"/>
        <v>0</v>
      </c>
      <c r="AE193" s="4">
        <f t="shared" si="82"/>
        <v>0</v>
      </c>
      <c r="AF193" s="4">
        <f t="shared" si="83"/>
        <v>0</v>
      </c>
      <c r="AG193" s="4">
        <f t="shared" si="84"/>
        <v>8.1605182474775049</v>
      </c>
      <c r="AH193" s="4">
        <f t="shared" si="85"/>
        <v>0</v>
      </c>
      <c r="AI193" s="4">
        <f t="shared" si="86"/>
        <v>0</v>
      </c>
      <c r="AJ193" s="4">
        <f t="shared" si="87"/>
        <v>8.1605182474775049</v>
      </c>
      <c r="AK193" s="4">
        <f t="shared" si="88"/>
        <v>5.2040066870767951</v>
      </c>
      <c r="AL193" s="4">
        <f t="shared" si="89"/>
        <v>0</v>
      </c>
      <c r="AM193" s="4">
        <f>CER!$C$7+CER!$C$8*J193+CER!$C$9*K193+CER!$C$10*L193+CER!$C$11*M193</f>
        <v>3.6434625237366864</v>
      </c>
      <c r="AN193" s="4">
        <f t="shared" si="90"/>
        <v>38.223959220870917</v>
      </c>
      <c r="AO193" s="4">
        <f t="shared" si="91"/>
        <v>1.3637263841223657E-2</v>
      </c>
      <c r="AP193" s="4">
        <f>Alternatives!$F$25+Alternatives!$F$26*J193+Alternatives!$F$27*K193+Alternatives!$F$28*G193+Alternatives!$F$29*O193</f>
        <v>3.4943290949532795</v>
      </c>
      <c r="AQ193" s="4">
        <f t="shared" si="92"/>
        <v>0.16277069262463062</v>
      </c>
    </row>
    <row r="194" spans="1:43" x14ac:dyDescent="0.35">
      <c r="A194" s="2" t="s">
        <v>233</v>
      </c>
      <c r="B194" s="2" t="s">
        <v>226</v>
      </c>
      <c r="C194" s="2" t="s">
        <v>67</v>
      </c>
      <c r="D194" s="2">
        <v>29.146799999999999</v>
      </c>
      <c r="E194" s="2">
        <v>4500</v>
      </c>
      <c r="F194" s="2">
        <v>260</v>
      </c>
      <c r="G194" s="2">
        <v>50.8</v>
      </c>
      <c r="H194" s="2" t="s">
        <v>68</v>
      </c>
      <c r="I194" s="4">
        <f t="shared" ref="I194:I257" si="93">LN(D194)</f>
        <v>3.3723451297551263</v>
      </c>
      <c r="J194" s="4">
        <f t="shared" ref="J194:J257" si="94">LN(E194)</f>
        <v>8.4118326757584114</v>
      </c>
      <c r="K194" s="4">
        <f t="shared" ref="K194:K257" si="95">LN(F194)</f>
        <v>5.5606816310155276</v>
      </c>
      <c r="L194" s="2">
        <v>0</v>
      </c>
      <c r="M194" s="2">
        <v>0</v>
      </c>
      <c r="N194" s="4">
        <f t="shared" ref="N194:N257" si="96">G194</f>
        <v>50.8</v>
      </c>
      <c r="O194" s="4">
        <f t="shared" ref="O194:O257" si="97">L194+M194</f>
        <v>0</v>
      </c>
      <c r="P194" s="4">
        <f t="shared" ref="P194:P257" si="98">L194+2*M194</f>
        <v>0</v>
      </c>
      <c r="Q194" s="4">
        <f t="shared" ref="Q194:Q257" si="99">J194</f>
        <v>8.4118326757584114</v>
      </c>
      <c r="R194" s="4">
        <f t="shared" ref="R194:R257" si="100">K194</f>
        <v>5.5606816310155276</v>
      </c>
      <c r="S194" s="4">
        <f t="shared" ref="S194:S257" si="101">G194</f>
        <v>50.8</v>
      </c>
      <c r="T194" s="4">
        <f t="shared" ref="T194:T257" si="102">O194</f>
        <v>0</v>
      </c>
      <c r="U194" s="4">
        <f t="shared" ref="U194:U257" si="103">J194</f>
        <v>8.4118326757584114</v>
      </c>
      <c r="V194" s="4">
        <f t="shared" ref="V194:V257" si="104">K194</f>
        <v>5.5606816310155276</v>
      </c>
      <c r="W194" s="4">
        <f t="shared" ref="W194:W257" si="105">G194</f>
        <v>50.8</v>
      </c>
      <c r="X194" s="4">
        <f t="shared" ref="X194:X257" si="106">P194</f>
        <v>0</v>
      </c>
      <c r="Y194" s="4">
        <f t="shared" ref="Y194:Y257" si="107">J194</f>
        <v>8.4118326757584114</v>
      </c>
      <c r="Z194" s="4">
        <f t="shared" ref="Z194:Z257" si="108">K194</f>
        <v>5.5606816310155276</v>
      </c>
      <c r="AA194" s="4">
        <f t="shared" ref="AA194:AA257" si="109">G194</f>
        <v>50.8</v>
      </c>
      <c r="AB194" s="4">
        <f t="shared" ref="AB194:AB257" si="110">L194</f>
        <v>0</v>
      </c>
      <c r="AC194" s="4">
        <f t="shared" ref="AC194:AC257" si="111">M194</f>
        <v>0</v>
      </c>
      <c r="AD194" s="4">
        <f t="shared" ref="AD194:AD257" si="112">M194*J194</f>
        <v>0</v>
      </c>
      <c r="AE194" s="4">
        <f t="shared" ref="AE194:AE257" si="113">M194*K194</f>
        <v>0</v>
      </c>
      <c r="AF194" s="4">
        <f t="shared" ref="AF194:AF257" si="114">M194*G194</f>
        <v>0</v>
      </c>
      <c r="AG194" s="4">
        <f t="shared" ref="AG194:AG257" si="115">J194</f>
        <v>8.4118326757584114</v>
      </c>
      <c r="AH194" s="4">
        <f t="shared" ref="AH194:AH257" si="116">L194</f>
        <v>0</v>
      </c>
      <c r="AI194" s="4">
        <f t="shared" ref="AI194:AI257" si="117">M194</f>
        <v>0</v>
      </c>
      <c r="AJ194" s="4">
        <f t="shared" ref="AJ194:AJ257" si="118">J194</f>
        <v>8.4118326757584114</v>
      </c>
      <c r="AK194" s="4">
        <f t="shared" ref="AK194:AK257" si="119">K194</f>
        <v>5.5606816310155276</v>
      </c>
      <c r="AL194" s="4">
        <f t="shared" ref="AL194:AL257" si="120">M194</f>
        <v>0</v>
      </c>
      <c r="AM194" s="4">
        <f>CER!$C$7+CER!$C$8*J194+CER!$C$9*K194+CER!$C$10*L194+CER!$C$11*M194</f>
        <v>3.3980972117002959</v>
      </c>
      <c r="AN194" s="4">
        <f t="shared" ref="AN194:AN257" si="121">EXP(AM194)</f>
        <v>29.907138918086993</v>
      </c>
      <c r="AO194" s="4">
        <f t="shared" ref="AO194:AO257" si="122">I194-AM194</f>
        <v>-2.5752081945169536E-2</v>
      </c>
      <c r="AP194" s="4">
        <f>Alternatives!$F$25+Alternatives!$F$26*J194+Alternatives!$F$27*K194+Alternatives!$F$28*G194+Alternatives!$F$29*O194</f>
        <v>3.4169798587221227</v>
      </c>
      <c r="AQ194" s="4">
        <f t="shared" ref="AQ194:AQ257" si="123">I194-AP194</f>
        <v>-4.4634728966996384E-2</v>
      </c>
    </row>
    <row r="195" spans="1:43" x14ac:dyDescent="0.35">
      <c r="A195" s="2" t="s">
        <v>234</v>
      </c>
      <c r="B195" s="2" t="s">
        <v>226</v>
      </c>
      <c r="C195" s="2" t="s">
        <v>67</v>
      </c>
      <c r="D195" s="2">
        <v>27.700299999999999</v>
      </c>
      <c r="E195" s="2">
        <v>5000</v>
      </c>
      <c r="F195" s="2">
        <v>260</v>
      </c>
      <c r="G195" s="2">
        <v>50.8</v>
      </c>
      <c r="H195" s="2" t="s">
        <v>68</v>
      </c>
      <c r="I195" s="4">
        <f t="shared" si="93"/>
        <v>3.3214432434595551</v>
      </c>
      <c r="J195" s="4">
        <f t="shared" si="94"/>
        <v>8.5171931914162382</v>
      </c>
      <c r="K195" s="4">
        <f t="shared" si="95"/>
        <v>5.5606816310155276</v>
      </c>
      <c r="L195" s="2">
        <v>0</v>
      </c>
      <c r="M195" s="2">
        <v>0</v>
      </c>
      <c r="N195" s="4">
        <f t="shared" si="96"/>
        <v>50.8</v>
      </c>
      <c r="O195" s="4">
        <f t="shared" si="97"/>
        <v>0</v>
      </c>
      <c r="P195" s="4">
        <f t="shared" si="98"/>
        <v>0</v>
      </c>
      <c r="Q195" s="4">
        <f t="shared" si="99"/>
        <v>8.5171931914162382</v>
      </c>
      <c r="R195" s="4">
        <f t="shared" si="100"/>
        <v>5.5606816310155276</v>
      </c>
      <c r="S195" s="4">
        <f t="shared" si="101"/>
        <v>50.8</v>
      </c>
      <c r="T195" s="4">
        <f t="shared" si="102"/>
        <v>0</v>
      </c>
      <c r="U195" s="4">
        <f t="shared" si="103"/>
        <v>8.5171931914162382</v>
      </c>
      <c r="V195" s="4">
        <f t="shared" si="104"/>
        <v>5.5606816310155276</v>
      </c>
      <c r="W195" s="4">
        <f t="shared" si="105"/>
        <v>50.8</v>
      </c>
      <c r="X195" s="4">
        <f t="shared" si="106"/>
        <v>0</v>
      </c>
      <c r="Y195" s="4">
        <f t="shared" si="107"/>
        <v>8.5171931914162382</v>
      </c>
      <c r="Z195" s="4">
        <f t="shared" si="108"/>
        <v>5.5606816310155276</v>
      </c>
      <c r="AA195" s="4">
        <f t="shared" si="109"/>
        <v>50.8</v>
      </c>
      <c r="AB195" s="4">
        <f t="shared" si="110"/>
        <v>0</v>
      </c>
      <c r="AC195" s="4">
        <f t="shared" si="111"/>
        <v>0</v>
      </c>
      <c r="AD195" s="4">
        <f t="shared" si="112"/>
        <v>0</v>
      </c>
      <c r="AE195" s="4">
        <f t="shared" si="113"/>
        <v>0</v>
      </c>
      <c r="AF195" s="4">
        <f t="shared" si="114"/>
        <v>0</v>
      </c>
      <c r="AG195" s="4">
        <f t="shared" si="115"/>
        <v>8.5171931914162382</v>
      </c>
      <c r="AH195" s="4">
        <f t="shared" si="116"/>
        <v>0</v>
      </c>
      <c r="AI195" s="4">
        <f t="shared" si="117"/>
        <v>0</v>
      </c>
      <c r="AJ195" s="4">
        <f t="shared" si="118"/>
        <v>8.5171931914162382</v>
      </c>
      <c r="AK195" s="4">
        <f t="shared" si="119"/>
        <v>5.5606816310155276</v>
      </c>
      <c r="AL195" s="4">
        <f t="shared" si="120"/>
        <v>0</v>
      </c>
      <c r="AM195" s="4">
        <f>CER!$C$7+CER!$C$8*J195+CER!$C$9*K195+CER!$C$10*L195+CER!$C$11*M195</f>
        <v>3.3503995454135711</v>
      </c>
      <c r="AN195" s="4">
        <f t="shared" si="121"/>
        <v>28.514124055610761</v>
      </c>
      <c r="AO195" s="4">
        <f t="shared" si="122"/>
        <v>-2.8956301954015995E-2</v>
      </c>
      <c r="AP195" s="4">
        <f>Alternatives!$F$25+Alternatives!$F$26*J195+Alternatives!$F$27*K195+Alternatives!$F$28*G195+Alternatives!$F$29*O195</f>
        <v>3.4559723082118539</v>
      </c>
      <c r="AQ195" s="4">
        <f t="shared" si="123"/>
        <v>-0.13452906475229875</v>
      </c>
    </row>
    <row r="196" spans="1:43" x14ac:dyDescent="0.35">
      <c r="A196" s="2" t="s">
        <v>235</v>
      </c>
      <c r="B196" s="2" t="s">
        <v>226</v>
      </c>
      <c r="C196" s="2" t="s">
        <v>67</v>
      </c>
      <c r="D196" s="2">
        <v>30.911899999999999</v>
      </c>
      <c r="E196" s="2">
        <v>4000</v>
      </c>
      <c r="F196" s="2">
        <v>260</v>
      </c>
      <c r="G196" s="2">
        <v>46.9</v>
      </c>
      <c r="H196" s="2" t="s">
        <v>68</v>
      </c>
      <c r="I196" s="4">
        <f t="shared" si="93"/>
        <v>3.431141223035227</v>
      </c>
      <c r="J196" s="4">
        <f t="shared" si="94"/>
        <v>8.2940496401020276</v>
      </c>
      <c r="K196" s="4">
        <f t="shared" si="95"/>
        <v>5.5606816310155276</v>
      </c>
      <c r="L196" s="2">
        <v>0</v>
      </c>
      <c r="M196" s="2">
        <v>0</v>
      </c>
      <c r="N196" s="4">
        <f t="shared" si="96"/>
        <v>46.9</v>
      </c>
      <c r="O196" s="4">
        <f t="shared" si="97"/>
        <v>0</v>
      </c>
      <c r="P196" s="4">
        <f t="shared" si="98"/>
        <v>0</v>
      </c>
      <c r="Q196" s="4">
        <f t="shared" si="99"/>
        <v>8.2940496401020276</v>
      </c>
      <c r="R196" s="4">
        <f t="shared" si="100"/>
        <v>5.5606816310155276</v>
      </c>
      <c r="S196" s="4">
        <f t="shared" si="101"/>
        <v>46.9</v>
      </c>
      <c r="T196" s="4">
        <f t="shared" si="102"/>
        <v>0</v>
      </c>
      <c r="U196" s="4">
        <f t="shared" si="103"/>
        <v>8.2940496401020276</v>
      </c>
      <c r="V196" s="4">
        <f t="shared" si="104"/>
        <v>5.5606816310155276</v>
      </c>
      <c r="W196" s="4">
        <f t="shared" si="105"/>
        <v>46.9</v>
      </c>
      <c r="X196" s="4">
        <f t="shared" si="106"/>
        <v>0</v>
      </c>
      <c r="Y196" s="4">
        <f t="shared" si="107"/>
        <v>8.2940496401020276</v>
      </c>
      <c r="Z196" s="4">
        <f t="shared" si="108"/>
        <v>5.5606816310155276</v>
      </c>
      <c r="AA196" s="4">
        <f t="shared" si="109"/>
        <v>46.9</v>
      </c>
      <c r="AB196" s="4">
        <f t="shared" si="110"/>
        <v>0</v>
      </c>
      <c r="AC196" s="4">
        <f t="shared" si="111"/>
        <v>0</v>
      </c>
      <c r="AD196" s="4">
        <f t="shared" si="112"/>
        <v>0</v>
      </c>
      <c r="AE196" s="4">
        <f t="shared" si="113"/>
        <v>0</v>
      </c>
      <c r="AF196" s="4">
        <f t="shared" si="114"/>
        <v>0</v>
      </c>
      <c r="AG196" s="4">
        <f t="shared" si="115"/>
        <v>8.2940496401020276</v>
      </c>
      <c r="AH196" s="4">
        <f t="shared" si="116"/>
        <v>0</v>
      </c>
      <c r="AI196" s="4">
        <f t="shared" si="117"/>
        <v>0</v>
      </c>
      <c r="AJ196" s="4">
        <f t="shared" si="118"/>
        <v>8.2940496401020276</v>
      </c>
      <c r="AK196" s="4">
        <f t="shared" si="119"/>
        <v>5.5606816310155276</v>
      </c>
      <c r="AL196" s="4">
        <f t="shared" si="120"/>
        <v>0</v>
      </c>
      <c r="AM196" s="4">
        <f>CER!$C$7+CER!$C$8*J196+CER!$C$9*K196+CER!$C$10*L196+CER!$C$11*M196</f>
        <v>3.4514186660790958</v>
      </c>
      <c r="AN196" s="4">
        <f t="shared" si="121"/>
        <v>31.54511256084653</v>
      </c>
      <c r="AO196" s="4">
        <f t="shared" si="122"/>
        <v>-2.0277443043868804E-2</v>
      </c>
      <c r="AP196" s="4">
        <f>Alternatives!$F$25+Alternatives!$F$26*J196+Alternatives!$F$27*K196+Alternatives!$F$28*G196+Alternatives!$F$29*O196</f>
        <v>3.424118535483021</v>
      </c>
      <c r="AQ196" s="4">
        <f t="shared" si="123"/>
        <v>7.0226875522059196E-3</v>
      </c>
    </row>
    <row r="197" spans="1:43" x14ac:dyDescent="0.35">
      <c r="A197" s="2" t="s">
        <v>236</v>
      </c>
      <c r="B197" s="2" t="s">
        <v>226</v>
      </c>
      <c r="C197" s="2" t="s">
        <v>67</v>
      </c>
      <c r="D197" s="2">
        <v>35.2361</v>
      </c>
      <c r="E197" s="2">
        <v>4000</v>
      </c>
      <c r="F197" s="2">
        <v>182</v>
      </c>
      <c r="G197" s="2">
        <v>44.7</v>
      </c>
      <c r="H197" s="2" t="s">
        <v>68</v>
      </c>
      <c r="I197" s="4">
        <f t="shared" si="93"/>
        <v>3.5620711252501063</v>
      </c>
      <c r="J197" s="4">
        <f t="shared" si="94"/>
        <v>8.2940496401020276</v>
      </c>
      <c r="K197" s="4">
        <f t="shared" si="95"/>
        <v>5.2040066870767951</v>
      </c>
      <c r="L197" s="2">
        <v>0</v>
      </c>
      <c r="M197" s="2">
        <v>0</v>
      </c>
      <c r="N197" s="4">
        <f t="shared" si="96"/>
        <v>44.7</v>
      </c>
      <c r="O197" s="4">
        <f t="shared" si="97"/>
        <v>0</v>
      </c>
      <c r="P197" s="4">
        <f t="shared" si="98"/>
        <v>0</v>
      </c>
      <c r="Q197" s="4">
        <f t="shared" si="99"/>
        <v>8.2940496401020276</v>
      </c>
      <c r="R197" s="4">
        <f t="shared" si="100"/>
        <v>5.2040066870767951</v>
      </c>
      <c r="S197" s="4">
        <f t="shared" si="101"/>
        <v>44.7</v>
      </c>
      <c r="T197" s="4">
        <f t="shared" si="102"/>
        <v>0</v>
      </c>
      <c r="U197" s="4">
        <f t="shared" si="103"/>
        <v>8.2940496401020276</v>
      </c>
      <c r="V197" s="4">
        <f t="shared" si="104"/>
        <v>5.2040066870767951</v>
      </c>
      <c r="W197" s="4">
        <f t="shared" si="105"/>
        <v>44.7</v>
      </c>
      <c r="X197" s="4">
        <f t="shared" si="106"/>
        <v>0</v>
      </c>
      <c r="Y197" s="4">
        <f t="shared" si="107"/>
        <v>8.2940496401020276</v>
      </c>
      <c r="Z197" s="4">
        <f t="shared" si="108"/>
        <v>5.2040066870767951</v>
      </c>
      <c r="AA197" s="4">
        <f t="shared" si="109"/>
        <v>44.7</v>
      </c>
      <c r="AB197" s="4">
        <f t="shared" si="110"/>
        <v>0</v>
      </c>
      <c r="AC197" s="4">
        <f t="shared" si="111"/>
        <v>0</v>
      </c>
      <c r="AD197" s="4">
        <f t="shared" si="112"/>
        <v>0</v>
      </c>
      <c r="AE197" s="4">
        <f t="shared" si="113"/>
        <v>0</v>
      </c>
      <c r="AF197" s="4">
        <f t="shared" si="114"/>
        <v>0</v>
      </c>
      <c r="AG197" s="4">
        <f t="shared" si="115"/>
        <v>8.2940496401020276</v>
      </c>
      <c r="AH197" s="4">
        <f t="shared" si="116"/>
        <v>0</v>
      </c>
      <c r="AI197" s="4">
        <f t="shared" si="117"/>
        <v>0</v>
      </c>
      <c r="AJ197" s="4">
        <f t="shared" si="118"/>
        <v>8.2940496401020276</v>
      </c>
      <c r="AK197" s="4">
        <f t="shared" si="119"/>
        <v>5.2040066870767951</v>
      </c>
      <c r="AL197" s="4">
        <f t="shared" si="120"/>
        <v>0</v>
      </c>
      <c r="AM197" s="4">
        <f>CER!$C$7+CER!$C$8*J197+CER!$C$9*K197+CER!$C$10*L197+CER!$C$11*M197</f>
        <v>3.5830116445392965</v>
      </c>
      <c r="AN197" s="4">
        <f t="shared" si="121"/>
        <v>35.981742050459637</v>
      </c>
      <c r="AO197" s="4">
        <f t="shared" si="122"/>
        <v>-2.0940519289190274E-2</v>
      </c>
      <c r="AP197" s="4">
        <f>Alternatives!$F$25+Alternatives!$F$26*J197+Alternatives!$F$27*K197+Alternatives!$F$28*G197+Alternatives!$F$29*O197</f>
        <v>3.5476493853616695</v>
      </c>
      <c r="AQ197" s="4">
        <f t="shared" si="123"/>
        <v>1.4421739888436758E-2</v>
      </c>
    </row>
    <row r="198" spans="1:43" x14ac:dyDescent="0.35">
      <c r="A198" s="2" t="s">
        <v>237</v>
      </c>
      <c r="B198" s="2" t="s">
        <v>226</v>
      </c>
      <c r="C198" s="2" t="s">
        <v>67</v>
      </c>
      <c r="D198" s="2">
        <v>36.377800000000001</v>
      </c>
      <c r="E198" s="2">
        <v>3500</v>
      </c>
      <c r="F198" s="2">
        <v>182</v>
      </c>
      <c r="G198" s="2">
        <v>44.4</v>
      </c>
      <c r="H198" s="2" t="s">
        <v>68</v>
      </c>
      <c r="I198" s="4">
        <f t="shared" si="93"/>
        <v>3.5939586984741778</v>
      </c>
      <c r="J198" s="4">
        <f t="shared" si="94"/>
        <v>8.1605182474775049</v>
      </c>
      <c r="K198" s="4">
        <f t="shared" si="95"/>
        <v>5.2040066870767951</v>
      </c>
      <c r="L198" s="2">
        <v>0</v>
      </c>
      <c r="M198" s="2">
        <v>0</v>
      </c>
      <c r="N198" s="4">
        <f t="shared" si="96"/>
        <v>44.4</v>
      </c>
      <c r="O198" s="4">
        <f t="shared" si="97"/>
        <v>0</v>
      </c>
      <c r="P198" s="4">
        <f t="shared" si="98"/>
        <v>0</v>
      </c>
      <c r="Q198" s="4">
        <f t="shared" si="99"/>
        <v>8.1605182474775049</v>
      </c>
      <c r="R198" s="4">
        <f t="shared" si="100"/>
        <v>5.2040066870767951</v>
      </c>
      <c r="S198" s="4">
        <f t="shared" si="101"/>
        <v>44.4</v>
      </c>
      <c r="T198" s="4">
        <f t="shared" si="102"/>
        <v>0</v>
      </c>
      <c r="U198" s="4">
        <f t="shared" si="103"/>
        <v>8.1605182474775049</v>
      </c>
      <c r="V198" s="4">
        <f t="shared" si="104"/>
        <v>5.2040066870767951</v>
      </c>
      <c r="W198" s="4">
        <f t="shared" si="105"/>
        <v>44.4</v>
      </c>
      <c r="X198" s="4">
        <f t="shared" si="106"/>
        <v>0</v>
      </c>
      <c r="Y198" s="4">
        <f t="shared" si="107"/>
        <v>8.1605182474775049</v>
      </c>
      <c r="Z198" s="4">
        <f t="shared" si="108"/>
        <v>5.2040066870767951</v>
      </c>
      <c r="AA198" s="4">
        <f t="shared" si="109"/>
        <v>44.4</v>
      </c>
      <c r="AB198" s="4">
        <f t="shared" si="110"/>
        <v>0</v>
      </c>
      <c r="AC198" s="4">
        <f t="shared" si="111"/>
        <v>0</v>
      </c>
      <c r="AD198" s="4">
        <f t="shared" si="112"/>
        <v>0</v>
      </c>
      <c r="AE198" s="4">
        <f t="shared" si="113"/>
        <v>0</v>
      </c>
      <c r="AF198" s="4">
        <f t="shared" si="114"/>
        <v>0</v>
      </c>
      <c r="AG198" s="4">
        <f t="shared" si="115"/>
        <v>8.1605182474775049</v>
      </c>
      <c r="AH198" s="4">
        <f t="shared" si="116"/>
        <v>0</v>
      </c>
      <c r="AI198" s="4">
        <f t="shared" si="117"/>
        <v>0</v>
      </c>
      <c r="AJ198" s="4">
        <f t="shared" si="118"/>
        <v>8.1605182474775049</v>
      </c>
      <c r="AK198" s="4">
        <f t="shared" si="119"/>
        <v>5.2040066870767951</v>
      </c>
      <c r="AL198" s="4">
        <f t="shared" si="120"/>
        <v>0</v>
      </c>
      <c r="AM198" s="4">
        <f>CER!$C$7+CER!$C$8*J198+CER!$C$9*K198+CER!$C$10*L198+CER!$C$11*M198</f>
        <v>3.6434625237366864</v>
      </c>
      <c r="AN198" s="4">
        <f t="shared" si="121"/>
        <v>38.223959220870917</v>
      </c>
      <c r="AO198" s="4">
        <f t="shared" si="122"/>
        <v>-4.9503825262508627E-2</v>
      </c>
      <c r="AP198" s="4">
        <f>Alternatives!$F$25+Alternatives!$F$26*J198+Alternatives!$F$27*K198+Alternatives!$F$28*G198+Alternatives!$F$29*O198</f>
        <v>3.5021334836786164</v>
      </c>
      <c r="AQ198" s="4">
        <f t="shared" si="123"/>
        <v>9.1825214795561383E-2</v>
      </c>
    </row>
    <row r="199" spans="1:43" x14ac:dyDescent="0.35">
      <c r="A199" s="2" t="s">
        <v>238</v>
      </c>
      <c r="B199" s="2" t="s">
        <v>239</v>
      </c>
      <c r="C199" s="2" t="s">
        <v>67</v>
      </c>
      <c r="D199" s="2">
        <v>31.809200000000001</v>
      </c>
      <c r="E199" s="2">
        <v>4000</v>
      </c>
      <c r="F199" s="2">
        <v>300</v>
      </c>
      <c r="G199" s="2">
        <v>47.4</v>
      </c>
      <c r="H199" s="2" t="s">
        <v>68</v>
      </c>
      <c r="I199" s="4">
        <f t="shared" si="93"/>
        <v>3.4597555561206912</v>
      </c>
      <c r="J199" s="4">
        <f t="shared" si="94"/>
        <v>8.2940496401020276</v>
      </c>
      <c r="K199" s="4">
        <f t="shared" si="95"/>
        <v>5.7037824746562009</v>
      </c>
      <c r="L199" s="2">
        <v>0</v>
      </c>
      <c r="M199" s="2">
        <v>0</v>
      </c>
      <c r="N199" s="4">
        <f t="shared" si="96"/>
        <v>47.4</v>
      </c>
      <c r="O199" s="4">
        <f t="shared" si="97"/>
        <v>0</v>
      </c>
      <c r="P199" s="4">
        <f t="shared" si="98"/>
        <v>0</v>
      </c>
      <c r="Q199" s="4">
        <f t="shared" si="99"/>
        <v>8.2940496401020276</v>
      </c>
      <c r="R199" s="4">
        <f t="shared" si="100"/>
        <v>5.7037824746562009</v>
      </c>
      <c r="S199" s="4">
        <f t="shared" si="101"/>
        <v>47.4</v>
      </c>
      <c r="T199" s="4">
        <f t="shared" si="102"/>
        <v>0</v>
      </c>
      <c r="U199" s="4">
        <f t="shared" si="103"/>
        <v>8.2940496401020276</v>
      </c>
      <c r="V199" s="4">
        <f t="shared" si="104"/>
        <v>5.7037824746562009</v>
      </c>
      <c r="W199" s="4">
        <f t="shared" si="105"/>
        <v>47.4</v>
      </c>
      <c r="X199" s="4">
        <f t="shared" si="106"/>
        <v>0</v>
      </c>
      <c r="Y199" s="4">
        <f t="shared" si="107"/>
        <v>8.2940496401020276</v>
      </c>
      <c r="Z199" s="4">
        <f t="shared" si="108"/>
        <v>5.7037824746562009</v>
      </c>
      <c r="AA199" s="4">
        <f t="shared" si="109"/>
        <v>47.4</v>
      </c>
      <c r="AB199" s="4">
        <f t="shared" si="110"/>
        <v>0</v>
      </c>
      <c r="AC199" s="4">
        <f t="shared" si="111"/>
        <v>0</v>
      </c>
      <c r="AD199" s="4">
        <f t="shared" si="112"/>
        <v>0</v>
      </c>
      <c r="AE199" s="4">
        <f t="shared" si="113"/>
        <v>0</v>
      </c>
      <c r="AF199" s="4">
        <f t="shared" si="114"/>
        <v>0</v>
      </c>
      <c r="AG199" s="4">
        <f t="shared" si="115"/>
        <v>8.2940496401020276</v>
      </c>
      <c r="AH199" s="4">
        <f t="shared" si="116"/>
        <v>0</v>
      </c>
      <c r="AI199" s="4">
        <f t="shared" si="117"/>
        <v>0</v>
      </c>
      <c r="AJ199" s="4">
        <f t="shared" si="118"/>
        <v>8.2940496401020276</v>
      </c>
      <c r="AK199" s="4">
        <f t="shared" si="119"/>
        <v>5.7037824746562009</v>
      </c>
      <c r="AL199" s="4">
        <f t="shared" si="120"/>
        <v>0</v>
      </c>
      <c r="AM199" s="4">
        <f>CER!$C$7+CER!$C$8*J199+CER!$C$9*K199+CER!$C$10*L199+CER!$C$11*M199</f>
        <v>3.3986225093687485</v>
      </c>
      <c r="AN199" s="4">
        <f t="shared" si="121"/>
        <v>29.922853195406027</v>
      </c>
      <c r="AO199" s="4">
        <f t="shared" si="122"/>
        <v>6.1133046751942643E-2</v>
      </c>
      <c r="AP199" s="4">
        <f>Alternatives!$F$25+Alternatives!$F$26*J199+Alternatives!$F$27*K199+Alternatives!$F$28*G199+Alternatives!$F$29*O199</f>
        <v>3.3795343173028307</v>
      </c>
      <c r="AQ199" s="4">
        <f t="shared" si="123"/>
        <v>8.0221238817860474E-2</v>
      </c>
    </row>
    <row r="200" spans="1:43" x14ac:dyDescent="0.35">
      <c r="A200" s="2" t="s">
        <v>240</v>
      </c>
      <c r="B200" s="2" t="s">
        <v>239</v>
      </c>
      <c r="C200" s="2" t="s">
        <v>67</v>
      </c>
      <c r="D200" s="2">
        <v>21.644500000000001</v>
      </c>
      <c r="E200" s="2">
        <v>4000</v>
      </c>
      <c r="F200" s="2">
        <v>486</v>
      </c>
      <c r="G200" s="2">
        <v>47.3</v>
      </c>
      <c r="H200" s="2" t="s">
        <v>68</v>
      </c>
      <c r="I200" s="4">
        <f t="shared" si="93"/>
        <v>3.0747513806040341</v>
      </c>
      <c r="J200" s="4">
        <f t="shared" si="94"/>
        <v>8.2940496401020276</v>
      </c>
      <c r="K200" s="4">
        <f t="shared" si="95"/>
        <v>6.1862086239004936</v>
      </c>
      <c r="L200" s="2">
        <v>0</v>
      </c>
      <c r="M200" s="2">
        <v>0</v>
      </c>
      <c r="N200" s="4">
        <f t="shared" si="96"/>
        <v>47.3</v>
      </c>
      <c r="O200" s="4">
        <f t="shared" si="97"/>
        <v>0</v>
      </c>
      <c r="P200" s="4">
        <f t="shared" si="98"/>
        <v>0</v>
      </c>
      <c r="Q200" s="4">
        <f t="shared" si="99"/>
        <v>8.2940496401020276</v>
      </c>
      <c r="R200" s="4">
        <f t="shared" si="100"/>
        <v>6.1862086239004936</v>
      </c>
      <c r="S200" s="4">
        <f t="shared" si="101"/>
        <v>47.3</v>
      </c>
      <c r="T200" s="4">
        <f t="shared" si="102"/>
        <v>0</v>
      </c>
      <c r="U200" s="4">
        <f t="shared" si="103"/>
        <v>8.2940496401020276</v>
      </c>
      <c r="V200" s="4">
        <f t="shared" si="104"/>
        <v>6.1862086239004936</v>
      </c>
      <c r="W200" s="4">
        <f t="shared" si="105"/>
        <v>47.3</v>
      </c>
      <c r="X200" s="4">
        <f t="shared" si="106"/>
        <v>0</v>
      </c>
      <c r="Y200" s="4">
        <f t="shared" si="107"/>
        <v>8.2940496401020276</v>
      </c>
      <c r="Z200" s="4">
        <f t="shared" si="108"/>
        <v>6.1862086239004936</v>
      </c>
      <c r="AA200" s="4">
        <f t="shared" si="109"/>
        <v>47.3</v>
      </c>
      <c r="AB200" s="4">
        <f t="shared" si="110"/>
        <v>0</v>
      </c>
      <c r="AC200" s="4">
        <f t="shared" si="111"/>
        <v>0</v>
      </c>
      <c r="AD200" s="4">
        <f t="shared" si="112"/>
        <v>0</v>
      </c>
      <c r="AE200" s="4">
        <f t="shared" si="113"/>
        <v>0</v>
      </c>
      <c r="AF200" s="4">
        <f t="shared" si="114"/>
        <v>0</v>
      </c>
      <c r="AG200" s="4">
        <f t="shared" si="115"/>
        <v>8.2940496401020276</v>
      </c>
      <c r="AH200" s="4">
        <f t="shared" si="116"/>
        <v>0</v>
      </c>
      <c r="AI200" s="4">
        <f t="shared" si="117"/>
        <v>0</v>
      </c>
      <c r="AJ200" s="4">
        <f t="shared" si="118"/>
        <v>8.2940496401020276</v>
      </c>
      <c r="AK200" s="4">
        <f t="shared" si="119"/>
        <v>6.1862086239004936</v>
      </c>
      <c r="AL200" s="4">
        <f t="shared" si="120"/>
        <v>0</v>
      </c>
      <c r="AM200" s="4">
        <f>CER!$C$7+CER!$C$8*J200+CER!$C$9*K200+CER!$C$10*L200+CER!$C$11*M200</f>
        <v>3.2206344141998131</v>
      </c>
      <c r="AN200" s="4">
        <f t="shared" si="121"/>
        <v>25.044003413916897</v>
      </c>
      <c r="AO200" s="4">
        <f t="shared" si="122"/>
        <v>-0.14588303359577903</v>
      </c>
      <c r="AP200" s="4">
        <f>Alternatives!$F$25+Alternatives!$F$26*J200+Alternatives!$F$27*K200+Alternatives!$F$28*G200+Alternatives!$F$29*O200</f>
        <v>3.2524566416628331</v>
      </c>
      <c r="AQ200" s="4">
        <f t="shared" si="123"/>
        <v>-0.17770526105879902</v>
      </c>
    </row>
    <row r="201" spans="1:43" x14ac:dyDescent="0.35">
      <c r="A201" s="2" t="s">
        <v>240</v>
      </c>
      <c r="B201" s="2" t="s">
        <v>239</v>
      </c>
      <c r="C201" s="2" t="s">
        <v>67</v>
      </c>
      <c r="D201" s="2">
        <v>21.1417</v>
      </c>
      <c r="E201" s="2">
        <v>4000</v>
      </c>
      <c r="F201" s="2">
        <v>486</v>
      </c>
      <c r="G201" s="2">
        <v>47.3</v>
      </c>
      <c r="H201" s="2" t="s">
        <v>68</v>
      </c>
      <c r="I201" s="4">
        <f t="shared" si="93"/>
        <v>3.0512473934813458</v>
      </c>
      <c r="J201" s="4">
        <f t="shared" si="94"/>
        <v>8.2940496401020276</v>
      </c>
      <c r="K201" s="4">
        <f t="shared" si="95"/>
        <v>6.1862086239004936</v>
      </c>
      <c r="L201" s="2">
        <v>0</v>
      </c>
      <c r="M201" s="2">
        <v>0</v>
      </c>
      <c r="N201" s="4">
        <f t="shared" si="96"/>
        <v>47.3</v>
      </c>
      <c r="O201" s="4">
        <f t="shared" si="97"/>
        <v>0</v>
      </c>
      <c r="P201" s="4">
        <f t="shared" si="98"/>
        <v>0</v>
      </c>
      <c r="Q201" s="4">
        <f t="shared" si="99"/>
        <v>8.2940496401020276</v>
      </c>
      <c r="R201" s="4">
        <f t="shared" si="100"/>
        <v>6.1862086239004936</v>
      </c>
      <c r="S201" s="4">
        <f t="shared" si="101"/>
        <v>47.3</v>
      </c>
      <c r="T201" s="4">
        <f t="shared" si="102"/>
        <v>0</v>
      </c>
      <c r="U201" s="4">
        <f t="shared" si="103"/>
        <v>8.2940496401020276</v>
      </c>
      <c r="V201" s="4">
        <f t="shared" si="104"/>
        <v>6.1862086239004936</v>
      </c>
      <c r="W201" s="4">
        <f t="shared" si="105"/>
        <v>47.3</v>
      </c>
      <c r="X201" s="4">
        <f t="shared" si="106"/>
        <v>0</v>
      </c>
      <c r="Y201" s="4">
        <f t="shared" si="107"/>
        <v>8.2940496401020276</v>
      </c>
      <c r="Z201" s="4">
        <f t="shared" si="108"/>
        <v>6.1862086239004936</v>
      </c>
      <c r="AA201" s="4">
        <f t="shared" si="109"/>
        <v>47.3</v>
      </c>
      <c r="AB201" s="4">
        <f t="shared" si="110"/>
        <v>0</v>
      </c>
      <c r="AC201" s="4">
        <f t="shared" si="111"/>
        <v>0</v>
      </c>
      <c r="AD201" s="4">
        <f t="shared" si="112"/>
        <v>0</v>
      </c>
      <c r="AE201" s="4">
        <f t="shared" si="113"/>
        <v>0</v>
      </c>
      <c r="AF201" s="4">
        <f t="shared" si="114"/>
        <v>0</v>
      </c>
      <c r="AG201" s="4">
        <f t="shared" si="115"/>
        <v>8.2940496401020276</v>
      </c>
      <c r="AH201" s="4">
        <f t="shared" si="116"/>
        <v>0</v>
      </c>
      <c r="AI201" s="4">
        <f t="shared" si="117"/>
        <v>0</v>
      </c>
      <c r="AJ201" s="4">
        <f t="shared" si="118"/>
        <v>8.2940496401020276</v>
      </c>
      <c r="AK201" s="4">
        <f t="shared" si="119"/>
        <v>6.1862086239004936</v>
      </c>
      <c r="AL201" s="4">
        <f t="shared" si="120"/>
        <v>0</v>
      </c>
      <c r="AM201" s="4">
        <f>CER!$C$7+CER!$C$8*J201+CER!$C$9*K201+CER!$C$10*L201+CER!$C$11*M201</f>
        <v>3.2206344141998131</v>
      </c>
      <c r="AN201" s="4">
        <f t="shared" si="121"/>
        <v>25.044003413916897</v>
      </c>
      <c r="AO201" s="4">
        <f t="shared" si="122"/>
        <v>-0.16938702071846734</v>
      </c>
      <c r="AP201" s="4">
        <f>Alternatives!$F$25+Alternatives!$F$26*J201+Alternatives!$F$27*K201+Alternatives!$F$28*G201+Alternatives!$F$29*O201</f>
        <v>3.2524566416628331</v>
      </c>
      <c r="AQ201" s="4">
        <f t="shared" si="123"/>
        <v>-0.20120924818148733</v>
      </c>
    </row>
    <row r="202" spans="1:43" x14ac:dyDescent="0.35">
      <c r="A202" s="2" t="s">
        <v>241</v>
      </c>
      <c r="B202" s="2" t="s">
        <v>239</v>
      </c>
      <c r="C202" s="2" t="s">
        <v>67</v>
      </c>
      <c r="D202" s="2">
        <v>23.342700000000001</v>
      </c>
      <c r="E202" s="2">
        <v>4000</v>
      </c>
      <c r="F202" s="2">
        <v>480</v>
      </c>
      <c r="G202" s="2">
        <v>47.7</v>
      </c>
      <c r="H202" s="2" t="s">
        <v>68</v>
      </c>
      <c r="I202" s="4">
        <f t="shared" si="93"/>
        <v>3.1502843014017849</v>
      </c>
      <c r="J202" s="4">
        <f t="shared" si="94"/>
        <v>8.2940496401020276</v>
      </c>
      <c r="K202" s="4">
        <f t="shared" si="95"/>
        <v>6.1737861039019366</v>
      </c>
      <c r="L202" s="2">
        <v>0</v>
      </c>
      <c r="M202" s="2">
        <v>0</v>
      </c>
      <c r="N202" s="4">
        <f t="shared" si="96"/>
        <v>47.7</v>
      </c>
      <c r="O202" s="4">
        <f t="shared" si="97"/>
        <v>0</v>
      </c>
      <c r="P202" s="4">
        <f t="shared" si="98"/>
        <v>0</v>
      </c>
      <c r="Q202" s="4">
        <f t="shared" si="99"/>
        <v>8.2940496401020276</v>
      </c>
      <c r="R202" s="4">
        <f t="shared" si="100"/>
        <v>6.1737861039019366</v>
      </c>
      <c r="S202" s="4">
        <f t="shared" si="101"/>
        <v>47.7</v>
      </c>
      <c r="T202" s="4">
        <f t="shared" si="102"/>
        <v>0</v>
      </c>
      <c r="U202" s="4">
        <f t="shared" si="103"/>
        <v>8.2940496401020276</v>
      </c>
      <c r="V202" s="4">
        <f t="shared" si="104"/>
        <v>6.1737861039019366</v>
      </c>
      <c r="W202" s="4">
        <f t="shared" si="105"/>
        <v>47.7</v>
      </c>
      <c r="X202" s="4">
        <f t="shared" si="106"/>
        <v>0</v>
      </c>
      <c r="Y202" s="4">
        <f t="shared" si="107"/>
        <v>8.2940496401020276</v>
      </c>
      <c r="Z202" s="4">
        <f t="shared" si="108"/>
        <v>6.1737861039019366</v>
      </c>
      <c r="AA202" s="4">
        <f t="shared" si="109"/>
        <v>47.7</v>
      </c>
      <c r="AB202" s="4">
        <f t="shared" si="110"/>
        <v>0</v>
      </c>
      <c r="AC202" s="4">
        <f t="shared" si="111"/>
        <v>0</v>
      </c>
      <c r="AD202" s="4">
        <f t="shared" si="112"/>
        <v>0</v>
      </c>
      <c r="AE202" s="4">
        <f t="shared" si="113"/>
        <v>0</v>
      </c>
      <c r="AF202" s="4">
        <f t="shared" si="114"/>
        <v>0</v>
      </c>
      <c r="AG202" s="4">
        <f t="shared" si="115"/>
        <v>8.2940496401020276</v>
      </c>
      <c r="AH202" s="4">
        <f t="shared" si="116"/>
        <v>0</v>
      </c>
      <c r="AI202" s="4">
        <f t="shared" si="117"/>
        <v>0</v>
      </c>
      <c r="AJ202" s="4">
        <f t="shared" si="118"/>
        <v>8.2940496401020276</v>
      </c>
      <c r="AK202" s="4">
        <f t="shared" si="119"/>
        <v>6.1737861039019366</v>
      </c>
      <c r="AL202" s="4">
        <f t="shared" si="120"/>
        <v>0</v>
      </c>
      <c r="AM202" s="4">
        <f>CER!$C$7+CER!$C$8*J202+CER!$C$9*K202+CER!$C$10*L202+CER!$C$11*M202</f>
        <v>3.2252176248636726</v>
      </c>
      <c r="AN202" s="4">
        <f t="shared" si="121"/>
        <v>25.159048794652058</v>
      </c>
      <c r="AO202" s="4">
        <f t="shared" si="122"/>
        <v>-7.4933323461887635E-2</v>
      </c>
      <c r="AP202" s="4">
        <f>Alternatives!$F$25+Alternatives!$F$26*J202+Alternatives!$F$27*K202+Alternatives!$F$28*G202+Alternatives!$F$29*O202</f>
        <v>3.2505594722441162</v>
      </c>
      <c r="AQ202" s="4">
        <f t="shared" si="123"/>
        <v>-0.10027517084233128</v>
      </c>
    </row>
    <row r="203" spans="1:43" x14ac:dyDescent="0.35">
      <c r="A203" s="2" t="s">
        <v>241</v>
      </c>
      <c r="B203" s="2" t="s">
        <v>239</v>
      </c>
      <c r="C203" s="2" t="s">
        <v>67</v>
      </c>
      <c r="D203" s="2">
        <v>24.779900000000001</v>
      </c>
      <c r="E203" s="2">
        <v>4000</v>
      </c>
      <c r="F203" s="2">
        <v>480</v>
      </c>
      <c r="G203" s="2">
        <v>47.7</v>
      </c>
      <c r="H203" s="2" t="s">
        <v>68</v>
      </c>
      <c r="I203" s="4">
        <f t="shared" si="93"/>
        <v>3.2100328406803436</v>
      </c>
      <c r="J203" s="4">
        <f t="shared" si="94"/>
        <v>8.2940496401020276</v>
      </c>
      <c r="K203" s="4">
        <f t="shared" si="95"/>
        <v>6.1737861039019366</v>
      </c>
      <c r="L203" s="2">
        <v>0</v>
      </c>
      <c r="M203" s="2">
        <v>0</v>
      </c>
      <c r="N203" s="4">
        <f t="shared" si="96"/>
        <v>47.7</v>
      </c>
      <c r="O203" s="4">
        <f t="shared" si="97"/>
        <v>0</v>
      </c>
      <c r="P203" s="4">
        <f t="shared" si="98"/>
        <v>0</v>
      </c>
      <c r="Q203" s="4">
        <f t="shared" si="99"/>
        <v>8.2940496401020276</v>
      </c>
      <c r="R203" s="4">
        <f t="shared" si="100"/>
        <v>6.1737861039019366</v>
      </c>
      <c r="S203" s="4">
        <f t="shared" si="101"/>
        <v>47.7</v>
      </c>
      <c r="T203" s="4">
        <f t="shared" si="102"/>
        <v>0</v>
      </c>
      <c r="U203" s="4">
        <f t="shared" si="103"/>
        <v>8.2940496401020276</v>
      </c>
      <c r="V203" s="4">
        <f t="shared" si="104"/>
        <v>6.1737861039019366</v>
      </c>
      <c r="W203" s="4">
        <f t="shared" si="105"/>
        <v>47.7</v>
      </c>
      <c r="X203" s="4">
        <f t="shared" si="106"/>
        <v>0</v>
      </c>
      <c r="Y203" s="4">
        <f t="shared" si="107"/>
        <v>8.2940496401020276</v>
      </c>
      <c r="Z203" s="4">
        <f t="shared" si="108"/>
        <v>6.1737861039019366</v>
      </c>
      <c r="AA203" s="4">
        <f t="shared" si="109"/>
        <v>47.7</v>
      </c>
      <c r="AB203" s="4">
        <f t="shared" si="110"/>
        <v>0</v>
      </c>
      <c r="AC203" s="4">
        <f t="shared" si="111"/>
        <v>0</v>
      </c>
      <c r="AD203" s="4">
        <f t="shared" si="112"/>
        <v>0</v>
      </c>
      <c r="AE203" s="4">
        <f t="shared" si="113"/>
        <v>0</v>
      </c>
      <c r="AF203" s="4">
        <f t="shared" si="114"/>
        <v>0</v>
      </c>
      <c r="AG203" s="4">
        <f t="shared" si="115"/>
        <v>8.2940496401020276</v>
      </c>
      <c r="AH203" s="4">
        <f t="shared" si="116"/>
        <v>0</v>
      </c>
      <c r="AI203" s="4">
        <f t="shared" si="117"/>
        <v>0</v>
      </c>
      <c r="AJ203" s="4">
        <f t="shared" si="118"/>
        <v>8.2940496401020276</v>
      </c>
      <c r="AK203" s="4">
        <f t="shared" si="119"/>
        <v>6.1737861039019366</v>
      </c>
      <c r="AL203" s="4">
        <f t="shared" si="120"/>
        <v>0</v>
      </c>
      <c r="AM203" s="4">
        <f>CER!$C$7+CER!$C$8*J203+CER!$C$9*K203+CER!$C$10*L203+CER!$C$11*M203</f>
        <v>3.2252176248636726</v>
      </c>
      <c r="AN203" s="4">
        <f t="shared" si="121"/>
        <v>25.159048794652058</v>
      </c>
      <c r="AO203" s="4">
        <f t="shared" si="122"/>
        <v>-1.5184784183329025E-2</v>
      </c>
      <c r="AP203" s="4">
        <f>Alternatives!$F$25+Alternatives!$F$26*J203+Alternatives!$F$27*K203+Alternatives!$F$28*G203+Alternatives!$F$29*O203</f>
        <v>3.2505594722441162</v>
      </c>
      <c r="AQ203" s="4">
        <f t="shared" si="123"/>
        <v>-4.0526631563772675E-2</v>
      </c>
    </row>
    <row r="204" spans="1:43" x14ac:dyDescent="0.35">
      <c r="A204" s="2" t="s">
        <v>241</v>
      </c>
      <c r="B204" s="2" t="s">
        <v>239</v>
      </c>
      <c r="C204" s="2" t="s">
        <v>67</v>
      </c>
      <c r="D204" s="2">
        <v>34.438299999999998</v>
      </c>
      <c r="E204" s="2">
        <v>4000</v>
      </c>
      <c r="F204" s="2">
        <v>300</v>
      </c>
      <c r="G204" s="2">
        <v>47.7</v>
      </c>
      <c r="H204" s="2" t="s">
        <v>68</v>
      </c>
      <c r="I204" s="4">
        <f t="shared" si="93"/>
        <v>3.5391693171333278</v>
      </c>
      <c r="J204" s="4">
        <f t="shared" si="94"/>
        <v>8.2940496401020276</v>
      </c>
      <c r="K204" s="4">
        <f t="shared" si="95"/>
        <v>5.7037824746562009</v>
      </c>
      <c r="L204" s="2">
        <v>0</v>
      </c>
      <c r="M204" s="2">
        <v>0</v>
      </c>
      <c r="N204" s="4">
        <f t="shared" si="96"/>
        <v>47.7</v>
      </c>
      <c r="O204" s="4">
        <f t="shared" si="97"/>
        <v>0</v>
      </c>
      <c r="P204" s="4">
        <f t="shared" si="98"/>
        <v>0</v>
      </c>
      <c r="Q204" s="4">
        <f t="shared" si="99"/>
        <v>8.2940496401020276</v>
      </c>
      <c r="R204" s="4">
        <f t="shared" si="100"/>
        <v>5.7037824746562009</v>
      </c>
      <c r="S204" s="4">
        <f t="shared" si="101"/>
        <v>47.7</v>
      </c>
      <c r="T204" s="4">
        <f t="shared" si="102"/>
        <v>0</v>
      </c>
      <c r="U204" s="4">
        <f t="shared" si="103"/>
        <v>8.2940496401020276</v>
      </c>
      <c r="V204" s="4">
        <f t="shared" si="104"/>
        <v>5.7037824746562009</v>
      </c>
      <c r="W204" s="4">
        <f t="shared" si="105"/>
        <v>47.7</v>
      </c>
      <c r="X204" s="4">
        <f t="shared" si="106"/>
        <v>0</v>
      </c>
      <c r="Y204" s="4">
        <f t="shared" si="107"/>
        <v>8.2940496401020276</v>
      </c>
      <c r="Z204" s="4">
        <f t="shared" si="108"/>
        <v>5.7037824746562009</v>
      </c>
      <c r="AA204" s="4">
        <f t="shared" si="109"/>
        <v>47.7</v>
      </c>
      <c r="AB204" s="4">
        <f t="shared" si="110"/>
        <v>0</v>
      </c>
      <c r="AC204" s="4">
        <f t="shared" si="111"/>
        <v>0</v>
      </c>
      <c r="AD204" s="4">
        <f t="shared" si="112"/>
        <v>0</v>
      </c>
      <c r="AE204" s="4">
        <f t="shared" si="113"/>
        <v>0</v>
      </c>
      <c r="AF204" s="4">
        <f t="shared" si="114"/>
        <v>0</v>
      </c>
      <c r="AG204" s="4">
        <f t="shared" si="115"/>
        <v>8.2940496401020276</v>
      </c>
      <c r="AH204" s="4">
        <f t="shared" si="116"/>
        <v>0</v>
      </c>
      <c r="AI204" s="4">
        <f t="shared" si="117"/>
        <v>0</v>
      </c>
      <c r="AJ204" s="4">
        <f t="shared" si="118"/>
        <v>8.2940496401020276</v>
      </c>
      <c r="AK204" s="4">
        <f t="shared" si="119"/>
        <v>5.7037824746562009</v>
      </c>
      <c r="AL204" s="4">
        <f t="shared" si="120"/>
        <v>0</v>
      </c>
      <c r="AM204" s="4">
        <f>CER!$C$7+CER!$C$8*J204+CER!$C$9*K204+CER!$C$10*L204+CER!$C$11*M204</f>
        <v>3.3986225093687485</v>
      </c>
      <c r="AN204" s="4">
        <f t="shared" si="121"/>
        <v>29.922853195406027</v>
      </c>
      <c r="AO204" s="4">
        <f t="shared" si="122"/>
        <v>0.14054680776457928</v>
      </c>
      <c r="AP204" s="4">
        <f>Alternatives!$F$25+Alternatives!$F$26*J204+Alternatives!$F$27*K204+Alternatives!$F$28*G204+Alternatives!$F$29*O204</f>
        <v>3.375632122940162</v>
      </c>
      <c r="AQ204" s="4">
        <f t="shared" si="123"/>
        <v>0.16353719419316581</v>
      </c>
    </row>
    <row r="205" spans="1:43" x14ac:dyDescent="0.35">
      <c r="A205" s="2" t="s">
        <v>241</v>
      </c>
      <c r="B205" s="2" t="s">
        <v>239</v>
      </c>
      <c r="C205" s="2" t="s">
        <v>67</v>
      </c>
      <c r="D205" s="2">
        <v>21.9955</v>
      </c>
      <c r="E205" s="2">
        <v>4000</v>
      </c>
      <c r="F205" s="2">
        <v>480</v>
      </c>
      <c r="G205" s="2">
        <v>47.7</v>
      </c>
      <c r="H205" s="2" t="s">
        <v>68</v>
      </c>
      <c r="I205" s="4">
        <f t="shared" si="93"/>
        <v>3.0908378869814959</v>
      </c>
      <c r="J205" s="4">
        <f t="shared" si="94"/>
        <v>8.2940496401020276</v>
      </c>
      <c r="K205" s="4">
        <f t="shared" si="95"/>
        <v>6.1737861039019366</v>
      </c>
      <c r="L205" s="2">
        <v>0</v>
      </c>
      <c r="M205" s="2">
        <v>0</v>
      </c>
      <c r="N205" s="4">
        <f t="shared" si="96"/>
        <v>47.7</v>
      </c>
      <c r="O205" s="4">
        <f t="shared" si="97"/>
        <v>0</v>
      </c>
      <c r="P205" s="4">
        <f t="shared" si="98"/>
        <v>0</v>
      </c>
      <c r="Q205" s="4">
        <f t="shared" si="99"/>
        <v>8.2940496401020276</v>
      </c>
      <c r="R205" s="4">
        <f t="shared" si="100"/>
        <v>6.1737861039019366</v>
      </c>
      <c r="S205" s="4">
        <f t="shared" si="101"/>
        <v>47.7</v>
      </c>
      <c r="T205" s="4">
        <f t="shared" si="102"/>
        <v>0</v>
      </c>
      <c r="U205" s="4">
        <f t="shared" si="103"/>
        <v>8.2940496401020276</v>
      </c>
      <c r="V205" s="4">
        <f t="shared" si="104"/>
        <v>6.1737861039019366</v>
      </c>
      <c r="W205" s="4">
        <f t="shared" si="105"/>
        <v>47.7</v>
      </c>
      <c r="X205" s="4">
        <f t="shared" si="106"/>
        <v>0</v>
      </c>
      <c r="Y205" s="4">
        <f t="shared" si="107"/>
        <v>8.2940496401020276</v>
      </c>
      <c r="Z205" s="4">
        <f t="shared" si="108"/>
        <v>6.1737861039019366</v>
      </c>
      <c r="AA205" s="4">
        <f t="shared" si="109"/>
        <v>47.7</v>
      </c>
      <c r="AB205" s="4">
        <f t="shared" si="110"/>
        <v>0</v>
      </c>
      <c r="AC205" s="4">
        <f t="shared" si="111"/>
        <v>0</v>
      </c>
      <c r="AD205" s="4">
        <f t="shared" si="112"/>
        <v>0</v>
      </c>
      <c r="AE205" s="4">
        <f t="shared" si="113"/>
        <v>0</v>
      </c>
      <c r="AF205" s="4">
        <f t="shared" si="114"/>
        <v>0</v>
      </c>
      <c r="AG205" s="4">
        <f t="shared" si="115"/>
        <v>8.2940496401020276</v>
      </c>
      <c r="AH205" s="4">
        <f t="shared" si="116"/>
        <v>0</v>
      </c>
      <c r="AI205" s="4">
        <f t="shared" si="117"/>
        <v>0</v>
      </c>
      <c r="AJ205" s="4">
        <f t="shared" si="118"/>
        <v>8.2940496401020276</v>
      </c>
      <c r="AK205" s="4">
        <f t="shared" si="119"/>
        <v>6.1737861039019366</v>
      </c>
      <c r="AL205" s="4">
        <f t="shared" si="120"/>
        <v>0</v>
      </c>
      <c r="AM205" s="4">
        <f>CER!$C$7+CER!$C$8*J205+CER!$C$9*K205+CER!$C$10*L205+CER!$C$11*M205</f>
        <v>3.2252176248636726</v>
      </c>
      <c r="AN205" s="4">
        <f t="shared" si="121"/>
        <v>25.159048794652058</v>
      </c>
      <c r="AO205" s="4">
        <f t="shared" si="122"/>
        <v>-0.13437973788217672</v>
      </c>
      <c r="AP205" s="4">
        <f>Alternatives!$F$25+Alternatives!$F$26*J205+Alternatives!$F$27*K205+Alternatives!$F$28*G205+Alternatives!$F$29*O205</f>
        <v>3.2505594722441162</v>
      </c>
      <c r="AQ205" s="4">
        <f t="shared" si="123"/>
        <v>-0.15972158526262037</v>
      </c>
    </row>
    <row r="206" spans="1:43" x14ac:dyDescent="0.35">
      <c r="A206" s="2" t="s">
        <v>241</v>
      </c>
      <c r="B206" s="2" t="s">
        <v>239</v>
      </c>
      <c r="C206" s="2" t="s">
        <v>67</v>
      </c>
      <c r="D206" s="2">
        <v>23.676300000000001</v>
      </c>
      <c r="E206" s="2">
        <v>4000</v>
      </c>
      <c r="F206" s="2">
        <v>480</v>
      </c>
      <c r="G206" s="2">
        <v>47.7</v>
      </c>
      <c r="H206" s="2" t="s">
        <v>68</v>
      </c>
      <c r="I206" s="4">
        <f t="shared" si="93"/>
        <v>3.1644745478075018</v>
      </c>
      <c r="J206" s="4">
        <f t="shared" si="94"/>
        <v>8.2940496401020276</v>
      </c>
      <c r="K206" s="4">
        <f t="shared" si="95"/>
        <v>6.1737861039019366</v>
      </c>
      <c r="L206" s="2">
        <v>0</v>
      </c>
      <c r="M206" s="2">
        <v>0</v>
      </c>
      <c r="N206" s="4">
        <f t="shared" si="96"/>
        <v>47.7</v>
      </c>
      <c r="O206" s="4">
        <f t="shared" si="97"/>
        <v>0</v>
      </c>
      <c r="P206" s="4">
        <f t="shared" si="98"/>
        <v>0</v>
      </c>
      <c r="Q206" s="4">
        <f t="shared" si="99"/>
        <v>8.2940496401020276</v>
      </c>
      <c r="R206" s="4">
        <f t="shared" si="100"/>
        <v>6.1737861039019366</v>
      </c>
      <c r="S206" s="4">
        <f t="shared" si="101"/>
        <v>47.7</v>
      </c>
      <c r="T206" s="4">
        <f t="shared" si="102"/>
        <v>0</v>
      </c>
      <c r="U206" s="4">
        <f t="shared" si="103"/>
        <v>8.2940496401020276</v>
      </c>
      <c r="V206" s="4">
        <f t="shared" si="104"/>
        <v>6.1737861039019366</v>
      </c>
      <c r="W206" s="4">
        <f t="shared" si="105"/>
        <v>47.7</v>
      </c>
      <c r="X206" s="4">
        <f t="shared" si="106"/>
        <v>0</v>
      </c>
      <c r="Y206" s="4">
        <f t="shared" si="107"/>
        <v>8.2940496401020276</v>
      </c>
      <c r="Z206" s="4">
        <f t="shared" si="108"/>
        <v>6.1737861039019366</v>
      </c>
      <c r="AA206" s="4">
        <f t="shared" si="109"/>
        <v>47.7</v>
      </c>
      <c r="AB206" s="4">
        <f t="shared" si="110"/>
        <v>0</v>
      </c>
      <c r="AC206" s="4">
        <f t="shared" si="111"/>
        <v>0</v>
      </c>
      <c r="AD206" s="4">
        <f t="shared" si="112"/>
        <v>0</v>
      </c>
      <c r="AE206" s="4">
        <f t="shared" si="113"/>
        <v>0</v>
      </c>
      <c r="AF206" s="4">
        <f t="shared" si="114"/>
        <v>0</v>
      </c>
      <c r="AG206" s="4">
        <f t="shared" si="115"/>
        <v>8.2940496401020276</v>
      </c>
      <c r="AH206" s="4">
        <f t="shared" si="116"/>
        <v>0</v>
      </c>
      <c r="AI206" s="4">
        <f t="shared" si="117"/>
        <v>0</v>
      </c>
      <c r="AJ206" s="4">
        <f t="shared" si="118"/>
        <v>8.2940496401020276</v>
      </c>
      <c r="AK206" s="4">
        <f t="shared" si="119"/>
        <v>6.1737861039019366</v>
      </c>
      <c r="AL206" s="4">
        <f t="shared" si="120"/>
        <v>0</v>
      </c>
      <c r="AM206" s="4">
        <f>CER!$C$7+CER!$C$8*J206+CER!$C$9*K206+CER!$C$10*L206+CER!$C$11*M206</f>
        <v>3.2252176248636726</v>
      </c>
      <c r="AN206" s="4">
        <f t="shared" si="121"/>
        <v>25.159048794652058</v>
      </c>
      <c r="AO206" s="4">
        <f t="shared" si="122"/>
        <v>-6.0743077056170769E-2</v>
      </c>
      <c r="AP206" s="4">
        <f>Alternatives!$F$25+Alternatives!$F$26*J206+Alternatives!$F$27*K206+Alternatives!$F$28*G206+Alternatives!$F$29*O206</f>
        <v>3.2505594722441162</v>
      </c>
      <c r="AQ206" s="4">
        <f t="shared" si="123"/>
        <v>-8.6084924436614418E-2</v>
      </c>
    </row>
    <row r="207" spans="1:43" x14ac:dyDescent="0.35">
      <c r="A207" s="2" t="s">
        <v>242</v>
      </c>
      <c r="B207" s="2" t="s">
        <v>239</v>
      </c>
      <c r="C207" s="2" t="s">
        <v>67</v>
      </c>
      <c r="D207" s="2">
        <v>27.756799999999998</v>
      </c>
      <c r="E207" s="2">
        <v>4500</v>
      </c>
      <c r="F207" s="2">
        <v>275</v>
      </c>
      <c r="G207" s="2">
        <v>45.3</v>
      </c>
      <c r="H207" s="2" t="s">
        <v>68</v>
      </c>
      <c r="I207" s="4">
        <f t="shared" si="93"/>
        <v>3.3234808552188553</v>
      </c>
      <c r="J207" s="4">
        <f t="shared" si="94"/>
        <v>8.4118326757584114</v>
      </c>
      <c r="K207" s="4">
        <f t="shared" si="95"/>
        <v>5.6167710976665717</v>
      </c>
      <c r="L207" s="2">
        <v>0</v>
      </c>
      <c r="M207" s="2">
        <v>0</v>
      </c>
      <c r="N207" s="4">
        <f t="shared" si="96"/>
        <v>45.3</v>
      </c>
      <c r="O207" s="4">
        <f t="shared" si="97"/>
        <v>0</v>
      </c>
      <c r="P207" s="4">
        <f t="shared" si="98"/>
        <v>0</v>
      </c>
      <c r="Q207" s="4">
        <f t="shared" si="99"/>
        <v>8.4118326757584114</v>
      </c>
      <c r="R207" s="4">
        <f t="shared" si="100"/>
        <v>5.6167710976665717</v>
      </c>
      <c r="S207" s="4">
        <f t="shared" si="101"/>
        <v>45.3</v>
      </c>
      <c r="T207" s="4">
        <f t="shared" si="102"/>
        <v>0</v>
      </c>
      <c r="U207" s="4">
        <f t="shared" si="103"/>
        <v>8.4118326757584114</v>
      </c>
      <c r="V207" s="4">
        <f t="shared" si="104"/>
        <v>5.6167710976665717</v>
      </c>
      <c r="W207" s="4">
        <f t="shared" si="105"/>
        <v>45.3</v>
      </c>
      <c r="X207" s="4">
        <f t="shared" si="106"/>
        <v>0</v>
      </c>
      <c r="Y207" s="4">
        <f t="shared" si="107"/>
        <v>8.4118326757584114</v>
      </c>
      <c r="Z207" s="4">
        <f t="shared" si="108"/>
        <v>5.6167710976665717</v>
      </c>
      <c r="AA207" s="4">
        <f t="shared" si="109"/>
        <v>45.3</v>
      </c>
      <c r="AB207" s="4">
        <f t="shared" si="110"/>
        <v>0</v>
      </c>
      <c r="AC207" s="4">
        <f t="shared" si="111"/>
        <v>0</v>
      </c>
      <c r="AD207" s="4">
        <f t="shared" si="112"/>
        <v>0</v>
      </c>
      <c r="AE207" s="4">
        <f t="shared" si="113"/>
        <v>0</v>
      </c>
      <c r="AF207" s="4">
        <f t="shared" si="114"/>
        <v>0</v>
      </c>
      <c r="AG207" s="4">
        <f t="shared" si="115"/>
        <v>8.4118326757584114</v>
      </c>
      <c r="AH207" s="4">
        <f t="shared" si="116"/>
        <v>0</v>
      </c>
      <c r="AI207" s="4">
        <f t="shared" si="117"/>
        <v>0</v>
      </c>
      <c r="AJ207" s="4">
        <f t="shared" si="118"/>
        <v>8.4118326757584114</v>
      </c>
      <c r="AK207" s="4">
        <f t="shared" si="119"/>
        <v>5.6167710976665717</v>
      </c>
      <c r="AL207" s="4">
        <f t="shared" si="120"/>
        <v>0</v>
      </c>
      <c r="AM207" s="4">
        <f>CER!$C$7+CER!$C$8*J207+CER!$C$9*K207+CER!$C$10*L207+CER!$C$11*M207</f>
        <v>3.3774033555652183</v>
      </c>
      <c r="AN207" s="4">
        <f t="shared" si="121"/>
        <v>29.294604595411702</v>
      </c>
      <c r="AO207" s="4">
        <f t="shared" si="122"/>
        <v>-5.3922500346363034E-2</v>
      </c>
      <c r="AP207" s="4">
        <f>Alternatives!$F$25+Alternatives!$F$26*J207+Alternatives!$F$27*K207+Alternatives!$F$28*G207+Alternatives!$F$29*O207</f>
        <v>3.4735941225337945</v>
      </c>
      <c r="AQ207" s="4">
        <f t="shared" si="123"/>
        <v>-0.15011326731493924</v>
      </c>
    </row>
    <row r="208" spans="1:43" x14ac:dyDescent="0.35">
      <c r="A208" s="2" t="s">
        <v>242</v>
      </c>
      <c r="B208" s="2" t="s">
        <v>239</v>
      </c>
      <c r="C208" s="2" t="s">
        <v>67</v>
      </c>
      <c r="D208" s="2">
        <v>28.229199999999999</v>
      </c>
      <c r="E208" s="2">
        <v>4500</v>
      </c>
      <c r="F208" s="2">
        <v>275</v>
      </c>
      <c r="G208" s="2">
        <v>45.3</v>
      </c>
      <c r="H208" s="2" t="s">
        <v>68</v>
      </c>
      <c r="I208" s="4">
        <f t="shared" si="93"/>
        <v>3.3403569032170211</v>
      </c>
      <c r="J208" s="4">
        <f t="shared" si="94"/>
        <v>8.4118326757584114</v>
      </c>
      <c r="K208" s="4">
        <f t="shared" si="95"/>
        <v>5.6167710976665717</v>
      </c>
      <c r="L208" s="2">
        <v>0</v>
      </c>
      <c r="M208" s="2">
        <v>0</v>
      </c>
      <c r="N208" s="4">
        <f t="shared" si="96"/>
        <v>45.3</v>
      </c>
      <c r="O208" s="4">
        <f t="shared" si="97"/>
        <v>0</v>
      </c>
      <c r="P208" s="4">
        <f t="shared" si="98"/>
        <v>0</v>
      </c>
      <c r="Q208" s="4">
        <f t="shared" si="99"/>
        <v>8.4118326757584114</v>
      </c>
      <c r="R208" s="4">
        <f t="shared" si="100"/>
        <v>5.6167710976665717</v>
      </c>
      <c r="S208" s="4">
        <f t="shared" si="101"/>
        <v>45.3</v>
      </c>
      <c r="T208" s="4">
        <f t="shared" si="102"/>
        <v>0</v>
      </c>
      <c r="U208" s="4">
        <f t="shared" si="103"/>
        <v>8.4118326757584114</v>
      </c>
      <c r="V208" s="4">
        <f t="shared" si="104"/>
        <v>5.6167710976665717</v>
      </c>
      <c r="W208" s="4">
        <f t="shared" si="105"/>
        <v>45.3</v>
      </c>
      <c r="X208" s="4">
        <f t="shared" si="106"/>
        <v>0</v>
      </c>
      <c r="Y208" s="4">
        <f t="shared" si="107"/>
        <v>8.4118326757584114</v>
      </c>
      <c r="Z208" s="4">
        <f t="shared" si="108"/>
        <v>5.6167710976665717</v>
      </c>
      <c r="AA208" s="4">
        <f t="shared" si="109"/>
        <v>45.3</v>
      </c>
      <c r="AB208" s="4">
        <f t="shared" si="110"/>
        <v>0</v>
      </c>
      <c r="AC208" s="4">
        <f t="shared" si="111"/>
        <v>0</v>
      </c>
      <c r="AD208" s="4">
        <f t="shared" si="112"/>
        <v>0</v>
      </c>
      <c r="AE208" s="4">
        <f t="shared" si="113"/>
        <v>0</v>
      </c>
      <c r="AF208" s="4">
        <f t="shared" si="114"/>
        <v>0</v>
      </c>
      <c r="AG208" s="4">
        <f t="shared" si="115"/>
        <v>8.4118326757584114</v>
      </c>
      <c r="AH208" s="4">
        <f t="shared" si="116"/>
        <v>0</v>
      </c>
      <c r="AI208" s="4">
        <f t="shared" si="117"/>
        <v>0</v>
      </c>
      <c r="AJ208" s="4">
        <f t="shared" si="118"/>
        <v>8.4118326757584114</v>
      </c>
      <c r="AK208" s="4">
        <f t="shared" si="119"/>
        <v>5.6167710976665717</v>
      </c>
      <c r="AL208" s="4">
        <f t="shared" si="120"/>
        <v>0</v>
      </c>
      <c r="AM208" s="4">
        <f>CER!$C$7+CER!$C$8*J208+CER!$C$9*K208+CER!$C$10*L208+CER!$C$11*M208</f>
        <v>3.3774033555652183</v>
      </c>
      <c r="AN208" s="4">
        <f t="shared" si="121"/>
        <v>29.294604595411702</v>
      </c>
      <c r="AO208" s="4">
        <f t="shared" si="122"/>
        <v>-3.7046452348197256E-2</v>
      </c>
      <c r="AP208" s="4">
        <f>Alternatives!$F$25+Alternatives!$F$26*J208+Alternatives!$F$27*K208+Alternatives!$F$28*G208+Alternatives!$F$29*O208</f>
        <v>3.4735941225337945</v>
      </c>
      <c r="AQ208" s="4">
        <f t="shared" si="123"/>
        <v>-0.13323721931677346</v>
      </c>
    </row>
    <row r="209" spans="1:43" x14ac:dyDescent="0.35">
      <c r="A209" s="2" t="s">
        <v>242</v>
      </c>
      <c r="B209" s="2" t="s">
        <v>239</v>
      </c>
      <c r="C209" s="2" t="s">
        <v>67</v>
      </c>
      <c r="D209" s="2">
        <v>27.214099999999998</v>
      </c>
      <c r="E209" s="2">
        <v>5000</v>
      </c>
      <c r="F209" s="2">
        <v>315</v>
      </c>
      <c r="G209" s="2">
        <v>45.3</v>
      </c>
      <c r="H209" s="2" t="s">
        <v>68</v>
      </c>
      <c r="I209" s="4">
        <f t="shared" si="93"/>
        <v>3.3037352213411761</v>
      </c>
      <c r="J209" s="4">
        <f t="shared" si="94"/>
        <v>8.5171931914162382</v>
      </c>
      <c r="K209" s="4">
        <f t="shared" si="95"/>
        <v>5.7525726388256331</v>
      </c>
      <c r="L209" s="2">
        <v>0</v>
      </c>
      <c r="M209" s="2">
        <v>0</v>
      </c>
      <c r="N209" s="4">
        <f t="shared" si="96"/>
        <v>45.3</v>
      </c>
      <c r="O209" s="4">
        <f t="shared" si="97"/>
        <v>0</v>
      </c>
      <c r="P209" s="4">
        <f t="shared" si="98"/>
        <v>0</v>
      </c>
      <c r="Q209" s="4">
        <f t="shared" si="99"/>
        <v>8.5171931914162382</v>
      </c>
      <c r="R209" s="4">
        <f t="shared" si="100"/>
        <v>5.7525726388256331</v>
      </c>
      <c r="S209" s="4">
        <f t="shared" si="101"/>
        <v>45.3</v>
      </c>
      <c r="T209" s="4">
        <f t="shared" si="102"/>
        <v>0</v>
      </c>
      <c r="U209" s="4">
        <f t="shared" si="103"/>
        <v>8.5171931914162382</v>
      </c>
      <c r="V209" s="4">
        <f t="shared" si="104"/>
        <v>5.7525726388256331</v>
      </c>
      <c r="W209" s="4">
        <f t="shared" si="105"/>
        <v>45.3</v>
      </c>
      <c r="X209" s="4">
        <f t="shared" si="106"/>
        <v>0</v>
      </c>
      <c r="Y209" s="4">
        <f t="shared" si="107"/>
        <v>8.5171931914162382</v>
      </c>
      <c r="Z209" s="4">
        <f t="shared" si="108"/>
        <v>5.7525726388256331</v>
      </c>
      <c r="AA209" s="4">
        <f t="shared" si="109"/>
        <v>45.3</v>
      </c>
      <c r="AB209" s="4">
        <f t="shared" si="110"/>
        <v>0</v>
      </c>
      <c r="AC209" s="4">
        <f t="shared" si="111"/>
        <v>0</v>
      </c>
      <c r="AD209" s="4">
        <f t="shared" si="112"/>
        <v>0</v>
      </c>
      <c r="AE209" s="4">
        <f t="shared" si="113"/>
        <v>0</v>
      </c>
      <c r="AF209" s="4">
        <f t="shared" si="114"/>
        <v>0</v>
      </c>
      <c r="AG209" s="4">
        <f t="shared" si="115"/>
        <v>8.5171931914162382</v>
      </c>
      <c r="AH209" s="4">
        <f t="shared" si="116"/>
        <v>0</v>
      </c>
      <c r="AI209" s="4">
        <f t="shared" si="117"/>
        <v>0</v>
      </c>
      <c r="AJ209" s="4">
        <f t="shared" si="118"/>
        <v>8.5171931914162382</v>
      </c>
      <c r="AK209" s="4">
        <f t="shared" si="119"/>
        <v>5.7525726388256331</v>
      </c>
      <c r="AL209" s="4">
        <f t="shared" si="120"/>
        <v>0</v>
      </c>
      <c r="AM209" s="4">
        <f>CER!$C$7+CER!$C$8*J209+CER!$C$9*K209+CER!$C$10*L209+CER!$C$11*M209</f>
        <v>3.2796025643343536</v>
      </c>
      <c r="AN209" s="4">
        <f t="shared" si="121"/>
        <v>26.565212638572415</v>
      </c>
      <c r="AO209" s="4">
        <f t="shared" si="122"/>
        <v>2.4132657006822544E-2</v>
      </c>
      <c r="AP209" s="4">
        <f>Alternatives!$F$25+Alternatives!$F$26*J209+Alternatives!$F$27*K209+Alternatives!$F$28*G209+Alternatives!$F$29*O209</f>
        <v>3.4764484282635935</v>
      </c>
      <c r="AQ209" s="4">
        <f t="shared" si="123"/>
        <v>-0.17271320692241732</v>
      </c>
    </row>
    <row r="210" spans="1:43" x14ac:dyDescent="0.35">
      <c r="A210" s="2" t="s">
        <v>243</v>
      </c>
      <c r="B210" s="2" t="s">
        <v>239</v>
      </c>
      <c r="C210" s="2" t="s">
        <v>67</v>
      </c>
      <c r="D210" s="2">
        <v>36.9148</v>
      </c>
      <c r="E210" s="2">
        <v>3500</v>
      </c>
      <c r="F210" s="2">
        <v>175</v>
      </c>
      <c r="G210" s="2">
        <v>46.2</v>
      </c>
      <c r="H210" s="2" t="s">
        <v>68</v>
      </c>
      <c r="I210" s="4">
        <f t="shared" si="93"/>
        <v>3.6086125546446306</v>
      </c>
      <c r="J210" s="4">
        <f t="shared" si="94"/>
        <v>8.1605182474775049</v>
      </c>
      <c r="K210" s="4">
        <f t="shared" si="95"/>
        <v>5.1647859739235145</v>
      </c>
      <c r="L210" s="2">
        <v>0</v>
      </c>
      <c r="M210" s="2">
        <v>0</v>
      </c>
      <c r="N210" s="4">
        <f t="shared" si="96"/>
        <v>46.2</v>
      </c>
      <c r="O210" s="4">
        <f t="shared" si="97"/>
        <v>0</v>
      </c>
      <c r="P210" s="4">
        <f t="shared" si="98"/>
        <v>0</v>
      </c>
      <c r="Q210" s="4">
        <f t="shared" si="99"/>
        <v>8.1605182474775049</v>
      </c>
      <c r="R210" s="4">
        <f t="shared" si="100"/>
        <v>5.1647859739235145</v>
      </c>
      <c r="S210" s="4">
        <f t="shared" si="101"/>
        <v>46.2</v>
      </c>
      <c r="T210" s="4">
        <f t="shared" si="102"/>
        <v>0</v>
      </c>
      <c r="U210" s="4">
        <f t="shared" si="103"/>
        <v>8.1605182474775049</v>
      </c>
      <c r="V210" s="4">
        <f t="shared" si="104"/>
        <v>5.1647859739235145</v>
      </c>
      <c r="W210" s="4">
        <f t="shared" si="105"/>
        <v>46.2</v>
      </c>
      <c r="X210" s="4">
        <f t="shared" si="106"/>
        <v>0</v>
      </c>
      <c r="Y210" s="4">
        <f t="shared" si="107"/>
        <v>8.1605182474775049</v>
      </c>
      <c r="Z210" s="4">
        <f t="shared" si="108"/>
        <v>5.1647859739235145</v>
      </c>
      <c r="AA210" s="4">
        <f t="shared" si="109"/>
        <v>46.2</v>
      </c>
      <c r="AB210" s="4">
        <f t="shared" si="110"/>
        <v>0</v>
      </c>
      <c r="AC210" s="4">
        <f t="shared" si="111"/>
        <v>0</v>
      </c>
      <c r="AD210" s="4">
        <f t="shared" si="112"/>
        <v>0</v>
      </c>
      <c r="AE210" s="4">
        <f t="shared" si="113"/>
        <v>0</v>
      </c>
      <c r="AF210" s="4">
        <f t="shared" si="114"/>
        <v>0</v>
      </c>
      <c r="AG210" s="4">
        <f t="shared" si="115"/>
        <v>8.1605182474775049</v>
      </c>
      <c r="AH210" s="4">
        <f t="shared" si="116"/>
        <v>0</v>
      </c>
      <c r="AI210" s="4">
        <f t="shared" si="117"/>
        <v>0</v>
      </c>
      <c r="AJ210" s="4">
        <f t="shared" si="118"/>
        <v>8.1605182474775049</v>
      </c>
      <c r="AK210" s="4">
        <f t="shared" si="119"/>
        <v>5.1647859739235145</v>
      </c>
      <c r="AL210" s="4">
        <f t="shared" si="120"/>
        <v>0</v>
      </c>
      <c r="AM210" s="4">
        <f>CER!$C$7+CER!$C$8*J210+CER!$C$9*K210+CER!$C$10*L210+CER!$C$11*M210</f>
        <v>3.6579327593079851</v>
      </c>
      <c r="AN210" s="4">
        <f t="shared" si="121"/>
        <v>38.781090101478156</v>
      </c>
      <c r="AO210" s="4">
        <f t="shared" si="122"/>
        <v>-4.9320204663354517E-2</v>
      </c>
      <c r="AP210" s="4">
        <f>Alternatives!$F$25+Alternatives!$F$26*J210+Alternatives!$F$27*K210+Alternatives!$F$28*G210+Alternatives!$F$29*O210</f>
        <v>3.4891573402212215</v>
      </c>
      <c r="AQ210" s="4">
        <f t="shared" si="123"/>
        <v>0.11945521442340912</v>
      </c>
    </row>
    <row r="211" spans="1:43" x14ac:dyDescent="0.35">
      <c r="A211" s="2" t="s">
        <v>243</v>
      </c>
      <c r="B211" s="2" t="s">
        <v>239</v>
      </c>
      <c r="C211" s="2" t="s">
        <v>67</v>
      </c>
      <c r="D211" s="2">
        <v>30.897600000000001</v>
      </c>
      <c r="E211" s="2">
        <v>4000</v>
      </c>
      <c r="F211" s="2">
        <v>250</v>
      </c>
      <c r="G211" s="2">
        <v>46.2</v>
      </c>
      <c r="H211" s="2" t="s">
        <v>68</v>
      </c>
      <c r="I211" s="4">
        <f t="shared" si="93"/>
        <v>3.4306785109843241</v>
      </c>
      <c r="J211" s="4">
        <f t="shared" si="94"/>
        <v>8.2940496401020276</v>
      </c>
      <c r="K211" s="4">
        <f t="shared" si="95"/>
        <v>5.521460917862246</v>
      </c>
      <c r="L211" s="2">
        <v>0</v>
      </c>
      <c r="M211" s="2">
        <v>0</v>
      </c>
      <c r="N211" s="4">
        <f t="shared" si="96"/>
        <v>46.2</v>
      </c>
      <c r="O211" s="4">
        <f t="shared" si="97"/>
        <v>0</v>
      </c>
      <c r="P211" s="4">
        <f t="shared" si="98"/>
        <v>0</v>
      </c>
      <c r="Q211" s="4">
        <f t="shared" si="99"/>
        <v>8.2940496401020276</v>
      </c>
      <c r="R211" s="4">
        <f t="shared" si="100"/>
        <v>5.521460917862246</v>
      </c>
      <c r="S211" s="4">
        <f t="shared" si="101"/>
        <v>46.2</v>
      </c>
      <c r="T211" s="4">
        <f t="shared" si="102"/>
        <v>0</v>
      </c>
      <c r="U211" s="4">
        <f t="shared" si="103"/>
        <v>8.2940496401020276</v>
      </c>
      <c r="V211" s="4">
        <f t="shared" si="104"/>
        <v>5.521460917862246</v>
      </c>
      <c r="W211" s="4">
        <f t="shared" si="105"/>
        <v>46.2</v>
      </c>
      <c r="X211" s="4">
        <f t="shared" si="106"/>
        <v>0</v>
      </c>
      <c r="Y211" s="4">
        <f t="shared" si="107"/>
        <v>8.2940496401020276</v>
      </c>
      <c r="Z211" s="4">
        <f t="shared" si="108"/>
        <v>5.521460917862246</v>
      </c>
      <c r="AA211" s="4">
        <f t="shared" si="109"/>
        <v>46.2</v>
      </c>
      <c r="AB211" s="4">
        <f t="shared" si="110"/>
        <v>0</v>
      </c>
      <c r="AC211" s="4">
        <f t="shared" si="111"/>
        <v>0</v>
      </c>
      <c r="AD211" s="4">
        <f t="shared" si="112"/>
        <v>0</v>
      </c>
      <c r="AE211" s="4">
        <f t="shared" si="113"/>
        <v>0</v>
      </c>
      <c r="AF211" s="4">
        <f t="shared" si="114"/>
        <v>0</v>
      </c>
      <c r="AG211" s="4">
        <f t="shared" si="115"/>
        <v>8.2940496401020276</v>
      </c>
      <c r="AH211" s="4">
        <f t="shared" si="116"/>
        <v>0</v>
      </c>
      <c r="AI211" s="4">
        <f t="shared" si="117"/>
        <v>0</v>
      </c>
      <c r="AJ211" s="4">
        <f t="shared" si="118"/>
        <v>8.2940496401020276</v>
      </c>
      <c r="AK211" s="4">
        <f t="shared" si="119"/>
        <v>5.521460917862246</v>
      </c>
      <c r="AL211" s="4">
        <f t="shared" si="120"/>
        <v>0</v>
      </c>
      <c r="AM211" s="4">
        <f>CER!$C$7+CER!$C$8*J211+CER!$C$9*K211+CER!$C$10*L211+CER!$C$11*M211</f>
        <v>3.4658889016503953</v>
      </c>
      <c r="AN211" s="4">
        <f t="shared" si="121"/>
        <v>32.004896337778874</v>
      </c>
      <c r="AO211" s="4">
        <f t="shared" si="122"/>
        <v>-3.5210390666071234E-2</v>
      </c>
      <c r="AP211" s="4">
        <f>Alternatives!$F$25+Alternatives!$F$26*J211+Alternatives!$F$27*K211+Alternatives!$F$28*G211+Alternatives!$F$29*O211</f>
        <v>3.4436606783811987</v>
      </c>
      <c r="AQ211" s="4">
        <f t="shared" si="123"/>
        <v>-1.2982167396874633E-2</v>
      </c>
    </row>
    <row r="212" spans="1:43" x14ac:dyDescent="0.35">
      <c r="A212" s="2" t="s">
        <v>244</v>
      </c>
      <c r="B212" s="2" t="s">
        <v>239</v>
      </c>
      <c r="C212" s="2" t="s">
        <v>67</v>
      </c>
      <c r="D212" s="2">
        <v>27.657900000000001</v>
      </c>
      <c r="E212" s="2">
        <v>5000</v>
      </c>
      <c r="F212" s="2">
        <v>275</v>
      </c>
      <c r="G212" s="2">
        <v>45.3</v>
      </c>
      <c r="H212" s="2" t="s">
        <v>68</v>
      </c>
      <c r="I212" s="4">
        <f t="shared" si="93"/>
        <v>3.3199114014455047</v>
      </c>
      <c r="J212" s="4">
        <f t="shared" si="94"/>
        <v>8.5171931914162382</v>
      </c>
      <c r="K212" s="4">
        <f t="shared" si="95"/>
        <v>5.6167710976665717</v>
      </c>
      <c r="L212" s="2">
        <v>0</v>
      </c>
      <c r="M212" s="2">
        <v>0</v>
      </c>
      <c r="N212" s="4">
        <f t="shared" si="96"/>
        <v>45.3</v>
      </c>
      <c r="O212" s="4">
        <f t="shared" si="97"/>
        <v>0</v>
      </c>
      <c r="P212" s="4">
        <f t="shared" si="98"/>
        <v>0</v>
      </c>
      <c r="Q212" s="4">
        <f t="shared" si="99"/>
        <v>8.5171931914162382</v>
      </c>
      <c r="R212" s="4">
        <f t="shared" si="100"/>
        <v>5.6167710976665717</v>
      </c>
      <c r="S212" s="4">
        <f t="shared" si="101"/>
        <v>45.3</v>
      </c>
      <c r="T212" s="4">
        <f t="shared" si="102"/>
        <v>0</v>
      </c>
      <c r="U212" s="4">
        <f t="shared" si="103"/>
        <v>8.5171931914162382</v>
      </c>
      <c r="V212" s="4">
        <f t="shared" si="104"/>
        <v>5.6167710976665717</v>
      </c>
      <c r="W212" s="4">
        <f t="shared" si="105"/>
        <v>45.3</v>
      </c>
      <c r="X212" s="4">
        <f t="shared" si="106"/>
        <v>0</v>
      </c>
      <c r="Y212" s="4">
        <f t="shared" si="107"/>
        <v>8.5171931914162382</v>
      </c>
      <c r="Z212" s="4">
        <f t="shared" si="108"/>
        <v>5.6167710976665717</v>
      </c>
      <c r="AA212" s="4">
        <f t="shared" si="109"/>
        <v>45.3</v>
      </c>
      <c r="AB212" s="4">
        <f t="shared" si="110"/>
        <v>0</v>
      </c>
      <c r="AC212" s="4">
        <f t="shared" si="111"/>
        <v>0</v>
      </c>
      <c r="AD212" s="4">
        <f t="shared" si="112"/>
        <v>0</v>
      </c>
      <c r="AE212" s="4">
        <f t="shared" si="113"/>
        <v>0</v>
      </c>
      <c r="AF212" s="4">
        <f t="shared" si="114"/>
        <v>0</v>
      </c>
      <c r="AG212" s="4">
        <f t="shared" si="115"/>
        <v>8.5171931914162382</v>
      </c>
      <c r="AH212" s="4">
        <f t="shared" si="116"/>
        <v>0</v>
      </c>
      <c r="AI212" s="4">
        <f t="shared" si="117"/>
        <v>0</v>
      </c>
      <c r="AJ212" s="4">
        <f t="shared" si="118"/>
        <v>8.5171931914162382</v>
      </c>
      <c r="AK212" s="4">
        <f t="shared" si="119"/>
        <v>5.6167710976665717</v>
      </c>
      <c r="AL212" s="4">
        <f t="shared" si="120"/>
        <v>0</v>
      </c>
      <c r="AM212" s="4">
        <f>CER!$C$7+CER!$C$8*J212+CER!$C$9*K212+CER!$C$10*L212+CER!$C$11*M212</f>
        <v>3.3297056892784935</v>
      </c>
      <c r="AN212" s="4">
        <f t="shared" si="121"/>
        <v>27.930120359606263</v>
      </c>
      <c r="AO212" s="4">
        <f t="shared" si="122"/>
        <v>-9.7942878329888572E-3</v>
      </c>
      <c r="AP212" s="4">
        <f>Alternatives!$F$25+Alternatives!$F$26*J212+Alternatives!$F$27*K212+Alternatives!$F$28*G212+Alternatives!$F$29*O212</f>
        <v>3.5125865720235256</v>
      </c>
      <c r="AQ212" s="4">
        <f t="shared" si="123"/>
        <v>-0.19267517057802097</v>
      </c>
    </row>
    <row r="213" spans="1:43" x14ac:dyDescent="0.35">
      <c r="A213" s="2" t="s">
        <v>244</v>
      </c>
      <c r="B213" s="2" t="s">
        <v>239</v>
      </c>
      <c r="C213" s="2" t="s">
        <v>67</v>
      </c>
      <c r="D213" s="2">
        <v>28.167000000000002</v>
      </c>
      <c r="E213" s="2">
        <v>5000</v>
      </c>
      <c r="F213" s="2">
        <v>275</v>
      </c>
      <c r="G213" s="2">
        <v>45.3</v>
      </c>
      <c r="H213" s="2" t="s">
        <v>68</v>
      </c>
      <c r="I213" s="4">
        <f t="shared" si="93"/>
        <v>3.3381510799445202</v>
      </c>
      <c r="J213" s="4">
        <f t="shared" si="94"/>
        <v>8.5171931914162382</v>
      </c>
      <c r="K213" s="4">
        <f t="shared" si="95"/>
        <v>5.6167710976665717</v>
      </c>
      <c r="L213" s="2">
        <v>0</v>
      </c>
      <c r="M213" s="2">
        <v>0</v>
      </c>
      <c r="N213" s="4">
        <f t="shared" si="96"/>
        <v>45.3</v>
      </c>
      <c r="O213" s="4">
        <f t="shared" si="97"/>
        <v>0</v>
      </c>
      <c r="P213" s="4">
        <f t="shared" si="98"/>
        <v>0</v>
      </c>
      <c r="Q213" s="4">
        <f t="shared" si="99"/>
        <v>8.5171931914162382</v>
      </c>
      <c r="R213" s="4">
        <f t="shared" si="100"/>
        <v>5.6167710976665717</v>
      </c>
      <c r="S213" s="4">
        <f t="shared" si="101"/>
        <v>45.3</v>
      </c>
      <c r="T213" s="4">
        <f t="shared" si="102"/>
        <v>0</v>
      </c>
      <c r="U213" s="4">
        <f t="shared" si="103"/>
        <v>8.5171931914162382</v>
      </c>
      <c r="V213" s="4">
        <f t="shared" si="104"/>
        <v>5.6167710976665717</v>
      </c>
      <c r="W213" s="4">
        <f t="shared" si="105"/>
        <v>45.3</v>
      </c>
      <c r="X213" s="4">
        <f t="shared" si="106"/>
        <v>0</v>
      </c>
      <c r="Y213" s="4">
        <f t="shared" si="107"/>
        <v>8.5171931914162382</v>
      </c>
      <c r="Z213" s="4">
        <f t="shared" si="108"/>
        <v>5.6167710976665717</v>
      </c>
      <c r="AA213" s="4">
        <f t="shared" si="109"/>
        <v>45.3</v>
      </c>
      <c r="AB213" s="4">
        <f t="shared" si="110"/>
        <v>0</v>
      </c>
      <c r="AC213" s="4">
        <f t="shared" si="111"/>
        <v>0</v>
      </c>
      <c r="AD213" s="4">
        <f t="shared" si="112"/>
        <v>0</v>
      </c>
      <c r="AE213" s="4">
        <f t="shared" si="113"/>
        <v>0</v>
      </c>
      <c r="AF213" s="4">
        <f t="shared" si="114"/>
        <v>0</v>
      </c>
      <c r="AG213" s="4">
        <f t="shared" si="115"/>
        <v>8.5171931914162382</v>
      </c>
      <c r="AH213" s="4">
        <f t="shared" si="116"/>
        <v>0</v>
      </c>
      <c r="AI213" s="4">
        <f t="shared" si="117"/>
        <v>0</v>
      </c>
      <c r="AJ213" s="4">
        <f t="shared" si="118"/>
        <v>8.5171931914162382</v>
      </c>
      <c r="AK213" s="4">
        <f t="shared" si="119"/>
        <v>5.6167710976665717</v>
      </c>
      <c r="AL213" s="4">
        <f t="shared" si="120"/>
        <v>0</v>
      </c>
      <c r="AM213" s="4">
        <f>CER!$C$7+CER!$C$8*J213+CER!$C$9*K213+CER!$C$10*L213+CER!$C$11*M213</f>
        <v>3.3297056892784935</v>
      </c>
      <c r="AN213" s="4">
        <f t="shared" si="121"/>
        <v>27.930120359606263</v>
      </c>
      <c r="AO213" s="4">
        <f t="shared" si="122"/>
        <v>8.4453906660266753E-3</v>
      </c>
      <c r="AP213" s="4">
        <f>Alternatives!$F$25+Alternatives!$F$26*J213+Alternatives!$F$27*K213+Alternatives!$F$28*G213+Alternatives!$F$29*O213</f>
        <v>3.5125865720235256</v>
      </c>
      <c r="AQ213" s="4">
        <f t="shared" si="123"/>
        <v>-0.17443549207900544</v>
      </c>
    </row>
    <row r="214" spans="1:43" x14ac:dyDescent="0.35">
      <c r="A214" s="2" t="s">
        <v>244</v>
      </c>
      <c r="B214" s="2" t="s">
        <v>239</v>
      </c>
      <c r="C214" s="2" t="s">
        <v>67</v>
      </c>
      <c r="D214" s="2">
        <v>27.214099999999998</v>
      </c>
      <c r="E214" s="2">
        <v>5000</v>
      </c>
      <c r="F214" s="2">
        <v>315</v>
      </c>
      <c r="G214" s="2">
        <v>45.3</v>
      </c>
      <c r="H214" s="2" t="s">
        <v>68</v>
      </c>
      <c r="I214" s="4">
        <f t="shared" si="93"/>
        <v>3.3037352213411761</v>
      </c>
      <c r="J214" s="4">
        <f t="shared" si="94"/>
        <v>8.5171931914162382</v>
      </c>
      <c r="K214" s="4">
        <f t="shared" si="95"/>
        <v>5.7525726388256331</v>
      </c>
      <c r="L214" s="2">
        <v>0</v>
      </c>
      <c r="M214" s="2">
        <v>0</v>
      </c>
      <c r="N214" s="4">
        <f t="shared" si="96"/>
        <v>45.3</v>
      </c>
      <c r="O214" s="4">
        <f t="shared" si="97"/>
        <v>0</v>
      </c>
      <c r="P214" s="4">
        <f t="shared" si="98"/>
        <v>0</v>
      </c>
      <c r="Q214" s="4">
        <f t="shared" si="99"/>
        <v>8.5171931914162382</v>
      </c>
      <c r="R214" s="4">
        <f t="shared" si="100"/>
        <v>5.7525726388256331</v>
      </c>
      <c r="S214" s="4">
        <f t="shared" si="101"/>
        <v>45.3</v>
      </c>
      <c r="T214" s="4">
        <f t="shared" si="102"/>
        <v>0</v>
      </c>
      <c r="U214" s="4">
        <f t="shared" si="103"/>
        <v>8.5171931914162382</v>
      </c>
      <c r="V214" s="4">
        <f t="shared" si="104"/>
        <v>5.7525726388256331</v>
      </c>
      <c r="W214" s="4">
        <f t="shared" si="105"/>
        <v>45.3</v>
      </c>
      <c r="X214" s="4">
        <f t="shared" si="106"/>
        <v>0</v>
      </c>
      <c r="Y214" s="4">
        <f t="shared" si="107"/>
        <v>8.5171931914162382</v>
      </c>
      <c r="Z214" s="4">
        <f t="shared" si="108"/>
        <v>5.7525726388256331</v>
      </c>
      <c r="AA214" s="4">
        <f t="shared" si="109"/>
        <v>45.3</v>
      </c>
      <c r="AB214" s="4">
        <f t="shared" si="110"/>
        <v>0</v>
      </c>
      <c r="AC214" s="4">
        <f t="shared" si="111"/>
        <v>0</v>
      </c>
      <c r="AD214" s="4">
        <f t="shared" si="112"/>
        <v>0</v>
      </c>
      <c r="AE214" s="4">
        <f t="shared" si="113"/>
        <v>0</v>
      </c>
      <c r="AF214" s="4">
        <f t="shared" si="114"/>
        <v>0</v>
      </c>
      <c r="AG214" s="4">
        <f t="shared" si="115"/>
        <v>8.5171931914162382</v>
      </c>
      <c r="AH214" s="4">
        <f t="shared" si="116"/>
        <v>0</v>
      </c>
      <c r="AI214" s="4">
        <f t="shared" si="117"/>
        <v>0</v>
      </c>
      <c r="AJ214" s="4">
        <f t="shared" si="118"/>
        <v>8.5171931914162382</v>
      </c>
      <c r="AK214" s="4">
        <f t="shared" si="119"/>
        <v>5.7525726388256331</v>
      </c>
      <c r="AL214" s="4">
        <f t="shared" si="120"/>
        <v>0</v>
      </c>
      <c r="AM214" s="4">
        <f>CER!$C$7+CER!$C$8*J214+CER!$C$9*K214+CER!$C$10*L214+CER!$C$11*M214</f>
        <v>3.2796025643343536</v>
      </c>
      <c r="AN214" s="4">
        <f t="shared" si="121"/>
        <v>26.565212638572415</v>
      </c>
      <c r="AO214" s="4">
        <f t="shared" si="122"/>
        <v>2.4132657006822544E-2</v>
      </c>
      <c r="AP214" s="4">
        <f>Alternatives!$F$25+Alternatives!$F$26*J214+Alternatives!$F$27*K214+Alternatives!$F$28*G214+Alternatives!$F$29*O214</f>
        <v>3.4764484282635935</v>
      </c>
      <c r="AQ214" s="4">
        <f t="shared" si="123"/>
        <v>-0.17271320692241732</v>
      </c>
    </row>
    <row r="215" spans="1:43" x14ac:dyDescent="0.35">
      <c r="A215" s="2" t="s">
        <v>245</v>
      </c>
      <c r="B215" s="2" t="s">
        <v>239</v>
      </c>
      <c r="C215" s="2" t="s">
        <v>67</v>
      </c>
      <c r="D215" s="2">
        <v>22.9163</v>
      </c>
      <c r="E215" s="2">
        <v>5000</v>
      </c>
      <c r="F215" s="2">
        <v>275</v>
      </c>
      <c r="G215" s="2">
        <v>45.4</v>
      </c>
      <c r="H215" s="2" t="s">
        <v>68</v>
      </c>
      <c r="I215" s="4">
        <f t="shared" si="93"/>
        <v>3.1318484477505697</v>
      </c>
      <c r="J215" s="4">
        <f t="shared" si="94"/>
        <v>8.5171931914162382</v>
      </c>
      <c r="K215" s="4">
        <f t="shared" si="95"/>
        <v>5.6167710976665717</v>
      </c>
      <c r="L215" s="2">
        <v>0</v>
      </c>
      <c r="M215" s="2">
        <v>0</v>
      </c>
      <c r="N215" s="4">
        <f t="shared" si="96"/>
        <v>45.4</v>
      </c>
      <c r="O215" s="4">
        <f t="shared" si="97"/>
        <v>0</v>
      </c>
      <c r="P215" s="4">
        <f t="shared" si="98"/>
        <v>0</v>
      </c>
      <c r="Q215" s="4">
        <f t="shared" si="99"/>
        <v>8.5171931914162382</v>
      </c>
      <c r="R215" s="4">
        <f t="shared" si="100"/>
        <v>5.6167710976665717</v>
      </c>
      <c r="S215" s="4">
        <f t="shared" si="101"/>
        <v>45.4</v>
      </c>
      <c r="T215" s="4">
        <f t="shared" si="102"/>
        <v>0</v>
      </c>
      <c r="U215" s="4">
        <f t="shared" si="103"/>
        <v>8.5171931914162382</v>
      </c>
      <c r="V215" s="4">
        <f t="shared" si="104"/>
        <v>5.6167710976665717</v>
      </c>
      <c r="W215" s="4">
        <f t="shared" si="105"/>
        <v>45.4</v>
      </c>
      <c r="X215" s="4">
        <f t="shared" si="106"/>
        <v>0</v>
      </c>
      <c r="Y215" s="4">
        <f t="shared" si="107"/>
        <v>8.5171931914162382</v>
      </c>
      <c r="Z215" s="4">
        <f t="shared" si="108"/>
        <v>5.6167710976665717</v>
      </c>
      <c r="AA215" s="4">
        <f t="shared" si="109"/>
        <v>45.4</v>
      </c>
      <c r="AB215" s="4">
        <f t="shared" si="110"/>
        <v>0</v>
      </c>
      <c r="AC215" s="4">
        <f t="shared" si="111"/>
        <v>0</v>
      </c>
      <c r="AD215" s="4">
        <f t="shared" si="112"/>
        <v>0</v>
      </c>
      <c r="AE215" s="4">
        <f t="shared" si="113"/>
        <v>0</v>
      </c>
      <c r="AF215" s="4">
        <f t="shared" si="114"/>
        <v>0</v>
      </c>
      <c r="AG215" s="4">
        <f t="shared" si="115"/>
        <v>8.5171931914162382</v>
      </c>
      <c r="AH215" s="4">
        <f t="shared" si="116"/>
        <v>0</v>
      </c>
      <c r="AI215" s="4">
        <f t="shared" si="117"/>
        <v>0</v>
      </c>
      <c r="AJ215" s="4">
        <f t="shared" si="118"/>
        <v>8.5171931914162382</v>
      </c>
      <c r="AK215" s="4">
        <f t="shared" si="119"/>
        <v>5.6167710976665717</v>
      </c>
      <c r="AL215" s="4">
        <f t="shared" si="120"/>
        <v>0</v>
      </c>
      <c r="AM215" s="4">
        <f>CER!$C$7+CER!$C$8*J215+CER!$C$9*K215+CER!$C$10*L215+CER!$C$11*M215</f>
        <v>3.3297056892784935</v>
      </c>
      <c r="AN215" s="4">
        <f t="shared" si="121"/>
        <v>27.930120359606263</v>
      </c>
      <c r="AO215" s="4">
        <f t="shared" si="122"/>
        <v>-0.19785724152792383</v>
      </c>
      <c r="AP215" s="4">
        <f>Alternatives!$F$25+Alternatives!$F$26*J215+Alternatives!$F$27*K215+Alternatives!$F$28*G215+Alternatives!$F$29*O215</f>
        <v>3.511285840569303</v>
      </c>
      <c r="AQ215" s="4">
        <f t="shared" si="123"/>
        <v>-0.37943739281873334</v>
      </c>
    </row>
    <row r="216" spans="1:43" x14ac:dyDescent="0.35">
      <c r="A216" s="2" t="s">
        <v>245</v>
      </c>
      <c r="B216" s="2" t="s">
        <v>239</v>
      </c>
      <c r="C216" s="2" t="s">
        <v>67</v>
      </c>
      <c r="D216" s="2">
        <v>23.671500000000002</v>
      </c>
      <c r="E216" s="2">
        <v>5000</v>
      </c>
      <c r="F216" s="2">
        <v>315</v>
      </c>
      <c r="G216" s="2">
        <v>45.4</v>
      </c>
      <c r="H216" s="2" t="s">
        <v>68</v>
      </c>
      <c r="I216" s="4">
        <f t="shared" si="93"/>
        <v>3.1642717928741599</v>
      </c>
      <c r="J216" s="4">
        <f t="shared" si="94"/>
        <v>8.5171931914162382</v>
      </c>
      <c r="K216" s="4">
        <f t="shared" si="95"/>
        <v>5.7525726388256331</v>
      </c>
      <c r="L216" s="2">
        <v>0</v>
      </c>
      <c r="M216" s="2">
        <v>0</v>
      </c>
      <c r="N216" s="4">
        <f t="shared" si="96"/>
        <v>45.4</v>
      </c>
      <c r="O216" s="4">
        <f t="shared" si="97"/>
        <v>0</v>
      </c>
      <c r="P216" s="4">
        <f t="shared" si="98"/>
        <v>0</v>
      </c>
      <c r="Q216" s="4">
        <f t="shared" si="99"/>
        <v>8.5171931914162382</v>
      </c>
      <c r="R216" s="4">
        <f t="shared" si="100"/>
        <v>5.7525726388256331</v>
      </c>
      <c r="S216" s="4">
        <f t="shared" si="101"/>
        <v>45.4</v>
      </c>
      <c r="T216" s="4">
        <f t="shared" si="102"/>
        <v>0</v>
      </c>
      <c r="U216" s="4">
        <f t="shared" si="103"/>
        <v>8.5171931914162382</v>
      </c>
      <c r="V216" s="4">
        <f t="shared" si="104"/>
        <v>5.7525726388256331</v>
      </c>
      <c r="W216" s="4">
        <f t="shared" si="105"/>
        <v>45.4</v>
      </c>
      <c r="X216" s="4">
        <f t="shared" si="106"/>
        <v>0</v>
      </c>
      <c r="Y216" s="4">
        <f t="shared" si="107"/>
        <v>8.5171931914162382</v>
      </c>
      <c r="Z216" s="4">
        <f t="shared" si="108"/>
        <v>5.7525726388256331</v>
      </c>
      <c r="AA216" s="4">
        <f t="shared" si="109"/>
        <v>45.4</v>
      </c>
      <c r="AB216" s="4">
        <f t="shared" si="110"/>
        <v>0</v>
      </c>
      <c r="AC216" s="4">
        <f t="shared" si="111"/>
        <v>0</v>
      </c>
      <c r="AD216" s="4">
        <f t="shared" si="112"/>
        <v>0</v>
      </c>
      <c r="AE216" s="4">
        <f t="shared" si="113"/>
        <v>0</v>
      </c>
      <c r="AF216" s="4">
        <f t="shared" si="114"/>
        <v>0</v>
      </c>
      <c r="AG216" s="4">
        <f t="shared" si="115"/>
        <v>8.5171931914162382</v>
      </c>
      <c r="AH216" s="4">
        <f t="shared" si="116"/>
        <v>0</v>
      </c>
      <c r="AI216" s="4">
        <f t="shared" si="117"/>
        <v>0</v>
      </c>
      <c r="AJ216" s="4">
        <f t="shared" si="118"/>
        <v>8.5171931914162382</v>
      </c>
      <c r="AK216" s="4">
        <f t="shared" si="119"/>
        <v>5.7525726388256331</v>
      </c>
      <c r="AL216" s="4">
        <f t="shared" si="120"/>
        <v>0</v>
      </c>
      <c r="AM216" s="4">
        <f>CER!$C$7+CER!$C$8*J216+CER!$C$9*K216+CER!$C$10*L216+CER!$C$11*M216</f>
        <v>3.2796025643343536</v>
      </c>
      <c r="AN216" s="4">
        <f t="shared" si="121"/>
        <v>26.565212638572415</v>
      </c>
      <c r="AO216" s="4">
        <f t="shared" si="122"/>
        <v>-0.11533077146019366</v>
      </c>
      <c r="AP216" s="4">
        <f>Alternatives!$F$25+Alternatives!$F$26*J216+Alternatives!$F$27*K216+Alternatives!$F$28*G216+Alternatives!$F$29*O216</f>
        <v>3.4751476968093709</v>
      </c>
      <c r="AQ216" s="4">
        <f t="shared" si="123"/>
        <v>-0.31087590393521092</v>
      </c>
    </row>
    <row r="217" spans="1:43" x14ac:dyDescent="0.35">
      <c r="A217" s="2" t="s">
        <v>246</v>
      </c>
      <c r="B217" s="2" t="s">
        <v>239</v>
      </c>
      <c r="C217" s="2" t="s">
        <v>67</v>
      </c>
      <c r="D217" s="2">
        <v>20.627199999999998</v>
      </c>
      <c r="E217" s="2">
        <v>6000</v>
      </c>
      <c r="F217" s="2">
        <v>418</v>
      </c>
      <c r="G217" s="2">
        <v>59.6</v>
      </c>
      <c r="H217" s="2" t="s">
        <v>68</v>
      </c>
      <c r="I217" s="4">
        <f t="shared" si="93"/>
        <v>3.0266105931989271</v>
      </c>
      <c r="J217" s="4">
        <f t="shared" si="94"/>
        <v>8.6995147482101913</v>
      </c>
      <c r="K217" s="4">
        <f t="shared" si="95"/>
        <v>6.0354814325247563</v>
      </c>
      <c r="L217" s="2">
        <v>0</v>
      </c>
      <c r="M217" s="2">
        <v>0</v>
      </c>
      <c r="N217" s="4">
        <f t="shared" si="96"/>
        <v>59.6</v>
      </c>
      <c r="O217" s="4">
        <f t="shared" si="97"/>
        <v>0</v>
      </c>
      <c r="P217" s="4">
        <f t="shared" si="98"/>
        <v>0</v>
      </c>
      <c r="Q217" s="4">
        <f t="shared" si="99"/>
        <v>8.6995147482101913</v>
      </c>
      <c r="R217" s="4">
        <f t="shared" si="100"/>
        <v>6.0354814325247563</v>
      </c>
      <c r="S217" s="4">
        <f t="shared" si="101"/>
        <v>59.6</v>
      </c>
      <c r="T217" s="4">
        <f t="shared" si="102"/>
        <v>0</v>
      </c>
      <c r="U217" s="4">
        <f t="shared" si="103"/>
        <v>8.6995147482101913</v>
      </c>
      <c r="V217" s="4">
        <f t="shared" si="104"/>
        <v>6.0354814325247563</v>
      </c>
      <c r="W217" s="4">
        <f t="shared" si="105"/>
        <v>59.6</v>
      </c>
      <c r="X217" s="4">
        <f t="shared" si="106"/>
        <v>0</v>
      </c>
      <c r="Y217" s="4">
        <f t="shared" si="107"/>
        <v>8.6995147482101913</v>
      </c>
      <c r="Z217" s="4">
        <f t="shared" si="108"/>
        <v>6.0354814325247563</v>
      </c>
      <c r="AA217" s="4">
        <f t="shared" si="109"/>
        <v>59.6</v>
      </c>
      <c r="AB217" s="4">
        <f t="shared" si="110"/>
        <v>0</v>
      </c>
      <c r="AC217" s="4">
        <f t="shared" si="111"/>
        <v>0</v>
      </c>
      <c r="AD217" s="4">
        <f t="shared" si="112"/>
        <v>0</v>
      </c>
      <c r="AE217" s="4">
        <f t="shared" si="113"/>
        <v>0</v>
      </c>
      <c r="AF217" s="4">
        <f t="shared" si="114"/>
        <v>0</v>
      </c>
      <c r="AG217" s="4">
        <f t="shared" si="115"/>
        <v>8.6995147482101913</v>
      </c>
      <c r="AH217" s="4">
        <f t="shared" si="116"/>
        <v>0</v>
      </c>
      <c r="AI217" s="4">
        <f t="shared" si="117"/>
        <v>0</v>
      </c>
      <c r="AJ217" s="4">
        <f t="shared" si="118"/>
        <v>8.6995147482101913</v>
      </c>
      <c r="AK217" s="4">
        <f t="shared" si="119"/>
        <v>6.0354814325247563</v>
      </c>
      <c r="AL217" s="4">
        <f t="shared" si="120"/>
        <v>0</v>
      </c>
      <c r="AM217" s="4">
        <f>CER!$C$7+CER!$C$8*J217+CER!$C$9*K217+CER!$C$10*L217+CER!$C$11*M217</f>
        <v>3.0926865118363462</v>
      </c>
      <c r="AN217" s="4">
        <f t="shared" si="121"/>
        <v>22.036199035028272</v>
      </c>
      <c r="AO217" s="4">
        <f t="shared" si="122"/>
        <v>-6.6075918637419129E-2</v>
      </c>
      <c r="AP217" s="4">
        <f>Alternatives!$F$25+Alternatives!$F$26*J217+Alternatives!$F$27*K217+Alternatives!$F$28*G217+Alternatives!$F$29*O217</f>
        <v>3.2826336319708114</v>
      </c>
      <c r="AQ217" s="4">
        <f t="shared" si="123"/>
        <v>-0.25602303877188426</v>
      </c>
    </row>
    <row r="218" spans="1:43" x14ac:dyDescent="0.35">
      <c r="A218" s="2" t="s">
        <v>247</v>
      </c>
      <c r="B218" s="2" t="s">
        <v>239</v>
      </c>
      <c r="C218" s="2" t="s">
        <v>67</v>
      </c>
      <c r="D218" s="2">
        <v>27.657900000000001</v>
      </c>
      <c r="E218" s="2">
        <v>5000</v>
      </c>
      <c r="F218" s="2">
        <v>275</v>
      </c>
      <c r="G218" s="2">
        <v>54</v>
      </c>
      <c r="H218" s="2" t="s">
        <v>68</v>
      </c>
      <c r="I218" s="4">
        <f t="shared" si="93"/>
        <v>3.3199114014455047</v>
      </c>
      <c r="J218" s="4">
        <f t="shared" si="94"/>
        <v>8.5171931914162382</v>
      </c>
      <c r="K218" s="4">
        <f t="shared" si="95"/>
        <v>5.6167710976665717</v>
      </c>
      <c r="L218" s="2">
        <v>0</v>
      </c>
      <c r="M218" s="2">
        <v>0</v>
      </c>
      <c r="N218" s="4">
        <f t="shared" si="96"/>
        <v>54</v>
      </c>
      <c r="O218" s="4">
        <f t="shared" si="97"/>
        <v>0</v>
      </c>
      <c r="P218" s="4">
        <f t="shared" si="98"/>
        <v>0</v>
      </c>
      <c r="Q218" s="4">
        <f t="shared" si="99"/>
        <v>8.5171931914162382</v>
      </c>
      <c r="R218" s="4">
        <f t="shared" si="100"/>
        <v>5.6167710976665717</v>
      </c>
      <c r="S218" s="4">
        <f t="shared" si="101"/>
        <v>54</v>
      </c>
      <c r="T218" s="4">
        <f t="shared" si="102"/>
        <v>0</v>
      </c>
      <c r="U218" s="4">
        <f t="shared" si="103"/>
        <v>8.5171931914162382</v>
      </c>
      <c r="V218" s="4">
        <f t="shared" si="104"/>
        <v>5.6167710976665717</v>
      </c>
      <c r="W218" s="4">
        <f t="shared" si="105"/>
        <v>54</v>
      </c>
      <c r="X218" s="4">
        <f t="shared" si="106"/>
        <v>0</v>
      </c>
      <c r="Y218" s="4">
        <f t="shared" si="107"/>
        <v>8.5171931914162382</v>
      </c>
      <c r="Z218" s="4">
        <f t="shared" si="108"/>
        <v>5.6167710976665717</v>
      </c>
      <c r="AA218" s="4">
        <f t="shared" si="109"/>
        <v>54</v>
      </c>
      <c r="AB218" s="4">
        <f t="shared" si="110"/>
        <v>0</v>
      </c>
      <c r="AC218" s="4">
        <f t="shared" si="111"/>
        <v>0</v>
      </c>
      <c r="AD218" s="4">
        <f t="shared" si="112"/>
        <v>0</v>
      </c>
      <c r="AE218" s="4">
        <f t="shared" si="113"/>
        <v>0</v>
      </c>
      <c r="AF218" s="4">
        <f t="shared" si="114"/>
        <v>0</v>
      </c>
      <c r="AG218" s="4">
        <f t="shared" si="115"/>
        <v>8.5171931914162382</v>
      </c>
      <c r="AH218" s="4">
        <f t="shared" si="116"/>
        <v>0</v>
      </c>
      <c r="AI218" s="4">
        <f t="shared" si="117"/>
        <v>0</v>
      </c>
      <c r="AJ218" s="4">
        <f t="shared" si="118"/>
        <v>8.5171931914162382</v>
      </c>
      <c r="AK218" s="4">
        <f t="shared" si="119"/>
        <v>5.6167710976665717</v>
      </c>
      <c r="AL218" s="4">
        <f t="shared" si="120"/>
        <v>0</v>
      </c>
      <c r="AM218" s="4">
        <f>CER!$C$7+CER!$C$8*J218+CER!$C$9*K218+CER!$C$10*L218+CER!$C$11*M218</f>
        <v>3.3297056892784935</v>
      </c>
      <c r="AN218" s="4">
        <f t="shared" si="121"/>
        <v>27.930120359606263</v>
      </c>
      <c r="AO218" s="4">
        <f t="shared" si="122"/>
        <v>-9.7942878329888572E-3</v>
      </c>
      <c r="AP218" s="4">
        <f>Alternatives!$F$25+Alternatives!$F$26*J218+Alternatives!$F$27*K218+Alternatives!$F$28*G218+Alternatives!$F$29*O218</f>
        <v>3.3994229355061396</v>
      </c>
      <c r="AQ218" s="4">
        <f t="shared" si="123"/>
        <v>-7.9511534060634936E-2</v>
      </c>
    </row>
    <row r="219" spans="1:43" x14ac:dyDescent="0.35">
      <c r="A219" s="2" t="s">
        <v>247</v>
      </c>
      <c r="B219" s="2" t="s">
        <v>239</v>
      </c>
      <c r="C219" s="2" t="s">
        <v>67</v>
      </c>
      <c r="D219" s="2">
        <v>26.978400000000001</v>
      </c>
      <c r="E219" s="2">
        <v>5000</v>
      </c>
      <c r="F219" s="2">
        <v>275</v>
      </c>
      <c r="G219" s="2">
        <v>54</v>
      </c>
      <c r="H219" s="2" t="s">
        <v>68</v>
      </c>
      <c r="I219" s="4">
        <f t="shared" si="93"/>
        <v>3.2950365458335598</v>
      </c>
      <c r="J219" s="4">
        <f t="shared" si="94"/>
        <v>8.5171931914162382</v>
      </c>
      <c r="K219" s="4">
        <f t="shared" si="95"/>
        <v>5.6167710976665717</v>
      </c>
      <c r="L219" s="2">
        <v>0</v>
      </c>
      <c r="M219" s="2">
        <v>0</v>
      </c>
      <c r="N219" s="4">
        <f t="shared" si="96"/>
        <v>54</v>
      </c>
      <c r="O219" s="4">
        <f t="shared" si="97"/>
        <v>0</v>
      </c>
      <c r="P219" s="4">
        <f t="shared" si="98"/>
        <v>0</v>
      </c>
      <c r="Q219" s="4">
        <f t="shared" si="99"/>
        <v>8.5171931914162382</v>
      </c>
      <c r="R219" s="4">
        <f t="shared" si="100"/>
        <v>5.6167710976665717</v>
      </c>
      <c r="S219" s="4">
        <f t="shared" si="101"/>
        <v>54</v>
      </c>
      <c r="T219" s="4">
        <f t="shared" si="102"/>
        <v>0</v>
      </c>
      <c r="U219" s="4">
        <f t="shared" si="103"/>
        <v>8.5171931914162382</v>
      </c>
      <c r="V219" s="4">
        <f t="shared" si="104"/>
        <v>5.6167710976665717</v>
      </c>
      <c r="W219" s="4">
        <f t="shared" si="105"/>
        <v>54</v>
      </c>
      <c r="X219" s="4">
        <f t="shared" si="106"/>
        <v>0</v>
      </c>
      <c r="Y219" s="4">
        <f t="shared" si="107"/>
        <v>8.5171931914162382</v>
      </c>
      <c r="Z219" s="4">
        <f t="shared" si="108"/>
        <v>5.6167710976665717</v>
      </c>
      <c r="AA219" s="4">
        <f t="shared" si="109"/>
        <v>54</v>
      </c>
      <c r="AB219" s="4">
        <f t="shared" si="110"/>
        <v>0</v>
      </c>
      <c r="AC219" s="4">
        <f t="shared" si="111"/>
        <v>0</v>
      </c>
      <c r="AD219" s="4">
        <f t="shared" si="112"/>
        <v>0</v>
      </c>
      <c r="AE219" s="4">
        <f t="shared" si="113"/>
        <v>0</v>
      </c>
      <c r="AF219" s="4">
        <f t="shared" si="114"/>
        <v>0</v>
      </c>
      <c r="AG219" s="4">
        <f t="shared" si="115"/>
        <v>8.5171931914162382</v>
      </c>
      <c r="AH219" s="4">
        <f t="shared" si="116"/>
        <v>0</v>
      </c>
      <c r="AI219" s="4">
        <f t="shared" si="117"/>
        <v>0</v>
      </c>
      <c r="AJ219" s="4">
        <f t="shared" si="118"/>
        <v>8.5171931914162382</v>
      </c>
      <c r="AK219" s="4">
        <f t="shared" si="119"/>
        <v>5.6167710976665717</v>
      </c>
      <c r="AL219" s="4">
        <f t="shared" si="120"/>
        <v>0</v>
      </c>
      <c r="AM219" s="4">
        <f>CER!$C$7+CER!$C$8*J219+CER!$C$9*K219+CER!$C$10*L219+CER!$C$11*M219</f>
        <v>3.3297056892784935</v>
      </c>
      <c r="AN219" s="4">
        <f t="shared" si="121"/>
        <v>27.930120359606263</v>
      </c>
      <c r="AO219" s="4">
        <f t="shared" si="122"/>
        <v>-3.466914344493377E-2</v>
      </c>
      <c r="AP219" s="4">
        <f>Alternatives!$F$25+Alternatives!$F$26*J219+Alternatives!$F$27*K219+Alternatives!$F$28*G219+Alternatives!$F$29*O219</f>
        <v>3.3994229355061396</v>
      </c>
      <c r="AQ219" s="4">
        <f t="shared" si="123"/>
        <v>-0.10438638967257985</v>
      </c>
    </row>
    <row r="220" spans="1:43" x14ac:dyDescent="0.35">
      <c r="A220" s="2" t="s">
        <v>247</v>
      </c>
      <c r="B220" s="2" t="s">
        <v>239</v>
      </c>
      <c r="C220" s="2" t="s">
        <v>67</v>
      </c>
      <c r="D220" s="2">
        <v>23.026399999999999</v>
      </c>
      <c r="E220" s="2">
        <v>5000</v>
      </c>
      <c r="F220" s="2">
        <v>315</v>
      </c>
      <c r="G220" s="2">
        <v>54</v>
      </c>
      <c r="H220" s="2" t="s">
        <v>68</v>
      </c>
      <c r="I220" s="4">
        <f t="shared" si="93"/>
        <v>3.1366413837673983</v>
      </c>
      <c r="J220" s="4">
        <f t="shared" si="94"/>
        <v>8.5171931914162382</v>
      </c>
      <c r="K220" s="4">
        <f t="shared" si="95"/>
        <v>5.7525726388256331</v>
      </c>
      <c r="L220" s="2">
        <v>0</v>
      </c>
      <c r="M220" s="2">
        <v>0</v>
      </c>
      <c r="N220" s="4">
        <f t="shared" si="96"/>
        <v>54</v>
      </c>
      <c r="O220" s="4">
        <f t="shared" si="97"/>
        <v>0</v>
      </c>
      <c r="P220" s="4">
        <f t="shared" si="98"/>
        <v>0</v>
      </c>
      <c r="Q220" s="4">
        <f t="shared" si="99"/>
        <v>8.5171931914162382</v>
      </c>
      <c r="R220" s="4">
        <f t="shared" si="100"/>
        <v>5.7525726388256331</v>
      </c>
      <c r="S220" s="4">
        <f t="shared" si="101"/>
        <v>54</v>
      </c>
      <c r="T220" s="4">
        <f t="shared" si="102"/>
        <v>0</v>
      </c>
      <c r="U220" s="4">
        <f t="shared" si="103"/>
        <v>8.5171931914162382</v>
      </c>
      <c r="V220" s="4">
        <f t="shared" si="104"/>
        <v>5.7525726388256331</v>
      </c>
      <c r="W220" s="4">
        <f t="shared" si="105"/>
        <v>54</v>
      </c>
      <c r="X220" s="4">
        <f t="shared" si="106"/>
        <v>0</v>
      </c>
      <c r="Y220" s="4">
        <f t="shared" si="107"/>
        <v>8.5171931914162382</v>
      </c>
      <c r="Z220" s="4">
        <f t="shared" si="108"/>
        <v>5.7525726388256331</v>
      </c>
      <c r="AA220" s="4">
        <f t="shared" si="109"/>
        <v>54</v>
      </c>
      <c r="AB220" s="4">
        <f t="shared" si="110"/>
        <v>0</v>
      </c>
      <c r="AC220" s="4">
        <f t="shared" si="111"/>
        <v>0</v>
      </c>
      <c r="AD220" s="4">
        <f t="shared" si="112"/>
        <v>0</v>
      </c>
      <c r="AE220" s="4">
        <f t="shared" si="113"/>
        <v>0</v>
      </c>
      <c r="AF220" s="4">
        <f t="shared" si="114"/>
        <v>0</v>
      </c>
      <c r="AG220" s="4">
        <f t="shared" si="115"/>
        <v>8.5171931914162382</v>
      </c>
      <c r="AH220" s="4">
        <f t="shared" si="116"/>
        <v>0</v>
      </c>
      <c r="AI220" s="4">
        <f t="shared" si="117"/>
        <v>0</v>
      </c>
      <c r="AJ220" s="4">
        <f t="shared" si="118"/>
        <v>8.5171931914162382</v>
      </c>
      <c r="AK220" s="4">
        <f t="shared" si="119"/>
        <v>5.7525726388256331</v>
      </c>
      <c r="AL220" s="4">
        <f t="shared" si="120"/>
        <v>0</v>
      </c>
      <c r="AM220" s="4">
        <f>CER!$C$7+CER!$C$8*J220+CER!$C$9*K220+CER!$C$10*L220+CER!$C$11*M220</f>
        <v>3.2796025643343536</v>
      </c>
      <c r="AN220" s="4">
        <f t="shared" si="121"/>
        <v>26.565212638572415</v>
      </c>
      <c r="AO220" s="4">
        <f t="shared" si="122"/>
        <v>-0.14296118056695528</v>
      </c>
      <c r="AP220" s="4">
        <f>Alternatives!$F$25+Alternatives!$F$26*J220+Alternatives!$F$27*K220+Alternatives!$F$28*G220+Alternatives!$F$29*O220</f>
        <v>3.3632847917462074</v>
      </c>
      <c r="AQ220" s="4">
        <f t="shared" si="123"/>
        <v>-0.22664340797880911</v>
      </c>
    </row>
    <row r="221" spans="1:43" x14ac:dyDescent="0.35">
      <c r="A221" s="2" t="s">
        <v>248</v>
      </c>
      <c r="B221" s="2" t="s">
        <v>239</v>
      </c>
      <c r="C221" s="2" t="s">
        <v>33</v>
      </c>
      <c r="D221" s="2">
        <v>54.768500000000003</v>
      </c>
      <c r="E221" s="2">
        <v>4000</v>
      </c>
      <c r="F221" s="2">
        <v>162</v>
      </c>
      <c r="G221" s="2">
        <v>53.1</v>
      </c>
      <c r="H221" s="2" t="s">
        <v>68</v>
      </c>
      <c r="I221" s="4">
        <f t="shared" si="93"/>
        <v>4.0031152111647952</v>
      </c>
      <c r="J221" s="4">
        <f t="shared" si="94"/>
        <v>8.2940496401020276</v>
      </c>
      <c r="K221" s="4">
        <f t="shared" si="95"/>
        <v>5.0875963352323836</v>
      </c>
      <c r="L221" s="2">
        <v>1</v>
      </c>
      <c r="M221" s="2">
        <v>0</v>
      </c>
      <c r="N221" s="4">
        <f t="shared" si="96"/>
        <v>53.1</v>
      </c>
      <c r="O221" s="4">
        <f t="shared" si="97"/>
        <v>1</v>
      </c>
      <c r="P221" s="4">
        <f t="shared" si="98"/>
        <v>1</v>
      </c>
      <c r="Q221" s="4">
        <f t="shared" si="99"/>
        <v>8.2940496401020276</v>
      </c>
      <c r="R221" s="4">
        <f t="shared" si="100"/>
        <v>5.0875963352323836</v>
      </c>
      <c r="S221" s="4">
        <f t="shared" si="101"/>
        <v>53.1</v>
      </c>
      <c r="T221" s="4">
        <f t="shared" si="102"/>
        <v>1</v>
      </c>
      <c r="U221" s="4">
        <f t="shared" si="103"/>
        <v>8.2940496401020276</v>
      </c>
      <c r="V221" s="4">
        <f t="shared" si="104"/>
        <v>5.0875963352323836</v>
      </c>
      <c r="W221" s="4">
        <f t="shared" si="105"/>
        <v>53.1</v>
      </c>
      <c r="X221" s="4">
        <f t="shared" si="106"/>
        <v>1</v>
      </c>
      <c r="Y221" s="4">
        <f t="shared" si="107"/>
        <v>8.2940496401020276</v>
      </c>
      <c r="Z221" s="4">
        <f t="shared" si="108"/>
        <v>5.0875963352323836</v>
      </c>
      <c r="AA221" s="4">
        <f t="shared" si="109"/>
        <v>53.1</v>
      </c>
      <c r="AB221" s="4">
        <f t="shared" si="110"/>
        <v>1</v>
      </c>
      <c r="AC221" s="4">
        <f t="shared" si="111"/>
        <v>0</v>
      </c>
      <c r="AD221" s="4">
        <f t="shared" si="112"/>
        <v>0</v>
      </c>
      <c r="AE221" s="4">
        <f t="shared" si="113"/>
        <v>0</v>
      </c>
      <c r="AF221" s="4">
        <f t="shared" si="114"/>
        <v>0</v>
      </c>
      <c r="AG221" s="4">
        <f t="shared" si="115"/>
        <v>8.2940496401020276</v>
      </c>
      <c r="AH221" s="4">
        <f t="shared" si="116"/>
        <v>1</v>
      </c>
      <c r="AI221" s="4">
        <f t="shared" si="117"/>
        <v>0</v>
      </c>
      <c r="AJ221" s="4">
        <f t="shared" si="118"/>
        <v>8.2940496401020276</v>
      </c>
      <c r="AK221" s="4">
        <f t="shared" si="119"/>
        <v>5.0875963352323836</v>
      </c>
      <c r="AL221" s="4">
        <f t="shared" si="120"/>
        <v>0</v>
      </c>
      <c r="AM221" s="4">
        <f>CER!$C$7+CER!$C$8*J221+CER!$C$9*K221+CER!$C$10*L221+CER!$C$11*M221</f>
        <v>3.8497140820506095</v>
      </c>
      <c r="AN221" s="4">
        <f t="shared" si="121"/>
        <v>46.979628991941176</v>
      </c>
      <c r="AO221" s="4">
        <f t="shared" si="122"/>
        <v>0.15340112911418569</v>
      </c>
      <c r="AP221" s="4">
        <f>Alternatives!$F$25+Alternatives!$F$26*J221+Alternatives!$F$27*K221+Alternatives!$F$28*G221+Alternatives!$F$29*O221</f>
        <v>4.3141058271091257</v>
      </c>
      <c r="AQ221" s="4">
        <f t="shared" si="123"/>
        <v>-0.31099061594433053</v>
      </c>
    </row>
    <row r="222" spans="1:43" x14ac:dyDescent="0.35">
      <c r="A222" s="2" t="s">
        <v>249</v>
      </c>
      <c r="B222" s="2" t="s">
        <v>239</v>
      </c>
      <c r="C222" s="2" t="s">
        <v>67</v>
      </c>
      <c r="D222" s="2">
        <v>34.601700000000001</v>
      </c>
      <c r="E222" s="2">
        <v>4000</v>
      </c>
      <c r="F222" s="2">
        <v>250</v>
      </c>
      <c r="G222" s="2">
        <v>53.1</v>
      </c>
      <c r="H222" s="2" t="s">
        <v>68</v>
      </c>
      <c r="I222" s="4">
        <f t="shared" si="93"/>
        <v>3.5439028138046718</v>
      </c>
      <c r="J222" s="4">
        <f t="shared" si="94"/>
        <v>8.2940496401020276</v>
      </c>
      <c r="K222" s="4">
        <f t="shared" si="95"/>
        <v>5.521460917862246</v>
      </c>
      <c r="L222" s="2">
        <v>0</v>
      </c>
      <c r="M222" s="2">
        <v>0</v>
      </c>
      <c r="N222" s="4">
        <f t="shared" si="96"/>
        <v>53.1</v>
      </c>
      <c r="O222" s="4">
        <f t="shared" si="97"/>
        <v>0</v>
      </c>
      <c r="P222" s="4">
        <f t="shared" si="98"/>
        <v>0</v>
      </c>
      <c r="Q222" s="4">
        <f t="shared" si="99"/>
        <v>8.2940496401020276</v>
      </c>
      <c r="R222" s="4">
        <f t="shared" si="100"/>
        <v>5.521460917862246</v>
      </c>
      <c r="S222" s="4">
        <f t="shared" si="101"/>
        <v>53.1</v>
      </c>
      <c r="T222" s="4">
        <f t="shared" si="102"/>
        <v>0</v>
      </c>
      <c r="U222" s="4">
        <f t="shared" si="103"/>
        <v>8.2940496401020276</v>
      </c>
      <c r="V222" s="4">
        <f t="shared" si="104"/>
        <v>5.521460917862246</v>
      </c>
      <c r="W222" s="4">
        <f t="shared" si="105"/>
        <v>53.1</v>
      </c>
      <c r="X222" s="4">
        <f t="shared" si="106"/>
        <v>0</v>
      </c>
      <c r="Y222" s="4">
        <f t="shared" si="107"/>
        <v>8.2940496401020276</v>
      </c>
      <c r="Z222" s="4">
        <f t="shared" si="108"/>
        <v>5.521460917862246</v>
      </c>
      <c r="AA222" s="4">
        <f t="shared" si="109"/>
        <v>53.1</v>
      </c>
      <c r="AB222" s="4">
        <f t="shared" si="110"/>
        <v>0</v>
      </c>
      <c r="AC222" s="4">
        <f t="shared" si="111"/>
        <v>0</v>
      </c>
      <c r="AD222" s="4">
        <f t="shared" si="112"/>
        <v>0</v>
      </c>
      <c r="AE222" s="4">
        <f t="shared" si="113"/>
        <v>0</v>
      </c>
      <c r="AF222" s="4">
        <f t="shared" si="114"/>
        <v>0</v>
      </c>
      <c r="AG222" s="4">
        <f t="shared" si="115"/>
        <v>8.2940496401020276</v>
      </c>
      <c r="AH222" s="4">
        <f t="shared" si="116"/>
        <v>0</v>
      </c>
      <c r="AI222" s="4">
        <f t="shared" si="117"/>
        <v>0</v>
      </c>
      <c r="AJ222" s="4">
        <f t="shared" si="118"/>
        <v>8.2940496401020276</v>
      </c>
      <c r="AK222" s="4">
        <f t="shared" si="119"/>
        <v>5.521460917862246</v>
      </c>
      <c r="AL222" s="4">
        <f t="shared" si="120"/>
        <v>0</v>
      </c>
      <c r="AM222" s="4">
        <f>CER!$C$7+CER!$C$8*J222+CER!$C$9*K222+CER!$C$10*L222+CER!$C$11*M222</f>
        <v>3.4658889016503953</v>
      </c>
      <c r="AN222" s="4">
        <f t="shared" si="121"/>
        <v>32.004896337778874</v>
      </c>
      <c r="AO222" s="4">
        <f t="shared" si="122"/>
        <v>7.8013912154276444E-2</v>
      </c>
      <c r="AP222" s="4">
        <f>Alternatives!$F$25+Alternatives!$F$26*J222+Alternatives!$F$27*K222+Alternatives!$F$28*G222+Alternatives!$F$29*O222</f>
        <v>3.3539102080398235</v>
      </c>
      <c r="AQ222" s="4">
        <f t="shared" si="123"/>
        <v>0.18999260576484822</v>
      </c>
    </row>
    <row r="223" spans="1:43" x14ac:dyDescent="0.35">
      <c r="A223" s="2" t="s">
        <v>250</v>
      </c>
      <c r="B223" s="2" t="s">
        <v>239</v>
      </c>
      <c r="C223" s="2" t="s">
        <v>67</v>
      </c>
      <c r="D223" s="2">
        <v>32.920499999999997</v>
      </c>
      <c r="E223" s="2">
        <v>4000</v>
      </c>
      <c r="F223" s="2">
        <v>250</v>
      </c>
      <c r="G223" s="2">
        <v>53</v>
      </c>
      <c r="H223" s="2" t="s">
        <v>68</v>
      </c>
      <c r="I223" s="4">
        <f t="shared" si="93"/>
        <v>3.494095564028886</v>
      </c>
      <c r="J223" s="4">
        <f t="shared" si="94"/>
        <v>8.2940496401020276</v>
      </c>
      <c r="K223" s="4">
        <f t="shared" si="95"/>
        <v>5.521460917862246</v>
      </c>
      <c r="L223" s="2">
        <v>0</v>
      </c>
      <c r="M223" s="2">
        <v>0</v>
      </c>
      <c r="N223" s="4">
        <f t="shared" si="96"/>
        <v>53</v>
      </c>
      <c r="O223" s="4">
        <f t="shared" si="97"/>
        <v>0</v>
      </c>
      <c r="P223" s="4">
        <f t="shared" si="98"/>
        <v>0</v>
      </c>
      <c r="Q223" s="4">
        <f t="shared" si="99"/>
        <v>8.2940496401020276</v>
      </c>
      <c r="R223" s="4">
        <f t="shared" si="100"/>
        <v>5.521460917862246</v>
      </c>
      <c r="S223" s="4">
        <f t="shared" si="101"/>
        <v>53</v>
      </c>
      <c r="T223" s="4">
        <f t="shared" si="102"/>
        <v>0</v>
      </c>
      <c r="U223" s="4">
        <f t="shared" si="103"/>
        <v>8.2940496401020276</v>
      </c>
      <c r="V223" s="4">
        <f t="shared" si="104"/>
        <v>5.521460917862246</v>
      </c>
      <c r="W223" s="4">
        <f t="shared" si="105"/>
        <v>53</v>
      </c>
      <c r="X223" s="4">
        <f t="shared" si="106"/>
        <v>0</v>
      </c>
      <c r="Y223" s="4">
        <f t="shared" si="107"/>
        <v>8.2940496401020276</v>
      </c>
      <c r="Z223" s="4">
        <f t="shared" si="108"/>
        <v>5.521460917862246</v>
      </c>
      <c r="AA223" s="4">
        <f t="shared" si="109"/>
        <v>53</v>
      </c>
      <c r="AB223" s="4">
        <f t="shared" si="110"/>
        <v>0</v>
      </c>
      <c r="AC223" s="4">
        <f t="shared" si="111"/>
        <v>0</v>
      </c>
      <c r="AD223" s="4">
        <f t="shared" si="112"/>
        <v>0</v>
      </c>
      <c r="AE223" s="4">
        <f t="shared" si="113"/>
        <v>0</v>
      </c>
      <c r="AF223" s="4">
        <f t="shared" si="114"/>
        <v>0</v>
      </c>
      <c r="AG223" s="4">
        <f t="shared" si="115"/>
        <v>8.2940496401020276</v>
      </c>
      <c r="AH223" s="4">
        <f t="shared" si="116"/>
        <v>0</v>
      </c>
      <c r="AI223" s="4">
        <f t="shared" si="117"/>
        <v>0</v>
      </c>
      <c r="AJ223" s="4">
        <f t="shared" si="118"/>
        <v>8.2940496401020276</v>
      </c>
      <c r="AK223" s="4">
        <f t="shared" si="119"/>
        <v>5.521460917862246</v>
      </c>
      <c r="AL223" s="4">
        <f t="shared" si="120"/>
        <v>0</v>
      </c>
      <c r="AM223" s="4">
        <f>CER!$C$7+CER!$C$8*J223+CER!$C$9*K223+CER!$C$10*L223+CER!$C$11*M223</f>
        <v>3.4658889016503953</v>
      </c>
      <c r="AN223" s="4">
        <f t="shared" si="121"/>
        <v>32.004896337778874</v>
      </c>
      <c r="AO223" s="4">
        <f t="shared" si="122"/>
        <v>2.8206662378490677E-2</v>
      </c>
      <c r="AP223" s="4">
        <f>Alternatives!$F$25+Alternatives!$F$26*J223+Alternatives!$F$27*K223+Alternatives!$F$28*G223+Alternatives!$F$29*O223</f>
        <v>3.3552109394940466</v>
      </c>
      <c r="AQ223" s="4">
        <f t="shared" si="123"/>
        <v>0.13888462453483941</v>
      </c>
    </row>
    <row r="224" spans="1:43" x14ac:dyDescent="0.35">
      <c r="A224" s="2" t="s">
        <v>251</v>
      </c>
      <c r="B224" s="2" t="s">
        <v>239</v>
      </c>
      <c r="C224" s="2" t="s">
        <v>67</v>
      </c>
      <c r="D224" s="2">
        <v>28.9404</v>
      </c>
      <c r="E224" s="2">
        <v>4000</v>
      </c>
      <c r="F224" s="2">
        <v>250</v>
      </c>
      <c r="G224" s="2">
        <v>52.7</v>
      </c>
      <c r="H224" s="2" t="s">
        <v>68</v>
      </c>
      <c r="I224" s="4">
        <f t="shared" si="93"/>
        <v>3.3652385428078881</v>
      </c>
      <c r="J224" s="4">
        <f t="shared" si="94"/>
        <v>8.2940496401020276</v>
      </c>
      <c r="K224" s="4">
        <f t="shared" si="95"/>
        <v>5.521460917862246</v>
      </c>
      <c r="L224" s="2">
        <v>0</v>
      </c>
      <c r="M224" s="2">
        <v>0</v>
      </c>
      <c r="N224" s="4">
        <f t="shared" si="96"/>
        <v>52.7</v>
      </c>
      <c r="O224" s="4">
        <f t="shared" si="97"/>
        <v>0</v>
      </c>
      <c r="P224" s="4">
        <f t="shared" si="98"/>
        <v>0</v>
      </c>
      <c r="Q224" s="4">
        <f t="shared" si="99"/>
        <v>8.2940496401020276</v>
      </c>
      <c r="R224" s="4">
        <f t="shared" si="100"/>
        <v>5.521460917862246</v>
      </c>
      <c r="S224" s="4">
        <f t="shared" si="101"/>
        <v>52.7</v>
      </c>
      <c r="T224" s="4">
        <f t="shared" si="102"/>
        <v>0</v>
      </c>
      <c r="U224" s="4">
        <f t="shared" si="103"/>
        <v>8.2940496401020276</v>
      </c>
      <c r="V224" s="4">
        <f t="shared" si="104"/>
        <v>5.521460917862246</v>
      </c>
      <c r="W224" s="4">
        <f t="shared" si="105"/>
        <v>52.7</v>
      </c>
      <c r="X224" s="4">
        <f t="shared" si="106"/>
        <v>0</v>
      </c>
      <c r="Y224" s="4">
        <f t="shared" si="107"/>
        <v>8.2940496401020276</v>
      </c>
      <c r="Z224" s="4">
        <f t="shared" si="108"/>
        <v>5.521460917862246</v>
      </c>
      <c r="AA224" s="4">
        <f t="shared" si="109"/>
        <v>52.7</v>
      </c>
      <c r="AB224" s="4">
        <f t="shared" si="110"/>
        <v>0</v>
      </c>
      <c r="AC224" s="4">
        <f t="shared" si="111"/>
        <v>0</v>
      </c>
      <c r="AD224" s="4">
        <f t="shared" si="112"/>
        <v>0</v>
      </c>
      <c r="AE224" s="4">
        <f t="shared" si="113"/>
        <v>0</v>
      </c>
      <c r="AF224" s="4">
        <f t="shared" si="114"/>
        <v>0</v>
      </c>
      <c r="AG224" s="4">
        <f t="shared" si="115"/>
        <v>8.2940496401020276</v>
      </c>
      <c r="AH224" s="4">
        <f t="shared" si="116"/>
        <v>0</v>
      </c>
      <c r="AI224" s="4">
        <f t="shared" si="117"/>
        <v>0</v>
      </c>
      <c r="AJ224" s="4">
        <f t="shared" si="118"/>
        <v>8.2940496401020276</v>
      </c>
      <c r="AK224" s="4">
        <f t="shared" si="119"/>
        <v>5.521460917862246</v>
      </c>
      <c r="AL224" s="4">
        <f t="shared" si="120"/>
        <v>0</v>
      </c>
      <c r="AM224" s="4">
        <f>CER!$C$7+CER!$C$8*J224+CER!$C$9*K224+CER!$C$10*L224+CER!$C$11*M224</f>
        <v>3.4658889016503953</v>
      </c>
      <c r="AN224" s="4">
        <f t="shared" si="121"/>
        <v>32.004896337778874</v>
      </c>
      <c r="AO224" s="4">
        <f t="shared" si="122"/>
        <v>-0.10065035884250717</v>
      </c>
      <c r="AP224" s="4">
        <f>Alternatives!$F$25+Alternatives!$F$26*J224+Alternatives!$F$27*K224+Alternatives!$F$28*G224+Alternatives!$F$29*O224</f>
        <v>3.3591131338567148</v>
      </c>
      <c r="AQ224" s="4">
        <f t="shared" si="123"/>
        <v>6.1254089511733056E-3</v>
      </c>
    </row>
    <row r="225" spans="1:43" x14ac:dyDescent="0.35">
      <c r="A225" s="2" t="s">
        <v>252</v>
      </c>
      <c r="B225" s="2" t="s">
        <v>239</v>
      </c>
      <c r="C225" s="2" t="s">
        <v>67</v>
      </c>
      <c r="D225" s="2">
        <v>27.810300000000002</v>
      </c>
      <c r="E225" s="2">
        <v>5000</v>
      </c>
      <c r="F225" s="2">
        <v>335</v>
      </c>
      <c r="G225" s="2">
        <v>50.6</v>
      </c>
      <c r="H225" s="2" t="s">
        <v>68</v>
      </c>
      <c r="I225" s="4">
        <f t="shared" si="93"/>
        <v>3.3254064556742047</v>
      </c>
      <c r="J225" s="4">
        <f t="shared" si="94"/>
        <v>8.5171931914162382</v>
      </c>
      <c r="K225" s="4">
        <f t="shared" si="95"/>
        <v>5.8141305318250662</v>
      </c>
      <c r="L225" s="2">
        <v>0</v>
      </c>
      <c r="M225" s="2">
        <v>0</v>
      </c>
      <c r="N225" s="4">
        <f t="shared" si="96"/>
        <v>50.6</v>
      </c>
      <c r="O225" s="4">
        <f t="shared" si="97"/>
        <v>0</v>
      </c>
      <c r="P225" s="4">
        <f t="shared" si="98"/>
        <v>0</v>
      </c>
      <c r="Q225" s="4">
        <f t="shared" si="99"/>
        <v>8.5171931914162382</v>
      </c>
      <c r="R225" s="4">
        <f t="shared" si="100"/>
        <v>5.8141305318250662</v>
      </c>
      <c r="S225" s="4">
        <f t="shared" si="101"/>
        <v>50.6</v>
      </c>
      <c r="T225" s="4">
        <f t="shared" si="102"/>
        <v>0</v>
      </c>
      <c r="U225" s="4">
        <f t="shared" si="103"/>
        <v>8.5171931914162382</v>
      </c>
      <c r="V225" s="4">
        <f t="shared" si="104"/>
        <v>5.8141305318250662</v>
      </c>
      <c r="W225" s="4">
        <f t="shared" si="105"/>
        <v>50.6</v>
      </c>
      <c r="X225" s="4">
        <f t="shared" si="106"/>
        <v>0</v>
      </c>
      <c r="Y225" s="4">
        <f t="shared" si="107"/>
        <v>8.5171931914162382</v>
      </c>
      <c r="Z225" s="4">
        <f t="shared" si="108"/>
        <v>5.8141305318250662</v>
      </c>
      <c r="AA225" s="4">
        <f t="shared" si="109"/>
        <v>50.6</v>
      </c>
      <c r="AB225" s="4">
        <f t="shared" si="110"/>
        <v>0</v>
      </c>
      <c r="AC225" s="4">
        <f t="shared" si="111"/>
        <v>0</v>
      </c>
      <c r="AD225" s="4">
        <f t="shared" si="112"/>
        <v>0</v>
      </c>
      <c r="AE225" s="4">
        <f t="shared" si="113"/>
        <v>0</v>
      </c>
      <c r="AF225" s="4">
        <f t="shared" si="114"/>
        <v>0</v>
      </c>
      <c r="AG225" s="4">
        <f t="shared" si="115"/>
        <v>8.5171931914162382</v>
      </c>
      <c r="AH225" s="4">
        <f t="shared" si="116"/>
        <v>0</v>
      </c>
      <c r="AI225" s="4">
        <f t="shared" si="117"/>
        <v>0</v>
      </c>
      <c r="AJ225" s="4">
        <f t="shared" si="118"/>
        <v>8.5171931914162382</v>
      </c>
      <c r="AK225" s="4">
        <f t="shared" si="119"/>
        <v>5.8141305318250662</v>
      </c>
      <c r="AL225" s="4">
        <f t="shared" si="120"/>
        <v>0</v>
      </c>
      <c r="AM225" s="4">
        <f>CER!$C$7+CER!$C$8*J225+CER!$C$9*K225+CER!$C$10*L225+CER!$C$11*M225</f>
        <v>3.2568911666732911</v>
      </c>
      <c r="AN225" s="4">
        <f t="shared" si="121"/>
        <v>25.968679225321452</v>
      </c>
      <c r="AO225" s="4">
        <f t="shared" si="122"/>
        <v>6.8515289000913526E-2</v>
      </c>
      <c r="AP225" s="4">
        <f>Alternatives!$F$25+Alternatives!$F$26*J225+Alternatives!$F$27*K225+Alternatives!$F$28*G225+Alternatives!$F$29*O225</f>
        <v>3.3911284922591136</v>
      </c>
      <c r="AQ225" s="4">
        <f t="shared" si="123"/>
        <v>-6.5722036584908938E-2</v>
      </c>
    </row>
    <row r="226" spans="1:43" x14ac:dyDescent="0.35">
      <c r="A226" s="2" t="s">
        <v>252</v>
      </c>
      <c r="B226" s="2" t="s">
        <v>239</v>
      </c>
      <c r="C226" s="2" t="s">
        <v>67</v>
      </c>
      <c r="D226" s="2">
        <v>30.915900000000001</v>
      </c>
      <c r="E226" s="2">
        <v>4500</v>
      </c>
      <c r="F226" s="2">
        <v>250</v>
      </c>
      <c r="G226" s="2">
        <v>50.6</v>
      </c>
      <c r="H226" s="2" t="s">
        <v>68</v>
      </c>
      <c r="I226" s="4">
        <f t="shared" si="93"/>
        <v>3.4312706146682976</v>
      </c>
      <c r="J226" s="4">
        <f t="shared" si="94"/>
        <v>8.4118326757584114</v>
      </c>
      <c r="K226" s="4">
        <f t="shared" si="95"/>
        <v>5.521460917862246</v>
      </c>
      <c r="L226" s="2">
        <v>0</v>
      </c>
      <c r="M226" s="2">
        <v>0</v>
      </c>
      <c r="N226" s="4">
        <f t="shared" si="96"/>
        <v>50.6</v>
      </c>
      <c r="O226" s="4">
        <f t="shared" si="97"/>
        <v>0</v>
      </c>
      <c r="P226" s="4">
        <f t="shared" si="98"/>
        <v>0</v>
      </c>
      <c r="Q226" s="4">
        <f t="shared" si="99"/>
        <v>8.4118326757584114</v>
      </c>
      <c r="R226" s="4">
        <f t="shared" si="100"/>
        <v>5.521460917862246</v>
      </c>
      <c r="S226" s="4">
        <f t="shared" si="101"/>
        <v>50.6</v>
      </c>
      <c r="T226" s="4">
        <f t="shared" si="102"/>
        <v>0</v>
      </c>
      <c r="U226" s="4">
        <f t="shared" si="103"/>
        <v>8.4118326757584114</v>
      </c>
      <c r="V226" s="4">
        <f t="shared" si="104"/>
        <v>5.521460917862246</v>
      </c>
      <c r="W226" s="4">
        <f t="shared" si="105"/>
        <v>50.6</v>
      </c>
      <c r="X226" s="4">
        <f t="shared" si="106"/>
        <v>0</v>
      </c>
      <c r="Y226" s="4">
        <f t="shared" si="107"/>
        <v>8.4118326757584114</v>
      </c>
      <c r="Z226" s="4">
        <f t="shared" si="108"/>
        <v>5.521460917862246</v>
      </c>
      <c r="AA226" s="4">
        <f t="shared" si="109"/>
        <v>50.6</v>
      </c>
      <c r="AB226" s="4">
        <f t="shared" si="110"/>
        <v>0</v>
      </c>
      <c r="AC226" s="4">
        <f t="shared" si="111"/>
        <v>0</v>
      </c>
      <c r="AD226" s="4">
        <f t="shared" si="112"/>
        <v>0</v>
      </c>
      <c r="AE226" s="4">
        <f t="shared" si="113"/>
        <v>0</v>
      </c>
      <c r="AF226" s="4">
        <f t="shared" si="114"/>
        <v>0</v>
      </c>
      <c r="AG226" s="4">
        <f t="shared" si="115"/>
        <v>8.4118326757584114</v>
      </c>
      <c r="AH226" s="4">
        <f t="shared" si="116"/>
        <v>0</v>
      </c>
      <c r="AI226" s="4">
        <f t="shared" si="117"/>
        <v>0</v>
      </c>
      <c r="AJ226" s="4">
        <f t="shared" si="118"/>
        <v>8.4118326757584114</v>
      </c>
      <c r="AK226" s="4">
        <f t="shared" si="119"/>
        <v>5.521460917862246</v>
      </c>
      <c r="AL226" s="4">
        <f t="shared" si="120"/>
        <v>0</v>
      </c>
      <c r="AM226" s="4">
        <f>CER!$C$7+CER!$C$8*J226+CER!$C$9*K226+CER!$C$10*L226+CER!$C$11*M226</f>
        <v>3.4125674472715954</v>
      </c>
      <c r="AN226" s="4">
        <f t="shared" si="121"/>
        <v>30.343048514620364</v>
      </c>
      <c r="AO226" s="4">
        <f t="shared" si="122"/>
        <v>1.8703167396702192E-2</v>
      </c>
      <c r="AP226" s="4">
        <f>Alternatives!$F$25+Alternatives!$F$26*J226+Alternatives!$F$27*K226+Alternatives!$F$28*G226+Alternatives!$F$29*O226</f>
        <v>3.4300183443491861</v>
      </c>
      <c r="AQ226" s="4">
        <f t="shared" si="123"/>
        <v>1.2522703191115703E-3</v>
      </c>
    </row>
    <row r="227" spans="1:43" x14ac:dyDescent="0.35">
      <c r="A227" s="2" t="s">
        <v>252</v>
      </c>
      <c r="B227" s="2" t="s">
        <v>239</v>
      </c>
      <c r="C227" s="2" t="s">
        <v>67</v>
      </c>
      <c r="D227" s="2">
        <v>30.9405</v>
      </c>
      <c r="E227" s="2">
        <v>4500</v>
      </c>
      <c r="F227" s="2">
        <v>250</v>
      </c>
      <c r="G227" s="2">
        <v>50.6</v>
      </c>
      <c r="H227" s="2" t="s">
        <v>68</v>
      </c>
      <c r="I227" s="4">
        <f t="shared" si="93"/>
        <v>3.4320660053246215</v>
      </c>
      <c r="J227" s="4">
        <f t="shared" si="94"/>
        <v>8.4118326757584114</v>
      </c>
      <c r="K227" s="4">
        <f t="shared" si="95"/>
        <v>5.521460917862246</v>
      </c>
      <c r="L227" s="2">
        <v>0</v>
      </c>
      <c r="M227" s="2">
        <v>0</v>
      </c>
      <c r="N227" s="4">
        <f t="shared" si="96"/>
        <v>50.6</v>
      </c>
      <c r="O227" s="4">
        <f t="shared" si="97"/>
        <v>0</v>
      </c>
      <c r="P227" s="4">
        <f t="shared" si="98"/>
        <v>0</v>
      </c>
      <c r="Q227" s="4">
        <f t="shared" si="99"/>
        <v>8.4118326757584114</v>
      </c>
      <c r="R227" s="4">
        <f t="shared" si="100"/>
        <v>5.521460917862246</v>
      </c>
      <c r="S227" s="4">
        <f t="shared" si="101"/>
        <v>50.6</v>
      </c>
      <c r="T227" s="4">
        <f t="shared" si="102"/>
        <v>0</v>
      </c>
      <c r="U227" s="4">
        <f t="shared" si="103"/>
        <v>8.4118326757584114</v>
      </c>
      <c r="V227" s="4">
        <f t="shared" si="104"/>
        <v>5.521460917862246</v>
      </c>
      <c r="W227" s="4">
        <f t="shared" si="105"/>
        <v>50.6</v>
      </c>
      <c r="X227" s="4">
        <f t="shared" si="106"/>
        <v>0</v>
      </c>
      <c r="Y227" s="4">
        <f t="shared" si="107"/>
        <v>8.4118326757584114</v>
      </c>
      <c r="Z227" s="4">
        <f t="shared" si="108"/>
        <v>5.521460917862246</v>
      </c>
      <c r="AA227" s="4">
        <f t="shared" si="109"/>
        <v>50.6</v>
      </c>
      <c r="AB227" s="4">
        <f t="shared" si="110"/>
        <v>0</v>
      </c>
      <c r="AC227" s="4">
        <f t="shared" si="111"/>
        <v>0</v>
      </c>
      <c r="AD227" s="4">
        <f t="shared" si="112"/>
        <v>0</v>
      </c>
      <c r="AE227" s="4">
        <f t="shared" si="113"/>
        <v>0</v>
      </c>
      <c r="AF227" s="4">
        <f t="shared" si="114"/>
        <v>0</v>
      </c>
      <c r="AG227" s="4">
        <f t="shared" si="115"/>
        <v>8.4118326757584114</v>
      </c>
      <c r="AH227" s="4">
        <f t="shared" si="116"/>
        <v>0</v>
      </c>
      <c r="AI227" s="4">
        <f t="shared" si="117"/>
        <v>0</v>
      </c>
      <c r="AJ227" s="4">
        <f t="shared" si="118"/>
        <v>8.4118326757584114</v>
      </c>
      <c r="AK227" s="4">
        <f t="shared" si="119"/>
        <v>5.521460917862246</v>
      </c>
      <c r="AL227" s="4">
        <f t="shared" si="120"/>
        <v>0</v>
      </c>
      <c r="AM227" s="4">
        <f>CER!$C$7+CER!$C$8*J227+CER!$C$9*K227+CER!$C$10*L227+CER!$C$11*M227</f>
        <v>3.4125674472715954</v>
      </c>
      <c r="AN227" s="4">
        <f t="shared" si="121"/>
        <v>30.343048514620364</v>
      </c>
      <c r="AO227" s="4">
        <f t="shared" si="122"/>
        <v>1.9498558053026027E-2</v>
      </c>
      <c r="AP227" s="4">
        <f>Alternatives!$F$25+Alternatives!$F$26*J227+Alternatives!$F$27*K227+Alternatives!$F$28*G227+Alternatives!$F$29*O227</f>
        <v>3.4300183443491861</v>
      </c>
      <c r="AQ227" s="4">
        <f t="shared" si="123"/>
        <v>2.0476609754354058E-3</v>
      </c>
    </row>
    <row r="228" spans="1:43" x14ac:dyDescent="0.35">
      <c r="A228" s="2" t="s">
        <v>253</v>
      </c>
      <c r="B228" s="2" t="s">
        <v>239</v>
      </c>
      <c r="C228" s="2" t="s">
        <v>67</v>
      </c>
      <c r="D228" s="2">
        <v>24.530799999999999</v>
      </c>
      <c r="E228" s="2">
        <v>4500</v>
      </c>
      <c r="F228" s="2">
        <v>400</v>
      </c>
      <c r="G228" s="2">
        <v>58.3</v>
      </c>
      <c r="H228" s="2" t="s">
        <v>68</v>
      </c>
      <c r="I228" s="4">
        <f t="shared" si="93"/>
        <v>3.1999294708653849</v>
      </c>
      <c r="J228" s="4">
        <f t="shared" si="94"/>
        <v>8.4118326757584114</v>
      </c>
      <c r="K228" s="4">
        <f t="shared" si="95"/>
        <v>5.9914645471079817</v>
      </c>
      <c r="L228" s="2">
        <v>0</v>
      </c>
      <c r="M228" s="2">
        <v>0</v>
      </c>
      <c r="N228" s="4">
        <f t="shared" si="96"/>
        <v>58.3</v>
      </c>
      <c r="O228" s="4">
        <f t="shared" si="97"/>
        <v>0</v>
      </c>
      <c r="P228" s="4">
        <f t="shared" si="98"/>
        <v>0</v>
      </c>
      <c r="Q228" s="4">
        <f t="shared" si="99"/>
        <v>8.4118326757584114</v>
      </c>
      <c r="R228" s="4">
        <f t="shared" si="100"/>
        <v>5.9914645471079817</v>
      </c>
      <c r="S228" s="4">
        <f t="shared" si="101"/>
        <v>58.3</v>
      </c>
      <c r="T228" s="4">
        <f t="shared" si="102"/>
        <v>0</v>
      </c>
      <c r="U228" s="4">
        <f t="shared" si="103"/>
        <v>8.4118326757584114</v>
      </c>
      <c r="V228" s="4">
        <f t="shared" si="104"/>
        <v>5.9914645471079817</v>
      </c>
      <c r="W228" s="4">
        <f t="shared" si="105"/>
        <v>58.3</v>
      </c>
      <c r="X228" s="4">
        <f t="shared" si="106"/>
        <v>0</v>
      </c>
      <c r="Y228" s="4">
        <f t="shared" si="107"/>
        <v>8.4118326757584114</v>
      </c>
      <c r="Z228" s="4">
        <f t="shared" si="108"/>
        <v>5.9914645471079817</v>
      </c>
      <c r="AA228" s="4">
        <f t="shared" si="109"/>
        <v>58.3</v>
      </c>
      <c r="AB228" s="4">
        <f t="shared" si="110"/>
        <v>0</v>
      </c>
      <c r="AC228" s="4">
        <f t="shared" si="111"/>
        <v>0</v>
      </c>
      <c r="AD228" s="4">
        <f t="shared" si="112"/>
        <v>0</v>
      </c>
      <c r="AE228" s="4">
        <f t="shared" si="113"/>
        <v>0</v>
      </c>
      <c r="AF228" s="4">
        <f t="shared" si="114"/>
        <v>0</v>
      </c>
      <c r="AG228" s="4">
        <f t="shared" si="115"/>
        <v>8.4118326757584114</v>
      </c>
      <c r="AH228" s="4">
        <f t="shared" si="116"/>
        <v>0</v>
      </c>
      <c r="AI228" s="4">
        <f t="shared" si="117"/>
        <v>0</v>
      </c>
      <c r="AJ228" s="4">
        <f t="shared" si="118"/>
        <v>8.4118326757584114</v>
      </c>
      <c r="AK228" s="4">
        <f t="shared" si="119"/>
        <v>5.9914645471079817</v>
      </c>
      <c r="AL228" s="4">
        <f t="shared" si="120"/>
        <v>0</v>
      </c>
      <c r="AM228" s="4">
        <f>CER!$C$7+CER!$C$8*J228+CER!$C$9*K228+CER!$C$10*L228+CER!$C$11*M228</f>
        <v>3.2391625627665195</v>
      </c>
      <c r="AN228" s="4">
        <f t="shared" si="121"/>
        <v>25.512347808966005</v>
      </c>
      <c r="AO228" s="4">
        <f t="shared" si="122"/>
        <v>-3.9233091901134554E-2</v>
      </c>
      <c r="AP228" s="4">
        <f>Alternatives!$F$25+Alternatives!$F$26*J228+Alternatives!$F$27*K228+Alternatives!$F$28*G228+Alternatives!$F$29*O228</f>
        <v>3.2047893716779825</v>
      </c>
      <c r="AQ228" s="4">
        <f t="shared" si="123"/>
        <v>-4.8599008125975729E-3</v>
      </c>
    </row>
    <row r="229" spans="1:43" x14ac:dyDescent="0.35">
      <c r="A229" s="2" t="s">
        <v>253</v>
      </c>
      <c r="B229" s="2" t="s">
        <v>239</v>
      </c>
      <c r="C229" s="2" t="s">
        <v>67</v>
      </c>
      <c r="D229" s="2">
        <v>25.3246</v>
      </c>
      <c r="E229" s="2">
        <v>5000</v>
      </c>
      <c r="F229" s="2">
        <v>400</v>
      </c>
      <c r="G229" s="2">
        <v>58.3</v>
      </c>
      <c r="H229" s="2" t="s">
        <v>68</v>
      </c>
      <c r="I229" s="4">
        <f t="shared" si="93"/>
        <v>3.2317762553407108</v>
      </c>
      <c r="J229" s="4">
        <f t="shared" si="94"/>
        <v>8.5171931914162382</v>
      </c>
      <c r="K229" s="4">
        <f t="shared" si="95"/>
        <v>5.9914645471079817</v>
      </c>
      <c r="L229" s="2">
        <v>0</v>
      </c>
      <c r="M229" s="2">
        <v>0</v>
      </c>
      <c r="N229" s="4">
        <f t="shared" si="96"/>
        <v>58.3</v>
      </c>
      <c r="O229" s="4">
        <f t="shared" si="97"/>
        <v>0</v>
      </c>
      <c r="P229" s="4">
        <f t="shared" si="98"/>
        <v>0</v>
      </c>
      <c r="Q229" s="4">
        <f t="shared" si="99"/>
        <v>8.5171931914162382</v>
      </c>
      <c r="R229" s="4">
        <f t="shared" si="100"/>
        <v>5.9914645471079817</v>
      </c>
      <c r="S229" s="4">
        <f t="shared" si="101"/>
        <v>58.3</v>
      </c>
      <c r="T229" s="4">
        <f t="shared" si="102"/>
        <v>0</v>
      </c>
      <c r="U229" s="4">
        <f t="shared" si="103"/>
        <v>8.5171931914162382</v>
      </c>
      <c r="V229" s="4">
        <f t="shared" si="104"/>
        <v>5.9914645471079817</v>
      </c>
      <c r="W229" s="4">
        <f t="shared" si="105"/>
        <v>58.3</v>
      </c>
      <c r="X229" s="4">
        <f t="shared" si="106"/>
        <v>0</v>
      </c>
      <c r="Y229" s="4">
        <f t="shared" si="107"/>
        <v>8.5171931914162382</v>
      </c>
      <c r="Z229" s="4">
        <f t="shared" si="108"/>
        <v>5.9914645471079817</v>
      </c>
      <c r="AA229" s="4">
        <f t="shared" si="109"/>
        <v>58.3</v>
      </c>
      <c r="AB229" s="4">
        <f t="shared" si="110"/>
        <v>0</v>
      </c>
      <c r="AC229" s="4">
        <f t="shared" si="111"/>
        <v>0</v>
      </c>
      <c r="AD229" s="4">
        <f t="shared" si="112"/>
        <v>0</v>
      </c>
      <c r="AE229" s="4">
        <f t="shared" si="113"/>
        <v>0</v>
      </c>
      <c r="AF229" s="4">
        <f t="shared" si="114"/>
        <v>0</v>
      </c>
      <c r="AG229" s="4">
        <f t="shared" si="115"/>
        <v>8.5171931914162382</v>
      </c>
      <c r="AH229" s="4">
        <f t="shared" si="116"/>
        <v>0</v>
      </c>
      <c r="AI229" s="4">
        <f t="shared" si="117"/>
        <v>0</v>
      </c>
      <c r="AJ229" s="4">
        <f t="shared" si="118"/>
        <v>8.5171931914162382</v>
      </c>
      <c r="AK229" s="4">
        <f t="shared" si="119"/>
        <v>5.9914645471079817</v>
      </c>
      <c r="AL229" s="4">
        <f t="shared" si="120"/>
        <v>0</v>
      </c>
      <c r="AM229" s="4">
        <f>CER!$C$7+CER!$C$8*J229+CER!$C$9*K229+CER!$C$10*L229+CER!$C$11*M229</f>
        <v>3.1914648964797947</v>
      </c>
      <c r="AN229" s="4">
        <f t="shared" si="121"/>
        <v>24.324033548217393</v>
      </c>
      <c r="AO229" s="4">
        <f t="shared" si="122"/>
        <v>4.031135886091608E-2</v>
      </c>
      <c r="AP229" s="4">
        <f>Alternatives!$F$25+Alternatives!$F$26*J229+Alternatives!$F$27*K229+Alternatives!$F$28*G229+Alternatives!$F$29*O229</f>
        <v>3.2437818211677136</v>
      </c>
      <c r="AQ229" s="4">
        <f t="shared" si="123"/>
        <v>-1.2005565827002851E-2</v>
      </c>
    </row>
    <row r="230" spans="1:43" x14ac:dyDescent="0.35">
      <c r="A230" s="2" t="s">
        <v>253</v>
      </c>
      <c r="B230" s="2" t="s">
        <v>239</v>
      </c>
      <c r="C230" s="2" t="s">
        <v>67</v>
      </c>
      <c r="D230" s="2">
        <v>27.3537</v>
      </c>
      <c r="E230" s="2">
        <v>4500</v>
      </c>
      <c r="F230" s="2">
        <v>325</v>
      </c>
      <c r="G230" s="2">
        <v>58.3</v>
      </c>
      <c r="H230" s="2" t="s">
        <v>68</v>
      </c>
      <c r="I230" s="4">
        <f t="shared" si="93"/>
        <v>3.3088518030818239</v>
      </c>
      <c r="J230" s="4">
        <f t="shared" si="94"/>
        <v>8.4118326757584114</v>
      </c>
      <c r="K230" s="4">
        <f t="shared" si="95"/>
        <v>5.7838251823297373</v>
      </c>
      <c r="L230" s="2">
        <v>0</v>
      </c>
      <c r="M230" s="2">
        <v>0</v>
      </c>
      <c r="N230" s="4">
        <f t="shared" si="96"/>
        <v>58.3</v>
      </c>
      <c r="O230" s="4">
        <f t="shared" si="97"/>
        <v>0</v>
      </c>
      <c r="P230" s="4">
        <f t="shared" si="98"/>
        <v>0</v>
      </c>
      <c r="Q230" s="4">
        <f t="shared" si="99"/>
        <v>8.4118326757584114</v>
      </c>
      <c r="R230" s="4">
        <f t="shared" si="100"/>
        <v>5.7838251823297373</v>
      </c>
      <c r="S230" s="4">
        <f t="shared" si="101"/>
        <v>58.3</v>
      </c>
      <c r="T230" s="4">
        <f t="shared" si="102"/>
        <v>0</v>
      </c>
      <c r="U230" s="4">
        <f t="shared" si="103"/>
        <v>8.4118326757584114</v>
      </c>
      <c r="V230" s="4">
        <f t="shared" si="104"/>
        <v>5.7838251823297373</v>
      </c>
      <c r="W230" s="4">
        <f t="shared" si="105"/>
        <v>58.3</v>
      </c>
      <c r="X230" s="4">
        <f t="shared" si="106"/>
        <v>0</v>
      </c>
      <c r="Y230" s="4">
        <f t="shared" si="107"/>
        <v>8.4118326757584114</v>
      </c>
      <c r="Z230" s="4">
        <f t="shared" si="108"/>
        <v>5.7838251823297373</v>
      </c>
      <c r="AA230" s="4">
        <f t="shared" si="109"/>
        <v>58.3</v>
      </c>
      <c r="AB230" s="4">
        <f t="shared" si="110"/>
        <v>0</v>
      </c>
      <c r="AC230" s="4">
        <f t="shared" si="111"/>
        <v>0</v>
      </c>
      <c r="AD230" s="4">
        <f t="shared" si="112"/>
        <v>0</v>
      </c>
      <c r="AE230" s="4">
        <f t="shared" si="113"/>
        <v>0</v>
      </c>
      <c r="AF230" s="4">
        <f t="shared" si="114"/>
        <v>0</v>
      </c>
      <c r="AG230" s="4">
        <f t="shared" si="115"/>
        <v>8.4118326757584114</v>
      </c>
      <c r="AH230" s="4">
        <f t="shared" si="116"/>
        <v>0</v>
      </c>
      <c r="AI230" s="4">
        <f t="shared" si="117"/>
        <v>0</v>
      </c>
      <c r="AJ230" s="4">
        <f t="shared" si="118"/>
        <v>8.4118326757584114</v>
      </c>
      <c r="AK230" s="4">
        <f t="shared" si="119"/>
        <v>5.7838251823297373</v>
      </c>
      <c r="AL230" s="4">
        <f t="shared" si="120"/>
        <v>0</v>
      </c>
      <c r="AM230" s="4">
        <f>CER!$C$7+CER!$C$8*J230+CER!$C$9*K230+CER!$C$10*L230+CER!$C$11*M230</f>
        <v>3.315769801152872</v>
      </c>
      <c r="AN230" s="4">
        <f t="shared" si="121"/>
        <v>27.543588912080718</v>
      </c>
      <c r="AO230" s="4">
        <f t="shared" si="122"/>
        <v>-6.9179980710480926E-3</v>
      </c>
      <c r="AP230" s="4">
        <f>Alternatives!$F$25+Alternatives!$F$26*J230+Alternatives!$F$27*K230+Alternatives!$F$28*G230+Alternatives!$F$29*O230</f>
        <v>3.2600442763759201</v>
      </c>
      <c r="AQ230" s="4">
        <f t="shared" si="123"/>
        <v>4.8807526705903825E-2</v>
      </c>
    </row>
    <row r="231" spans="1:43" x14ac:dyDescent="0.35">
      <c r="A231" s="2" t="s">
        <v>254</v>
      </c>
      <c r="B231" s="2" t="s">
        <v>239</v>
      </c>
      <c r="C231" s="2" t="s">
        <v>67</v>
      </c>
      <c r="D231" s="2">
        <v>26.362300000000001</v>
      </c>
      <c r="E231" s="2">
        <v>5000</v>
      </c>
      <c r="F231" s="2">
        <v>325</v>
      </c>
      <c r="G231" s="2">
        <v>58.3</v>
      </c>
      <c r="H231" s="2" t="s">
        <v>68</v>
      </c>
      <c r="I231" s="4">
        <f t="shared" si="93"/>
        <v>3.2719349592422127</v>
      </c>
      <c r="J231" s="4">
        <f t="shared" si="94"/>
        <v>8.5171931914162382</v>
      </c>
      <c r="K231" s="4">
        <f t="shared" si="95"/>
        <v>5.7838251823297373</v>
      </c>
      <c r="L231" s="2">
        <v>0</v>
      </c>
      <c r="M231" s="2">
        <v>0</v>
      </c>
      <c r="N231" s="4">
        <f t="shared" si="96"/>
        <v>58.3</v>
      </c>
      <c r="O231" s="4">
        <f t="shared" si="97"/>
        <v>0</v>
      </c>
      <c r="P231" s="4">
        <f t="shared" si="98"/>
        <v>0</v>
      </c>
      <c r="Q231" s="4">
        <f t="shared" si="99"/>
        <v>8.5171931914162382</v>
      </c>
      <c r="R231" s="4">
        <f t="shared" si="100"/>
        <v>5.7838251823297373</v>
      </c>
      <c r="S231" s="4">
        <f t="shared" si="101"/>
        <v>58.3</v>
      </c>
      <c r="T231" s="4">
        <f t="shared" si="102"/>
        <v>0</v>
      </c>
      <c r="U231" s="4">
        <f t="shared" si="103"/>
        <v>8.5171931914162382</v>
      </c>
      <c r="V231" s="4">
        <f t="shared" si="104"/>
        <v>5.7838251823297373</v>
      </c>
      <c r="W231" s="4">
        <f t="shared" si="105"/>
        <v>58.3</v>
      </c>
      <c r="X231" s="4">
        <f t="shared" si="106"/>
        <v>0</v>
      </c>
      <c r="Y231" s="4">
        <f t="shared" si="107"/>
        <v>8.5171931914162382</v>
      </c>
      <c r="Z231" s="4">
        <f t="shared" si="108"/>
        <v>5.7838251823297373</v>
      </c>
      <c r="AA231" s="4">
        <f t="shared" si="109"/>
        <v>58.3</v>
      </c>
      <c r="AB231" s="4">
        <f t="shared" si="110"/>
        <v>0</v>
      </c>
      <c r="AC231" s="4">
        <f t="shared" si="111"/>
        <v>0</v>
      </c>
      <c r="AD231" s="4">
        <f t="shared" si="112"/>
        <v>0</v>
      </c>
      <c r="AE231" s="4">
        <f t="shared" si="113"/>
        <v>0</v>
      </c>
      <c r="AF231" s="4">
        <f t="shared" si="114"/>
        <v>0</v>
      </c>
      <c r="AG231" s="4">
        <f t="shared" si="115"/>
        <v>8.5171931914162382</v>
      </c>
      <c r="AH231" s="4">
        <f t="shared" si="116"/>
        <v>0</v>
      </c>
      <c r="AI231" s="4">
        <f t="shared" si="117"/>
        <v>0</v>
      </c>
      <c r="AJ231" s="4">
        <f t="shared" si="118"/>
        <v>8.5171931914162382</v>
      </c>
      <c r="AK231" s="4">
        <f t="shared" si="119"/>
        <v>5.7838251823297373</v>
      </c>
      <c r="AL231" s="4">
        <f t="shared" si="120"/>
        <v>0</v>
      </c>
      <c r="AM231" s="4">
        <f>CER!$C$7+CER!$C$8*J231+CER!$C$9*K231+CER!$C$10*L231+CER!$C$11*M231</f>
        <v>3.2680721348661472</v>
      </c>
      <c r="AN231" s="4">
        <f t="shared" si="121"/>
        <v>26.260663493318585</v>
      </c>
      <c r="AO231" s="4">
        <f t="shared" si="122"/>
        <v>3.8628243760654435E-3</v>
      </c>
      <c r="AP231" s="4">
        <f>Alternatives!$F$25+Alternatives!$F$26*J231+Alternatives!$F$27*K231+Alternatives!$F$28*G231+Alternatives!$F$29*O231</f>
        <v>3.2990367258656512</v>
      </c>
      <c r="AQ231" s="4">
        <f t="shared" si="123"/>
        <v>-2.710176662343855E-2</v>
      </c>
    </row>
    <row r="232" spans="1:43" x14ac:dyDescent="0.35">
      <c r="A232" s="2" t="s">
        <v>254</v>
      </c>
      <c r="B232" s="2" t="s">
        <v>239</v>
      </c>
      <c r="C232" s="2" t="s">
        <v>67</v>
      </c>
      <c r="D232" s="2">
        <v>24.362200000000001</v>
      </c>
      <c r="E232" s="2">
        <v>5000</v>
      </c>
      <c r="F232" s="2">
        <v>400</v>
      </c>
      <c r="G232" s="2">
        <v>58.3</v>
      </c>
      <c r="H232" s="2" t="s">
        <v>68</v>
      </c>
      <c r="I232" s="4">
        <f t="shared" si="93"/>
        <v>3.1930327507506782</v>
      </c>
      <c r="J232" s="4">
        <f t="shared" si="94"/>
        <v>8.5171931914162382</v>
      </c>
      <c r="K232" s="4">
        <f t="shared" si="95"/>
        <v>5.9914645471079817</v>
      </c>
      <c r="L232" s="2">
        <v>0</v>
      </c>
      <c r="M232" s="2">
        <v>0</v>
      </c>
      <c r="N232" s="4">
        <f t="shared" si="96"/>
        <v>58.3</v>
      </c>
      <c r="O232" s="4">
        <f t="shared" si="97"/>
        <v>0</v>
      </c>
      <c r="P232" s="4">
        <f t="shared" si="98"/>
        <v>0</v>
      </c>
      <c r="Q232" s="4">
        <f t="shared" si="99"/>
        <v>8.5171931914162382</v>
      </c>
      <c r="R232" s="4">
        <f t="shared" si="100"/>
        <v>5.9914645471079817</v>
      </c>
      <c r="S232" s="4">
        <f t="shared" si="101"/>
        <v>58.3</v>
      </c>
      <c r="T232" s="4">
        <f t="shared" si="102"/>
        <v>0</v>
      </c>
      <c r="U232" s="4">
        <f t="shared" si="103"/>
        <v>8.5171931914162382</v>
      </c>
      <c r="V232" s="4">
        <f t="shared" si="104"/>
        <v>5.9914645471079817</v>
      </c>
      <c r="W232" s="4">
        <f t="shared" si="105"/>
        <v>58.3</v>
      </c>
      <c r="X232" s="4">
        <f t="shared" si="106"/>
        <v>0</v>
      </c>
      <c r="Y232" s="4">
        <f t="shared" si="107"/>
        <v>8.5171931914162382</v>
      </c>
      <c r="Z232" s="4">
        <f t="shared" si="108"/>
        <v>5.9914645471079817</v>
      </c>
      <c r="AA232" s="4">
        <f t="shared" si="109"/>
        <v>58.3</v>
      </c>
      <c r="AB232" s="4">
        <f t="shared" si="110"/>
        <v>0</v>
      </c>
      <c r="AC232" s="4">
        <f t="shared" si="111"/>
        <v>0</v>
      </c>
      <c r="AD232" s="4">
        <f t="shared" si="112"/>
        <v>0</v>
      </c>
      <c r="AE232" s="4">
        <f t="shared" si="113"/>
        <v>0</v>
      </c>
      <c r="AF232" s="4">
        <f t="shared" si="114"/>
        <v>0</v>
      </c>
      <c r="AG232" s="4">
        <f t="shared" si="115"/>
        <v>8.5171931914162382</v>
      </c>
      <c r="AH232" s="4">
        <f t="shared" si="116"/>
        <v>0</v>
      </c>
      <c r="AI232" s="4">
        <f t="shared" si="117"/>
        <v>0</v>
      </c>
      <c r="AJ232" s="4">
        <f t="shared" si="118"/>
        <v>8.5171931914162382</v>
      </c>
      <c r="AK232" s="4">
        <f t="shared" si="119"/>
        <v>5.9914645471079817</v>
      </c>
      <c r="AL232" s="4">
        <f t="shared" si="120"/>
        <v>0</v>
      </c>
      <c r="AM232" s="4">
        <f>CER!$C$7+CER!$C$8*J232+CER!$C$9*K232+CER!$C$10*L232+CER!$C$11*M232</f>
        <v>3.1914648964797947</v>
      </c>
      <c r="AN232" s="4">
        <f t="shared" si="121"/>
        <v>24.324033548217393</v>
      </c>
      <c r="AO232" s="4">
        <f t="shared" si="122"/>
        <v>1.567854270883462E-3</v>
      </c>
      <c r="AP232" s="4">
        <f>Alternatives!$F$25+Alternatives!$F$26*J232+Alternatives!$F$27*K232+Alternatives!$F$28*G232+Alternatives!$F$29*O232</f>
        <v>3.2437818211677136</v>
      </c>
      <c r="AQ232" s="4">
        <f t="shared" si="123"/>
        <v>-5.0749070417035469E-2</v>
      </c>
    </row>
    <row r="233" spans="1:43" x14ac:dyDescent="0.35">
      <c r="A233" s="2" t="s">
        <v>254</v>
      </c>
      <c r="B233" s="2" t="s">
        <v>239</v>
      </c>
      <c r="C233" s="2" t="s">
        <v>67</v>
      </c>
      <c r="D233" s="2">
        <v>25.020900000000001</v>
      </c>
      <c r="E233" s="2">
        <v>5500</v>
      </c>
      <c r="F233" s="2">
        <v>400</v>
      </c>
      <c r="G233" s="2">
        <v>58.3</v>
      </c>
      <c r="H233" s="2" t="s">
        <v>68</v>
      </c>
      <c r="I233" s="4">
        <f t="shared" si="93"/>
        <v>3.2197114756148379</v>
      </c>
      <c r="J233" s="4">
        <f t="shared" si="94"/>
        <v>8.6125033712205621</v>
      </c>
      <c r="K233" s="4">
        <f t="shared" si="95"/>
        <v>5.9914645471079817</v>
      </c>
      <c r="L233" s="2">
        <v>0</v>
      </c>
      <c r="M233" s="2">
        <v>0</v>
      </c>
      <c r="N233" s="4">
        <f t="shared" si="96"/>
        <v>58.3</v>
      </c>
      <c r="O233" s="4">
        <f t="shared" si="97"/>
        <v>0</v>
      </c>
      <c r="P233" s="4">
        <f t="shared" si="98"/>
        <v>0</v>
      </c>
      <c r="Q233" s="4">
        <f t="shared" si="99"/>
        <v>8.6125033712205621</v>
      </c>
      <c r="R233" s="4">
        <f t="shared" si="100"/>
        <v>5.9914645471079817</v>
      </c>
      <c r="S233" s="4">
        <f t="shared" si="101"/>
        <v>58.3</v>
      </c>
      <c r="T233" s="4">
        <f t="shared" si="102"/>
        <v>0</v>
      </c>
      <c r="U233" s="4">
        <f t="shared" si="103"/>
        <v>8.6125033712205621</v>
      </c>
      <c r="V233" s="4">
        <f t="shared" si="104"/>
        <v>5.9914645471079817</v>
      </c>
      <c r="W233" s="4">
        <f t="shared" si="105"/>
        <v>58.3</v>
      </c>
      <c r="X233" s="4">
        <f t="shared" si="106"/>
        <v>0</v>
      </c>
      <c r="Y233" s="4">
        <f t="shared" si="107"/>
        <v>8.6125033712205621</v>
      </c>
      <c r="Z233" s="4">
        <f t="shared" si="108"/>
        <v>5.9914645471079817</v>
      </c>
      <c r="AA233" s="4">
        <f t="shared" si="109"/>
        <v>58.3</v>
      </c>
      <c r="AB233" s="4">
        <f t="shared" si="110"/>
        <v>0</v>
      </c>
      <c r="AC233" s="4">
        <f t="shared" si="111"/>
        <v>0</v>
      </c>
      <c r="AD233" s="4">
        <f t="shared" si="112"/>
        <v>0</v>
      </c>
      <c r="AE233" s="4">
        <f t="shared" si="113"/>
        <v>0</v>
      </c>
      <c r="AF233" s="4">
        <f t="shared" si="114"/>
        <v>0</v>
      </c>
      <c r="AG233" s="4">
        <f t="shared" si="115"/>
        <v>8.6125033712205621</v>
      </c>
      <c r="AH233" s="4">
        <f t="shared" si="116"/>
        <v>0</v>
      </c>
      <c r="AI233" s="4">
        <f t="shared" si="117"/>
        <v>0</v>
      </c>
      <c r="AJ233" s="4">
        <f t="shared" si="118"/>
        <v>8.6125033712205621</v>
      </c>
      <c r="AK233" s="4">
        <f t="shared" si="119"/>
        <v>5.9914645471079817</v>
      </c>
      <c r="AL233" s="4">
        <f t="shared" si="120"/>
        <v>0</v>
      </c>
      <c r="AM233" s="4">
        <f>CER!$C$7+CER!$C$8*J233+CER!$C$9*K233+CER!$C$10*L233+CER!$C$11*M233</f>
        <v>3.1483171088892488</v>
      </c>
      <c r="AN233" s="4">
        <f t="shared" si="121"/>
        <v>23.296825552066785</v>
      </c>
      <c r="AO233" s="4">
        <f t="shared" si="122"/>
        <v>7.1394366725589187E-2</v>
      </c>
      <c r="AP233" s="4">
        <f>Alternatives!$F$25+Alternatives!$F$26*J233+Alternatives!$F$27*K233+Alternatives!$F$28*G233+Alternatives!$F$29*O233</f>
        <v>3.2790547822829268</v>
      </c>
      <c r="AQ233" s="4">
        <f t="shared" si="123"/>
        <v>-5.9343306668088847E-2</v>
      </c>
    </row>
    <row r="234" spans="1:43" x14ac:dyDescent="0.35">
      <c r="A234" s="2" t="s">
        <v>255</v>
      </c>
      <c r="B234" s="2" t="s">
        <v>239</v>
      </c>
      <c r="C234" s="2" t="s">
        <v>67</v>
      </c>
      <c r="D234" s="2">
        <v>20.354600000000001</v>
      </c>
      <c r="E234" s="2">
        <v>6500</v>
      </c>
      <c r="F234" s="2">
        <v>450</v>
      </c>
      <c r="G234" s="2">
        <v>75.099999999999994</v>
      </c>
      <c r="H234" s="2" t="s">
        <v>68</v>
      </c>
      <c r="I234" s="4">
        <f t="shared" si="93"/>
        <v>3.0133069305705016</v>
      </c>
      <c r="J234" s="4">
        <f t="shared" si="94"/>
        <v>8.7795574558837277</v>
      </c>
      <c r="K234" s="4">
        <f t="shared" si="95"/>
        <v>6.1092475827643655</v>
      </c>
      <c r="L234" s="2">
        <v>0</v>
      </c>
      <c r="M234" s="2">
        <v>0</v>
      </c>
      <c r="N234" s="4">
        <f t="shared" si="96"/>
        <v>75.099999999999994</v>
      </c>
      <c r="O234" s="4">
        <f t="shared" si="97"/>
        <v>0</v>
      </c>
      <c r="P234" s="4">
        <f t="shared" si="98"/>
        <v>0</v>
      </c>
      <c r="Q234" s="4">
        <f t="shared" si="99"/>
        <v>8.7795574558837277</v>
      </c>
      <c r="R234" s="4">
        <f t="shared" si="100"/>
        <v>6.1092475827643655</v>
      </c>
      <c r="S234" s="4">
        <f t="shared" si="101"/>
        <v>75.099999999999994</v>
      </c>
      <c r="T234" s="4">
        <f t="shared" si="102"/>
        <v>0</v>
      </c>
      <c r="U234" s="4">
        <f t="shared" si="103"/>
        <v>8.7795574558837277</v>
      </c>
      <c r="V234" s="4">
        <f t="shared" si="104"/>
        <v>6.1092475827643655</v>
      </c>
      <c r="W234" s="4">
        <f t="shared" si="105"/>
        <v>75.099999999999994</v>
      </c>
      <c r="X234" s="4">
        <f t="shared" si="106"/>
        <v>0</v>
      </c>
      <c r="Y234" s="4">
        <f t="shared" si="107"/>
        <v>8.7795574558837277</v>
      </c>
      <c r="Z234" s="4">
        <f t="shared" si="108"/>
        <v>6.1092475827643655</v>
      </c>
      <c r="AA234" s="4">
        <f t="shared" si="109"/>
        <v>75.099999999999994</v>
      </c>
      <c r="AB234" s="4">
        <f t="shared" si="110"/>
        <v>0</v>
      </c>
      <c r="AC234" s="4">
        <f t="shared" si="111"/>
        <v>0</v>
      </c>
      <c r="AD234" s="4">
        <f t="shared" si="112"/>
        <v>0</v>
      </c>
      <c r="AE234" s="4">
        <f t="shared" si="113"/>
        <v>0</v>
      </c>
      <c r="AF234" s="4">
        <f t="shared" si="114"/>
        <v>0</v>
      </c>
      <c r="AG234" s="4">
        <f t="shared" si="115"/>
        <v>8.7795574558837277</v>
      </c>
      <c r="AH234" s="4">
        <f t="shared" si="116"/>
        <v>0</v>
      </c>
      <c r="AI234" s="4">
        <f t="shared" si="117"/>
        <v>0</v>
      </c>
      <c r="AJ234" s="4">
        <f t="shared" si="118"/>
        <v>8.7795574558837277</v>
      </c>
      <c r="AK234" s="4">
        <f t="shared" si="119"/>
        <v>6.1092475827643655</v>
      </c>
      <c r="AL234" s="4">
        <f t="shared" si="120"/>
        <v>0</v>
      </c>
      <c r="AM234" s="4">
        <f>CER!$C$7+CER!$C$8*J234+CER!$C$9*K234+CER!$C$10*L234+CER!$C$11*M234</f>
        <v>3.029234890685931</v>
      </c>
      <c r="AN234" s="4">
        <f t="shared" si="121"/>
        <v>20.681403000415099</v>
      </c>
      <c r="AO234" s="4">
        <f t="shared" si="122"/>
        <v>-1.5927960115429407E-2</v>
      </c>
      <c r="AP234" s="4">
        <f>Alternatives!$F$25+Alternatives!$F$26*J234+Alternatives!$F$27*K234+Alternatives!$F$28*G234+Alternatives!$F$29*O234</f>
        <v>3.0910130324518503</v>
      </c>
      <c r="AQ234" s="4">
        <f t="shared" si="123"/>
        <v>-7.7706101881348744E-2</v>
      </c>
    </row>
    <row r="235" spans="1:43" x14ac:dyDescent="0.35">
      <c r="A235" s="2" t="s">
        <v>256</v>
      </c>
      <c r="B235" s="2" t="s">
        <v>239</v>
      </c>
      <c r="C235" s="2" t="s">
        <v>33</v>
      </c>
      <c r="D235" s="2">
        <v>30.472999999999999</v>
      </c>
      <c r="E235" s="2">
        <v>6000</v>
      </c>
      <c r="F235" s="2">
        <v>400</v>
      </c>
      <c r="G235" s="2">
        <v>69.099999999999994</v>
      </c>
      <c r="H235" s="2" t="s">
        <v>68</v>
      </c>
      <c r="I235" s="4">
        <f t="shared" si="93"/>
        <v>3.4168410456501759</v>
      </c>
      <c r="J235" s="4">
        <f t="shared" si="94"/>
        <v>8.6995147482101913</v>
      </c>
      <c r="K235" s="4">
        <f t="shared" si="95"/>
        <v>5.9914645471079817</v>
      </c>
      <c r="L235" s="2">
        <v>1</v>
      </c>
      <c r="M235" s="2">
        <v>0</v>
      </c>
      <c r="N235" s="4">
        <f t="shared" si="96"/>
        <v>69.099999999999994</v>
      </c>
      <c r="O235" s="4">
        <f t="shared" si="97"/>
        <v>1</v>
      </c>
      <c r="P235" s="4">
        <f t="shared" si="98"/>
        <v>1</v>
      </c>
      <c r="Q235" s="4">
        <f t="shared" si="99"/>
        <v>8.6995147482101913</v>
      </c>
      <c r="R235" s="4">
        <f t="shared" si="100"/>
        <v>5.9914645471079817</v>
      </c>
      <c r="S235" s="4">
        <f t="shared" si="101"/>
        <v>69.099999999999994</v>
      </c>
      <c r="T235" s="4">
        <f t="shared" si="102"/>
        <v>1</v>
      </c>
      <c r="U235" s="4">
        <f t="shared" si="103"/>
        <v>8.6995147482101913</v>
      </c>
      <c r="V235" s="4">
        <f t="shared" si="104"/>
        <v>5.9914645471079817</v>
      </c>
      <c r="W235" s="4">
        <f t="shared" si="105"/>
        <v>69.099999999999994</v>
      </c>
      <c r="X235" s="4">
        <f t="shared" si="106"/>
        <v>1</v>
      </c>
      <c r="Y235" s="4">
        <f t="shared" si="107"/>
        <v>8.6995147482101913</v>
      </c>
      <c r="Z235" s="4">
        <f t="shared" si="108"/>
        <v>5.9914645471079817</v>
      </c>
      <c r="AA235" s="4">
        <f t="shared" si="109"/>
        <v>69.099999999999994</v>
      </c>
      <c r="AB235" s="4">
        <f t="shared" si="110"/>
        <v>1</v>
      </c>
      <c r="AC235" s="4">
        <f t="shared" si="111"/>
        <v>0</v>
      </c>
      <c r="AD235" s="4">
        <f t="shared" si="112"/>
        <v>0</v>
      </c>
      <c r="AE235" s="4">
        <f t="shared" si="113"/>
        <v>0</v>
      </c>
      <c r="AF235" s="4">
        <f t="shared" si="114"/>
        <v>0</v>
      </c>
      <c r="AG235" s="4">
        <f t="shared" si="115"/>
        <v>8.6995147482101913</v>
      </c>
      <c r="AH235" s="4">
        <f t="shared" si="116"/>
        <v>1</v>
      </c>
      <c r="AI235" s="4">
        <f t="shared" si="117"/>
        <v>0</v>
      </c>
      <c r="AJ235" s="4">
        <f t="shared" si="118"/>
        <v>8.6995147482101913</v>
      </c>
      <c r="AK235" s="4">
        <f t="shared" si="119"/>
        <v>5.9914645471079817</v>
      </c>
      <c r="AL235" s="4">
        <f t="shared" si="120"/>
        <v>0</v>
      </c>
      <c r="AM235" s="4">
        <f>CER!$C$7+CER!$C$8*J235+CER!$C$9*K235+CER!$C$10*L235+CER!$C$11*M235</f>
        <v>3.3326798349841122</v>
      </c>
      <c r="AN235" s="4">
        <f t="shared" si="121"/>
        <v>28.01331225822209</v>
      </c>
      <c r="AO235" s="4">
        <f t="shared" si="122"/>
        <v>8.4161210666063635E-2</v>
      </c>
      <c r="AP235" s="4">
        <f>Alternatives!$F$25+Alternatives!$F$26*J235+Alternatives!$F$27*K235+Alternatives!$F$28*G235+Alternatives!$F$29*O235</f>
        <v>4.0155174046938846</v>
      </c>
      <c r="AQ235" s="4">
        <f t="shared" si="123"/>
        <v>-0.59867635904370875</v>
      </c>
    </row>
    <row r="236" spans="1:43" x14ac:dyDescent="0.35">
      <c r="A236" s="2" t="s">
        <v>257</v>
      </c>
      <c r="B236" s="2" t="s">
        <v>239</v>
      </c>
      <c r="C236" s="2" t="s">
        <v>67</v>
      </c>
      <c r="D236" s="2">
        <v>24.131499999999999</v>
      </c>
      <c r="E236" s="2">
        <v>5500</v>
      </c>
      <c r="F236" s="2">
        <v>400</v>
      </c>
      <c r="G236" s="2">
        <v>69.7</v>
      </c>
      <c r="H236" s="2" t="s">
        <v>68</v>
      </c>
      <c r="I236" s="4">
        <f t="shared" si="93"/>
        <v>3.1835180409871047</v>
      </c>
      <c r="J236" s="4">
        <f t="shared" si="94"/>
        <v>8.6125033712205621</v>
      </c>
      <c r="K236" s="4">
        <f t="shared" si="95"/>
        <v>5.9914645471079817</v>
      </c>
      <c r="L236" s="2">
        <v>0</v>
      </c>
      <c r="M236" s="2">
        <v>0</v>
      </c>
      <c r="N236" s="4">
        <f t="shared" si="96"/>
        <v>69.7</v>
      </c>
      <c r="O236" s="4">
        <f t="shared" si="97"/>
        <v>0</v>
      </c>
      <c r="P236" s="4">
        <f t="shared" si="98"/>
        <v>0</v>
      </c>
      <c r="Q236" s="4">
        <f t="shared" si="99"/>
        <v>8.6125033712205621</v>
      </c>
      <c r="R236" s="4">
        <f t="shared" si="100"/>
        <v>5.9914645471079817</v>
      </c>
      <c r="S236" s="4">
        <f t="shared" si="101"/>
        <v>69.7</v>
      </c>
      <c r="T236" s="4">
        <f t="shared" si="102"/>
        <v>0</v>
      </c>
      <c r="U236" s="4">
        <f t="shared" si="103"/>
        <v>8.6125033712205621</v>
      </c>
      <c r="V236" s="4">
        <f t="shared" si="104"/>
        <v>5.9914645471079817</v>
      </c>
      <c r="W236" s="4">
        <f t="shared" si="105"/>
        <v>69.7</v>
      </c>
      <c r="X236" s="4">
        <f t="shared" si="106"/>
        <v>0</v>
      </c>
      <c r="Y236" s="4">
        <f t="shared" si="107"/>
        <v>8.6125033712205621</v>
      </c>
      <c r="Z236" s="4">
        <f t="shared" si="108"/>
        <v>5.9914645471079817</v>
      </c>
      <c r="AA236" s="4">
        <f t="shared" si="109"/>
        <v>69.7</v>
      </c>
      <c r="AB236" s="4">
        <f t="shared" si="110"/>
        <v>0</v>
      </c>
      <c r="AC236" s="4">
        <f t="shared" si="111"/>
        <v>0</v>
      </c>
      <c r="AD236" s="4">
        <f t="shared" si="112"/>
        <v>0</v>
      </c>
      <c r="AE236" s="4">
        <f t="shared" si="113"/>
        <v>0</v>
      </c>
      <c r="AF236" s="4">
        <f t="shared" si="114"/>
        <v>0</v>
      </c>
      <c r="AG236" s="4">
        <f t="shared" si="115"/>
        <v>8.6125033712205621</v>
      </c>
      <c r="AH236" s="4">
        <f t="shared" si="116"/>
        <v>0</v>
      </c>
      <c r="AI236" s="4">
        <f t="shared" si="117"/>
        <v>0</v>
      </c>
      <c r="AJ236" s="4">
        <f t="shared" si="118"/>
        <v>8.6125033712205621</v>
      </c>
      <c r="AK236" s="4">
        <f t="shared" si="119"/>
        <v>5.9914645471079817</v>
      </c>
      <c r="AL236" s="4">
        <f t="shared" si="120"/>
        <v>0</v>
      </c>
      <c r="AM236" s="4">
        <f>CER!$C$7+CER!$C$8*J236+CER!$C$9*K236+CER!$C$10*L236+CER!$C$11*M236</f>
        <v>3.1483171088892488</v>
      </c>
      <c r="AN236" s="4">
        <f t="shared" si="121"/>
        <v>23.296825552066785</v>
      </c>
      <c r="AO236" s="4">
        <f t="shared" si="122"/>
        <v>3.5200932097855908E-2</v>
      </c>
      <c r="AP236" s="4">
        <f>Alternatives!$F$25+Alternatives!$F$26*J236+Alternatives!$F$27*K236+Alternatives!$F$28*G236+Alternatives!$F$29*O236</f>
        <v>3.1307713965015243</v>
      </c>
      <c r="AQ236" s="4">
        <f t="shared" si="123"/>
        <v>5.2746644485580418E-2</v>
      </c>
    </row>
    <row r="237" spans="1:43" x14ac:dyDescent="0.35">
      <c r="A237" s="2" t="s">
        <v>257</v>
      </c>
      <c r="B237" s="2" t="s">
        <v>239</v>
      </c>
      <c r="C237" s="2" t="s">
        <v>67</v>
      </c>
      <c r="D237" s="2">
        <v>22.987400000000001</v>
      </c>
      <c r="E237" s="2">
        <v>5500</v>
      </c>
      <c r="F237" s="2">
        <v>400</v>
      </c>
      <c r="G237" s="2">
        <v>69.7</v>
      </c>
      <c r="H237" s="2" t="s">
        <v>68</v>
      </c>
      <c r="I237" s="4">
        <f t="shared" si="93"/>
        <v>3.1349462397306564</v>
      </c>
      <c r="J237" s="4">
        <f t="shared" si="94"/>
        <v>8.6125033712205621</v>
      </c>
      <c r="K237" s="4">
        <f t="shared" si="95"/>
        <v>5.9914645471079817</v>
      </c>
      <c r="L237" s="2">
        <v>0</v>
      </c>
      <c r="M237" s="2">
        <v>0</v>
      </c>
      <c r="N237" s="4">
        <f t="shared" si="96"/>
        <v>69.7</v>
      </c>
      <c r="O237" s="4">
        <f t="shared" si="97"/>
        <v>0</v>
      </c>
      <c r="P237" s="4">
        <f t="shared" si="98"/>
        <v>0</v>
      </c>
      <c r="Q237" s="4">
        <f t="shared" si="99"/>
        <v>8.6125033712205621</v>
      </c>
      <c r="R237" s="4">
        <f t="shared" si="100"/>
        <v>5.9914645471079817</v>
      </c>
      <c r="S237" s="4">
        <f t="shared" si="101"/>
        <v>69.7</v>
      </c>
      <c r="T237" s="4">
        <f t="shared" si="102"/>
        <v>0</v>
      </c>
      <c r="U237" s="4">
        <f t="shared" si="103"/>
        <v>8.6125033712205621</v>
      </c>
      <c r="V237" s="4">
        <f t="shared" si="104"/>
        <v>5.9914645471079817</v>
      </c>
      <c r="W237" s="4">
        <f t="shared" si="105"/>
        <v>69.7</v>
      </c>
      <c r="X237" s="4">
        <f t="shared" si="106"/>
        <v>0</v>
      </c>
      <c r="Y237" s="4">
        <f t="shared" si="107"/>
        <v>8.6125033712205621</v>
      </c>
      <c r="Z237" s="4">
        <f t="shared" si="108"/>
        <v>5.9914645471079817</v>
      </c>
      <c r="AA237" s="4">
        <f t="shared" si="109"/>
        <v>69.7</v>
      </c>
      <c r="AB237" s="4">
        <f t="shared" si="110"/>
        <v>0</v>
      </c>
      <c r="AC237" s="4">
        <f t="shared" si="111"/>
        <v>0</v>
      </c>
      <c r="AD237" s="4">
        <f t="shared" si="112"/>
        <v>0</v>
      </c>
      <c r="AE237" s="4">
        <f t="shared" si="113"/>
        <v>0</v>
      </c>
      <c r="AF237" s="4">
        <f t="shared" si="114"/>
        <v>0</v>
      </c>
      <c r="AG237" s="4">
        <f t="shared" si="115"/>
        <v>8.6125033712205621</v>
      </c>
      <c r="AH237" s="4">
        <f t="shared" si="116"/>
        <v>0</v>
      </c>
      <c r="AI237" s="4">
        <f t="shared" si="117"/>
        <v>0</v>
      </c>
      <c r="AJ237" s="4">
        <f t="shared" si="118"/>
        <v>8.6125033712205621</v>
      </c>
      <c r="AK237" s="4">
        <f t="shared" si="119"/>
        <v>5.9914645471079817</v>
      </c>
      <c r="AL237" s="4">
        <f t="shared" si="120"/>
        <v>0</v>
      </c>
      <c r="AM237" s="4">
        <f>CER!$C$7+CER!$C$8*J237+CER!$C$9*K237+CER!$C$10*L237+CER!$C$11*M237</f>
        <v>3.1483171088892488</v>
      </c>
      <c r="AN237" s="4">
        <f t="shared" si="121"/>
        <v>23.296825552066785</v>
      </c>
      <c r="AO237" s="4">
        <f t="shared" si="122"/>
        <v>-1.3370869158592313E-2</v>
      </c>
      <c r="AP237" s="4">
        <f>Alternatives!$F$25+Alternatives!$F$26*J237+Alternatives!$F$27*K237+Alternatives!$F$28*G237+Alternatives!$F$29*O237</f>
        <v>3.1307713965015243</v>
      </c>
      <c r="AQ237" s="4">
        <f t="shared" si="123"/>
        <v>4.1748432291321969E-3</v>
      </c>
    </row>
    <row r="238" spans="1:43" x14ac:dyDescent="0.35">
      <c r="A238" s="2" t="s">
        <v>258</v>
      </c>
      <c r="B238" s="2" t="s">
        <v>239</v>
      </c>
      <c r="C238" s="2" t="s">
        <v>67</v>
      </c>
      <c r="D238" s="2">
        <v>30.5991</v>
      </c>
      <c r="E238" s="2">
        <v>4500</v>
      </c>
      <c r="F238" s="2">
        <v>275</v>
      </c>
      <c r="G238" s="2">
        <v>57.1</v>
      </c>
      <c r="H238" s="2" t="s">
        <v>68</v>
      </c>
      <c r="I238" s="4">
        <f t="shared" si="93"/>
        <v>3.4209705967610948</v>
      </c>
      <c r="J238" s="4">
        <f t="shared" si="94"/>
        <v>8.4118326757584114</v>
      </c>
      <c r="K238" s="4">
        <f t="shared" si="95"/>
        <v>5.6167710976665717</v>
      </c>
      <c r="L238" s="2">
        <v>0</v>
      </c>
      <c r="M238" s="2">
        <v>0</v>
      </c>
      <c r="N238" s="4">
        <f t="shared" si="96"/>
        <v>57.1</v>
      </c>
      <c r="O238" s="4">
        <f t="shared" si="97"/>
        <v>0</v>
      </c>
      <c r="P238" s="4">
        <f t="shared" si="98"/>
        <v>0</v>
      </c>
      <c r="Q238" s="4">
        <f t="shared" si="99"/>
        <v>8.4118326757584114</v>
      </c>
      <c r="R238" s="4">
        <f t="shared" si="100"/>
        <v>5.6167710976665717</v>
      </c>
      <c r="S238" s="4">
        <f t="shared" si="101"/>
        <v>57.1</v>
      </c>
      <c r="T238" s="4">
        <f t="shared" si="102"/>
        <v>0</v>
      </c>
      <c r="U238" s="4">
        <f t="shared" si="103"/>
        <v>8.4118326757584114</v>
      </c>
      <c r="V238" s="4">
        <f t="shared" si="104"/>
        <v>5.6167710976665717</v>
      </c>
      <c r="W238" s="4">
        <f t="shared" si="105"/>
        <v>57.1</v>
      </c>
      <c r="X238" s="4">
        <f t="shared" si="106"/>
        <v>0</v>
      </c>
      <c r="Y238" s="4">
        <f t="shared" si="107"/>
        <v>8.4118326757584114</v>
      </c>
      <c r="Z238" s="4">
        <f t="shared" si="108"/>
        <v>5.6167710976665717</v>
      </c>
      <c r="AA238" s="4">
        <f t="shared" si="109"/>
        <v>57.1</v>
      </c>
      <c r="AB238" s="4">
        <f t="shared" si="110"/>
        <v>0</v>
      </c>
      <c r="AC238" s="4">
        <f t="shared" si="111"/>
        <v>0</v>
      </c>
      <c r="AD238" s="4">
        <f t="shared" si="112"/>
        <v>0</v>
      </c>
      <c r="AE238" s="4">
        <f t="shared" si="113"/>
        <v>0</v>
      </c>
      <c r="AF238" s="4">
        <f t="shared" si="114"/>
        <v>0</v>
      </c>
      <c r="AG238" s="4">
        <f t="shared" si="115"/>
        <v>8.4118326757584114</v>
      </c>
      <c r="AH238" s="4">
        <f t="shared" si="116"/>
        <v>0</v>
      </c>
      <c r="AI238" s="4">
        <f t="shared" si="117"/>
        <v>0</v>
      </c>
      <c r="AJ238" s="4">
        <f t="shared" si="118"/>
        <v>8.4118326757584114</v>
      </c>
      <c r="AK238" s="4">
        <f t="shared" si="119"/>
        <v>5.6167710976665717</v>
      </c>
      <c r="AL238" s="4">
        <f t="shared" si="120"/>
        <v>0</v>
      </c>
      <c r="AM238" s="4">
        <f>CER!$C$7+CER!$C$8*J238+CER!$C$9*K238+CER!$C$10*L238+CER!$C$11*M238</f>
        <v>3.3774033555652183</v>
      </c>
      <c r="AN238" s="4">
        <f t="shared" si="121"/>
        <v>29.294604595411702</v>
      </c>
      <c r="AO238" s="4">
        <f t="shared" si="122"/>
        <v>4.3567241195876516E-2</v>
      </c>
      <c r="AP238" s="4">
        <f>Alternatives!$F$25+Alternatives!$F$26*J238+Alternatives!$F$27*K238+Alternatives!$F$28*G238+Alternatives!$F$29*O238</f>
        <v>3.3201078109355011</v>
      </c>
      <c r="AQ238" s="4">
        <f t="shared" si="123"/>
        <v>0.10086278582559371</v>
      </c>
    </row>
    <row r="239" spans="1:43" x14ac:dyDescent="0.35">
      <c r="A239" s="2" t="s">
        <v>259</v>
      </c>
      <c r="B239" s="2" t="s">
        <v>239</v>
      </c>
      <c r="C239" s="2" t="s">
        <v>67</v>
      </c>
      <c r="D239" s="2">
        <v>27.152200000000001</v>
      </c>
      <c r="E239" s="2">
        <v>5000</v>
      </c>
      <c r="F239" s="2">
        <v>315</v>
      </c>
      <c r="G239" s="2">
        <v>57.1</v>
      </c>
      <c r="H239" s="2" t="s">
        <v>68</v>
      </c>
      <c r="I239" s="4">
        <f t="shared" si="93"/>
        <v>3.301458074404636</v>
      </c>
      <c r="J239" s="4">
        <f t="shared" si="94"/>
        <v>8.5171931914162382</v>
      </c>
      <c r="K239" s="4">
        <f t="shared" si="95"/>
        <v>5.7525726388256331</v>
      </c>
      <c r="L239" s="2">
        <v>0</v>
      </c>
      <c r="M239" s="2">
        <v>0</v>
      </c>
      <c r="N239" s="4">
        <f t="shared" si="96"/>
        <v>57.1</v>
      </c>
      <c r="O239" s="4">
        <f t="shared" si="97"/>
        <v>0</v>
      </c>
      <c r="P239" s="4">
        <f t="shared" si="98"/>
        <v>0</v>
      </c>
      <c r="Q239" s="4">
        <f t="shared" si="99"/>
        <v>8.5171931914162382</v>
      </c>
      <c r="R239" s="4">
        <f t="shared" si="100"/>
        <v>5.7525726388256331</v>
      </c>
      <c r="S239" s="4">
        <f t="shared" si="101"/>
        <v>57.1</v>
      </c>
      <c r="T239" s="4">
        <f t="shared" si="102"/>
        <v>0</v>
      </c>
      <c r="U239" s="4">
        <f t="shared" si="103"/>
        <v>8.5171931914162382</v>
      </c>
      <c r="V239" s="4">
        <f t="shared" si="104"/>
        <v>5.7525726388256331</v>
      </c>
      <c r="W239" s="4">
        <f t="shared" si="105"/>
        <v>57.1</v>
      </c>
      <c r="X239" s="4">
        <f t="shared" si="106"/>
        <v>0</v>
      </c>
      <c r="Y239" s="4">
        <f t="shared" si="107"/>
        <v>8.5171931914162382</v>
      </c>
      <c r="Z239" s="4">
        <f t="shared" si="108"/>
        <v>5.7525726388256331</v>
      </c>
      <c r="AA239" s="4">
        <f t="shared" si="109"/>
        <v>57.1</v>
      </c>
      <c r="AB239" s="4">
        <f t="shared" si="110"/>
        <v>0</v>
      </c>
      <c r="AC239" s="4">
        <f t="shared" si="111"/>
        <v>0</v>
      </c>
      <c r="AD239" s="4">
        <f t="shared" si="112"/>
        <v>0</v>
      </c>
      <c r="AE239" s="4">
        <f t="shared" si="113"/>
        <v>0</v>
      </c>
      <c r="AF239" s="4">
        <f t="shared" si="114"/>
        <v>0</v>
      </c>
      <c r="AG239" s="4">
        <f t="shared" si="115"/>
        <v>8.5171931914162382</v>
      </c>
      <c r="AH239" s="4">
        <f t="shared" si="116"/>
        <v>0</v>
      </c>
      <c r="AI239" s="4">
        <f t="shared" si="117"/>
        <v>0</v>
      </c>
      <c r="AJ239" s="4">
        <f t="shared" si="118"/>
        <v>8.5171931914162382</v>
      </c>
      <c r="AK239" s="4">
        <f t="shared" si="119"/>
        <v>5.7525726388256331</v>
      </c>
      <c r="AL239" s="4">
        <f t="shared" si="120"/>
        <v>0</v>
      </c>
      <c r="AM239" s="4">
        <f>CER!$C$7+CER!$C$8*J239+CER!$C$9*K239+CER!$C$10*L239+CER!$C$11*M239</f>
        <v>3.2796025643343536</v>
      </c>
      <c r="AN239" s="4">
        <f t="shared" si="121"/>
        <v>26.565212638572415</v>
      </c>
      <c r="AO239" s="4">
        <f t="shared" si="122"/>
        <v>2.1855510070282413E-2</v>
      </c>
      <c r="AP239" s="4">
        <f>Alternatives!$F$25+Alternatives!$F$26*J239+Alternatives!$F$27*K239+Alternatives!$F$28*G239+Alternatives!$F$29*O239</f>
        <v>3.3229621166653001</v>
      </c>
      <c r="AQ239" s="4">
        <f t="shared" si="123"/>
        <v>-2.1504042260664047E-2</v>
      </c>
    </row>
    <row r="240" spans="1:43" x14ac:dyDescent="0.35">
      <c r="A240" s="2" t="s">
        <v>259</v>
      </c>
      <c r="B240" s="2" t="s">
        <v>239</v>
      </c>
      <c r="C240" s="2" t="s">
        <v>67</v>
      </c>
      <c r="D240" s="2">
        <v>29.164400000000001</v>
      </c>
      <c r="E240" s="2">
        <v>4500</v>
      </c>
      <c r="F240" s="2">
        <v>275</v>
      </c>
      <c r="G240" s="2">
        <v>57.1</v>
      </c>
      <c r="H240" s="2" t="s">
        <v>68</v>
      </c>
      <c r="I240" s="4">
        <f t="shared" si="93"/>
        <v>3.3729487873898334</v>
      </c>
      <c r="J240" s="4">
        <f t="shared" si="94"/>
        <v>8.4118326757584114</v>
      </c>
      <c r="K240" s="4">
        <f t="shared" si="95"/>
        <v>5.6167710976665717</v>
      </c>
      <c r="L240" s="2">
        <v>0</v>
      </c>
      <c r="M240" s="2">
        <v>0</v>
      </c>
      <c r="N240" s="4">
        <f t="shared" si="96"/>
        <v>57.1</v>
      </c>
      <c r="O240" s="4">
        <f t="shared" si="97"/>
        <v>0</v>
      </c>
      <c r="P240" s="4">
        <f t="shared" si="98"/>
        <v>0</v>
      </c>
      <c r="Q240" s="4">
        <f t="shared" si="99"/>
        <v>8.4118326757584114</v>
      </c>
      <c r="R240" s="4">
        <f t="shared" si="100"/>
        <v>5.6167710976665717</v>
      </c>
      <c r="S240" s="4">
        <f t="shared" si="101"/>
        <v>57.1</v>
      </c>
      <c r="T240" s="4">
        <f t="shared" si="102"/>
        <v>0</v>
      </c>
      <c r="U240" s="4">
        <f t="shared" si="103"/>
        <v>8.4118326757584114</v>
      </c>
      <c r="V240" s="4">
        <f t="shared" si="104"/>
        <v>5.6167710976665717</v>
      </c>
      <c r="W240" s="4">
        <f t="shared" si="105"/>
        <v>57.1</v>
      </c>
      <c r="X240" s="4">
        <f t="shared" si="106"/>
        <v>0</v>
      </c>
      <c r="Y240" s="4">
        <f t="shared" si="107"/>
        <v>8.4118326757584114</v>
      </c>
      <c r="Z240" s="4">
        <f t="shared" si="108"/>
        <v>5.6167710976665717</v>
      </c>
      <c r="AA240" s="4">
        <f t="shared" si="109"/>
        <v>57.1</v>
      </c>
      <c r="AB240" s="4">
        <f t="shared" si="110"/>
        <v>0</v>
      </c>
      <c r="AC240" s="4">
        <f t="shared" si="111"/>
        <v>0</v>
      </c>
      <c r="AD240" s="4">
        <f t="shared" si="112"/>
        <v>0</v>
      </c>
      <c r="AE240" s="4">
        <f t="shared" si="113"/>
        <v>0</v>
      </c>
      <c r="AF240" s="4">
        <f t="shared" si="114"/>
        <v>0</v>
      </c>
      <c r="AG240" s="4">
        <f t="shared" si="115"/>
        <v>8.4118326757584114</v>
      </c>
      <c r="AH240" s="4">
        <f t="shared" si="116"/>
        <v>0</v>
      </c>
      <c r="AI240" s="4">
        <f t="shared" si="117"/>
        <v>0</v>
      </c>
      <c r="AJ240" s="4">
        <f t="shared" si="118"/>
        <v>8.4118326757584114</v>
      </c>
      <c r="AK240" s="4">
        <f t="shared" si="119"/>
        <v>5.6167710976665717</v>
      </c>
      <c r="AL240" s="4">
        <f t="shared" si="120"/>
        <v>0</v>
      </c>
      <c r="AM240" s="4">
        <f>CER!$C$7+CER!$C$8*J240+CER!$C$9*K240+CER!$C$10*L240+CER!$C$11*M240</f>
        <v>3.3774033555652183</v>
      </c>
      <c r="AN240" s="4">
        <f t="shared" si="121"/>
        <v>29.294604595411702</v>
      </c>
      <c r="AO240" s="4">
        <f t="shared" si="122"/>
        <v>-4.4545681753849209E-3</v>
      </c>
      <c r="AP240" s="4">
        <f>Alternatives!$F$25+Alternatives!$F$26*J240+Alternatives!$F$27*K240+Alternatives!$F$28*G240+Alternatives!$F$29*O240</f>
        <v>3.3201078109355011</v>
      </c>
      <c r="AQ240" s="4">
        <f t="shared" si="123"/>
        <v>5.2840976454332278E-2</v>
      </c>
    </row>
    <row r="241" spans="1:43" x14ac:dyDescent="0.35">
      <c r="A241" s="2" t="s">
        <v>260</v>
      </c>
      <c r="B241" s="2" t="s">
        <v>239</v>
      </c>
      <c r="C241" s="2" t="s">
        <v>67</v>
      </c>
      <c r="D241" s="2">
        <v>31.616900000000001</v>
      </c>
      <c r="E241" s="2">
        <v>4500</v>
      </c>
      <c r="F241" s="2">
        <v>300</v>
      </c>
      <c r="G241" s="2">
        <v>55.7</v>
      </c>
      <c r="H241" s="2" t="s">
        <v>68</v>
      </c>
      <c r="I241" s="4">
        <f t="shared" si="93"/>
        <v>3.4536917877594817</v>
      </c>
      <c r="J241" s="4">
        <f t="shared" si="94"/>
        <v>8.4118326757584114</v>
      </c>
      <c r="K241" s="4">
        <f t="shared" si="95"/>
        <v>5.7037824746562009</v>
      </c>
      <c r="L241" s="2">
        <v>0</v>
      </c>
      <c r="M241" s="2">
        <v>0</v>
      </c>
      <c r="N241" s="4">
        <f t="shared" si="96"/>
        <v>55.7</v>
      </c>
      <c r="O241" s="4">
        <f t="shared" si="97"/>
        <v>0</v>
      </c>
      <c r="P241" s="4">
        <f t="shared" si="98"/>
        <v>0</v>
      </c>
      <c r="Q241" s="4">
        <f t="shared" si="99"/>
        <v>8.4118326757584114</v>
      </c>
      <c r="R241" s="4">
        <f t="shared" si="100"/>
        <v>5.7037824746562009</v>
      </c>
      <c r="S241" s="4">
        <f t="shared" si="101"/>
        <v>55.7</v>
      </c>
      <c r="T241" s="4">
        <f t="shared" si="102"/>
        <v>0</v>
      </c>
      <c r="U241" s="4">
        <f t="shared" si="103"/>
        <v>8.4118326757584114</v>
      </c>
      <c r="V241" s="4">
        <f t="shared" si="104"/>
        <v>5.7037824746562009</v>
      </c>
      <c r="W241" s="4">
        <f t="shared" si="105"/>
        <v>55.7</v>
      </c>
      <c r="X241" s="4">
        <f t="shared" si="106"/>
        <v>0</v>
      </c>
      <c r="Y241" s="4">
        <f t="shared" si="107"/>
        <v>8.4118326757584114</v>
      </c>
      <c r="Z241" s="4">
        <f t="shared" si="108"/>
        <v>5.7037824746562009</v>
      </c>
      <c r="AA241" s="4">
        <f t="shared" si="109"/>
        <v>55.7</v>
      </c>
      <c r="AB241" s="4">
        <f t="shared" si="110"/>
        <v>0</v>
      </c>
      <c r="AC241" s="4">
        <f t="shared" si="111"/>
        <v>0</v>
      </c>
      <c r="AD241" s="4">
        <f t="shared" si="112"/>
        <v>0</v>
      </c>
      <c r="AE241" s="4">
        <f t="shared" si="113"/>
        <v>0</v>
      </c>
      <c r="AF241" s="4">
        <f t="shared" si="114"/>
        <v>0</v>
      </c>
      <c r="AG241" s="4">
        <f t="shared" si="115"/>
        <v>8.4118326757584114</v>
      </c>
      <c r="AH241" s="4">
        <f t="shared" si="116"/>
        <v>0</v>
      </c>
      <c r="AI241" s="4">
        <f t="shared" si="117"/>
        <v>0</v>
      </c>
      <c r="AJ241" s="4">
        <f t="shared" si="118"/>
        <v>8.4118326757584114</v>
      </c>
      <c r="AK241" s="4">
        <f t="shared" si="119"/>
        <v>5.7037824746562009</v>
      </c>
      <c r="AL241" s="4">
        <f t="shared" si="120"/>
        <v>0</v>
      </c>
      <c r="AM241" s="4">
        <f>CER!$C$7+CER!$C$8*J241+CER!$C$9*K241+CER!$C$10*L241+CER!$C$11*M241</f>
        <v>3.3453010549899487</v>
      </c>
      <c r="AN241" s="4">
        <f t="shared" si="121"/>
        <v>28.369115044822525</v>
      </c>
      <c r="AO241" s="4">
        <f t="shared" si="122"/>
        <v>0.10839073276953304</v>
      </c>
      <c r="AP241" s="4">
        <f>Alternatives!$F$25+Alternatives!$F$26*J241+Alternatives!$F$27*K241+Alternatives!$F$28*G241+Alternatives!$F$29*O241</f>
        <v>3.3151634565561277</v>
      </c>
      <c r="AQ241" s="4">
        <f t="shared" si="123"/>
        <v>0.13852833120335406</v>
      </c>
    </row>
    <row r="242" spans="1:43" x14ac:dyDescent="0.35">
      <c r="A242" s="2" t="s">
        <v>260</v>
      </c>
      <c r="B242" s="2" t="s">
        <v>239</v>
      </c>
      <c r="C242" s="2" t="s">
        <v>67</v>
      </c>
      <c r="D242" s="2">
        <v>27.243500000000001</v>
      </c>
      <c r="E242" s="2">
        <v>5000</v>
      </c>
      <c r="F242" s="2">
        <v>400</v>
      </c>
      <c r="G242" s="2">
        <v>55.7</v>
      </c>
      <c r="H242" s="2" t="s">
        <v>68</v>
      </c>
      <c r="I242" s="4">
        <f t="shared" si="93"/>
        <v>3.304814960545853</v>
      </c>
      <c r="J242" s="4">
        <f t="shared" si="94"/>
        <v>8.5171931914162382</v>
      </c>
      <c r="K242" s="4">
        <f t="shared" si="95"/>
        <v>5.9914645471079817</v>
      </c>
      <c r="L242" s="2">
        <v>0</v>
      </c>
      <c r="M242" s="2">
        <v>0</v>
      </c>
      <c r="N242" s="4">
        <f t="shared" si="96"/>
        <v>55.7</v>
      </c>
      <c r="O242" s="4">
        <f t="shared" si="97"/>
        <v>0</v>
      </c>
      <c r="P242" s="4">
        <f t="shared" si="98"/>
        <v>0</v>
      </c>
      <c r="Q242" s="4">
        <f t="shared" si="99"/>
        <v>8.5171931914162382</v>
      </c>
      <c r="R242" s="4">
        <f t="shared" si="100"/>
        <v>5.9914645471079817</v>
      </c>
      <c r="S242" s="4">
        <f t="shared" si="101"/>
        <v>55.7</v>
      </c>
      <c r="T242" s="4">
        <f t="shared" si="102"/>
        <v>0</v>
      </c>
      <c r="U242" s="4">
        <f t="shared" si="103"/>
        <v>8.5171931914162382</v>
      </c>
      <c r="V242" s="4">
        <f t="shared" si="104"/>
        <v>5.9914645471079817</v>
      </c>
      <c r="W242" s="4">
        <f t="shared" si="105"/>
        <v>55.7</v>
      </c>
      <c r="X242" s="4">
        <f t="shared" si="106"/>
        <v>0</v>
      </c>
      <c r="Y242" s="4">
        <f t="shared" si="107"/>
        <v>8.5171931914162382</v>
      </c>
      <c r="Z242" s="4">
        <f t="shared" si="108"/>
        <v>5.9914645471079817</v>
      </c>
      <c r="AA242" s="4">
        <f t="shared" si="109"/>
        <v>55.7</v>
      </c>
      <c r="AB242" s="4">
        <f t="shared" si="110"/>
        <v>0</v>
      </c>
      <c r="AC242" s="4">
        <f t="shared" si="111"/>
        <v>0</v>
      </c>
      <c r="AD242" s="4">
        <f t="shared" si="112"/>
        <v>0</v>
      </c>
      <c r="AE242" s="4">
        <f t="shared" si="113"/>
        <v>0</v>
      </c>
      <c r="AF242" s="4">
        <f t="shared" si="114"/>
        <v>0</v>
      </c>
      <c r="AG242" s="4">
        <f t="shared" si="115"/>
        <v>8.5171931914162382</v>
      </c>
      <c r="AH242" s="4">
        <f t="shared" si="116"/>
        <v>0</v>
      </c>
      <c r="AI242" s="4">
        <f t="shared" si="117"/>
        <v>0</v>
      </c>
      <c r="AJ242" s="4">
        <f t="shared" si="118"/>
        <v>8.5171931914162382</v>
      </c>
      <c r="AK242" s="4">
        <f t="shared" si="119"/>
        <v>5.9914645471079817</v>
      </c>
      <c r="AL242" s="4">
        <f t="shared" si="120"/>
        <v>0</v>
      </c>
      <c r="AM242" s="4">
        <f>CER!$C$7+CER!$C$8*J242+CER!$C$9*K242+CER!$C$10*L242+CER!$C$11*M242</f>
        <v>3.1914648964797947</v>
      </c>
      <c r="AN242" s="4">
        <f t="shared" si="121"/>
        <v>24.324033548217393</v>
      </c>
      <c r="AO242" s="4">
        <f t="shared" si="122"/>
        <v>0.1133500640660583</v>
      </c>
      <c r="AP242" s="4">
        <f>Alternatives!$F$25+Alternatives!$F$26*J242+Alternatives!$F$27*K242+Alternatives!$F$28*G242+Alternatives!$F$29*O242</f>
        <v>3.2776008389775071</v>
      </c>
      <c r="AQ242" s="4">
        <f t="shared" si="123"/>
        <v>2.7214121568345906E-2</v>
      </c>
    </row>
    <row r="243" spans="1:43" x14ac:dyDescent="0.35">
      <c r="A243" s="2" t="s">
        <v>260</v>
      </c>
      <c r="B243" s="2" t="s">
        <v>239</v>
      </c>
      <c r="C243" s="2" t="s">
        <v>67</v>
      </c>
      <c r="D243" s="2">
        <v>26.514099999999999</v>
      </c>
      <c r="E243" s="2">
        <v>5000</v>
      </c>
      <c r="F243" s="2">
        <v>400</v>
      </c>
      <c r="G243" s="2">
        <v>55.7</v>
      </c>
      <c r="H243" s="2" t="s">
        <v>68</v>
      </c>
      <c r="I243" s="4">
        <f t="shared" si="93"/>
        <v>3.277676666961912</v>
      </c>
      <c r="J243" s="4">
        <f t="shared" si="94"/>
        <v>8.5171931914162382</v>
      </c>
      <c r="K243" s="4">
        <f t="shared" si="95"/>
        <v>5.9914645471079817</v>
      </c>
      <c r="L243" s="2">
        <v>0</v>
      </c>
      <c r="M243" s="2">
        <v>0</v>
      </c>
      <c r="N243" s="4">
        <f t="shared" si="96"/>
        <v>55.7</v>
      </c>
      <c r="O243" s="4">
        <f t="shared" si="97"/>
        <v>0</v>
      </c>
      <c r="P243" s="4">
        <f t="shared" si="98"/>
        <v>0</v>
      </c>
      <c r="Q243" s="4">
        <f t="shared" si="99"/>
        <v>8.5171931914162382</v>
      </c>
      <c r="R243" s="4">
        <f t="shared" si="100"/>
        <v>5.9914645471079817</v>
      </c>
      <c r="S243" s="4">
        <f t="shared" si="101"/>
        <v>55.7</v>
      </c>
      <c r="T243" s="4">
        <f t="shared" si="102"/>
        <v>0</v>
      </c>
      <c r="U243" s="4">
        <f t="shared" si="103"/>
        <v>8.5171931914162382</v>
      </c>
      <c r="V243" s="4">
        <f t="shared" si="104"/>
        <v>5.9914645471079817</v>
      </c>
      <c r="W243" s="4">
        <f t="shared" si="105"/>
        <v>55.7</v>
      </c>
      <c r="X243" s="4">
        <f t="shared" si="106"/>
        <v>0</v>
      </c>
      <c r="Y243" s="4">
        <f t="shared" si="107"/>
        <v>8.5171931914162382</v>
      </c>
      <c r="Z243" s="4">
        <f t="shared" si="108"/>
        <v>5.9914645471079817</v>
      </c>
      <c r="AA243" s="4">
        <f t="shared" si="109"/>
        <v>55.7</v>
      </c>
      <c r="AB243" s="4">
        <f t="shared" si="110"/>
        <v>0</v>
      </c>
      <c r="AC243" s="4">
        <f t="shared" si="111"/>
        <v>0</v>
      </c>
      <c r="AD243" s="4">
        <f t="shared" si="112"/>
        <v>0</v>
      </c>
      <c r="AE243" s="4">
        <f t="shared" si="113"/>
        <v>0</v>
      </c>
      <c r="AF243" s="4">
        <f t="shared" si="114"/>
        <v>0</v>
      </c>
      <c r="AG243" s="4">
        <f t="shared" si="115"/>
        <v>8.5171931914162382</v>
      </c>
      <c r="AH243" s="4">
        <f t="shared" si="116"/>
        <v>0</v>
      </c>
      <c r="AI243" s="4">
        <f t="shared" si="117"/>
        <v>0</v>
      </c>
      <c r="AJ243" s="4">
        <f t="shared" si="118"/>
        <v>8.5171931914162382</v>
      </c>
      <c r="AK243" s="4">
        <f t="shared" si="119"/>
        <v>5.9914645471079817</v>
      </c>
      <c r="AL243" s="4">
        <f t="shared" si="120"/>
        <v>0</v>
      </c>
      <c r="AM243" s="4">
        <f>CER!$C$7+CER!$C$8*J243+CER!$C$9*K243+CER!$C$10*L243+CER!$C$11*M243</f>
        <v>3.1914648964797947</v>
      </c>
      <c r="AN243" s="4">
        <f t="shared" si="121"/>
        <v>24.324033548217393</v>
      </c>
      <c r="AO243" s="4">
        <f t="shared" si="122"/>
        <v>8.6211770482117256E-2</v>
      </c>
      <c r="AP243" s="4">
        <f>Alternatives!$F$25+Alternatives!$F$26*J243+Alternatives!$F$27*K243+Alternatives!$F$28*G243+Alternatives!$F$29*O243</f>
        <v>3.2776008389775071</v>
      </c>
      <c r="AQ243" s="4">
        <f t="shared" si="123"/>
        <v>7.5827984404863713E-5</v>
      </c>
    </row>
    <row r="244" spans="1:43" x14ac:dyDescent="0.35">
      <c r="A244" s="2" t="s">
        <v>261</v>
      </c>
      <c r="B244" s="2" t="s">
        <v>239</v>
      </c>
      <c r="C244" s="2" t="s">
        <v>67</v>
      </c>
      <c r="D244" s="2">
        <v>30.282399999999999</v>
      </c>
      <c r="E244" s="2">
        <v>4500</v>
      </c>
      <c r="F244" s="2">
        <v>300</v>
      </c>
      <c r="G244" s="2">
        <v>55.5</v>
      </c>
      <c r="H244" s="2" t="s">
        <v>68</v>
      </c>
      <c r="I244" s="4">
        <f t="shared" si="93"/>
        <v>3.4105666856661019</v>
      </c>
      <c r="J244" s="4">
        <f t="shared" si="94"/>
        <v>8.4118326757584114</v>
      </c>
      <c r="K244" s="4">
        <f t="shared" si="95"/>
        <v>5.7037824746562009</v>
      </c>
      <c r="L244" s="2">
        <v>0</v>
      </c>
      <c r="M244" s="2">
        <v>0</v>
      </c>
      <c r="N244" s="4">
        <f t="shared" si="96"/>
        <v>55.5</v>
      </c>
      <c r="O244" s="4">
        <f t="shared" si="97"/>
        <v>0</v>
      </c>
      <c r="P244" s="4">
        <f t="shared" si="98"/>
        <v>0</v>
      </c>
      <c r="Q244" s="4">
        <f t="shared" si="99"/>
        <v>8.4118326757584114</v>
      </c>
      <c r="R244" s="4">
        <f t="shared" si="100"/>
        <v>5.7037824746562009</v>
      </c>
      <c r="S244" s="4">
        <f t="shared" si="101"/>
        <v>55.5</v>
      </c>
      <c r="T244" s="4">
        <f t="shared" si="102"/>
        <v>0</v>
      </c>
      <c r="U244" s="4">
        <f t="shared" si="103"/>
        <v>8.4118326757584114</v>
      </c>
      <c r="V244" s="4">
        <f t="shared" si="104"/>
        <v>5.7037824746562009</v>
      </c>
      <c r="W244" s="4">
        <f t="shared" si="105"/>
        <v>55.5</v>
      </c>
      <c r="X244" s="4">
        <f t="shared" si="106"/>
        <v>0</v>
      </c>
      <c r="Y244" s="4">
        <f t="shared" si="107"/>
        <v>8.4118326757584114</v>
      </c>
      <c r="Z244" s="4">
        <f t="shared" si="108"/>
        <v>5.7037824746562009</v>
      </c>
      <c r="AA244" s="4">
        <f t="shared" si="109"/>
        <v>55.5</v>
      </c>
      <c r="AB244" s="4">
        <f t="shared" si="110"/>
        <v>0</v>
      </c>
      <c r="AC244" s="4">
        <f t="shared" si="111"/>
        <v>0</v>
      </c>
      <c r="AD244" s="4">
        <f t="shared" si="112"/>
        <v>0</v>
      </c>
      <c r="AE244" s="4">
        <f t="shared" si="113"/>
        <v>0</v>
      </c>
      <c r="AF244" s="4">
        <f t="shared" si="114"/>
        <v>0</v>
      </c>
      <c r="AG244" s="4">
        <f t="shared" si="115"/>
        <v>8.4118326757584114</v>
      </c>
      <c r="AH244" s="4">
        <f t="shared" si="116"/>
        <v>0</v>
      </c>
      <c r="AI244" s="4">
        <f t="shared" si="117"/>
        <v>0</v>
      </c>
      <c r="AJ244" s="4">
        <f t="shared" si="118"/>
        <v>8.4118326757584114</v>
      </c>
      <c r="AK244" s="4">
        <f t="shared" si="119"/>
        <v>5.7037824746562009</v>
      </c>
      <c r="AL244" s="4">
        <f t="shared" si="120"/>
        <v>0</v>
      </c>
      <c r="AM244" s="4">
        <f>CER!$C$7+CER!$C$8*J244+CER!$C$9*K244+CER!$C$10*L244+CER!$C$11*M244</f>
        <v>3.3453010549899487</v>
      </c>
      <c r="AN244" s="4">
        <f t="shared" si="121"/>
        <v>28.369115044822525</v>
      </c>
      <c r="AO244" s="4">
        <f t="shared" si="122"/>
        <v>6.5265630676153208E-2</v>
      </c>
      <c r="AP244" s="4">
        <f>Alternatives!$F$25+Alternatives!$F$26*J244+Alternatives!$F$27*K244+Alternatives!$F$28*G244+Alternatives!$F$29*O244</f>
        <v>3.3177649194645733</v>
      </c>
      <c r="AQ244" s="4">
        <f t="shared" si="123"/>
        <v>9.2801766201528579E-2</v>
      </c>
    </row>
    <row r="245" spans="1:43" x14ac:dyDescent="0.35">
      <c r="A245" s="2" t="s">
        <v>261</v>
      </c>
      <c r="B245" s="2" t="s">
        <v>239</v>
      </c>
      <c r="C245" s="2" t="s">
        <v>67</v>
      </c>
      <c r="D245" s="2">
        <v>26.521100000000001</v>
      </c>
      <c r="E245" s="2">
        <v>5000</v>
      </c>
      <c r="F245" s="2">
        <v>400</v>
      </c>
      <c r="G245" s="2">
        <v>55.5</v>
      </c>
      <c r="H245" s="2" t="s">
        <v>68</v>
      </c>
      <c r="I245" s="4">
        <f t="shared" si="93"/>
        <v>3.2779406425871813</v>
      </c>
      <c r="J245" s="4">
        <f t="shared" si="94"/>
        <v>8.5171931914162382</v>
      </c>
      <c r="K245" s="4">
        <f t="shared" si="95"/>
        <v>5.9914645471079817</v>
      </c>
      <c r="L245" s="2">
        <v>0</v>
      </c>
      <c r="M245" s="2">
        <v>0</v>
      </c>
      <c r="N245" s="4">
        <f t="shared" si="96"/>
        <v>55.5</v>
      </c>
      <c r="O245" s="4">
        <f t="shared" si="97"/>
        <v>0</v>
      </c>
      <c r="P245" s="4">
        <f t="shared" si="98"/>
        <v>0</v>
      </c>
      <c r="Q245" s="4">
        <f t="shared" si="99"/>
        <v>8.5171931914162382</v>
      </c>
      <c r="R245" s="4">
        <f t="shared" si="100"/>
        <v>5.9914645471079817</v>
      </c>
      <c r="S245" s="4">
        <f t="shared" si="101"/>
        <v>55.5</v>
      </c>
      <c r="T245" s="4">
        <f t="shared" si="102"/>
        <v>0</v>
      </c>
      <c r="U245" s="4">
        <f t="shared" si="103"/>
        <v>8.5171931914162382</v>
      </c>
      <c r="V245" s="4">
        <f t="shared" si="104"/>
        <v>5.9914645471079817</v>
      </c>
      <c r="W245" s="4">
        <f t="shared" si="105"/>
        <v>55.5</v>
      </c>
      <c r="X245" s="4">
        <f t="shared" si="106"/>
        <v>0</v>
      </c>
      <c r="Y245" s="4">
        <f t="shared" si="107"/>
        <v>8.5171931914162382</v>
      </c>
      <c r="Z245" s="4">
        <f t="shared" si="108"/>
        <v>5.9914645471079817</v>
      </c>
      <c r="AA245" s="4">
        <f t="shared" si="109"/>
        <v>55.5</v>
      </c>
      <c r="AB245" s="4">
        <f t="shared" si="110"/>
        <v>0</v>
      </c>
      <c r="AC245" s="4">
        <f t="shared" si="111"/>
        <v>0</v>
      </c>
      <c r="AD245" s="4">
        <f t="shared" si="112"/>
        <v>0</v>
      </c>
      <c r="AE245" s="4">
        <f t="shared" si="113"/>
        <v>0</v>
      </c>
      <c r="AF245" s="4">
        <f t="shared" si="114"/>
        <v>0</v>
      </c>
      <c r="AG245" s="4">
        <f t="shared" si="115"/>
        <v>8.5171931914162382</v>
      </c>
      <c r="AH245" s="4">
        <f t="shared" si="116"/>
        <v>0</v>
      </c>
      <c r="AI245" s="4">
        <f t="shared" si="117"/>
        <v>0</v>
      </c>
      <c r="AJ245" s="4">
        <f t="shared" si="118"/>
        <v>8.5171931914162382</v>
      </c>
      <c r="AK245" s="4">
        <f t="shared" si="119"/>
        <v>5.9914645471079817</v>
      </c>
      <c r="AL245" s="4">
        <f t="shared" si="120"/>
        <v>0</v>
      </c>
      <c r="AM245" s="4">
        <f>CER!$C$7+CER!$C$8*J245+CER!$C$9*K245+CER!$C$10*L245+CER!$C$11*M245</f>
        <v>3.1914648964797947</v>
      </c>
      <c r="AN245" s="4">
        <f t="shared" si="121"/>
        <v>24.324033548217393</v>
      </c>
      <c r="AO245" s="4">
        <f t="shared" si="122"/>
        <v>8.647574610738662E-2</v>
      </c>
      <c r="AP245" s="4">
        <f>Alternatives!$F$25+Alternatives!$F$26*J245+Alternatives!$F$27*K245+Alternatives!$F$28*G245+Alternatives!$F$29*O245</f>
        <v>3.2802023018859527</v>
      </c>
      <c r="AQ245" s="4">
        <f t="shared" si="123"/>
        <v>-2.2616592987714235E-3</v>
      </c>
    </row>
    <row r="246" spans="1:43" x14ac:dyDescent="0.35">
      <c r="A246" s="2" t="s">
        <v>261</v>
      </c>
      <c r="B246" s="2" t="s">
        <v>239</v>
      </c>
      <c r="C246" s="2" t="s">
        <v>67</v>
      </c>
      <c r="D246" s="2">
        <v>26.285699999999999</v>
      </c>
      <c r="E246" s="2">
        <v>5000</v>
      </c>
      <c r="F246" s="2">
        <v>400</v>
      </c>
      <c r="G246" s="2">
        <v>55.5</v>
      </c>
      <c r="H246" s="2" t="s">
        <v>68</v>
      </c>
      <c r="I246" s="4">
        <f t="shared" si="93"/>
        <v>3.2690250650752639</v>
      </c>
      <c r="J246" s="4">
        <f t="shared" si="94"/>
        <v>8.5171931914162382</v>
      </c>
      <c r="K246" s="4">
        <f t="shared" si="95"/>
        <v>5.9914645471079817</v>
      </c>
      <c r="L246" s="2">
        <v>0</v>
      </c>
      <c r="M246" s="2">
        <v>0</v>
      </c>
      <c r="N246" s="4">
        <f t="shared" si="96"/>
        <v>55.5</v>
      </c>
      <c r="O246" s="4">
        <f t="shared" si="97"/>
        <v>0</v>
      </c>
      <c r="P246" s="4">
        <f t="shared" si="98"/>
        <v>0</v>
      </c>
      <c r="Q246" s="4">
        <f t="shared" si="99"/>
        <v>8.5171931914162382</v>
      </c>
      <c r="R246" s="4">
        <f t="shared" si="100"/>
        <v>5.9914645471079817</v>
      </c>
      <c r="S246" s="4">
        <f t="shared" si="101"/>
        <v>55.5</v>
      </c>
      <c r="T246" s="4">
        <f t="shared" si="102"/>
        <v>0</v>
      </c>
      <c r="U246" s="4">
        <f t="shared" si="103"/>
        <v>8.5171931914162382</v>
      </c>
      <c r="V246" s="4">
        <f t="shared" si="104"/>
        <v>5.9914645471079817</v>
      </c>
      <c r="W246" s="4">
        <f t="shared" si="105"/>
        <v>55.5</v>
      </c>
      <c r="X246" s="4">
        <f t="shared" si="106"/>
        <v>0</v>
      </c>
      <c r="Y246" s="4">
        <f t="shared" si="107"/>
        <v>8.5171931914162382</v>
      </c>
      <c r="Z246" s="4">
        <f t="shared" si="108"/>
        <v>5.9914645471079817</v>
      </c>
      <c r="AA246" s="4">
        <f t="shared" si="109"/>
        <v>55.5</v>
      </c>
      <c r="AB246" s="4">
        <f t="shared" si="110"/>
        <v>0</v>
      </c>
      <c r="AC246" s="4">
        <f t="shared" si="111"/>
        <v>0</v>
      </c>
      <c r="AD246" s="4">
        <f t="shared" si="112"/>
        <v>0</v>
      </c>
      <c r="AE246" s="4">
        <f t="shared" si="113"/>
        <v>0</v>
      </c>
      <c r="AF246" s="4">
        <f t="shared" si="114"/>
        <v>0</v>
      </c>
      <c r="AG246" s="4">
        <f t="shared" si="115"/>
        <v>8.5171931914162382</v>
      </c>
      <c r="AH246" s="4">
        <f t="shared" si="116"/>
        <v>0</v>
      </c>
      <c r="AI246" s="4">
        <f t="shared" si="117"/>
        <v>0</v>
      </c>
      <c r="AJ246" s="4">
        <f t="shared" si="118"/>
        <v>8.5171931914162382</v>
      </c>
      <c r="AK246" s="4">
        <f t="shared" si="119"/>
        <v>5.9914645471079817</v>
      </c>
      <c r="AL246" s="4">
        <f t="shared" si="120"/>
        <v>0</v>
      </c>
      <c r="AM246" s="4">
        <f>CER!$C$7+CER!$C$8*J246+CER!$C$9*K246+CER!$C$10*L246+CER!$C$11*M246</f>
        <v>3.1914648964797947</v>
      </c>
      <c r="AN246" s="4">
        <f t="shared" si="121"/>
        <v>24.324033548217393</v>
      </c>
      <c r="AO246" s="4">
        <f t="shared" si="122"/>
        <v>7.7560168595469214E-2</v>
      </c>
      <c r="AP246" s="4">
        <f>Alternatives!$F$25+Alternatives!$F$26*J246+Alternatives!$F$27*K246+Alternatives!$F$28*G246+Alternatives!$F$29*O246</f>
        <v>3.2802023018859527</v>
      </c>
      <c r="AQ246" s="4">
        <f t="shared" si="123"/>
        <v>-1.1177236810688829E-2</v>
      </c>
    </row>
    <row r="247" spans="1:43" x14ac:dyDescent="0.35">
      <c r="A247" s="2" t="s">
        <v>262</v>
      </c>
      <c r="B247" s="2" t="s">
        <v>239</v>
      </c>
      <c r="C247" s="2" t="s">
        <v>67</v>
      </c>
      <c r="D247" s="2">
        <v>22.232800000000001</v>
      </c>
      <c r="E247" s="2">
        <v>5500</v>
      </c>
      <c r="F247" s="2">
        <v>418</v>
      </c>
      <c r="G247" s="2">
        <v>60.2</v>
      </c>
      <c r="H247" s="2" t="s">
        <v>68</v>
      </c>
      <c r="I247" s="4">
        <f t="shared" si="93"/>
        <v>3.1015686759597547</v>
      </c>
      <c r="J247" s="4">
        <f t="shared" si="94"/>
        <v>8.6125033712205621</v>
      </c>
      <c r="K247" s="4">
        <f t="shared" si="95"/>
        <v>6.0354814325247563</v>
      </c>
      <c r="L247" s="2">
        <v>0</v>
      </c>
      <c r="M247" s="2">
        <v>0</v>
      </c>
      <c r="N247" s="4">
        <f t="shared" si="96"/>
        <v>60.2</v>
      </c>
      <c r="O247" s="4">
        <f t="shared" si="97"/>
        <v>0</v>
      </c>
      <c r="P247" s="4">
        <f t="shared" si="98"/>
        <v>0</v>
      </c>
      <c r="Q247" s="4">
        <f t="shared" si="99"/>
        <v>8.6125033712205621</v>
      </c>
      <c r="R247" s="4">
        <f t="shared" si="100"/>
        <v>6.0354814325247563</v>
      </c>
      <c r="S247" s="4">
        <f t="shared" si="101"/>
        <v>60.2</v>
      </c>
      <c r="T247" s="4">
        <f t="shared" si="102"/>
        <v>0</v>
      </c>
      <c r="U247" s="4">
        <f t="shared" si="103"/>
        <v>8.6125033712205621</v>
      </c>
      <c r="V247" s="4">
        <f t="shared" si="104"/>
        <v>6.0354814325247563</v>
      </c>
      <c r="W247" s="4">
        <f t="shared" si="105"/>
        <v>60.2</v>
      </c>
      <c r="X247" s="4">
        <f t="shared" si="106"/>
        <v>0</v>
      </c>
      <c r="Y247" s="4">
        <f t="shared" si="107"/>
        <v>8.6125033712205621</v>
      </c>
      <c r="Z247" s="4">
        <f t="shared" si="108"/>
        <v>6.0354814325247563</v>
      </c>
      <c r="AA247" s="4">
        <f t="shared" si="109"/>
        <v>60.2</v>
      </c>
      <c r="AB247" s="4">
        <f t="shared" si="110"/>
        <v>0</v>
      </c>
      <c r="AC247" s="4">
        <f t="shared" si="111"/>
        <v>0</v>
      </c>
      <c r="AD247" s="4">
        <f t="shared" si="112"/>
        <v>0</v>
      </c>
      <c r="AE247" s="4">
        <f t="shared" si="113"/>
        <v>0</v>
      </c>
      <c r="AF247" s="4">
        <f t="shared" si="114"/>
        <v>0</v>
      </c>
      <c r="AG247" s="4">
        <f t="shared" si="115"/>
        <v>8.6125033712205621</v>
      </c>
      <c r="AH247" s="4">
        <f t="shared" si="116"/>
        <v>0</v>
      </c>
      <c r="AI247" s="4">
        <f t="shared" si="117"/>
        <v>0</v>
      </c>
      <c r="AJ247" s="4">
        <f t="shared" si="118"/>
        <v>8.6125033712205621</v>
      </c>
      <c r="AK247" s="4">
        <f t="shared" si="119"/>
        <v>6.0354814325247563</v>
      </c>
      <c r="AL247" s="4">
        <f t="shared" si="120"/>
        <v>0</v>
      </c>
      <c r="AM247" s="4">
        <f>CER!$C$7+CER!$C$8*J247+CER!$C$9*K247+CER!$C$10*L247+CER!$C$11*M247</f>
        <v>3.1320773557107087</v>
      </c>
      <c r="AN247" s="4">
        <f t="shared" si="121"/>
        <v>22.92154632392668</v>
      </c>
      <c r="AO247" s="4">
        <f t="shared" si="122"/>
        <v>-3.0508679750953949E-2</v>
      </c>
      <c r="AP247" s="4">
        <f>Alternatives!$F$25+Alternatives!$F$26*J247+Alternatives!$F$27*K247+Alternatives!$F$28*G247+Alternatives!$F$29*O247</f>
        <v>3.2426275526869479</v>
      </c>
      <c r="AQ247" s="4">
        <f t="shared" si="123"/>
        <v>-0.14105887672719319</v>
      </c>
    </row>
    <row r="248" spans="1:43" x14ac:dyDescent="0.35">
      <c r="A248" s="2" t="s">
        <v>263</v>
      </c>
      <c r="B248" s="2" t="s">
        <v>239</v>
      </c>
      <c r="C248" s="2" t="s">
        <v>67</v>
      </c>
      <c r="D248" s="2">
        <v>40.184100000000001</v>
      </c>
      <c r="E248" s="2">
        <v>3500</v>
      </c>
      <c r="F248" s="2">
        <v>170</v>
      </c>
      <c r="G248" s="2">
        <v>46.3</v>
      </c>
      <c r="H248" s="2" t="s">
        <v>68</v>
      </c>
      <c r="I248" s="4">
        <f t="shared" si="93"/>
        <v>3.6934713949973048</v>
      </c>
      <c r="J248" s="4">
        <f t="shared" si="94"/>
        <v>8.1605182474775049</v>
      </c>
      <c r="K248" s="4">
        <f t="shared" si="95"/>
        <v>5.1357984370502621</v>
      </c>
      <c r="L248" s="2">
        <v>0</v>
      </c>
      <c r="M248" s="2">
        <v>0</v>
      </c>
      <c r="N248" s="4">
        <f t="shared" si="96"/>
        <v>46.3</v>
      </c>
      <c r="O248" s="4">
        <f t="shared" si="97"/>
        <v>0</v>
      </c>
      <c r="P248" s="4">
        <f t="shared" si="98"/>
        <v>0</v>
      </c>
      <c r="Q248" s="4">
        <f t="shared" si="99"/>
        <v>8.1605182474775049</v>
      </c>
      <c r="R248" s="4">
        <f t="shared" si="100"/>
        <v>5.1357984370502621</v>
      </c>
      <c r="S248" s="4">
        <f t="shared" si="101"/>
        <v>46.3</v>
      </c>
      <c r="T248" s="4">
        <f t="shared" si="102"/>
        <v>0</v>
      </c>
      <c r="U248" s="4">
        <f t="shared" si="103"/>
        <v>8.1605182474775049</v>
      </c>
      <c r="V248" s="4">
        <f t="shared" si="104"/>
        <v>5.1357984370502621</v>
      </c>
      <c r="W248" s="4">
        <f t="shared" si="105"/>
        <v>46.3</v>
      </c>
      <c r="X248" s="4">
        <f t="shared" si="106"/>
        <v>0</v>
      </c>
      <c r="Y248" s="4">
        <f t="shared" si="107"/>
        <v>8.1605182474775049</v>
      </c>
      <c r="Z248" s="4">
        <f t="shared" si="108"/>
        <v>5.1357984370502621</v>
      </c>
      <c r="AA248" s="4">
        <f t="shared" si="109"/>
        <v>46.3</v>
      </c>
      <c r="AB248" s="4">
        <f t="shared" si="110"/>
        <v>0</v>
      </c>
      <c r="AC248" s="4">
        <f t="shared" si="111"/>
        <v>0</v>
      </c>
      <c r="AD248" s="4">
        <f t="shared" si="112"/>
        <v>0</v>
      </c>
      <c r="AE248" s="4">
        <f t="shared" si="113"/>
        <v>0</v>
      </c>
      <c r="AF248" s="4">
        <f t="shared" si="114"/>
        <v>0</v>
      </c>
      <c r="AG248" s="4">
        <f t="shared" si="115"/>
        <v>8.1605182474775049</v>
      </c>
      <c r="AH248" s="4">
        <f t="shared" si="116"/>
        <v>0</v>
      </c>
      <c r="AI248" s="4">
        <f t="shared" si="117"/>
        <v>0</v>
      </c>
      <c r="AJ248" s="4">
        <f t="shared" si="118"/>
        <v>8.1605182474775049</v>
      </c>
      <c r="AK248" s="4">
        <f t="shared" si="119"/>
        <v>5.1357984370502621</v>
      </c>
      <c r="AL248" s="4">
        <f t="shared" si="120"/>
        <v>0</v>
      </c>
      <c r="AM248" s="4">
        <f>CER!$C$7+CER!$C$8*J248+CER!$C$9*K248+CER!$C$10*L248+CER!$C$11*M248</f>
        <v>3.6686275288178711</v>
      </c>
      <c r="AN248" s="4">
        <f t="shared" si="121"/>
        <v>39.198070702719455</v>
      </c>
      <c r="AO248" s="4">
        <f t="shared" si="122"/>
        <v>2.4843866179433682E-2</v>
      </c>
      <c r="AP248" s="4">
        <f>Alternatives!$F$25+Alternatives!$F$26*J248+Alternatives!$F$27*K248+Alternatives!$F$28*G248+Alternatives!$F$29*O248</f>
        <v>3.4955704812741226</v>
      </c>
      <c r="AQ248" s="4">
        <f t="shared" si="123"/>
        <v>0.19790091372318219</v>
      </c>
    </row>
    <row r="249" spans="1:43" x14ac:dyDescent="0.35">
      <c r="A249" s="2" t="s">
        <v>264</v>
      </c>
      <c r="B249" s="2" t="s">
        <v>239</v>
      </c>
      <c r="C249" s="2" t="s">
        <v>67</v>
      </c>
      <c r="D249" s="2">
        <v>38.560499999999998</v>
      </c>
      <c r="E249" s="2">
        <v>3500</v>
      </c>
      <c r="F249" s="2">
        <v>170</v>
      </c>
      <c r="G249" s="2">
        <v>46.2</v>
      </c>
      <c r="H249" s="2" t="s">
        <v>68</v>
      </c>
      <c r="I249" s="4">
        <f t="shared" si="93"/>
        <v>3.6522284364632558</v>
      </c>
      <c r="J249" s="4">
        <f t="shared" si="94"/>
        <v>8.1605182474775049</v>
      </c>
      <c r="K249" s="4">
        <f t="shared" si="95"/>
        <v>5.1357984370502621</v>
      </c>
      <c r="L249" s="2">
        <v>0</v>
      </c>
      <c r="M249" s="2">
        <v>0</v>
      </c>
      <c r="N249" s="4">
        <f t="shared" si="96"/>
        <v>46.2</v>
      </c>
      <c r="O249" s="4">
        <f t="shared" si="97"/>
        <v>0</v>
      </c>
      <c r="P249" s="4">
        <f t="shared" si="98"/>
        <v>0</v>
      </c>
      <c r="Q249" s="4">
        <f t="shared" si="99"/>
        <v>8.1605182474775049</v>
      </c>
      <c r="R249" s="4">
        <f t="shared" si="100"/>
        <v>5.1357984370502621</v>
      </c>
      <c r="S249" s="4">
        <f t="shared" si="101"/>
        <v>46.2</v>
      </c>
      <c r="T249" s="4">
        <f t="shared" si="102"/>
        <v>0</v>
      </c>
      <c r="U249" s="4">
        <f t="shared" si="103"/>
        <v>8.1605182474775049</v>
      </c>
      <c r="V249" s="4">
        <f t="shared" si="104"/>
        <v>5.1357984370502621</v>
      </c>
      <c r="W249" s="4">
        <f t="shared" si="105"/>
        <v>46.2</v>
      </c>
      <c r="X249" s="4">
        <f t="shared" si="106"/>
        <v>0</v>
      </c>
      <c r="Y249" s="4">
        <f t="shared" si="107"/>
        <v>8.1605182474775049</v>
      </c>
      <c r="Z249" s="4">
        <f t="shared" si="108"/>
        <v>5.1357984370502621</v>
      </c>
      <c r="AA249" s="4">
        <f t="shared" si="109"/>
        <v>46.2</v>
      </c>
      <c r="AB249" s="4">
        <f t="shared" si="110"/>
        <v>0</v>
      </c>
      <c r="AC249" s="4">
        <f t="shared" si="111"/>
        <v>0</v>
      </c>
      <c r="AD249" s="4">
        <f t="shared" si="112"/>
        <v>0</v>
      </c>
      <c r="AE249" s="4">
        <f t="shared" si="113"/>
        <v>0</v>
      </c>
      <c r="AF249" s="4">
        <f t="shared" si="114"/>
        <v>0</v>
      </c>
      <c r="AG249" s="4">
        <f t="shared" si="115"/>
        <v>8.1605182474775049</v>
      </c>
      <c r="AH249" s="4">
        <f t="shared" si="116"/>
        <v>0</v>
      </c>
      <c r="AI249" s="4">
        <f t="shared" si="117"/>
        <v>0</v>
      </c>
      <c r="AJ249" s="4">
        <f t="shared" si="118"/>
        <v>8.1605182474775049</v>
      </c>
      <c r="AK249" s="4">
        <f t="shared" si="119"/>
        <v>5.1357984370502621</v>
      </c>
      <c r="AL249" s="4">
        <f t="shared" si="120"/>
        <v>0</v>
      </c>
      <c r="AM249" s="4">
        <f>CER!$C$7+CER!$C$8*J249+CER!$C$9*K249+CER!$C$10*L249+CER!$C$11*M249</f>
        <v>3.6686275288178711</v>
      </c>
      <c r="AN249" s="4">
        <f t="shared" si="121"/>
        <v>39.198070702719455</v>
      </c>
      <c r="AO249" s="4">
        <f t="shared" si="122"/>
        <v>-1.6399092354615341E-2</v>
      </c>
      <c r="AP249" s="4">
        <f>Alternatives!$F$25+Alternatives!$F$26*J249+Alternatives!$F$27*K249+Alternatives!$F$28*G249+Alternatives!$F$29*O249</f>
        <v>3.4968712127283457</v>
      </c>
      <c r="AQ249" s="4">
        <f t="shared" si="123"/>
        <v>0.15535722373491012</v>
      </c>
    </row>
    <row r="250" spans="1:43" x14ac:dyDescent="0.35">
      <c r="A250" s="2" t="s">
        <v>264</v>
      </c>
      <c r="B250" s="2" t="s">
        <v>239</v>
      </c>
      <c r="C250" s="2" t="s">
        <v>67</v>
      </c>
      <c r="D250" s="2">
        <v>35.281500000000001</v>
      </c>
      <c r="E250" s="2">
        <v>4000</v>
      </c>
      <c r="F250" s="2">
        <v>250</v>
      </c>
      <c r="G250" s="2">
        <v>46.2</v>
      </c>
      <c r="H250" s="2" t="s">
        <v>68</v>
      </c>
      <c r="I250" s="4">
        <f t="shared" si="93"/>
        <v>3.5633587472415709</v>
      </c>
      <c r="J250" s="4">
        <f t="shared" si="94"/>
        <v>8.2940496401020276</v>
      </c>
      <c r="K250" s="4">
        <f t="shared" si="95"/>
        <v>5.521460917862246</v>
      </c>
      <c r="L250" s="2">
        <v>0</v>
      </c>
      <c r="M250" s="2">
        <v>0</v>
      </c>
      <c r="N250" s="4">
        <f t="shared" si="96"/>
        <v>46.2</v>
      </c>
      <c r="O250" s="4">
        <f t="shared" si="97"/>
        <v>0</v>
      </c>
      <c r="P250" s="4">
        <f t="shared" si="98"/>
        <v>0</v>
      </c>
      <c r="Q250" s="4">
        <f t="shared" si="99"/>
        <v>8.2940496401020276</v>
      </c>
      <c r="R250" s="4">
        <f t="shared" si="100"/>
        <v>5.521460917862246</v>
      </c>
      <c r="S250" s="4">
        <f t="shared" si="101"/>
        <v>46.2</v>
      </c>
      <c r="T250" s="4">
        <f t="shared" si="102"/>
        <v>0</v>
      </c>
      <c r="U250" s="4">
        <f t="shared" si="103"/>
        <v>8.2940496401020276</v>
      </c>
      <c r="V250" s="4">
        <f t="shared" si="104"/>
        <v>5.521460917862246</v>
      </c>
      <c r="W250" s="4">
        <f t="shared" si="105"/>
        <v>46.2</v>
      </c>
      <c r="X250" s="4">
        <f t="shared" si="106"/>
        <v>0</v>
      </c>
      <c r="Y250" s="4">
        <f t="shared" si="107"/>
        <v>8.2940496401020276</v>
      </c>
      <c r="Z250" s="4">
        <f t="shared" si="108"/>
        <v>5.521460917862246</v>
      </c>
      <c r="AA250" s="4">
        <f t="shared" si="109"/>
        <v>46.2</v>
      </c>
      <c r="AB250" s="4">
        <f t="shared" si="110"/>
        <v>0</v>
      </c>
      <c r="AC250" s="4">
        <f t="shared" si="111"/>
        <v>0</v>
      </c>
      <c r="AD250" s="4">
        <f t="shared" si="112"/>
        <v>0</v>
      </c>
      <c r="AE250" s="4">
        <f t="shared" si="113"/>
        <v>0</v>
      </c>
      <c r="AF250" s="4">
        <f t="shared" si="114"/>
        <v>0</v>
      </c>
      <c r="AG250" s="4">
        <f t="shared" si="115"/>
        <v>8.2940496401020276</v>
      </c>
      <c r="AH250" s="4">
        <f t="shared" si="116"/>
        <v>0</v>
      </c>
      <c r="AI250" s="4">
        <f t="shared" si="117"/>
        <v>0</v>
      </c>
      <c r="AJ250" s="4">
        <f t="shared" si="118"/>
        <v>8.2940496401020276</v>
      </c>
      <c r="AK250" s="4">
        <f t="shared" si="119"/>
        <v>5.521460917862246</v>
      </c>
      <c r="AL250" s="4">
        <f t="shared" si="120"/>
        <v>0</v>
      </c>
      <c r="AM250" s="4">
        <f>CER!$C$7+CER!$C$8*J250+CER!$C$9*K250+CER!$C$10*L250+CER!$C$11*M250</f>
        <v>3.4658889016503953</v>
      </c>
      <c r="AN250" s="4">
        <f t="shared" si="121"/>
        <v>32.004896337778874</v>
      </c>
      <c r="AO250" s="4">
        <f t="shared" si="122"/>
        <v>9.7469845591175552E-2</v>
      </c>
      <c r="AP250" s="4">
        <f>Alternatives!$F$25+Alternatives!$F$26*J250+Alternatives!$F$27*K250+Alternatives!$F$28*G250+Alternatives!$F$29*O250</f>
        <v>3.4436606783811987</v>
      </c>
      <c r="AQ250" s="4">
        <f t="shared" si="123"/>
        <v>0.11969806886037215</v>
      </c>
    </row>
    <row r="251" spans="1:43" x14ac:dyDescent="0.35">
      <c r="A251" s="2" t="s">
        <v>265</v>
      </c>
      <c r="B251" s="2" t="s">
        <v>239</v>
      </c>
      <c r="C251" s="2" t="s">
        <v>67</v>
      </c>
      <c r="D251" s="2">
        <v>28.16</v>
      </c>
      <c r="E251" s="2">
        <v>5000</v>
      </c>
      <c r="F251" s="2">
        <v>300</v>
      </c>
      <c r="G251" s="2">
        <v>55.5</v>
      </c>
      <c r="H251" s="2" t="s">
        <v>68</v>
      </c>
      <c r="I251" s="4">
        <f t="shared" si="93"/>
        <v>3.3379025312898416</v>
      </c>
      <c r="J251" s="4">
        <f t="shared" si="94"/>
        <v>8.5171931914162382</v>
      </c>
      <c r="K251" s="4">
        <f t="shared" si="95"/>
        <v>5.7037824746562009</v>
      </c>
      <c r="L251" s="2">
        <v>0</v>
      </c>
      <c r="M251" s="2">
        <v>0</v>
      </c>
      <c r="N251" s="4">
        <f t="shared" si="96"/>
        <v>55.5</v>
      </c>
      <c r="O251" s="4">
        <f t="shared" si="97"/>
        <v>0</v>
      </c>
      <c r="P251" s="4">
        <f t="shared" si="98"/>
        <v>0</v>
      </c>
      <c r="Q251" s="4">
        <f t="shared" si="99"/>
        <v>8.5171931914162382</v>
      </c>
      <c r="R251" s="4">
        <f t="shared" si="100"/>
        <v>5.7037824746562009</v>
      </c>
      <c r="S251" s="4">
        <f t="shared" si="101"/>
        <v>55.5</v>
      </c>
      <c r="T251" s="4">
        <f t="shared" si="102"/>
        <v>0</v>
      </c>
      <c r="U251" s="4">
        <f t="shared" si="103"/>
        <v>8.5171931914162382</v>
      </c>
      <c r="V251" s="4">
        <f t="shared" si="104"/>
        <v>5.7037824746562009</v>
      </c>
      <c r="W251" s="4">
        <f t="shared" si="105"/>
        <v>55.5</v>
      </c>
      <c r="X251" s="4">
        <f t="shared" si="106"/>
        <v>0</v>
      </c>
      <c r="Y251" s="4">
        <f t="shared" si="107"/>
        <v>8.5171931914162382</v>
      </c>
      <c r="Z251" s="4">
        <f t="shared" si="108"/>
        <v>5.7037824746562009</v>
      </c>
      <c r="AA251" s="4">
        <f t="shared" si="109"/>
        <v>55.5</v>
      </c>
      <c r="AB251" s="4">
        <f t="shared" si="110"/>
        <v>0</v>
      </c>
      <c r="AC251" s="4">
        <f t="shared" si="111"/>
        <v>0</v>
      </c>
      <c r="AD251" s="4">
        <f t="shared" si="112"/>
        <v>0</v>
      </c>
      <c r="AE251" s="4">
        <f t="shared" si="113"/>
        <v>0</v>
      </c>
      <c r="AF251" s="4">
        <f t="shared" si="114"/>
        <v>0</v>
      </c>
      <c r="AG251" s="4">
        <f t="shared" si="115"/>
        <v>8.5171931914162382</v>
      </c>
      <c r="AH251" s="4">
        <f t="shared" si="116"/>
        <v>0</v>
      </c>
      <c r="AI251" s="4">
        <f t="shared" si="117"/>
        <v>0</v>
      </c>
      <c r="AJ251" s="4">
        <f t="shared" si="118"/>
        <v>8.5171931914162382</v>
      </c>
      <c r="AK251" s="4">
        <f t="shared" si="119"/>
        <v>5.7037824746562009</v>
      </c>
      <c r="AL251" s="4">
        <f t="shared" si="120"/>
        <v>0</v>
      </c>
      <c r="AM251" s="4">
        <f>CER!$C$7+CER!$C$8*J251+CER!$C$9*K251+CER!$C$10*L251+CER!$C$11*M251</f>
        <v>3.2976033887032239</v>
      </c>
      <c r="AN251" s="4">
        <f t="shared" si="121"/>
        <v>27.047738265820904</v>
      </c>
      <c r="AO251" s="4">
        <f t="shared" si="122"/>
        <v>4.0299142586617709E-2</v>
      </c>
      <c r="AP251" s="4">
        <f>Alternatives!$F$25+Alternatives!$F$26*J251+Alternatives!$F$27*K251+Alternatives!$F$28*G251+Alternatives!$F$29*O251</f>
        <v>3.3567573689543044</v>
      </c>
      <c r="AQ251" s="4">
        <f t="shared" si="123"/>
        <v>-1.8854837664462831E-2</v>
      </c>
    </row>
    <row r="252" spans="1:43" x14ac:dyDescent="0.35">
      <c r="A252" s="2" t="s">
        <v>266</v>
      </c>
      <c r="B252" s="2" t="s">
        <v>239</v>
      </c>
      <c r="C252" s="2" t="s">
        <v>67</v>
      </c>
      <c r="D252" s="2">
        <v>19.117599999999999</v>
      </c>
      <c r="E252" s="2">
        <v>4500</v>
      </c>
      <c r="F252" s="2">
        <v>282</v>
      </c>
      <c r="G252" s="2">
        <v>55.6</v>
      </c>
      <c r="H252" s="2" t="s">
        <v>68</v>
      </c>
      <c r="I252" s="4">
        <f t="shared" si="93"/>
        <v>2.9506093767320301</v>
      </c>
      <c r="J252" s="4">
        <f t="shared" si="94"/>
        <v>8.4118326757584114</v>
      </c>
      <c r="K252" s="4">
        <f t="shared" si="95"/>
        <v>5.6419070709381138</v>
      </c>
      <c r="L252" s="2">
        <v>0</v>
      </c>
      <c r="M252" s="2">
        <v>0</v>
      </c>
      <c r="N252" s="4">
        <f t="shared" si="96"/>
        <v>55.6</v>
      </c>
      <c r="O252" s="4">
        <f t="shared" si="97"/>
        <v>0</v>
      </c>
      <c r="P252" s="4">
        <f t="shared" si="98"/>
        <v>0</v>
      </c>
      <c r="Q252" s="4">
        <f t="shared" si="99"/>
        <v>8.4118326757584114</v>
      </c>
      <c r="R252" s="4">
        <f t="shared" si="100"/>
        <v>5.6419070709381138</v>
      </c>
      <c r="S252" s="4">
        <f t="shared" si="101"/>
        <v>55.6</v>
      </c>
      <c r="T252" s="4">
        <f t="shared" si="102"/>
        <v>0</v>
      </c>
      <c r="U252" s="4">
        <f t="shared" si="103"/>
        <v>8.4118326757584114</v>
      </c>
      <c r="V252" s="4">
        <f t="shared" si="104"/>
        <v>5.6419070709381138</v>
      </c>
      <c r="W252" s="4">
        <f t="shared" si="105"/>
        <v>55.6</v>
      </c>
      <c r="X252" s="4">
        <f t="shared" si="106"/>
        <v>0</v>
      </c>
      <c r="Y252" s="4">
        <f t="shared" si="107"/>
        <v>8.4118326757584114</v>
      </c>
      <c r="Z252" s="4">
        <f t="shared" si="108"/>
        <v>5.6419070709381138</v>
      </c>
      <c r="AA252" s="4">
        <f t="shared" si="109"/>
        <v>55.6</v>
      </c>
      <c r="AB252" s="4">
        <f t="shared" si="110"/>
        <v>0</v>
      </c>
      <c r="AC252" s="4">
        <f t="shared" si="111"/>
        <v>0</v>
      </c>
      <c r="AD252" s="4">
        <f t="shared" si="112"/>
        <v>0</v>
      </c>
      <c r="AE252" s="4">
        <f t="shared" si="113"/>
        <v>0</v>
      </c>
      <c r="AF252" s="4">
        <f t="shared" si="114"/>
        <v>0</v>
      </c>
      <c r="AG252" s="4">
        <f t="shared" si="115"/>
        <v>8.4118326757584114</v>
      </c>
      <c r="AH252" s="4">
        <f t="shared" si="116"/>
        <v>0</v>
      </c>
      <c r="AI252" s="4">
        <f t="shared" si="117"/>
        <v>0</v>
      </c>
      <c r="AJ252" s="4">
        <f t="shared" si="118"/>
        <v>8.4118326757584114</v>
      </c>
      <c r="AK252" s="4">
        <f t="shared" si="119"/>
        <v>5.6419070709381138</v>
      </c>
      <c r="AL252" s="4">
        <f t="shared" si="120"/>
        <v>0</v>
      </c>
      <c r="AM252" s="4">
        <f>CER!$C$7+CER!$C$8*J252+CER!$C$9*K252+CER!$C$10*L252+CER!$C$11*M252</f>
        <v>3.3681295962347439</v>
      </c>
      <c r="AN252" s="4">
        <f t="shared" si="121"/>
        <v>29.024189303911115</v>
      </c>
      <c r="AO252" s="4">
        <f t="shared" si="122"/>
        <v>-0.4175202195027139</v>
      </c>
      <c r="AP252" s="4">
        <f>Alternatives!$F$25+Alternatives!$F$26*J252+Alternatives!$F$27*K252+Alternatives!$F$28*G252+Alternatives!$F$29*O252</f>
        <v>3.3329298497081723</v>
      </c>
      <c r="AQ252" s="4">
        <f t="shared" si="123"/>
        <v>-0.38232047297614224</v>
      </c>
    </row>
    <row r="253" spans="1:43" x14ac:dyDescent="0.35">
      <c r="A253" s="2" t="s">
        <v>267</v>
      </c>
      <c r="B253" s="2" t="s">
        <v>239</v>
      </c>
      <c r="C253" s="2" t="s">
        <v>33</v>
      </c>
      <c r="D253" s="2">
        <v>56.036000000000001</v>
      </c>
      <c r="E253" s="2">
        <v>4000</v>
      </c>
      <c r="F253" s="2">
        <v>162</v>
      </c>
      <c r="G253" s="2">
        <v>46.3</v>
      </c>
      <c r="H253" s="2" t="s">
        <v>68</v>
      </c>
      <c r="I253" s="4">
        <f t="shared" si="93"/>
        <v>4.0259943413338677</v>
      </c>
      <c r="J253" s="4">
        <f t="shared" si="94"/>
        <v>8.2940496401020276</v>
      </c>
      <c r="K253" s="4">
        <f t="shared" si="95"/>
        <v>5.0875963352323836</v>
      </c>
      <c r="L253" s="2">
        <v>1</v>
      </c>
      <c r="M253" s="2">
        <v>0</v>
      </c>
      <c r="N253" s="4">
        <f t="shared" si="96"/>
        <v>46.3</v>
      </c>
      <c r="O253" s="4">
        <f t="shared" si="97"/>
        <v>1</v>
      </c>
      <c r="P253" s="4">
        <f t="shared" si="98"/>
        <v>1</v>
      </c>
      <c r="Q253" s="4">
        <f t="shared" si="99"/>
        <v>8.2940496401020276</v>
      </c>
      <c r="R253" s="4">
        <f t="shared" si="100"/>
        <v>5.0875963352323836</v>
      </c>
      <c r="S253" s="4">
        <f t="shared" si="101"/>
        <v>46.3</v>
      </c>
      <c r="T253" s="4">
        <f t="shared" si="102"/>
        <v>1</v>
      </c>
      <c r="U253" s="4">
        <f t="shared" si="103"/>
        <v>8.2940496401020276</v>
      </c>
      <c r="V253" s="4">
        <f t="shared" si="104"/>
        <v>5.0875963352323836</v>
      </c>
      <c r="W253" s="4">
        <f t="shared" si="105"/>
        <v>46.3</v>
      </c>
      <c r="X253" s="4">
        <f t="shared" si="106"/>
        <v>1</v>
      </c>
      <c r="Y253" s="4">
        <f t="shared" si="107"/>
        <v>8.2940496401020276</v>
      </c>
      <c r="Z253" s="4">
        <f t="shared" si="108"/>
        <v>5.0875963352323836</v>
      </c>
      <c r="AA253" s="4">
        <f t="shared" si="109"/>
        <v>46.3</v>
      </c>
      <c r="AB253" s="4">
        <f t="shared" si="110"/>
        <v>1</v>
      </c>
      <c r="AC253" s="4">
        <f t="shared" si="111"/>
        <v>0</v>
      </c>
      <c r="AD253" s="4">
        <f t="shared" si="112"/>
        <v>0</v>
      </c>
      <c r="AE253" s="4">
        <f t="shared" si="113"/>
        <v>0</v>
      </c>
      <c r="AF253" s="4">
        <f t="shared" si="114"/>
        <v>0</v>
      </c>
      <c r="AG253" s="4">
        <f t="shared" si="115"/>
        <v>8.2940496401020276</v>
      </c>
      <c r="AH253" s="4">
        <f t="shared" si="116"/>
        <v>1</v>
      </c>
      <c r="AI253" s="4">
        <f t="shared" si="117"/>
        <v>0</v>
      </c>
      <c r="AJ253" s="4">
        <f t="shared" si="118"/>
        <v>8.2940496401020276</v>
      </c>
      <c r="AK253" s="4">
        <f t="shared" si="119"/>
        <v>5.0875963352323836</v>
      </c>
      <c r="AL253" s="4">
        <f t="shared" si="120"/>
        <v>0</v>
      </c>
      <c r="AM253" s="4">
        <f>CER!$C$7+CER!$C$8*J253+CER!$C$9*K253+CER!$C$10*L253+CER!$C$11*M253</f>
        <v>3.8497140820506095</v>
      </c>
      <c r="AN253" s="4">
        <f t="shared" si="121"/>
        <v>46.979628991941176</v>
      </c>
      <c r="AO253" s="4">
        <f t="shared" si="122"/>
        <v>0.17628025928325819</v>
      </c>
      <c r="AP253" s="4">
        <f>Alternatives!$F$25+Alternatives!$F$26*J253+Alternatives!$F$27*K253+Alternatives!$F$28*G253+Alternatives!$F$29*O253</f>
        <v>4.4025555659962787</v>
      </c>
      <c r="AQ253" s="4">
        <f t="shared" si="123"/>
        <v>-0.37656122466241104</v>
      </c>
    </row>
    <row r="254" spans="1:43" x14ac:dyDescent="0.35">
      <c r="A254" s="2" t="s">
        <v>268</v>
      </c>
      <c r="B254" s="2" t="s">
        <v>239</v>
      </c>
      <c r="C254" s="2" t="s">
        <v>33</v>
      </c>
      <c r="D254" s="2">
        <v>57.458599999999997</v>
      </c>
      <c r="E254" s="2">
        <v>4000</v>
      </c>
      <c r="F254" s="2">
        <v>163</v>
      </c>
      <c r="G254" s="2">
        <v>46.3</v>
      </c>
      <c r="H254" s="2" t="s">
        <v>68</v>
      </c>
      <c r="I254" s="4">
        <f t="shared" si="93"/>
        <v>4.0510646884788217</v>
      </c>
      <c r="J254" s="4">
        <f t="shared" si="94"/>
        <v>8.2940496401020276</v>
      </c>
      <c r="K254" s="4">
        <f t="shared" si="95"/>
        <v>5.0937502008067623</v>
      </c>
      <c r="L254" s="2">
        <v>1</v>
      </c>
      <c r="M254" s="2">
        <v>0</v>
      </c>
      <c r="N254" s="4">
        <f t="shared" si="96"/>
        <v>46.3</v>
      </c>
      <c r="O254" s="4">
        <f t="shared" si="97"/>
        <v>1</v>
      </c>
      <c r="P254" s="4">
        <f t="shared" si="98"/>
        <v>1</v>
      </c>
      <c r="Q254" s="4">
        <f t="shared" si="99"/>
        <v>8.2940496401020276</v>
      </c>
      <c r="R254" s="4">
        <f t="shared" si="100"/>
        <v>5.0937502008067623</v>
      </c>
      <c r="S254" s="4">
        <f t="shared" si="101"/>
        <v>46.3</v>
      </c>
      <c r="T254" s="4">
        <f t="shared" si="102"/>
        <v>1</v>
      </c>
      <c r="U254" s="4">
        <f t="shared" si="103"/>
        <v>8.2940496401020276</v>
      </c>
      <c r="V254" s="4">
        <f t="shared" si="104"/>
        <v>5.0937502008067623</v>
      </c>
      <c r="W254" s="4">
        <f t="shared" si="105"/>
        <v>46.3</v>
      </c>
      <c r="X254" s="4">
        <f t="shared" si="106"/>
        <v>1</v>
      </c>
      <c r="Y254" s="4">
        <f t="shared" si="107"/>
        <v>8.2940496401020276</v>
      </c>
      <c r="Z254" s="4">
        <f t="shared" si="108"/>
        <v>5.0937502008067623</v>
      </c>
      <c r="AA254" s="4">
        <f t="shared" si="109"/>
        <v>46.3</v>
      </c>
      <c r="AB254" s="4">
        <f t="shared" si="110"/>
        <v>1</v>
      </c>
      <c r="AC254" s="4">
        <f t="shared" si="111"/>
        <v>0</v>
      </c>
      <c r="AD254" s="4">
        <f t="shared" si="112"/>
        <v>0</v>
      </c>
      <c r="AE254" s="4">
        <f t="shared" si="113"/>
        <v>0</v>
      </c>
      <c r="AF254" s="4">
        <f t="shared" si="114"/>
        <v>0</v>
      </c>
      <c r="AG254" s="4">
        <f t="shared" si="115"/>
        <v>8.2940496401020276</v>
      </c>
      <c r="AH254" s="4">
        <f t="shared" si="116"/>
        <v>1</v>
      </c>
      <c r="AI254" s="4">
        <f t="shared" si="117"/>
        <v>0</v>
      </c>
      <c r="AJ254" s="4">
        <f t="shared" si="118"/>
        <v>8.2940496401020276</v>
      </c>
      <c r="AK254" s="4">
        <f t="shared" si="119"/>
        <v>5.0937502008067623</v>
      </c>
      <c r="AL254" s="4">
        <f t="shared" si="120"/>
        <v>0</v>
      </c>
      <c r="AM254" s="4">
        <f>CER!$C$7+CER!$C$8*J254+CER!$C$9*K254+CER!$C$10*L254+CER!$C$11*M254</f>
        <v>3.8474436520309574</v>
      </c>
      <c r="AN254" s="4">
        <f t="shared" si="121"/>
        <v>46.87308602690662</v>
      </c>
      <c r="AO254" s="4">
        <f t="shared" si="122"/>
        <v>0.20362103644786433</v>
      </c>
      <c r="AP254" s="4">
        <f>Alternatives!$F$25+Alternatives!$F$26*J254+Alternatives!$F$27*K254+Alternatives!$F$28*G254+Alternatives!$F$29*O254</f>
        <v>4.4009179610257601</v>
      </c>
      <c r="AQ254" s="4">
        <f t="shared" si="123"/>
        <v>-0.34985327254693832</v>
      </c>
    </row>
    <row r="255" spans="1:43" x14ac:dyDescent="0.35">
      <c r="A255" s="2" t="s">
        <v>269</v>
      </c>
      <c r="B255" s="2" t="s">
        <v>239</v>
      </c>
      <c r="C255" s="2" t="s">
        <v>33</v>
      </c>
      <c r="D255" s="2">
        <v>55.9527</v>
      </c>
      <c r="E255" s="2">
        <v>4000</v>
      </c>
      <c r="F255" s="2">
        <v>162</v>
      </c>
      <c r="G255" s="2">
        <v>46.2</v>
      </c>
      <c r="H255" s="2" t="s">
        <v>68</v>
      </c>
      <c r="I255" s="4">
        <f t="shared" si="93"/>
        <v>4.0245066909662386</v>
      </c>
      <c r="J255" s="4">
        <f t="shared" si="94"/>
        <v>8.2940496401020276</v>
      </c>
      <c r="K255" s="4">
        <f t="shared" si="95"/>
        <v>5.0875963352323836</v>
      </c>
      <c r="L255" s="2">
        <v>1</v>
      </c>
      <c r="M255" s="2">
        <v>0</v>
      </c>
      <c r="N255" s="4">
        <f t="shared" si="96"/>
        <v>46.2</v>
      </c>
      <c r="O255" s="4">
        <f t="shared" si="97"/>
        <v>1</v>
      </c>
      <c r="P255" s="4">
        <f t="shared" si="98"/>
        <v>1</v>
      </c>
      <c r="Q255" s="4">
        <f t="shared" si="99"/>
        <v>8.2940496401020276</v>
      </c>
      <c r="R255" s="4">
        <f t="shared" si="100"/>
        <v>5.0875963352323836</v>
      </c>
      <c r="S255" s="4">
        <f t="shared" si="101"/>
        <v>46.2</v>
      </c>
      <c r="T255" s="4">
        <f t="shared" si="102"/>
        <v>1</v>
      </c>
      <c r="U255" s="4">
        <f t="shared" si="103"/>
        <v>8.2940496401020276</v>
      </c>
      <c r="V255" s="4">
        <f t="shared" si="104"/>
        <v>5.0875963352323836</v>
      </c>
      <c r="W255" s="4">
        <f t="shared" si="105"/>
        <v>46.2</v>
      </c>
      <c r="X255" s="4">
        <f t="shared" si="106"/>
        <v>1</v>
      </c>
      <c r="Y255" s="4">
        <f t="shared" si="107"/>
        <v>8.2940496401020276</v>
      </c>
      <c r="Z255" s="4">
        <f t="shared" si="108"/>
        <v>5.0875963352323836</v>
      </c>
      <c r="AA255" s="4">
        <f t="shared" si="109"/>
        <v>46.2</v>
      </c>
      <c r="AB255" s="4">
        <f t="shared" si="110"/>
        <v>1</v>
      </c>
      <c r="AC255" s="4">
        <f t="shared" si="111"/>
        <v>0</v>
      </c>
      <c r="AD255" s="4">
        <f t="shared" si="112"/>
        <v>0</v>
      </c>
      <c r="AE255" s="4">
        <f t="shared" si="113"/>
        <v>0</v>
      </c>
      <c r="AF255" s="4">
        <f t="shared" si="114"/>
        <v>0</v>
      </c>
      <c r="AG255" s="4">
        <f t="shared" si="115"/>
        <v>8.2940496401020276</v>
      </c>
      <c r="AH255" s="4">
        <f t="shared" si="116"/>
        <v>1</v>
      </c>
      <c r="AI255" s="4">
        <f t="shared" si="117"/>
        <v>0</v>
      </c>
      <c r="AJ255" s="4">
        <f t="shared" si="118"/>
        <v>8.2940496401020276</v>
      </c>
      <c r="AK255" s="4">
        <f t="shared" si="119"/>
        <v>5.0875963352323836</v>
      </c>
      <c r="AL255" s="4">
        <f t="shared" si="120"/>
        <v>0</v>
      </c>
      <c r="AM255" s="4">
        <f>CER!$C$7+CER!$C$8*J255+CER!$C$9*K255+CER!$C$10*L255+CER!$C$11*M255</f>
        <v>3.8497140820506095</v>
      </c>
      <c r="AN255" s="4">
        <f t="shared" si="121"/>
        <v>46.979628991941176</v>
      </c>
      <c r="AO255" s="4">
        <f t="shared" si="122"/>
        <v>0.17479260891562909</v>
      </c>
      <c r="AP255" s="4">
        <f>Alternatives!$F$25+Alternatives!$F$26*J255+Alternatives!$F$27*K255+Alternatives!$F$28*G255+Alternatives!$F$29*O255</f>
        <v>4.4038562974505009</v>
      </c>
      <c r="AQ255" s="4">
        <f t="shared" si="123"/>
        <v>-0.3793496064842623</v>
      </c>
    </row>
    <row r="256" spans="1:43" x14ac:dyDescent="0.35">
      <c r="A256" s="2" t="s">
        <v>270</v>
      </c>
      <c r="B256" s="2" t="s">
        <v>239</v>
      </c>
      <c r="C256" s="2" t="s">
        <v>67</v>
      </c>
      <c r="D256" s="2">
        <v>15.062900000000001</v>
      </c>
      <c r="E256" s="2">
        <v>6500</v>
      </c>
      <c r="F256" s="2">
        <v>700</v>
      </c>
      <c r="G256" s="2">
        <v>75.099999999999994</v>
      </c>
      <c r="H256" s="2" t="s">
        <v>68</v>
      </c>
      <c r="I256" s="4">
        <f t="shared" si="93"/>
        <v>2.7122347669148668</v>
      </c>
      <c r="J256" s="4">
        <f t="shared" si="94"/>
        <v>8.7795574558837277</v>
      </c>
      <c r="K256" s="4">
        <f t="shared" si="95"/>
        <v>6.5510803350434044</v>
      </c>
      <c r="L256" s="2">
        <v>0</v>
      </c>
      <c r="M256" s="2">
        <v>0</v>
      </c>
      <c r="N256" s="4">
        <f t="shared" si="96"/>
        <v>75.099999999999994</v>
      </c>
      <c r="O256" s="4">
        <f t="shared" si="97"/>
        <v>0</v>
      </c>
      <c r="P256" s="4">
        <f t="shared" si="98"/>
        <v>0</v>
      </c>
      <c r="Q256" s="4">
        <f t="shared" si="99"/>
        <v>8.7795574558837277</v>
      </c>
      <c r="R256" s="4">
        <f t="shared" si="100"/>
        <v>6.5510803350434044</v>
      </c>
      <c r="S256" s="4">
        <f t="shared" si="101"/>
        <v>75.099999999999994</v>
      </c>
      <c r="T256" s="4">
        <f t="shared" si="102"/>
        <v>0</v>
      </c>
      <c r="U256" s="4">
        <f t="shared" si="103"/>
        <v>8.7795574558837277</v>
      </c>
      <c r="V256" s="4">
        <f t="shared" si="104"/>
        <v>6.5510803350434044</v>
      </c>
      <c r="W256" s="4">
        <f t="shared" si="105"/>
        <v>75.099999999999994</v>
      </c>
      <c r="X256" s="4">
        <f t="shared" si="106"/>
        <v>0</v>
      </c>
      <c r="Y256" s="4">
        <f t="shared" si="107"/>
        <v>8.7795574558837277</v>
      </c>
      <c r="Z256" s="4">
        <f t="shared" si="108"/>
        <v>6.5510803350434044</v>
      </c>
      <c r="AA256" s="4">
        <f t="shared" si="109"/>
        <v>75.099999999999994</v>
      </c>
      <c r="AB256" s="4">
        <f t="shared" si="110"/>
        <v>0</v>
      </c>
      <c r="AC256" s="4">
        <f t="shared" si="111"/>
        <v>0</v>
      </c>
      <c r="AD256" s="4">
        <f t="shared" si="112"/>
        <v>0</v>
      </c>
      <c r="AE256" s="4">
        <f t="shared" si="113"/>
        <v>0</v>
      </c>
      <c r="AF256" s="4">
        <f t="shared" si="114"/>
        <v>0</v>
      </c>
      <c r="AG256" s="4">
        <f t="shared" si="115"/>
        <v>8.7795574558837277</v>
      </c>
      <c r="AH256" s="4">
        <f t="shared" si="116"/>
        <v>0</v>
      </c>
      <c r="AI256" s="4">
        <f t="shared" si="117"/>
        <v>0</v>
      </c>
      <c r="AJ256" s="4">
        <f t="shared" si="118"/>
        <v>8.7795574558837277</v>
      </c>
      <c r="AK256" s="4">
        <f t="shared" si="119"/>
        <v>6.5510803350434044</v>
      </c>
      <c r="AL256" s="4">
        <f t="shared" si="120"/>
        <v>0</v>
      </c>
      <c r="AM256" s="4">
        <f>CER!$C$7+CER!$C$8*J256+CER!$C$9*K256+CER!$C$10*L256+CER!$C$11*M256</f>
        <v>2.86622347415185</v>
      </c>
      <c r="AN256" s="4">
        <f t="shared" si="121"/>
        <v>17.570537157422404</v>
      </c>
      <c r="AO256" s="4">
        <f t="shared" si="122"/>
        <v>-0.15398870723698321</v>
      </c>
      <c r="AP256" s="4">
        <f>Alternatives!$F$25+Alternatives!$F$26*J256+Alternatives!$F$27*K256+Alternatives!$F$28*G256+Alternatives!$F$29*O256</f>
        <v>2.9734369329214019</v>
      </c>
      <c r="AQ256" s="4">
        <f t="shared" si="123"/>
        <v>-0.26120216600653512</v>
      </c>
    </row>
    <row r="257" spans="1:43" x14ac:dyDescent="0.35">
      <c r="A257" s="2" t="s">
        <v>271</v>
      </c>
      <c r="B257" s="2" t="s">
        <v>239</v>
      </c>
      <c r="C257" s="2" t="s">
        <v>67</v>
      </c>
      <c r="D257" s="2">
        <v>24.951799999999999</v>
      </c>
      <c r="E257" s="2">
        <v>6000</v>
      </c>
      <c r="F257" s="2">
        <v>380</v>
      </c>
      <c r="G257" s="2">
        <v>57.3</v>
      </c>
      <c r="H257" s="2" t="s">
        <v>68</v>
      </c>
      <c r="I257" s="4">
        <f t="shared" si="93"/>
        <v>3.2169459638838309</v>
      </c>
      <c r="J257" s="4">
        <f t="shared" si="94"/>
        <v>8.6995147482101913</v>
      </c>
      <c r="K257" s="4">
        <f t="shared" si="95"/>
        <v>5.9401712527204316</v>
      </c>
      <c r="L257" s="2">
        <v>0</v>
      </c>
      <c r="M257" s="2">
        <v>0</v>
      </c>
      <c r="N257" s="4">
        <f t="shared" si="96"/>
        <v>57.3</v>
      </c>
      <c r="O257" s="4">
        <f t="shared" si="97"/>
        <v>0</v>
      </c>
      <c r="P257" s="4">
        <f t="shared" si="98"/>
        <v>0</v>
      </c>
      <c r="Q257" s="4">
        <f t="shared" si="99"/>
        <v>8.6995147482101913</v>
      </c>
      <c r="R257" s="4">
        <f t="shared" si="100"/>
        <v>5.9401712527204316</v>
      </c>
      <c r="S257" s="4">
        <f t="shared" si="101"/>
        <v>57.3</v>
      </c>
      <c r="T257" s="4">
        <f t="shared" si="102"/>
        <v>0</v>
      </c>
      <c r="U257" s="4">
        <f t="shared" si="103"/>
        <v>8.6995147482101913</v>
      </c>
      <c r="V257" s="4">
        <f t="shared" si="104"/>
        <v>5.9401712527204316</v>
      </c>
      <c r="W257" s="4">
        <f t="shared" si="105"/>
        <v>57.3</v>
      </c>
      <c r="X257" s="4">
        <f t="shared" si="106"/>
        <v>0</v>
      </c>
      <c r="Y257" s="4">
        <f t="shared" si="107"/>
        <v>8.6995147482101913</v>
      </c>
      <c r="Z257" s="4">
        <f t="shared" si="108"/>
        <v>5.9401712527204316</v>
      </c>
      <c r="AA257" s="4">
        <f t="shared" si="109"/>
        <v>57.3</v>
      </c>
      <c r="AB257" s="4">
        <f t="shared" si="110"/>
        <v>0</v>
      </c>
      <c r="AC257" s="4">
        <f t="shared" si="111"/>
        <v>0</v>
      </c>
      <c r="AD257" s="4">
        <f t="shared" si="112"/>
        <v>0</v>
      </c>
      <c r="AE257" s="4">
        <f t="shared" si="113"/>
        <v>0</v>
      </c>
      <c r="AF257" s="4">
        <f t="shared" si="114"/>
        <v>0</v>
      </c>
      <c r="AG257" s="4">
        <f t="shared" si="115"/>
        <v>8.6995147482101913</v>
      </c>
      <c r="AH257" s="4">
        <f t="shared" si="116"/>
        <v>0</v>
      </c>
      <c r="AI257" s="4">
        <f t="shared" si="117"/>
        <v>0</v>
      </c>
      <c r="AJ257" s="4">
        <f t="shared" si="118"/>
        <v>8.6995147482101913</v>
      </c>
      <c r="AK257" s="4">
        <f t="shared" si="119"/>
        <v>5.9401712527204316</v>
      </c>
      <c r="AL257" s="4">
        <f t="shared" si="120"/>
        <v>0</v>
      </c>
      <c r="AM257" s="4">
        <f>CER!$C$7+CER!$C$8*J257+CER!$C$9*K257+CER!$C$10*L257+CER!$C$11*M257</f>
        <v>3.1278506035427229</v>
      </c>
      <c r="AN257" s="4">
        <f t="shared" si="121"/>
        <v>22.82486709182005</v>
      </c>
      <c r="AO257" s="4">
        <f t="shared" si="122"/>
        <v>8.9095360341107988E-2</v>
      </c>
      <c r="AP257" s="4">
        <f>Alternatives!$F$25+Alternatives!$F$26*J257+Alternatives!$F$27*K257+Alternatives!$F$28*G257+Alternatives!$F$29*O257</f>
        <v>3.3379134443071368</v>
      </c>
      <c r="AQ257" s="4">
        <f t="shared" si="123"/>
        <v>-0.12096748042330585</v>
      </c>
    </row>
    <row r="258" spans="1:43" x14ac:dyDescent="0.35">
      <c r="A258" s="2" t="s">
        <v>272</v>
      </c>
      <c r="B258" s="2" t="s">
        <v>239</v>
      </c>
      <c r="C258" s="2" t="s">
        <v>67</v>
      </c>
      <c r="D258" s="2">
        <v>23.667100000000001</v>
      </c>
      <c r="E258" s="2">
        <v>6000</v>
      </c>
      <c r="F258" s="2">
        <v>380</v>
      </c>
      <c r="G258" s="2">
        <v>57.3</v>
      </c>
      <c r="H258" s="2" t="s">
        <v>68</v>
      </c>
      <c r="I258" s="4">
        <f t="shared" ref="I258:I321" si="124">LN(D258)</f>
        <v>3.1640858980647373</v>
      </c>
      <c r="J258" s="4">
        <f t="shared" ref="J258:J321" si="125">LN(E258)</f>
        <v>8.6995147482101913</v>
      </c>
      <c r="K258" s="4">
        <f t="shared" ref="K258:K321" si="126">LN(F258)</f>
        <v>5.9401712527204316</v>
      </c>
      <c r="L258" s="2">
        <v>0</v>
      </c>
      <c r="M258" s="2">
        <v>0</v>
      </c>
      <c r="N258" s="4">
        <f t="shared" ref="N258:N321" si="127">G258</f>
        <v>57.3</v>
      </c>
      <c r="O258" s="4">
        <f t="shared" ref="O258:O321" si="128">L258+M258</f>
        <v>0</v>
      </c>
      <c r="P258" s="4">
        <f t="shared" ref="P258:P321" si="129">L258+2*M258</f>
        <v>0</v>
      </c>
      <c r="Q258" s="4">
        <f t="shared" ref="Q258:Q321" si="130">J258</f>
        <v>8.6995147482101913</v>
      </c>
      <c r="R258" s="4">
        <f t="shared" ref="R258:R321" si="131">K258</f>
        <v>5.9401712527204316</v>
      </c>
      <c r="S258" s="4">
        <f t="shared" ref="S258:S321" si="132">G258</f>
        <v>57.3</v>
      </c>
      <c r="T258" s="4">
        <f t="shared" ref="T258:T321" si="133">O258</f>
        <v>0</v>
      </c>
      <c r="U258" s="4">
        <f t="shared" ref="U258:U321" si="134">J258</f>
        <v>8.6995147482101913</v>
      </c>
      <c r="V258" s="4">
        <f t="shared" ref="V258:V321" si="135">K258</f>
        <v>5.9401712527204316</v>
      </c>
      <c r="W258" s="4">
        <f t="shared" ref="W258:W321" si="136">G258</f>
        <v>57.3</v>
      </c>
      <c r="X258" s="4">
        <f t="shared" ref="X258:X321" si="137">P258</f>
        <v>0</v>
      </c>
      <c r="Y258" s="4">
        <f t="shared" ref="Y258:Y321" si="138">J258</f>
        <v>8.6995147482101913</v>
      </c>
      <c r="Z258" s="4">
        <f t="shared" ref="Z258:Z321" si="139">K258</f>
        <v>5.9401712527204316</v>
      </c>
      <c r="AA258" s="4">
        <f t="shared" ref="AA258:AA321" si="140">G258</f>
        <v>57.3</v>
      </c>
      <c r="AB258" s="4">
        <f t="shared" ref="AB258:AB321" si="141">L258</f>
        <v>0</v>
      </c>
      <c r="AC258" s="4">
        <f t="shared" ref="AC258:AC321" si="142">M258</f>
        <v>0</v>
      </c>
      <c r="AD258" s="4">
        <f t="shared" ref="AD258:AD321" si="143">M258*J258</f>
        <v>0</v>
      </c>
      <c r="AE258" s="4">
        <f t="shared" ref="AE258:AE321" si="144">M258*K258</f>
        <v>0</v>
      </c>
      <c r="AF258" s="4">
        <f t="shared" ref="AF258:AF321" si="145">M258*G258</f>
        <v>0</v>
      </c>
      <c r="AG258" s="4">
        <f t="shared" ref="AG258:AG321" si="146">J258</f>
        <v>8.6995147482101913</v>
      </c>
      <c r="AH258" s="4">
        <f t="shared" ref="AH258:AH321" si="147">L258</f>
        <v>0</v>
      </c>
      <c r="AI258" s="4">
        <f t="shared" ref="AI258:AI321" si="148">M258</f>
        <v>0</v>
      </c>
      <c r="AJ258" s="4">
        <f t="shared" ref="AJ258:AJ321" si="149">J258</f>
        <v>8.6995147482101913</v>
      </c>
      <c r="AK258" s="4">
        <f t="shared" ref="AK258:AK321" si="150">K258</f>
        <v>5.9401712527204316</v>
      </c>
      <c r="AL258" s="4">
        <f t="shared" ref="AL258:AL321" si="151">M258</f>
        <v>0</v>
      </c>
      <c r="AM258" s="4">
        <f>CER!$C$7+CER!$C$8*J258+CER!$C$9*K258+CER!$C$10*L258+CER!$C$11*M258</f>
        <v>3.1278506035427229</v>
      </c>
      <c r="AN258" s="4">
        <f t="shared" ref="AN258:AN321" si="152">EXP(AM258)</f>
        <v>22.82486709182005</v>
      </c>
      <c r="AO258" s="4">
        <f t="shared" ref="AO258:AO321" si="153">I258-AM258</f>
        <v>3.623529452201435E-2</v>
      </c>
      <c r="AP258" s="4">
        <f>Alternatives!$F$25+Alternatives!$F$26*J258+Alternatives!$F$27*K258+Alternatives!$F$28*G258+Alternatives!$F$29*O258</f>
        <v>3.3379134443071368</v>
      </c>
      <c r="AQ258" s="4">
        <f t="shared" ref="AQ258:AQ321" si="154">I258-AP258</f>
        <v>-0.17382754624239949</v>
      </c>
    </row>
    <row r="259" spans="1:43" x14ac:dyDescent="0.35">
      <c r="A259" s="2" t="s">
        <v>273</v>
      </c>
      <c r="B259" s="2" t="s">
        <v>239</v>
      </c>
      <c r="C259" s="2" t="s">
        <v>67</v>
      </c>
      <c r="D259" s="2">
        <v>23.2622</v>
      </c>
      <c r="E259" s="2">
        <v>6000</v>
      </c>
      <c r="F259" s="2">
        <v>380</v>
      </c>
      <c r="G259" s="2">
        <v>57.3</v>
      </c>
      <c r="H259" s="2" t="s">
        <v>68</v>
      </c>
      <c r="I259" s="4">
        <f t="shared" si="124"/>
        <v>3.1468297255928954</v>
      </c>
      <c r="J259" s="4">
        <f t="shared" si="125"/>
        <v>8.6995147482101913</v>
      </c>
      <c r="K259" s="4">
        <f t="shared" si="126"/>
        <v>5.9401712527204316</v>
      </c>
      <c r="L259" s="2">
        <v>0</v>
      </c>
      <c r="M259" s="2">
        <v>0</v>
      </c>
      <c r="N259" s="4">
        <f t="shared" si="127"/>
        <v>57.3</v>
      </c>
      <c r="O259" s="4">
        <f t="shared" si="128"/>
        <v>0</v>
      </c>
      <c r="P259" s="4">
        <f t="shared" si="129"/>
        <v>0</v>
      </c>
      <c r="Q259" s="4">
        <f t="shared" si="130"/>
        <v>8.6995147482101913</v>
      </c>
      <c r="R259" s="4">
        <f t="shared" si="131"/>
        <v>5.9401712527204316</v>
      </c>
      <c r="S259" s="4">
        <f t="shared" si="132"/>
        <v>57.3</v>
      </c>
      <c r="T259" s="4">
        <f t="shared" si="133"/>
        <v>0</v>
      </c>
      <c r="U259" s="4">
        <f t="shared" si="134"/>
        <v>8.6995147482101913</v>
      </c>
      <c r="V259" s="4">
        <f t="shared" si="135"/>
        <v>5.9401712527204316</v>
      </c>
      <c r="W259" s="4">
        <f t="shared" si="136"/>
        <v>57.3</v>
      </c>
      <c r="X259" s="4">
        <f t="shared" si="137"/>
        <v>0</v>
      </c>
      <c r="Y259" s="4">
        <f t="shared" si="138"/>
        <v>8.6995147482101913</v>
      </c>
      <c r="Z259" s="4">
        <f t="shared" si="139"/>
        <v>5.9401712527204316</v>
      </c>
      <c r="AA259" s="4">
        <f t="shared" si="140"/>
        <v>57.3</v>
      </c>
      <c r="AB259" s="4">
        <f t="shared" si="141"/>
        <v>0</v>
      </c>
      <c r="AC259" s="4">
        <f t="shared" si="142"/>
        <v>0</v>
      </c>
      <c r="AD259" s="4">
        <f t="shared" si="143"/>
        <v>0</v>
      </c>
      <c r="AE259" s="4">
        <f t="shared" si="144"/>
        <v>0</v>
      </c>
      <c r="AF259" s="4">
        <f t="shared" si="145"/>
        <v>0</v>
      </c>
      <c r="AG259" s="4">
        <f t="shared" si="146"/>
        <v>8.6995147482101913</v>
      </c>
      <c r="AH259" s="4">
        <f t="shared" si="147"/>
        <v>0</v>
      </c>
      <c r="AI259" s="4">
        <f t="shared" si="148"/>
        <v>0</v>
      </c>
      <c r="AJ259" s="4">
        <f t="shared" si="149"/>
        <v>8.6995147482101913</v>
      </c>
      <c r="AK259" s="4">
        <f t="shared" si="150"/>
        <v>5.9401712527204316</v>
      </c>
      <c r="AL259" s="4">
        <f t="shared" si="151"/>
        <v>0</v>
      </c>
      <c r="AM259" s="4">
        <f>CER!$C$7+CER!$C$8*J259+CER!$C$9*K259+CER!$C$10*L259+CER!$C$11*M259</f>
        <v>3.1278506035427229</v>
      </c>
      <c r="AN259" s="4">
        <f t="shared" si="152"/>
        <v>22.82486709182005</v>
      </c>
      <c r="AO259" s="4">
        <f t="shared" si="153"/>
        <v>1.8979122050172492E-2</v>
      </c>
      <c r="AP259" s="4">
        <f>Alternatives!$F$25+Alternatives!$F$26*J259+Alternatives!$F$27*K259+Alternatives!$F$28*G259+Alternatives!$F$29*O259</f>
        <v>3.3379134443071368</v>
      </c>
      <c r="AQ259" s="4">
        <f t="shared" si="154"/>
        <v>-0.19108371871424135</v>
      </c>
    </row>
    <row r="260" spans="1:43" x14ac:dyDescent="0.35">
      <c r="A260" s="2" t="s">
        <v>274</v>
      </c>
      <c r="B260" s="2" t="s">
        <v>239</v>
      </c>
      <c r="C260" s="2" t="s">
        <v>67</v>
      </c>
      <c r="D260" s="2">
        <v>32.191200000000002</v>
      </c>
      <c r="E260" s="2">
        <v>4500</v>
      </c>
      <c r="F260" s="2">
        <v>250</v>
      </c>
      <c r="G260" s="2">
        <v>51.9</v>
      </c>
      <c r="H260" s="2" t="s">
        <v>68</v>
      </c>
      <c r="I260" s="4">
        <f t="shared" si="124"/>
        <v>3.4716931232738535</v>
      </c>
      <c r="J260" s="4">
        <f t="shared" si="125"/>
        <v>8.4118326757584114</v>
      </c>
      <c r="K260" s="4">
        <f t="shared" si="126"/>
        <v>5.521460917862246</v>
      </c>
      <c r="L260" s="2">
        <v>0</v>
      </c>
      <c r="M260" s="2">
        <v>0</v>
      </c>
      <c r="N260" s="4">
        <f t="shared" si="127"/>
        <v>51.9</v>
      </c>
      <c r="O260" s="4">
        <f t="shared" si="128"/>
        <v>0</v>
      </c>
      <c r="P260" s="4">
        <f t="shared" si="129"/>
        <v>0</v>
      </c>
      <c r="Q260" s="4">
        <f t="shared" si="130"/>
        <v>8.4118326757584114</v>
      </c>
      <c r="R260" s="4">
        <f t="shared" si="131"/>
        <v>5.521460917862246</v>
      </c>
      <c r="S260" s="4">
        <f t="shared" si="132"/>
        <v>51.9</v>
      </c>
      <c r="T260" s="4">
        <f t="shared" si="133"/>
        <v>0</v>
      </c>
      <c r="U260" s="4">
        <f t="shared" si="134"/>
        <v>8.4118326757584114</v>
      </c>
      <c r="V260" s="4">
        <f t="shared" si="135"/>
        <v>5.521460917862246</v>
      </c>
      <c r="W260" s="4">
        <f t="shared" si="136"/>
        <v>51.9</v>
      </c>
      <c r="X260" s="4">
        <f t="shared" si="137"/>
        <v>0</v>
      </c>
      <c r="Y260" s="4">
        <f t="shared" si="138"/>
        <v>8.4118326757584114</v>
      </c>
      <c r="Z260" s="4">
        <f t="shared" si="139"/>
        <v>5.521460917862246</v>
      </c>
      <c r="AA260" s="4">
        <f t="shared" si="140"/>
        <v>51.9</v>
      </c>
      <c r="AB260" s="4">
        <f t="shared" si="141"/>
        <v>0</v>
      </c>
      <c r="AC260" s="4">
        <f t="shared" si="142"/>
        <v>0</v>
      </c>
      <c r="AD260" s="4">
        <f t="shared" si="143"/>
        <v>0</v>
      </c>
      <c r="AE260" s="4">
        <f t="shared" si="144"/>
        <v>0</v>
      </c>
      <c r="AF260" s="4">
        <f t="shared" si="145"/>
        <v>0</v>
      </c>
      <c r="AG260" s="4">
        <f t="shared" si="146"/>
        <v>8.4118326757584114</v>
      </c>
      <c r="AH260" s="4">
        <f t="shared" si="147"/>
        <v>0</v>
      </c>
      <c r="AI260" s="4">
        <f t="shared" si="148"/>
        <v>0</v>
      </c>
      <c r="AJ260" s="4">
        <f t="shared" si="149"/>
        <v>8.4118326757584114</v>
      </c>
      <c r="AK260" s="4">
        <f t="shared" si="150"/>
        <v>5.521460917862246</v>
      </c>
      <c r="AL260" s="4">
        <f t="shared" si="151"/>
        <v>0</v>
      </c>
      <c r="AM260" s="4">
        <f>CER!$C$7+CER!$C$8*J260+CER!$C$9*K260+CER!$C$10*L260+CER!$C$11*M260</f>
        <v>3.4125674472715954</v>
      </c>
      <c r="AN260" s="4">
        <f t="shared" si="152"/>
        <v>30.343048514620364</v>
      </c>
      <c r="AO260" s="4">
        <f t="shared" si="153"/>
        <v>5.9125676002258043E-2</v>
      </c>
      <c r="AP260" s="4">
        <f>Alternatives!$F$25+Alternatives!$F$26*J260+Alternatives!$F$27*K260+Alternatives!$F$28*G260+Alternatives!$F$29*O260</f>
        <v>3.4131088354442891</v>
      </c>
      <c r="AQ260" s="4">
        <f t="shared" si="154"/>
        <v>5.8584287829564374E-2</v>
      </c>
    </row>
    <row r="261" spans="1:43" x14ac:dyDescent="0.35">
      <c r="A261" s="2" t="s">
        <v>275</v>
      </c>
      <c r="B261" s="2" t="s">
        <v>239</v>
      </c>
      <c r="C261" s="2" t="s">
        <v>33</v>
      </c>
      <c r="D261" s="2">
        <v>41.642800000000001</v>
      </c>
      <c r="E261" s="2">
        <v>5000</v>
      </c>
      <c r="F261" s="2">
        <v>300</v>
      </c>
      <c r="G261" s="2">
        <v>51.9</v>
      </c>
      <c r="H261" s="2" t="s">
        <v>68</v>
      </c>
      <c r="I261" s="4">
        <f t="shared" si="124"/>
        <v>3.7291284845215995</v>
      </c>
      <c r="J261" s="4">
        <f t="shared" si="125"/>
        <v>8.5171931914162382</v>
      </c>
      <c r="K261" s="4">
        <f t="shared" si="126"/>
        <v>5.7037824746562009</v>
      </c>
      <c r="L261" s="2">
        <v>1</v>
      </c>
      <c r="M261" s="2">
        <v>0</v>
      </c>
      <c r="N261" s="4">
        <f t="shared" si="127"/>
        <v>51.9</v>
      </c>
      <c r="O261" s="4">
        <f t="shared" si="128"/>
        <v>1</v>
      </c>
      <c r="P261" s="4">
        <f t="shared" si="129"/>
        <v>1</v>
      </c>
      <c r="Q261" s="4">
        <f t="shared" si="130"/>
        <v>8.5171931914162382</v>
      </c>
      <c r="R261" s="4">
        <f t="shared" si="131"/>
        <v>5.7037824746562009</v>
      </c>
      <c r="S261" s="4">
        <f t="shared" si="132"/>
        <v>51.9</v>
      </c>
      <c r="T261" s="4">
        <f t="shared" si="133"/>
        <v>1</v>
      </c>
      <c r="U261" s="4">
        <f t="shared" si="134"/>
        <v>8.5171931914162382</v>
      </c>
      <c r="V261" s="4">
        <f t="shared" si="135"/>
        <v>5.7037824746562009</v>
      </c>
      <c r="W261" s="4">
        <f t="shared" si="136"/>
        <v>51.9</v>
      </c>
      <c r="X261" s="4">
        <f t="shared" si="137"/>
        <v>1</v>
      </c>
      <c r="Y261" s="4">
        <f t="shared" si="138"/>
        <v>8.5171931914162382</v>
      </c>
      <c r="Z261" s="4">
        <f t="shared" si="139"/>
        <v>5.7037824746562009</v>
      </c>
      <c r="AA261" s="4">
        <f t="shared" si="140"/>
        <v>51.9</v>
      </c>
      <c r="AB261" s="4">
        <f t="shared" si="141"/>
        <v>1</v>
      </c>
      <c r="AC261" s="4">
        <f t="shared" si="142"/>
        <v>0</v>
      </c>
      <c r="AD261" s="4">
        <f t="shared" si="143"/>
        <v>0</v>
      </c>
      <c r="AE261" s="4">
        <f t="shared" si="144"/>
        <v>0</v>
      </c>
      <c r="AF261" s="4">
        <f t="shared" si="145"/>
        <v>0</v>
      </c>
      <c r="AG261" s="4">
        <f t="shared" si="146"/>
        <v>8.5171931914162382</v>
      </c>
      <c r="AH261" s="4">
        <f t="shared" si="147"/>
        <v>1</v>
      </c>
      <c r="AI261" s="4">
        <f t="shared" si="148"/>
        <v>0</v>
      </c>
      <c r="AJ261" s="4">
        <f t="shared" si="149"/>
        <v>8.5171931914162382</v>
      </c>
      <c r="AK261" s="4">
        <f t="shared" si="150"/>
        <v>5.7037824746562009</v>
      </c>
      <c r="AL261" s="4">
        <f t="shared" si="151"/>
        <v>0</v>
      </c>
      <c r="AM261" s="4">
        <f>CER!$C$7+CER!$C$8*J261+CER!$C$9*K261+CER!$C$10*L261+CER!$C$11*M261</f>
        <v>3.5213569586724498</v>
      </c>
      <c r="AN261" s="4">
        <f t="shared" si="152"/>
        <v>33.830303655377527</v>
      </c>
      <c r="AO261" s="4">
        <f t="shared" si="153"/>
        <v>0.20777152584914971</v>
      </c>
      <c r="AP261" s="4">
        <f>Alternatives!$F$25+Alternatives!$F$26*J261+Alternatives!$F$27*K261+Alternatives!$F$28*G261+Alternatives!$F$29*O261</f>
        <v>4.2483236302148217</v>
      </c>
      <c r="AQ261" s="4">
        <f t="shared" si="154"/>
        <v>-0.51919514569322223</v>
      </c>
    </row>
    <row r="262" spans="1:43" x14ac:dyDescent="0.35">
      <c r="A262" s="2" t="s">
        <v>276</v>
      </c>
      <c r="B262" s="2" t="s">
        <v>239</v>
      </c>
      <c r="C262" s="2" t="s">
        <v>67</v>
      </c>
      <c r="D262" s="2">
        <v>23.015799999999999</v>
      </c>
      <c r="E262" s="2">
        <v>6500</v>
      </c>
      <c r="F262" s="2">
        <v>380</v>
      </c>
      <c r="G262" s="2">
        <v>61.6</v>
      </c>
      <c r="H262" s="2" t="s">
        <v>68</v>
      </c>
      <c r="I262" s="4">
        <f t="shared" si="124"/>
        <v>3.1361809366042621</v>
      </c>
      <c r="J262" s="4">
        <f t="shared" si="125"/>
        <v>8.7795574558837277</v>
      </c>
      <c r="K262" s="4">
        <f t="shared" si="126"/>
        <v>5.9401712527204316</v>
      </c>
      <c r="L262" s="2">
        <v>0</v>
      </c>
      <c r="M262" s="2">
        <v>0</v>
      </c>
      <c r="N262" s="4">
        <f t="shared" si="127"/>
        <v>61.6</v>
      </c>
      <c r="O262" s="4">
        <f t="shared" si="128"/>
        <v>0</v>
      </c>
      <c r="P262" s="4">
        <f t="shared" si="129"/>
        <v>0</v>
      </c>
      <c r="Q262" s="4">
        <f t="shared" si="130"/>
        <v>8.7795574558837277</v>
      </c>
      <c r="R262" s="4">
        <f t="shared" si="131"/>
        <v>5.9401712527204316</v>
      </c>
      <c r="S262" s="4">
        <f t="shared" si="132"/>
        <v>61.6</v>
      </c>
      <c r="T262" s="4">
        <f t="shared" si="133"/>
        <v>0</v>
      </c>
      <c r="U262" s="4">
        <f t="shared" si="134"/>
        <v>8.7795574558837277</v>
      </c>
      <c r="V262" s="4">
        <f t="shared" si="135"/>
        <v>5.9401712527204316</v>
      </c>
      <c r="W262" s="4">
        <f t="shared" si="136"/>
        <v>61.6</v>
      </c>
      <c r="X262" s="4">
        <f t="shared" si="137"/>
        <v>0</v>
      </c>
      <c r="Y262" s="4">
        <f t="shared" si="138"/>
        <v>8.7795574558837277</v>
      </c>
      <c r="Z262" s="4">
        <f t="shared" si="139"/>
        <v>5.9401712527204316</v>
      </c>
      <c r="AA262" s="4">
        <f t="shared" si="140"/>
        <v>61.6</v>
      </c>
      <c r="AB262" s="4">
        <f t="shared" si="141"/>
        <v>0</v>
      </c>
      <c r="AC262" s="4">
        <f t="shared" si="142"/>
        <v>0</v>
      </c>
      <c r="AD262" s="4">
        <f t="shared" si="143"/>
        <v>0</v>
      </c>
      <c r="AE262" s="4">
        <f t="shared" si="144"/>
        <v>0</v>
      </c>
      <c r="AF262" s="4">
        <f t="shared" si="145"/>
        <v>0</v>
      </c>
      <c r="AG262" s="4">
        <f t="shared" si="146"/>
        <v>8.7795574558837277</v>
      </c>
      <c r="AH262" s="4">
        <f t="shared" si="147"/>
        <v>0</v>
      </c>
      <c r="AI262" s="4">
        <f t="shared" si="148"/>
        <v>0</v>
      </c>
      <c r="AJ262" s="4">
        <f t="shared" si="149"/>
        <v>8.7795574558837277</v>
      </c>
      <c r="AK262" s="4">
        <f t="shared" si="150"/>
        <v>5.9401712527204316</v>
      </c>
      <c r="AL262" s="4">
        <f t="shared" si="151"/>
        <v>0</v>
      </c>
      <c r="AM262" s="4">
        <f>CER!$C$7+CER!$C$8*J262+CER!$C$9*K262+CER!$C$10*L262+CER!$C$11*M262</f>
        <v>3.0916145398194095</v>
      </c>
      <c r="AN262" s="4">
        <f t="shared" si="152"/>
        <v>22.012589502942792</v>
      </c>
      <c r="AO262" s="4">
        <f t="shared" si="153"/>
        <v>4.4566396784852635E-2</v>
      </c>
      <c r="AP262" s="4">
        <f>Alternatives!$F$25+Alternatives!$F$26*J262+Alternatives!$F$27*K262+Alternatives!$F$28*G262+Alternatives!$F$29*O262</f>
        <v>3.3116046755342206</v>
      </c>
      <c r="AQ262" s="4">
        <f t="shared" si="154"/>
        <v>-0.17542373892995844</v>
      </c>
    </row>
    <row r="263" spans="1:43" x14ac:dyDescent="0.35">
      <c r="A263" s="2" t="s">
        <v>277</v>
      </c>
      <c r="B263" s="2" t="s">
        <v>239</v>
      </c>
      <c r="C263" s="2" t="s">
        <v>67</v>
      </c>
      <c r="D263" s="2">
        <v>33.055799999999998</v>
      </c>
      <c r="E263" s="2">
        <v>4000</v>
      </c>
      <c r="F263" s="2">
        <v>250</v>
      </c>
      <c r="G263" s="2">
        <v>46.9</v>
      </c>
      <c r="H263" s="2" t="s">
        <v>68</v>
      </c>
      <c r="I263" s="4">
        <f t="shared" si="124"/>
        <v>3.4981970425801054</v>
      </c>
      <c r="J263" s="4">
        <f t="shared" si="125"/>
        <v>8.2940496401020276</v>
      </c>
      <c r="K263" s="4">
        <f t="shared" si="126"/>
        <v>5.521460917862246</v>
      </c>
      <c r="L263" s="2">
        <v>0</v>
      </c>
      <c r="M263" s="2">
        <v>0</v>
      </c>
      <c r="N263" s="4">
        <f t="shared" si="127"/>
        <v>46.9</v>
      </c>
      <c r="O263" s="4">
        <f t="shared" si="128"/>
        <v>0</v>
      </c>
      <c r="P263" s="4">
        <f t="shared" si="129"/>
        <v>0</v>
      </c>
      <c r="Q263" s="4">
        <f t="shared" si="130"/>
        <v>8.2940496401020276</v>
      </c>
      <c r="R263" s="4">
        <f t="shared" si="131"/>
        <v>5.521460917862246</v>
      </c>
      <c r="S263" s="4">
        <f t="shared" si="132"/>
        <v>46.9</v>
      </c>
      <c r="T263" s="4">
        <f t="shared" si="133"/>
        <v>0</v>
      </c>
      <c r="U263" s="4">
        <f t="shared" si="134"/>
        <v>8.2940496401020276</v>
      </c>
      <c r="V263" s="4">
        <f t="shared" si="135"/>
        <v>5.521460917862246</v>
      </c>
      <c r="W263" s="4">
        <f t="shared" si="136"/>
        <v>46.9</v>
      </c>
      <c r="X263" s="4">
        <f t="shared" si="137"/>
        <v>0</v>
      </c>
      <c r="Y263" s="4">
        <f t="shared" si="138"/>
        <v>8.2940496401020276</v>
      </c>
      <c r="Z263" s="4">
        <f t="shared" si="139"/>
        <v>5.521460917862246</v>
      </c>
      <c r="AA263" s="4">
        <f t="shared" si="140"/>
        <v>46.9</v>
      </c>
      <c r="AB263" s="4">
        <f t="shared" si="141"/>
        <v>0</v>
      </c>
      <c r="AC263" s="4">
        <f t="shared" si="142"/>
        <v>0</v>
      </c>
      <c r="AD263" s="4">
        <f t="shared" si="143"/>
        <v>0</v>
      </c>
      <c r="AE263" s="4">
        <f t="shared" si="144"/>
        <v>0</v>
      </c>
      <c r="AF263" s="4">
        <f t="shared" si="145"/>
        <v>0</v>
      </c>
      <c r="AG263" s="4">
        <f t="shared" si="146"/>
        <v>8.2940496401020276</v>
      </c>
      <c r="AH263" s="4">
        <f t="shared" si="147"/>
        <v>0</v>
      </c>
      <c r="AI263" s="4">
        <f t="shared" si="148"/>
        <v>0</v>
      </c>
      <c r="AJ263" s="4">
        <f t="shared" si="149"/>
        <v>8.2940496401020276</v>
      </c>
      <c r="AK263" s="4">
        <f t="shared" si="150"/>
        <v>5.521460917862246</v>
      </c>
      <c r="AL263" s="4">
        <f t="shared" si="151"/>
        <v>0</v>
      </c>
      <c r="AM263" s="4">
        <f>CER!$C$7+CER!$C$8*J263+CER!$C$9*K263+CER!$C$10*L263+CER!$C$11*M263</f>
        <v>3.4658889016503953</v>
      </c>
      <c r="AN263" s="4">
        <f t="shared" si="152"/>
        <v>32.004896337778874</v>
      </c>
      <c r="AO263" s="4">
        <f t="shared" si="153"/>
        <v>3.2308140929710127E-2</v>
      </c>
      <c r="AP263" s="4">
        <f>Alternatives!$F$25+Alternatives!$F$26*J263+Alternatives!$F$27*K263+Alternatives!$F$28*G263+Alternatives!$F$29*O263</f>
        <v>3.4345555582016387</v>
      </c>
      <c r="AQ263" s="4">
        <f t="shared" si="154"/>
        <v>6.3641484378466728E-2</v>
      </c>
    </row>
    <row r="264" spans="1:43" x14ac:dyDescent="0.35">
      <c r="A264" s="2" t="s">
        <v>278</v>
      </c>
      <c r="B264" s="2" t="s">
        <v>239</v>
      </c>
      <c r="C264" s="2" t="s">
        <v>33</v>
      </c>
      <c r="D264" s="2">
        <v>46.144599999999997</v>
      </c>
      <c r="E264" s="2">
        <v>4500</v>
      </c>
      <c r="F264" s="2">
        <v>163</v>
      </c>
      <c r="G264" s="2">
        <v>47.1</v>
      </c>
      <c r="H264" s="2" t="s">
        <v>68</v>
      </c>
      <c r="I264" s="4">
        <f t="shared" si="124"/>
        <v>3.8317799443518736</v>
      </c>
      <c r="J264" s="4">
        <f t="shared" si="125"/>
        <v>8.4118326757584114</v>
      </c>
      <c r="K264" s="4">
        <f t="shared" si="126"/>
        <v>5.0937502008067623</v>
      </c>
      <c r="L264" s="2">
        <v>1</v>
      </c>
      <c r="M264" s="2">
        <v>0</v>
      </c>
      <c r="N264" s="4">
        <f t="shared" si="127"/>
        <v>47.1</v>
      </c>
      <c r="O264" s="4">
        <f t="shared" si="128"/>
        <v>1</v>
      </c>
      <c r="P264" s="4">
        <f t="shared" si="129"/>
        <v>1</v>
      </c>
      <c r="Q264" s="4">
        <f t="shared" si="130"/>
        <v>8.4118326757584114</v>
      </c>
      <c r="R264" s="4">
        <f t="shared" si="131"/>
        <v>5.0937502008067623</v>
      </c>
      <c r="S264" s="4">
        <f t="shared" si="132"/>
        <v>47.1</v>
      </c>
      <c r="T264" s="4">
        <f t="shared" si="133"/>
        <v>1</v>
      </c>
      <c r="U264" s="4">
        <f t="shared" si="134"/>
        <v>8.4118326757584114</v>
      </c>
      <c r="V264" s="4">
        <f t="shared" si="135"/>
        <v>5.0937502008067623</v>
      </c>
      <c r="W264" s="4">
        <f t="shared" si="136"/>
        <v>47.1</v>
      </c>
      <c r="X264" s="4">
        <f t="shared" si="137"/>
        <v>1</v>
      </c>
      <c r="Y264" s="4">
        <f t="shared" si="138"/>
        <v>8.4118326757584114</v>
      </c>
      <c r="Z264" s="4">
        <f t="shared" si="139"/>
        <v>5.0937502008067623</v>
      </c>
      <c r="AA264" s="4">
        <f t="shared" si="140"/>
        <v>47.1</v>
      </c>
      <c r="AB264" s="4">
        <f t="shared" si="141"/>
        <v>1</v>
      </c>
      <c r="AC264" s="4">
        <f t="shared" si="142"/>
        <v>0</v>
      </c>
      <c r="AD264" s="4">
        <f t="shared" si="143"/>
        <v>0</v>
      </c>
      <c r="AE264" s="4">
        <f t="shared" si="144"/>
        <v>0</v>
      </c>
      <c r="AF264" s="4">
        <f t="shared" si="145"/>
        <v>0</v>
      </c>
      <c r="AG264" s="4">
        <f t="shared" si="146"/>
        <v>8.4118326757584114</v>
      </c>
      <c r="AH264" s="4">
        <f t="shared" si="147"/>
        <v>1</v>
      </c>
      <c r="AI264" s="4">
        <f t="shared" si="148"/>
        <v>0</v>
      </c>
      <c r="AJ264" s="4">
        <f t="shared" si="149"/>
        <v>8.4118326757584114</v>
      </c>
      <c r="AK264" s="4">
        <f t="shared" si="150"/>
        <v>5.0937502008067623</v>
      </c>
      <c r="AL264" s="4">
        <f t="shared" si="151"/>
        <v>0</v>
      </c>
      <c r="AM264" s="4">
        <f>CER!$C$7+CER!$C$8*J264+CER!$C$9*K264+CER!$C$10*L264+CER!$C$11*M264</f>
        <v>3.7941221976521575</v>
      </c>
      <c r="AN264" s="4">
        <f t="shared" si="152"/>
        <v>44.439210436233722</v>
      </c>
      <c r="AO264" s="4">
        <f t="shared" si="153"/>
        <v>3.765774669971611E-2</v>
      </c>
      <c r="AP264" s="4">
        <f>Alternatives!$F$25+Alternatives!$F$26*J264+Alternatives!$F$27*K264+Alternatives!$F$28*G264+Alternatives!$F$29*O264</f>
        <v>4.4341019593457691</v>
      </c>
      <c r="AQ264" s="4">
        <f t="shared" si="154"/>
        <v>-0.60232201499389548</v>
      </c>
    </row>
    <row r="265" spans="1:43" x14ac:dyDescent="0.35">
      <c r="A265" s="2" t="s">
        <v>279</v>
      </c>
      <c r="B265" s="2" t="s">
        <v>239</v>
      </c>
      <c r="C265" s="2" t="s">
        <v>67</v>
      </c>
      <c r="D265" s="2">
        <v>31.2454</v>
      </c>
      <c r="E265" s="2">
        <v>4000</v>
      </c>
      <c r="F265" s="2">
        <v>250</v>
      </c>
      <c r="G265" s="2">
        <v>47</v>
      </c>
      <c r="H265" s="2" t="s">
        <v>68</v>
      </c>
      <c r="I265" s="4">
        <f t="shared" si="124"/>
        <v>3.4418721653474273</v>
      </c>
      <c r="J265" s="4">
        <f t="shared" si="125"/>
        <v>8.2940496401020276</v>
      </c>
      <c r="K265" s="4">
        <f t="shared" si="126"/>
        <v>5.521460917862246</v>
      </c>
      <c r="L265" s="2">
        <v>0</v>
      </c>
      <c r="M265" s="2">
        <v>0</v>
      </c>
      <c r="N265" s="4">
        <f t="shared" si="127"/>
        <v>47</v>
      </c>
      <c r="O265" s="4">
        <f t="shared" si="128"/>
        <v>0</v>
      </c>
      <c r="P265" s="4">
        <f t="shared" si="129"/>
        <v>0</v>
      </c>
      <c r="Q265" s="4">
        <f t="shared" si="130"/>
        <v>8.2940496401020276</v>
      </c>
      <c r="R265" s="4">
        <f t="shared" si="131"/>
        <v>5.521460917862246</v>
      </c>
      <c r="S265" s="4">
        <f t="shared" si="132"/>
        <v>47</v>
      </c>
      <c r="T265" s="4">
        <f t="shared" si="133"/>
        <v>0</v>
      </c>
      <c r="U265" s="4">
        <f t="shared" si="134"/>
        <v>8.2940496401020276</v>
      </c>
      <c r="V265" s="4">
        <f t="shared" si="135"/>
        <v>5.521460917862246</v>
      </c>
      <c r="W265" s="4">
        <f t="shared" si="136"/>
        <v>47</v>
      </c>
      <c r="X265" s="4">
        <f t="shared" si="137"/>
        <v>0</v>
      </c>
      <c r="Y265" s="4">
        <f t="shared" si="138"/>
        <v>8.2940496401020276</v>
      </c>
      <c r="Z265" s="4">
        <f t="shared" si="139"/>
        <v>5.521460917862246</v>
      </c>
      <c r="AA265" s="4">
        <f t="shared" si="140"/>
        <v>47</v>
      </c>
      <c r="AB265" s="4">
        <f t="shared" si="141"/>
        <v>0</v>
      </c>
      <c r="AC265" s="4">
        <f t="shared" si="142"/>
        <v>0</v>
      </c>
      <c r="AD265" s="4">
        <f t="shared" si="143"/>
        <v>0</v>
      </c>
      <c r="AE265" s="4">
        <f t="shared" si="144"/>
        <v>0</v>
      </c>
      <c r="AF265" s="4">
        <f t="shared" si="145"/>
        <v>0</v>
      </c>
      <c r="AG265" s="4">
        <f t="shared" si="146"/>
        <v>8.2940496401020276</v>
      </c>
      <c r="AH265" s="4">
        <f t="shared" si="147"/>
        <v>0</v>
      </c>
      <c r="AI265" s="4">
        <f t="shared" si="148"/>
        <v>0</v>
      </c>
      <c r="AJ265" s="4">
        <f t="shared" si="149"/>
        <v>8.2940496401020276</v>
      </c>
      <c r="AK265" s="4">
        <f t="shared" si="150"/>
        <v>5.521460917862246</v>
      </c>
      <c r="AL265" s="4">
        <f t="shared" si="151"/>
        <v>0</v>
      </c>
      <c r="AM265" s="4">
        <f>CER!$C$7+CER!$C$8*J265+CER!$C$9*K265+CER!$C$10*L265+CER!$C$11*M265</f>
        <v>3.4658889016503953</v>
      </c>
      <c r="AN265" s="4">
        <f t="shared" si="152"/>
        <v>32.004896337778874</v>
      </c>
      <c r="AO265" s="4">
        <f t="shared" si="153"/>
        <v>-2.4016736302967967E-2</v>
      </c>
      <c r="AP265" s="4">
        <f>Alternatives!$F$25+Alternatives!$F$26*J265+Alternatives!$F$27*K265+Alternatives!$F$28*G265+Alternatives!$F$29*O265</f>
        <v>3.4332548267474161</v>
      </c>
      <c r="AQ265" s="4">
        <f t="shared" si="154"/>
        <v>8.6173386000112373E-3</v>
      </c>
    </row>
    <row r="266" spans="1:43" x14ac:dyDescent="0.35">
      <c r="A266" s="2" t="s">
        <v>280</v>
      </c>
      <c r="B266" s="2" t="s">
        <v>239</v>
      </c>
      <c r="C266" s="2" t="s">
        <v>67</v>
      </c>
      <c r="D266" s="2">
        <v>27.5596</v>
      </c>
      <c r="E266" s="2">
        <v>5000</v>
      </c>
      <c r="F266" s="2">
        <v>400</v>
      </c>
      <c r="G266" s="2">
        <v>55.7</v>
      </c>
      <c r="H266" s="2" t="s">
        <v>68</v>
      </c>
      <c r="I266" s="4">
        <f t="shared" si="124"/>
        <v>3.3163509322520333</v>
      </c>
      <c r="J266" s="4">
        <f t="shared" si="125"/>
        <v>8.5171931914162382</v>
      </c>
      <c r="K266" s="4">
        <f t="shared" si="126"/>
        <v>5.9914645471079817</v>
      </c>
      <c r="L266" s="2">
        <v>0</v>
      </c>
      <c r="M266" s="2">
        <v>0</v>
      </c>
      <c r="N266" s="4">
        <f t="shared" si="127"/>
        <v>55.7</v>
      </c>
      <c r="O266" s="4">
        <f t="shared" si="128"/>
        <v>0</v>
      </c>
      <c r="P266" s="4">
        <f t="shared" si="129"/>
        <v>0</v>
      </c>
      <c r="Q266" s="4">
        <f t="shared" si="130"/>
        <v>8.5171931914162382</v>
      </c>
      <c r="R266" s="4">
        <f t="shared" si="131"/>
        <v>5.9914645471079817</v>
      </c>
      <c r="S266" s="4">
        <f t="shared" si="132"/>
        <v>55.7</v>
      </c>
      <c r="T266" s="4">
        <f t="shared" si="133"/>
        <v>0</v>
      </c>
      <c r="U266" s="4">
        <f t="shared" si="134"/>
        <v>8.5171931914162382</v>
      </c>
      <c r="V266" s="4">
        <f t="shared" si="135"/>
        <v>5.9914645471079817</v>
      </c>
      <c r="W266" s="4">
        <f t="shared" si="136"/>
        <v>55.7</v>
      </c>
      <c r="X266" s="4">
        <f t="shared" si="137"/>
        <v>0</v>
      </c>
      <c r="Y266" s="4">
        <f t="shared" si="138"/>
        <v>8.5171931914162382</v>
      </c>
      <c r="Z266" s="4">
        <f t="shared" si="139"/>
        <v>5.9914645471079817</v>
      </c>
      <c r="AA266" s="4">
        <f t="shared" si="140"/>
        <v>55.7</v>
      </c>
      <c r="AB266" s="4">
        <f t="shared" si="141"/>
        <v>0</v>
      </c>
      <c r="AC266" s="4">
        <f t="shared" si="142"/>
        <v>0</v>
      </c>
      <c r="AD266" s="4">
        <f t="shared" si="143"/>
        <v>0</v>
      </c>
      <c r="AE266" s="4">
        <f t="shared" si="144"/>
        <v>0</v>
      </c>
      <c r="AF266" s="4">
        <f t="shared" si="145"/>
        <v>0</v>
      </c>
      <c r="AG266" s="4">
        <f t="shared" si="146"/>
        <v>8.5171931914162382</v>
      </c>
      <c r="AH266" s="4">
        <f t="shared" si="147"/>
        <v>0</v>
      </c>
      <c r="AI266" s="4">
        <f t="shared" si="148"/>
        <v>0</v>
      </c>
      <c r="AJ266" s="4">
        <f t="shared" si="149"/>
        <v>8.5171931914162382</v>
      </c>
      <c r="AK266" s="4">
        <f t="shared" si="150"/>
        <v>5.9914645471079817</v>
      </c>
      <c r="AL266" s="4">
        <f t="shared" si="151"/>
        <v>0</v>
      </c>
      <c r="AM266" s="4">
        <f>CER!$C$7+CER!$C$8*J266+CER!$C$9*K266+CER!$C$10*L266+CER!$C$11*M266</f>
        <v>3.1914648964797947</v>
      </c>
      <c r="AN266" s="4">
        <f t="shared" si="152"/>
        <v>24.324033548217393</v>
      </c>
      <c r="AO266" s="4">
        <f t="shared" si="153"/>
        <v>0.12488603577223856</v>
      </c>
      <c r="AP266" s="4">
        <f>Alternatives!$F$25+Alternatives!$F$26*J266+Alternatives!$F$27*K266+Alternatives!$F$28*G266+Alternatives!$F$29*O266</f>
        <v>3.2776008389775071</v>
      </c>
      <c r="AQ266" s="4">
        <f t="shared" si="154"/>
        <v>3.8750093274526165E-2</v>
      </c>
    </row>
    <row r="267" spans="1:43" x14ac:dyDescent="0.35">
      <c r="A267" s="2" t="s">
        <v>281</v>
      </c>
      <c r="B267" s="2" t="s">
        <v>239</v>
      </c>
      <c r="C267" s="2" t="s">
        <v>67</v>
      </c>
      <c r="D267" s="2">
        <v>25.734200000000001</v>
      </c>
      <c r="E267" s="2">
        <v>5500</v>
      </c>
      <c r="F267" s="2">
        <v>400</v>
      </c>
      <c r="G267" s="2">
        <v>55.7</v>
      </c>
      <c r="H267" s="2" t="s">
        <v>68</v>
      </c>
      <c r="I267" s="4">
        <f t="shared" si="124"/>
        <v>3.2478208465519809</v>
      </c>
      <c r="J267" s="4">
        <f t="shared" si="125"/>
        <v>8.6125033712205621</v>
      </c>
      <c r="K267" s="4">
        <f t="shared" si="126"/>
        <v>5.9914645471079817</v>
      </c>
      <c r="L267" s="2">
        <v>0</v>
      </c>
      <c r="M267" s="2">
        <v>0</v>
      </c>
      <c r="N267" s="4">
        <f t="shared" si="127"/>
        <v>55.7</v>
      </c>
      <c r="O267" s="4">
        <f t="shared" si="128"/>
        <v>0</v>
      </c>
      <c r="P267" s="4">
        <f t="shared" si="129"/>
        <v>0</v>
      </c>
      <c r="Q267" s="4">
        <f t="shared" si="130"/>
        <v>8.6125033712205621</v>
      </c>
      <c r="R267" s="4">
        <f t="shared" si="131"/>
        <v>5.9914645471079817</v>
      </c>
      <c r="S267" s="4">
        <f t="shared" si="132"/>
        <v>55.7</v>
      </c>
      <c r="T267" s="4">
        <f t="shared" si="133"/>
        <v>0</v>
      </c>
      <c r="U267" s="4">
        <f t="shared" si="134"/>
        <v>8.6125033712205621</v>
      </c>
      <c r="V267" s="4">
        <f t="shared" si="135"/>
        <v>5.9914645471079817</v>
      </c>
      <c r="W267" s="4">
        <f t="shared" si="136"/>
        <v>55.7</v>
      </c>
      <c r="X267" s="4">
        <f t="shared" si="137"/>
        <v>0</v>
      </c>
      <c r="Y267" s="4">
        <f t="shared" si="138"/>
        <v>8.6125033712205621</v>
      </c>
      <c r="Z267" s="4">
        <f t="shared" si="139"/>
        <v>5.9914645471079817</v>
      </c>
      <c r="AA267" s="4">
        <f t="shared" si="140"/>
        <v>55.7</v>
      </c>
      <c r="AB267" s="4">
        <f t="shared" si="141"/>
        <v>0</v>
      </c>
      <c r="AC267" s="4">
        <f t="shared" si="142"/>
        <v>0</v>
      </c>
      <c r="AD267" s="4">
        <f t="shared" si="143"/>
        <v>0</v>
      </c>
      <c r="AE267" s="4">
        <f t="shared" si="144"/>
        <v>0</v>
      </c>
      <c r="AF267" s="4">
        <f t="shared" si="145"/>
        <v>0</v>
      </c>
      <c r="AG267" s="4">
        <f t="shared" si="146"/>
        <v>8.6125033712205621</v>
      </c>
      <c r="AH267" s="4">
        <f t="shared" si="147"/>
        <v>0</v>
      </c>
      <c r="AI267" s="4">
        <f t="shared" si="148"/>
        <v>0</v>
      </c>
      <c r="AJ267" s="4">
        <f t="shared" si="149"/>
        <v>8.6125033712205621</v>
      </c>
      <c r="AK267" s="4">
        <f t="shared" si="150"/>
        <v>5.9914645471079817</v>
      </c>
      <c r="AL267" s="4">
        <f t="shared" si="151"/>
        <v>0</v>
      </c>
      <c r="AM267" s="4">
        <f>CER!$C$7+CER!$C$8*J267+CER!$C$9*K267+CER!$C$10*L267+CER!$C$11*M267</f>
        <v>3.1483171088892488</v>
      </c>
      <c r="AN267" s="4">
        <f t="shared" si="152"/>
        <v>23.296825552066785</v>
      </c>
      <c r="AO267" s="4">
        <f t="shared" si="153"/>
        <v>9.9503737662732128E-2</v>
      </c>
      <c r="AP267" s="4">
        <f>Alternatives!$F$25+Alternatives!$F$26*J267+Alternatives!$F$27*K267+Alternatives!$F$28*G267+Alternatives!$F$29*O267</f>
        <v>3.3128738000927203</v>
      </c>
      <c r="AQ267" s="4">
        <f t="shared" si="154"/>
        <v>-6.5052953540739367E-2</v>
      </c>
    </row>
    <row r="268" spans="1:43" x14ac:dyDescent="0.35">
      <c r="A268" s="2" t="s">
        <v>282</v>
      </c>
      <c r="B268" s="2" t="s">
        <v>283</v>
      </c>
      <c r="C268" s="2" t="s">
        <v>67</v>
      </c>
      <c r="D268" s="2">
        <v>26.755299999999998</v>
      </c>
      <c r="E268" s="2">
        <v>4500</v>
      </c>
      <c r="F268" s="2">
        <v>310</v>
      </c>
      <c r="G268" s="2">
        <v>56.7</v>
      </c>
      <c r="H268" s="2" t="s">
        <v>68</v>
      </c>
      <c r="I268" s="4">
        <f t="shared" si="124"/>
        <v>3.2867325845578139</v>
      </c>
      <c r="J268" s="4">
        <f t="shared" si="125"/>
        <v>8.4118326757584114</v>
      </c>
      <c r="K268" s="4">
        <f t="shared" si="126"/>
        <v>5.7365722974791922</v>
      </c>
      <c r="L268" s="2">
        <v>0</v>
      </c>
      <c r="M268" s="2">
        <v>0</v>
      </c>
      <c r="N268" s="4">
        <f t="shared" si="127"/>
        <v>56.7</v>
      </c>
      <c r="O268" s="4">
        <f t="shared" si="128"/>
        <v>0</v>
      </c>
      <c r="P268" s="4">
        <f t="shared" si="129"/>
        <v>0</v>
      </c>
      <c r="Q268" s="4">
        <f t="shared" si="130"/>
        <v>8.4118326757584114</v>
      </c>
      <c r="R268" s="4">
        <f t="shared" si="131"/>
        <v>5.7365722974791922</v>
      </c>
      <c r="S268" s="4">
        <f t="shared" si="132"/>
        <v>56.7</v>
      </c>
      <c r="T268" s="4">
        <f t="shared" si="133"/>
        <v>0</v>
      </c>
      <c r="U268" s="4">
        <f t="shared" si="134"/>
        <v>8.4118326757584114</v>
      </c>
      <c r="V268" s="4">
        <f t="shared" si="135"/>
        <v>5.7365722974791922</v>
      </c>
      <c r="W268" s="4">
        <f t="shared" si="136"/>
        <v>56.7</v>
      </c>
      <c r="X268" s="4">
        <f t="shared" si="137"/>
        <v>0</v>
      </c>
      <c r="Y268" s="4">
        <f t="shared" si="138"/>
        <v>8.4118326757584114</v>
      </c>
      <c r="Z268" s="4">
        <f t="shared" si="139"/>
        <v>5.7365722974791922</v>
      </c>
      <c r="AA268" s="4">
        <f t="shared" si="140"/>
        <v>56.7</v>
      </c>
      <c r="AB268" s="4">
        <f t="shared" si="141"/>
        <v>0</v>
      </c>
      <c r="AC268" s="4">
        <f t="shared" si="142"/>
        <v>0</v>
      </c>
      <c r="AD268" s="4">
        <f t="shared" si="143"/>
        <v>0</v>
      </c>
      <c r="AE268" s="4">
        <f t="shared" si="144"/>
        <v>0</v>
      </c>
      <c r="AF268" s="4">
        <f t="shared" si="145"/>
        <v>0</v>
      </c>
      <c r="AG268" s="4">
        <f t="shared" si="146"/>
        <v>8.4118326757584114</v>
      </c>
      <c r="AH268" s="4">
        <f t="shared" si="147"/>
        <v>0</v>
      </c>
      <c r="AI268" s="4">
        <f t="shared" si="148"/>
        <v>0</v>
      </c>
      <c r="AJ268" s="4">
        <f t="shared" si="149"/>
        <v>8.4118326757584114</v>
      </c>
      <c r="AK268" s="4">
        <f t="shared" si="150"/>
        <v>5.7365722974791922</v>
      </c>
      <c r="AL268" s="4">
        <f t="shared" si="151"/>
        <v>0</v>
      </c>
      <c r="AM268" s="4">
        <f>CER!$C$7+CER!$C$8*J268+CER!$C$9*K268+CER!$C$10*L268+CER!$C$11*M268</f>
        <v>3.3332034559805801</v>
      </c>
      <c r="AN268" s="4">
        <f t="shared" si="152"/>
        <v>28.027984457701727</v>
      </c>
      <c r="AO268" s="4">
        <f t="shared" si="153"/>
        <v>-4.647087142276618E-2</v>
      </c>
      <c r="AP268" s="4">
        <f>Alternatives!$F$25+Alternatives!$F$26*J268+Alternatives!$F$27*K268+Alternatives!$F$28*G268+Alternatives!$F$29*O268</f>
        <v>3.2934304433147066</v>
      </c>
      <c r="AQ268" s="4">
        <f t="shared" si="154"/>
        <v>-6.6978587568926606E-3</v>
      </c>
    </row>
    <row r="269" spans="1:43" x14ac:dyDescent="0.35">
      <c r="A269" s="2" t="s">
        <v>284</v>
      </c>
      <c r="B269" s="2" t="s">
        <v>283</v>
      </c>
      <c r="C269" s="2" t="s">
        <v>67</v>
      </c>
      <c r="D269" s="2">
        <v>25.655000000000001</v>
      </c>
      <c r="E269" s="2">
        <v>5000</v>
      </c>
      <c r="F269" s="2">
        <v>310</v>
      </c>
      <c r="G269" s="2">
        <v>56.7</v>
      </c>
      <c r="H269" s="2" t="s">
        <v>68</v>
      </c>
      <c r="I269" s="4">
        <f t="shared" si="124"/>
        <v>3.244738484393928</v>
      </c>
      <c r="J269" s="4">
        <f t="shared" si="125"/>
        <v>8.5171931914162382</v>
      </c>
      <c r="K269" s="4">
        <f t="shared" si="126"/>
        <v>5.7365722974791922</v>
      </c>
      <c r="L269" s="2">
        <v>0</v>
      </c>
      <c r="M269" s="2">
        <v>0</v>
      </c>
      <c r="N269" s="4">
        <f t="shared" si="127"/>
        <v>56.7</v>
      </c>
      <c r="O269" s="4">
        <f t="shared" si="128"/>
        <v>0</v>
      </c>
      <c r="P269" s="4">
        <f t="shared" si="129"/>
        <v>0</v>
      </c>
      <c r="Q269" s="4">
        <f t="shared" si="130"/>
        <v>8.5171931914162382</v>
      </c>
      <c r="R269" s="4">
        <f t="shared" si="131"/>
        <v>5.7365722974791922</v>
      </c>
      <c r="S269" s="4">
        <f t="shared" si="132"/>
        <v>56.7</v>
      </c>
      <c r="T269" s="4">
        <f t="shared" si="133"/>
        <v>0</v>
      </c>
      <c r="U269" s="4">
        <f t="shared" si="134"/>
        <v>8.5171931914162382</v>
      </c>
      <c r="V269" s="4">
        <f t="shared" si="135"/>
        <v>5.7365722974791922</v>
      </c>
      <c r="W269" s="4">
        <f t="shared" si="136"/>
        <v>56.7</v>
      </c>
      <c r="X269" s="4">
        <f t="shared" si="137"/>
        <v>0</v>
      </c>
      <c r="Y269" s="4">
        <f t="shared" si="138"/>
        <v>8.5171931914162382</v>
      </c>
      <c r="Z269" s="4">
        <f t="shared" si="139"/>
        <v>5.7365722974791922</v>
      </c>
      <c r="AA269" s="4">
        <f t="shared" si="140"/>
        <v>56.7</v>
      </c>
      <c r="AB269" s="4">
        <f t="shared" si="141"/>
        <v>0</v>
      </c>
      <c r="AC269" s="4">
        <f t="shared" si="142"/>
        <v>0</v>
      </c>
      <c r="AD269" s="4">
        <f t="shared" si="143"/>
        <v>0</v>
      </c>
      <c r="AE269" s="4">
        <f t="shared" si="144"/>
        <v>0</v>
      </c>
      <c r="AF269" s="4">
        <f t="shared" si="145"/>
        <v>0</v>
      </c>
      <c r="AG269" s="4">
        <f t="shared" si="146"/>
        <v>8.5171931914162382</v>
      </c>
      <c r="AH269" s="4">
        <f t="shared" si="147"/>
        <v>0</v>
      </c>
      <c r="AI269" s="4">
        <f t="shared" si="148"/>
        <v>0</v>
      </c>
      <c r="AJ269" s="4">
        <f t="shared" si="149"/>
        <v>8.5171931914162382</v>
      </c>
      <c r="AK269" s="4">
        <f t="shared" si="150"/>
        <v>5.7365722974791922</v>
      </c>
      <c r="AL269" s="4">
        <f t="shared" si="151"/>
        <v>0</v>
      </c>
      <c r="AM269" s="4">
        <f>CER!$C$7+CER!$C$8*J269+CER!$C$9*K269+CER!$C$10*L269+CER!$C$11*M269</f>
        <v>3.2855057896938553</v>
      </c>
      <c r="AN269" s="4">
        <f t="shared" si="152"/>
        <v>26.722496860851766</v>
      </c>
      <c r="AO269" s="4">
        <f t="shared" si="153"/>
        <v>-4.0767305299927337E-2</v>
      </c>
      <c r="AP269" s="4">
        <f>Alternatives!$F$25+Alternatives!$F$26*J269+Alternatives!$F$27*K269+Alternatives!$F$28*G269+Alternatives!$F$29*O269</f>
        <v>3.3324228928044377</v>
      </c>
      <c r="AQ269" s="4">
        <f t="shared" si="154"/>
        <v>-8.7684408410509729E-2</v>
      </c>
    </row>
    <row r="270" spans="1:43" x14ac:dyDescent="0.35">
      <c r="A270" s="2" t="s">
        <v>285</v>
      </c>
      <c r="B270" s="2" t="s">
        <v>283</v>
      </c>
      <c r="C270" s="2" t="s">
        <v>67</v>
      </c>
      <c r="D270" s="2">
        <v>43.7761</v>
      </c>
      <c r="E270" s="2">
        <v>3500</v>
      </c>
      <c r="F270" s="2">
        <v>137</v>
      </c>
      <c r="G270" s="2">
        <v>43.6</v>
      </c>
      <c r="H270" s="2" t="s">
        <v>68</v>
      </c>
      <c r="I270" s="4">
        <f t="shared" si="124"/>
        <v>3.7790880063542014</v>
      </c>
      <c r="J270" s="4">
        <f t="shared" si="125"/>
        <v>8.1605182474775049</v>
      </c>
      <c r="K270" s="4">
        <f t="shared" si="126"/>
        <v>4.9199809258281251</v>
      </c>
      <c r="L270" s="2">
        <v>0</v>
      </c>
      <c r="M270" s="2">
        <v>0</v>
      </c>
      <c r="N270" s="4">
        <f t="shared" si="127"/>
        <v>43.6</v>
      </c>
      <c r="O270" s="4">
        <f t="shared" si="128"/>
        <v>0</v>
      </c>
      <c r="P270" s="4">
        <f t="shared" si="129"/>
        <v>0</v>
      </c>
      <c r="Q270" s="4">
        <f t="shared" si="130"/>
        <v>8.1605182474775049</v>
      </c>
      <c r="R270" s="4">
        <f t="shared" si="131"/>
        <v>4.9199809258281251</v>
      </c>
      <c r="S270" s="4">
        <f t="shared" si="132"/>
        <v>43.6</v>
      </c>
      <c r="T270" s="4">
        <f t="shared" si="133"/>
        <v>0</v>
      </c>
      <c r="U270" s="4">
        <f t="shared" si="134"/>
        <v>8.1605182474775049</v>
      </c>
      <c r="V270" s="4">
        <f t="shared" si="135"/>
        <v>4.9199809258281251</v>
      </c>
      <c r="W270" s="4">
        <f t="shared" si="136"/>
        <v>43.6</v>
      </c>
      <c r="X270" s="4">
        <f t="shared" si="137"/>
        <v>0</v>
      </c>
      <c r="Y270" s="4">
        <f t="shared" si="138"/>
        <v>8.1605182474775049</v>
      </c>
      <c r="Z270" s="4">
        <f t="shared" si="139"/>
        <v>4.9199809258281251</v>
      </c>
      <c r="AA270" s="4">
        <f t="shared" si="140"/>
        <v>43.6</v>
      </c>
      <c r="AB270" s="4">
        <f t="shared" si="141"/>
        <v>0</v>
      </c>
      <c r="AC270" s="4">
        <f t="shared" si="142"/>
        <v>0</v>
      </c>
      <c r="AD270" s="4">
        <f t="shared" si="143"/>
        <v>0</v>
      </c>
      <c r="AE270" s="4">
        <f t="shared" si="144"/>
        <v>0</v>
      </c>
      <c r="AF270" s="4">
        <f t="shared" si="145"/>
        <v>0</v>
      </c>
      <c r="AG270" s="4">
        <f t="shared" si="146"/>
        <v>8.1605182474775049</v>
      </c>
      <c r="AH270" s="4">
        <f t="shared" si="147"/>
        <v>0</v>
      </c>
      <c r="AI270" s="4">
        <f t="shared" si="148"/>
        <v>0</v>
      </c>
      <c r="AJ270" s="4">
        <f t="shared" si="149"/>
        <v>8.1605182474775049</v>
      </c>
      <c r="AK270" s="4">
        <f t="shared" si="150"/>
        <v>4.9199809258281251</v>
      </c>
      <c r="AL270" s="4">
        <f t="shared" si="151"/>
        <v>0</v>
      </c>
      <c r="AM270" s="4">
        <f>CER!$C$7+CER!$C$8*J270+CER!$C$9*K270+CER!$C$10*L270+CER!$C$11*M270</f>
        <v>3.7482520429257846</v>
      </c>
      <c r="AN270" s="4">
        <f t="shared" si="152"/>
        <v>42.446821894623376</v>
      </c>
      <c r="AO270" s="4">
        <f t="shared" si="153"/>
        <v>3.0835963428416768E-2</v>
      </c>
      <c r="AP270" s="4">
        <f>Alternatives!$F$25+Alternatives!$F$26*J270+Alternatives!$F$27*K270+Alternatives!$F$28*G270+Alternatives!$F$29*O270</f>
        <v>3.5881214215238226</v>
      </c>
      <c r="AQ270" s="4">
        <f t="shared" si="154"/>
        <v>0.19096658483037876</v>
      </c>
    </row>
    <row r="271" spans="1:43" x14ac:dyDescent="0.35">
      <c r="A271" s="2" t="s">
        <v>285</v>
      </c>
      <c r="B271" s="2" t="s">
        <v>283</v>
      </c>
      <c r="C271" s="2" t="s">
        <v>67</v>
      </c>
      <c r="D271" s="2">
        <v>43.15</v>
      </c>
      <c r="E271" s="2">
        <v>3500</v>
      </c>
      <c r="F271" s="2">
        <v>155</v>
      </c>
      <c r="G271" s="2">
        <v>43.6</v>
      </c>
      <c r="H271" s="2" t="s">
        <v>68</v>
      </c>
      <c r="I271" s="4">
        <f t="shared" si="124"/>
        <v>3.7646824175294369</v>
      </c>
      <c r="J271" s="4">
        <f t="shared" si="125"/>
        <v>8.1605182474775049</v>
      </c>
      <c r="K271" s="4">
        <f t="shared" si="126"/>
        <v>5.0434251169192468</v>
      </c>
      <c r="L271" s="2">
        <v>0</v>
      </c>
      <c r="M271" s="2">
        <v>0</v>
      </c>
      <c r="N271" s="4">
        <f t="shared" si="127"/>
        <v>43.6</v>
      </c>
      <c r="O271" s="4">
        <f t="shared" si="128"/>
        <v>0</v>
      </c>
      <c r="P271" s="4">
        <f t="shared" si="129"/>
        <v>0</v>
      </c>
      <c r="Q271" s="4">
        <f t="shared" si="130"/>
        <v>8.1605182474775049</v>
      </c>
      <c r="R271" s="4">
        <f t="shared" si="131"/>
        <v>5.0434251169192468</v>
      </c>
      <c r="S271" s="4">
        <f t="shared" si="132"/>
        <v>43.6</v>
      </c>
      <c r="T271" s="4">
        <f t="shared" si="133"/>
        <v>0</v>
      </c>
      <c r="U271" s="4">
        <f t="shared" si="134"/>
        <v>8.1605182474775049</v>
      </c>
      <c r="V271" s="4">
        <f t="shared" si="135"/>
        <v>5.0434251169192468</v>
      </c>
      <c r="W271" s="4">
        <f t="shared" si="136"/>
        <v>43.6</v>
      </c>
      <c r="X271" s="4">
        <f t="shared" si="137"/>
        <v>0</v>
      </c>
      <c r="Y271" s="4">
        <f t="shared" si="138"/>
        <v>8.1605182474775049</v>
      </c>
      <c r="Z271" s="4">
        <f t="shared" si="139"/>
        <v>5.0434251169192468</v>
      </c>
      <c r="AA271" s="4">
        <f t="shared" si="140"/>
        <v>43.6</v>
      </c>
      <c r="AB271" s="4">
        <f t="shared" si="141"/>
        <v>0</v>
      </c>
      <c r="AC271" s="4">
        <f t="shared" si="142"/>
        <v>0</v>
      </c>
      <c r="AD271" s="4">
        <f t="shared" si="143"/>
        <v>0</v>
      </c>
      <c r="AE271" s="4">
        <f t="shared" si="144"/>
        <v>0</v>
      </c>
      <c r="AF271" s="4">
        <f t="shared" si="145"/>
        <v>0</v>
      </c>
      <c r="AG271" s="4">
        <f t="shared" si="146"/>
        <v>8.1605182474775049</v>
      </c>
      <c r="AH271" s="4">
        <f t="shared" si="147"/>
        <v>0</v>
      </c>
      <c r="AI271" s="4">
        <f t="shared" si="148"/>
        <v>0</v>
      </c>
      <c r="AJ271" s="4">
        <f t="shared" si="149"/>
        <v>8.1605182474775049</v>
      </c>
      <c r="AK271" s="4">
        <f t="shared" si="150"/>
        <v>5.0434251169192468</v>
      </c>
      <c r="AL271" s="4">
        <f t="shared" si="151"/>
        <v>0</v>
      </c>
      <c r="AM271" s="4">
        <f>CER!$C$7+CER!$C$8*J271+CER!$C$9*K271+CER!$C$10*L271+CER!$C$11*M271</f>
        <v>3.7027080846092697</v>
      </c>
      <c r="AN271" s="4">
        <f t="shared" si="152"/>
        <v>40.556987531112888</v>
      </c>
      <c r="AO271" s="4">
        <f t="shared" si="153"/>
        <v>6.1974332920167186E-2</v>
      </c>
      <c r="AP271" s="4">
        <f>Alternatives!$F$25+Alternatives!$F$26*J271+Alternatives!$F$27*K271+Alternatives!$F$28*G271+Alternatives!$F$29*O271</f>
        <v>3.5552716917939198</v>
      </c>
      <c r="AQ271" s="4">
        <f t="shared" si="154"/>
        <v>0.20941072573551711</v>
      </c>
    </row>
    <row r="272" spans="1:43" x14ac:dyDescent="0.35">
      <c r="A272" s="2" t="s">
        <v>286</v>
      </c>
      <c r="B272" s="2" t="s">
        <v>283</v>
      </c>
      <c r="C272" s="2" t="s">
        <v>67</v>
      </c>
      <c r="D272" s="2">
        <v>37.209499999999998</v>
      </c>
      <c r="E272" s="2">
        <v>3500</v>
      </c>
      <c r="F272" s="2">
        <v>155</v>
      </c>
      <c r="G272" s="2">
        <v>43.6</v>
      </c>
      <c r="H272" s="2" t="s">
        <v>68</v>
      </c>
      <c r="I272" s="4">
        <f t="shared" si="124"/>
        <v>3.6165641050201986</v>
      </c>
      <c r="J272" s="4">
        <f t="shared" si="125"/>
        <v>8.1605182474775049</v>
      </c>
      <c r="K272" s="4">
        <f t="shared" si="126"/>
        <v>5.0434251169192468</v>
      </c>
      <c r="L272" s="2">
        <v>0</v>
      </c>
      <c r="M272" s="2">
        <v>0</v>
      </c>
      <c r="N272" s="4">
        <f t="shared" si="127"/>
        <v>43.6</v>
      </c>
      <c r="O272" s="4">
        <f t="shared" si="128"/>
        <v>0</v>
      </c>
      <c r="P272" s="4">
        <f t="shared" si="129"/>
        <v>0</v>
      </c>
      <c r="Q272" s="4">
        <f t="shared" si="130"/>
        <v>8.1605182474775049</v>
      </c>
      <c r="R272" s="4">
        <f t="shared" si="131"/>
        <v>5.0434251169192468</v>
      </c>
      <c r="S272" s="4">
        <f t="shared" si="132"/>
        <v>43.6</v>
      </c>
      <c r="T272" s="4">
        <f t="shared" si="133"/>
        <v>0</v>
      </c>
      <c r="U272" s="4">
        <f t="shared" si="134"/>
        <v>8.1605182474775049</v>
      </c>
      <c r="V272" s="4">
        <f t="shared" si="135"/>
        <v>5.0434251169192468</v>
      </c>
      <c r="W272" s="4">
        <f t="shared" si="136"/>
        <v>43.6</v>
      </c>
      <c r="X272" s="4">
        <f t="shared" si="137"/>
        <v>0</v>
      </c>
      <c r="Y272" s="4">
        <f t="shared" si="138"/>
        <v>8.1605182474775049</v>
      </c>
      <c r="Z272" s="4">
        <f t="shared" si="139"/>
        <v>5.0434251169192468</v>
      </c>
      <c r="AA272" s="4">
        <f t="shared" si="140"/>
        <v>43.6</v>
      </c>
      <c r="AB272" s="4">
        <f t="shared" si="141"/>
        <v>0</v>
      </c>
      <c r="AC272" s="4">
        <f t="shared" si="142"/>
        <v>0</v>
      </c>
      <c r="AD272" s="4">
        <f t="shared" si="143"/>
        <v>0</v>
      </c>
      <c r="AE272" s="4">
        <f t="shared" si="144"/>
        <v>0</v>
      </c>
      <c r="AF272" s="4">
        <f t="shared" si="145"/>
        <v>0</v>
      </c>
      <c r="AG272" s="4">
        <f t="shared" si="146"/>
        <v>8.1605182474775049</v>
      </c>
      <c r="AH272" s="4">
        <f t="shared" si="147"/>
        <v>0</v>
      </c>
      <c r="AI272" s="4">
        <f t="shared" si="148"/>
        <v>0</v>
      </c>
      <c r="AJ272" s="4">
        <f t="shared" si="149"/>
        <v>8.1605182474775049</v>
      </c>
      <c r="AK272" s="4">
        <f t="shared" si="150"/>
        <v>5.0434251169192468</v>
      </c>
      <c r="AL272" s="4">
        <f t="shared" si="151"/>
        <v>0</v>
      </c>
      <c r="AM272" s="4">
        <f>CER!$C$7+CER!$C$8*J272+CER!$C$9*K272+CER!$C$10*L272+CER!$C$11*M272</f>
        <v>3.7027080846092697</v>
      </c>
      <c r="AN272" s="4">
        <f t="shared" si="152"/>
        <v>40.556987531112888</v>
      </c>
      <c r="AO272" s="4">
        <f t="shared" si="153"/>
        <v>-8.6143979589071051E-2</v>
      </c>
      <c r="AP272" s="4">
        <f>Alternatives!$F$25+Alternatives!$F$26*J272+Alternatives!$F$27*K272+Alternatives!$F$28*G272+Alternatives!$F$29*O272</f>
        <v>3.5552716917939198</v>
      </c>
      <c r="AQ272" s="4">
        <f t="shared" si="154"/>
        <v>6.1292413226278875E-2</v>
      </c>
    </row>
    <row r="273" spans="1:43" x14ac:dyDescent="0.35">
      <c r="A273" s="2" t="s">
        <v>287</v>
      </c>
      <c r="B273" s="2" t="s">
        <v>283</v>
      </c>
      <c r="C273" s="2" t="s">
        <v>67</v>
      </c>
      <c r="D273" s="2">
        <v>41.926099999999998</v>
      </c>
      <c r="E273" s="2">
        <v>3500</v>
      </c>
      <c r="F273" s="2">
        <v>137</v>
      </c>
      <c r="G273" s="2">
        <v>45.7</v>
      </c>
      <c r="H273" s="2" t="s">
        <v>68</v>
      </c>
      <c r="I273" s="4">
        <f t="shared" si="124"/>
        <v>3.7359085446936429</v>
      </c>
      <c r="J273" s="4">
        <f t="shared" si="125"/>
        <v>8.1605182474775049</v>
      </c>
      <c r="K273" s="4">
        <f t="shared" si="126"/>
        <v>4.9199809258281251</v>
      </c>
      <c r="L273" s="2">
        <v>0</v>
      </c>
      <c r="M273" s="2">
        <v>0</v>
      </c>
      <c r="N273" s="4">
        <f t="shared" si="127"/>
        <v>45.7</v>
      </c>
      <c r="O273" s="4">
        <f t="shared" si="128"/>
        <v>0</v>
      </c>
      <c r="P273" s="4">
        <f t="shared" si="129"/>
        <v>0</v>
      </c>
      <c r="Q273" s="4">
        <f t="shared" si="130"/>
        <v>8.1605182474775049</v>
      </c>
      <c r="R273" s="4">
        <f t="shared" si="131"/>
        <v>4.9199809258281251</v>
      </c>
      <c r="S273" s="4">
        <f t="shared" si="132"/>
        <v>45.7</v>
      </c>
      <c r="T273" s="4">
        <f t="shared" si="133"/>
        <v>0</v>
      </c>
      <c r="U273" s="4">
        <f t="shared" si="134"/>
        <v>8.1605182474775049</v>
      </c>
      <c r="V273" s="4">
        <f t="shared" si="135"/>
        <v>4.9199809258281251</v>
      </c>
      <c r="W273" s="4">
        <f t="shared" si="136"/>
        <v>45.7</v>
      </c>
      <c r="X273" s="4">
        <f t="shared" si="137"/>
        <v>0</v>
      </c>
      <c r="Y273" s="4">
        <f t="shared" si="138"/>
        <v>8.1605182474775049</v>
      </c>
      <c r="Z273" s="4">
        <f t="shared" si="139"/>
        <v>4.9199809258281251</v>
      </c>
      <c r="AA273" s="4">
        <f t="shared" si="140"/>
        <v>45.7</v>
      </c>
      <c r="AB273" s="4">
        <f t="shared" si="141"/>
        <v>0</v>
      </c>
      <c r="AC273" s="4">
        <f t="shared" si="142"/>
        <v>0</v>
      </c>
      <c r="AD273" s="4">
        <f t="shared" si="143"/>
        <v>0</v>
      </c>
      <c r="AE273" s="4">
        <f t="shared" si="144"/>
        <v>0</v>
      </c>
      <c r="AF273" s="4">
        <f t="shared" si="145"/>
        <v>0</v>
      </c>
      <c r="AG273" s="4">
        <f t="shared" si="146"/>
        <v>8.1605182474775049</v>
      </c>
      <c r="AH273" s="4">
        <f t="shared" si="147"/>
        <v>0</v>
      </c>
      <c r="AI273" s="4">
        <f t="shared" si="148"/>
        <v>0</v>
      </c>
      <c r="AJ273" s="4">
        <f t="shared" si="149"/>
        <v>8.1605182474775049</v>
      </c>
      <c r="AK273" s="4">
        <f t="shared" si="150"/>
        <v>4.9199809258281251</v>
      </c>
      <c r="AL273" s="4">
        <f t="shared" si="151"/>
        <v>0</v>
      </c>
      <c r="AM273" s="4">
        <f>CER!$C$7+CER!$C$8*J273+CER!$C$9*K273+CER!$C$10*L273+CER!$C$11*M273</f>
        <v>3.7482520429257846</v>
      </c>
      <c r="AN273" s="4">
        <f t="shared" si="152"/>
        <v>42.446821894623376</v>
      </c>
      <c r="AO273" s="4">
        <f t="shared" si="153"/>
        <v>-1.2343498232141759E-2</v>
      </c>
      <c r="AP273" s="4">
        <f>Alternatives!$F$25+Alternatives!$F$26*J273+Alternatives!$F$27*K273+Alternatives!$F$28*G273+Alternatives!$F$29*O273</f>
        <v>3.5608060609851431</v>
      </c>
      <c r="AQ273" s="4">
        <f t="shared" si="154"/>
        <v>0.17510248370849979</v>
      </c>
    </row>
    <row r="274" spans="1:43" x14ac:dyDescent="0.35">
      <c r="A274" s="2" t="s">
        <v>288</v>
      </c>
      <c r="B274" s="2" t="s">
        <v>283</v>
      </c>
      <c r="C274" s="2" t="s">
        <v>67</v>
      </c>
      <c r="D274" s="2">
        <v>33.765300000000003</v>
      </c>
      <c r="E274" s="2">
        <v>4000</v>
      </c>
      <c r="F274" s="2">
        <v>228</v>
      </c>
      <c r="G274" s="2">
        <v>46.7</v>
      </c>
      <c r="H274" s="2" t="s">
        <v>68</v>
      </c>
      <c r="I274" s="4">
        <f t="shared" si="124"/>
        <v>3.5194336479273614</v>
      </c>
      <c r="J274" s="4">
        <f t="shared" si="125"/>
        <v>8.2940496401020276</v>
      </c>
      <c r="K274" s="4">
        <f t="shared" si="126"/>
        <v>5.4293456289544411</v>
      </c>
      <c r="L274" s="2">
        <v>0</v>
      </c>
      <c r="M274" s="2">
        <v>0</v>
      </c>
      <c r="N274" s="4">
        <f t="shared" si="127"/>
        <v>46.7</v>
      </c>
      <c r="O274" s="4">
        <f t="shared" si="128"/>
        <v>0</v>
      </c>
      <c r="P274" s="4">
        <f t="shared" si="129"/>
        <v>0</v>
      </c>
      <c r="Q274" s="4">
        <f t="shared" si="130"/>
        <v>8.2940496401020276</v>
      </c>
      <c r="R274" s="4">
        <f t="shared" si="131"/>
        <v>5.4293456289544411</v>
      </c>
      <c r="S274" s="4">
        <f t="shared" si="132"/>
        <v>46.7</v>
      </c>
      <c r="T274" s="4">
        <f t="shared" si="133"/>
        <v>0</v>
      </c>
      <c r="U274" s="4">
        <f t="shared" si="134"/>
        <v>8.2940496401020276</v>
      </c>
      <c r="V274" s="4">
        <f t="shared" si="135"/>
        <v>5.4293456289544411</v>
      </c>
      <c r="W274" s="4">
        <f t="shared" si="136"/>
        <v>46.7</v>
      </c>
      <c r="X274" s="4">
        <f t="shared" si="137"/>
        <v>0</v>
      </c>
      <c r="Y274" s="4">
        <f t="shared" si="138"/>
        <v>8.2940496401020276</v>
      </c>
      <c r="Z274" s="4">
        <f t="shared" si="139"/>
        <v>5.4293456289544411</v>
      </c>
      <c r="AA274" s="4">
        <f t="shared" si="140"/>
        <v>46.7</v>
      </c>
      <c r="AB274" s="4">
        <f t="shared" si="141"/>
        <v>0</v>
      </c>
      <c r="AC274" s="4">
        <f t="shared" si="142"/>
        <v>0</v>
      </c>
      <c r="AD274" s="4">
        <f t="shared" si="143"/>
        <v>0</v>
      </c>
      <c r="AE274" s="4">
        <f t="shared" si="144"/>
        <v>0</v>
      </c>
      <c r="AF274" s="4">
        <f t="shared" si="145"/>
        <v>0</v>
      </c>
      <c r="AG274" s="4">
        <f t="shared" si="146"/>
        <v>8.2940496401020276</v>
      </c>
      <c r="AH274" s="4">
        <f t="shared" si="147"/>
        <v>0</v>
      </c>
      <c r="AI274" s="4">
        <f t="shared" si="148"/>
        <v>0</v>
      </c>
      <c r="AJ274" s="4">
        <f t="shared" si="149"/>
        <v>8.2940496401020276</v>
      </c>
      <c r="AK274" s="4">
        <f t="shared" si="150"/>
        <v>5.4293456289544411</v>
      </c>
      <c r="AL274" s="4">
        <f t="shared" si="151"/>
        <v>0</v>
      </c>
      <c r="AM274" s="4">
        <f>CER!$C$7+CER!$C$8*J274+CER!$C$9*K274+CER!$C$10*L274+CER!$C$11*M274</f>
        <v>3.4998742584440086</v>
      </c>
      <c r="AN274" s="4">
        <f t="shared" si="152"/>
        <v>33.111288232017891</v>
      </c>
      <c r="AO274" s="4">
        <f t="shared" si="153"/>
        <v>1.9559389483352785E-2</v>
      </c>
      <c r="AP274" s="4">
        <f>Alternatives!$F$25+Alternatives!$F$26*J274+Alternatives!$F$27*K274+Alternatives!$F$28*G274+Alternatives!$F$29*O274</f>
        <v>3.4616698176853369</v>
      </c>
      <c r="AQ274" s="4">
        <f t="shared" si="154"/>
        <v>5.7763830242024472E-2</v>
      </c>
    </row>
    <row r="275" spans="1:43" x14ac:dyDescent="0.35">
      <c r="A275" s="2" t="s">
        <v>289</v>
      </c>
      <c r="B275" s="2" t="s">
        <v>283</v>
      </c>
      <c r="C275" s="2" t="s">
        <v>67</v>
      </c>
      <c r="D275" s="2">
        <v>20.7746</v>
      </c>
      <c r="E275" s="2">
        <v>6500</v>
      </c>
      <c r="F275" s="2">
        <v>420</v>
      </c>
      <c r="G275" s="2">
        <v>57.5</v>
      </c>
      <c r="H275" s="2" t="s">
        <v>68</v>
      </c>
      <c r="I275" s="4">
        <f t="shared" si="124"/>
        <v>3.0337310866452021</v>
      </c>
      <c r="J275" s="4">
        <f t="shared" si="125"/>
        <v>8.7795574558837277</v>
      </c>
      <c r="K275" s="4">
        <f t="shared" si="126"/>
        <v>6.0402547112774139</v>
      </c>
      <c r="L275" s="2">
        <v>0</v>
      </c>
      <c r="M275" s="2">
        <v>0</v>
      </c>
      <c r="N275" s="4">
        <f t="shared" si="127"/>
        <v>57.5</v>
      </c>
      <c r="O275" s="4">
        <f t="shared" si="128"/>
        <v>0</v>
      </c>
      <c r="P275" s="4">
        <f t="shared" si="129"/>
        <v>0</v>
      </c>
      <c r="Q275" s="4">
        <f t="shared" si="130"/>
        <v>8.7795574558837277</v>
      </c>
      <c r="R275" s="4">
        <f t="shared" si="131"/>
        <v>6.0402547112774139</v>
      </c>
      <c r="S275" s="4">
        <f t="shared" si="132"/>
        <v>57.5</v>
      </c>
      <c r="T275" s="4">
        <f t="shared" si="133"/>
        <v>0</v>
      </c>
      <c r="U275" s="4">
        <f t="shared" si="134"/>
        <v>8.7795574558837277</v>
      </c>
      <c r="V275" s="4">
        <f t="shared" si="135"/>
        <v>6.0402547112774139</v>
      </c>
      <c r="W275" s="4">
        <f t="shared" si="136"/>
        <v>57.5</v>
      </c>
      <c r="X275" s="4">
        <f t="shared" si="137"/>
        <v>0</v>
      </c>
      <c r="Y275" s="4">
        <f t="shared" si="138"/>
        <v>8.7795574558837277</v>
      </c>
      <c r="Z275" s="4">
        <f t="shared" si="139"/>
        <v>6.0402547112774139</v>
      </c>
      <c r="AA275" s="4">
        <f t="shared" si="140"/>
        <v>57.5</v>
      </c>
      <c r="AB275" s="4">
        <f t="shared" si="141"/>
        <v>0</v>
      </c>
      <c r="AC275" s="4">
        <f t="shared" si="142"/>
        <v>0</v>
      </c>
      <c r="AD275" s="4">
        <f t="shared" si="143"/>
        <v>0</v>
      </c>
      <c r="AE275" s="4">
        <f t="shared" si="144"/>
        <v>0</v>
      </c>
      <c r="AF275" s="4">
        <f t="shared" si="145"/>
        <v>0</v>
      </c>
      <c r="AG275" s="4">
        <f t="shared" si="146"/>
        <v>8.7795574558837277</v>
      </c>
      <c r="AH275" s="4">
        <f t="shared" si="147"/>
        <v>0</v>
      </c>
      <c r="AI275" s="4">
        <f t="shared" si="148"/>
        <v>0</v>
      </c>
      <c r="AJ275" s="4">
        <f t="shared" si="149"/>
        <v>8.7795574558837277</v>
      </c>
      <c r="AK275" s="4">
        <f t="shared" si="150"/>
        <v>6.0402547112774139</v>
      </c>
      <c r="AL275" s="4">
        <f t="shared" si="151"/>
        <v>0</v>
      </c>
      <c r="AM275" s="4">
        <f>CER!$C$7+CER!$C$8*J275+CER!$C$9*K275+CER!$C$10*L275+CER!$C$11*M275</f>
        <v>3.054689376922703</v>
      </c>
      <c r="AN275" s="4">
        <f t="shared" si="152"/>
        <v>21.214594760634821</v>
      </c>
      <c r="AO275" s="4">
        <f t="shared" si="153"/>
        <v>-2.0958290277500957E-2</v>
      </c>
      <c r="AP275" s="4">
        <f>Alternatives!$F$25+Alternatives!$F$26*J275+Alternatives!$F$27*K275+Alternatives!$F$28*G275+Alternatives!$F$29*O275</f>
        <v>3.3383014592124614</v>
      </c>
      <c r="AQ275" s="4">
        <f t="shared" si="154"/>
        <v>-0.30457037256725927</v>
      </c>
    </row>
    <row r="276" spans="1:43" x14ac:dyDescent="0.35">
      <c r="A276" s="2" t="s">
        <v>289</v>
      </c>
      <c r="B276" s="2" t="s">
        <v>283</v>
      </c>
      <c r="C276" s="2" t="s">
        <v>67</v>
      </c>
      <c r="D276" s="2">
        <v>30.1508</v>
      </c>
      <c r="E276" s="2">
        <v>6500</v>
      </c>
      <c r="F276" s="2">
        <v>277</v>
      </c>
      <c r="G276" s="2">
        <v>57.5</v>
      </c>
      <c r="H276" s="2" t="s">
        <v>68</v>
      </c>
      <c r="I276" s="4">
        <f t="shared" si="124"/>
        <v>3.4062114568178576</v>
      </c>
      <c r="J276" s="4">
        <f t="shared" si="125"/>
        <v>8.7795574558837277</v>
      </c>
      <c r="K276" s="4">
        <f t="shared" si="126"/>
        <v>5.6240175061873385</v>
      </c>
      <c r="L276" s="2">
        <v>0</v>
      </c>
      <c r="M276" s="2">
        <v>0</v>
      </c>
      <c r="N276" s="4">
        <f t="shared" si="127"/>
        <v>57.5</v>
      </c>
      <c r="O276" s="4">
        <f t="shared" si="128"/>
        <v>0</v>
      </c>
      <c r="P276" s="4">
        <f t="shared" si="129"/>
        <v>0</v>
      </c>
      <c r="Q276" s="4">
        <f t="shared" si="130"/>
        <v>8.7795574558837277</v>
      </c>
      <c r="R276" s="4">
        <f t="shared" si="131"/>
        <v>5.6240175061873385</v>
      </c>
      <c r="S276" s="4">
        <f t="shared" si="132"/>
        <v>57.5</v>
      </c>
      <c r="T276" s="4">
        <f t="shared" si="133"/>
        <v>0</v>
      </c>
      <c r="U276" s="4">
        <f t="shared" si="134"/>
        <v>8.7795574558837277</v>
      </c>
      <c r="V276" s="4">
        <f t="shared" si="135"/>
        <v>5.6240175061873385</v>
      </c>
      <c r="W276" s="4">
        <f t="shared" si="136"/>
        <v>57.5</v>
      </c>
      <c r="X276" s="4">
        <f t="shared" si="137"/>
        <v>0</v>
      </c>
      <c r="Y276" s="4">
        <f t="shared" si="138"/>
        <v>8.7795574558837277</v>
      </c>
      <c r="Z276" s="4">
        <f t="shared" si="139"/>
        <v>5.6240175061873385</v>
      </c>
      <c r="AA276" s="4">
        <f t="shared" si="140"/>
        <v>57.5</v>
      </c>
      <c r="AB276" s="4">
        <f t="shared" si="141"/>
        <v>0</v>
      </c>
      <c r="AC276" s="4">
        <f t="shared" si="142"/>
        <v>0</v>
      </c>
      <c r="AD276" s="4">
        <f t="shared" si="143"/>
        <v>0</v>
      </c>
      <c r="AE276" s="4">
        <f t="shared" si="144"/>
        <v>0</v>
      </c>
      <c r="AF276" s="4">
        <f t="shared" si="145"/>
        <v>0</v>
      </c>
      <c r="AG276" s="4">
        <f t="shared" si="146"/>
        <v>8.7795574558837277</v>
      </c>
      <c r="AH276" s="4">
        <f t="shared" si="147"/>
        <v>0</v>
      </c>
      <c r="AI276" s="4">
        <f t="shared" si="148"/>
        <v>0</v>
      </c>
      <c r="AJ276" s="4">
        <f t="shared" si="149"/>
        <v>8.7795574558837277</v>
      </c>
      <c r="AK276" s="4">
        <f t="shared" si="150"/>
        <v>5.6240175061873385</v>
      </c>
      <c r="AL276" s="4">
        <f t="shared" si="151"/>
        <v>0</v>
      </c>
      <c r="AM276" s="4">
        <f>CER!$C$7+CER!$C$8*J276+CER!$C$9*K276+CER!$C$10*L276+CER!$C$11*M276</f>
        <v>3.2082574772184196</v>
      </c>
      <c r="AN276" s="4">
        <f t="shared" si="152"/>
        <v>24.735945699924063</v>
      </c>
      <c r="AO276" s="4">
        <f t="shared" si="153"/>
        <v>0.19795397959943806</v>
      </c>
      <c r="AP276" s="4">
        <f>Alternatives!$F$25+Alternatives!$F$26*J276+Alternatives!$F$27*K276+Alternatives!$F$28*G276+Alternatives!$F$29*O276</f>
        <v>3.4490663285018224</v>
      </c>
      <c r="AQ276" s="4">
        <f t="shared" si="154"/>
        <v>-4.2854871683964735E-2</v>
      </c>
    </row>
    <row r="277" spans="1:43" x14ac:dyDescent="0.35">
      <c r="A277" s="2" t="s">
        <v>290</v>
      </c>
      <c r="B277" s="2" t="s">
        <v>283</v>
      </c>
      <c r="C277" s="2" t="s">
        <v>67</v>
      </c>
      <c r="D277" s="2">
        <v>22.037600000000001</v>
      </c>
      <c r="E277" s="2">
        <v>6000</v>
      </c>
      <c r="F277" s="2">
        <v>420</v>
      </c>
      <c r="G277" s="2">
        <v>57.5</v>
      </c>
      <c r="H277" s="2" t="s">
        <v>68</v>
      </c>
      <c r="I277" s="4">
        <f t="shared" si="124"/>
        <v>3.0927500854334888</v>
      </c>
      <c r="J277" s="4">
        <f t="shared" si="125"/>
        <v>8.6995147482101913</v>
      </c>
      <c r="K277" s="4">
        <f t="shared" si="126"/>
        <v>6.0402547112774139</v>
      </c>
      <c r="L277" s="2">
        <v>0</v>
      </c>
      <c r="M277" s="2">
        <v>0</v>
      </c>
      <c r="N277" s="4">
        <f t="shared" si="127"/>
        <v>57.5</v>
      </c>
      <c r="O277" s="4">
        <f t="shared" si="128"/>
        <v>0</v>
      </c>
      <c r="P277" s="4">
        <f t="shared" si="129"/>
        <v>0</v>
      </c>
      <c r="Q277" s="4">
        <f t="shared" si="130"/>
        <v>8.6995147482101913</v>
      </c>
      <c r="R277" s="4">
        <f t="shared" si="131"/>
        <v>6.0402547112774139</v>
      </c>
      <c r="S277" s="4">
        <f t="shared" si="132"/>
        <v>57.5</v>
      </c>
      <c r="T277" s="4">
        <f t="shared" si="133"/>
        <v>0</v>
      </c>
      <c r="U277" s="4">
        <f t="shared" si="134"/>
        <v>8.6995147482101913</v>
      </c>
      <c r="V277" s="4">
        <f t="shared" si="135"/>
        <v>6.0402547112774139</v>
      </c>
      <c r="W277" s="4">
        <f t="shared" si="136"/>
        <v>57.5</v>
      </c>
      <c r="X277" s="4">
        <f t="shared" si="137"/>
        <v>0</v>
      </c>
      <c r="Y277" s="4">
        <f t="shared" si="138"/>
        <v>8.6995147482101913</v>
      </c>
      <c r="Z277" s="4">
        <f t="shared" si="139"/>
        <v>6.0402547112774139</v>
      </c>
      <c r="AA277" s="4">
        <f t="shared" si="140"/>
        <v>57.5</v>
      </c>
      <c r="AB277" s="4">
        <f t="shared" si="141"/>
        <v>0</v>
      </c>
      <c r="AC277" s="4">
        <f t="shared" si="142"/>
        <v>0</v>
      </c>
      <c r="AD277" s="4">
        <f t="shared" si="143"/>
        <v>0</v>
      </c>
      <c r="AE277" s="4">
        <f t="shared" si="144"/>
        <v>0</v>
      </c>
      <c r="AF277" s="4">
        <f t="shared" si="145"/>
        <v>0</v>
      </c>
      <c r="AG277" s="4">
        <f t="shared" si="146"/>
        <v>8.6995147482101913</v>
      </c>
      <c r="AH277" s="4">
        <f t="shared" si="147"/>
        <v>0</v>
      </c>
      <c r="AI277" s="4">
        <f t="shared" si="148"/>
        <v>0</v>
      </c>
      <c r="AJ277" s="4">
        <f t="shared" si="149"/>
        <v>8.6995147482101913</v>
      </c>
      <c r="AK277" s="4">
        <f t="shared" si="150"/>
        <v>6.0402547112774139</v>
      </c>
      <c r="AL277" s="4">
        <f t="shared" si="151"/>
        <v>0</v>
      </c>
      <c r="AM277" s="4">
        <f>CER!$C$7+CER!$C$8*J277+CER!$C$9*K277+CER!$C$10*L277+CER!$C$11*M277</f>
        <v>3.0909254406460165</v>
      </c>
      <c r="AN277" s="4">
        <f t="shared" si="152"/>
        <v>21.997425870935263</v>
      </c>
      <c r="AO277" s="4">
        <f t="shared" si="153"/>
        <v>1.8246447874723515E-3</v>
      </c>
      <c r="AP277" s="4">
        <f>Alternatives!$F$25+Alternatives!$F$26*J277+Alternatives!$F$27*K277+Alternatives!$F$28*G277+Alternatives!$F$29*O277</f>
        <v>3.3086787754537967</v>
      </c>
      <c r="AQ277" s="4">
        <f t="shared" si="154"/>
        <v>-0.2159286900203079</v>
      </c>
    </row>
    <row r="278" spans="1:43" x14ac:dyDescent="0.35">
      <c r="A278" s="2" t="s">
        <v>290</v>
      </c>
      <c r="B278" s="2" t="s">
        <v>283</v>
      </c>
      <c r="C278" s="2" t="s">
        <v>67</v>
      </c>
      <c r="D278" s="2">
        <v>31.219200000000001</v>
      </c>
      <c r="E278" s="2">
        <v>6500</v>
      </c>
      <c r="F278" s="2">
        <v>277</v>
      </c>
      <c r="G278" s="2">
        <v>57.5</v>
      </c>
      <c r="H278" s="2" t="s">
        <v>68</v>
      </c>
      <c r="I278" s="4">
        <f t="shared" si="124"/>
        <v>3.4410332901593548</v>
      </c>
      <c r="J278" s="4">
        <f t="shared" si="125"/>
        <v>8.7795574558837277</v>
      </c>
      <c r="K278" s="4">
        <f t="shared" si="126"/>
        <v>5.6240175061873385</v>
      </c>
      <c r="L278" s="2">
        <v>0</v>
      </c>
      <c r="M278" s="2">
        <v>0</v>
      </c>
      <c r="N278" s="4">
        <f t="shared" si="127"/>
        <v>57.5</v>
      </c>
      <c r="O278" s="4">
        <f t="shared" si="128"/>
        <v>0</v>
      </c>
      <c r="P278" s="4">
        <f t="shared" si="129"/>
        <v>0</v>
      </c>
      <c r="Q278" s="4">
        <f t="shared" si="130"/>
        <v>8.7795574558837277</v>
      </c>
      <c r="R278" s="4">
        <f t="shared" si="131"/>
        <v>5.6240175061873385</v>
      </c>
      <c r="S278" s="4">
        <f t="shared" si="132"/>
        <v>57.5</v>
      </c>
      <c r="T278" s="4">
        <f t="shared" si="133"/>
        <v>0</v>
      </c>
      <c r="U278" s="4">
        <f t="shared" si="134"/>
        <v>8.7795574558837277</v>
      </c>
      <c r="V278" s="4">
        <f t="shared" si="135"/>
        <v>5.6240175061873385</v>
      </c>
      <c r="W278" s="4">
        <f t="shared" si="136"/>
        <v>57.5</v>
      </c>
      <c r="X278" s="4">
        <f t="shared" si="137"/>
        <v>0</v>
      </c>
      <c r="Y278" s="4">
        <f t="shared" si="138"/>
        <v>8.7795574558837277</v>
      </c>
      <c r="Z278" s="4">
        <f t="shared" si="139"/>
        <v>5.6240175061873385</v>
      </c>
      <c r="AA278" s="4">
        <f t="shared" si="140"/>
        <v>57.5</v>
      </c>
      <c r="AB278" s="4">
        <f t="shared" si="141"/>
        <v>0</v>
      </c>
      <c r="AC278" s="4">
        <f t="shared" si="142"/>
        <v>0</v>
      </c>
      <c r="AD278" s="4">
        <f t="shared" si="143"/>
        <v>0</v>
      </c>
      <c r="AE278" s="4">
        <f t="shared" si="144"/>
        <v>0</v>
      </c>
      <c r="AF278" s="4">
        <f t="shared" si="145"/>
        <v>0</v>
      </c>
      <c r="AG278" s="4">
        <f t="shared" si="146"/>
        <v>8.7795574558837277</v>
      </c>
      <c r="AH278" s="4">
        <f t="shared" si="147"/>
        <v>0</v>
      </c>
      <c r="AI278" s="4">
        <f t="shared" si="148"/>
        <v>0</v>
      </c>
      <c r="AJ278" s="4">
        <f t="shared" si="149"/>
        <v>8.7795574558837277</v>
      </c>
      <c r="AK278" s="4">
        <f t="shared" si="150"/>
        <v>5.6240175061873385</v>
      </c>
      <c r="AL278" s="4">
        <f t="shared" si="151"/>
        <v>0</v>
      </c>
      <c r="AM278" s="4">
        <f>CER!$C$7+CER!$C$8*J278+CER!$C$9*K278+CER!$C$10*L278+CER!$C$11*M278</f>
        <v>3.2082574772184196</v>
      </c>
      <c r="AN278" s="4">
        <f t="shared" si="152"/>
        <v>24.735945699924063</v>
      </c>
      <c r="AO278" s="4">
        <f t="shared" si="153"/>
        <v>0.23277581294093519</v>
      </c>
      <c r="AP278" s="4">
        <f>Alternatives!$F$25+Alternatives!$F$26*J278+Alternatives!$F$27*K278+Alternatives!$F$28*G278+Alternatives!$F$29*O278</f>
        <v>3.4490663285018224</v>
      </c>
      <c r="AQ278" s="4">
        <f t="shared" si="154"/>
        <v>-8.0330383424676022E-3</v>
      </c>
    </row>
    <row r="279" spans="1:43" x14ac:dyDescent="0.35">
      <c r="A279" s="2" t="s">
        <v>291</v>
      </c>
      <c r="B279" s="2" t="s">
        <v>283</v>
      </c>
      <c r="C279" s="2" t="s">
        <v>67</v>
      </c>
      <c r="D279" s="2">
        <v>28.2286</v>
      </c>
      <c r="E279" s="2">
        <v>5500</v>
      </c>
      <c r="F279" s="2">
        <v>237</v>
      </c>
      <c r="G279" s="2">
        <v>67.2</v>
      </c>
      <c r="H279" s="2" t="s">
        <v>68</v>
      </c>
      <c r="I279" s="4">
        <f t="shared" si="124"/>
        <v>3.3403356484036908</v>
      </c>
      <c r="J279" s="4">
        <f t="shared" si="125"/>
        <v>8.6125033712205621</v>
      </c>
      <c r="K279" s="4">
        <f t="shared" si="126"/>
        <v>5.4680601411351315</v>
      </c>
      <c r="L279" s="2">
        <v>0</v>
      </c>
      <c r="M279" s="2">
        <v>0</v>
      </c>
      <c r="N279" s="4">
        <f t="shared" si="127"/>
        <v>67.2</v>
      </c>
      <c r="O279" s="4">
        <f t="shared" si="128"/>
        <v>0</v>
      </c>
      <c r="P279" s="4">
        <f t="shared" si="129"/>
        <v>0</v>
      </c>
      <c r="Q279" s="4">
        <f t="shared" si="130"/>
        <v>8.6125033712205621</v>
      </c>
      <c r="R279" s="4">
        <f t="shared" si="131"/>
        <v>5.4680601411351315</v>
      </c>
      <c r="S279" s="4">
        <f t="shared" si="132"/>
        <v>67.2</v>
      </c>
      <c r="T279" s="4">
        <f t="shared" si="133"/>
        <v>0</v>
      </c>
      <c r="U279" s="4">
        <f t="shared" si="134"/>
        <v>8.6125033712205621</v>
      </c>
      <c r="V279" s="4">
        <f t="shared" si="135"/>
        <v>5.4680601411351315</v>
      </c>
      <c r="W279" s="4">
        <f t="shared" si="136"/>
        <v>67.2</v>
      </c>
      <c r="X279" s="4">
        <f t="shared" si="137"/>
        <v>0</v>
      </c>
      <c r="Y279" s="4">
        <f t="shared" si="138"/>
        <v>8.6125033712205621</v>
      </c>
      <c r="Z279" s="4">
        <f t="shared" si="139"/>
        <v>5.4680601411351315</v>
      </c>
      <c r="AA279" s="4">
        <f t="shared" si="140"/>
        <v>67.2</v>
      </c>
      <c r="AB279" s="4">
        <f t="shared" si="141"/>
        <v>0</v>
      </c>
      <c r="AC279" s="4">
        <f t="shared" si="142"/>
        <v>0</v>
      </c>
      <c r="AD279" s="4">
        <f t="shared" si="143"/>
        <v>0</v>
      </c>
      <c r="AE279" s="4">
        <f t="shared" si="144"/>
        <v>0</v>
      </c>
      <c r="AF279" s="4">
        <f t="shared" si="145"/>
        <v>0</v>
      </c>
      <c r="AG279" s="4">
        <f t="shared" si="146"/>
        <v>8.6125033712205621</v>
      </c>
      <c r="AH279" s="4">
        <f t="shared" si="147"/>
        <v>0</v>
      </c>
      <c r="AI279" s="4">
        <f t="shared" si="148"/>
        <v>0</v>
      </c>
      <c r="AJ279" s="4">
        <f t="shared" si="149"/>
        <v>8.6125033712205621</v>
      </c>
      <c r="AK279" s="4">
        <f t="shared" si="150"/>
        <v>5.4680601411351315</v>
      </c>
      <c r="AL279" s="4">
        <f t="shared" si="151"/>
        <v>0</v>
      </c>
      <c r="AM279" s="4">
        <f>CER!$C$7+CER!$C$8*J279+CER!$C$9*K279+CER!$C$10*L279+CER!$C$11*M279</f>
        <v>3.3414238742834299</v>
      </c>
      <c r="AN279" s="4">
        <f t="shared" si="152"/>
        <v>28.259335813789598</v>
      </c>
      <c r="AO279" s="4">
        <f t="shared" si="153"/>
        <v>-1.0882258797391131E-3</v>
      </c>
      <c r="AP279" s="4">
        <f>Alternatives!$F$25+Alternatives!$F$26*J279+Alternatives!$F$27*K279+Alternatives!$F$28*G279+Alternatives!$F$29*O279</f>
        <v>3.3025728125343479</v>
      </c>
      <c r="AQ279" s="4">
        <f t="shared" si="154"/>
        <v>3.7762835869342926E-2</v>
      </c>
    </row>
    <row r="280" spans="1:43" x14ac:dyDescent="0.35">
      <c r="A280" s="2" t="s">
        <v>292</v>
      </c>
      <c r="B280" s="2" t="s">
        <v>283</v>
      </c>
      <c r="C280" s="2" t="s">
        <v>67</v>
      </c>
      <c r="D280" s="2">
        <v>28.2286</v>
      </c>
      <c r="E280" s="2">
        <v>5500</v>
      </c>
      <c r="F280" s="2">
        <v>237</v>
      </c>
      <c r="G280" s="2">
        <v>70.8</v>
      </c>
      <c r="H280" s="2" t="s">
        <v>68</v>
      </c>
      <c r="I280" s="4">
        <f t="shared" si="124"/>
        <v>3.3403356484036908</v>
      </c>
      <c r="J280" s="4">
        <f t="shared" si="125"/>
        <v>8.6125033712205621</v>
      </c>
      <c r="K280" s="4">
        <f t="shared" si="126"/>
        <v>5.4680601411351315</v>
      </c>
      <c r="L280" s="2">
        <v>0</v>
      </c>
      <c r="M280" s="2">
        <v>0</v>
      </c>
      <c r="N280" s="4">
        <f t="shared" si="127"/>
        <v>70.8</v>
      </c>
      <c r="O280" s="4">
        <f t="shared" si="128"/>
        <v>0</v>
      </c>
      <c r="P280" s="4">
        <f t="shared" si="129"/>
        <v>0</v>
      </c>
      <c r="Q280" s="4">
        <f t="shared" si="130"/>
        <v>8.6125033712205621</v>
      </c>
      <c r="R280" s="4">
        <f t="shared" si="131"/>
        <v>5.4680601411351315</v>
      </c>
      <c r="S280" s="4">
        <f t="shared" si="132"/>
        <v>70.8</v>
      </c>
      <c r="T280" s="4">
        <f t="shared" si="133"/>
        <v>0</v>
      </c>
      <c r="U280" s="4">
        <f t="shared" si="134"/>
        <v>8.6125033712205621</v>
      </c>
      <c r="V280" s="4">
        <f t="shared" si="135"/>
        <v>5.4680601411351315</v>
      </c>
      <c r="W280" s="4">
        <f t="shared" si="136"/>
        <v>70.8</v>
      </c>
      <c r="X280" s="4">
        <f t="shared" si="137"/>
        <v>0</v>
      </c>
      <c r="Y280" s="4">
        <f t="shared" si="138"/>
        <v>8.6125033712205621</v>
      </c>
      <c r="Z280" s="4">
        <f t="shared" si="139"/>
        <v>5.4680601411351315</v>
      </c>
      <c r="AA280" s="4">
        <f t="shared" si="140"/>
        <v>70.8</v>
      </c>
      <c r="AB280" s="4">
        <f t="shared" si="141"/>
        <v>0</v>
      </c>
      <c r="AC280" s="4">
        <f t="shared" si="142"/>
        <v>0</v>
      </c>
      <c r="AD280" s="4">
        <f t="shared" si="143"/>
        <v>0</v>
      </c>
      <c r="AE280" s="4">
        <f t="shared" si="144"/>
        <v>0</v>
      </c>
      <c r="AF280" s="4">
        <f t="shared" si="145"/>
        <v>0</v>
      </c>
      <c r="AG280" s="4">
        <f t="shared" si="146"/>
        <v>8.6125033712205621</v>
      </c>
      <c r="AH280" s="4">
        <f t="shared" si="147"/>
        <v>0</v>
      </c>
      <c r="AI280" s="4">
        <f t="shared" si="148"/>
        <v>0</v>
      </c>
      <c r="AJ280" s="4">
        <f t="shared" si="149"/>
        <v>8.6125033712205621</v>
      </c>
      <c r="AK280" s="4">
        <f t="shared" si="150"/>
        <v>5.4680601411351315</v>
      </c>
      <c r="AL280" s="4">
        <f t="shared" si="151"/>
        <v>0</v>
      </c>
      <c r="AM280" s="4">
        <f>CER!$C$7+CER!$C$8*J280+CER!$C$9*K280+CER!$C$10*L280+CER!$C$11*M280</f>
        <v>3.3414238742834299</v>
      </c>
      <c r="AN280" s="4">
        <f t="shared" si="152"/>
        <v>28.259335813789598</v>
      </c>
      <c r="AO280" s="4">
        <f t="shared" si="153"/>
        <v>-1.0882258797391131E-3</v>
      </c>
      <c r="AP280" s="4">
        <f>Alternatives!$F$25+Alternatives!$F$26*J280+Alternatives!$F$27*K280+Alternatives!$F$28*G280+Alternatives!$F$29*O280</f>
        <v>3.2557464801823262</v>
      </c>
      <c r="AQ280" s="4">
        <f t="shared" si="154"/>
        <v>8.4589168221364641E-2</v>
      </c>
    </row>
    <row r="281" spans="1:43" x14ac:dyDescent="0.35">
      <c r="A281" s="2" t="s">
        <v>293</v>
      </c>
      <c r="B281" s="2" t="s">
        <v>283</v>
      </c>
      <c r="C281" s="2" t="s">
        <v>67</v>
      </c>
      <c r="D281" s="2">
        <v>33.634900000000002</v>
      </c>
      <c r="E281" s="2">
        <v>4000</v>
      </c>
      <c r="F281" s="2">
        <v>237</v>
      </c>
      <c r="G281" s="2">
        <v>50.5</v>
      </c>
      <c r="H281" s="2" t="s">
        <v>68</v>
      </c>
      <c r="I281" s="4">
        <f t="shared" si="124"/>
        <v>3.5155642183796458</v>
      </c>
      <c r="J281" s="4">
        <f t="shared" si="125"/>
        <v>8.2940496401020276</v>
      </c>
      <c r="K281" s="4">
        <f t="shared" si="126"/>
        <v>5.4680601411351315</v>
      </c>
      <c r="L281" s="2">
        <v>0</v>
      </c>
      <c r="M281" s="2">
        <v>0</v>
      </c>
      <c r="N281" s="4">
        <f t="shared" si="127"/>
        <v>50.5</v>
      </c>
      <c r="O281" s="4">
        <f t="shared" si="128"/>
        <v>0</v>
      </c>
      <c r="P281" s="4">
        <f t="shared" si="129"/>
        <v>0</v>
      </c>
      <c r="Q281" s="4">
        <f t="shared" si="130"/>
        <v>8.2940496401020276</v>
      </c>
      <c r="R281" s="4">
        <f t="shared" si="131"/>
        <v>5.4680601411351315</v>
      </c>
      <c r="S281" s="4">
        <f t="shared" si="132"/>
        <v>50.5</v>
      </c>
      <c r="T281" s="4">
        <f t="shared" si="133"/>
        <v>0</v>
      </c>
      <c r="U281" s="4">
        <f t="shared" si="134"/>
        <v>8.2940496401020276</v>
      </c>
      <c r="V281" s="4">
        <f t="shared" si="135"/>
        <v>5.4680601411351315</v>
      </c>
      <c r="W281" s="4">
        <f t="shared" si="136"/>
        <v>50.5</v>
      </c>
      <c r="X281" s="4">
        <f t="shared" si="137"/>
        <v>0</v>
      </c>
      <c r="Y281" s="4">
        <f t="shared" si="138"/>
        <v>8.2940496401020276</v>
      </c>
      <c r="Z281" s="4">
        <f t="shared" si="139"/>
        <v>5.4680601411351315</v>
      </c>
      <c r="AA281" s="4">
        <f t="shared" si="140"/>
        <v>50.5</v>
      </c>
      <c r="AB281" s="4">
        <f t="shared" si="141"/>
        <v>0</v>
      </c>
      <c r="AC281" s="4">
        <f t="shared" si="142"/>
        <v>0</v>
      </c>
      <c r="AD281" s="4">
        <f t="shared" si="143"/>
        <v>0</v>
      </c>
      <c r="AE281" s="4">
        <f t="shared" si="144"/>
        <v>0</v>
      </c>
      <c r="AF281" s="4">
        <f t="shared" si="145"/>
        <v>0</v>
      </c>
      <c r="AG281" s="4">
        <f t="shared" si="146"/>
        <v>8.2940496401020276</v>
      </c>
      <c r="AH281" s="4">
        <f t="shared" si="147"/>
        <v>0</v>
      </c>
      <c r="AI281" s="4">
        <f t="shared" si="148"/>
        <v>0</v>
      </c>
      <c r="AJ281" s="4">
        <f t="shared" si="149"/>
        <v>8.2940496401020276</v>
      </c>
      <c r="AK281" s="4">
        <f t="shared" si="150"/>
        <v>5.4680601411351315</v>
      </c>
      <c r="AL281" s="4">
        <f t="shared" si="151"/>
        <v>0</v>
      </c>
      <c r="AM281" s="4">
        <f>CER!$C$7+CER!$C$8*J281+CER!$C$9*K281+CER!$C$10*L281+CER!$C$11*M281</f>
        <v>3.4855907825395005</v>
      </c>
      <c r="AN281" s="4">
        <f t="shared" si="152"/>
        <v>32.641705564318478</v>
      </c>
      <c r="AO281" s="4">
        <f t="shared" si="153"/>
        <v>2.9973435840145335E-2</v>
      </c>
      <c r="AP281" s="4">
        <f>Alternatives!$F$25+Alternatives!$F$26*J281+Alternatives!$F$27*K281+Alternatives!$F$28*G281+Alternatives!$F$29*O281</f>
        <v>3.401939704830824</v>
      </c>
      <c r="AQ281" s="4">
        <f t="shared" si="154"/>
        <v>0.11362451354882186</v>
      </c>
    </row>
    <row r="282" spans="1:43" x14ac:dyDescent="0.35">
      <c r="A282" s="2" t="s">
        <v>293</v>
      </c>
      <c r="B282" s="2" t="s">
        <v>283</v>
      </c>
      <c r="C282" s="2" t="s">
        <v>67</v>
      </c>
      <c r="D282" s="2">
        <v>27.843699999999998</v>
      </c>
      <c r="E282" s="2">
        <v>4500</v>
      </c>
      <c r="F282" s="2">
        <v>310</v>
      </c>
      <c r="G282" s="2">
        <v>50.5</v>
      </c>
      <c r="H282" s="2" t="s">
        <v>68</v>
      </c>
      <c r="I282" s="4">
        <f t="shared" si="124"/>
        <v>3.3266067289343413</v>
      </c>
      <c r="J282" s="4">
        <f t="shared" si="125"/>
        <v>8.4118326757584114</v>
      </c>
      <c r="K282" s="4">
        <f t="shared" si="126"/>
        <v>5.7365722974791922</v>
      </c>
      <c r="L282" s="2">
        <v>0</v>
      </c>
      <c r="M282" s="2">
        <v>0</v>
      </c>
      <c r="N282" s="4">
        <f t="shared" si="127"/>
        <v>50.5</v>
      </c>
      <c r="O282" s="4">
        <f t="shared" si="128"/>
        <v>0</v>
      </c>
      <c r="P282" s="4">
        <f t="shared" si="129"/>
        <v>0</v>
      </c>
      <c r="Q282" s="4">
        <f t="shared" si="130"/>
        <v>8.4118326757584114</v>
      </c>
      <c r="R282" s="4">
        <f t="shared" si="131"/>
        <v>5.7365722974791922</v>
      </c>
      <c r="S282" s="4">
        <f t="shared" si="132"/>
        <v>50.5</v>
      </c>
      <c r="T282" s="4">
        <f t="shared" si="133"/>
        <v>0</v>
      </c>
      <c r="U282" s="4">
        <f t="shared" si="134"/>
        <v>8.4118326757584114</v>
      </c>
      <c r="V282" s="4">
        <f t="shared" si="135"/>
        <v>5.7365722974791922</v>
      </c>
      <c r="W282" s="4">
        <f t="shared" si="136"/>
        <v>50.5</v>
      </c>
      <c r="X282" s="4">
        <f t="shared" si="137"/>
        <v>0</v>
      </c>
      <c r="Y282" s="4">
        <f t="shared" si="138"/>
        <v>8.4118326757584114</v>
      </c>
      <c r="Z282" s="4">
        <f t="shared" si="139"/>
        <v>5.7365722974791922</v>
      </c>
      <c r="AA282" s="4">
        <f t="shared" si="140"/>
        <v>50.5</v>
      </c>
      <c r="AB282" s="4">
        <f t="shared" si="141"/>
        <v>0</v>
      </c>
      <c r="AC282" s="4">
        <f t="shared" si="142"/>
        <v>0</v>
      </c>
      <c r="AD282" s="4">
        <f t="shared" si="143"/>
        <v>0</v>
      </c>
      <c r="AE282" s="4">
        <f t="shared" si="144"/>
        <v>0</v>
      </c>
      <c r="AF282" s="4">
        <f t="shared" si="145"/>
        <v>0</v>
      </c>
      <c r="AG282" s="4">
        <f t="shared" si="146"/>
        <v>8.4118326757584114</v>
      </c>
      <c r="AH282" s="4">
        <f t="shared" si="147"/>
        <v>0</v>
      </c>
      <c r="AI282" s="4">
        <f t="shared" si="148"/>
        <v>0</v>
      </c>
      <c r="AJ282" s="4">
        <f t="shared" si="149"/>
        <v>8.4118326757584114</v>
      </c>
      <c r="AK282" s="4">
        <f t="shared" si="150"/>
        <v>5.7365722974791922</v>
      </c>
      <c r="AL282" s="4">
        <f t="shared" si="151"/>
        <v>0</v>
      </c>
      <c r="AM282" s="4">
        <f>CER!$C$7+CER!$C$8*J282+CER!$C$9*K282+CER!$C$10*L282+CER!$C$11*M282</f>
        <v>3.3332034559805801</v>
      </c>
      <c r="AN282" s="4">
        <f t="shared" si="152"/>
        <v>28.027984457701727</v>
      </c>
      <c r="AO282" s="4">
        <f t="shared" si="153"/>
        <v>-6.596727046238815E-3</v>
      </c>
      <c r="AP282" s="4">
        <f>Alternatives!$F$25+Alternatives!$F$26*J282+Alternatives!$F$27*K282+Alternatives!$F$28*G282+Alternatives!$F$29*O282</f>
        <v>3.3740757934765218</v>
      </c>
      <c r="AQ282" s="4">
        <f t="shared" si="154"/>
        <v>-4.7469064542180472E-2</v>
      </c>
    </row>
    <row r="283" spans="1:43" x14ac:dyDescent="0.35">
      <c r="A283" s="2" t="s">
        <v>294</v>
      </c>
      <c r="B283" s="2" t="s">
        <v>283</v>
      </c>
      <c r="C283" s="2" t="s">
        <v>67</v>
      </c>
      <c r="D283" s="2">
        <v>31.877199999999998</v>
      </c>
      <c r="E283" s="2">
        <v>4500</v>
      </c>
      <c r="F283" s="2">
        <v>237</v>
      </c>
      <c r="G283" s="2">
        <v>50.5</v>
      </c>
      <c r="H283" s="2" t="s">
        <v>68</v>
      </c>
      <c r="I283" s="4">
        <f t="shared" si="124"/>
        <v>3.4618910207046896</v>
      </c>
      <c r="J283" s="4">
        <f t="shared" si="125"/>
        <v>8.4118326757584114</v>
      </c>
      <c r="K283" s="4">
        <f t="shared" si="126"/>
        <v>5.4680601411351315</v>
      </c>
      <c r="L283" s="2">
        <v>0</v>
      </c>
      <c r="M283" s="2">
        <v>0</v>
      </c>
      <c r="N283" s="4">
        <f t="shared" si="127"/>
        <v>50.5</v>
      </c>
      <c r="O283" s="4">
        <f t="shared" si="128"/>
        <v>0</v>
      </c>
      <c r="P283" s="4">
        <f t="shared" si="129"/>
        <v>0</v>
      </c>
      <c r="Q283" s="4">
        <f t="shared" si="130"/>
        <v>8.4118326757584114</v>
      </c>
      <c r="R283" s="4">
        <f t="shared" si="131"/>
        <v>5.4680601411351315</v>
      </c>
      <c r="S283" s="4">
        <f t="shared" si="132"/>
        <v>50.5</v>
      </c>
      <c r="T283" s="4">
        <f t="shared" si="133"/>
        <v>0</v>
      </c>
      <c r="U283" s="4">
        <f t="shared" si="134"/>
        <v>8.4118326757584114</v>
      </c>
      <c r="V283" s="4">
        <f t="shared" si="135"/>
        <v>5.4680601411351315</v>
      </c>
      <c r="W283" s="4">
        <f t="shared" si="136"/>
        <v>50.5</v>
      </c>
      <c r="X283" s="4">
        <f t="shared" si="137"/>
        <v>0</v>
      </c>
      <c r="Y283" s="4">
        <f t="shared" si="138"/>
        <v>8.4118326757584114</v>
      </c>
      <c r="Z283" s="4">
        <f t="shared" si="139"/>
        <v>5.4680601411351315</v>
      </c>
      <c r="AA283" s="4">
        <f t="shared" si="140"/>
        <v>50.5</v>
      </c>
      <c r="AB283" s="4">
        <f t="shared" si="141"/>
        <v>0</v>
      </c>
      <c r="AC283" s="4">
        <f t="shared" si="142"/>
        <v>0</v>
      </c>
      <c r="AD283" s="4">
        <f t="shared" si="143"/>
        <v>0</v>
      </c>
      <c r="AE283" s="4">
        <f t="shared" si="144"/>
        <v>0</v>
      </c>
      <c r="AF283" s="4">
        <f t="shared" si="145"/>
        <v>0</v>
      </c>
      <c r="AG283" s="4">
        <f t="shared" si="146"/>
        <v>8.4118326757584114</v>
      </c>
      <c r="AH283" s="4">
        <f t="shared" si="147"/>
        <v>0</v>
      </c>
      <c r="AI283" s="4">
        <f t="shared" si="148"/>
        <v>0</v>
      </c>
      <c r="AJ283" s="4">
        <f t="shared" si="149"/>
        <v>8.4118326757584114</v>
      </c>
      <c r="AK283" s="4">
        <f t="shared" si="150"/>
        <v>5.4680601411351315</v>
      </c>
      <c r="AL283" s="4">
        <f t="shared" si="151"/>
        <v>0</v>
      </c>
      <c r="AM283" s="4">
        <f>CER!$C$7+CER!$C$8*J283+CER!$C$9*K283+CER!$C$10*L283+CER!$C$11*M283</f>
        <v>3.4322693281607006</v>
      </c>
      <c r="AN283" s="4">
        <f t="shared" si="152"/>
        <v>30.946791549795901</v>
      </c>
      <c r="AO283" s="4">
        <f t="shared" si="153"/>
        <v>2.9621692543988942E-2</v>
      </c>
      <c r="AP283" s="4">
        <f>Alternatives!$F$25+Alternatives!$F$26*J283+Alternatives!$F$27*K283+Alternatives!$F$28*G283+Alternatives!$F$29*O283</f>
        <v>3.4455295547846156</v>
      </c>
      <c r="AQ283" s="4">
        <f t="shared" si="154"/>
        <v>1.6361465920073925E-2</v>
      </c>
    </row>
    <row r="284" spans="1:43" x14ac:dyDescent="0.35">
      <c r="A284" s="2" t="s">
        <v>294</v>
      </c>
      <c r="B284" s="2" t="s">
        <v>283</v>
      </c>
      <c r="C284" s="2" t="s">
        <v>67</v>
      </c>
      <c r="D284" s="2">
        <v>27.3842</v>
      </c>
      <c r="E284" s="2">
        <v>4500</v>
      </c>
      <c r="F284" s="2">
        <v>310</v>
      </c>
      <c r="G284" s="2">
        <v>50.5</v>
      </c>
      <c r="H284" s="2" t="s">
        <v>68</v>
      </c>
      <c r="I284" s="4">
        <f t="shared" si="124"/>
        <v>3.3099662047361242</v>
      </c>
      <c r="J284" s="4">
        <f t="shared" si="125"/>
        <v>8.4118326757584114</v>
      </c>
      <c r="K284" s="4">
        <f t="shared" si="126"/>
        <v>5.7365722974791922</v>
      </c>
      <c r="L284" s="2">
        <v>0</v>
      </c>
      <c r="M284" s="2">
        <v>0</v>
      </c>
      <c r="N284" s="4">
        <f t="shared" si="127"/>
        <v>50.5</v>
      </c>
      <c r="O284" s="4">
        <f t="shared" si="128"/>
        <v>0</v>
      </c>
      <c r="P284" s="4">
        <f t="shared" si="129"/>
        <v>0</v>
      </c>
      <c r="Q284" s="4">
        <f t="shared" si="130"/>
        <v>8.4118326757584114</v>
      </c>
      <c r="R284" s="4">
        <f t="shared" si="131"/>
        <v>5.7365722974791922</v>
      </c>
      <c r="S284" s="4">
        <f t="shared" si="132"/>
        <v>50.5</v>
      </c>
      <c r="T284" s="4">
        <f t="shared" si="133"/>
        <v>0</v>
      </c>
      <c r="U284" s="4">
        <f t="shared" si="134"/>
        <v>8.4118326757584114</v>
      </c>
      <c r="V284" s="4">
        <f t="shared" si="135"/>
        <v>5.7365722974791922</v>
      </c>
      <c r="W284" s="4">
        <f t="shared" si="136"/>
        <v>50.5</v>
      </c>
      <c r="X284" s="4">
        <f t="shared" si="137"/>
        <v>0</v>
      </c>
      <c r="Y284" s="4">
        <f t="shared" si="138"/>
        <v>8.4118326757584114</v>
      </c>
      <c r="Z284" s="4">
        <f t="shared" si="139"/>
        <v>5.7365722974791922</v>
      </c>
      <c r="AA284" s="4">
        <f t="shared" si="140"/>
        <v>50.5</v>
      </c>
      <c r="AB284" s="4">
        <f t="shared" si="141"/>
        <v>0</v>
      </c>
      <c r="AC284" s="4">
        <f t="shared" si="142"/>
        <v>0</v>
      </c>
      <c r="AD284" s="4">
        <f t="shared" si="143"/>
        <v>0</v>
      </c>
      <c r="AE284" s="4">
        <f t="shared" si="144"/>
        <v>0</v>
      </c>
      <c r="AF284" s="4">
        <f t="shared" si="145"/>
        <v>0</v>
      </c>
      <c r="AG284" s="4">
        <f t="shared" si="146"/>
        <v>8.4118326757584114</v>
      </c>
      <c r="AH284" s="4">
        <f t="shared" si="147"/>
        <v>0</v>
      </c>
      <c r="AI284" s="4">
        <f t="shared" si="148"/>
        <v>0</v>
      </c>
      <c r="AJ284" s="4">
        <f t="shared" si="149"/>
        <v>8.4118326757584114</v>
      </c>
      <c r="AK284" s="4">
        <f t="shared" si="150"/>
        <v>5.7365722974791922</v>
      </c>
      <c r="AL284" s="4">
        <f t="shared" si="151"/>
        <v>0</v>
      </c>
      <c r="AM284" s="4">
        <f>CER!$C$7+CER!$C$8*J284+CER!$C$9*K284+CER!$C$10*L284+CER!$C$11*M284</f>
        <v>3.3332034559805801</v>
      </c>
      <c r="AN284" s="4">
        <f t="shared" si="152"/>
        <v>28.027984457701727</v>
      </c>
      <c r="AO284" s="4">
        <f t="shared" si="153"/>
        <v>-2.3237251244455859E-2</v>
      </c>
      <c r="AP284" s="4">
        <f>Alternatives!$F$25+Alternatives!$F$26*J284+Alternatives!$F$27*K284+Alternatives!$F$28*G284+Alternatives!$F$29*O284</f>
        <v>3.3740757934765218</v>
      </c>
      <c r="AQ284" s="4">
        <f t="shared" si="154"/>
        <v>-6.4109588740397516E-2</v>
      </c>
    </row>
    <row r="285" spans="1:43" x14ac:dyDescent="0.35">
      <c r="A285" s="2" t="s">
        <v>295</v>
      </c>
      <c r="B285" s="2" t="s">
        <v>283</v>
      </c>
      <c r="C285" s="2" t="s">
        <v>67</v>
      </c>
      <c r="D285" s="2">
        <v>35.253399999999999</v>
      </c>
      <c r="E285" s="2">
        <v>4000</v>
      </c>
      <c r="F285" s="2">
        <v>235</v>
      </c>
      <c r="G285" s="2">
        <v>48.2</v>
      </c>
      <c r="H285" s="2" t="s">
        <v>68</v>
      </c>
      <c r="I285" s="4">
        <f t="shared" si="124"/>
        <v>3.5625619785076084</v>
      </c>
      <c r="J285" s="4">
        <f t="shared" si="125"/>
        <v>8.2940496401020276</v>
      </c>
      <c r="K285" s="4">
        <f t="shared" si="126"/>
        <v>5.4595855141441589</v>
      </c>
      <c r="L285" s="2">
        <v>0</v>
      </c>
      <c r="M285" s="2">
        <v>0</v>
      </c>
      <c r="N285" s="4">
        <f t="shared" si="127"/>
        <v>48.2</v>
      </c>
      <c r="O285" s="4">
        <f t="shared" si="128"/>
        <v>0</v>
      </c>
      <c r="P285" s="4">
        <f t="shared" si="129"/>
        <v>0</v>
      </c>
      <c r="Q285" s="4">
        <f t="shared" si="130"/>
        <v>8.2940496401020276</v>
      </c>
      <c r="R285" s="4">
        <f t="shared" si="131"/>
        <v>5.4595855141441589</v>
      </c>
      <c r="S285" s="4">
        <f t="shared" si="132"/>
        <v>48.2</v>
      </c>
      <c r="T285" s="4">
        <f t="shared" si="133"/>
        <v>0</v>
      </c>
      <c r="U285" s="4">
        <f t="shared" si="134"/>
        <v>8.2940496401020276</v>
      </c>
      <c r="V285" s="4">
        <f t="shared" si="135"/>
        <v>5.4595855141441589</v>
      </c>
      <c r="W285" s="4">
        <f t="shared" si="136"/>
        <v>48.2</v>
      </c>
      <c r="X285" s="4">
        <f t="shared" si="137"/>
        <v>0</v>
      </c>
      <c r="Y285" s="4">
        <f t="shared" si="138"/>
        <v>8.2940496401020276</v>
      </c>
      <c r="Z285" s="4">
        <f t="shared" si="139"/>
        <v>5.4595855141441589</v>
      </c>
      <c r="AA285" s="4">
        <f t="shared" si="140"/>
        <v>48.2</v>
      </c>
      <c r="AB285" s="4">
        <f t="shared" si="141"/>
        <v>0</v>
      </c>
      <c r="AC285" s="4">
        <f t="shared" si="142"/>
        <v>0</v>
      </c>
      <c r="AD285" s="4">
        <f t="shared" si="143"/>
        <v>0</v>
      </c>
      <c r="AE285" s="4">
        <f t="shared" si="144"/>
        <v>0</v>
      </c>
      <c r="AF285" s="4">
        <f t="shared" si="145"/>
        <v>0</v>
      </c>
      <c r="AG285" s="4">
        <f t="shared" si="146"/>
        <v>8.2940496401020276</v>
      </c>
      <c r="AH285" s="4">
        <f t="shared" si="147"/>
        <v>0</v>
      </c>
      <c r="AI285" s="4">
        <f t="shared" si="148"/>
        <v>0</v>
      </c>
      <c r="AJ285" s="4">
        <f t="shared" si="149"/>
        <v>8.2940496401020276</v>
      </c>
      <c r="AK285" s="4">
        <f t="shared" si="150"/>
        <v>5.4595855141441589</v>
      </c>
      <c r="AL285" s="4">
        <f t="shared" si="151"/>
        <v>0</v>
      </c>
      <c r="AM285" s="4">
        <f>CER!$C$7+CER!$C$8*J285+CER!$C$9*K285+CER!$C$10*L285+CER!$C$11*M285</f>
        <v>3.4887174428951906</v>
      </c>
      <c r="AN285" s="4">
        <f t="shared" si="152"/>
        <v>32.743924810205755</v>
      </c>
      <c r="AO285" s="4">
        <f t="shared" si="153"/>
        <v>7.3844535612417772E-2</v>
      </c>
      <c r="AP285" s="4">
        <f>Alternatives!$F$25+Alternatives!$F$26*J285+Alternatives!$F$27*K285+Alternatives!$F$28*G285+Alternatives!$F$29*O285</f>
        <v>3.4341117109945642</v>
      </c>
      <c r="AQ285" s="4">
        <f t="shared" si="154"/>
        <v>0.12845026751304411</v>
      </c>
    </row>
    <row r="286" spans="1:43" x14ac:dyDescent="0.35">
      <c r="A286" s="2" t="s">
        <v>296</v>
      </c>
      <c r="B286" s="2" t="s">
        <v>283</v>
      </c>
      <c r="C286" s="2" t="s">
        <v>67</v>
      </c>
      <c r="D286" s="2">
        <v>33.406999999999996</v>
      </c>
      <c r="E286" s="2">
        <v>4000</v>
      </c>
      <c r="F286" s="2">
        <v>235</v>
      </c>
      <c r="G286" s="2">
        <v>48.2</v>
      </c>
      <c r="H286" s="2" t="s">
        <v>68</v>
      </c>
      <c r="I286" s="4">
        <f t="shared" si="124"/>
        <v>3.5087654588619821</v>
      </c>
      <c r="J286" s="4">
        <f t="shared" si="125"/>
        <v>8.2940496401020276</v>
      </c>
      <c r="K286" s="4">
        <f t="shared" si="126"/>
        <v>5.4595855141441589</v>
      </c>
      <c r="L286" s="2">
        <v>0</v>
      </c>
      <c r="M286" s="2">
        <v>0</v>
      </c>
      <c r="N286" s="4">
        <f t="shared" si="127"/>
        <v>48.2</v>
      </c>
      <c r="O286" s="4">
        <f t="shared" si="128"/>
        <v>0</v>
      </c>
      <c r="P286" s="4">
        <f t="shared" si="129"/>
        <v>0</v>
      </c>
      <c r="Q286" s="4">
        <f t="shared" si="130"/>
        <v>8.2940496401020276</v>
      </c>
      <c r="R286" s="4">
        <f t="shared" si="131"/>
        <v>5.4595855141441589</v>
      </c>
      <c r="S286" s="4">
        <f t="shared" si="132"/>
        <v>48.2</v>
      </c>
      <c r="T286" s="4">
        <f t="shared" si="133"/>
        <v>0</v>
      </c>
      <c r="U286" s="4">
        <f t="shared" si="134"/>
        <v>8.2940496401020276</v>
      </c>
      <c r="V286" s="4">
        <f t="shared" si="135"/>
        <v>5.4595855141441589</v>
      </c>
      <c r="W286" s="4">
        <f t="shared" si="136"/>
        <v>48.2</v>
      </c>
      <c r="X286" s="4">
        <f t="shared" si="137"/>
        <v>0</v>
      </c>
      <c r="Y286" s="4">
        <f t="shared" si="138"/>
        <v>8.2940496401020276</v>
      </c>
      <c r="Z286" s="4">
        <f t="shared" si="139"/>
        <v>5.4595855141441589</v>
      </c>
      <c r="AA286" s="4">
        <f t="shared" si="140"/>
        <v>48.2</v>
      </c>
      <c r="AB286" s="4">
        <f t="shared" si="141"/>
        <v>0</v>
      </c>
      <c r="AC286" s="4">
        <f t="shared" si="142"/>
        <v>0</v>
      </c>
      <c r="AD286" s="4">
        <f t="shared" si="143"/>
        <v>0</v>
      </c>
      <c r="AE286" s="4">
        <f t="shared" si="144"/>
        <v>0</v>
      </c>
      <c r="AF286" s="4">
        <f t="shared" si="145"/>
        <v>0</v>
      </c>
      <c r="AG286" s="4">
        <f t="shared" si="146"/>
        <v>8.2940496401020276</v>
      </c>
      <c r="AH286" s="4">
        <f t="shared" si="147"/>
        <v>0</v>
      </c>
      <c r="AI286" s="4">
        <f t="shared" si="148"/>
        <v>0</v>
      </c>
      <c r="AJ286" s="4">
        <f t="shared" si="149"/>
        <v>8.2940496401020276</v>
      </c>
      <c r="AK286" s="4">
        <f t="shared" si="150"/>
        <v>5.4595855141441589</v>
      </c>
      <c r="AL286" s="4">
        <f t="shared" si="151"/>
        <v>0</v>
      </c>
      <c r="AM286" s="4">
        <f>CER!$C$7+CER!$C$8*J286+CER!$C$9*K286+CER!$C$10*L286+CER!$C$11*M286</f>
        <v>3.4887174428951906</v>
      </c>
      <c r="AN286" s="4">
        <f t="shared" si="152"/>
        <v>32.743924810205755</v>
      </c>
      <c r="AO286" s="4">
        <f t="shared" si="153"/>
        <v>2.004801596679151E-2</v>
      </c>
      <c r="AP286" s="4">
        <f>Alternatives!$F$25+Alternatives!$F$26*J286+Alternatives!$F$27*K286+Alternatives!$F$28*G286+Alternatives!$F$29*O286</f>
        <v>3.4341117109945642</v>
      </c>
      <c r="AQ286" s="4">
        <f t="shared" si="154"/>
        <v>7.4653747867417852E-2</v>
      </c>
    </row>
    <row r="287" spans="1:43" x14ac:dyDescent="0.35">
      <c r="A287" s="2" t="s">
        <v>297</v>
      </c>
      <c r="B287" s="2" t="s">
        <v>283</v>
      </c>
      <c r="C287" s="2" t="s">
        <v>67</v>
      </c>
      <c r="D287" s="2">
        <v>31.310199999999998</v>
      </c>
      <c r="E287" s="2">
        <v>4500</v>
      </c>
      <c r="F287" s="2">
        <v>237</v>
      </c>
      <c r="G287" s="2">
        <v>51.8</v>
      </c>
      <c r="H287" s="2" t="s">
        <v>68</v>
      </c>
      <c r="I287" s="4">
        <f t="shared" si="124"/>
        <v>3.4439439230534603</v>
      </c>
      <c r="J287" s="4">
        <f t="shared" si="125"/>
        <v>8.4118326757584114</v>
      </c>
      <c r="K287" s="4">
        <f t="shared" si="126"/>
        <v>5.4680601411351315</v>
      </c>
      <c r="L287" s="2">
        <v>0</v>
      </c>
      <c r="M287" s="2">
        <v>0</v>
      </c>
      <c r="N287" s="4">
        <f t="shared" si="127"/>
        <v>51.8</v>
      </c>
      <c r="O287" s="4">
        <f t="shared" si="128"/>
        <v>0</v>
      </c>
      <c r="P287" s="4">
        <f t="shared" si="129"/>
        <v>0</v>
      </c>
      <c r="Q287" s="4">
        <f t="shared" si="130"/>
        <v>8.4118326757584114</v>
      </c>
      <c r="R287" s="4">
        <f t="shared" si="131"/>
        <v>5.4680601411351315</v>
      </c>
      <c r="S287" s="4">
        <f t="shared" si="132"/>
        <v>51.8</v>
      </c>
      <c r="T287" s="4">
        <f t="shared" si="133"/>
        <v>0</v>
      </c>
      <c r="U287" s="4">
        <f t="shared" si="134"/>
        <v>8.4118326757584114</v>
      </c>
      <c r="V287" s="4">
        <f t="shared" si="135"/>
        <v>5.4680601411351315</v>
      </c>
      <c r="W287" s="4">
        <f t="shared" si="136"/>
        <v>51.8</v>
      </c>
      <c r="X287" s="4">
        <f t="shared" si="137"/>
        <v>0</v>
      </c>
      <c r="Y287" s="4">
        <f t="shared" si="138"/>
        <v>8.4118326757584114</v>
      </c>
      <c r="Z287" s="4">
        <f t="shared" si="139"/>
        <v>5.4680601411351315</v>
      </c>
      <c r="AA287" s="4">
        <f t="shared" si="140"/>
        <v>51.8</v>
      </c>
      <c r="AB287" s="4">
        <f t="shared" si="141"/>
        <v>0</v>
      </c>
      <c r="AC287" s="4">
        <f t="shared" si="142"/>
        <v>0</v>
      </c>
      <c r="AD287" s="4">
        <f t="shared" si="143"/>
        <v>0</v>
      </c>
      <c r="AE287" s="4">
        <f t="shared" si="144"/>
        <v>0</v>
      </c>
      <c r="AF287" s="4">
        <f t="shared" si="145"/>
        <v>0</v>
      </c>
      <c r="AG287" s="4">
        <f t="shared" si="146"/>
        <v>8.4118326757584114</v>
      </c>
      <c r="AH287" s="4">
        <f t="shared" si="147"/>
        <v>0</v>
      </c>
      <c r="AI287" s="4">
        <f t="shared" si="148"/>
        <v>0</v>
      </c>
      <c r="AJ287" s="4">
        <f t="shared" si="149"/>
        <v>8.4118326757584114</v>
      </c>
      <c r="AK287" s="4">
        <f t="shared" si="150"/>
        <v>5.4680601411351315</v>
      </c>
      <c r="AL287" s="4">
        <f t="shared" si="151"/>
        <v>0</v>
      </c>
      <c r="AM287" s="4">
        <f>CER!$C$7+CER!$C$8*J287+CER!$C$9*K287+CER!$C$10*L287+CER!$C$11*M287</f>
        <v>3.4322693281607006</v>
      </c>
      <c r="AN287" s="4">
        <f t="shared" si="152"/>
        <v>30.946791549795901</v>
      </c>
      <c r="AO287" s="4">
        <f t="shared" si="153"/>
        <v>1.1674594892759682E-2</v>
      </c>
      <c r="AP287" s="4">
        <f>Alternatives!$F$25+Alternatives!$F$26*J287+Alternatives!$F$27*K287+Alternatives!$F$28*G287+Alternatives!$F$29*O287</f>
        <v>3.4286200458797191</v>
      </c>
      <c r="AQ287" s="4">
        <f t="shared" si="154"/>
        <v>1.5323877173741174E-2</v>
      </c>
    </row>
    <row r="288" spans="1:43" x14ac:dyDescent="0.35">
      <c r="A288" s="2" t="s">
        <v>297</v>
      </c>
      <c r="B288" s="2" t="s">
        <v>283</v>
      </c>
      <c r="C288" s="2" t="s">
        <v>67</v>
      </c>
      <c r="D288" s="2">
        <v>27.843699999999998</v>
      </c>
      <c r="E288" s="2">
        <v>4500</v>
      </c>
      <c r="F288" s="2">
        <v>310</v>
      </c>
      <c r="G288" s="2">
        <v>51.8</v>
      </c>
      <c r="H288" s="2" t="s">
        <v>68</v>
      </c>
      <c r="I288" s="4">
        <f t="shared" si="124"/>
        <v>3.3266067289343413</v>
      </c>
      <c r="J288" s="4">
        <f t="shared" si="125"/>
        <v>8.4118326757584114</v>
      </c>
      <c r="K288" s="4">
        <f t="shared" si="126"/>
        <v>5.7365722974791922</v>
      </c>
      <c r="L288" s="2">
        <v>0</v>
      </c>
      <c r="M288" s="2">
        <v>0</v>
      </c>
      <c r="N288" s="4">
        <f t="shared" si="127"/>
        <v>51.8</v>
      </c>
      <c r="O288" s="4">
        <f t="shared" si="128"/>
        <v>0</v>
      </c>
      <c r="P288" s="4">
        <f t="shared" si="129"/>
        <v>0</v>
      </c>
      <c r="Q288" s="4">
        <f t="shared" si="130"/>
        <v>8.4118326757584114</v>
      </c>
      <c r="R288" s="4">
        <f t="shared" si="131"/>
        <v>5.7365722974791922</v>
      </c>
      <c r="S288" s="4">
        <f t="shared" si="132"/>
        <v>51.8</v>
      </c>
      <c r="T288" s="4">
        <f t="shared" si="133"/>
        <v>0</v>
      </c>
      <c r="U288" s="4">
        <f t="shared" si="134"/>
        <v>8.4118326757584114</v>
      </c>
      <c r="V288" s="4">
        <f t="shared" si="135"/>
        <v>5.7365722974791922</v>
      </c>
      <c r="W288" s="4">
        <f t="shared" si="136"/>
        <v>51.8</v>
      </c>
      <c r="X288" s="4">
        <f t="shared" si="137"/>
        <v>0</v>
      </c>
      <c r="Y288" s="4">
        <f t="shared" si="138"/>
        <v>8.4118326757584114</v>
      </c>
      <c r="Z288" s="4">
        <f t="shared" si="139"/>
        <v>5.7365722974791922</v>
      </c>
      <c r="AA288" s="4">
        <f t="shared" si="140"/>
        <v>51.8</v>
      </c>
      <c r="AB288" s="4">
        <f t="shared" si="141"/>
        <v>0</v>
      </c>
      <c r="AC288" s="4">
        <f t="shared" si="142"/>
        <v>0</v>
      </c>
      <c r="AD288" s="4">
        <f t="shared" si="143"/>
        <v>0</v>
      </c>
      <c r="AE288" s="4">
        <f t="shared" si="144"/>
        <v>0</v>
      </c>
      <c r="AF288" s="4">
        <f t="shared" si="145"/>
        <v>0</v>
      </c>
      <c r="AG288" s="4">
        <f t="shared" si="146"/>
        <v>8.4118326757584114</v>
      </c>
      <c r="AH288" s="4">
        <f t="shared" si="147"/>
        <v>0</v>
      </c>
      <c r="AI288" s="4">
        <f t="shared" si="148"/>
        <v>0</v>
      </c>
      <c r="AJ288" s="4">
        <f t="shared" si="149"/>
        <v>8.4118326757584114</v>
      </c>
      <c r="AK288" s="4">
        <f t="shared" si="150"/>
        <v>5.7365722974791922</v>
      </c>
      <c r="AL288" s="4">
        <f t="shared" si="151"/>
        <v>0</v>
      </c>
      <c r="AM288" s="4">
        <f>CER!$C$7+CER!$C$8*J288+CER!$C$9*K288+CER!$C$10*L288+CER!$C$11*M288</f>
        <v>3.3332034559805801</v>
      </c>
      <c r="AN288" s="4">
        <f t="shared" si="152"/>
        <v>28.027984457701727</v>
      </c>
      <c r="AO288" s="4">
        <f t="shared" si="153"/>
        <v>-6.596727046238815E-3</v>
      </c>
      <c r="AP288" s="4">
        <f>Alternatives!$F$25+Alternatives!$F$26*J288+Alternatives!$F$27*K288+Alternatives!$F$28*G288+Alternatives!$F$29*O288</f>
        <v>3.3571662845716252</v>
      </c>
      <c r="AQ288" s="4">
        <f t="shared" si="154"/>
        <v>-3.0559555637283964E-2</v>
      </c>
    </row>
    <row r="289" spans="1:43" x14ac:dyDescent="0.35">
      <c r="A289" s="2" t="s">
        <v>298</v>
      </c>
      <c r="B289" s="2" t="s">
        <v>283</v>
      </c>
      <c r="C289" s="2" t="s">
        <v>67</v>
      </c>
      <c r="D289" s="2">
        <v>31.877199999999998</v>
      </c>
      <c r="E289" s="2">
        <v>4500</v>
      </c>
      <c r="F289" s="2">
        <v>237</v>
      </c>
      <c r="G289" s="2">
        <v>51.8</v>
      </c>
      <c r="H289" s="2" t="s">
        <v>68</v>
      </c>
      <c r="I289" s="4">
        <f t="shared" si="124"/>
        <v>3.4618910207046896</v>
      </c>
      <c r="J289" s="4">
        <f t="shared" si="125"/>
        <v>8.4118326757584114</v>
      </c>
      <c r="K289" s="4">
        <f t="shared" si="126"/>
        <v>5.4680601411351315</v>
      </c>
      <c r="L289" s="2">
        <v>0</v>
      </c>
      <c r="M289" s="2">
        <v>0</v>
      </c>
      <c r="N289" s="4">
        <f t="shared" si="127"/>
        <v>51.8</v>
      </c>
      <c r="O289" s="4">
        <f t="shared" si="128"/>
        <v>0</v>
      </c>
      <c r="P289" s="4">
        <f t="shared" si="129"/>
        <v>0</v>
      </c>
      <c r="Q289" s="4">
        <f t="shared" si="130"/>
        <v>8.4118326757584114</v>
      </c>
      <c r="R289" s="4">
        <f t="shared" si="131"/>
        <v>5.4680601411351315</v>
      </c>
      <c r="S289" s="4">
        <f t="shared" si="132"/>
        <v>51.8</v>
      </c>
      <c r="T289" s="4">
        <f t="shared" si="133"/>
        <v>0</v>
      </c>
      <c r="U289" s="4">
        <f t="shared" si="134"/>
        <v>8.4118326757584114</v>
      </c>
      <c r="V289" s="4">
        <f t="shared" si="135"/>
        <v>5.4680601411351315</v>
      </c>
      <c r="W289" s="4">
        <f t="shared" si="136"/>
        <v>51.8</v>
      </c>
      <c r="X289" s="4">
        <f t="shared" si="137"/>
        <v>0</v>
      </c>
      <c r="Y289" s="4">
        <f t="shared" si="138"/>
        <v>8.4118326757584114</v>
      </c>
      <c r="Z289" s="4">
        <f t="shared" si="139"/>
        <v>5.4680601411351315</v>
      </c>
      <c r="AA289" s="4">
        <f t="shared" si="140"/>
        <v>51.8</v>
      </c>
      <c r="AB289" s="4">
        <f t="shared" si="141"/>
        <v>0</v>
      </c>
      <c r="AC289" s="4">
        <f t="shared" si="142"/>
        <v>0</v>
      </c>
      <c r="AD289" s="4">
        <f t="shared" si="143"/>
        <v>0</v>
      </c>
      <c r="AE289" s="4">
        <f t="shared" si="144"/>
        <v>0</v>
      </c>
      <c r="AF289" s="4">
        <f t="shared" si="145"/>
        <v>0</v>
      </c>
      <c r="AG289" s="4">
        <f t="shared" si="146"/>
        <v>8.4118326757584114</v>
      </c>
      <c r="AH289" s="4">
        <f t="shared" si="147"/>
        <v>0</v>
      </c>
      <c r="AI289" s="4">
        <f t="shared" si="148"/>
        <v>0</v>
      </c>
      <c r="AJ289" s="4">
        <f t="shared" si="149"/>
        <v>8.4118326757584114</v>
      </c>
      <c r="AK289" s="4">
        <f t="shared" si="150"/>
        <v>5.4680601411351315</v>
      </c>
      <c r="AL289" s="4">
        <f t="shared" si="151"/>
        <v>0</v>
      </c>
      <c r="AM289" s="4">
        <f>CER!$C$7+CER!$C$8*J289+CER!$C$9*K289+CER!$C$10*L289+CER!$C$11*M289</f>
        <v>3.4322693281607006</v>
      </c>
      <c r="AN289" s="4">
        <f t="shared" si="152"/>
        <v>30.946791549795901</v>
      </c>
      <c r="AO289" s="4">
        <f t="shared" si="153"/>
        <v>2.9621692543988942E-2</v>
      </c>
      <c r="AP289" s="4">
        <f>Alternatives!$F$25+Alternatives!$F$26*J289+Alternatives!$F$27*K289+Alternatives!$F$28*G289+Alternatives!$F$29*O289</f>
        <v>3.4286200458797191</v>
      </c>
      <c r="AQ289" s="4">
        <f t="shared" si="154"/>
        <v>3.3270974824970434E-2</v>
      </c>
    </row>
    <row r="290" spans="1:43" x14ac:dyDescent="0.35">
      <c r="A290" s="2" t="s">
        <v>298</v>
      </c>
      <c r="B290" s="2" t="s">
        <v>283</v>
      </c>
      <c r="C290" s="2" t="s">
        <v>67</v>
      </c>
      <c r="D290" s="2">
        <v>26.7821</v>
      </c>
      <c r="E290" s="2">
        <v>5000</v>
      </c>
      <c r="F290" s="2">
        <v>310</v>
      </c>
      <c r="G290" s="2">
        <v>51.8</v>
      </c>
      <c r="H290" s="2" t="s">
        <v>68</v>
      </c>
      <c r="I290" s="4">
        <f t="shared" si="124"/>
        <v>3.2877337539174976</v>
      </c>
      <c r="J290" s="4">
        <f t="shared" si="125"/>
        <v>8.5171931914162382</v>
      </c>
      <c r="K290" s="4">
        <f t="shared" si="126"/>
        <v>5.7365722974791922</v>
      </c>
      <c r="L290" s="2">
        <v>0</v>
      </c>
      <c r="M290" s="2">
        <v>0</v>
      </c>
      <c r="N290" s="4">
        <f t="shared" si="127"/>
        <v>51.8</v>
      </c>
      <c r="O290" s="4">
        <f t="shared" si="128"/>
        <v>0</v>
      </c>
      <c r="P290" s="4">
        <f t="shared" si="129"/>
        <v>0</v>
      </c>
      <c r="Q290" s="4">
        <f t="shared" si="130"/>
        <v>8.5171931914162382</v>
      </c>
      <c r="R290" s="4">
        <f t="shared" si="131"/>
        <v>5.7365722974791922</v>
      </c>
      <c r="S290" s="4">
        <f t="shared" si="132"/>
        <v>51.8</v>
      </c>
      <c r="T290" s="4">
        <f t="shared" si="133"/>
        <v>0</v>
      </c>
      <c r="U290" s="4">
        <f t="shared" si="134"/>
        <v>8.5171931914162382</v>
      </c>
      <c r="V290" s="4">
        <f t="shared" si="135"/>
        <v>5.7365722974791922</v>
      </c>
      <c r="W290" s="4">
        <f t="shared" si="136"/>
        <v>51.8</v>
      </c>
      <c r="X290" s="4">
        <f t="shared" si="137"/>
        <v>0</v>
      </c>
      <c r="Y290" s="4">
        <f t="shared" si="138"/>
        <v>8.5171931914162382</v>
      </c>
      <c r="Z290" s="4">
        <f t="shared" si="139"/>
        <v>5.7365722974791922</v>
      </c>
      <c r="AA290" s="4">
        <f t="shared" si="140"/>
        <v>51.8</v>
      </c>
      <c r="AB290" s="4">
        <f t="shared" si="141"/>
        <v>0</v>
      </c>
      <c r="AC290" s="4">
        <f t="shared" si="142"/>
        <v>0</v>
      </c>
      <c r="AD290" s="4">
        <f t="shared" si="143"/>
        <v>0</v>
      </c>
      <c r="AE290" s="4">
        <f t="shared" si="144"/>
        <v>0</v>
      </c>
      <c r="AF290" s="4">
        <f t="shared" si="145"/>
        <v>0</v>
      </c>
      <c r="AG290" s="4">
        <f t="shared" si="146"/>
        <v>8.5171931914162382</v>
      </c>
      <c r="AH290" s="4">
        <f t="shared" si="147"/>
        <v>0</v>
      </c>
      <c r="AI290" s="4">
        <f t="shared" si="148"/>
        <v>0</v>
      </c>
      <c r="AJ290" s="4">
        <f t="shared" si="149"/>
        <v>8.5171931914162382</v>
      </c>
      <c r="AK290" s="4">
        <f t="shared" si="150"/>
        <v>5.7365722974791922</v>
      </c>
      <c r="AL290" s="4">
        <f t="shared" si="151"/>
        <v>0</v>
      </c>
      <c r="AM290" s="4">
        <f>CER!$C$7+CER!$C$8*J290+CER!$C$9*K290+CER!$C$10*L290+CER!$C$11*M290</f>
        <v>3.2855057896938553</v>
      </c>
      <c r="AN290" s="4">
        <f t="shared" si="152"/>
        <v>26.722496860851766</v>
      </c>
      <c r="AO290" s="4">
        <f t="shared" si="153"/>
        <v>2.2279642236422426E-3</v>
      </c>
      <c r="AP290" s="4">
        <f>Alternatives!$F$25+Alternatives!$F$26*J290+Alternatives!$F$27*K290+Alternatives!$F$28*G290+Alternatives!$F$29*O290</f>
        <v>3.3961587340613564</v>
      </c>
      <c r="AQ290" s="4">
        <f t="shared" si="154"/>
        <v>-0.10842498014385882</v>
      </c>
    </row>
    <row r="291" spans="1:43" x14ac:dyDescent="0.35">
      <c r="A291" s="2" t="s">
        <v>299</v>
      </c>
      <c r="B291" s="2" t="s">
        <v>283</v>
      </c>
      <c r="C291" s="2" t="s">
        <v>67</v>
      </c>
      <c r="D291" s="2">
        <v>32.893000000000001</v>
      </c>
      <c r="E291" s="2">
        <v>4000</v>
      </c>
      <c r="F291" s="2">
        <v>310</v>
      </c>
      <c r="G291" s="2">
        <v>46.5</v>
      </c>
      <c r="H291" s="2" t="s">
        <v>68</v>
      </c>
      <c r="I291" s="4">
        <f t="shared" si="124"/>
        <v>3.4932598691759922</v>
      </c>
      <c r="J291" s="4">
        <f t="shared" si="125"/>
        <v>8.2940496401020276</v>
      </c>
      <c r="K291" s="4">
        <f t="shared" si="126"/>
        <v>5.7365722974791922</v>
      </c>
      <c r="L291" s="2">
        <v>0</v>
      </c>
      <c r="M291" s="2">
        <v>0</v>
      </c>
      <c r="N291" s="4">
        <f t="shared" si="127"/>
        <v>46.5</v>
      </c>
      <c r="O291" s="4">
        <f t="shared" si="128"/>
        <v>0</v>
      </c>
      <c r="P291" s="4">
        <f t="shared" si="129"/>
        <v>0</v>
      </c>
      <c r="Q291" s="4">
        <f t="shared" si="130"/>
        <v>8.2940496401020276</v>
      </c>
      <c r="R291" s="4">
        <f t="shared" si="131"/>
        <v>5.7365722974791922</v>
      </c>
      <c r="S291" s="4">
        <f t="shared" si="132"/>
        <v>46.5</v>
      </c>
      <c r="T291" s="4">
        <f t="shared" si="133"/>
        <v>0</v>
      </c>
      <c r="U291" s="4">
        <f t="shared" si="134"/>
        <v>8.2940496401020276</v>
      </c>
      <c r="V291" s="4">
        <f t="shared" si="135"/>
        <v>5.7365722974791922</v>
      </c>
      <c r="W291" s="4">
        <f t="shared" si="136"/>
        <v>46.5</v>
      </c>
      <c r="X291" s="4">
        <f t="shared" si="137"/>
        <v>0</v>
      </c>
      <c r="Y291" s="4">
        <f t="shared" si="138"/>
        <v>8.2940496401020276</v>
      </c>
      <c r="Z291" s="4">
        <f t="shared" si="139"/>
        <v>5.7365722974791922</v>
      </c>
      <c r="AA291" s="4">
        <f t="shared" si="140"/>
        <v>46.5</v>
      </c>
      <c r="AB291" s="4">
        <f t="shared" si="141"/>
        <v>0</v>
      </c>
      <c r="AC291" s="4">
        <f t="shared" si="142"/>
        <v>0</v>
      </c>
      <c r="AD291" s="4">
        <f t="shared" si="143"/>
        <v>0</v>
      </c>
      <c r="AE291" s="4">
        <f t="shared" si="144"/>
        <v>0</v>
      </c>
      <c r="AF291" s="4">
        <f t="shared" si="145"/>
        <v>0</v>
      </c>
      <c r="AG291" s="4">
        <f t="shared" si="146"/>
        <v>8.2940496401020276</v>
      </c>
      <c r="AH291" s="4">
        <f t="shared" si="147"/>
        <v>0</v>
      </c>
      <c r="AI291" s="4">
        <f t="shared" si="148"/>
        <v>0</v>
      </c>
      <c r="AJ291" s="4">
        <f t="shared" si="149"/>
        <v>8.2940496401020276</v>
      </c>
      <c r="AK291" s="4">
        <f t="shared" si="150"/>
        <v>5.7365722974791922</v>
      </c>
      <c r="AL291" s="4">
        <f t="shared" si="151"/>
        <v>0</v>
      </c>
      <c r="AM291" s="4">
        <f>CER!$C$7+CER!$C$8*J291+CER!$C$9*K291+CER!$C$10*L291+CER!$C$11*M291</f>
        <v>3.38652491035938</v>
      </c>
      <c r="AN291" s="4">
        <f t="shared" si="152"/>
        <v>29.563039346339867</v>
      </c>
      <c r="AO291" s="4">
        <f t="shared" si="153"/>
        <v>0.10673495881661221</v>
      </c>
      <c r="AP291" s="4">
        <f>Alternatives!$F$25+Alternatives!$F$26*J291+Alternatives!$F$27*K291+Alternatives!$F$28*G291+Alternatives!$F$29*O291</f>
        <v>3.3825152016916431</v>
      </c>
      <c r="AQ291" s="4">
        <f t="shared" si="154"/>
        <v>0.11074466748434908</v>
      </c>
    </row>
    <row r="292" spans="1:43" x14ac:dyDescent="0.35">
      <c r="A292" s="2" t="s">
        <v>299</v>
      </c>
      <c r="B292" s="2" t="s">
        <v>283</v>
      </c>
      <c r="C292" s="2" t="s">
        <v>67</v>
      </c>
      <c r="D292" s="2">
        <v>34.35</v>
      </c>
      <c r="E292" s="2">
        <v>3500</v>
      </c>
      <c r="F292" s="2">
        <v>237</v>
      </c>
      <c r="G292" s="2">
        <v>46.5</v>
      </c>
      <c r="H292" s="2" t="s">
        <v>68</v>
      </c>
      <c r="I292" s="4">
        <f t="shared" si="124"/>
        <v>3.5366020186683582</v>
      </c>
      <c r="J292" s="4">
        <f t="shared" si="125"/>
        <v>8.1605182474775049</v>
      </c>
      <c r="K292" s="4">
        <f t="shared" si="126"/>
        <v>5.4680601411351315</v>
      </c>
      <c r="L292" s="2">
        <v>0</v>
      </c>
      <c r="M292" s="2">
        <v>0</v>
      </c>
      <c r="N292" s="4">
        <f t="shared" si="127"/>
        <v>46.5</v>
      </c>
      <c r="O292" s="4">
        <f t="shared" si="128"/>
        <v>0</v>
      </c>
      <c r="P292" s="4">
        <f t="shared" si="129"/>
        <v>0</v>
      </c>
      <c r="Q292" s="4">
        <f t="shared" si="130"/>
        <v>8.1605182474775049</v>
      </c>
      <c r="R292" s="4">
        <f t="shared" si="131"/>
        <v>5.4680601411351315</v>
      </c>
      <c r="S292" s="4">
        <f t="shared" si="132"/>
        <v>46.5</v>
      </c>
      <c r="T292" s="4">
        <f t="shared" si="133"/>
        <v>0</v>
      </c>
      <c r="U292" s="4">
        <f t="shared" si="134"/>
        <v>8.1605182474775049</v>
      </c>
      <c r="V292" s="4">
        <f t="shared" si="135"/>
        <v>5.4680601411351315</v>
      </c>
      <c r="W292" s="4">
        <f t="shared" si="136"/>
        <v>46.5</v>
      </c>
      <c r="X292" s="4">
        <f t="shared" si="137"/>
        <v>0</v>
      </c>
      <c r="Y292" s="4">
        <f t="shared" si="138"/>
        <v>8.1605182474775049</v>
      </c>
      <c r="Z292" s="4">
        <f t="shared" si="139"/>
        <v>5.4680601411351315</v>
      </c>
      <c r="AA292" s="4">
        <f t="shared" si="140"/>
        <v>46.5</v>
      </c>
      <c r="AB292" s="4">
        <f t="shared" si="141"/>
        <v>0</v>
      </c>
      <c r="AC292" s="4">
        <f t="shared" si="142"/>
        <v>0</v>
      </c>
      <c r="AD292" s="4">
        <f t="shared" si="143"/>
        <v>0</v>
      </c>
      <c r="AE292" s="4">
        <f t="shared" si="144"/>
        <v>0</v>
      </c>
      <c r="AF292" s="4">
        <f t="shared" si="145"/>
        <v>0</v>
      </c>
      <c r="AG292" s="4">
        <f t="shared" si="146"/>
        <v>8.1605182474775049</v>
      </c>
      <c r="AH292" s="4">
        <f t="shared" si="147"/>
        <v>0</v>
      </c>
      <c r="AI292" s="4">
        <f t="shared" si="148"/>
        <v>0</v>
      </c>
      <c r="AJ292" s="4">
        <f t="shared" si="149"/>
        <v>8.1605182474775049</v>
      </c>
      <c r="AK292" s="4">
        <f t="shared" si="150"/>
        <v>5.4680601411351315</v>
      </c>
      <c r="AL292" s="4">
        <f t="shared" si="151"/>
        <v>0</v>
      </c>
      <c r="AM292" s="4">
        <f>CER!$C$7+CER!$C$8*J292+CER!$C$9*K292+CER!$C$10*L292+CER!$C$11*M292</f>
        <v>3.5460416617368904</v>
      </c>
      <c r="AN292" s="4">
        <f t="shared" si="152"/>
        <v>34.675786976641028</v>
      </c>
      <c r="AO292" s="4">
        <f t="shared" si="153"/>
        <v>-9.4396430685321775E-3</v>
      </c>
      <c r="AP292" s="4">
        <f>Alternatives!$F$25+Alternatives!$F$26*J292+Alternatives!$F$27*K292+Alternatives!$F$28*G292+Alternatives!$F$29*O292</f>
        <v>3.4045508669540152</v>
      </c>
      <c r="AQ292" s="4">
        <f t="shared" si="154"/>
        <v>0.13205115171434301</v>
      </c>
    </row>
    <row r="293" spans="1:43" x14ac:dyDescent="0.35">
      <c r="A293" s="2" t="s">
        <v>300</v>
      </c>
      <c r="B293" s="2" t="s">
        <v>283</v>
      </c>
      <c r="C293" s="2" t="s">
        <v>67</v>
      </c>
      <c r="D293" s="2">
        <v>33.388500000000001</v>
      </c>
      <c r="E293" s="2">
        <v>4000</v>
      </c>
      <c r="F293" s="2">
        <v>237</v>
      </c>
      <c r="G293" s="2">
        <v>46.5</v>
      </c>
      <c r="H293" s="2" t="s">
        <v>68</v>
      </c>
      <c r="I293" s="4">
        <f t="shared" si="124"/>
        <v>3.5082115293166374</v>
      </c>
      <c r="J293" s="4">
        <f t="shared" si="125"/>
        <v>8.2940496401020276</v>
      </c>
      <c r="K293" s="4">
        <f t="shared" si="126"/>
        <v>5.4680601411351315</v>
      </c>
      <c r="L293" s="2">
        <v>0</v>
      </c>
      <c r="M293" s="2">
        <v>0</v>
      </c>
      <c r="N293" s="4">
        <f t="shared" si="127"/>
        <v>46.5</v>
      </c>
      <c r="O293" s="4">
        <f t="shared" si="128"/>
        <v>0</v>
      </c>
      <c r="P293" s="4">
        <f t="shared" si="129"/>
        <v>0</v>
      </c>
      <c r="Q293" s="4">
        <f t="shared" si="130"/>
        <v>8.2940496401020276</v>
      </c>
      <c r="R293" s="4">
        <f t="shared" si="131"/>
        <v>5.4680601411351315</v>
      </c>
      <c r="S293" s="4">
        <f t="shared" si="132"/>
        <v>46.5</v>
      </c>
      <c r="T293" s="4">
        <f t="shared" si="133"/>
        <v>0</v>
      </c>
      <c r="U293" s="4">
        <f t="shared" si="134"/>
        <v>8.2940496401020276</v>
      </c>
      <c r="V293" s="4">
        <f t="shared" si="135"/>
        <v>5.4680601411351315</v>
      </c>
      <c r="W293" s="4">
        <f t="shared" si="136"/>
        <v>46.5</v>
      </c>
      <c r="X293" s="4">
        <f t="shared" si="137"/>
        <v>0</v>
      </c>
      <c r="Y293" s="4">
        <f t="shared" si="138"/>
        <v>8.2940496401020276</v>
      </c>
      <c r="Z293" s="4">
        <f t="shared" si="139"/>
        <v>5.4680601411351315</v>
      </c>
      <c r="AA293" s="4">
        <f t="shared" si="140"/>
        <v>46.5</v>
      </c>
      <c r="AB293" s="4">
        <f t="shared" si="141"/>
        <v>0</v>
      </c>
      <c r="AC293" s="4">
        <f t="shared" si="142"/>
        <v>0</v>
      </c>
      <c r="AD293" s="4">
        <f t="shared" si="143"/>
        <v>0</v>
      </c>
      <c r="AE293" s="4">
        <f t="shared" si="144"/>
        <v>0</v>
      </c>
      <c r="AF293" s="4">
        <f t="shared" si="145"/>
        <v>0</v>
      </c>
      <c r="AG293" s="4">
        <f t="shared" si="146"/>
        <v>8.2940496401020276</v>
      </c>
      <c r="AH293" s="4">
        <f t="shared" si="147"/>
        <v>0</v>
      </c>
      <c r="AI293" s="4">
        <f t="shared" si="148"/>
        <v>0</v>
      </c>
      <c r="AJ293" s="4">
        <f t="shared" si="149"/>
        <v>8.2940496401020276</v>
      </c>
      <c r="AK293" s="4">
        <f t="shared" si="150"/>
        <v>5.4680601411351315</v>
      </c>
      <c r="AL293" s="4">
        <f t="shared" si="151"/>
        <v>0</v>
      </c>
      <c r="AM293" s="4">
        <f>CER!$C$7+CER!$C$8*J293+CER!$C$9*K293+CER!$C$10*L293+CER!$C$11*M293</f>
        <v>3.4855907825395005</v>
      </c>
      <c r="AN293" s="4">
        <f t="shared" si="152"/>
        <v>32.641705564318478</v>
      </c>
      <c r="AO293" s="4">
        <f t="shared" si="153"/>
        <v>2.262074677713688E-2</v>
      </c>
      <c r="AP293" s="4">
        <f>Alternatives!$F$25+Alternatives!$F$26*J293+Alternatives!$F$27*K293+Alternatives!$F$28*G293+Alternatives!$F$29*O293</f>
        <v>3.453968962999737</v>
      </c>
      <c r="AQ293" s="4">
        <f t="shared" si="154"/>
        <v>5.4242566316900387E-2</v>
      </c>
    </row>
    <row r="294" spans="1:43" x14ac:dyDescent="0.35">
      <c r="A294" s="2" t="s">
        <v>300</v>
      </c>
      <c r="B294" s="2" t="s">
        <v>283</v>
      </c>
      <c r="C294" s="2" t="s">
        <v>67</v>
      </c>
      <c r="D294" s="2">
        <v>31.5167</v>
      </c>
      <c r="E294" s="2">
        <v>4000</v>
      </c>
      <c r="F294" s="2">
        <v>310</v>
      </c>
      <c r="G294" s="2">
        <v>46.5</v>
      </c>
      <c r="H294" s="2" t="s">
        <v>68</v>
      </c>
      <c r="I294" s="4">
        <f t="shared" si="124"/>
        <v>3.450517564077257</v>
      </c>
      <c r="J294" s="4">
        <f t="shared" si="125"/>
        <v>8.2940496401020276</v>
      </c>
      <c r="K294" s="4">
        <f t="shared" si="126"/>
        <v>5.7365722974791922</v>
      </c>
      <c r="L294" s="2">
        <v>0</v>
      </c>
      <c r="M294" s="2">
        <v>0</v>
      </c>
      <c r="N294" s="4">
        <f t="shared" si="127"/>
        <v>46.5</v>
      </c>
      <c r="O294" s="4">
        <f t="shared" si="128"/>
        <v>0</v>
      </c>
      <c r="P294" s="4">
        <f t="shared" si="129"/>
        <v>0</v>
      </c>
      <c r="Q294" s="4">
        <f t="shared" si="130"/>
        <v>8.2940496401020276</v>
      </c>
      <c r="R294" s="4">
        <f t="shared" si="131"/>
        <v>5.7365722974791922</v>
      </c>
      <c r="S294" s="4">
        <f t="shared" si="132"/>
        <v>46.5</v>
      </c>
      <c r="T294" s="4">
        <f t="shared" si="133"/>
        <v>0</v>
      </c>
      <c r="U294" s="4">
        <f t="shared" si="134"/>
        <v>8.2940496401020276</v>
      </c>
      <c r="V294" s="4">
        <f t="shared" si="135"/>
        <v>5.7365722974791922</v>
      </c>
      <c r="W294" s="4">
        <f t="shared" si="136"/>
        <v>46.5</v>
      </c>
      <c r="X294" s="4">
        <f t="shared" si="137"/>
        <v>0</v>
      </c>
      <c r="Y294" s="4">
        <f t="shared" si="138"/>
        <v>8.2940496401020276</v>
      </c>
      <c r="Z294" s="4">
        <f t="shared" si="139"/>
        <v>5.7365722974791922</v>
      </c>
      <c r="AA294" s="4">
        <f t="shared" si="140"/>
        <v>46.5</v>
      </c>
      <c r="AB294" s="4">
        <f t="shared" si="141"/>
        <v>0</v>
      </c>
      <c r="AC294" s="4">
        <f t="shared" si="142"/>
        <v>0</v>
      </c>
      <c r="AD294" s="4">
        <f t="shared" si="143"/>
        <v>0</v>
      </c>
      <c r="AE294" s="4">
        <f t="shared" si="144"/>
        <v>0</v>
      </c>
      <c r="AF294" s="4">
        <f t="shared" si="145"/>
        <v>0</v>
      </c>
      <c r="AG294" s="4">
        <f t="shared" si="146"/>
        <v>8.2940496401020276</v>
      </c>
      <c r="AH294" s="4">
        <f t="shared" si="147"/>
        <v>0</v>
      </c>
      <c r="AI294" s="4">
        <f t="shared" si="148"/>
        <v>0</v>
      </c>
      <c r="AJ294" s="4">
        <f t="shared" si="149"/>
        <v>8.2940496401020276</v>
      </c>
      <c r="AK294" s="4">
        <f t="shared" si="150"/>
        <v>5.7365722974791922</v>
      </c>
      <c r="AL294" s="4">
        <f t="shared" si="151"/>
        <v>0</v>
      </c>
      <c r="AM294" s="4">
        <f>CER!$C$7+CER!$C$8*J294+CER!$C$9*K294+CER!$C$10*L294+CER!$C$11*M294</f>
        <v>3.38652491035938</v>
      </c>
      <c r="AN294" s="4">
        <f t="shared" si="152"/>
        <v>29.563039346339867</v>
      </c>
      <c r="AO294" s="4">
        <f t="shared" si="153"/>
        <v>6.3992653717876991E-2</v>
      </c>
      <c r="AP294" s="4">
        <f>Alternatives!$F$25+Alternatives!$F$26*J294+Alternatives!$F$27*K294+Alternatives!$F$28*G294+Alternatives!$F$29*O294</f>
        <v>3.3825152016916431</v>
      </c>
      <c r="AQ294" s="4">
        <f t="shared" si="154"/>
        <v>6.8002362385613857E-2</v>
      </c>
    </row>
    <row r="295" spans="1:43" x14ac:dyDescent="0.35">
      <c r="A295" s="2" t="s">
        <v>301</v>
      </c>
      <c r="B295" s="2" t="s">
        <v>283</v>
      </c>
      <c r="C295" s="2" t="s">
        <v>67</v>
      </c>
      <c r="D295" s="2">
        <v>28.6873</v>
      </c>
      <c r="E295" s="2">
        <v>4000</v>
      </c>
      <c r="F295" s="2">
        <v>335</v>
      </c>
      <c r="G295" s="2">
        <v>51.2</v>
      </c>
      <c r="H295" s="2" t="s">
        <v>68</v>
      </c>
      <c r="I295" s="4">
        <f t="shared" si="124"/>
        <v>3.3564545161189017</v>
      </c>
      <c r="J295" s="4">
        <f t="shared" si="125"/>
        <v>8.2940496401020276</v>
      </c>
      <c r="K295" s="4">
        <f t="shared" si="126"/>
        <v>5.8141305318250662</v>
      </c>
      <c r="L295" s="2">
        <v>0</v>
      </c>
      <c r="M295" s="2">
        <v>0</v>
      </c>
      <c r="N295" s="4">
        <f t="shared" si="127"/>
        <v>51.2</v>
      </c>
      <c r="O295" s="4">
        <f t="shared" si="128"/>
        <v>0</v>
      </c>
      <c r="P295" s="4">
        <f t="shared" si="129"/>
        <v>0</v>
      </c>
      <c r="Q295" s="4">
        <f t="shared" si="130"/>
        <v>8.2940496401020276</v>
      </c>
      <c r="R295" s="4">
        <f t="shared" si="131"/>
        <v>5.8141305318250662</v>
      </c>
      <c r="S295" s="4">
        <f t="shared" si="132"/>
        <v>51.2</v>
      </c>
      <c r="T295" s="4">
        <f t="shared" si="133"/>
        <v>0</v>
      </c>
      <c r="U295" s="4">
        <f t="shared" si="134"/>
        <v>8.2940496401020276</v>
      </c>
      <c r="V295" s="4">
        <f t="shared" si="135"/>
        <v>5.8141305318250662</v>
      </c>
      <c r="W295" s="4">
        <f t="shared" si="136"/>
        <v>51.2</v>
      </c>
      <c r="X295" s="4">
        <f t="shared" si="137"/>
        <v>0</v>
      </c>
      <c r="Y295" s="4">
        <f t="shared" si="138"/>
        <v>8.2940496401020276</v>
      </c>
      <c r="Z295" s="4">
        <f t="shared" si="139"/>
        <v>5.8141305318250662</v>
      </c>
      <c r="AA295" s="4">
        <f t="shared" si="140"/>
        <v>51.2</v>
      </c>
      <c r="AB295" s="4">
        <f t="shared" si="141"/>
        <v>0</v>
      </c>
      <c r="AC295" s="4">
        <f t="shared" si="142"/>
        <v>0</v>
      </c>
      <c r="AD295" s="4">
        <f t="shared" si="143"/>
        <v>0</v>
      </c>
      <c r="AE295" s="4">
        <f t="shared" si="144"/>
        <v>0</v>
      </c>
      <c r="AF295" s="4">
        <f t="shared" si="145"/>
        <v>0</v>
      </c>
      <c r="AG295" s="4">
        <f t="shared" si="146"/>
        <v>8.2940496401020276</v>
      </c>
      <c r="AH295" s="4">
        <f t="shared" si="147"/>
        <v>0</v>
      </c>
      <c r="AI295" s="4">
        <f t="shared" si="148"/>
        <v>0</v>
      </c>
      <c r="AJ295" s="4">
        <f t="shared" si="149"/>
        <v>8.2940496401020276</v>
      </c>
      <c r="AK295" s="4">
        <f t="shared" si="150"/>
        <v>5.8141305318250662</v>
      </c>
      <c r="AL295" s="4">
        <f t="shared" si="151"/>
        <v>0</v>
      </c>
      <c r="AM295" s="4">
        <f>CER!$C$7+CER!$C$8*J295+CER!$C$9*K295+CER!$C$10*L295+CER!$C$11*M295</f>
        <v>3.3579102873388158</v>
      </c>
      <c r="AN295" s="4">
        <f t="shared" si="152"/>
        <v>28.729092558538195</v>
      </c>
      <c r="AO295" s="4">
        <f t="shared" si="153"/>
        <v>-1.455771219914137E-3</v>
      </c>
      <c r="AP295" s="4">
        <f>Alternatives!$F$25+Alternatives!$F$26*J295+Alternatives!$F$27*K295+Alternatives!$F$28*G295+Alternatives!$F$29*O295</f>
        <v>3.3007418040902534</v>
      </c>
      <c r="AQ295" s="4">
        <f t="shared" si="154"/>
        <v>5.5712712028648248E-2</v>
      </c>
    </row>
    <row r="296" spans="1:43" x14ac:dyDescent="0.35">
      <c r="A296" s="2" t="s">
        <v>301</v>
      </c>
      <c r="B296" s="2" t="s">
        <v>283</v>
      </c>
      <c r="C296" s="2" t="s">
        <v>67</v>
      </c>
      <c r="D296" s="2">
        <v>35.503900000000002</v>
      </c>
      <c r="E296" s="2">
        <v>4000</v>
      </c>
      <c r="F296" s="2">
        <v>237</v>
      </c>
      <c r="G296" s="2">
        <v>51.2</v>
      </c>
      <c r="H296" s="2" t="s">
        <v>68</v>
      </c>
      <c r="I296" s="4">
        <f t="shared" si="124"/>
        <v>3.5696425496022246</v>
      </c>
      <c r="J296" s="4">
        <f t="shared" si="125"/>
        <v>8.2940496401020276</v>
      </c>
      <c r="K296" s="4">
        <f t="shared" si="126"/>
        <v>5.4680601411351315</v>
      </c>
      <c r="L296" s="2">
        <v>0</v>
      </c>
      <c r="M296" s="2">
        <v>0</v>
      </c>
      <c r="N296" s="4">
        <f t="shared" si="127"/>
        <v>51.2</v>
      </c>
      <c r="O296" s="4">
        <f t="shared" si="128"/>
        <v>0</v>
      </c>
      <c r="P296" s="4">
        <f t="shared" si="129"/>
        <v>0</v>
      </c>
      <c r="Q296" s="4">
        <f t="shared" si="130"/>
        <v>8.2940496401020276</v>
      </c>
      <c r="R296" s="4">
        <f t="shared" si="131"/>
        <v>5.4680601411351315</v>
      </c>
      <c r="S296" s="4">
        <f t="shared" si="132"/>
        <v>51.2</v>
      </c>
      <c r="T296" s="4">
        <f t="shared" si="133"/>
        <v>0</v>
      </c>
      <c r="U296" s="4">
        <f t="shared" si="134"/>
        <v>8.2940496401020276</v>
      </c>
      <c r="V296" s="4">
        <f t="shared" si="135"/>
        <v>5.4680601411351315</v>
      </c>
      <c r="W296" s="4">
        <f t="shared" si="136"/>
        <v>51.2</v>
      </c>
      <c r="X296" s="4">
        <f t="shared" si="137"/>
        <v>0</v>
      </c>
      <c r="Y296" s="4">
        <f t="shared" si="138"/>
        <v>8.2940496401020276</v>
      </c>
      <c r="Z296" s="4">
        <f t="shared" si="139"/>
        <v>5.4680601411351315</v>
      </c>
      <c r="AA296" s="4">
        <f t="shared" si="140"/>
        <v>51.2</v>
      </c>
      <c r="AB296" s="4">
        <f t="shared" si="141"/>
        <v>0</v>
      </c>
      <c r="AC296" s="4">
        <f t="shared" si="142"/>
        <v>0</v>
      </c>
      <c r="AD296" s="4">
        <f t="shared" si="143"/>
        <v>0</v>
      </c>
      <c r="AE296" s="4">
        <f t="shared" si="144"/>
        <v>0</v>
      </c>
      <c r="AF296" s="4">
        <f t="shared" si="145"/>
        <v>0</v>
      </c>
      <c r="AG296" s="4">
        <f t="shared" si="146"/>
        <v>8.2940496401020276</v>
      </c>
      <c r="AH296" s="4">
        <f t="shared" si="147"/>
        <v>0</v>
      </c>
      <c r="AI296" s="4">
        <f t="shared" si="148"/>
        <v>0</v>
      </c>
      <c r="AJ296" s="4">
        <f t="shared" si="149"/>
        <v>8.2940496401020276</v>
      </c>
      <c r="AK296" s="4">
        <f t="shared" si="150"/>
        <v>5.4680601411351315</v>
      </c>
      <c r="AL296" s="4">
        <f t="shared" si="151"/>
        <v>0</v>
      </c>
      <c r="AM296" s="4">
        <f>CER!$C$7+CER!$C$8*J296+CER!$C$9*K296+CER!$C$10*L296+CER!$C$11*M296</f>
        <v>3.4855907825395005</v>
      </c>
      <c r="AN296" s="4">
        <f t="shared" si="152"/>
        <v>32.641705564318478</v>
      </c>
      <c r="AO296" s="4">
        <f t="shared" si="153"/>
        <v>8.4051767062724103E-2</v>
      </c>
      <c r="AP296" s="4">
        <f>Alternatives!$F$25+Alternatives!$F$26*J296+Alternatives!$F$27*K296+Alternatives!$F$28*G296+Alternatives!$F$29*O296</f>
        <v>3.392834584651264</v>
      </c>
      <c r="AQ296" s="4">
        <f t="shared" si="154"/>
        <v>0.17680796495096063</v>
      </c>
    </row>
    <row r="297" spans="1:43" x14ac:dyDescent="0.35">
      <c r="A297" s="2" t="s">
        <v>302</v>
      </c>
      <c r="B297" s="2" t="s">
        <v>283</v>
      </c>
      <c r="C297" s="2" t="s">
        <v>67</v>
      </c>
      <c r="D297" s="2">
        <v>27.776299999999999</v>
      </c>
      <c r="E297" s="2">
        <v>4500</v>
      </c>
      <c r="F297" s="2">
        <v>335</v>
      </c>
      <c r="G297" s="2">
        <v>51.1</v>
      </c>
      <c r="H297" s="2" t="s">
        <v>68</v>
      </c>
      <c r="I297" s="4">
        <f t="shared" si="124"/>
        <v>3.3241831391108567</v>
      </c>
      <c r="J297" s="4">
        <f t="shared" si="125"/>
        <v>8.4118326757584114</v>
      </c>
      <c r="K297" s="4">
        <f t="shared" si="126"/>
        <v>5.8141305318250662</v>
      </c>
      <c r="L297" s="2">
        <v>0</v>
      </c>
      <c r="M297" s="2">
        <v>0</v>
      </c>
      <c r="N297" s="4">
        <f t="shared" si="127"/>
        <v>51.1</v>
      </c>
      <c r="O297" s="4">
        <f t="shared" si="128"/>
        <v>0</v>
      </c>
      <c r="P297" s="4">
        <f t="shared" si="129"/>
        <v>0</v>
      </c>
      <c r="Q297" s="4">
        <f t="shared" si="130"/>
        <v>8.4118326757584114</v>
      </c>
      <c r="R297" s="4">
        <f t="shared" si="131"/>
        <v>5.8141305318250662</v>
      </c>
      <c r="S297" s="4">
        <f t="shared" si="132"/>
        <v>51.1</v>
      </c>
      <c r="T297" s="4">
        <f t="shared" si="133"/>
        <v>0</v>
      </c>
      <c r="U297" s="4">
        <f t="shared" si="134"/>
        <v>8.4118326757584114</v>
      </c>
      <c r="V297" s="4">
        <f t="shared" si="135"/>
        <v>5.8141305318250662</v>
      </c>
      <c r="W297" s="4">
        <f t="shared" si="136"/>
        <v>51.1</v>
      </c>
      <c r="X297" s="4">
        <f t="shared" si="137"/>
        <v>0</v>
      </c>
      <c r="Y297" s="4">
        <f t="shared" si="138"/>
        <v>8.4118326757584114</v>
      </c>
      <c r="Z297" s="4">
        <f t="shared" si="139"/>
        <v>5.8141305318250662</v>
      </c>
      <c r="AA297" s="4">
        <f t="shared" si="140"/>
        <v>51.1</v>
      </c>
      <c r="AB297" s="4">
        <f t="shared" si="141"/>
        <v>0</v>
      </c>
      <c r="AC297" s="4">
        <f t="shared" si="142"/>
        <v>0</v>
      </c>
      <c r="AD297" s="4">
        <f t="shared" si="143"/>
        <v>0</v>
      </c>
      <c r="AE297" s="4">
        <f t="shared" si="144"/>
        <v>0</v>
      </c>
      <c r="AF297" s="4">
        <f t="shared" si="145"/>
        <v>0</v>
      </c>
      <c r="AG297" s="4">
        <f t="shared" si="146"/>
        <v>8.4118326757584114</v>
      </c>
      <c r="AH297" s="4">
        <f t="shared" si="147"/>
        <v>0</v>
      </c>
      <c r="AI297" s="4">
        <f t="shared" si="148"/>
        <v>0</v>
      </c>
      <c r="AJ297" s="4">
        <f t="shared" si="149"/>
        <v>8.4118326757584114</v>
      </c>
      <c r="AK297" s="4">
        <f t="shared" si="150"/>
        <v>5.8141305318250662</v>
      </c>
      <c r="AL297" s="4">
        <f t="shared" si="151"/>
        <v>0</v>
      </c>
      <c r="AM297" s="4">
        <f>CER!$C$7+CER!$C$8*J297+CER!$C$9*K297+CER!$C$10*L297+CER!$C$11*M297</f>
        <v>3.3045888329600159</v>
      </c>
      <c r="AN297" s="4">
        <f t="shared" si="152"/>
        <v>27.237340189593031</v>
      </c>
      <c r="AO297" s="4">
        <f t="shared" si="153"/>
        <v>1.959430615084079E-2</v>
      </c>
      <c r="AP297" s="4">
        <f>Alternatives!$F$25+Alternatives!$F$26*J297+Alternatives!$F$27*K297+Alternatives!$F$28*G297+Alternatives!$F$29*O297</f>
        <v>3.3456323854982681</v>
      </c>
      <c r="AQ297" s="4">
        <f t="shared" si="154"/>
        <v>-2.1449246387411414E-2</v>
      </c>
    </row>
    <row r="298" spans="1:43" x14ac:dyDescent="0.35">
      <c r="A298" s="2" t="s">
        <v>302</v>
      </c>
      <c r="B298" s="2" t="s">
        <v>283</v>
      </c>
      <c r="C298" s="2" t="s">
        <v>67</v>
      </c>
      <c r="D298" s="2">
        <v>32.918300000000002</v>
      </c>
      <c r="E298" s="2">
        <v>4000</v>
      </c>
      <c r="F298" s="2">
        <v>237</v>
      </c>
      <c r="G298" s="2">
        <v>51.1</v>
      </c>
      <c r="H298" s="2" t="s">
        <v>68</v>
      </c>
      <c r="I298" s="4">
        <f t="shared" si="124"/>
        <v>3.4940287341352421</v>
      </c>
      <c r="J298" s="4">
        <f t="shared" si="125"/>
        <v>8.2940496401020276</v>
      </c>
      <c r="K298" s="4">
        <f t="shared" si="126"/>
        <v>5.4680601411351315</v>
      </c>
      <c r="L298" s="2">
        <v>0</v>
      </c>
      <c r="M298" s="2">
        <v>0</v>
      </c>
      <c r="N298" s="4">
        <f t="shared" si="127"/>
        <v>51.1</v>
      </c>
      <c r="O298" s="4">
        <f t="shared" si="128"/>
        <v>0</v>
      </c>
      <c r="P298" s="4">
        <f t="shared" si="129"/>
        <v>0</v>
      </c>
      <c r="Q298" s="4">
        <f t="shared" si="130"/>
        <v>8.2940496401020276</v>
      </c>
      <c r="R298" s="4">
        <f t="shared" si="131"/>
        <v>5.4680601411351315</v>
      </c>
      <c r="S298" s="4">
        <f t="shared" si="132"/>
        <v>51.1</v>
      </c>
      <c r="T298" s="4">
        <f t="shared" si="133"/>
        <v>0</v>
      </c>
      <c r="U298" s="4">
        <f t="shared" si="134"/>
        <v>8.2940496401020276</v>
      </c>
      <c r="V298" s="4">
        <f t="shared" si="135"/>
        <v>5.4680601411351315</v>
      </c>
      <c r="W298" s="4">
        <f t="shared" si="136"/>
        <v>51.1</v>
      </c>
      <c r="X298" s="4">
        <f t="shared" si="137"/>
        <v>0</v>
      </c>
      <c r="Y298" s="4">
        <f t="shared" si="138"/>
        <v>8.2940496401020276</v>
      </c>
      <c r="Z298" s="4">
        <f t="shared" si="139"/>
        <v>5.4680601411351315</v>
      </c>
      <c r="AA298" s="4">
        <f t="shared" si="140"/>
        <v>51.1</v>
      </c>
      <c r="AB298" s="4">
        <f t="shared" si="141"/>
        <v>0</v>
      </c>
      <c r="AC298" s="4">
        <f t="shared" si="142"/>
        <v>0</v>
      </c>
      <c r="AD298" s="4">
        <f t="shared" si="143"/>
        <v>0</v>
      </c>
      <c r="AE298" s="4">
        <f t="shared" si="144"/>
        <v>0</v>
      </c>
      <c r="AF298" s="4">
        <f t="shared" si="145"/>
        <v>0</v>
      </c>
      <c r="AG298" s="4">
        <f t="shared" si="146"/>
        <v>8.2940496401020276</v>
      </c>
      <c r="AH298" s="4">
        <f t="shared" si="147"/>
        <v>0</v>
      </c>
      <c r="AI298" s="4">
        <f t="shared" si="148"/>
        <v>0</v>
      </c>
      <c r="AJ298" s="4">
        <f t="shared" si="149"/>
        <v>8.2940496401020276</v>
      </c>
      <c r="AK298" s="4">
        <f t="shared" si="150"/>
        <v>5.4680601411351315</v>
      </c>
      <c r="AL298" s="4">
        <f t="shared" si="151"/>
        <v>0</v>
      </c>
      <c r="AM298" s="4">
        <f>CER!$C$7+CER!$C$8*J298+CER!$C$9*K298+CER!$C$10*L298+CER!$C$11*M298</f>
        <v>3.4855907825395005</v>
      </c>
      <c r="AN298" s="4">
        <f t="shared" si="152"/>
        <v>32.641705564318478</v>
      </c>
      <c r="AO298" s="4">
        <f t="shared" si="153"/>
        <v>8.4379515957415663E-3</v>
      </c>
      <c r="AP298" s="4">
        <f>Alternatives!$F$25+Alternatives!$F$26*J298+Alternatives!$F$27*K298+Alternatives!$F$28*G298+Alternatives!$F$29*O298</f>
        <v>3.394135316105487</v>
      </c>
      <c r="AQ298" s="4">
        <f t="shared" si="154"/>
        <v>9.9893418029755043E-2</v>
      </c>
    </row>
    <row r="299" spans="1:43" x14ac:dyDescent="0.35">
      <c r="A299" s="2" t="s">
        <v>303</v>
      </c>
      <c r="B299" s="2" t="s">
        <v>283</v>
      </c>
      <c r="C299" s="2" t="s">
        <v>67</v>
      </c>
      <c r="D299" s="2">
        <v>24.024100000000001</v>
      </c>
      <c r="E299" s="2">
        <v>4000</v>
      </c>
      <c r="F299" s="2">
        <v>472</v>
      </c>
      <c r="G299" s="2">
        <v>46.3</v>
      </c>
      <c r="H299" s="2" t="s">
        <v>68</v>
      </c>
      <c r="I299" s="4">
        <f t="shared" si="124"/>
        <v>3.1790574931765283</v>
      </c>
      <c r="J299" s="4">
        <f t="shared" si="125"/>
        <v>8.2940496401020276</v>
      </c>
      <c r="K299" s="4">
        <f t="shared" si="126"/>
        <v>6.156978985585555</v>
      </c>
      <c r="L299" s="2">
        <v>0</v>
      </c>
      <c r="M299" s="2">
        <v>0</v>
      </c>
      <c r="N299" s="4">
        <f t="shared" si="127"/>
        <v>46.3</v>
      </c>
      <c r="O299" s="4">
        <f t="shared" si="128"/>
        <v>0</v>
      </c>
      <c r="P299" s="4">
        <f t="shared" si="129"/>
        <v>0</v>
      </c>
      <c r="Q299" s="4">
        <f t="shared" si="130"/>
        <v>8.2940496401020276</v>
      </c>
      <c r="R299" s="4">
        <f t="shared" si="131"/>
        <v>6.156978985585555</v>
      </c>
      <c r="S299" s="4">
        <f t="shared" si="132"/>
        <v>46.3</v>
      </c>
      <c r="T299" s="4">
        <f t="shared" si="133"/>
        <v>0</v>
      </c>
      <c r="U299" s="4">
        <f t="shared" si="134"/>
        <v>8.2940496401020276</v>
      </c>
      <c r="V299" s="4">
        <f t="shared" si="135"/>
        <v>6.156978985585555</v>
      </c>
      <c r="W299" s="4">
        <f t="shared" si="136"/>
        <v>46.3</v>
      </c>
      <c r="X299" s="4">
        <f t="shared" si="137"/>
        <v>0</v>
      </c>
      <c r="Y299" s="4">
        <f t="shared" si="138"/>
        <v>8.2940496401020276</v>
      </c>
      <c r="Z299" s="4">
        <f t="shared" si="139"/>
        <v>6.156978985585555</v>
      </c>
      <c r="AA299" s="4">
        <f t="shared" si="140"/>
        <v>46.3</v>
      </c>
      <c r="AB299" s="4">
        <f t="shared" si="141"/>
        <v>0</v>
      </c>
      <c r="AC299" s="4">
        <f t="shared" si="142"/>
        <v>0</v>
      </c>
      <c r="AD299" s="4">
        <f t="shared" si="143"/>
        <v>0</v>
      </c>
      <c r="AE299" s="4">
        <f t="shared" si="144"/>
        <v>0</v>
      </c>
      <c r="AF299" s="4">
        <f t="shared" si="145"/>
        <v>0</v>
      </c>
      <c r="AG299" s="4">
        <f t="shared" si="146"/>
        <v>8.2940496401020276</v>
      </c>
      <c r="AH299" s="4">
        <f t="shared" si="147"/>
        <v>0</v>
      </c>
      <c r="AI299" s="4">
        <f t="shared" si="148"/>
        <v>0</v>
      </c>
      <c r="AJ299" s="4">
        <f t="shared" si="149"/>
        <v>8.2940496401020276</v>
      </c>
      <c r="AK299" s="4">
        <f t="shared" si="150"/>
        <v>6.156978985585555</v>
      </c>
      <c r="AL299" s="4">
        <f t="shared" si="151"/>
        <v>0</v>
      </c>
      <c r="AM299" s="4">
        <f>CER!$C$7+CER!$C$8*J299+CER!$C$9*K299+CER!$C$10*L299+CER!$C$11*M299</f>
        <v>3.2314185055147271</v>
      </c>
      <c r="AN299" s="4">
        <f t="shared" si="152"/>
        <v>25.315541749147336</v>
      </c>
      <c r="AO299" s="4">
        <f t="shared" si="153"/>
        <v>-5.2361012338198787E-2</v>
      </c>
      <c r="AP299" s="4">
        <f>Alternatives!$F$25+Alternatives!$F$26*J299+Alternatives!$F$27*K299+Alternatives!$F$28*G299+Alternatives!$F$29*O299</f>
        <v>3.2732422543190633</v>
      </c>
      <c r="AQ299" s="4">
        <f t="shared" si="154"/>
        <v>-9.4184761142535045E-2</v>
      </c>
    </row>
    <row r="300" spans="1:43" x14ac:dyDescent="0.35">
      <c r="A300" s="2" t="s">
        <v>303</v>
      </c>
      <c r="B300" s="2" t="s">
        <v>283</v>
      </c>
      <c r="C300" s="2" t="s">
        <v>67</v>
      </c>
      <c r="D300" s="2">
        <v>22.446999999999999</v>
      </c>
      <c r="E300" s="2">
        <v>4000</v>
      </c>
      <c r="F300" s="2">
        <v>472</v>
      </c>
      <c r="G300" s="2">
        <v>46.3</v>
      </c>
      <c r="H300" s="2" t="s">
        <v>68</v>
      </c>
      <c r="I300" s="4">
        <f t="shared" si="124"/>
        <v>3.1111569749694081</v>
      </c>
      <c r="J300" s="4">
        <f t="shared" si="125"/>
        <v>8.2940496401020276</v>
      </c>
      <c r="K300" s="4">
        <f t="shared" si="126"/>
        <v>6.156978985585555</v>
      </c>
      <c r="L300" s="2">
        <v>0</v>
      </c>
      <c r="M300" s="2">
        <v>0</v>
      </c>
      <c r="N300" s="4">
        <f t="shared" si="127"/>
        <v>46.3</v>
      </c>
      <c r="O300" s="4">
        <f t="shared" si="128"/>
        <v>0</v>
      </c>
      <c r="P300" s="4">
        <f t="shared" si="129"/>
        <v>0</v>
      </c>
      <c r="Q300" s="4">
        <f t="shared" si="130"/>
        <v>8.2940496401020276</v>
      </c>
      <c r="R300" s="4">
        <f t="shared" si="131"/>
        <v>6.156978985585555</v>
      </c>
      <c r="S300" s="4">
        <f t="shared" si="132"/>
        <v>46.3</v>
      </c>
      <c r="T300" s="4">
        <f t="shared" si="133"/>
        <v>0</v>
      </c>
      <c r="U300" s="4">
        <f t="shared" si="134"/>
        <v>8.2940496401020276</v>
      </c>
      <c r="V300" s="4">
        <f t="shared" si="135"/>
        <v>6.156978985585555</v>
      </c>
      <c r="W300" s="4">
        <f t="shared" si="136"/>
        <v>46.3</v>
      </c>
      <c r="X300" s="4">
        <f t="shared" si="137"/>
        <v>0</v>
      </c>
      <c r="Y300" s="4">
        <f t="shared" si="138"/>
        <v>8.2940496401020276</v>
      </c>
      <c r="Z300" s="4">
        <f t="shared" si="139"/>
        <v>6.156978985585555</v>
      </c>
      <c r="AA300" s="4">
        <f t="shared" si="140"/>
        <v>46.3</v>
      </c>
      <c r="AB300" s="4">
        <f t="shared" si="141"/>
        <v>0</v>
      </c>
      <c r="AC300" s="4">
        <f t="shared" si="142"/>
        <v>0</v>
      </c>
      <c r="AD300" s="4">
        <f t="shared" si="143"/>
        <v>0</v>
      </c>
      <c r="AE300" s="4">
        <f t="shared" si="144"/>
        <v>0</v>
      </c>
      <c r="AF300" s="4">
        <f t="shared" si="145"/>
        <v>0</v>
      </c>
      <c r="AG300" s="4">
        <f t="shared" si="146"/>
        <v>8.2940496401020276</v>
      </c>
      <c r="AH300" s="4">
        <f t="shared" si="147"/>
        <v>0</v>
      </c>
      <c r="AI300" s="4">
        <f t="shared" si="148"/>
        <v>0</v>
      </c>
      <c r="AJ300" s="4">
        <f t="shared" si="149"/>
        <v>8.2940496401020276</v>
      </c>
      <c r="AK300" s="4">
        <f t="shared" si="150"/>
        <v>6.156978985585555</v>
      </c>
      <c r="AL300" s="4">
        <f t="shared" si="151"/>
        <v>0</v>
      </c>
      <c r="AM300" s="4">
        <f>CER!$C$7+CER!$C$8*J300+CER!$C$9*K300+CER!$C$10*L300+CER!$C$11*M300</f>
        <v>3.2314185055147271</v>
      </c>
      <c r="AN300" s="4">
        <f t="shared" si="152"/>
        <v>25.315541749147336</v>
      </c>
      <c r="AO300" s="4">
        <f t="shared" si="153"/>
        <v>-0.12026153054531896</v>
      </c>
      <c r="AP300" s="4">
        <f>Alternatives!$F$25+Alternatives!$F$26*J300+Alternatives!$F$27*K300+Alternatives!$F$28*G300+Alternatives!$F$29*O300</f>
        <v>3.2732422543190633</v>
      </c>
      <c r="AQ300" s="4">
        <f t="shared" si="154"/>
        <v>-0.16208527934965522</v>
      </c>
    </row>
    <row r="301" spans="1:43" x14ac:dyDescent="0.35">
      <c r="A301" s="2" t="s">
        <v>303</v>
      </c>
      <c r="B301" s="2" t="s">
        <v>283</v>
      </c>
      <c r="C301" s="2" t="s">
        <v>67</v>
      </c>
      <c r="D301" s="2">
        <v>30.407699999999998</v>
      </c>
      <c r="E301" s="2">
        <v>4000</v>
      </c>
      <c r="F301" s="2">
        <v>325</v>
      </c>
      <c r="G301" s="2">
        <v>46.3</v>
      </c>
      <c r="H301" s="2" t="s">
        <v>68</v>
      </c>
      <c r="I301" s="4">
        <f t="shared" si="124"/>
        <v>3.4146958658134969</v>
      </c>
      <c r="J301" s="4">
        <f t="shared" si="125"/>
        <v>8.2940496401020276</v>
      </c>
      <c r="K301" s="4">
        <f t="shared" si="126"/>
        <v>5.7838251823297373</v>
      </c>
      <c r="L301" s="2">
        <v>0</v>
      </c>
      <c r="M301" s="2">
        <v>0</v>
      </c>
      <c r="N301" s="4">
        <f t="shared" si="127"/>
        <v>46.3</v>
      </c>
      <c r="O301" s="4">
        <f t="shared" si="128"/>
        <v>0</v>
      </c>
      <c r="P301" s="4">
        <f t="shared" si="129"/>
        <v>0</v>
      </c>
      <c r="Q301" s="4">
        <f t="shared" si="130"/>
        <v>8.2940496401020276</v>
      </c>
      <c r="R301" s="4">
        <f t="shared" si="131"/>
        <v>5.7838251823297373</v>
      </c>
      <c r="S301" s="4">
        <f t="shared" si="132"/>
        <v>46.3</v>
      </c>
      <c r="T301" s="4">
        <f t="shared" si="133"/>
        <v>0</v>
      </c>
      <c r="U301" s="4">
        <f t="shared" si="134"/>
        <v>8.2940496401020276</v>
      </c>
      <c r="V301" s="4">
        <f t="shared" si="135"/>
        <v>5.7838251823297373</v>
      </c>
      <c r="W301" s="4">
        <f t="shared" si="136"/>
        <v>46.3</v>
      </c>
      <c r="X301" s="4">
        <f t="shared" si="137"/>
        <v>0</v>
      </c>
      <c r="Y301" s="4">
        <f t="shared" si="138"/>
        <v>8.2940496401020276</v>
      </c>
      <c r="Z301" s="4">
        <f t="shared" si="139"/>
        <v>5.7838251823297373</v>
      </c>
      <c r="AA301" s="4">
        <f t="shared" si="140"/>
        <v>46.3</v>
      </c>
      <c r="AB301" s="4">
        <f t="shared" si="141"/>
        <v>0</v>
      </c>
      <c r="AC301" s="4">
        <f t="shared" si="142"/>
        <v>0</v>
      </c>
      <c r="AD301" s="4">
        <f t="shared" si="143"/>
        <v>0</v>
      </c>
      <c r="AE301" s="4">
        <f t="shared" si="144"/>
        <v>0</v>
      </c>
      <c r="AF301" s="4">
        <f t="shared" si="145"/>
        <v>0</v>
      </c>
      <c r="AG301" s="4">
        <f t="shared" si="146"/>
        <v>8.2940496401020276</v>
      </c>
      <c r="AH301" s="4">
        <f t="shared" si="147"/>
        <v>0</v>
      </c>
      <c r="AI301" s="4">
        <f t="shared" si="148"/>
        <v>0</v>
      </c>
      <c r="AJ301" s="4">
        <f t="shared" si="149"/>
        <v>8.2940496401020276</v>
      </c>
      <c r="AK301" s="4">
        <f t="shared" si="150"/>
        <v>5.7838251823297373</v>
      </c>
      <c r="AL301" s="4">
        <f t="shared" si="151"/>
        <v>0</v>
      </c>
      <c r="AM301" s="4">
        <f>CER!$C$7+CER!$C$8*J301+CER!$C$9*K301+CER!$C$10*L301+CER!$C$11*M301</f>
        <v>3.3690912555316719</v>
      </c>
      <c r="AN301" s="4">
        <f t="shared" si="152"/>
        <v>29.052114110313816</v>
      </c>
      <c r="AO301" s="4">
        <f t="shared" si="153"/>
        <v>4.5604610281825053E-2</v>
      </c>
      <c r="AP301" s="4">
        <f>Alternatives!$F$25+Alternatives!$F$26*J301+Alternatives!$F$27*K301+Alternatives!$F$28*G301+Alternatives!$F$29*O301</f>
        <v>3.3725422009288675</v>
      </c>
      <c r="AQ301" s="4">
        <f t="shared" si="154"/>
        <v>4.215366488462946E-2</v>
      </c>
    </row>
    <row r="302" spans="1:43" x14ac:dyDescent="0.35">
      <c r="A302" s="2" t="s">
        <v>304</v>
      </c>
      <c r="B302" s="2" t="s">
        <v>283</v>
      </c>
      <c r="C302" s="2" t="s">
        <v>67</v>
      </c>
      <c r="D302" s="2">
        <v>28.6873</v>
      </c>
      <c r="E302" s="2">
        <v>4000</v>
      </c>
      <c r="F302" s="2">
        <v>335</v>
      </c>
      <c r="G302" s="2">
        <v>51.2</v>
      </c>
      <c r="H302" s="2" t="s">
        <v>68</v>
      </c>
      <c r="I302" s="4">
        <f t="shared" si="124"/>
        <v>3.3564545161189017</v>
      </c>
      <c r="J302" s="4">
        <f t="shared" si="125"/>
        <v>8.2940496401020276</v>
      </c>
      <c r="K302" s="4">
        <f t="shared" si="126"/>
        <v>5.8141305318250662</v>
      </c>
      <c r="L302" s="2">
        <v>0</v>
      </c>
      <c r="M302" s="2">
        <v>0</v>
      </c>
      <c r="N302" s="4">
        <f t="shared" si="127"/>
        <v>51.2</v>
      </c>
      <c r="O302" s="4">
        <f t="shared" si="128"/>
        <v>0</v>
      </c>
      <c r="P302" s="4">
        <f t="shared" si="129"/>
        <v>0</v>
      </c>
      <c r="Q302" s="4">
        <f t="shared" si="130"/>
        <v>8.2940496401020276</v>
      </c>
      <c r="R302" s="4">
        <f t="shared" si="131"/>
        <v>5.8141305318250662</v>
      </c>
      <c r="S302" s="4">
        <f t="shared" si="132"/>
        <v>51.2</v>
      </c>
      <c r="T302" s="4">
        <f t="shared" si="133"/>
        <v>0</v>
      </c>
      <c r="U302" s="4">
        <f t="shared" si="134"/>
        <v>8.2940496401020276</v>
      </c>
      <c r="V302" s="4">
        <f t="shared" si="135"/>
        <v>5.8141305318250662</v>
      </c>
      <c r="W302" s="4">
        <f t="shared" si="136"/>
        <v>51.2</v>
      </c>
      <c r="X302" s="4">
        <f t="shared" si="137"/>
        <v>0</v>
      </c>
      <c r="Y302" s="4">
        <f t="shared" si="138"/>
        <v>8.2940496401020276</v>
      </c>
      <c r="Z302" s="4">
        <f t="shared" si="139"/>
        <v>5.8141305318250662</v>
      </c>
      <c r="AA302" s="4">
        <f t="shared" si="140"/>
        <v>51.2</v>
      </c>
      <c r="AB302" s="4">
        <f t="shared" si="141"/>
        <v>0</v>
      </c>
      <c r="AC302" s="4">
        <f t="shared" si="142"/>
        <v>0</v>
      </c>
      <c r="AD302" s="4">
        <f t="shared" si="143"/>
        <v>0</v>
      </c>
      <c r="AE302" s="4">
        <f t="shared" si="144"/>
        <v>0</v>
      </c>
      <c r="AF302" s="4">
        <f t="shared" si="145"/>
        <v>0</v>
      </c>
      <c r="AG302" s="4">
        <f t="shared" si="146"/>
        <v>8.2940496401020276</v>
      </c>
      <c r="AH302" s="4">
        <f t="shared" si="147"/>
        <v>0</v>
      </c>
      <c r="AI302" s="4">
        <f t="shared" si="148"/>
        <v>0</v>
      </c>
      <c r="AJ302" s="4">
        <f t="shared" si="149"/>
        <v>8.2940496401020276</v>
      </c>
      <c r="AK302" s="4">
        <f t="shared" si="150"/>
        <v>5.8141305318250662</v>
      </c>
      <c r="AL302" s="4">
        <f t="shared" si="151"/>
        <v>0</v>
      </c>
      <c r="AM302" s="4">
        <f>CER!$C$7+CER!$C$8*J302+CER!$C$9*K302+CER!$C$10*L302+CER!$C$11*M302</f>
        <v>3.3579102873388158</v>
      </c>
      <c r="AN302" s="4">
        <f t="shared" si="152"/>
        <v>28.729092558538195</v>
      </c>
      <c r="AO302" s="4">
        <f t="shared" si="153"/>
        <v>-1.455771219914137E-3</v>
      </c>
      <c r="AP302" s="4">
        <f>Alternatives!$F$25+Alternatives!$F$26*J302+Alternatives!$F$27*K302+Alternatives!$F$28*G302+Alternatives!$F$29*O302</f>
        <v>3.3007418040902534</v>
      </c>
      <c r="AQ302" s="4">
        <f t="shared" si="154"/>
        <v>5.5712712028648248E-2</v>
      </c>
    </row>
    <row r="303" spans="1:43" x14ac:dyDescent="0.35">
      <c r="A303" s="2" t="s">
        <v>304</v>
      </c>
      <c r="B303" s="2" t="s">
        <v>283</v>
      </c>
      <c r="C303" s="2" t="s">
        <v>67</v>
      </c>
      <c r="D303" s="2">
        <v>18.847300000000001</v>
      </c>
      <c r="E303" s="2">
        <v>4500</v>
      </c>
      <c r="F303" s="2">
        <v>668</v>
      </c>
      <c r="G303" s="2">
        <v>51.2</v>
      </c>
      <c r="H303" s="2" t="s">
        <v>68</v>
      </c>
      <c r="I303" s="4">
        <f t="shared" si="124"/>
        <v>2.9363696675604829</v>
      </c>
      <c r="J303" s="4">
        <f t="shared" si="125"/>
        <v>8.4118326757584114</v>
      </c>
      <c r="K303" s="4">
        <f t="shared" si="126"/>
        <v>6.5042881735366453</v>
      </c>
      <c r="L303" s="2">
        <v>0</v>
      </c>
      <c r="M303" s="2">
        <v>0</v>
      </c>
      <c r="N303" s="4">
        <f t="shared" si="127"/>
        <v>51.2</v>
      </c>
      <c r="O303" s="4">
        <f t="shared" si="128"/>
        <v>0</v>
      </c>
      <c r="P303" s="4">
        <f t="shared" si="129"/>
        <v>0</v>
      </c>
      <c r="Q303" s="4">
        <f t="shared" si="130"/>
        <v>8.4118326757584114</v>
      </c>
      <c r="R303" s="4">
        <f t="shared" si="131"/>
        <v>6.5042881735366453</v>
      </c>
      <c r="S303" s="4">
        <f t="shared" si="132"/>
        <v>51.2</v>
      </c>
      <c r="T303" s="4">
        <f t="shared" si="133"/>
        <v>0</v>
      </c>
      <c r="U303" s="4">
        <f t="shared" si="134"/>
        <v>8.4118326757584114</v>
      </c>
      <c r="V303" s="4">
        <f t="shared" si="135"/>
        <v>6.5042881735366453</v>
      </c>
      <c r="W303" s="4">
        <f t="shared" si="136"/>
        <v>51.2</v>
      </c>
      <c r="X303" s="4">
        <f t="shared" si="137"/>
        <v>0</v>
      </c>
      <c r="Y303" s="4">
        <f t="shared" si="138"/>
        <v>8.4118326757584114</v>
      </c>
      <c r="Z303" s="4">
        <f t="shared" si="139"/>
        <v>6.5042881735366453</v>
      </c>
      <c r="AA303" s="4">
        <f t="shared" si="140"/>
        <v>51.2</v>
      </c>
      <c r="AB303" s="4">
        <f t="shared" si="141"/>
        <v>0</v>
      </c>
      <c r="AC303" s="4">
        <f t="shared" si="142"/>
        <v>0</v>
      </c>
      <c r="AD303" s="4">
        <f t="shared" si="143"/>
        <v>0</v>
      </c>
      <c r="AE303" s="4">
        <f t="shared" si="144"/>
        <v>0</v>
      </c>
      <c r="AF303" s="4">
        <f t="shared" si="145"/>
        <v>0</v>
      </c>
      <c r="AG303" s="4">
        <f t="shared" si="146"/>
        <v>8.4118326757584114</v>
      </c>
      <c r="AH303" s="4">
        <f t="shared" si="147"/>
        <v>0</v>
      </c>
      <c r="AI303" s="4">
        <f t="shared" si="148"/>
        <v>0</v>
      </c>
      <c r="AJ303" s="4">
        <f t="shared" si="149"/>
        <v>8.4118326757584114</v>
      </c>
      <c r="AK303" s="4">
        <f t="shared" si="150"/>
        <v>6.5042881735366453</v>
      </c>
      <c r="AL303" s="4">
        <f t="shared" si="151"/>
        <v>0</v>
      </c>
      <c r="AM303" s="4">
        <f>CER!$C$7+CER!$C$8*J303+CER!$C$9*K303+CER!$C$10*L303+CER!$C$11*M303</f>
        <v>3.0499595094729832</v>
      </c>
      <c r="AN303" s="4">
        <f t="shared" si="152"/>
        <v>21.114489468425692</v>
      </c>
      <c r="AO303" s="4">
        <f t="shared" si="153"/>
        <v>-0.11358984191250032</v>
      </c>
      <c r="AP303" s="4">
        <f>Alternatives!$F$25+Alternatives!$F$26*J303+Alternatives!$F$27*K303+Alternatives!$F$28*G303+Alternatives!$F$29*O303</f>
        <v>3.160673826155513</v>
      </c>
      <c r="AQ303" s="4">
        <f t="shared" si="154"/>
        <v>-0.22430415859503006</v>
      </c>
    </row>
    <row r="304" spans="1:43" x14ac:dyDescent="0.35">
      <c r="A304" s="2" t="s">
        <v>304</v>
      </c>
      <c r="B304" s="2" t="s">
        <v>283</v>
      </c>
      <c r="C304" s="2" t="s">
        <v>67</v>
      </c>
      <c r="D304" s="2">
        <v>19.427800000000001</v>
      </c>
      <c r="E304" s="2">
        <v>4500</v>
      </c>
      <c r="F304" s="2">
        <v>668</v>
      </c>
      <c r="G304" s="2">
        <v>51.2</v>
      </c>
      <c r="H304" s="2" t="s">
        <v>68</v>
      </c>
      <c r="I304" s="4">
        <f t="shared" si="124"/>
        <v>2.9667050300100866</v>
      </c>
      <c r="J304" s="4">
        <f t="shared" si="125"/>
        <v>8.4118326757584114</v>
      </c>
      <c r="K304" s="4">
        <f t="shared" si="126"/>
        <v>6.5042881735366453</v>
      </c>
      <c r="L304" s="2">
        <v>0</v>
      </c>
      <c r="M304" s="2">
        <v>0</v>
      </c>
      <c r="N304" s="4">
        <f t="shared" si="127"/>
        <v>51.2</v>
      </c>
      <c r="O304" s="4">
        <f t="shared" si="128"/>
        <v>0</v>
      </c>
      <c r="P304" s="4">
        <f t="shared" si="129"/>
        <v>0</v>
      </c>
      <c r="Q304" s="4">
        <f t="shared" si="130"/>
        <v>8.4118326757584114</v>
      </c>
      <c r="R304" s="4">
        <f t="shared" si="131"/>
        <v>6.5042881735366453</v>
      </c>
      <c r="S304" s="4">
        <f t="shared" si="132"/>
        <v>51.2</v>
      </c>
      <c r="T304" s="4">
        <f t="shared" si="133"/>
        <v>0</v>
      </c>
      <c r="U304" s="4">
        <f t="shared" si="134"/>
        <v>8.4118326757584114</v>
      </c>
      <c r="V304" s="4">
        <f t="shared" si="135"/>
        <v>6.5042881735366453</v>
      </c>
      <c r="W304" s="4">
        <f t="shared" si="136"/>
        <v>51.2</v>
      </c>
      <c r="X304" s="4">
        <f t="shared" si="137"/>
        <v>0</v>
      </c>
      <c r="Y304" s="4">
        <f t="shared" si="138"/>
        <v>8.4118326757584114</v>
      </c>
      <c r="Z304" s="4">
        <f t="shared" si="139"/>
        <v>6.5042881735366453</v>
      </c>
      <c r="AA304" s="4">
        <f t="shared" si="140"/>
        <v>51.2</v>
      </c>
      <c r="AB304" s="4">
        <f t="shared" si="141"/>
        <v>0</v>
      </c>
      <c r="AC304" s="4">
        <f t="shared" si="142"/>
        <v>0</v>
      </c>
      <c r="AD304" s="4">
        <f t="shared" si="143"/>
        <v>0</v>
      </c>
      <c r="AE304" s="4">
        <f t="shared" si="144"/>
        <v>0</v>
      </c>
      <c r="AF304" s="4">
        <f t="shared" si="145"/>
        <v>0</v>
      </c>
      <c r="AG304" s="4">
        <f t="shared" si="146"/>
        <v>8.4118326757584114</v>
      </c>
      <c r="AH304" s="4">
        <f t="shared" si="147"/>
        <v>0</v>
      </c>
      <c r="AI304" s="4">
        <f t="shared" si="148"/>
        <v>0</v>
      </c>
      <c r="AJ304" s="4">
        <f t="shared" si="149"/>
        <v>8.4118326757584114</v>
      </c>
      <c r="AK304" s="4">
        <f t="shared" si="150"/>
        <v>6.5042881735366453</v>
      </c>
      <c r="AL304" s="4">
        <f t="shared" si="151"/>
        <v>0</v>
      </c>
      <c r="AM304" s="4">
        <f>CER!$C$7+CER!$C$8*J304+CER!$C$9*K304+CER!$C$10*L304+CER!$C$11*M304</f>
        <v>3.0499595094729832</v>
      </c>
      <c r="AN304" s="4">
        <f t="shared" si="152"/>
        <v>21.114489468425692</v>
      </c>
      <c r="AO304" s="4">
        <f t="shared" si="153"/>
        <v>-8.3254479462896658E-2</v>
      </c>
      <c r="AP304" s="4">
        <f>Alternatives!$F$25+Alternatives!$F$26*J304+Alternatives!$F$27*K304+Alternatives!$F$28*G304+Alternatives!$F$29*O304</f>
        <v>3.160673826155513</v>
      </c>
      <c r="AQ304" s="4">
        <f t="shared" si="154"/>
        <v>-0.19396879614542639</v>
      </c>
    </row>
    <row r="305" spans="1:43" x14ac:dyDescent="0.35">
      <c r="A305" s="2" t="s">
        <v>305</v>
      </c>
      <c r="B305" s="2" t="s">
        <v>283</v>
      </c>
      <c r="C305" s="2" t="s">
        <v>67</v>
      </c>
      <c r="D305" s="2">
        <v>31.0197</v>
      </c>
      <c r="E305" s="2">
        <v>4000</v>
      </c>
      <c r="F305" s="2">
        <v>325</v>
      </c>
      <c r="G305" s="2">
        <v>46.3</v>
      </c>
      <c r="H305" s="2" t="s">
        <v>68</v>
      </c>
      <c r="I305" s="4">
        <f t="shared" si="124"/>
        <v>3.4346224865217425</v>
      </c>
      <c r="J305" s="4">
        <f t="shared" si="125"/>
        <v>8.2940496401020276</v>
      </c>
      <c r="K305" s="4">
        <f t="shared" si="126"/>
        <v>5.7838251823297373</v>
      </c>
      <c r="L305" s="2">
        <v>0</v>
      </c>
      <c r="M305" s="2">
        <v>0</v>
      </c>
      <c r="N305" s="4">
        <f t="shared" si="127"/>
        <v>46.3</v>
      </c>
      <c r="O305" s="4">
        <f t="shared" si="128"/>
        <v>0</v>
      </c>
      <c r="P305" s="4">
        <f t="shared" si="129"/>
        <v>0</v>
      </c>
      <c r="Q305" s="4">
        <f t="shared" si="130"/>
        <v>8.2940496401020276</v>
      </c>
      <c r="R305" s="4">
        <f t="shared" si="131"/>
        <v>5.7838251823297373</v>
      </c>
      <c r="S305" s="4">
        <f t="shared" si="132"/>
        <v>46.3</v>
      </c>
      <c r="T305" s="4">
        <f t="shared" si="133"/>
        <v>0</v>
      </c>
      <c r="U305" s="4">
        <f t="shared" si="134"/>
        <v>8.2940496401020276</v>
      </c>
      <c r="V305" s="4">
        <f t="shared" si="135"/>
        <v>5.7838251823297373</v>
      </c>
      <c r="W305" s="4">
        <f t="shared" si="136"/>
        <v>46.3</v>
      </c>
      <c r="X305" s="4">
        <f t="shared" si="137"/>
        <v>0</v>
      </c>
      <c r="Y305" s="4">
        <f t="shared" si="138"/>
        <v>8.2940496401020276</v>
      </c>
      <c r="Z305" s="4">
        <f t="shared" si="139"/>
        <v>5.7838251823297373</v>
      </c>
      <c r="AA305" s="4">
        <f t="shared" si="140"/>
        <v>46.3</v>
      </c>
      <c r="AB305" s="4">
        <f t="shared" si="141"/>
        <v>0</v>
      </c>
      <c r="AC305" s="4">
        <f t="shared" si="142"/>
        <v>0</v>
      </c>
      <c r="AD305" s="4">
        <f t="shared" si="143"/>
        <v>0</v>
      </c>
      <c r="AE305" s="4">
        <f t="shared" si="144"/>
        <v>0</v>
      </c>
      <c r="AF305" s="4">
        <f t="shared" si="145"/>
        <v>0</v>
      </c>
      <c r="AG305" s="4">
        <f t="shared" si="146"/>
        <v>8.2940496401020276</v>
      </c>
      <c r="AH305" s="4">
        <f t="shared" si="147"/>
        <v>0</v>
      </c>
      <c r="AI305" s="4">
        <f t="shared" si="148"/>
        <v>0</v>
      </c>
      <c r="AJ305" s="4">
        <f t="shared" si="149"/>
        <v>8.2940496401020276</v>
      </c>
      <c r="AK305" s="4">
        <f t="shared" si="150"/>
        <v>5.7838251823297373</v>
      </c>
      <c r="AL305" s="4">
        <f t="shared" si="151"/>
        <v>0</v>
      </c>
      <c r="AM305" s="4">
        <f>CER!$C$7+CER!$C$8*J305+CER!$C$9*K305+CER!$C$10*L305+CER!$C$11*M305</f>
        <v>3.3690912555316719</v>
      </c>
      <c r="AN305" s="4">
        <f t="shared" si="152"/>
        <v>29.052114110313816</v>
      </c>
      <c r="AO305" s="4">
        <f t="shared" si="153"/>
        <v>6.5531230990070632E-2</v>
      </c>
      <c r="AP305" s="4">
        <f>Alternatives!$F$25+Alternatives!$F$26*J305+Alternatives!$F$27*K305+Alternatives!$F$28*G305+Alternatives!$F$29*O305</f>
        <v>3.3725422009288675</v>
      </c>
      <c r="AQ305" s="4">
        <f t="shared" si="154"/>
        <v>6.208028559287504E-2</v>
      </c>
    </row>
    <row r="306" spans="1:43" x14ac:dyDescent="0.35">
      <c r="A306" s="2" t="s">
        <v>306</v>
      </c>
      <c r="B306" s="2" t="s">
        <v>283</v>
      </c>
      <c r="C306" s="2" t="s">
        <v>67</v>
      </c>
      <c r="D306" s="2">
        <v>27.776299999999999</v>
      </c>
      <c r="E306" s="2">
        <v>4500</v>
      </c>
      <c r="F306" s="2">
        <v>335</v>
      </c>
      <c r="G306" s="2">
        <v>51.1</v>
      </c>
      <c r="H306" s="2" t="s">
        <v>68</v>
      </c>
      <c r="I306" s="4">
        <f t="shared" si="124"/>
        <v>3.3241831391108567</v>
      </c>
      <c r="J306" s="4">
        <f t="shared" si="125"/>
        <v>8.4118326757584114</v>
      </c>
      <c r="K306" s="4">
        <f t="shared" si="126"/>
        <v>5.8141305318250662</v>
      </c>
      <c r="L306" s="2">
        <v>0</v>
      </c>
      <c r="M306" s="2">
        <v>0</v>
      </c>
      <c r="N306" s="4">
        <f t="shared" si="127"/>
        <v>51.1</v>
      </c>
      <c r="O306" s="4">
        <f t="shared" si="128"/>
        <v>0</v>
      </c>
      <c r="P306" s="4">
        <f t="shared" si="129"/>
        <v>0</v>
      </c>
      <c r="Q306" s="4">
        <f t="shared" si="130"/>
        <v>8.4118326757584114</v>
      </c>
      <c r="R306" s="4">
        <f t="shared" si="131"/>
        <v>5.8141305318250662</v>
      </c>
      <c r="S306" s="4">
        <f t="shared" si="132"/>
        <v>51.1</v>
      </c>
      <c r="T306" s="4">
        <f t="shared" si="133"/>
        <v>0</v>
      </c>
      <c r="U306" s="4">
        <f t="shared" si="134"/>
        <v>8.4118326757584114</v>
      </c>
      <c r="V306" s="4">
        <f t="shared" si="135"/>
        <v>5.8141305318250662</v>
      </c>
      <c r="W306" s="4">
        <f t="shared" si="136"/>
        <v>51.1</v>
      </c>
      <c r="X306" s="4">
        <f t="shared" si="137"/>
        <v>0</v>
      </c>
      <c r="Y306" s="4">
        <f t="shared" si="138"/>
        <v>8.4118326757584114</v>
      </c>
      <c r="Z306" s="4">
        <f t="shared" si="139"/>
        <v>5.8141305318250662</v>
      </c>
      <c r="AA306" s="4">
        <f t="shared" si="140"/>
        <v>51.1</v>
      </c>
      <c r="AB306" s="4">
        <f t="shared" si="141"/>
        <v>0</v>
      </c>
      <c r="AC306" s="4">
        <f t="shared" si="142"/>
        <v>0</v>
      </c>
      <c r="AD306" s="4">
        <f t="shared" si="143"/>
        <v>0</v>
      </c>
      <c r="AE306" s="4">
        <f t="shared" si="144"/>
        <v>0</v>
      </c>
      <c r="AF306" s="4">
        <f t="shared" si="145"/>
        <v>0</v>
      </c>
      <c r="AG306" s="4">
        <f t="shared" si="146"/>
        <v>8.4118326757584114</v>
      </c>
      <c r="AH306" s="4">
        <f t="shared" si="147"/>
        <v>0</v>
      </c>
      <c r="AI306" s="4">
        <f t="shared" si="148"/>
        <v>0</v>
      </c>
      <c r="AJ306" s="4">
        <f t="shared" si="149"/>
        <v>8.4118326757584114</v>
      </c>
      <c r="AK306" s="4">
        <f t="shared" si="150"/>
        <v>5.8141305318250662</v>
      </c>
      <c r="AL306" s="4">
        <f t="shared" si="151"/>
        <v>0</v>
      </c>
      <c r="AM306" s="4">
        <f>CER!$C$7+CER!$C$8*J306+CER!$C$9*K306+CER!$C$10*L306+CER!$C$11*M306</f>
        <v>3.3045888329600159</v>
      </c>
      <c r="AN306" s="4">
        <f t="shared" si="152"/>
        <v>27.237340189593031</v>
      </c>
      <c r="AO306" s="4">
        <f t="shared" si="153"/>
        <v>1.959430615084079E-2</v>
      </c>
      <c r="AP306" s="4">
        <f>Alternatives!$F$25+Alternatives!$F$26*J306+Alternatives!$F$27*K306+Alternatives!$F$28*G306+Alternatives!$F$29*O306</f>
        <v>3.3456323854982681</v>
      </c>
      <c r="AQ306" s="4">
        <f t="shared" si="154"/>
        <v>-2.1449246387411414E-2</v>
      </c>
    </row>
    <row r="307" spans="1:43" x14ac:dyDescent="0.35">
      <c r="A307" s="2" t="s">
        <v>307</v>
      </c>
      <c r="B307" s="2" t="s">
        <v>283</v>
      </c>
      <c r="C307" s="2" t="s">
        <v>67</v>
      </c>
      <c r="D307" s="2">
        <v>28.2286</v>
      </c>
      <c r="E307" s="2">
        <v>5500</v>
      </c>
      <c r="F307" s="2">
        <v>237</v>
      </c>
      <c r="G307" s="2">
        <v>67.2</v>
      </c>
      <c r="H307" s="2" t="s">
        <v>68</v>
      </c>
      <c r="I307" s="4">
        <f t="shared" si="124"/>
        <v>3.3403356484036908</v>
      </c>
      <c r="J307" s="4">
        <f t="shared" si="125"/>
        <v>8.6125033712205621</v>
      </c>
      <c r="K307" s="4">
        <f t="shared" si="126"/>
        <v>5.4680601411351315</v>
      </c>
      <c r="L307" s="2">
        <v>0</v>
      </c>
      <c r="M307" s="2">
        <v>0</v>
      </c>
      <c r="N307" s="4">
        <f t="shared" si="127"/>
        <v>67.2</v>
      </c>
      <c r="O307" s="4">
        <f t="shared" si="128"/>
        <v>0</v>
      </c>
      <c r="P307" s="4">
        <f t="shared" si="129"/>
        <v>0</v>
      </c>
      <c r="Q307" s="4">
        <f t="shared" si="130"/>
        <v>8.6125033712205621</v>
      </c>
      <c r="R307" s="4">
        <f t="shared" si="131"/>
        <v>5.4680601411351315</v>
      </c>
      <c r="S307" s="4">
        <f t="shared" si="132"/>
        <v>67.2</v>
      </c>
      <c r="T307" s="4">
        <f t="shared" si="133"/>
        <v>0</v>
      </c>
      <c r="U307" s="4">
        <f t="shared" si="134"/>
        <v>8.6125033712205621</v>
      </c>
      <c r="V307" s="4">
        <f t="shared" si="135"/>
        <v>5.4680601411351315</v>
      </c>
      <c r="W307" s="4">
        <f t="shared" si="136"/>
        <v>67.2</v>
      </c>
      <c r="X307" s="4">
        <f t="shared" si="137"/>
        <v>0</v>
      </c>
      <c r="Y307" s="4">
        <f t="shared" si="138"/>
        <v>8.6125033712205621</v>
      </c>
      <c r="Z307" s="4">
        <f t="shared" si="139"/>
        <v>5.4680601411351315</v>
      </c>
      <c r="AA307" s="4">
        <f t="shared" si="140"/>
        <v>67.2</v>
      </c>
      <c r="AB307" s="4">
        <f t="shared" si="141"/>
        <v>0</v>
      </c>
      <c r="AC307" s="4">
        <f t="shared" si="142"/>
        <v>0</v>
      </c>
      <c r="AD307" s="4">
        <f t="shared" si="143"/>
        <v>0</v>
      </c>
      <c r="AE307" s="4">
        <f t="shared" si="144"/>
        <v>0</v>
      </c>
      <c r="AF307" s="4">
        <f t="shared" si="145"/>
        <v>0</v>
      </c>
      <c r="AG307" s="4">
        <f t="shared" si="146"/>
        <v>8.6125033712205621</v>
      </c>
      <c r="AH307" s="4">
        <f t="shared" si="147"/>
        <v>0</v>
      </c>
      <c r="AI307" s="4">
        <f t="shared" si="148"/>
        <v>0</v>
      </c>
      <c r="AJ307" s="4">
        <f t="shared" si="149"/>
        <v>8.6125033712205621</v>
      </c>
      <c r="AK307" s="4">
        <f t="shared" si="150"/>
        <v>5.4680601411351315</v>
      </c>
      <c r="AL307" s="4">
        <f t="shared" si="151"/>
        <v>0</v>
      </c>
      <c r="AM307" s="4">
        <f>CER!$C$7+CER!$C$8*J307+CER!$C$9*K307+CER!$C$10*L307+CER!$C$11*M307</f>
        <v>3.3414238742834299</v>
      </c>
      <c r="AN307" s="4">
        <f t="shared" si="152"/>
        <v>28.259335813789598</v>
      </c>
      <c r="AO307" s="4">
        <f t="shared" si="153"/>
        <v>-1.0882258797391131E-3</v>
      </c>
      <c r="AP307" s="4">
        <f>Alternatives!$F$25+Alternatives!$F$26*J307+Alternatives!$F$27*K307+Alternatives!$F$28*G307+Alternatives!$F$29*O307</f>
        <v>3.3025728125343479</v>
      </c>
      <c r="AQ307" s="4">
        <f t="shared" si="154"/>
        <v>3.7762835869342926E-2</v>
      </c>
    </row>
    <row r="308" spans="1:43" x14ac:dyDescent="0.35">
      <c r="A308" s="2" t="s">
        <v>308</v>
      </c>
      <c r="B308" s="2" t="s">
        <v>283</v>
      </c>
      <c r="C308" s="2" t="s">
        <v>67</v>
      </c>
      <c r="D308" s="2">
        <v>28.2286</v>
      </c>
      <c r="E308" s="2">
        <v>5500</v>
      </c>
      <c r="F308" s="2">
        <v>237</v>
      </c>
      <c r="G308" s="2">
        <v>70.8</v>
      </c>
      <c r="H308" s="2" t="s">
        <v>68</v>
      </c>
      <c r="I308" s="4">
        <f t="shared" si="124"/>
        <v>3.3403356484036908</v>
      </c>
      <c r="J308" s="4">
        <f t="shared" si="125"/>
        <v>8.6125033712205621</v>
      </c>
      <c r="K308" s="4">
        <f t="shared" si="126"/>
        <v>5.4680601411351315</v>
      </c>
      <c r="L308" s="2">
        <v>0</v>
      </c>
      <c r="M308" s="2">
        <v>0</v>
      </c>
      <c r="N308" s="4">
        <f t="shared" si="127"/>
        <v>70.8</v>
      </c>
      <c r="O308" s="4">
        <f t="shared" si="128"/>
        <v>0</v>
      </c>
      <c r="P308" s="4">
        <f t="shared" si="129"/>
        <v>0</v>
      </c>
      <c r="Q308" s="4">
        <f t="shared" si="130"/>
        <v>8.6125033712205621</v>
      </c>
      <c r="R308" s="4">
        <f t="shared" si="131"/>
        <v>5.4680601411351315</v>
      </c>
      <c r="S308" s="4">
        <f t="shared" si="132"/>
        <v>70.8</v>
      </c>
      <c r="T308" s="4">
        <f t="shared" si="133"/>
        <v>0</v>
      </c>
      <c r="U308" s="4">
        <f t="shared" si="134"/>
        <v>8.6125033712205621</v>
      </c>
      <c r="V308" s="4">
        <f t="shared" si="135"/>
        <v>5.4680601411351315</v>
      </c>
      <c r="W308" s="4">
        <f t="shared" si="136"/>
        <v>70.8</v>
      </c>
      <c r="X308" s="4">
        <f t="shared" si="137"/>
        <v>0</v>
      </c>
      <c r="Y308" s="4">
        <f t="shared" si="138"/>
        <v>8.6125033712205621</v>
      </c>
      <c r="Z308" s="4">
        <f t="shared" si="139"/>
        <v>5.4680601411351315</v>
      </c>
      <c r="AA308" s="4">
        <f t="shared" si="140"/>
        <v>70.8</v>
      </c>
      <c r="AB308" s="4">
        <f t="shared" si="141"/>
        <v>0</v>
      </c>
      <c r="AC308" s="4">
        <f t="shared" si="142"/>
        <v>0</v>
      </c>
      <c r="AD308" s="4">
        <f t="shared" si="143"/>
        <v>0</v>
      </c>
      <c r="AE308" s="4">
        <f t="shared" si="144"/>
        <v>0</v>
      </c>
      <c r="AF308" s="4">
        <f t="shared" si="145"/>
        <v>0</v>
      </c>
      <c r="AG308" s="4">
        <f t="shared" si="146"/>
        <v>8.6125033712205621</v>
      </c>
      <c r="AH308" s="4">
        <f t="shared" si="147"/>
        <v>0</v>
      </c>
      <c r="AI308" s="4">
        <f t="shared" si="148"/>
        <v>0</v>
      </c>
      <c r="AJ308" s="4">
        <f t="shared" si="149"/>
        <v>8.6125033712205621</v>
      </c>
      <c r="AK308" s="4">
        <f t="shared" si="150"/>
        <v>5.4680601411351315</v>
      </c>
      <c r="AL308" s="4">
        <f t="shared" si="151"/>
        <v>0</v>
      </c>
      <c r="AM308" s="4">
        <f>CER!$C$7+CER!$C$8*J308+CER!$C$9*K308+CER!$C$10*L308+CER!$C$11*M308</f>
        <v>3.3414238742834299</v>
      </c>
      <c r="AN308" s="4">
        <f t="shared" si="152"/>
        <v>28.259335813789598</v>
      </c>
      <c r="AO308" s="4">
        <f t="shared" si="153"/>
        <v>-1.0882258797391131E-3</v>
      </c>
      <c r="AP308" s="4">
        <f>Alternatives!$F$25+Alternatives!$F$26*J308+Alternatives!$F$27*K308+Alternatives!$F$28*G308+Alternatives!$F$29*O308</f>
        <v>3.2557464801823262</v>
      </c>
      <c r="AQ308" s="4">
        <f t="shared" si="154"/>
        <v>8.4589168221364641E-2</v>
      </c>
    </row>
    <row r="309" spans="1:43" x14ac:dyDescent="0.35">
      <c r="A309" s="2" t="s">
        <v>309</v>
      </c>
      <c r="B309" s="2" t="s">
        <v>283</v>
      </c>
      <c r="C309" s="2" t="s">
        <v>67</v>
      </c>
      <c r="D309" s="2">
        <v>17.113399999999999</v>
      </c>
      <c r="E309" s="2">
        <v>6500</v>
      </c>
      <c r="F309" s="2">
        <v>682</v>
      </c>
      <c r="G309" s="2">
        <v>57.5</v>
      </c>
      <c r="H309" s="2" t="s">
        <v>68</v>
      </c>
      <c r="I309" s="4">
        <f t="shared" si="124"/>
        <v>2.8398617823652712</v>
      </c>
      <c r="J309" s="4">
        <f t="shared" si="125"/>
        <v>8.7795574558837277</v>
      </c>
      <c r="K309" s="4">
        <f t="shared" si="126"/>
        <v>6.5250296578434623</v>
      </c>
      <c r="L309" s="2">
        <v>0</v>
      </c>
      <c r="M309" s="2">
        <v>0</v>
      </c>
      <c r="N309" s="4">
        <f t="shared" si="127"/>
        <v>57.5</v>
      </c>
      <c r="O309" s="4">
        <f t="shared" si="128"/>
        <v>0</v>
      </c>
      <c r="P309" s="4">
        <f t="shared" si="129"/>
        <v>0</v>
      </c>
      <c r="Q309" s="4">
        <f t="shared" si="130"/>
        <v>8.7795574558837277</v>
      </c>
      <c r="R309" s="4">
        <f t="shared" si="131"/>
        <v>6.5250296578434623</v>
      </c>
      <c r="S309" s="4">
        <f t="shared" si="132"/>
        <v>57.5</v>
      </c>
      <c r="T309" s="4">
        <f t="shared" si="133"/>
        <v>0</v>
      </c>
      <c r="U309" s="4">
        <f t="shared" si="134"/>
        <v>8.7795574558837277</v>
      </c>
      <c r="V309" s="4">
        <f t="shared" si="135"/>
        <v>6.5250296578434623</v>
      </c>
      <c r="W309" s="4">
        <f t="shared" si="136"/>
        <v>57.5</v>
      </c>
      <c r="X309" s="4">
        <f t="shared" si="137"/>
        <v>0</v>
      </c>
      <c r="Y309" s="4">
        <f t="shared" si="138"/>
        <v>8.7795574558837277</v>
      </c>
      <c r="Z309" s="4">
        <f t="shared" si="139"/>
        <v>6.5250296578434623</v>
      </c>
      <c r="AA309" s="4">
        <f t="shared" si="140"/>
        <v>57.5</v>
      </c>
      <c r="AB309" s="4">
        <f t="shared" si="141"/>
        <v>0</v>
      </c>
      <c r="AC309" s="4">
        <f t="shared" si="142"/>
        <v>0</v>
      </c>
      <c r="AD309" s="4">
        <f t="shared" si="143"/>
        <v>0</v>
      </c>
      <c r="AE309" s="4">
        <f t="shared" si="144"/>
        <v>0</v>
      </c>
      <c r="AF309" s="4">
        <f t="shared" si="145"/>
        <v>0</v>
      </c>
      <c r="AG309" s="4">
        <f t="shared" si="146"/>
        <v>8.7795574558837277</v>
      </c>
      <c r="AH309" s="4">
        <f t="shared" si="147"/>
        <v>0</v>
      </c>
      <c r="AI309" s="4">
        <f t="shared" si="148"/>
        <v>0</v>
      </c>
      <c r="AJ309" s="4">
        <f t="shared" si="149"/>
        <v>8.7795574558837277</v>
      </c>
      <c r="AK309" s="4">
        <f t="shared" si="150"/>
        <v>6.5250296578434623</v>
      </c>
      <c r="AL309" s="4">
        <f t="shared" si="151"/>
        <v>0</v>
      </c>
      <c r="AM309" s="4">
        <f>CER!$C$7+CER!$C$8*J309+CER!$C$9*K309+CER!$C$10*L309+CER!$C$11*M309</f>
        <v>2.8758347077467574</v>
      </c>
      <c r="AN309" s="4">
        <f t="shared" si="152"/>
        <v>17.740225846988459</v>
      </c>
      <c r="AO309" s="4">
        <f t="shared" si="153"/>
        <v>-3.597292538148622E-2</v>
      </c>
      <c r="AP309" s="4">
        <f>Alternatives!$F$25+Alternatives!$F$26*J309+Alternatives!$F$27*K309+Alternatives!$F$28*G309+Alternatives!$F$29*O309</f>
        <v>3.2092980137383229</v>
      </c>
      <c r="AQ309" s="4">
        <f t="shared" si="154"/>
        <v>-0.3694362313730517</v>
      </c>
    </row>
    <row r="310" spans="1:43" x14ac:dyDescent="0.35">
      <c r="A310" s="2" t="s">
        <v>310</v>
      </c>
      <c r="B310" s="2" t="s">
        <v>283</v>
      </c>
      <c r="C310" s="2" t="s">
        <v>67</v>
      </c>
      <c r="D310" s="2">
        <v>20.564299999999999</v>
      </c>
      <c r="E310" s="2">
        <v>6000</v>
      </c>
      <c r="F310" s="2">
        <v>420</v>
      </c>
      <c r="G310" s="2">
        <v>70.2</v>
      </c>
      <c r="H310" s="2" t="s">
        <v>68</v>
      </c>
      <c r="I310" s="4">
        <f t="shared" si="124"/>
        <v>3.023556562688285</v>
      </c>
      <c r="J310" s="4">
        <f t="shared" si="125"/>
        <v>8.6995147482101913</v>
      </c>
      <c r="K310" s="4">
        <f t="shared" si="126"/>
        <v>6.0402547112774139</v>
      </c>
      <c r="L310" s="2">
        <v>0</v>
      </c>
      <c r="M310" s="2">
        <v>0</v>
      </c>
      <c r="N310" s="4">
        <f t="shared" si="127"/>
        <v>70.2</v>
      </c>
      <c r="O310" s="4">
        <f t="shared" si="128"/>
        <v>0</v>
      </c>
      <c r="P310" s="4">
        <f t="shared" si="129"/>
        <v>0</v>
      </c>
      <c r="Q310" s="4">
        <f t="shared" si="130"/>
        <v>8.6995147482101913</v>
      </c>
      <c r="R310" s="4">
        <f t="shared" si="131"/>
        <v>6.0402547112774139</v>
      </c>
      <c r="S310" s="4">
        <f t="shared" si="132"/>
        <v>70.2</v>
      </c>
      <c r="T310" s="4">
        <f t="shared" si="133"/>
        <v>0</v>
      </c>
      <c r="U310" s="4">
        <f t="shared" si="134"/>
        <v>8.6995147482101913</v>
      </c>
      <c r="V310" s="4">
        <f t="shared" si="135"/>
        <v>6.0402547112774139</v>
      </c>
      <c r="W310" s="4">
        <f t="shared" si="136"/>
        <v>70.2</v>
      </c>
      <c r="X310" s="4">
        <f t="shared" si="137"/>
        <v>0</v>
      </c>
      <c r="Y310" s="4">
        <f t="shared" si="138"/>
        <v>8.6995147482101913</v>
      </c>
      <c r="Z310" s="4">
        <f t="shared" si="139"/>
        <v>6.0402547112774139</v>
      </c>
      <c r="AA310" s="4">
        <f t="shared" si="140"/>
        <v>70.2</v>
      </c>
      <c r="AB310" s="4">
        <f t="shared" si="141"/>
        <v>0</v>
      </c>
      <c r="AC310" s="4">
        <f t="shared" si="142"/>
        <v>0</v>
      </c>
      <c r="AD310" s="4">
        <f t="shared" si="143"/>
        <v>0</v>
      </c>
      <c r="AE310" s="4">
        <f t="shared" si="144"/>
        <v>0</v>
      </c>
      <c r="AF310" s="4">
        <f t="shared" si="145"/>
        <v>0</v>
      </c>
      <c r="AG310" s="4">
        <f t="shared" si="146"/>
        <v>8.6995147482101913</v>
      </c>
      <c r="AH310" s="4">
        <f t="shared" si="147"/>
        <v>0</v>
      </c>
      <c r="AI310" s="4">
        <f t="shared" si="148"/>
        <v>0</v>
      </c>
      <c r="AJ310" s="4">
        <f t="shared" si="149"/>
        <v>8.6995147482101913</v>
      </c>
      <c r="AK310" s="4">
        <f t="shared" si="150"/>
        <v>6.0402547112774139</v>
      </c>
      <c r="AL310" s="4">
        <f t="shared" si="151"/>
        <v>0</v>
      </c>
      <c r="AM310" s="4">
        <f>CER!$C$7+CER!$C$8*J310+CER!$C$9*K310+CER!$C$10*L310+CER!$C$11*M310</f>
        <v>3.0909254406460165</v>
      </c>
      <c r="AN310" s="4">
        <f t="shared" si="152"/>
        <v>21.997425870935263</v>
      </c>
      <c r="AO310" s="4">
        <f t="shared" si="153"/>
        <v>-6.7368877957731499E-2</v>
      </c>
      <c r="AP310" s="4">
        <f>Alternatives!$F$25+Alternatives!$F$26*J310+Alternatives!$F$27*K310+Alternatives!$F$28*G310+Alternatives!$F$29*O310</f>
        <v>3.1434858807674977</v>
      </c>
      <c r="AQ310" s="4">
        <f t="shared" si="154"/>
        <v>-0.1199293180792127</v>
      </c>
    </row>
    <row r="311" spans="1:43" x14ac:dyDescent="0.35">
      <c r="A311" s="2" t="s">
        <v>310</v>
      </c>
      <c r="B311" s="2" t="s">
        <v>283</v>
      </c>
      <c r="C311" s="2" t="s">
        <v>67</v>
      </c>
      <c r="D311" s="2">
        <v>28.154499999999999</v>
      </c>
      <c r="E311" s="2">
        <v>6000</v>
      </c>
      <c r="F311" s="2">
        <v>305</v>
      </c>
      <c r="G311" s="2">
        <v>70.2</v>
      </c>
      <c r="H311" s="2" t="s">
        <v>68</v>
      </c>
      <c r="I311" s="4">
        <f t="shared" si="124"/>
        <v>3.3377071997138712</v>
      </c>
      <c r="J311" s="4">
        <f t="shared" si="125"/>
        <v>8.6995147482101913</v>
      </c>
      <c r="K311" s="4">
        <f t="shared" si="126"/>
        <v>5.7203117766074119</v>
      </c>
      <c r="L311" s="2">
        <v>0</v>
      </c>
      <c r="M311" s="2">
        <v>0</v>
      </c>
      <c r="N311" s="4">
        <f t="shared" si="127"/>
        <v>70.2</v>
      </c>
      <c r="O311" s="4">
        <f t="shared" si="128"/>
        <v>0</v>
      </c>
      <c r="P311" s="4">
        <f t="shared" si="129"/>
        <v>0</v>
      </c>
      <c r="Q311" s="4">
        <f t="shared" si="130"/>
        <v>8.6995147482101913</v>
      </c>
      <c r="R311" s="4">
        <f t="shared" si="131"/>
        <v>5.7203117766074119</v>
      </c>
      <c r="S311" s="4">
        <f t="shared" si="132"/>
        <v>70.2</v>
      </c>
      <c r="T311" s="4">
        <f t="shared" si="133"/>
        <v>0</v>
      </c>
      <c r="U311" s="4">
        <f t="shared" si="134"/>
        <v>8.6995147482101913</v>
      </c>
      <c r="V311" s="4">
        <f t="shared" si="135"/>
        <v>5.7203117766074119</v>
      </c>
      <c r="W311" s="4">
        <f t="shared" si="136"/>
        <v>70.2</v>
      </c>
      <c r="X311" s="4">
        <f t="shared" si="137"/>
        <v>0</v>
      </c>
      <c r="Y311" s="4">
        <f t="shared" si="138"/>
        <v>8.6995147482101913</v>
      </c>
      <c r="Z311" s="4">
        <f t="shared" si="139"/>
        <v>5.7203117766074119</v>
      </c>
      <c r="AA311" s="4">
        <f t="shared" si="140"/>
        <v>70.2</v>
      </c>
      <c r="AB311" s="4">
        <f t="shared" si="141"/>
        <v>0</v>
      </c>
      <c r="AC311" s="4">
        <f t="shared" si="142"/>
        <v>0</v>
      </c>
      <c r="AD311" s="4">
        <f t="shared" si="143"/>
        <v>0</v>
      </c>
      <c r="AE311" s="4">
        <f t="shared" si="144"/>
        <v>0</v>
      </c>
      <c r="AF311" s="4">
        <f t="shared" si="145"/>
        <v>0</v>
      </c>
      <c r="AG311" s="4">
        <f t="shared" si="146"/>
        <v>8.6995147482101913</v>
      </c>
      <c r="AH311" s="4">
        <f t="shared" si="147"/>
        <v>0</v>
      </c>
      <c r="AI311" s="4">
        <f t="shared" si="148"/>
        <v>0</v>
      </c>
      <c r="AJ311" s="4">
        <f t="shared" si="149"/>
        <v>8.6995147482101913</v>
      </c>
      <c r="AK311" s="4">
        <f t="shared" si="150"/>
        <v>5.7203117766074119</v>
      </c>
      <c r="AL311" s="4">
        <f t="shared" si="151"/>
        <v>0</v>
      </c>
      <c r="AM311" s="4">
        <f>CER!$C$7+CER!$C$8*J311+CER!$C$9*K311+CER!$C$10*L311+CER!$C$11*M311</f>
        <v>3.2089663751888002</v>
      </c>
      <c r="AN311" s="4">
        <f t="shared" si="152"/>
        <v>24.753487178450847</v>
      </c>
      <c r="AO311" s="4">
        <f t="shared" si="153"/>
        <v>0.12874082452507096</v>
      </c>
      <c r="AP311" s="4">
        <f>Alternatives!$F$25+Alternatives!$F$26*J311+Alternatives!$F$27*K311+Alternatives!$F$28*G311+Alternatives!$F$29*O311</f>
        <v>3.228625884845481</v>
      </c>
      <c r="AQ311" s="4">
        <f t="shared" si="154"/>
        <v>0.10908131486839023</v>
      </c>
    </row>
    <row r="312" spans="1:43" x14ac:dyDescent="0.35">
      <c r="A312" s="2" t="s">
        <v>311</v>
      </c>
      <c r="B312" s="2" t="s">
        <v>283</v>
      </c>
      <c r="C312" s="2" t="s">
        <v>67</v>
      </c>
      <c r="D312" s="2">
        <v>16.267299999999999</v>
      </c>
      <c r="E312" s="2">
        <v>5500</v>
      </c>
      <c r="F312" s="2">
        <v>355</v>
      </c>
      <c r="G312" s="2">
        <v>70.099999999999994</v>
      </c>
      <c r="H312" s="2" t="s">
        <v>68</v>
      </c>
      <c r="I312" s="4">
        <f t="shared" si="124"/>
        <v>2.7891569578592961</v>
      </c>
      <c r="J312" s="4">
        <f t="shared" si="125"/>
        <v>8.6125033712205621</v>
      </c>
      <c r="K312" s="4">
        <f t="shared" si="126"/>
        <v>5.872117789475416</v>
      </c>
      <c r="L312" s="2">
        <v>0</v>
      </c>
      <c r="M312" s="2">
        <v>0</v>
      </c>
      <c r="N312" s="4">
        <f t="shared" si="127"/>
        <v>70.099999999999994</v>
      </c>
      <c r="O312" s="4">
        <f t="shared" si="128"/>
        <v>0</v>
      </c>
      <c r="P312" s="4">
        <f t="shared" si="129"/>
        <v>0</v>
      </c>
      <c r="Q312" s="4">
        <f t="shared" si="130"/>
        <v>8.6125033712205621</v>
      </c>
      <c r="R312" s="4">
        <f t="shared" si="131"/>
        <v>5.872117789475416</v>
      </c>
      <c r="S312" s="4">
        <f t="shared" si="132"/>
        <v>70.099999999999994</v>
      </c>
      <c r="T312" s="4">
        <f t="shared" si="133"/>
        <v>0</v>
      </c>
      <c r="U312" s="4">
        <f t="shared" si="134"/>
        <v>8.6125033712205621</v>
      </c>
      <c r="V312" s="4">
        <f t="shared" si="135"/>
        <v>5.872117789475416</v>
      </c>
      <c r="W312" s="4">
        <f t="shared" si="136"/>
        <v>70.099999999999994</v>
      </c>
      <c r="X312" s="4">
        <f t="shared" si="137"/>
        <v>0</v>
      </c>
      <c r="Y312" s="4">
        <f t="shared" si="138"/>
        <v>8.6125033712205621</v>
      </c>
      <c r="Z312" s="4">
        <f t="shared" si="139"/>
        <v>5.872117789475416</v>
      </c>
      <c r="AA312" s="4">
        <f t="shared" si="140"/>
        <v>70.099999999999994</v>
      </c>
      <c r="AB312" s="4">
        <f t="shared" si="141"/>
        <v>0</v>
      </c>
      <c r="AC312" s="4">
        <f t="shared" si="142"/>
        <v>0</v>
      </c>
      <c r="AD312" s="4">
        <f t="shared" si="143"/>
        <v>0</v>
      </c>
      <c r="AE312" s="4">
        <f t="shared" si="144"/>
        <v>0</v>
      </c>
      <c r="AF312" s="4">
        <f t="shared" si="145"/>
        <v>0</v>
      </c>
      <c r="AG312" s="4">
        <f t="shared" si="146"/>
        <v>8.6125033712205621</v>
      </c>
      <c r="AH312" s="4">
        <f t="shared" si="147"/>
        <v>0</v>
      </c>
      <c r="AI312" s="4">
        <f t="shared" si="148"/>
        <v>0</v>
      </c>
      <c r="AJ312" s="4">
        <f t="shared" si="149"/>
        <v>8.6125033712205621</v>
      </c>
      <c r="AK312" s="4">
        <f t="shared" si="150"/>
        <v>5.872117789475416</v>
      </c>
      <c r="AL312" s="4">
        <f t="shared" si="151"/>
        <v>0</v>
      </c>
      <c r="AM312" s="4">
        <f>CER!$C$7+CER!$C$8*J312+CER!$C$9*K312+CER!$C$10*L312+CER!$C$11*M312</f>
        <v>3.1923493448882394</v>
      </c>
      <c r="AN312" s="4">
        <f t="shared" si="152"/>
        <v>24.345556417506796</v>
      </c>
      <c r="AO312" s="4">
        <f t="shared" si="153"/>
        <v>-0.40319238702894333</v>
      </c>
      <c r="AP312" s="4">
        <f>Alternatives!$F$25+Alternatives!$F$26*J312+Alternatives!$F$27*K312+Alternatives!$F$28*G312+Alternatives!$F$29*O312</f>
        <v>3.1573278325283671</v>
      </c>
      <c r="AQ312" s="4">
        <f t="shared" si="154"/>
        <v>-0.36817087466907106</v>
      </c>
    </row>
    <row r="313" spans="1:43" x14ac:dyDescent="0.35">
      <c r="A313" s="2" t="s">
        <v>311</v>
      </c>
      <c r="B313" s="2" t="s">
        <v>283</v>
      </c>
      <c r="C313" s="2" t="s">
        <v>67</v>
      </c>
      <c r="D313" s="2">
        <v>19.727900000000002</v>
      </c>
      <c r="E313" s="2">
        <v>5500</v>
      </c>
      <c r="F313" s="2">
        <v>420</v>
      </c>
      <c r="G313" s="2">
        <v>70.099999999999994</v>
      </c>
      <c r="H313" s="2" t="s">
        <v>68</v>
      </c>
      <c r="I313" s="4">
        <f t="shared" si="124"/>
        <v>2.9820338774715909</v>
      </c>
      <c r="J313" s="4">
        <f t="shared" si="125"/>
        <v>8.6125033712205621</v>
      </c>
      <c r="K313" s="4">
        <f t="shared" si="126"/>
        <v>6.0402547112774139</v>
      </c>
      <c r="L313" s="2">
        <v>0</v>
      </c>
      <c r="M313" s="2">
        <v>0</v>
      </c>
      <c r="N313" s="4">
        <f t="shared" si="127"/>
        <v>70.099999999999994</v>
      </c>
      <c r="O313" s="4">
        <f t="shared" si="128"/>
        <v>0</v>
      </c>
      <c r="P313" s="4">
        <f t="shared" si="129"/>
        <v>0</v>
      </c>
      <c r="Q313" s="4">
        <f t="shared" si="130"/>
        <v>8.6125033712205621</v>
      </c>
      <c r="R313" s="4">
        <f t="shared" si="131"/>
        <v>6.0402547112774139</v>
      </c>
      <c r="S313" s="4">
        <f t="shared" si="132"/>
        <v>70.099999999999994</v>
      </c>
      <c r="T313" s="4">
        <f t="shared" si="133"/>
        <v>0</v>
      </c>
      <c r="U313" s="4">
        <f t="shared" si="134"/>
        <v>8.6125033712205621</v>
      </c>
      <c r="V313" s="4">
        <f t="shared" si="135"/>
        <v>6.0402547112774139</v>
      </c>
      <c r="W313" s="4">
        <f t="shared" si="136"/>
        <v>70.099999999999994</v>
      </c>
      <c r="X313" s="4">
        <f t="shared" si="137"/>
        <v>0</v>
      </c>
      <c r="Y313" s="4">
        <f t="shared" si="138"/>
        <v>8.6125033712205621</v>
      </c>
      <c r="Z313" s="4">
        <f t="shared" si="139"/>
        <v>6.0402547112774139</v>
      </c>
      <c r="AA313" s="4">
        <f t="shared" si="140"/>
        <v>70.099999999999994</v>
      </c>
      <c r="AB313" s="4">
        <f t="shared" si="141"/>
        <v>0</v>
      </c>
      <c r="AC313" s="4">
        <f t="shared" si="142"/>
        <v>0</v>
      </c>
      <c r="AD313" s="4">
        <f t="shared" si="143"/>
        <v>0</v>
      </c>
      <c r="AE313" s="4">
        <f t="shared" si="144"/>
        <v>0</v>
      </c>
      <c r="AF313" s="4">
        <f t="shared" si="145"/>
        <v>0</v>
      </c>
      <c r="AG313" s="4">
        <f t="shared" si="146"/>
        <v>8.6125033712205621</v>
      </c>
      <c r="AH313" s="4">
        <f t="shared" si="147"/>
        <v>0</v>
      </c>
      <c r="AI313" s="4">
        <f t="shared" si="148"/>
        <v>0</v>
      </c>
      <c r="AJ313" s="4">
        <f t="shared" si="149"/>
        <v>8.6125033712205621</v>
      </c>
      <c r="AK313" s="4">
        <f t="shared" si="150"/>
        <v>6.0402547112774139</v>
      </c>
      <c r="AL313" s="4">
        <f t="shared" si="151"/>
        <v>0</v>
      </c>
      <c r="AM313" s="4">
        <f>CER!$C$7+CER!$C$8*J313+CER!$C$9*K313+CER!$C$10*L313+CER!$C$11*M313</f>
        <v>3.1303162845203789</v>
      </c>
      <c r="AN313" s="4">
        <f t="shared" si="152"/>
        <v>22.881215372319719</v>
      </c>
      <c r="AO313" s="4">
        <f t="shared" si="153"/>
        <v>-0.14828240704878803</v>
      </c>
      <c r="AP313" s="4">
        <f>Alternatives!$F$25+Alternatives!$F$26*J313+Alternatives!$F$27*K313+Alternatives!$F$28*G313+Alternatives!$F$29*O313</f>
        <v>3.1125849216631942</v>
      </c>
      <c r="AQ313" s="4">
        <f t="shared" si="154"/>
        <v>-0.13055104419160335</v>
      </c>
    </row>
    <row r="314" spans="1:43" x14ac:dyDescent="0.35">
      <c r="A314" s="2" t="s">
        <v>311</v>
      </c>
      <c r="B314" s="2" t="s">
        <v>283</v>
      </c>
      <c r="C314" s="2" t="s">
        <v>67</v>
      </c>
      <c r="D314" s="2">
        <v>21.833500000000001</v>
      </c>
      <c r="E314" s="2">
        <v>5500</v>
      </c>
      <c r="F314" s="2">
        <v>355</v>
      </c>
      <c r="G314" s="2">
        <v>70.099999999999994</v>
      </c>
      <c r="H314" s="2" t="s">
        <v>68</v>
      </c>
      <c r="I314" s="4">
        <f t="shared" si="124"/>
        <v>3.0834454875317472</v>
      </c>
      <c r="J314" s="4">
        <f t="shared" si="125"/>
        <v>8.6125033712205621</v>
      </c>
      <c r="K314" s="4">
        <f t="shared" si="126"/>
        <v>5.872117789475416</v>
      </c>
      <c r="L314" s="2">
        <v>0</v>
      </c>
      <c r="M314" s="2">
        <v>0</v>
      </c>
      <c r="N314" s="4">
        <f t="shared" si="127"/>
        <v>70.099999999999994</v>
      </c>
      <c r="O314" s="4">
        <f t="shared" si="128"/>
        <v>0</v>
      </c>
      <c r="P314" s="4">
        <f t="shared" si="129"/>
        <v>0</v>
      </c>
      <c r="Q314" s="4">
        <f t="shared" si="130"/>
        <v>8.6125033712205621</v>
      </c>
      <c r="R314" s="4">
        <f t="shared" si="131"/>
        <v>5.872117789475416</v>
      </c>
      <c r="S314" s="4">
        <f t="shared" si="132"/>
        <v>70.099999999999994</v>
      </c>
      <c r="T314" s="4">
        <f t="shared" si="133"/>
        <v>0</v>
      </c>
      <c r="U314" s="4">
        <f t="shared" si="134"/>
        <v>8.6125033712205621</v>
      </c>
      <c r="V314" s="4">
        <f t="shared" si="135"/>
        <v>5.872117789475416</v>
      </c>
      <c r="W314" s="4">
        <f t="shared" si="136"/>
        <v>70.099999999999994</v>
      </c>
      <c r="X314" s="4">
        <f t="shared" si="137"/>
        <v>0</v>
      </c>
      <c r="Y314" s="4">
        <f t="shared" si="138"/>
        <v>8.6125033712205621</v>
      </c>
      <c r="Z314" s="4">
        <f t="shared" si="139"/>
        <v>5.872117789475416</v>
      </c>
      <c r="AA314" s="4">
        <f t="shared" si="140"/>
        <v>70.099999999999994</v>
      </c>
      <c r="AB314" s="4">
        <f t="shared" si="141"/>
        <v>0</v>
      </c>
      <c r="AC314" s="4">
        <f t="shared" si="142"/>
        <v>0</v>
      </c>
      <c r="AD314" s="4">
        <f t="shared" si="143"/>
        <v>0</v>
      </c>
      <c r="AE314" s="4">
        <f t="shared" si="144"/>
        <v>0</v>
      </c>
      <c r="AF314" s="4">
        <f t="shared" si="145"/>
        <v>0</v>
      </c>
      <c r="AG314" s="4">
        <f t="shared" si="146"/>
        <v>8.6125033712205621</v>
      </c>
      <c r="AH314" s="4">
        <f t="shared" si="147"/>
        <v>0</v>
      </c>
      <c r="AI314" s="4">
        <f t="shared" si="148"/>
        <v>0</v>
      </c>
      <c r="AJ314" s="4">
        <f t="shared" si="149"/>
        <v>8.6125033712205621</v>
      </c>
      <c r="AK314" s="4">
        <f t="shared" si="150"/>
        <v>5.872117789475416</v>
      </c>
      <c r="AL314" s="4">
        <f t="shared" si="151"/>
        <v>0</v>
      </c>
      <c r="AM314" s="4">
        <f>CER!$C$7+CER!$C$8*J314+CER!$C$9*K314+CER!$C$10*L314+CER!$C$11*M314</f>
        <v>3.1923493448882394</v>
      </c>
      <c r="AN314" s="4">
        <f t="shared" si="152"/>
        <v>24.345556417506796</v>
      </c>
      <c r="AO314" s="4">
        <f t="shared" si="153"/>
        <v>-0.10890385735649222</v>
      </c>
      <c r="AP314" s="4">
        <f>Alternatives!$F$25+Alternatives!$F$26*J314+Alternatives!$F$27*K314+Alternatives!$F$28*G314+Alternatives!$F$29*O314</f>
        <v>3.1573278325283671</v>
      </c>
      <c r="AQ314" s="4">
        <f t="shared" si="154"/>
        <v>-7.3882344996619942E-2</v>
      </c>
    </row>
    <row r="315" spans="1:43" x14ac:dyDescent="0.35">
      <c r="A315" s="2" t="s">
        <v>311</v>
      </c>
      <c r="B315" s="2" t="s">
        <v>283</v>
      </c>
      <c r="C315" s="2" t="s">
        <v>67</v>
      </c>
      <c r="D315" s="2">
        <v>21.630099999999999</v>
      </c>
      <c r="E315" s="2">
        <v>5500</v>
      </c>
      <c r="F315" s="2">
        <v>355</v>
      </c>
      <c r="G315" s="2">
        <v>70.099999999999994</v>
      </c>
      <c r="H315" s="2" t="s">
        <v>68</v>
      </c>
      <c r="I315" s="4">
        <f t="shared" si="124"/>
        <v>3.0740858631627872</v>
      </c>
      <c r="J315" s="4">
        <f t="shared" si="125"/>
        <v>8.6125033712205621</v>
      </c>
      <c r="K315" s="4">
        <f t="shared" si="126"/>
        <v>5.872117789475416</v>
      </c>
      <c r="L315" s="2">
        <v>0</v>
      </c>
      <c r="M315" s="2">
        <v>0</v>
      </c>
      <c r="N315" s="4">
        <f t="shared" si="127"/>
        <v>70.099999999999994</v>
      </c>
      <c r="O315" s="4">
        <f t="shared" si="128"/>
        <v>0</v>
      </c>
      <c r="P315" s="4">
        <f t="shared" si="129"/>
        <v>0</v>
      </c>
      <c r="Q315" s="4">
        <f t="shared" si="130"/>
        <v>8.6125033712205621</v>
      </c>
      <c r="R315" s="4">
        <f t="shared" si="131"/>
        <v>5.872117789475416</v>
      </c>
      <c r="S315" s="4">
        <f t="shared" si="132"/>
        <v>70.099999999999994</v>
      </c>
      <c r="T315" s="4">
        <f t="shared" si="133"/>
        <v>0</v>
      </c>
      <c r="U315" s="4">
        <f t="shared" si="134"/>
        <v>8.6125033712205621</v>
      </c>
      <c r="V315" s="4">
        <f t="shared" si="135"/>
        <v>5.872117789475416</v>
      </c>
      <c r="W315" s="4">
        <f t="shared" si="136"/>
        <v>70.099999999999994</v>
      </c>
      <c r="X315" s="4">
        <f t="shared" si="137"/>
        <v>0</v>
      </c>
      <c r="Y315" s="4">
        <f t="shared" si="138"/>
        <v>8.6125033712205621</v>
      </c>
      <c r="Z315" s="4">
        <f t="shared" si="139"/>
        <v>5.872117789475416</v>
      </c>
      <c r="AA315" s="4">
        <f t="shared" si="140"/>
        <v>70.099999999999994</v>
      </c>
      <c r="AB315" s="4">
        <f t="shared" si="141"/>
        <v>0</v>
      </c>
      <c r="AC315" s="4">
        <f t="shared" si="142"/>
        <v>0</v>
      </c>
      <c r="AD315" s="4">
        <f t="shared" si="143"/>
        <v>0</v>
      </c>
      <c r="AE315" s="4">
        <f t="shared" si="144"/>
        <v>0</v>
      </c>
      <c r="AF315" s="4">
        <f t="shared" si="145"/>
        <v>0</v>
      </c>
      <c r="AG315" s="4">
        <f t="shared" si="146"/>
        <v>8.6125033712205621</v>
      </c>
      <c r="AH315" s="4">
        <f t="shared" si="147"/>
        <v>0</v>
      </c>
      <c r="AI315" s="4">
        <f t="shared" si="148"/>
        <v>0</v>
      </c>
      <c r="AJ315" s="4">
        <f t="shared" si="149"/>
        <v>8.6125033712205621</v>
      </c>
      <c r="AK315" s="4">
        <f t="shared" si="150"/>
        <v>5.872117789475416</v>
      </c>
      <c r="AL315" s="4">
        <f t="shared" si="151"/>
        <v>0</v>
      </c>
      <c r="AM315" s="4">
        <f>CER!$C$7+CER!$C$8*J315+CER!$C$9*K315+CER!$C$10*L315+CER!$C$11*M315</f>
        <v>3.1923493448882394</v>
      </c>
      <c r="AN315" s="4">
        <f t="shared" si="152"/>
        <v>24.345556417506796</v>
      </c>
      <c r="AO315" s="4">
        <f t="shared" si="153"/>
        <v>-0.1182634817254522</v>
      </c>
      <c r="AP315" s="4">
        <f>Alternatives!$F$25+Alternatives!$F$26*J315+Alternatives!$F$27*K315+Alternatives!$F$28*G315+Alternatives!$F$29*O315</f>
        <v>3.1573278325283671</v>
      </c>
      <c r="AQ315" s="4">
        <f t="shared" si="154"/>
        <v>-8.3241969365579926E-2</v>
      </c>
    </row>
    <row r="316" spans="1:43" x14ac:dyDescent="0.35">
      <c r="A316" s="2" t="s">
        <v>311</v>
      </c>
      <c r="B316" s="2" t="s">
        <v>283</v>
      </c>
      <c r="C316" s="2" t="s">
        <v>67</v>
      </c>
      <c r="D316" s="2">
        <v>21.349299999999999</v>
      </c>
      <c r="E316" s="2">
        <v>5500</v>
      </c>
      <c r="F316" s="2">
        <v>355</v>
      </c>
      <c r="G316" s="2">
        <v>70.099999999999994</v>
      </c>
      <c r="H316" s="2" t="s">
        <v>68</v>
      </c>
      <c r="I316" s="4">
        <f t="shared" si="124"/>
        <v>3.061018952251886</v>
      </c>
      <c r="J316" s="4">
        <f t="shared" si="125"/>
        <v>8.6125033712205621</v>
      </c>
      <c r="K316" s="4">
        <f t="shared" si="126"/>
        <v>5.872117789475416</v>
      </c>
      <c r="L316" s="2">
        <v>0</v>
      </c>
      <c r="M316" s="2">
        <v>0</v>
      </c>
      <c r="N316" s="4">
        <f t="shared" si="127"/>
        <v>70.099999999999994</v>
      </c>
      <c r="O316" s="4">
        <f t="shared" si="128"/>
        <v>0</v>
      </c>
      <c r="P316" s="4">
        <f t="shared" si="129"/>
        <v>0</v>
      </c>
      <c r="Q316" s="4">
        <f t="shared" si="130"/>
        <v>8.6125033712205621</v>
      </c>
      <c r="R316" s="4">
        <f t="shared" si="131"/>
        <v>5.872117789475416</v>
      </c>
      <c r="S316" s="4">
        <f t="shared" si="132"/>
        <v>70.099999999999994</v>
      </c>
      <c r="T316" s="4">
        <f t="shared" si="133"/>
        <v>0</v>
      </c>
      <c r="U316" s="4">
        <f t="shared" si="134"/>
        <v>8.6125033712205621</v>
      </c>
      <c r="V316" s="4">
        <f t="shared" si="135"/>
        <v>5.872117789475416</v>
      </c>
      <c r="W316" s="4">
        <f t="shared" si="136"/>
        <v>70.099999999999994</v>
      </c>
      <c r="X316" s="4">
        <f t="shared" si="137"/>
        <v>0</v>
      </c>
      <c r="Y316" s="4">
        <f t="shared" si="138"/>
        <v>8.6125033712205621</v>
      </c>
      <c r="Z316" s="4">
        <f t="shared" si="139"/>
        <v>5.872117789475416</v>
      </c>
      <c r="AA316" s="4">
        <f t="shared" si="140"/>
        <v>70.099999999999994</v>
      </c>
      <c r="AB316" s="4">
        <f t="shared" si="141"/>
        <v>0</v>
      </c>
      <c r="AC316" s="4">
        <f t="shared" si="142"/>
        <v>0</v>
      </c>
      <c r="AD316" s="4">
        <f t="shared" si="143"/>
        <v>0</v>
      </c>
      <c r="AE316" s="4">
        <f t="shared" si="144"/>
        <v>0</v>
      </c>
      <c r="AF316" s="4">
        <f t="shared" si="145"/>
        <v>0</v>
      </c>
      <c r="AG316" s="4">
        <f t="shared" si="146"/>
        <v>8.6125033712205621</v>
      </c>
      <c r="AH316" s="4">
        <f t="shared" si="147"/>
        <v>0</v>
      </c>
      <c r="AI316" s="4">
        <f t="shared" si="148"/>
        <v>0</v>
      </c>
      <c r="AJ316" s="4">
        <f t="shared" si="149"/>
        <v>8.6125033712205621</v>
      </c>
      <c r="AK316" s="4">
        <f t="shared" si="150"/>
        <v>5.872117789475416</v>
      </c>
      <c r="AL316" s="4">
        <f t="shared" si="151"/>
        <v>0</v>
      </c>
      <c r="AM316" s="4">
        <f>CER!$C$7+CER!$C$8*J316+CER!$C$9*K316+CER!$C$10*L316+CER!$C$11*M316</f>
        <v>3.1923493448882394</v>
      </c>
      <c r="AN316" s="4">
        <f t="shared" si="152"/>
        <v>24.345556417506796</v>
      </c>
      <c r="AO316" s="4">
        <f t="shared" si="153"/>
        <v>-0.13133039263635338</v>
      </c>
      <c r="AP316" s="4">
        <f>Alternatives!$F$25+Alternatives!$F$26*J316+Alternatives!$F$27*K316+Alternatives!$F$28*G316+Alternatives!$F$29*O316</f>
        <v>3.1573278325283671</v>
      </c>
      <c r="AQ316" s="4">
        <f t="shared" si="154"/>
        <v>-9.6308880276481101E-2</v>
      </c>
    </row>
    <row r="317" spans="1:43" x14ac:dyDescent="0.35">
      <c r="A317" s="2" t="s">
        <v>311</v>
      </c>
      <c r="B317" s="2" t="s">
        <v>283</v>
      </c>
      <c r="C317" s="2" t="s">
        <v>67</v>
      </c>
      <c r="D317" s="2">
        <v>30.282499999999999</v>
      </c>
      <c r="E317" s="2">
        <v>6000</v>
      </c>
      <c r="F317" s="2">
        <v>305</v>
      </c>
      <c r="G317" s="2">
        <v>70.099999999999994</v>
      </c>
      <c r="H317" s="2" t="s">
        <v>68</v>
      </c>
      <c r="I317" s="4">
        <f t="shared" si="124"/>
        <v>3.4105699879088203</v>
      </c>
      <c r="J317" s="4">
        <f t="shared" si="125"/>
        <v>8.6995147482101913</v>
      </c>
      <c r="K317" s="4">
        <f t="shared" si="126"/>
        <v>5.7203117766074119</v>
      </c>
      <c r="L317" s="2">
        <v>0</v>
      </c>
      <c r="M317" s="2">
        <v>0</v>
      </c>
      <c r="N317" s="4">
        <f t="shared" si="127"/>
        <v>70.099999999999994</v>
      </c>
      <c r="O317" s="4">
        <f t="shared" si="128"/>
        <v>0</v>
      </c>
      <c r="P317" s="4">
        <f t="shared" si="129"/>
        <v>0</v>
      </c>
      <c r="Q317" s="4">
        <f t="shared" si="130"/>
        <v>8.6995147482101913</v>
      </c>
      <c r="R317" s="4">
        <f t="shared" si="131"/>
        <v>5.7203117766074119</v>
      </c>
      <c r="S317" s="4">
        <f t="shared" si="132"/>
        <v>70.099999999999994</v>
      </c>
      <c r="T317" s="4">
        <f t="shared" si="133"/>
        <v>0</v>
      </c>
      <c r="U317" s="4">
        <f t="shared" si="134"/>
        <v>8.6995147482101913</v>
      </c>
      <c r="V317" s="4">
        <f t="shared" si="135"/>
        <v>5.7203117766074119</v>
      </c>
      <c r="W317" s="4">
        <f t="shared" si="136"/>
        <v>70.099999999999994</v>
      </c>
      <c r="X317" s="4">
        <f t="shared" si="137"/>
        <v>0</v>
      </c>
      <c r="Y317" s="4">
        <f t="shared" si="138"/>
        <v>8.6995147482101913</v>
      </c>
      <c r="Z317" s="4">
        <f t="shared" si="139"/>
        <v>5.7203117766074119</v>
      </c>
      <c r="AA317" s="4">
        <f t="shared" si="140"/>
        <v>70.099999999999994</v>
      </c>
      <c r="AB317" s="4">
        <f t="shared" si="141"/>
        <v>0</v>
      </c>
      <c r="AC317" s="4">
        <f t="shared" si="142"/>
        <v>0</v>
      </c>
      <c r="AD317" s="4">
        <f t="shared" si="143"/>
        <v>0</v>
      </c>
      <c r="AE317" s="4">
        <f t="shared" si="144"/>
        <v>0</v>
      </c>
      <c r="AF317" s="4">
        <f t="shared" si="145"/>
        <v>0</v>
      </c>
      <c r="AG317" s="4">
        <f t="shared" si="146"/>
        <v>8.6995147482101913</v>
      </c>
      <c r="AH317" s="4">
        <f t="shared" si="147"/>
        <v>0</v>
      </c>
      <c r="AI317" s="4">
        <f t="shared" si="148"/>
        <v>0</v>
      </c>
      <c r="AJ317" s="4">
        <f t="shared" si="149"/>
        <v>8.6995147482101913</v>
      </c>
      <c r="AK317" s="4">
        <f t="shared" si="150"/>
        <v>5.7203117766074119</v>
      </c>
      <c r="AL317" s="4">
        <f t="shared" si="151"/>
        <v>0</v>
      </c>
      <c r="AM317" s="4">
        <f>CER!$C$7+CER!$C$8*J317+CER!$C$9*K317+CER!$C$10*L317+CER!$C$11*M317</f>
        <v>3.2089663751888002</v>
      </c>
      <c r="AN317" s="4">
        <f t="shared" si="152"/>
        <v>24.753487178450847</v>
      </c>
      <c r="AO317" s="4">
        <f t="shared" si="153"/>
        <v>0.20160361272002003</v>
      </c>
      <c r="AP317" s="4">
        <f>Alternatives!$F$25+Alternatives!$F$26*J317+Alternatives!$F$27*K317+Alternatives!$F$28*G317+Alternatives!$F$29*O317</f>
        <v>3.229926616299704</v>
      </c>
      <c r="AQ317" s="4">
        <f t="shared" si="154"/>
        <v>0.18064337160911625</v>
      </c>
    </row>
    <row r="318" spans="1:43" x14ac:dyDescent="0.35">
      <c r="A318" s="2" t="s">
        <v>311</v>
      </c>
      <c r="B318" s="2" t="s">
        <v>283</v>
      </c>
      <c r="C318" s="2" t="s">
        <v>67</v>
      </c>
      <c r="D318" s="2">
        <v>29.4499</v>
      </c>
      <c r="E318" s="2">
        <v>6000</v>
      </c>
      <c r="F318" s="2">
        <v>305</v>
      </c>
      <c r="G318" s="2">
        <v>70.099999999999994</v>
      </c>
      <c r="H318" s="2" t="s">
        <v>68</v>
      </c>
      <c r="I318" s="4">
        <f t="shared" si="124"/>
        <v>3.3826905145060921</v>
      </c>
      <c r="J318" s="4">
        <f t="shared" si="125"/>
        <v>8.6995147482101913</v>
      </c>
      <c r="K318" s="4">
        <f t="shared" si="126"/>
        <v>5.7203117766074119</v>
      </c>
      <c r="L318" s="2">
        <v>0</v>
      </c>
      <c r="M318" s="2">
        <v>0</v>
      </c>
      <c r="N318" s="4">
        <f t="shared" si="127"/>
        <v>70.099999999999994</v>
      </c>
      <c r="O318" s="4">
        <f t="shared" si="128"/>
        <v>0</v>
      </c>
      <c r="P318" s="4">
        <f t="shared" si="129"/>
        <v>0</v>
      </c>
      <c r="Q318" s="4">
        <f t="shared" si="130"/>
        <v>8.6995147482101913</v>
      </c>
      <c r="R318" s="4">
        <f t="shared" si="131"/>
        <v>5.7203117766074119</v>
      </c>
      <c r="S318" s="4">
        <f t="shared" si="132"/>
        <v>70.099999999999994</v>
      </c>
      <c r="T318" s="4">
        <f t="shared" si="133"/>
        <v>0</v>
      </c>
      <c r="U318" s="4">
        <f t="shared" si="134"/>
        <v>8.6995147482101913</v>
      </c>
      <c r="V318" s="4">
        <f t="shared" si="135"/>
        <v>5.7203117766074119</v>
      </c>
      <c r="W318" s="4">
        <f t="shared" si="136"/>
        <v>70.099999999999994</v>
      </c>
      <c r="X318" s="4">
        <f t="shared" si="137"/>
        <v>0</v>
      </c>
      <c r="Y318" s="4">
        <f t="shared" si="138"/>
        <v>8.6995147482101913</v>
      </c>
      <c r="Z318" s="4">
        <f t="shared" si="139"/>
        <v>5.7203117766074119</v>
      </c>
      <c r="AA318" s="4">
        <f t="shared" si="140"/>
        <v>70.099999999999994</v>
      </c>
      <c r="AB318" s="4">
        <f t="shared" si="141"/>
        <v>0</v>
      </c>
      <c r="AC318" s="4">
        <f t="shared" si="142"/>
        <v>0</v>
      </c>
      <c r="AD318" s="4">
        <f t="shared" si="143"/>
        <v>0</v>
      </c>
      <c r="AE318" s="4">
        <f t="shared" si="144"/>
        <v>0</v>
      </c>
      <c r="AF318" s="4">
        <f t="shared" si="145"/>
        <v>0</v>
      </c>
      <c r="AG318" s="4">
        <f t="shared" si="146"/>
        <v>8.6995147482101913</v>
      </c>
      <c r="AH318" s="4">
        <f t="shared" si="147"/>
        <v>0</v>
      </c>
      <c r="AI318" s="4">
        <f t="shared" si="148"/>
        <v>0</v>
      </c>
      <c r="AJ318" s="4">
        <f t="shared" si="149"/>
        <v>8.6995147482101913</v>
      </c>
      <c r="AK318" s="4">
        <f t="shared" si="150"/>
        <v>5.7203117766074119</v>
      </c>
      <c r="AL318" s="4">
        <f t="shared" si="151"/>
        <v>0</v>
      </c>
      <c r="AM318" s="4">
        <f>CER!$C$7+CER!$C$8*J318+CER!$C$9*K318+CER!$C$10*L318+CER!$C$11*M318</f>
        <v>3.2089663751888002</v>
      </c>
      <c r="AN318" s="4">
        <f t="shared" si="152"/>
        <v>24.753487178450847</v>
      </c>
      <c r="AO318" s="4">
        <f t="shared" si="153"/>
        <v>0.17372413931729191</v>
      </c>
      <c r="AP318" s="4">
        <f>Alternatives!$F$25+Alternatives!$F$26*J318+Alternatives!$F$27*K318+Alternatives!$F$28*G318+Alternatives!$F$29*O318</f>
        <v>3.229926616299704</v>
      </c>
      <c r="AQ318" s="4">
        <f t="shared" si="154"/>
        <v>0.15276389820638814</v>
      </c>
    </row>
    <row r="319" spans="1:43" x14ac:dyDescent="0.35">
      <c r="A319" s="2" t="s">
        <v>311</v>
      </c>
      <c r="B319" s="2" t="s">
        <v>283</v>
      </c>
      <c r="C319" s="2" t="s">
        <v>67</v>
      </c>
      <c r="D319" s="2">
        <v>23.666699999999999</v>
      </c>
      <c r="E319" s="2">
        <v>5500</v>
      </c>
      <c r="F319" s="2">
        <v>310</v>
      </c>
      <c r="G319" s="2">
        <v>70.099999999999994</v>
      </c>
      <c r="H319" s="2" t="s">
        <v>68</v>
      </c>
      <c r="I319" s="4">
        <f t="shared" si="124"/>
        <v>3.1640689968229179</v>
      </c>
      <c r="J319" s="4">
        <f t="shared" si="125"/>
        <v>8.6125033712205621</v>
      </c>
      <c r="K319" s="4">
        <f t="shared" si="126"/>
        <v>5.7365722974791922</v>
      </c>
      <c r="L319" s="2">
        <v>0</v>
      </c>
      <c r="M319" s="2">
        <v>0</v>
      </c>
      <c r="N319" s="4">
        <f t="shared" si="127"/>
        <v>70.099999999999994</v>
      </c>
      <c r="O319" s="4">
        <f t="shared" si="128"/>
        <v>0</v>
      </c>
      <c r="P319" s="4">
        <f t="shared" si="129"/>
        <v>0</v>
      </c>
      <c r="Q319" s="4">
        <f t="shared" si="130"/>
        <v>8.6125033712205621</v>
      </c>
      <c r="R319" s="4">
        <f t="shared" si="131"/>
        <v>5.7365722974791922</v>
      </c>
      <c r="S319" s="4">
        <f t="shared" si="132"/>
        <v>70.099999999999994</v>
      </c>
      <c r="T319" s="4">
        <f t="shared" si="133"/>
        <v>0</v>
      </c>
      <c r="U319" s="4">
        <f t="shared" si="134"/>
        <v>8.6125033712205621</v>
      </c>
      <c r="V319" s="4">
        <f t="shared" si="135"/>
        <v>5.7365722974791922</v>
      </c>
      <c r="W319" s="4">
        <f t="shared" si="136"/>
        <v>70.099999999999994</v>
      </c>
      <c r="X319" s="4">
        <f t="shared" si="137"/>
        <v>0</v>
      </c>
      <c r="Y319" s="4">
        <f t="shared" si="138"/>
        <v>8.6125033712205621</v>
      </c>
      <c r="Z319" s="4">
        <f t="shared" si="139"/>
        <v>5.7365722974791922</v>
      </c>
      <c r="AA319" s="4">
        <f t="shared" si="140"/>
        <v>70.099999999999994</v>
      </c>
      <c r="AB319" s="4">
        <f t="shared" si="141"/>
        <v>0</v>
      </c>
      <c r="AC319" s="4">
        <f t="shared" si="142"/>
        <v>0</v>
      </c>
      <c r="AD319" s="4">
        <f t="shared" si="143"/>
        <v>0</v>
      </c>
      <c r="AE319" s="4">
        <f t="shared" si="144"/>
        <v>0</v>
      </c>
      <c r="AF319" s="4">
        <f t="shared" si="145"/>
        <v>0</v>
      </c>
      <c r="AG319" s="4">
        <f t="shared" si="146"/>
        <v>8.6125033712205621</v>
      </c>
      <c r="AH319" s="4">
        <f t="shared" si="147"/>
        <v>0</v>
      </c>
      <c r="AI319" s="4">
        <f t="shared" si="148"/>
        <v>0</v>
      </c>
      <c r="AJ319" s="4">
        <f t="shared" si="149"/>
        <v>8.6125033712205621</v>
      </c>
      <c r="AK319" s="4">
        <f t="shared" si="150"/>
        <v>5.7365722974791922</v>
      </c>
      <c r="AL319" s="4">
        <f t="shared" si="151"/>
        <v>0</v>
      </c>
      <c r="AM319" s="4">
        <f>CER!$C$7+CER!$C$8*J319+CER!$C$9*K319+CER!$C$10*L319+CER!$C$11*M319</f>
        <v>3.2423580021033094</v>
      </c>
      <c r="AN319" s="4">
        <f t="shared" si="152"/>
        <v>25.59400135873188</v>
      </c>
      <c r="AO319" s="4">
        <f t="shared" si="153"/>
        <v>-7.828900528039151E-2</v>
      </c>
      <c r="AP319" s="4">
        <f>Alternatives!$F$25+Alternatives!$F$26*J319+Alternatives!$F$27*K319+Alternatives!$F$28*G319+Alternatives!$F$29*O319</f>
        <v>3.1933978390537923</v>
      </c>
      <c r="AQ319" s="4">
        <f t="shared" si="154"/>
        <v>-2.9328842230874397E-2</v>
      </c>
    </row>
    <row r="320" spans="1:43" x14ac:dyDescent="0.35">
      <c r="A320" s="2" t="s">
        <v>311</v>
      </c>
      <c r="B320" s="2" t="s">
        <v>283</v>
      </c>
      <c r="C320" s="2" t="s">
        <v>67</v>
      </c>
      <c r="D320" s="2">
        <v>23.011099999999999</v>
      </c>
      <c r="E320" s="2">
        <v>5500</v>
      </c>
      <c r="F320" s="2">
        <v>310</v>
      </c>
      <c r="G320" s="2">
        <v>70.099999999999994</v>
      </c>
      <c r="H320" s="2" t="s">
        <v>68</v>
      </c>
      <c r="I320" s="4">
        <f t="shared" si="124"/>
        <v>3.1359767082066798</v>
      </c>
      <c r="J320" s="4">
        <f t="shared" si="125"/>
        <v>8.6125033712205621</v>
      </c>
      <c r="K320" s="4">
        <f t="shared" si="126"/>
        <v>5.7365722974791922</v>
      </c>
      <c r="L320" s="2">
        <v>0</v>
      </c>
      <c r="M320" s="2">
        <v>0</v>
      </c>
      <c r="N320" s="4">
        <f t="shared" si="127"/>
        <v>70.099999999999994</v>
      </c>
      <c r="O320" s="4">
        <f t="shared" si="128"/>
        <v>0</v>
      </c>
      <c r="P320" s="4">
        <f t="shared" si="129"/>
        <v>0</v>
      </c>
      <c r="Q320" s="4">
        <f t="shared" si="130"/>
        <v>8.6125033712205621</v>
      </c>
      <c r="R320" s="4">
        <f t="shared" si="131"/>
        <v>5.7365722974791922</v>
      </c>
      <c r="S320" s="4">
        <f t="shared" si="132"/>
        <v>70.099999999999994</v>
      </c>
      <c r="T320" s="4">
        <f t="shared" si="133"/>
        <v>0</v>
      </c>
      <c r="U320" s="4">
        <f t="shared" si="134"/>
        <v>8.6125033712205621</v>
      </c>
      <c r="V320" s="4">
        <f t="shared" si="135"/>
        <v>5.7365722974791922</v>
      </c>
      <c r="W320" s="4">
        <f t="shared" si="136"/>
        <v>70.099999999999994</v>
      </c>
      <c r="X320" s="4">
        <f t="shared" si="137"/>
        <v>0</v>
      </c>
      <c r="Y320" s="4">
        <f t="shared" si="138"/>
        <v>8.6125033712205621</v>
      </c>
      <c r="Z320" s="4">
        <f t="shared" si="139"/>
        <v>5.7365722974791922</v>
      </c>
      <c r="AA320" s="4">
        <f t="shared" si="140"/>
        <v>70.099999999999994</v>
      </c>
      <c r="AB320" s="4">
        <f t="shared" si="141"/>
        <v>0</v>
      </c>
      <c r="AC320" s="4">
        <f t="shared" si="142"/>
        <v>0</v>
      </c>
      <c r="AD320" s="4">
        <f t="shared" si="143"/>
        <v>0</v>
      </c>
      <c r="AE320" s="4">
        <f t="shared" si="144"/>
        <v>0</v>
      </c>
      <c r="AF320" s="4">
        <f t="shared" si="145"/>
        <v>0</v>
      </c>
      <c r="AG320" s="4">
        <f t="shared" si="146"/>
        <v>8.6125033712205621</v>
      </c>
      <c r="AH320" s="4">
        <f t="shared" si="147"/>
        <v>0</v>
      </c>
      <c r="AI320" s="4">
        <f t="shared" si="148"/>
        <v>0</v>
      </c>
      <c r="AJ320" s="4">
        <f t="shared" si="149"/>
        <v>8.6125033712205621</v>
      </c>
      <c r="AK320" s="4">
        <f t="shared" si="150"/>
        <v>5.7365722974791922</v>
      </c>
      <c r="AL320" s="4">
        <f t="shared" si="151"/>
        <v>0</v>
      </c>
      <c r="AM320" s="4">
        <f>CER!$C$7+CER!$C$8*J320+CER!$C$9*K320+CER!$C$10*L320+CER!$C$11*M320</f>
        <v>3.2423580021033094</v>
      </c>
      <c r="AN320" s="4">
        <f t="shared" si="152"/>
        <v>25.59400135873188</v>
      </c>
      <c r="AO320" s="4">
        <f t="shared" si="153"/>
        <v>-0.10638129389662954</v>
      </c>
      <c r="AP320" s="4">
        <f>Alternatives!$F$25+Alternatives!$F$26*J320+Alternatives!$F$27*K320+Alternatives!$F$28*G320+Alternatives!$F$29*O320</f>
        <v>3.1933978390537923</v>
      </c>
      <c r="AQ320" s="4">
        <f t="shared" si="154"/>
        <v>-5.7421130847112423E-2</v>
      </c>
    </row>
    <row r="321" spans="1:43" x14ac:dyDescent="0.35">
      <c r="A321" s="2" t="s">
        <v>312</v>
      </c>
      <c r="B321" s="2" t="s">
        <v>283</v>
      </c>
      <c r="C321" s="2" t="s">
        <v>67</v>
      </c>
      <c r="D321" s="2">
        <v>23.959199999999999</v>
      </c>
      <c r="E321" s="2">
        <v>4000</v>
      </c>
      <c r="F321" s="2">
        <v>495</v>
      </c>
      <c r="G321" s="2">
        <v>47.3</v>
      </c>
      <c r="H321" s="2" t="s">
        <v>68</v>
      </c>
      <c r="I321" s="4">
        <f t="shared" si="124"/>
        <v>3.176352383708188</v>
      </c>
      <c r="J321" s="4">
        <f t="shared" si="125"/>
        <v>8.2940496401020276</v>
      </c>
      <c r="K321" s="4">
        <f t="shared" si="126"/>
        <v>6.2045577625686903</v>
      </c>
      <c r="L321" s="2">
        <v>0</v>
      </c>
      <c r="M321" s="2">
        <v>0</v>
      </c>
      <c r="N321" s="4">
        <f t="shared" si="127"/>
        <v>47.3</v>
      </c>
      <c r="O321" s="4">
        <f t="shared" si="128"/>
        <v>0</v>
      </c>
      <c r="P321" s="4">
        <f t="shared" si="129"/>
        <v>0</v>
      </c>
      <c r="Q321" s="4">
        <f t="shared" si="130"/>
        <v>8.2940496401020276</v>
      </c>
      <c r="R321" s="4">
        <f t="shared" si="131"/>
        <v>6.2045577625686903</v>
      </c>
      <c r="S321" s="4">
        <f t="shared" si="132"/>
        <v>47.3</v>
      </c>
      <c r="T321" s="4">
        <f t="shared" si="133"/>
        <v>0</v>
      </c>
      <c r="U321" s="4">
        <f t="shared" si="134"/>
        <v>8.2940496401020276</v>
      </c>
      <c r="V321" s="4">
        <f t="shared" si="135"/>
        <v>6.2045577625686903</v>
      </c>
      <c r="W321" s="4">
        <f t="shared" si="136"/>
        <v>47.3</v>
      </c>
      <c r="X321" s="4">
        <f t="shared" si="137"/>
        <v>0</v>
      </c>
      <c r="Y321" s="4">
        <f t="shared" si="138"/>
        <v>8.2940496401020276</v>
      </c>
      <c r="Z321" s="4">
        <f t="shared" si="139"/>
        <v>6.2045577625686903</v>
      </c>
      <c r="AA321" s="4">
        <f t="shared" si="140"/>
        <v>47.3</v>
      </c>
      <c r="AB321" s="4">
        <f t="shared" si="141"/>
        <v>0</v>
      </c>
      <c r="AC321" s="4">
        <f t="shared" si="142"/>
        <v>0</v>
      </c>
      <c r="AD321" s="4">
        <f t="shared" si="143"/>
        <v>0</v>
      </c>
      <c r="AE321" s="4">
        <f t="shared" si="144"/>
        <v>0</v>
      </c>
      <c r="AF321" s="4">
        <f t="shared" si="145"/>
        <v>0</v>
      </c>
      <c r="AG321" s="4">
        <f t="shared" si="146"/>
        <v>8.2940496401020276</v>
      </c>
      <c r="AH321" s="4">
        <f t="shared" si="147"/>
        <v>0</v>
      </c>
      <c r="AI321" s="4">
        <f t="shared" si="148"/>
        <v>0</v>
      </c>
      <c r="AJ321" s="4">
        <f t="shared" si="149"/>
        <v>8.2940496401020276</v>
      </c>
      <c r="AK321" s="4">
        <f t="shared" si="150"/>
        <v>6.2045577625686903</v>
      </c>
      <c r="AL321" s="4">
        <f t="shared" si="151"/>
        <v>0</v>
      </c>
      <c r="AM321" s="4">
        <f>CER!$C$7+CER!$C$8*J321+CER!$C$9*K321+CER!$C$10*L321+CER!$C$11*M321</f>
        <v>3.2138646148333008</v>
      </c>
      <c r="AN321" s="4">
        <f t="shared" si="152"/>
        <v>24.875033128264587</v>
      </c>
      <c r="AO321" s="4">
        <f t="shared" si="153"/>
        <v>-3.7512231125112816E-2</v>
      </c>
      <c r="AP321" s="4">
        <f>Alternatives!$F$25+Alternatives!$F$26*J321+Alternatives!$F$27*K321+Alternatives!$F$28*G321+Alternatives!$F$29*O321</f>
        <v>3.2475737529606681</v>
      </c>
      <c r="AQ321" s="4">
        <f t="shared" si="154"/>
        <v>-7.1221369252480127E-2</v>
      </c>
    </row>
    <row r="322" spans="1:43" x14ac:dyDescent="0.35">
      <c r="A322" s="2" t="s">
        <v>313</v>
      </c>
      <c r="B322" s="2" t="s">
        <v>283</v>
      </c>
      <c r="C322" s="2" t="s">
        <v>67</v>
      </c>
      <c r="D322" s="2">
        <v>43.7761</v>
      </c>
      <c r="E322" s="2">
        <v>3500</v>
      </c>
      <c r="F322" s="2">
        <v>137</v>
      </c>
      <c r="G322" s="2">
        <v>44.3</v>
      </c>
      <c r="H322" s="2" t="s">
        <v>68</v>
      </c>
      <c r="I322" s="4">
        <f t="shared" ref="I322:I385" si="155">LN(D322)</f>
        <v>3.7790880063542014</v>
      </c>
      <c r="J322" s="4">
        <f t="shared" ref="J322:J385" si="156">LN(E322)</f>
        <v>8.1605182474775049</v>
      </c>
      <c r="K322" s="4">
        <f t="shared" ref="K322:K385" si="157">LN(F322)</f>
        <v>4.9199809258281251</v>
      </c>
      <c r="L322" s="2">
        <v>0</v>
      </c>
      <c r="M322" s="2">
        <v>0</v>
      </c>
      <c r="N322" s="4">
        <f t="shared" ref="N322:N385" si="158">G322</f>
        <v>44.3</v>
      </c>
      <c r="O322" s="4">
        <f t="shared" ref="O322:O385" si="159">L322+M322</f>
        <v>0</v>
      </c>
      <c r="P322" s="4">
        <f t="shared" ref="P322:P385" si="160">L322+2*M322</f>
        <v>0</v>
      </c>
      <c r="Q322" s="4">
        <f t="shared" ref="Q322:Q385" si="161">J322</f>
        <v>8.1605182474775049</v>
      </c>
      <c r="R322" s="4">
        <f t="shared" ref="R322:R385" si="162">K322</f>
        <v>4.9199809258281251</v>
      </c>
      <c r="S322" s="4">
        <f t="shared" ref="S322:S385" si="163">G322</f>
        <v>44.3</v>
      </c>
      <c r="T322" s="4">
        <f t="shared" ref="T322:T385" si="164">O322</f>
        <v>0</v>
      </c>
      <c r="U322" s="4">
        <f t="shared" ref="U322:U385" si="165">J322</f>
        <v>8.1605182474775049</v>
      </c>
      <c r="V322" s="4">
        <f t="shared" ref="V322:V385" si="166">K322</f>
        <v>4.9199809258281251</v>
      </c>
      <c r="W322" s="4">
        <f t="shared" ref="W322:W385" si="167">G322</f>
        <v>44.3</v>
      </c>
      <c r="X322" s="4">
        <f t="shared" ref="X322:X385" si="168">P322</f>
        <v>0</v>
      </c>
      <c r="Y322" s="4">
        <f t="shared" ref="Y322:Y385" si="169">J322</f>
        <v>8.1605182474775049</v>
      </c>
      <c r="Z322" s="4">
        <f t="shared" ref="Z322:Z385" si="170">K322</f>
        <v>4.9199809258281251</v>
      </c>
      <c r="AA322" s="4">
        <f t="shared" ref="AA322:AA385" si="171">G322</f>
        <v>44.3</v>
      </c>
      <c r="AB322" s="4">
        <f t="shared" ref="AB322:AB385" si="172">L322</f>
        <v>0</v>
      </c>
      <c r="AC322" s="4">
        <f t="shared" ref="AC322:AC385" si="173">M322</f>
        <v>0</v>
      </c>
      <c r="AD322" s="4">
        <f t="shared" ref="AD322:AD385" si="174">M322*J322</f>
        <v>0</v>
      </c>
      <c r="AE322" s="4">
        <f t="shared" ref="AE322:AE385" si="175">M322*K322</f>
        <v>0</v>
      </c>
      <c r="AF322" s="4">
        <f t="shared" ref="AF322:AF385" si="176">M322*G322</f>
        <v>0</v>
      </c>
      <c r="AG322" s="4">
        <f t="shared" ref="AG322:AG385" si="177">J322</f>
        <v>8.1605182474775049</v>
      </c>
      <c r="AH322" s="4">
        <f t="shared" ref="AH322:AH385" si="178">L322</f>
        <v>0</v>
      </c>
      <c r="AI322" s="4">
        <f t="shared" ref="AI322:AI385" si="179">M322</f>
        <v>0</v>
      </c>
      <c r="AJ322" s="4">
        <f t="shared" ref="AJ322:AJ385" si="180">J322</f>
        <v>8.1605182474775049</v>
      </c>
      <c r="AK322" s="4">
        <f t="shared" ref="AK322:AK385" si="181">K322</f>
        <v>4.9199809258281251</v>
      </c>
      <c r="AL322" s="4">
        <f t="shared" ref="AL322:AL385" si="182">M322</f>
        <v>0</v>
      </c>
      <c r="AM322" s="4">
        <f>CER!$C$7+CER!$C$8*J322+CER!$C$9*K322+CER!$C$10*L322+CER!$C$11*M322</f>
        <v>3.7482520429257846</v>
      </c>
      <c r="AN322" s="4">
        <f t="shared" ref="AN322:AN385" si="183">EXP(AM322)</f>
        <v>42.446821894623376</v>
      </c>
      <c r="AO322" s="4">
        <f t="shared" ref="AO322:AO385" si="184">I322-AM322</f>
        <v>3.0835963428416768E-2</v>
      </c>
      <c r="AP322" s="4">
        <f>Alternatives!$F$25+Alternatives!$F$26*J322+Alternatives!$F$27*K322+Alternatives!$F$28*G322+Alternatives!$F$29*O322</f>
        <v>3.5790163013442626</v>
      </c>
      <c r="AQ322" s="4">
        <f t="shared" ref="AQ322:AQ385" si="185">I322-AP322</f>
        <v>0.20007170500993876</v>
      </c>
    </row>
    <row r="323" spans="1:43" x14ac:dyDescent="0.35">
      <c r="A323" s="2" t="s">
        <v>313</v>
      </c>
      <c r="B323" s="2" t="s">
        <v>283</v>
      </c>
      <c r="C323" s="2" t="s">
        <v>67</v>
      </c>
      <c r="D323" s="2">
        <v>43.995199999999997</v>
      </c>
      <c r="E323" s="2">
        <v>3500</v>
      </c>
      <c r="F323" s="2">
        <v>155</v>
      </c>
      <c r="G323" s="2">
        <v>44.3</v>
      </c>
      <c r="H323" s="2" t="s">
        <v>68</v>
      </c>
      <c r="I323" s="4">
        <f t="shared" si="155"/>
        <v>3.7840805370583244</v>
      </c>
      <c r="J323" s="4">
        <f t="shared" si="156"/>
        <v>8.1605182474775049</v>
      </c>
      <c r="K323" s="4">
        <f t="shared" si="157"/>
        <v>5.0434251169192468</v>
      </c>
      <c r="L323" s="2">
        <v>0</v>
      </c>
      <c r="M323" s="2">
        <v>0</v>
      </c>
      <c r="N323" s="4">
        <f t="shared" si="158"/>
        <v>44.3</v>
      </c>
      <c r="O323" s="4">
        <f t="shared" si="159"/>
        <v>0</v>
      </c>
      <c r="P323" s="4">
        <f t="shared" si="160"/>
        <v>0</v>
      </c>
      <c r="Q323" s="4">
        <f t="shared" si="161"/>
        <v>8.1605182474775049</v>
      </c>
      <c r="R323" s="4">
        <f t="shared" si="162"/>
        <v>5.0434251169192468</v>
      </c>
      <c r="S323" s="4">
        <f t="shared" si="163"/>
        <v>44.3</v>
      </c>
      <c r="T323" s="4">
        <f t="shared" si="164"/>
        <v>0</v>
      </c>
      <c r="U323" s="4">
        <f t="shared" si="165"/>
        <v>8.1605182474775049</v>
      </c>
      <c r="V323" s="4">
        <f t="shared" si="166"/>
        <v>5.0434251169192468</v>
      </c>
      <c r="W323" s="4">
        <f t="shared" si="167"/>
        <v>44.3</v>
      </c>
      <c r="X323" s="4">
        <f t="shared" si="168"/>
        <v>0</v>
      </c>
      <c r="Y323" s="4">
        <f t="shared" si="169"/>
        <v>8.1605182474775049</v>
      </c>
      <c r="Z323" s="4">
        <f t="shared" si="170"/>
        <v>5.0434251169192468</v>
      </c>
      <c r="AA323" s="4">
        <f t="shared" si="171"/>
        <v>44.3</v>
      </c>
      <c r="AB323" s="4">
        <f t="shared" si="172"/>
        <v>0</v>
      </c>
      <c r="AC323" s="4">
        <f t="shared" si="173"/>
        <v>0</v>
      </c>
      <c r="AD323" s="4">
        <f t="shared" si="174"/>
        <v>0</v>
      </c>
      <c r="AE323" s="4">
        <f t="shared" si="175"/>
        <v>0</v>
      </c>
      <c r="AF323" s="4">
        <f t="shared" si="176"/>
        <v>0</v>
      </c>
      <c r="AG323" s="4">
        <f t="shared" si="177"/>
        <v>8.1605182474775049</v>
      </c>
      <c r="AH323" s="4">
        <f t="shared" si="178"/>
        <v>0</v>
      </c>
      <c r="AI323" s="4">
        <f t="shared" si="179"/>
        <v>0</v>
      </c>
      <c r="AJ323" s="4">
        <f t="shared" si="180"/>
        <v>8.1605182474775049</v>
      </c>
      <c r="AK323" s="4">
        <f t="shared" si="181"/>
        <v>5.0434251169192468</v>
      </c>
      <c r="AL323" s="4">
        <f t="shared" si="182"/>
        <v>0</v>
      </c>
      <c r="AM323" s="4">
        <f>CER!$C$7+CER!$C$8*J323+CER!$C$9*K323+CER!$C$10*L323+CER!$C$11*M323</f>
        <v>3.7027080846092697</v>
      </c>
      <c r="AN323" s="4">
        <f t="shared" si="183"/>
        <v>40.556987531112888</v>
      </c>
      <c r="AO323" s="4">
        <f t="shared" si="184"/>
        <v>8.1372452449054666E-2</v>
      </c>
      <c r="AP323" s="4">
        <f>Alternatives!$F$25+Alternatives!$F$26*J323+Alternatives!$F$27*K323+Alternatives!$F$28*G323+Alternatives!$F$29*O323</f>
        <v>3.5461665716143598</v>
      </c>
      <c r="AQ323" s="4">
        <f t="shared" si="185"/>
        <v>0.23791396544396459</v>
      </c>
    </row>
    <row r="324" spans="1:43" x14ac:dyDescent="0.35">
      <c r="A324" s="2" t="s">
        <v>314</v>
      </c>
      <c r="B324" s="2" t="s">
        <v>283</v>
      </c>
      <c r="C324" s="2" t="s">
        <v>67</v>
      </c>
      <c r="D324" s="2">
        <v>38.808799999999998</v>
      </c>
      <c r="E324" s="2">
        <v>3500</v>
      </c>
      <c r="F324" s="2">
        <v>155</v>
      </c>
      <c r="G324" s="2">
        <v>44.3</v>
      </c>
      <c r="H324" s="2" t="s">
        <v>68</v>
      </c>
      <c r="I324" s="4">
        <f t="shared" si="155"/>
        <v>3.658647025036772</v>
      </c>
      <c r="J324" s="4">
        <f t="shared" si="156"/>
        <v>8.1605182474775049</v>
      </c>
      <c r="K324" s="4">
        <f t="shared" si="157"/>
        <v>5.0434251169192468</v>
      </c>
      <c r="L324" s="2">
        <v>0</v>
      </c>
      <c r="M324" s="2">
        <v>0</v>
      </c>
      <c r="N324" s="4">
        <f t="shared" si="158"/>
        <v>44.3</v>
      </c>
      <c r="O324" s="4">
        <f t="shared" si="159"/>
        <v>0</v>
      </c>
      <c r="P324" s="4">
        <f t="shared" si="160"/>
        <v>0</v>
      </c>
      <c r="Q324" s="4">
        <f t="shared" si="161"/>
        <v>8.1605182474775049</v>
      </c>
      <c r="R324" s="4">
        <f t="shared" si="162"/>
        <v>5.0434251169192468</v>
      </c>
      <c r="S324" s="4">
        <f t="shared" si="163"/>
        <v>44.3</v>
      </c>
      <c r="T324" s="4">
        <f t="shared" si="164"/>
        <v>0</v>
      </c>
      <c r="U324" s="4">
        <f t="shared" si="165"/>
        <v>8.1605182474775049</v>
      </c>
      <c r="V324" s="4">
        <f t="shared" si="166"/>
        <v>5.0434251169192468</v>
      </c>
      <c r="W324" s="4">
        <f t="shared" si="167"/>
        <v>44.3</v>
      </c>
      <c r="X324" s="4">
        <f t="shared" si="168"/>
        <v>0</v>
      </c>
      <c r="Y324" s="4">
        <f t="shared" si="169"/>
        <v>8.1605182474775049</v>
      </c>
      <c r="Z324" s="4">
        <f t="shared" si="170"/>
        <v>5.0434251169192468</v>
      </c>
      <c r="AA324" s="4">
        <f t="shared" si="171"/>
        <v>44.3</v>
      </c>
      <c r="AB324" s="4">
        <f t="shared" si="172"/>
        <v>0</v>
      </c>
      <c r="AC324" s="4">
        <f t="shared" si="173"/>
        <v>0</v>
      </c>
      <c r="AD324" s="4">
        <f t="shared" si="174"/>
        <v>0</v>
      </c>
      <c r="AE324" s="4">
        <f t="shared" si="175"/>
        <v>0</v>
      </c>
      <c r="AF324" s="4">
        <f t="shared" si="176"/>
        <v>0</v>
      </c>
      <c r="AG324" s="4">
        <f t="shared" si="177"/>
        <v>8.1605182474775049</v>
      </c>
      <c r="AH324" s="4">
        <f t="shared" si="178"/>
        <v>0</v>
      </c>
      <c r="AI324" s="4">
        <f t="shared" si="179"/>
        <v>0</v>
      </c>
      <c r="AJ324" s="4">
        <f t="shared" si="180"/>
        <v>8.1605182474775049</v>
      </c>
      <c r="AK324" s="4">
        <f t="shared" si="181"/>
        <v>5.0434251169192468</v>
      </c>
      <c r="AL324" s="4">
        <f t="shared" si="182"/>
        <v>0</v>
      </c>
      <c r="AM324" s="4">
        <f>CER!$C$7+CER!$C$8*J324+CER!$C$9*K324+CER!$C$10*L324+CER!$C$11*M324</f>
        <v>3.7027080846092697</v>
      </c>
      <c r="AN324" s="4">
        <f t="shared" si="183"/>
        <v>40.556987531112888</v>
      </c>
      <c r="AO324" s="4">
        <f t="shared" si="184"/>
        <v>-4.4061059572497729E-2</v>
      </c>
      <c r="AP324" s="4">
        <f>Alternatives!$F$25+Alternatives!$F$26*J324+Alternatives!$F$27*K324+Alternatives!$F$28*G324+Alternatives!$F$29*O324</f>
        <v>3.5461665716143598</v>
      </c>
      <c r="AQ324" s="4">
        <f t="shared" si="185"/>
        <v>0.1124804534224122</v>
      </c>
    </row>
    <row r="325" spans="1:43" x14ac:dyDescent="0.35">
      <c r="A325" s="2" t="s">
        <v>315</v>
      </c>
      <c r="B325" s="2" t="s">
        <v>283</v>
      </c>
      <c r="C325" s="2" t="s">
        <v>33</v>
      </c>
      <c r="D325" s="2">
        <v>23.4892</v>
      </c>
      <c r="E325" s="2">
        <v>4000</v>
      </c>
      <c r="F325" s="2">
        <v>495</v>
      </c>
      <c r="G325" s="2">
        <v>48.7</v>
      </c>
      <c r="H325" s="2" t="s">
        <v>68</v>
      </c>
      <c r="I325" s="4">
        <f t="shared" si="155"/>
        <v>3.1565407410453159</v>
      </c>
      <c r="J325" s="4">
        <f t="shared" si="156"/>
        <v>8.2940496401020276</v>
      </c>
      <c r="K325" s="4">
        <f t="shared" si="157"/>
        <v>6.2045577625686903</v>
      </c>
      <c r="L325" s="2">
        <v>1</v>
      </c>
      <c r="M325" s="2">
        <v>0</v>
      </c>
      <c r="N325" s="4">
        <f t="shared" si="158"/>
        <v>48.7</v>
      </c>
      <c r="O325" s="4">
        <f t="shared" si="159"/>
        <v>1</v>
      </c>
      <c r="P325" s="4">
        <f t="shared" si="160"/>
        <v>1</v>
      </c>
      <c r="Q325" s="4">
        <f t="shared" si="161"/>
        <v>8.2940496401020276</v>
      </c>
      <c r="R325" s="4">
        <f t="shared" si="162"/>
        <v>6.2045577625686903</v>
      </c>
      <c r="S325" s="4">
        <f t="shared" si="163"/>
        <v>48.7</v>
      </c>
      <c r="T325" s="4">
        <f t="shared" si="164"/>
        <v>1</v>
      </c>
      <c r="U325" s="4">
        <f t="shared" si="165"/>
        <v>8.2940496401020276</v>
      </c>
      <c r="V325" s="4">
        <f t="shared" si="166"/>
        <v>6.2045577625686903</v>
      </c>
      <c r="W325" s="4">
        <f t="shared" si="167"/>
        <v>48.7</v>
      </c>
      <c r="X325" s="4">
        <f t="shared" si="168"/>
        <v>1</v>
      </c>
      <c r="Y325" s="4">
        <f t="shared" si="169"/>
        <v>8.2940496401020276</v>
      </c>
      <c r="Z325" s="4">
        <f t="shared" si="170"/>
        <v>6.2045577625686903</v>
      </c>
      <c r="AA325" s="4">
        <f t="shared" si="171"/>
        <v>48.7</v>
      </c>
      <c r="AB325" s="4">
        <f t="shared" si="172"/>
        <v>1</v>
      </c>
      <c r="AC325" s="4">
        <f t="shared" si="173"/>
        <v>0</v>
      </c>
      <c r="AD325" s="4">
        <f t="shared" si="174"/>
        <v>0</v>
      </c>
      <c r="AE325" s="4">
        <f t="shared" si="175"/>
        <v>0</v>
      </c>
      <c r="AF325" s="4">
        <f t="shared" si="176"/>
        <v>0</v>
      </c>
      <c r="AG325" s="4">
        <f t="shared" si="177"/>
        <v>8.2940496401020276</v>
      </c>
      <c r="AH325" s="4">
        <f t="shared" si="178"/>
        <v>1</v>
      </c>
      <c r="AI325" s="4">
        <f t="shared" si="179"/>
        <v>0</v>
      </c>
      <c r="AJ325" s="4">
        <f t="shared" si="180"/>
        <v>8.2940496401020276</v>
      </c>
      <c r="AK325" s="4">
        <f t="shared" si="181"/>
        <v>6.2045577625686903</v>
      </c>
      <c r="AL325" s="4">
        <f t="shared" si="182"/>
        <v>0</v>
      </c>
      <c r="AM325" s="4">
        <f>CER!$C$7+CER!$C$8*J325+CER!$C$9*K325+CER!$C$10*L325+CER!$C$11*M325</f>
        <v>3.4376181848025267</v>
      </c>
      <c r="AN325" s="4">
        <f t="shared" si="183"/>
        <v>31.112764989676517</v>
      </c>
      <c r="AO325" s="4">
        <f t="shared" si="184"/>
        <v>-0.28107744375721078</v>
      </c>
      <c r="AP325" s="4">
        <f>Alternatives!$F$25+Alternatives!$F$26*J325+Alternatives!$F$27*K325+Alternatives!$F$28*G325+Alternatives!$F$29*O325</f>
        <v>4.0741034415100446</v>
      </c>
      <c r="AQ325" s="4">
        <f t="shared" si="185"/>
        <v>-0.91756270046472865</v>
      </c>
    </row>
    <row r="326" spans="1:43" x14ac:dyDescent="0.35">
      <c r="A326" s="2" t="s">
        <v>316</v>
      </c>
      <c r="B326" s="2" t="s">
        <v>283</v>
      </c>
      <c r="C326" s="2" t="s">
        <v>67</v>
      </c>
      <c r="D326" s="2">
        <v>17.8005</v>
      </c>
      <c r="E326" s="2">
        <v>4000</v>
      </c>
      <c r="F326" s="2">
        <v>670</v>
      </c>
      <c r="G326" s="2">
        <v>48.7</v>
      </c>
      <c r="H326" s="2" t="s">
        <v>68</v>
      </c>
      <c r="I326" s="4">
        <f t="shared" si="155"/>
        <v>2.8792265467911662</v>
      </c>
      <c r="J326" s="4">
        <f t="shared" si="156"/>
        <v>8.2940496401020276</v>
      </c>
      <c r="K326" s="4">
        <f t="shared" si="157"/>
        <v>6.5072777123850116</v>
      </c>
      <c r="L326" s="2">
        <v>0</v>
      </c>
      <c r="M326" s="2">
        <v>0</v>
      </c>
      <c r="N326" s="4">
        <f t="shared" si="158"/>
        <v>48.7</v>
      </c>
      <c r="O326" s="4">
        <f t="shared" si="159"/>
        <v>0</v>
      </c>
      <c r="P326" s="4">
        <f t="shared" si="160"/>
        <v>0</v>
      </c>
      <c r="Q326" s="4">
        <f t="shared" si="161"/>
        <v>8.2940496401020276</v>
      </c>
      <c r="R326" s="4">
        <f t="shared" si="162"/>
        <v>6.5072777123850116</v>
      </c>
      <c r="S326" s="4">
        <f t="shared" si="163"/>
        <v>48.7</v>
      </c>
      <c r="T326" s="4">
        <f t="shared" si="164"/>
        <v>0</v>
      </c>
      <c r="U326" s="4">
        <f t="shared" si="165"/>
        <v>8.2940496401020276</v>
      </c>
      <c r="V326" s="4">
        <f t="shared" si="166"/>
        <v>6.5072777123850116</v>
      </c>
      <c r="W326" s="4">
        <f t="shared" si="167"/>
        <v>48.7</v>
      </c>
      <c r="X326" s="4">
        <f t="shared" si="168"/>
        <v>0</v>
      </c>
      <c r="Y326" s="4">
        <f t="shared" si="169"/>
        <v>8.2940496401020276</v>
      </c>
      <c r="Z326" s="4">
        <f t="shared" si="170"/>
        <v>6.5072777123850116</v>
      </c>
      <c r="AA326" s="4">
        <f t="shared" si="171"/>
        <v>48.7</v>
      </c>
      <c r="AB326" s="4">
        <f t="shared" si="172"/>
        <v>0</v>
      </c>
      <c r="AC326" s="4">
        <f t="shared" si="173"/>
        <v>0</v>
      </c>
      <c r="AD326" s="4">
        <f t="shared" si="174"/>
        <v>0</v>
      </c>
      <c r="AE326" s="4">
        <f t="shared" si="175"/>
        <v>0</v>
      </c>
      <c r="AF326" s="4">
        <f t="shared" si="176"/>
        <v>0</v>
      </c>
      <c r="AG326" s="4">
        <f t="shared" si="177"/>
        <v>8.2940496401020276</v>
      </c>
      <c r="AH326" s="4">
        <f t="shared" si="178"/>
        <v>0</v>
      </c>
      <c r="AI326" s="4">
        <f t="shared" si="179"/>
        <v>0</v>
      </c>
      <c r="AJ326" s="4">
        <f t="shared" si="180"/>
        <v>8.2940496401020276</v>
      </c>
      <c r="AK326" s="4">
        <f t="shared" si="181"/>
        <v>6.5072777123850116</v>
      </c>
      <c r="AL326" s="4">
        <f t="shared" si="182"/>
        <v>0</v>
      </c>
      <c r="AM326" s="4">
        <f>CER!$C$7+CER!$C$8*J326+CER!$C$9*K326+CER!$C$10*L326+CER!$C$11*M326</f>
        <v>3.102177992286316</v>
      </c>
      <c r="AN326" s="4">
        <f t="shared" si="183"/>
        <v>22.2463509360092</v>
      </c>
      <c r="AO326" s="4">
        <f t="shared" si="184"/>
        <v>-0.22295144549514978</v>
      </c>
      <c r="AP326" s="4">
        <f>Alternatives!$F$25+Alternatives!$F$26*J326+Alternatives!$F$27*K326+Alternatives!$F$28*G326+Alternatives!$F$29*O326</f>
        <v>3.148806716470288</v>
      </c>
      <c r="AQ326" s="4">
        <f t="shared" si="185"/>
        <v>-0.26958016967912179</v>
      </c>
    </row>
    <row r="327" spans="1:43" x14ac:dyDescent="0.35">
      <c r="A327" s="2" t="s">
        <v>317</v>
      </c>
      <c r="B327" s="2" t="s">
        <v>283</v>
      </c>
      <c r="C327" s="2" t="s">
        <v>67</v>
      </c>
      <c r="D327" s="2">
        <v>16.9373</v>
      </c>
      <c r="E327" s="2">
        <v>4000</v>
      </c>
      <c r="F327" s="2">
        <v>670</v>
      </c>
      <c r="G327" s="2">
        <v>48.7</v>
      </c>
      <c r="H327" s="2" t="s">
        <v>68</v>
      </c>
      <c r="I327" s="4">
        <f t="shared" si="155"/>
        <v>2.8295182904521221</v>
      </c>
      <c r="J327" s="4">
        <f t="shared" si="156"/>
        <v>8.2940496401020276</v>
      </c>
      <c r="K327" s="4">
        <f t="shared" si="157"/>
        <v>6.5072777123850116</v>
      </c>
      <c r="L327" s="2">
        <v>0</v>
      </c>
      <c r="M327" s="2">
        <v>0</v>
      </c>
      <c r="N327" s="4">
        <f t="shared" si="158"/>
        <v>48.7</v>
      </c>
      <c r="O327" s="4">
        <f t="shared" si="159"/>
        <v>0</v>
      </c>
      <c r="P327" s="4">
        <f t="shared" si="160"/>
        <v>0</v>
      </c>
      <c r="Q327" s="4">
        <f t="shared" si="161"/>
        <v>8.2940496401020276</v>
      </c>
      <c r="R327" s="4">
        <f t="shared" si="162"/>
        <v>6.5072777123850116</v>
      </c>
      <c r="S327" s="4">
        <f t="shared" si="163"/>
        <v>48.7</v>
      </c>
      <c r="T327" s="4">
        <f t="shared" si="164"/>
        <v>0</v>
      </c>
      <c r="U327" s="4">
        <f t="shared" si="165"/>
        <v>8.2940496401020276</v>
      </c>
      <c r="V327" s="4">
        <f t="shared" si="166"/>
        <v>6.5072777123850116</v>
      </c>
      <c r="W327" s="4">
        <f t="shared" si="167"/>
        <v>48.7</v>
      </c>
      <c r="X327" s="4">
        <f t="shared" si="168"/>
        <v>0</v>
      </c>
      <c r="Y327" s="4">
        <f t="shared" si="169"/>
        <v>8.2940496401020276</v>
      </c>
      <c r="Z327" s="4">
        <f t="shared" si="170"/>
        <v>6.5072777123850116</v>
      </c>
      <c r="AA327" s="4">
        <f t="shared" si="171"/>
        <v>48.7</v>
      </c>
      <c r="AB327" s="4">
        <f t="shared" si="172"/>
        <v>0</v>
      </c>
      <c r="AC327" s="4">
        <f t="shared" si="173"/>
        <v>0</v>
      </c>
      <c r="AD327" s="4">
        <f t="shared" si="174"/>
        <v>0</v>
      </c>
      <c r="AE327" s="4">
        <f t="shared" si="175"/>
        <v>0</v>
      </c>
      <c r="AF327" s="4">
        <f t="shared" si="176"/>
        <v>0</v>
      </c>
      <c r="AG327" s="4">
        <f t="shared" si="177"/>
        <v>8.2940496401020276</v>
      </c>
      <c r="AH327" s="4">
        <f t="shared" si="178"/>
        <v>0</v>
      </c>
      <c r="AI327" s="4">
        <f t="shared" si="179"/>
        <v>0</v>
      </c>
      <c r="AJ327" s="4">
        <f t="shared" si="180"/>
        <v>8.2940496401020276</v>
      </c>
      <c r="AK327" s="4">
        <f t="shared" si="181"/>
        <v>6.5072777123850116</v>
      </c>
      <c r="AL327" s="4">
        <f t="shared" si="182"/>
        <v>0</v>
      </c>
      <c r="AM327" s="4">
        <f>CER!$C$7+CER!$C$8*J327+CER!$C$9*K327+CER!$C$10*L327+CER!$C$11*M327</f>
        <v>3.102177992286316</v>
      </c>
      <c r="AN327" s="4">
        <f t="shared" si="183"/>
        <v>22.2463509360092</v>
      </c>
      <c r="AO327" s="4">
        <f t="shared" si="184"/>
        <v>-0.27265970183419386</v>
      </c>
      <c r="AP327" s="4">
        <f>Alternatives!$F$25+Alternatives!$F$26*J327+Alternatives!$F$27*K327+Alternatives!$F$28*G327+Alternatives!$F$29*O327</f>
        <v>3.148806716470288</v>
      </c>
      <c r="AQ327" s="4">
        <f t="shared" si="185"/>
        <v>-0.31928842601816587</v>
      </c>
    </row>
    <row r="328" spans="1:43" x14ac:dyDescent="0.35">
      <c r="A328" s="2" t="s">
        <v>318</v>
      </c>
      <c r="B328" s="2" t="s">
        <v>283</v>
      </c>
      <c r="C328" s="2" t="s">
        <v>67</v>
      </c>
      <c r="D328" s="2">
        <v>25.2761</v>
      </c>
      <c r="E328" s="2">
        <v>5000</v>
      </c>
      <c r="F328" s="2">
        <v>310</v>
      </c>
      <c r="G328" s="2">
        <v>60.4</v>
      </c>
      <c r="H328" s="2" t="s">
        <v>68</v>
      </c>
      <c r="I328" s="4">
        <f t="shared" si="155"/>
        <v>3.2298592852255856</v>
      </c>
      <c r="J328" s="4">
        <f t="shared" si="156"/>
        <v>8.5171931914162382</v>
      </c>
      <c r="K328" s="4">
        <f t="shared" si="157"/>
        <v>5.7365722974791922</v>
      </c>
      <c r="L328" s="2">
        <v>0</v>
      </c>
      <c r="M328" s="2">
        <v>0</v>
      </c>
      <c r="N328" s="4">
        <f t="shared" si="158"/>
        <v>60.4</v>
      </c>
      <c r="O328" s="4">
        <f t="shared" si="159"/>
        <v>0</v>
      </c>
      <c r="P328" s="4">
        <f t="shared" si="160"/>
        <v>0</v>
      </c>
      <c r="Q328" s="4">
        <f t="shared" si="161"/>
        <v>8.5171931914162382</v>
      </c>
      <c r="R328" s="4">
        <f t="shared" si="162"/>
        <v>5.7365722974791922</v>
      </c>
      <c r="S328" s="4">
        <f t="shared" si="163"/>
        <v>60.4</v>
      </c>
      <c r="T328" s="4">
        <f t="shared" si="164"/>
        <v>0</v>
      </c>
      <c r="U328" s="4">
        <f t="shared" si="165"/>
        <v>8.5171931914162382</v>
      </c>
      <c r="V328" s="4">
        <f t="shared" si="166"/>
        <v>5.7365722974791922</v>
      </c>
      <c r="W328" s="4">
        <f t="shared" si="167"/>
        <v>60.4</v>
      </c>
      <c r="X328" s="4">
        <f t="shared" si="168"/>
        <v>0</v>
      </c>
      <c r="Y328" s="4">
        <f t="shared" si="169"/>
        <v>8.5171931914162382</v>
      </c>
      <c r="Z328" s="4">
        <f t="shared" si="170"/>
        <v>5.7365722974791922</v>
      </c>
      <c r="AA328" s="4">
        <f t="shared" si="171"/>
        <v>60.4</v>
      </c>
      <c r="AB328" s="4">
        <f t="shared" si="172"/>
        <v>0</v>
      </c>
      <c r="AC328" s="4">
        <f t="shared" si="173"/>
        <v>0</v>
      </c>
      <c r="AD328" s="4">
        <f t="shared" si="174"/>
        <v>0</v>
      </c>
      <c r="AE328" s="4">
        <f t="shared" si="175"/>
        <v>0</v>
      </c>
      <c r="AF328" s="4">
        <f t="shared" si="176"/>
        <v>0</v>
      </c>
      <c r="AG328" s="4">
        <f t="shared" si="177"/>
        <v>8.5171931914162382</v>
      </c>
      <c r="AH328" s="4">
        <f t="shared" si="178"/>
        <v>0</v>
      </c>
      <c r="AI328" s="4">
        <f t="shared" si="179"/>
        <v>0</v>
      </c>
      <c r="AJ328" s="4">
        <f t="shared" si="180"/>
        <v>8.5171931914162382</v>
      </c>
      <c r="AK328" s="4">
        <f t="shared" si="181"/>
        <v>5.7365722974791922</v>
      </c>
      <c r="AL328" s="4">
        <f t="shared" si="182"/>
        <v>0</v>
      </c>
      <c r="AM328" s="4">
        <f>CER!$C$7+CER!$C$8*J328+CER!$C$9*K328+CER!$C$10*L328+CER!$C$11*M328</f>
        <v>3.2855057896938553</v>
      </c>
      <c r="AN328" s="4">
        <f t="shared" si="183"/>
        <v>26.722496860851766</v>
      </c>
      <c r="AO328" s="4">
        <f t="shared" si="184"/>
        <v>-5.5646504468269686E-2</v>
      </c>
      <c r="AP328" s="4">
        <f>Alternatives!$F$25+Alternatives!$F$26*J328+Alternatives!$F$27*K328+Alternatives!$F$28*G328+Alternatives!$F$29*O328</f>
        <v>3.2842958289981929</v>
      </c>
      <c r="AQ328" s="4">
        <f t="shared" si="185"/>
        <v>-5.4436543772607315E-2</v>
      </c>
    </row>
    <row r="329" spans="1:43" x14ac:dyDescent="0.35">
      <c r="A329" s="2" t="s">
        <v>319</v>
      </c>
      <c r="B329" s="2" t="s">
        <v>283</v>
      </c>
      <c r="C329" s="2" t="s">
        <v>67</v>
      </c>
      <c r="D329" s="2">
        <v>26.755299999999998</v>
      </c>
      <c r="E329" s="2">
        <v>4500</v>
      </c>
      <c r="F329" s="2">
        <v>310</v>
      </c>
      <c r="G329" s="2">
        <v>56.7</v>
      </c>
      <c r="H329" s="2" t="s">
        <v>68</v>
      </c>
      <c r="I329" s="4">
        <f t="shared" si="155"/>
        <v>3.2867325845578139</v>
      </c>
      <c r="J329" s="4">
        <f t="shared" si="156"/>
        <v>8.4118326757584114</v>
      </c>
      <c r="K329" s="4">
        <f t="shared" si="157"/>
        <v>5.7365722974791922</v>
      </c>
      <c r="L329" s="2">
        <v>0</v>
      </c>
      <c r="M329" s="2">
        <v>0</v>
      </c>
      <c r="N329" s="4">
        <f t="shared" si="158"/>
        <v>56.7</v>
      </c>
      <c r="O329" s="4">
        <f t="shared" si="159"/>
        <v>0</v>
      </c>
      <c r="P329" s="4">
        <f t="shared" si="160"/>
        <v>0</v>
      </c>
      <c r="Q329" s="4">
        <f t="shared" si="161"/>
        <v>8.4118326757584114</v>
      </c>
      <c r="R329" s="4">
        <f t="shared" si="162"/>
        <v>5.7365722974791922</v>
      </c>
      <c r="S329" s="4">
        <f t="shared" si="163"/>
        <v>56.7</v>
      </c>
      <c r="T329" s="4">
        <f t="shared" si="164"/>
        <v>0</v>
      </c>
      <c r="U329" s="4">
        <f t="shared" si="165"/>
        <v>8.4118326757584114</v>
      </c>
      <c r="V329" s="4">
        <f t="shared" si="166"/>
        <v>5.7365722974791922</v>
      </c>
      <c r="W329" s="4">
        <f t="shared" si="167"/>
        <v>56.7</v>
      </c>
      <c r="X329" s="4">
        <f t="shared" si="168"/>
        <v>0</v>
      </c>
      <c r="Y329" s="4">
        <f t="shared" si="169"/>
        <v>8.4118326757584114</v>
      </c>
      <c r="Z329" s="4">
        <f t="shared" si="170"/>
        <v>5.7365722974791922</v>
      </c>
      <c r="AA329" s="4">
        <f t="shared" si="171"/>
        <v>56.7</v>
      </c>
      <c r="AB329" s="4">
        <f t="shared" si="172"/>
        <v>0</v>
      </c>
      <c r="AC329" s="4">
        <f t="shared" si="173"/>
        <v>0</v>
      </c>
      <c r="AD329" s="4">
        <f t="shared" si="174"/>
        <v>0</v>
      </c>
      <c r="AE329" s="4">
        <f t="shared" si="175"/>
        <v>0</v>
      </c>
      <c r="AF329" s="4">
        <f t="shared" si="176"/>
        <v>0</v>
      </c>
      <c r="AG329" s="4">
        <f t="shared" si="177"/>
        <v>8.4118326757584114</v>
      </c>
      <c r="AH329" s="4">
        <f t="shared" si="178"/>
        <v>0</v>
      </c>
      <c r="AI329" s="4">
        <f t="shared" si="179"/>
        <v>0</v>
      </c>
      <c r="AJ329" s="4">
        <f t="shared" si="180"/>
        <v>8.4118326757584114</v>
      </c>
      <c r="AK329" s="4">
        <f t="shared" si="181"/>
        <v>5.7365722974791922</v>
      </c>
      <c r="AL329" s="4">
        <f t="shared" si="182"/>
        <v>0</v>
      </c>
      <c r="AM329" s="4">
        <f>CER!$C$7+CER!$C$8*J329+CER!$C$9*K329+CER!$C$10*L329+CER!$C$11*M329</f>
        <v>3.3332034559805801</v>
      </c>
      <c r="AN329" s="4">
        <f t="shared" si="183"/>
        <v>28.027984457701727</v>
      </c>
      <c r="AO329" s="4">
        <f t="shared" si="184"/>
        <v>-4.647087142276618E-2</v>
      </c>
      <c r="AP329" s="4">
        <f>Alternatives!$F$25+Alternatives!$F$26*J329+Alternatives!$F$27*K329+Alternatives!$F$28*G329+Alternatives!$F$29*O329</f>
        <v>3.2934304433147066</v>
      </c>
      <c r="AQ329" s="4">
        <f t="shared" si="185"/>
        <v>-6.6978587568926606E-3</v>
      </c>
    </row>
    <row r="330" spans="1:43" x14ac:dyDescent="0.35">
      <c r="A330" s="2" t="s">
        <v>320</v>
      </c>
      <c r="B330" s="2" t="s">
        <v>283</v>
      </c>
      <c r="C330" s="2" t="s">
        <v>67</v>
      </c>
      <c r="D330" s="2">
        <v>25.671500000000002</v>
      </c>
      <c r="E330" s="2">
        <v>5000</v>
      </c>
      <c r="F330" s="2">
        <v>310</v>
      </c>
      <c r="G330" s="2">
        <v>56.7</v>
      </c>
      <c r="H330" s="2" t="s">
        <v>68</v>
      </c>
      <c r="I330" s="4">
        <f t="shared" si="155"/>
        <v>3.2453814271454657</v>
      </c>
      <c r="J330" s="4">
        <f t="shared" si="156"/>
        <v>8.5171931914162382</v>
      </c>
      <c r="K330" s="4">
        <f t="shared" si="157"/>
        <v>5.7365722974791922</v>
      </c>
      <c r="L330" s="2">
        <v>0</v>
      </c>
      <c r="M330" s="2">
        <v>0</v>
      </c>
      <c r="N330" s="4">
        <f t="shared" si="158"/>
        <v>56.7</v>
      </c>
      <c r="O330" s="4">
        <f t="shared" si="159"/>
        <v>0</v>
      </c>
      <c r="P330" s="4">
        <f t="shared" si="160"/>
        <v>0</v>
      </c>
      <c r="Q330" s="4">
        <f t="shared" si="161"/>
        <v>8.5171931914162382</v>
      </c>
      <c r="R330" s="4">
        <f t="shared" si="162"/>
        <v>5.7365722974791922</v>
      </c>
      <c r="S330" s="4">
        <f t="shared" si="163"/>
        <v>56.7</v>
      </c>
      <c r="T330" s="4">
        <f t="shared" si="164"/>
        <v>0</v>
      </c>
      <c r="U330" s="4">
        <f t="shared" si="165"/>
        <v>8.5171931914162382</v>
      </c>
      <c r="V330" s="4">
        <f t="shared" si="166"/>
        <v>5.7365722974791922</v>
      </c>
      <c r="W330" s="4">
        <f t="shared" si="167"/>
        <v>56.7</v>
      </c>
      <c r="X330" s="4">
        <f t="shared" si="168"/>
        <v>0</v>
      </c>
      <c r="Y330" s="4">
        <f t="shared" si="169"/>
        <v>8.5171931914162382</v>
      </c>
      <c r="Z330" s="4">
        <f t="shared" si="170"/>
        <v>5.7365722974791922</v>
      </c>
      <c r="AA330" s="4">
        <f t="shared" si="171"/>
        <v>56.7</v>
      </c>
      <c r="AB330" s="4">
        <f t="shared" si="172"/>
        <v>0</v>
      </c>
      <c r="AC330" s="4">
        <f t="shared" si="173"/>
        <v>0</v>
      </c>
      <c r="AD330" s="4">
        <f t="shared" si="174"/>
        <v>0</v>
      </c>
      <c r="AE330" s="4">
        <f t="shared" si="175"/>
        <v>0</v>
      </c>
      <c r="AF330" s="4">
        <f t="shared" si="176"/>
        <v>0</v>
      </c>
      <c r="AG330" s="4">
        <f t="shared" si="177"/>
        <v>8.5171931914162382</v>
      </c>
      <c r="AH330" s="4">
        <f t="shared" si="178"/>
        <v>0</v>
      </c>
      <c r="AI330" s="4">
        <f t="shared" si="179"/>
        <v>0</v>
      </c>
      <c r="AJ330" s="4">
        <f t="shared" si="180"/>
        <v>8.5171931914162382</v>
      </c>
      <c r="AK330" s="4">
        <f t="shared" si="181"/>
        <v>5.7365722974791922</v>
      </c>
      <c r="AL330" s="4">
        <f t="shared" si="182"/>
        <v>0</v>
      </c>
      <c r="AM330" s="4">
        <f>CER!$C$7+CER!$C$8*J330+CER!$C$9*K330+CER!$C$10*L330+CER!$C$11*M330</f>
        <v>3.2855057896938553</v>
      </c>
      <c r="AN330" s="4">
        <f t="shared" si="183"/>
        <v>26.722496860851766</v>
      </c>
      <c r="AO330" s="4">
        <f t="shared" si="184"/>
        <v>-4.012436254838958E-2</v>
      </c>
      <c r="AP330" s="4">
        <f>Alternatives!$F$25+Alternatives!$F$26*J330+Alternatives!$F$27*K330+Alternatives!$F$28*G330+Alternatives!$F$29*O330</f>
        <v>3.3324228928044377</v>
      </c>
      <c r="AQ330" s="4">
        <f t="shared" si="185"/>
        <v>-8.7041465658971973E-2</v>
      </c>
    </row>
    <row r="331" spans="1:43" x14ac:dyDescent="0.35">
      <c r="A331" s="2" t="s">
        <v>321</v>
      </c>
      <c r="B331" s="2" t="s">
        <v>283</v>
      </c>
      <c r="C331" s="2" t="s">
        <v>67</v>
      </c>
      <c r="D331" s="2">
        <v>22.9604</v>
      </c>
      <c r="E331" s="2">
        <v>6000</v>
      </c>
      <c r="F331" s="2">
        <v>355</v>
      </c>
      <c r="G331" s="2">
        <v>57.6</v>
      </c>
      <c r="H331" s="2" t="s">
        <v>68</v>
      </c>
      <c r="I331" s="4">
        <f t="shared" si="155"/>
        <v>3.1337709929023987</v>
      </c>
      <c r="J331" s="4">
        <f t="shared" si="156"/>
        <v>8.6995147482101913</v>
      </c>
      <c r="K331" s="4">
        <f t="shared" si="157"/>
        <v>5.872117789475416</v>
      </c>
      <c r="L331" s="2">
        <v>0</v>
      </c>
      <c r="M331" s="2">
        <v>0</v>
      </c>
      <c r="N331" s="4">
        <f t="shared" si="158"/>
        <v>57.6</v>
      </c>
      <c r="O331" s="4">
        <f t="shared" si="159"/>
        <v>0</v>
      </c>
      <c r="P331" s="4">
        <f t="shared" si="160"/>
        <v>0</v>
      </c>
      <c r="Q331" s="4">
        <f t="shared" si="161"/>
        <v>8.6995147482101913</v>
      </c>
      <c r="R331" s="4">
        <f t="shared" si="162"/>
        <v>5.872117789475416</v>
      </c>
      <c r="S331" s="4">
        <f t="shared" si="163"/>
        <v>57.6</v>
      </c>
      <c r="T331" s="4">
        <f t="shared" si="164"/>
        <v>0</v>
      </c>
      <c r="U331" s="4">
        <f t="shared" si="165"/>
        <v>8.6995147482101913</v>
      </c>
      <c r="V331" s="4">
        <f t="shared" si="166"/>
        <v>5.872117789475416</v>
      </c>
      <c r="W331" s="4">
        <f t="shared" si="167"/>
        <v>57.6</v>
      </c>
      <c r="X331" s="4">
        <f t="shared" si="168"/>
        <v>0</v>
      </c>
      <c r="Y331" s="4">
        <f t="shared" si="169"/>
        <v>8.6995147482101913</v>
      </c>
      <c r="Z331" s="4">
        <f t="shared" si="170"/>
        <v>5.872117789475416</v>
      </c>
      <c r="AA331" s="4">
        <f t="shared" si="171"/>
        <v>57.6</v>
      </c>
      <c r="AB331" s="4">
        <f t="shared" si="172"/>
        <v>0</v>
      </c>
      <c r="AC331" s="4">
        <f t="shared" si="173"/>
        <v>0</v>
      </c>
      <c r="AD331" s="4">
        <f t="shared" si="174"/>
        <v>0</v>
      </c>
      <c r="AE331" s="4">
        <f t="shared" si="175"/>
        <v>0</v>
      </c>
      <c r="AF331" s="4">
        <f t="shared" si="176"/>
        <v>0</v>
      </c>
      <c r="AG331" s="4">
        <f t="shared" si="177"/>
        <v>8.6995147482101913</v>
      </c>
      <c r="AH331" s="4">
        <f t="shared" si="178"/>
        <v>0</v>
      </c>
      <c r="AI331" s="4">
        <f t="shared" si="179"/>
        <v>0</v>
      </c>
      <c r="AJ331" s="4">
        <f t="shared" si="180"/>
        <v>8.6995147482101913</v>
      </c>
      <c r="AK331" s="4">
        <f t="shared" si="181"/>
        <v>5.872117789475416</v>
      </c>
      <c r="AL331" s="4">
        <f t="shared" si="182"/>
        <v>0</v>
      </c>
      <c r="AM331" s="4">
        <f>CER!$C$7+CER!$C$8*J331+CER!$C$9*K331+CER!$C$10*L331+CER!$C$11*M331</f>
        <v>3.152958501013877</v>
      </c>
      <c r="AN331" s="4">
        <f t="shared" si="183"/>
        <v>23.405206579570098</v>
      </c>
      <c r="AO331" s="4">
        <f t="shared" si="184"/>
        <v>-1.9187508111478291E-2</v>
      </c>
      <c r="AP331" s="4">
        <f>Alternatives!$F$25+Alternatives!$F$26*J331+Alternatives!$F$27*K331+Alternatives!$F$28*G331+Alternatives!$F$29*O331</f>
        <v>3.3521209548647466</v>
      </c>
      <c r="AQ331" s="4">
        <f t="shared" si="185"/>
        <v>-0.2183499619623479</v>
      </c>
    </row>
    <row r="332" spans="1:43" x14ac:dyDescent="0.35">
      <c r="A332" s="2" t="s">
        <v>321</v>
      </c>
      <c r="B332" s="2" t="s">
        <v>283</v>
      </c>
      <c r="C332" s="2" t="s">
        <v>67</v>
      </c>
      <c r="D332" s="2">
        <v>22.466100000000001</v>
      </c>
      <c r="E332" s="2">
        <v>6000</v>
      </c>
      <c r="F332" s="2">
        <v>420</v>
      </c>
      <c r="G332" s="2">
        <v>57.6</v>
      </c>
      <c r="H332" s="2" t="s">
        <v>68</v>
      </c>
      <c r="I332" s="4">
        <f t="shared" si="155"/>
        <v>3.1120075063801291</v>
      </c>
      <c r="J332" s="4">
        <f t="shared" si="156"/>
        <v>8.6995147482101913</v>
      </c>
      <c r="K332" s="4">
        <f t="shared" si="157"/>
        <v>6.0402547112774139</v>
      </c>
      <c r="L332" s="2">
        <v>0</v>
      </c>
      <c r="M332" s="2">
        <v>0</v>
      </c>
      <c r="N332" s="4">
        <f t="shared" si="158"/>
        <v>57.6</v>
      </c>
      <c r="O332" s="4">
        <f t="shared" si="159"/>
        <v>0</v>
      </c>
      <c r="P332" s="4">
        <f t="shared" si="160"/>
        <v>0</v>
      </c>
      <c r="Q332" s="4">
        <f t="shared" si="161"/>
        <v>8.6995147482101913</v>
      </c>
      <c r="R332" s="4">
        <f t="shared" si="162"/>
        <v>6.0402547112774139</v>
      </c>
      <c r="S332" s="4">
        <f t="shared" si="163"/>
        <v>57.6</v>
      </c>
      <c r="T332" s="4">
        <f t="shared" si="164"/>
        <v>0</v>
      </c>
      <c r="U332" s="4">
        <f t="shared" si="165"/>
        <v>8.6995147482101913</v>
      </c>
      <c r="V332" s="4">
        <f t="shared" si="166"/>
        <v>6.0402547112774139</v>
      </c>
      <c r="W332" s="4">
        <f t="shared" si="167"/>
        <v>57.6</v>
      </c>
      <c r="X332" s="4">
        <f t="shared" si="168"/>
        <v>0</v>
      </c>
      <c r="Y332" s="4">
        <f t="shared" si="169"/>
        <v>8.6995147482101913</v>
      </c>
      <c r="Z332" s="4">
        <f t="shared" si="170"/>
        <v>6.0402547112774139</v>
      </c>
      <c r="AA332" s="4">
        <f t="shared" si="171"/>
        <v>57.6</v>
      </c>
      <c r="AB332" s="4">
        <f t="shared" si="172"/>
        <v>0</v>
      </c>
      <c r="AC332" s="4">
        <f t="shared" si="173"/>
        <v>0</v>
      </c>
      <c r="AD332" s="4">
        <f t="shared" si="174"/>
        <v>0</v>
      </c>
      <c r="AE332" s="4">
        <f t="shared" si="175"/>
        <v>0</v>
      </c>
      <c r="AF332" s="4">
        <f t="shared" si="176"/>
        <v>0</v>
      </c>
      <c r="AG332" s="4">
        <f t="shared" si="177"/>
        <v>8.6995147482101913</v>
      </c>
      <c r="AH332" s="4">
        <f t="shared" si="178"/>
        <v>0</v>
      </c>
      <c r="AI332" s="4">
        <f t="shared" si="179"/>
        <v>0</v>
      </c>
      <c r="AJ332" s="4">
        <f t="shared" si="180"/>
        <v>8.6995147482101913</v>
      </c>
      <c r="AK332" s="4">
        <f t="shared" si="181"/>
        <v>6.0402547112774139</v>
      </c>
      <c r="AL332" s="4">
        <f t="shared" si="182"/>
        <v>0</v>
      </c>
      <c r="AM332" s="4">
        <f>CER!$C$7+CER!$C$8*J332+CER!$C$9*K332+CER!$C$10*L332+CER!$C$11*M332</f>
        <v>3.0909254406460165</v>
      </c>
      <c r="AN332" s="4">
        <f t="shared" si="183"/>
        <v>21.997425870935263</v>
      </c>
      <c r="AO332" s="4">
        <f t="shared" si="184"/>
        <v>2.1082065734112643E-2</v>
      </c>
      <c r="AP332" s="4">
        <f>Alternatives!$F$25+Alternatives!$F$26*J332+Alternatives!$F$27*K332+Alternatives!$F$28*G332+Alternatives!$F$29*O332</f>
        <v>3.3073780439995737</v>
      </c>
      <c r="AQ332" s="4">
        <f t="shared" si="185"/>
        <v>-0.19537053761944456</v>
      </c>
    </row>
    <row r="333" spans="1:43" x14ac:dyDescent="0.35">
      <c r="A333" s="2" t="s">
        <v>321</v>
      </c>
      <c r="B333" s="2" t="s">
        <v>283</v>
      </c>
      <c r="C333" s="2" t="s">
        <v>67</v>
      </c>
      <c r="D333" s="2">
        <v>32</v>
      </c>
      <c r="E333" s="2">
        <v>6000</v>
      </c>
      <c r="F333" s="2">
        <v>277</v>
      </c>
      <c r="G333" s="2">
        <v>57.6</v>
      </c>
      <c r="H333" s="2" t="s">
        <v>68</v>
      </c>
      <c r="I333" s="4">
        <f t="shared" si="155"/>
        <v>3.4657359027997265</v>
      </c>
      <c r="J333" s="4">
        <f t="shared" si="156"/>
        <v>8.6995147482101913</v>
      </c>
      <c r="K333" s="4">
        <f t="shared" si="157"/>
        <v>5.6240175061873385</v>
      </c>
      <c r="L333" s="2">
        <v>0</v>
      </c>
      <c r="M333" s="2">
        <v>0</v>
      </c>
      <c r="N333" s="4">
        <f t="shared" si="158"/>
        <v>57.6</v>
      </c>
      <c r="O333" s="4">
        <f t="shared" si="159"/>
        <v>0</v>
      </c>
      <c r="P333" s="4">
        <f t="shared" si="160"/>
        <v>0</v>
      </c>
      <c r="Q333" s="4">
        <f t="shared" si="161"/>
        <v>8.6995147482101913</v>
      </c>
      <c r="R333" s="4">
        <f t="shared" si="162"/>
        <v>5.6240175061873385</v>
      </c>
      <c r="S333" s="4">
        <f t="shared" si="163"/>
        <v>57.6</v>
      </c>
      <c r="T333" s="4">
        <f t="shared" si="164"/>
        <v>0</v>
      </c>
      <c r="U333" s="4">
        <f t="shared" si="165"/>
        <v>8.6995147482101913</v>
      </c>
      <c r="V333" s="4">
        <f t="shared" si="166"/>
        <v>5.6240175061873385</v>
      </c>
      <c r="W333" s="4">
        <f t="shared" si="167"/>
        <v>57.6</v>
      </c>
      <c r="X333" s="4">
        <f t="shared" si="168"/>
        <v>0</v>
      </c>
      <c r="Y333" s="4">
        <f t="shared" si="169"/>
        <v>8.6995147482101913</v>
      </c>
      <c r="Z333" s="4">
        <f t="shared" si="170"/>
        <v>5.6240175061873385</v>
      </c>
      <c r="AA333" s="4">
        <f t="shared" si="171"/>
        <v>57.6</v>
      </c>
      <c r="AB333" s="4">
        <f t="shared" si="172"/>
        <v>0</v>
      </c>
      <c r="AC333" s="4">
        <f t="shared" si="173"/>
        <v>0</v>
      </c>
      <c r="AD333" s="4">
        <f t="shared" si="174"/>
        <v>0</v>
      </c>
      <c r="AE333" s="4">
        <f t="shared" si="175"/>
        <v>0</v>
      </c>
      <c r="AF333" s="4">
        <f t="shared" si="176"/>
        <v>0</v>
      </c>
      <c r="AG333" s="4">
        <f t="shared" si="177"/>
        <v>8.6995147482101913</v>
      </c>
      <c r="AH333" s="4">
        <f t="shared" si="178"/>
        <v>0</v>
      </c>
      <c r="AI333" s="4">
        <f t="shared" si="179"/>
        <v>0</v>
      </c>
      <c r="AJ333" s="4">
        <f t="shared" si="180"/>
        <v>8.6995147482101913</v>
      </c>
      <c r="AK333" s="4">
        <f t="shared" si="181"/>
        <v>5.6240175061873385</v>
      </c>
      <c r="AL333" s="4">
        <f t="shared" si="182"/>
        <v>0</v>
      </c>
      <c r="AM333" s="4">
        <f>CER!$C$7+CER!$C$8*J333+CER!$C$9*K333+CER!$C$10*L333+CER!$C$11*M333</f>
        <v>3.244493540941733</v>
      </c>
      <c r="AN333" s="4">
        <f t="shared" si="183"/>
        <v>25.6487167452864</v>
      </c>
      <c r="AO333" s="4">
        <f t="shared" si="184"/>
        <v>0.22124236185799351</v>
      </c>
      <c r="AP333" s="4">
        <f>Alternatives!$F$25+Alternatives!$F$26*J333+Alternatives!$F$27*K333+Alternatives!$F$28*G333+Alternatives!$F$29*O333</f>
        <v>3.4181429132889347</v>
      </c>
      <c r="AQ333" s="4">
        <f t="shared" si="185"/>
        <v>4.7592989510791828E-2</v>
      </c>
    </row>
    <row r="334" spans="1:43" x14ac:dyDescent="0.35">
      <c r="A334" s="2" t="s">
        <v>322</v>
      </c>
      <c r="B334" s="2" t="s">
        <v>283</v>
      </c>
      <c r="C334" s="2" t="s">
        <v>67</v>
      </c>
      <c r="D334" s="2">
        <v>31.266400000000001</v>
      </c>
      <c r="E334" s="2">
        <v>4500</v>
      </c>
      <c r="F334" s="2">
        <v>328</v>
      </c>
      <c r="G334" s="2">
        <v>56.7</v>
      </c>
      <c r="H334" s="2" t="s">
        <v>68</v>
      </c>
      <c r="I334" s="4">
        <f t="shared" si="155"/>
        <v>3.4425440385230508</v>
      </c>
      <c r="J334" s="4">
        <f t="shared" si="156"/>
        <v>8.4118326757584114</v>
      </c>
      <c r="K334" s="4">
        <f t="shared" si="157"/>
        <v>5.7930136083841441</v>
      </c>
      <c r="L334" s="2">
        <v>0</v>
      </c>
      <c r="M334" s="2">
        <v>0</v>
      </c>
      <c r="N334" s="4">
        <f t="shared" si="158"/>
        <v>56.7</v>
      </c>
      <c r="O334" s="4">
        <f t="shared" si="159"/>
        <v>0</v>
      </c>
      <c r="P334" s="4">
        <f t="shared" si="160"/>
        <v>0</v>
      </c>
      <c r="Q334" s="4">
        <f t="shared" si="161"/>
        <v>8.4118326757584114</v>
      </c>
      <c r="R334" s="4">
        <f t="shared" si="162"/>
        <v>5.7930136083841441</v>
      </c>
      <c r="S334" s="4">
        <f t="shared" si="163"/>
        <v>56.7</v>
      </c>
      <c r="T334" s="4">
        <f t="shared" si="164"/>
        <v>0</v>
      </c>
      <c r="U334" s="4">
        <f t="shared" si="165"/>
        <v>8.4118326757584114</v>
      </c>
      <c r="V334" s="4">
        <f t="shared" si="166"/>
        <v>5.7930136083841441</v>
      </c>
      <c r="W334" s="4">
        <f t="shared" si="167"/>
        <v>56.7</v>
      </c>
      <c r="X334" s="4">
        <f t="shared" si="168"/>
        <v>0</v>
      </c>
      <c r="Y334" s="4">
        <f t="shared" si="169"/>
        <v>8.4118326757584114</v>
      </c>
      <c r="Z334" s="4">
        <f t="shared" si="170"/>
        <v>5.7930136083841441</v>
      </c>
      <c r="AA334" s="4">
        <f t="shared" si="171"/>
        <v>56.7</v>
      </c>
      <c r="AB334" s="4">
        <f t="shared" si="172"/>
        <v>0</v>
      </c>
      <c r="AC334" s="4">
        <f t="shared" si="173"/>
        <v>0</v>
      </c>
      <c r="AD334" s="4">
        <f t="shared" si="174"/>
        <v>0</v>
      </c>
      <c r="AE334" s="4">
        <f t="shared" si="175"/>
        <v>0</v>
      </c>
      <c r="AF334" s="4">
        <f t="shared" si="176"/>
        <v>0</v>
      </c>
      <c r="AG334" s="4">
        <f t="shared" si="177"/>
        <v>8.4118326757584114</v>
      </c>
      <c r="AH334" s="4">
        <f t="shared" si="178"/>
        <v>0</v>
      </c>
      <c r="AI334" s="4">
        <f t="shared" si="179"/>
        <v>0</v>
      </c>
      <c r="AJ334" s="4">
        <f t="shared" si="180"/>
        <v>8.4118326757584114</v>
      </c>
      <c r="AK334" s="4">
        <f t="shared" si="181"/>
        <v>5.7930136083841441</v>
      </c>
      <c r="AL334" s="4">
        <f t="shared" si="182"/>
        <v>0</v>
      </c>
      <c r="AM334" s="4">
        <f>CER!$C$7+CER!$C$8*J334+CER!$C$9*K334+CER!$C$10*L334+CER!$C$11*M334</f>
        <v>3.3123797891197628</v>
      </c>
      <c r="AN334" s="4">
        <f t="shared" si="183"/>
        <v>27.450373903504421</v>
      </c>
      <c r="AO334" s="4">
        <f t="shared" si="184"/>
        <v>0.13016424940328797</v>
      </c>
      <c r="AP334" s="4">
        <f>Alternatives!$F$25+Alternatives!$F$26*J334+Alternatives!$F$27*K334+Alternatives!$F$28*G334+Alternatives!$F$29*O334</f>
        <v>3.2784108478810063</v>
      </c>
      <c r="AQ334" s="4">
        <f t="shared" si="185"/>
        <v>0.16413319064204446</v>
      </c>
    </row>
    <row r="335" spans="1:43" x14ac:dyDescent="0.35">
      <c r="A335" s="2" t="s">
        <v>323</v>
      </c>
      <c r="B335" s="2" t="s">
        <v>283</v>
      </c>
      <c r="C335" s="2" t="s">
        <v>67</v>
      </c>
      <c r="D335" s="2">
        <v>29.091999999999999</v>
      </c>
      <c r="E335" s="2">
        <v>5000</v>
      </c>
      <c r="F335" s="2">
        <v>328</v>
      </c>
      <c r="G335" s="2">
        <v>56.7</v>
      </c>
      <c r="H335" s="2" t="s">
        <v>68</v>
      </c>
      <c r="I335" s="4">
        <f t="shared" si="155"/>
        <v>3.3704632222922943</v>
      </c>
      <c r="J335" s="4">
        <f t="shared" si="156"/>
        <v>8.5171931914162382</v>
      </c>
      <c r="K335" s="4">
        <f t="shared" si="157"/>
        <v>5.7930136083841441</v>
      </c>
      <c r="L335" s="2">
        <v>0</v>
      </c>
      <c r="M335" s="2">
        <v>0</v>
      </c>
      <c r="N335" s="4">
        <f t="shared" si="158"/>
        <v>56.7</v>
      </c>
      <c r="O335" s="4">
        <f t="shared" si="159"/>
        <v>0</v>
      </c>
      <c r="P335" s="4">
        <f t="shared" si="160"/>
        <v>0</v>
      </c>
      <c r="Q335" s="4">
        <f t="shared" si="161"/>
        <v>8.5171931914162382</v>
      </c>
      <c r="R335" s="4">
        <f t="shared" si="162"/>
        <v>5.7930136083841441</v>
      </c>
      <c r="S335" s="4">
        <f t="shared" si="163"/>
        <v>56.7</v>
      </c>
      <c r="T335" s="4">
        <f t="shared" si="164"/>
        <v>0</v>
      </c>
      <c r="U335" s="4">
        <f t="shared" si="165"/>
        <v>8.5171931914162382</v>
      </c>
      <c r="V335" s="4">
        <f t="shared" si="166"/>
        <v>5.7930136083841441</v>
      </c>
      <c r="W335" s="4">
        <f t="shared" si="167"/>
        <v>56.7</v>
      </c>
      <c r="X335" s="4">
        <f t="shared" si="168"/>
        <v>0</v>
      </c>
      <c r="Y335" s="4">
        <f t="shared" si="169"/>
        <v>8.5171931914162382</v>
      </c>
      <c r="Z335" s="4">
        <f t="shared" si="170"/>
        <v>5.7930136083841441</v>
      </c>
      <c r="AA335" s="4">
        <f t="shared" si="171"/>
        <v>56.7</v>
      </c>
      <c r="AB335" s="4">
        <f t="shared" si="172"/>
        <v>0</v>
      </c>
      <c r="AC335" s="4">
        <f t="shared" si="173"/>
        <v>0</v>
      </c>
      <c r="AD335" s="4">
        <f t="shared" si="174"/>
        <v>0</v>
      </c>
      <c r="AE335" s="4">
        <f t="shared" si="175"/>
        <v>0</v>
      </c>
      <c r="AF335" s="4">
        <f t="shared" si="176"/>
        <v>0</v>
      </c>
      <c r="AG335" s="4">
        <f t="shared" si="177"/>
        <v>8.5171931914162382</v>
      </c>
      <c r="AH335" s="4">
        <f t="shared" si="178"/>
        <v>0</v>
      </c>
      <c r="AI335" s="4">
        <f t="shared" si="179"/>
        <v>0</v>
      </c>
      <c r="AJ335" s="4">
        <f t="shared" si="180"/>
        <v>8.5171931914162382</v>
      </c>
      <c r="AK335" s="4">
        <f t="shared" si="181"/>
        <v>5.7930136083841441</v>
      </c>
      <c r="AL335" s="4">
        <f t="shared" si="182"/>
        <v>0</v>
      </c>
      <c r="AM335" s="4">
        <f>CER!$C$7+CER!$C$8*J335+CER!$C$9*K335+CER!$C$10*L335+CER!$C$11*M335</f>
        <v>3.264682122833038</v>
      </c>
      <c r="AN335" s="4">
        <f t="shared" si="183"/>
        <v>26.171790253866654</v>
      </c>
      <c r="AO335" s="4">
        <f t="shared" si="184"/>
        <v>0.10578109945925629</v>
      </c>
      <c r="AP335" s="4">
        <f>Alternatives!$F$25+Alternatives!$F$26*J335+Alternatives!$F$27*K335+Alternatives!$F$28*G335+Alternatives!$F$29*O335</f>
        <v>3.3174032973707375</v>
      </c>
      <c r="AQ335" s="4">
        <f t="shared" si="185"/>
        <v>5.3059924921556867E-2</v>
      </c>
    </row>
    <row r="336" spans="1:43" x14ac:dyDescent="0.35">
      <c r="A336" s="2" t="s">
        <v>324</v>
      </c>
      <c r="B336" s="2" t="s">
        <v>283</v>
      </c>
      <c r="C336" s="2" t="s">
        <v>67</v>
      </c>
      <c r="D336" s="2">
        <v>22.9604</v>
      </c>
      <c r="E336" s="2">
        <v>6000</v>
      </c>
      <c r="F336" s="2">
        <v>355</v>
      </c>
      <c r="G336" s="2">
        <v>63.9</v>
      </c>
      <c r="H336" s="2" t="s">
        <v>68</v>
      </c>
      <c r="I336" s="4">
        <f t="shared" si="155"/>
        <v>3.1337709929023987</v>
      </c>
      <c r="J336" s="4">
        <f t="shared" si="156"/>
        <v>8.6995147482101913</v>
      </c>
      <c r="K336" s="4">
        <f t="shared" si="157"/>
        <v>5.872117789475416</v>
      </c>
      <c r="L336" s="2">
        <v>0</v>
      </c>
      <c r="M336" s="2">
        <v>0</v>
      </c>
      <c r="N336" s="4">
        <f t="shared" si="158"/>
        <v>63.9</v>
      </c>
      <c r="O336" s="4">
        <f t="shared" si="159"/>
        <v>0</v>
      </c>
      <c r="P336" s="4">
        <f t="shared" si="160"/>
        <v>0</v>
      </c>
      <c r="Q336" s="4">
        <f t="shared" si="161"/>
        <v>8.6995147482101913</v>
      </c>
      <c r="R336" s="4">
        <f t="shared" si="162"/>
        <v>5.872117789475416</v>
      </c>
      <c r="S336" s="4">
        <f t="shared" si="163"/>
        <v>63.9</v>
      </c>
      <c r="T336" s="4">
        <f t="shared" si="164"/>
        <v>0</v>
      </c>
      <c r="U336" s="4">
        <f t="shared" si="165"/>
        <v>8.6995147482101913</v>
      </c>
      <c r="V336" s="4">
        <f t="shared" si="166"/>
        <v>5.872117789475416</v>
      </c>
      <c r="W336" s="4">
        <f t="shared" si="167"/>
        <v>63.9</v>
      </c>
      <c r="X336" s="4">
        <f t="shared" si="168"/>
        <v>0</v>
      </c>
      <c r="Y336" s="4">
        <f t="shared" si="169"/>
        <v>8.6995147482101913</v>
      </c>
      <c r="Z336" s="4">
        <f t="shared" si="170"/>
        <v>5.872117789475416</v>
      </c>
      <c r="AA336" s="4">
        <f t="shared" si="171"/>
        <v>63.9</v>
      </c>
      <c r="AB336" s="4">
        <f t="shared" si="172"/>
        <v>0</v>
      </c>
      <c r="AC336" s="4">
        <f t="shared" si="173"/>
        <v>0</v>
      </c>
      <c r="AD336" s="4">
        <f t="shared" si="174"/>
        <v>0</v>
      </c>
      <c r="AE336" s="4">
        <f t="shared" si="175"/>
        <v>0</v>
      </c>
      <c r="AF336" s="4">
        <f t="shared" si="176"/>
        <v>0</v>
      </c>
      <c r="AG336" s="4">
        <f t="shared" si="177"/>
        <v>8.6995147482101913</v>
      </c>
      <c r="AH336" s="4">
        <f t="shared" si="178"/>
        <v>0</v>
      </c>
      <c r="AI336" s="4">
        <f t="shared" si="179"/>
        <v>0</v>
      </c>
      <c r="AJ336" s="4">
        <f t="shared" si="180"/>
        <v>8.6995147482101913</v>
      </c>
      <c r="AK336" s="4">
        <f t="shared" si="181"/>
        <v>5.872117789475416</v>
      </c>
      <c r="AL336" s="4">
        <f t="shared" si="182"/>
        <v>0</v>
      </c>
      <c r="AM336" s="4">
        <f>CER!$C$7+CER!$C$8*J336+CER!$C$9*K336+CER!$C$10*L336+CER!$C$11*M336</f>
        <v>3.152958501013877</v>
      </c>
      <c r="AN336" s="4">
        <f t="shared" si="183"/>
        <v>23.405206579570098</v>
      </c>
      <c r="AO336" s="4">
        <f t="shared" si="184"/>
        <v>-1.9187508111478291E-2</v>
      </c>
      <c r="AP336" s="4">
        <f>Alternatives!$F$25+Alternatives!$F$26*J336+Alternatives!$F$27*K336+Alternatives!$F$28*G336+Alternatives!$F$29*O336</f>
        <v>3.2701748732487088</v>
      </c>
      <c r="AQ336" s="4">
        <f t="shared" si="185"/>
        <v>-0.13640388034631012</v>
      </c>
    </row>
    <row r="337" spans="1:43" x14ac:dyDescent="0.35">
      <c r="A337" s="2" t="s">
        <v>324</v>
      </c>
      <c r="B337" s="2" t="s">
        <v>283</v>
      </c>
      <c r="C337" s="2" t="s">
        <v>67</v>
      </c>
      <c r="D337" s="2">
        <v>22.466100000000001</v>
      </c>
      <c r="E337" s="2">
        <v>6000</v>
      </c>
      <c r="F337" s="2">
        <v>420</v>
      </c>
      <c r="G337" s="2">
        <v>63.9</v>
      </c>
      <c r="H337" s="2" t="s">
        <v>68</v>
      </c>
      <c r="I337" s="4">
        <f t="shared" si="155"/>
        <v>3.1120075063801291</v>
      </c>
      <c r="J337" s="4">
        <f t="shared" si="156"/>
        <v>8.6995147482101913</v>
      </c>
      <c r="K337" s="4">
        <f t="shared" si="157"/>
        <v>6.0402547112774139</v>
      </c>
      <c r="L337" s="2">
        <v>0</v>
      </c>
      <c r="M337" s="2">
        <v>0</v>
      </c>
      <c r="N337" s="4">
        <f t="shared" si="158"/>
        <v>63.9</v>
      </c>
      <c r="O337" s="4">
        <f t="shared" si="159"/>
        <v>0</v>
      </c>
      <c r="P337" s="4">
        <f t="shared" si="160"/>
        <v>0</v>
      </c>
      <c r="Q337" s="4">
        <f t="shared" si="161"/>
        <v>8.6995147482101913</v>
      </c>
      <c r="R337" s="4">
        <f t="shared" si="162"/>
        <v>6.0402547112774139</v>
      </c>
      <c r="S337" s="4">
        <f t="shared" si="163"/>
        <v>63.9</v>
      </c>
      <c r="T337" s="4">
        <f t="shared" si="164"/>
        <v>0</v>
      </c>
      <c r="U337" s="4">
        <f t="shared" si="165"/>
        <v>8.6995147482101913</v>
      </c>
      <c r="V337" s="4">
        <f t="shared" si="166"/>
        <v>6.0402547112774139</v>
      </c>
      <c r="W337" s="4">
        <f t="shared" si="167"/>
        <v>63.9</v>
      </c>
      <c r="X337" s="4">
        <f t="shared" si="168"/>
        <v>0</v>
      </c>
      <c r="Y337" s="4">
        <f t="shared" si="169"/>
        <v>8.6995147482101913</v>
      </c>
      <c r="Z337" s="4">
        <f t="shared" si="170"/>
        <v>6.0402547112774139</v>
      </c>
      <c r="AA337" s="4">
        <f t="shared" si="171"/>
        <v>63.9</v>
      </c>
      <c r="AB337" s="4">
        <f t="shared" si="172"/>
        <v>0</v>
      </c>
      <c r="AC337" s="4">
        <f t="shared" si="173"/>
        <v>0</v>
      </c>
      <c r="AD337" s="4">
        <f t="shared" si="174"/>
        <v>0</v>
      </c>
      <c r="AE337" s="4">
        <f t="shared" si="175"/>
        <v>0</v>
      </c>
      <c r="AF337" s="4">
        <f t="shared" si="176"/>
        <v>0</v>
      </c>
      <c r="AG337" s="4">
        <f t="shared" si="177"/>
        <v>8.6995147482101913</v>
      </c>
      <c r="AH337" s="4">
        <f t="shared" si="178"/>
        <v>0</v>
      </c>
      <c r="AI337" s="4">
        <f t="shared" si="179"/>
        <v>0</v>
      </c>
      <c r="AJ337" s="4">
        <f t="shared" si="180"/>
        <v>8.6995147482101913</v>
      </c>
      <c r="AK337" s="4">
        <f t="shared" si="181"/>
        <v>6.0402547112774139</v>
      </c>
      <c r="AL337" s="4">
        <f t="shared" si="182"/>
        <v>0</v>
      </c>
      <c r="AM337" s="4">
        <f>CER!$C$7+CER!$C$8*J337+CER!$C$9*K337+CER!$C$10*L337+CER!$C$11*M337</f>
        <v>3.0909254406460165</v>
      </c>
      <c r="AN337" s="4">
        <f t="shared" si="183"/>
        <v>21.997425870935263</v>
      </c>
      <c r="AO337" s="4">
        <f t="shared" si="184"/>
        <v>2.1082065734112643E-2</v>
      </c>
      <c r="AP337" s="4">
        <f>Alternatives!$F$25+Alternatives!$F$26*J337+Alternatives!$F$27*K337+Alternatives!$F$28*G337+Alternatives!$F$29*O337</f>
        <v>3.2254319623835359</v>
      </c>
      <c r="AQ337" s="4">
        <f t="shared" si="185"/>
        <v>-0.11342445600340678</v>
      </c>
    </row>
    <row r="338" spans="1:43" x14ac:dyDescent="0.35">
      <c r="A338" s="2" t="s">
        <v>324</v>
      </c>
      <c r="B338" s="2" t="s">
        <v>283</v>
      </c>
      <c r="C338" s="2" t="s">
        <v>67</v>
      </c>
      <c r="D338" s="2">
        <v>31.219200000000001</v>
      </c>
      <c r="E338" s="2">
        <v>6500</v>
      </c>
      <c r="F338" s="2">
        <v>277</v>
      </c>
      <c r="G338" s="2">
        <v>63.9</v>
      </c>
      <c r="H338" s="2" t="s">
        <v>68</v>
      </c>
      <c r="I338" s="4">
        <f t="shared" si="155"/>
        <v>3.4410332901593548</v>
      </c>
      <c r="J338" s="4">
        <f t="shared" si="156"/>
        <v>8.7795574558837277</v>
      </c>
      <c r="K338" s="4">
        <f t="shared" si="157"/>
        <v>5.6240175061873385</v>
      </c>
      <c r="L338" s="2">
        <v>0</v>
      </c>
      <c r="M338" s="2">
        <v>0</v>
      </c>
      <c r="N338" s="4">
        <f t="shared" si="158"/>
        <v>63.9</v>
      </c>
      <c r="O338" s="4">
        <f t="shared" si="159"/>
        <v>0</v>
      </c>
      <c r="P338" s="4">
        <f t="shared" si="160"/>
        <v>0</v>
      </c>
      <c r="Q338" s="4">
        <f t="shared" si="161"/>
        <v>8.7795574558837277</v>
      </c>
      <c r="R338" s="4">
        <f t="shared" si="162"/>
        <v>5.6240175061873385</v>
      </c>
      <c r="S338" s="4">
        <f t="shared" si="163"/>
        <v>63.9</v>
      </c>
      <c r="T338" s="4">
        <f t="shared" si="164"/>
        <v>0</v>
      </c>
      <c r="U338" s="4">
        <f t="shared" si="165"/>
        <v>8.7795574558837277</v>
      </c>
      <c r="V338" s="4">
        <f t="shared" si="166"/>
        <v>5.6240175061873385</v>
      </c>
      <c r="W338" s="4">
        <f t="shared" si="167"/>
        <v>63.9</v>
      </c>
      <c r="X338" s="4">
        <f t="shared" si="168"/>
        <v>0</v>
      </c>
      <c r="Y338" s="4">
        <f t="shared" si="169"/>
        <v>8.7795574558837277</v>
      </c>
      <c r="Z338" s="4">
        <f t="shared" si="170"/>
        <v>5.6240175061873385</v>
      </c>
      <c r="AA338" s="4">
        <f t="shared" si="171"/>
        <v>63.9</v>
      </c>
      <c r="AB338" s="4">
        <f t="shared" si="172"/>
        <v>0</v>
      </c>
      <c r="AC338" s="4">
        <f t="shared" si="173"/>
        <v>0</v>
      </c>
      <c r="AD338" s="4">
        <f t="shared" si="174"/>
        <v>0</v>
      </c>
      <c r="AE338" s="4">
        <f t="shared" si="175"/>
        <v>0</v>
      </c>
      <c r="AF338" s="4">
        <f t="shared" si="176"/>
        <v>0</v>
      </c>
      <c r="AG338" s="4">
        <f t="shared" si="177"/>
        <v>8.7795574558837277</v>
      </c>
      <c r="AH338" s="4">
        <f t="shared" si="178"/>
        <v>0</v>
      </c>
      <c r="AI338" s="4">
        <f t="shared" si="179"/>
        <v>0</v>
      </c>
      <c r="AJ338" s="4">
        <f t="shared" si="180"/>
        <v>8.7795574558837277</v>
      </c>
      <c r="AK338" s="4">
        <f t="shared" si="181"/>
        <v>5.6240175061873385</v>
      </c>
      <c r="AL338" s="4">
        <f t="shared" si="182"/>
        <v>0</v>
      </c>
      <c r="AM338" s="4">
        <f>CER!$C$7+CER!$C$8*J338+CER!$C$9*K338+CER!$C$10*L338+CER!$C$11*M338</f>
        <v>3.2082574772184196</v>
      </c>
      <c r="AN338" s="4">
        <f t="shared" si="183"/>
        <v>24.735945699924063</v>
      </c>
      <c r="AO338" s="4">
        <f t="shared" si="184"/>
        <v>0.23277581294093519</v>
      </c>
      <c r="AP338" s="4">
        <f>Alternatives!$F$25+Alternatives!$F$26*J338+Alternatives!$F$27*K338+Alternatives!$F$28*G338+Alternatives!$F$29*O338</f>
        <v>3.3658195154315615</v>
      </c>
      <c r="AQ338" s="4">
        <f t="shared" si="185"/>
        <v>7.5213774727793226E-2</v>
      </c>
    </row>
    <row r="339" spans="1:43" x14ac:dyDescent="0.35">
      <c r="A339" s="2" t="s">
        <v>325</v>
      </c>
      <c r="B339" s="2" t="s">
        <v>283</v>
      </c>
      <c r="C339" s="2" t="s">
        <v>67</v>
      </c>
      <c r="D339" s="2">
        <v>22.9604</v>
      </c>
      <c r="E339" s="2">
        <v>6000</v>
      </c>
      <c r="F339" s="2">
        <v>355</v>
      </c>
      <c r="G339" s="2">
        <v>57.5</v>
      </c>
      <c r="H339" s="2" t="s">
        <v>68</v>
      </c>
      <c r="I339" s="4">
        <f t="shared" si="155"/>
        <v>3.1337709929023987</v>
      </c>
      <c r="J339" s="4">
        <f t="shared" si="156"/>
        <v>8.6995147482101913</v>
      </c>
      <c r="K339" s="4">
        <f t="shared" si="157"/>
        <v>5.872117789475416</v>
      </c>
      <c r="L339" s="2">
        <v>0</v>
      </c>
      <c r="M339" s="2">
        <v>0</v>
      </c>
      <c r="N339" s="4">
        <f t="shared" si="158"/>
        <v>57.5</v>
      </c>
      <c r="O339" s="4">
        <f t="shared" si="159"/>
        <v>0</v>
      </c>
      <c r="P339" s="4">
        <f t="shared" si="160"/>
        <v>0</v>
      </c>
      <c r="Q339" s="4">
        <f t="shared" si="161"/>
        <v>8.6995147482101913</v>
      </c>
      <c r="R339" s="4">
        <f t="shared" si="162"/>
        <v>5.872117789475416</v>
      </c>
      <c r="S339" s="4">
        <f t="shared" si="163"/>
        <v>57.5</v>
      </c>
      <c r="T339" s="4">
        <f t="shared" si="164"/>
        <v>0</v>
      </c>
      <c r="U339" s="4">
        <f t="shared" si="165"/>
        <v>8.6995147482101913</v>
      </c>
      <c r="V339" s="4">
        <f t="shared" si="166"/>
        <v>5.872117789475416</v>
      </c>
      <c r="W339" s="4">
        <f t="shared" si="167"/>
        <v>57.5</v>
      </c>
      <c r="X339" s="4">
        <f t="shared" si="168"/>
        <v>0</v>
      </c>
      <c r="Y339" s="4">
        <f t="shared" si="169"/>
        <v>8.6995147482101913</v>
      </c>
      <c r="Z339" s="4">
        <f t="shared" si="170"/>
        <v>5.872117789475416</v>
      </c>
      <c r="AA339" s="4">
        <f t="shared" si="171"/>
        <v>57.5</v>
      </c>
      <c r="AB339" s="4">
        <f t="shared" si="172"/>
        <v>0</v>
      </c>
      <c r="AC339" s="4">
        <f t="shared" si="173"/>
        <v>0</v>
      </c>
      <c r="AD339" s="4">
        <f t="shared" si="174"/>
        <v>0</v>
      </c>
      <c r="AE339" s="4">
        <f t="shared" si="175"/>
        <v>0</v>
      </c>
      <c r="AF339" s="4">
        <f t="shared" si="176"/>
        <v>0</v>
      </c>
      <c r="AG339" s="4">
        <f t="shared" si="177"/>
        <v>8.6995147482101913</v>
      </c>
      <c r="AH339" s="4">
        <f t="shared" si="178"/>
        <v>0</v>
      </c>
      <c r="AI339" s="4">
        <f t="shared" si="179"/>
        <v>0</v>
      </c>
      <c r="AJ339" s="4">
        <f t="shared" si="180"/>
        <v>8.6995147482101913</v>
      </c>
      <c r="AK339" s="4">
        <f t="shared" si="181"/>
        <v>5.872117789475416</v>
      </c>
      <c r="AL339" s="4">
        <f t="shared" si="182"/>
        <v>0</v>
      </c>
      <c r="AM339" s="4">
        <f>CER!$C$7+CER!$C$8*J339+CER!$C$9*K339+CER!$C$10*L339+CER!$C$11*M339</f>
        <v>3.152958501013877</v>
      </c>
      <c r="AN339" s="4">
        <f t="shared" si="183"/>
        <v>23.405206579570098</v>
      </c>
      <c r="AO339" s="4">
        <f t="shared" si="184"/>
        <v>-1.9187508111478291E-2</v>
      </c>
      <c r="AP339" s="4">
        <f>Alternatives!$F$25+Alternatives!$F$26*J339+Alternatives!$F$27*K339+Alternatives!$F$28*G339+Alternatives!$F$29*O339</f>
        <v>3.3534216863189696</v>
      </c>
      <c r="AQ339" s="4">
        <f t="shared" si="185"/>
        <v>-0.21965069341657095</v>
      </c>
    </row>
    <row r="340" spans="1:43" x14ac:dyDescent="0.35">
      <c r="A340" s="2" t="s">
        <v>325</v>
      </c>
      <c r="B340" s="2" t="s">
        <v>283</v>
      </c>
      <c r="C340" s="2" t="s">
        <v>67</v>
      </c>
      <c r="D340" s="2">
        <v>21.4877</v>
      </c>
      <c r="E340" s="2">
        <v>6000</v>
      </c>
      <c r="F340" s="2">
        <v>355</v>
      </c>
      <c r="G340" s="2">
        <v>57.5</v>
      </c>
      <c r="H340" s="2" t="s">
        <v>68</v>
      </c>
      <c r="I340" s="4">
        <f t="shared" si="155"/>
        <v>3.0674806784027076</v>
      </c>
      <c r="J340" s="4">
        <f t="shared" si="156"/>
        <v>8.6995147482101913</v>
      </c>
      <c r="K340" s="4">
        <f t="shared" si="157"/>
        <v>5.872117789475416</v>
      </c>
      <c r="L340" s="2">
        <v>0</v>
      </c>
      <c r="M340" s="2">
        <v>0</v>
      </c>
      <c r="N340" s="4">
        <f t="shared" si="158"/>
        <v>57.5</v>
      </c>
      <c r="O340" s="4">
        <f t="shared" si="159"/>
        <v>0</v>
      </c>
      <c r="P340" s="4">
        <f t="shared" si="160"/>
        <v>0</v>
      </c>
      <c r="Q340" s="4">
        <f t="shared" si="161"/>
        <v>8.6995147482101913</v>
      </c>
      <c r="R340" s="4">
        <f t="shared" si="162"/>
        <v>5.872117789475416</v>
      </c>
      <c r="S340" s="4">
        <f t="shared" si="163"/>
        <v>57.5</v>
      </c>
      <c r="T340" s="4">
        <f t="shared" si="164"/>
        <v>0</v>
      </c>
      <c r="U340" s="4">
        <f t="shared" si="165"/>
        <v>8.6995147482101913</v>
      </c>
      <c r="V340" s="4">
        <f t="shared" si="166"/>
        <v>5.872117789475416</v>
      </c>
      <c r="W340" s="4">
        <f t="shared" si="167"/>
        <v>57.5</v>
      </c>
      <c r="X340" s="4">
        <f t="shared" si="168"/>
        <v>0</v>
      </c>
      <c r="Y340" s="4">
        <f t="shared" si="169"/>
        <v>8.6995147482101913</v>
      </c>
      <c r="Z340" s="4">
        <f t="shared" si="170"/>
        <v>5.872117789475416</v>
      </c>
      <c r="AA340" s="4">
        <f t="shared" si="171"/>
        <v>57.5</v>
      </c>
      <c r="AB340" s="4">
        <f t="shared" si="172"/>
        <v>0</v>
      </c>
      <c r="AC340" s="4">
        <f t="shared" si="173"/>
        <v>0</v>
      </c>
      <c r="AD340" s="4">
        <f t="shared" si="174"/>
        <v>0</v>
      </c>
      <c r="AE340" s="4">
        <f t="shared" si="175"/>
        <v>0</v>
      </c>
      <c r="AF340" s="4">
        <f t="shared" si="176"/>
        <v>0</v>
      </c>
      <c r="AG340" s="4">
        <f t="shared" si="177"/>
        <v>8.6995147482101913</v>
      </c>
      <c r="AH340" s="4">
        <f t="shared" si="178"/>
        <v>0</v>
      </c>
      <c r="AI340" s="4">
        <f t="shared" si="179"/>
        <v>0</v>
      </c>
      <c r="AJ340" s="4">
        <f t="shared" si="180"/>
        <v>8.6995147482101913</v>
      </c>
      <c r="AK340" s="4">
        <f t="shared" si="181"/>
        <v>5.872117789475416</v>
      </c>
      <c r="AL340" s="4">
        <f t="shared" si="182"/>
        <v>0</v>
      </c>
      <c r="AM340" s="4">
        <f>CER!$C$7+CER!$C$8*J340+CER!$C$9*K340+CER!$C$10*L340+CER!$C$11*M340</f>
        <v>3.152958501013877</v>
      </c>
      <c r="AN340" s="4">
        <f t="shared" si="183"/>
        <v>23.405206579570098</v>
      </c>
      <c r="AO340" s="4">
        <f t="shared" si="184"/>
        <v>-8.5477822611169429E-2</v>
      </c>
      <c r="AP340" s="4">
        <f>Alternatives!$F$25+Alternatives!$F$26*J340+Alternatives!$F$27*K340+Alternatives!$F$28*G340+Alternatives!$F$29*O340</f>
        <v>3.3534216863189696</v>
      </c>
      <c r="AQ340" s="4">
        <f t="shared" si="185"/>
        <v>-0.28594100791626209</v>
      </c>
    </row>
    <row r="341" spans="1:43" x14ac:dyDescent="0.35">
      <c r="A341" s="2" t="s">
        <v>325</v>
      </c>
      <c r="B341" s="2" t="s">
        <v>283</v>
      </c>
      <c r="C341" s="2" t="s">
        <v>67</v>
      </c>
      <c r="D341" s="2">
        <v>20.7746</v>
      </c>
      <c r="E341" s="2">
        <v>6500</v>
      </c>
      <c r="F341" s="2">
        <v>420</v>
      </c>
      <c r="G341" s="2">
        <v>57.5</v>
      </c>
      <c r="H341" s="2" t="s">
        <v>68</v>
      </c>
      <c r="I341" s="4">
        <f t="shared" si="155"/>
        <v>3.0337310866452021</v>
      </c>
      <c r="J341" s="4">
        <f t="shared" si="156"/>
        <v>8.7795574558837277</v>
      </c>
      <c r="K341" s="4">
        <f t="shared" si="157"/>
        <v>6.0402547112774139</v>
      </c>
      <c r="L341" s="2">
        <v>0</v>
      </c>
      <c r="M341" s="2">
        <v>0</v>
      </c>
      <c r="N341" s="4">
        <f t="shared" si="158"/>
        <v>57.5</v>
      </c>
      <c r="O341" s="4">
        <f t="shared" si="159"/>
        <v>0</v>
      </c>
      <c r="P341" s="4">
        <f t="shared" si="160"/>
        <v>0</v>
      </c>
      <c r="Q341" s="4">
        <f t="shared" si="161"/>
        <v>8.7795574558837277</v>
      </c>
      <c r="R341" s="4">
        <f t="shared" si="162"/>
        <v>6.0402547112774139</v>
      </c>
      <c r="S341" s="4">
        <f t="shared" si="163"/>
        <v>57.5</v>
      </c>
      <c r="T341" s="4">
        <f t="shared" si="164"/>
        <v>0</v>
      </c>
      <c r="U341" s="4">
        <f t="shared" si="165"/>
        <v>8.7795574558837277</v>
      </c>
      <c r="V341" s="4">
        <f t="shared" si="166"/>
        <v>6.0402547112774139</v>
      </c>
      <c r="W341" s="4">
        <f t="shared" si="167"/>
        <v>57.5</v>
      </c>
      <c r="X341" s="4">
        <f t="shared" si="168"/>
        <v>0</v>
      </c>
      <c r="Y341" s="4">
        <f t="shared" si="169"/>
        <v>8.7795574558837277</v>
      </c>
      <c r="Z341" s="4">
        <f t="shared" si="170"/>
        <v>6.0402547112774139</v>
      </c>
      <c r="AA341" s="4">
        <f t="shared" si="171"/>
        <v>57.5</v>
      </c>
      <c r="AB341" s="4">
        <f t="shared" si="172"/>
        <v>0</v>
      </c>
      <c r="AC341" s="4">
        <f t="shared" si="173"/>
        <v>0</v>
      </c>
      <c r="AD341" s="4">
        <f t="shared" si="174"/>
        <v>0</v>
      </c>
      <c r="AE341" s="4">
        <f t="shared" si="175"/>
        <v>0</v>
      </c>
      <c r="AF341" s="4">
        <f t="shared" si="176"/>
        <v>0</v>
      </c>
      <c r="AG341" s="4">
        <f t="shared" si="177"/>
        <v>8.7795574558837277</v>
      </c>
      <c r="AH341" s="4">
        <f t="shared" si="178"/>
        <v>0</v>
      </c>
      <c r="AI341" s="4">
        <f t="shared" si="179"/>
        <v>0</v>
      </c>
      <c r="AJ341" s="4">
        <f t="shared" si="180"/>
        <v>8.7795574558837277</v>
      </c>
      <c r="AK341" s="4">
        <f t="shared" si="181"/>
        <v>6.0402547112774139</v>
      </c>
      <c r="AL341" s="4">
        <f t="shared" si="182"/>
        <v>0</v>
      </c>
      <c r="AM341" s="4">
        <f>CER!$C$7+CER!$C$8*J341+CER!$C$9*K341+CER!$C$10*L341+CER!$C$11*M341</f>
        <v>3.054689376922703</v>
      </c>
      <c r="AN341" s="4">
        <f t="shared" si="183"/>
        <v>21.214594760634821</v>
      </c>
      <c r="AO341" s="4">
        <f t="shared" si="184"/>
        <v>-2.0958290277500957E-2</v>
      </c>
      <c r="AP341" s="4">
        <f>Alternatives!$F$25+Alternatives!$F$26*J341+Alternatives!$F$27*K341+Alternatives!$F$28*G341+Alternatives!$F$29*O341</f>
        <v>3.3383014592124614</v>
      </c>
      <c r="AQ341" s="4">
        <f t="shared" si="185"/>
        <v>-0.30457037256725927</v>
      </c>
    </row>
    <row r="342" spans="1:43" x14ac:dyDescent="0.35">
      <c r="A342" s="2" t="s">
        <v>325</v>
      </c>
      <c r="B342" s="2" t="s">
        <v>283</v>
      </c>
      <c r="C342" s="2" t="s">
        <v>67</v>
      </c>
      <c r="D342" s="2">
        <v>30.1508</v>
      </c>
      <c r="E342" s="2">
        <v>6500</v>
      </c>
      <c r="F342" s="2">
        <v>277</v>
      </c>
      <c r="G342" s="2">
        <v>57.5</v>
      </c>
      <c r="H342" s="2" t="s">
        <v>68</v>
      </c>
      <c r="I342" s="4">
        <f t="shared" si="155"/>
        <v>3.4062114568178576</v>
      </c>
      <c r="J342" s="4">
        <f t="shared" si="156"/>
        <v>8.7795574558837277</v>
      </c>
      <c r="K342" s="4">
        <f t="shared" si="157"/>
        <v>5.6240175061873385</v>
      </c>
      <c r="L342" s="2">
        <v>0</v>
      </c>
      <c r="M342" s="2">
        <v>0</v>
      </c>
      <c r="N342" s="4">
        <f t="shared" si="158"/>
        <v>57.5</v>
      </c>
      <c r="O342" s="4">
        <f t="shared" si="159"/>
        <v>0</v>
      </c>
      <c r="P342" s="4">
        <f t="shared" si="160"/>
        <v>0</v>
      </c>
      <c r="Q342" s="4">
        <f t="shared" si="161"/>
        <v>8.7795574558837277</v>
      </c>
      <c r="R342" s="4">
        <f t="shared" si="162"/>
        <v>5.6240175061873385</v>
      </c>
      <c r="S342" s="4">
        <f t="shared" si="163"/>
        <v>57.5</v>
      </c>
      <c r="T342" s="4">
        <f t="shared" si="164"/>
        <v>0</v>
      </c>
      <c r="U342" s="4">
        <f t="shared" si="165"/>
        <v>8.7795574558837277</v>
      </c>
      <c r="V342" s="4">
        <f t="shared" si="166"/>
        <v>5.6240175061873385</v>
      </c>
      <c r="W342" s="4">
        <f t="shared" si="167"/>
        <v>57.5</v>
      </c>
      <c r="X342" s="4">
        <f t="shared" si="168"/>
        <v>0</v>
      </c>
      <c r="Y342" s="4">
        <f t="shared" si="169"/>
        <v>8.7795574558837277</v>
      </c>
      <c r="Z342" s="4">
        <f t="shared" si="170"/>
        <v>5.6240175061873385</v>
      </c>
      <c r="AA342" s="4">
        <f t="shared" si="171"/>
        <v>57.5</v>
      </c>
      <c r="AB342" s="4">
        <f t="shared" si="172"/>
        <v>0</v>
      </c>
      <c r="AC342" s="4">
        <f t="shared" si="173"/>
        <v>0</v>
      </c>
      <c r="AD342" s="4">
        <f t="shared" si="174"/>
        <v>0</v>
      </c>
      <c r="AE342" s="4">
        <f t="shared" si="175"/>
        <v>0</v>
      </c>
      <c r="AF342" s="4">
        <f t="shared" si="176"/>
        <v>0</v>
      </c>
      <c r="AG342" s="4">
        <f t="shared" si="177"/>
        <v>8.7795574558837277</v>
      </c>
      <c r="AH342" s="4">
        <f t="shared" si="178"/>
        <v>0</v>
      </c>
      <c r="AI342" s="4">
        <f t="shared" si="179"/>
        <v>0</v>
      </c>
      <c r="AJ342" s="4">
        <f t="shared" si="180"/>
        <v>8.7795574558837277</v>
      </c>
      <c r="AK342" s="4">
        <f t="shared" si="181"/>
        <v>5.6240175061873385</v>
      </c>
      <c r="AL342" s="4">
        <f t="shared" si="182"/>
        <v>0</v>
      </c>
      <c r="AM342" s="4">
        <f>CER!$C$7+CER!$C$8*J342+CER!$C$9*K342+CER!$C$10*L342+CER!$C$11*M342</f>
        <v>3.2082574772184196</v>
      </c>
      <c r="AN342" s="4">
        <f t="shared" si="183"/>
        <v>24.735945699924063</v>
      </c>
      <c r="AO342" s="4">
        <f t="shared" si="184"/>
        <v>0.19795397959943806</v>
      </c>
      <c r="AP342" s="4">
        <f>Alternatives!$F$25+Alternatives!$F$26*J342+Alternatives!$F$27*K342+Alternatives!$F$28*G342+Alternatives!$F$29*O342</f>
        <v>3.4490663285018224</v>
      </c>
      <c r="AQ342" s="4">
        <f t="shared" si="185"/>
        <v>-4.2854871683964735E-2</v>
      </c>
    </row>
    <row r="343" spans="1:43" x14ac:dyDescent="0.35">
      <c r="A343" s="2" t="s">
        <v>326</v>
      </c>
      <c r="B343" s="2" t="s">
        <v>283</v>
      </c>
      <c r="C343" s="2" t="s">
        <v>67</v>
      </c>
      <c r="D343" s="2">
        <v>21.949200000000001</v>
      </c>
      <c r="E343" s="2">
        <v>6500</v>
      </c>
      <c r="F343" s="2">
        <v>355</v>
      </c>
      <c r="G343" s="2">
        <v>63.8</v>
      </c>
      <c r="H343" s="2" t="s">
        <v>68</v>
      </c>
      <c r="I343" s="4">
        <f t="shared" si="155"/>
        <v>3.0887306923877436</v>
      </c>
      <c r="J343" s="4">
        <f t="shared" si="156"/>
        <v>8.7795574558837277</v>
      </c>
      <c r="K343" s="4">
        <f t="shared" si="157"/>
        <v>5.872117789475416</v>
      </c>
      <c r="L343" s="2">
        <v>0</v>
      </c>
      <c r="M343" s="2">
        <v>0</v>
      </c>
      <c r="N343" s="4">
        <f t="shared" si="158"/>
        <v>63.8</v>
      </c>
      <c r="O343" s="4">
        <f t="shared" si="159"/>
        <v>0</v>
      </c>
      <c r="P343" s="4">
        <f t="shared" si="160"/>
        <v>0</v>
      </c>
      <c r="Q343" s="4">
        <f t="shared" si="161"/>
        <v>8.7795574558837277</v>
      </c>
      <c r="R343" s="4">
        <f t="shared" si="162"/>
        <v>5.872117789475416</v>
      </c>
      <c r="S343" s="4">
        <f t="shared" si="163"/>
        <v>63.8</v>
      </c>
      <c r="T343" s="4">
        <f t="shared" si="164"/>
        <v>0</v>
      </c>
      <c r="U343" s="4">
        <f t="shared" si="165"/>
        <v>8.7795574558837277</v>
      </c>
      <c r="V343" s="4">
        <f t="shared" si="166"/>
        <v>5.872117789475416</v>
      </c>
      <c r="W343" s="4">
        <f t="shared" si="167"/>
        <v>63.8</v>
      </c>
      <c r="X343" s="4">
        <f t="shared" si="168"/>
        <v>0</v>
      </c>
      <c r="Y343" s="4">
        <f t="shared" si="169"/>
        <v>8.7795574558837277</v>
      </c>
      <c r="Z343" s="4">
        <f t="shared" si="170"/>
        <v>5.872117789475416</v>
      </c>
      <c r="AA343" s="4">
        <f t="shared" si="171"/>
        <v>63.8</v>
      </c>
      <c r="AB343" s="4">
        <f t="shared" si="172"/>
        <v>0</v>
      </c>
      <c r="AC343" s="4">
        <f t="shared" si="173"/>
        <v>0</v>
      </c>
      <c r="AD343" s="4">
        <f t="shared" si="174"/>
        <v>0</v>
      </c>
      <c r="AE343" s="4">
        <f t="shared" si="175"/>
        <v>0</v>
      </c>
      <c r="AF343" s="4">
        <f t="shared" si="176"/>
        <v>0</v>
      </c>
      <c r="AG343" s="4">
        <f t="shared" si="177"/>
        <v>8.7795574558837277</v>
      </c>
      <c r="AH343" s="4">
        <f t="shared" si="178"/>
        <v>0</v>
      </c>
      <c r="AI343" s="4">
        <f t="shared" si="179"/>
        <v>0</v>
      </c>
      <c r="AJ343" s="4">
        <f t="shared" si="180"/>
        <v>8.7795574558837277</v>
      </c>
      <c r="AK343" s="4">
        <f t="shared" si="181"/>
        <v>5.872117789475416</v>
      </c>
      <c r="AL343" s="4">
        <f t="shared" si="182"/>
        <v>0</v>
      </c>
      <c r="AM343" s="4">
        <f>CER!$C$7+CER!$C$8*J343+CER!$C$9*K343+CER!$C$10*L343+CER!$C$11*M343</f>
        <v>3.1167224372905635</v>
      </c>
      <c r="AN343" s="4">
        <f t="shared" si="183"/>
        <v>22.572276219399868</v>
      </c>
      <c r="AO343" s="4">
        <f t="shared" si="184"/>
        <v>-2.7991744902819971E-2</v>
      </c>
      <c r="AP343" s="4">
        <f>Alternatives!$F$25+Alternatives!$F$26*J343+Alternatives!$F$27*K343+Alternatives!$F$28*G343+Alternatives!$F$29*O343</f>
        <v>3.301098288461596</v>
      </c>
      <c r="AQ343" s="4">
        <f t="shared" si="185"/>
        <v>-0.21236759607385247</v>
      </c>
    </row>
    <row r="344" spans="1:43" x14ac:dyDescent="0.35">
      <c r="A344" s="2" t="s">
        <v>326</v>
      </c>
      <c r="B344" s="2" t="s">
        <v>283</v>
      </c>
      <c r="C344" s="2" t="s">
        <v>67</v>
      </c>
      <c r="D344" s="2">
        <v>20.7746</v>
      </c>
      <c r="E344" s="2">
        <v>6500</v>
      </c>
      <c r="F344" s="2">
        <v>420</v>
      </c>
      <c r="G344" s="2">
        <v>63.8</v>
      </c>
      <c r="H344" s="2" t="s">
        <v>68</v>
      </c>
      <c r="I344" s="4">
        <f t="shared" si="155"/>
        <v>3.0337310866452021</v>
      </c>
      <c r="J344" s="4">
        <f t="shared" si="156"/>
        <v>8.7795574558837277</v>
      </c>
      <c r="K344" s="4">
        <f t="shared" si="157"/>
        <v>6.0402547112774139</v>
      </c>
      <c r="L344" s="2">
        <v>0</v>
      </c>
      <c r="M344" s="2">
        <v>0</v>
      </c>
      <c r="N344" s="4">
        <f t="shared" si="158"/>
        <v>63.8</v>
      </c>
      <c r="O344" s="4">
        <f t="shared" si="159"/>
        <v>0</v>
      </c>
      <c r="P344" s="4">
        <f t="shared" si="160"/>
        <v>0</v>
      </c>
      <c r="Q344" s="4">
        <f t="shared" si="161"/>
        <v>8.7795574558837277</v>
      </c>
      <c r="R344" s="4">
        <f t="shared" si="162"/>
        <v>6.0402547112774139</v>
      </c>
      <c r="S344" s="4">
        <f t="shared" si="163"/>
        <v>63.8</v>
      </c>
      <c r="T344" s="4">
        <f t="shared" si="164"/>
        <v>0</v>
      </c>
      <c r="U344" s="4">
        <f t="shared" si="165"/>
        <v>8.7795574558837277</v>
      </c>
      <c r="V344" s="4">
        <f t="shared" si="166"/>
        <v>6.0402547112774139</v>
      </c>
      <c r="W344" s="4">
        <f t="shared" si="167"/>
        <v>63.8</v>
      </c>
      <c r="X344" s="4">
        <f t="shared" si="168"/>
        <v>0</v>
      </c>
      <c r="Y344" s="4">
        <f t="shared" si="169"/>
        <v>8.7795574558837277</v>
      </c>
      <c r="Z344" s="4">
        <f t="shared" si="170"/>
        <v>6.0402547112774139</v>
      </c>
      <c r="AA344" s="4">
        <f t="shared" si="171"/>
        <v>63.8</v>
      </c>
      <c r="AB344" s="4">
        <f t="shared" si="172"/>
        <v>0</v>
      </c>
      <c r="AC344" s="4">
        <f t="shared" si="173"/>
        <v>0</v>
      </c>
      <c r="AD344" s="4">
        <f t="shared" si="174"/>
        <v>0</v>
      </c>
      <c r="AE344" s="4">
        <f t="shared" si="175"/>
        <v>0</v>
      </c>
      <c r="AF344" s="4">
        <f t="shared" si="176"/>
        <v>0</v>
      </c>
      <c r="AG344" s="4">
        <f t="shared" si="177"/>
        <v>8.7795574558837277</v>
      </c>
      <c r="AH344" s="4">
        <f t="shared" si="178"/>
        <v>0</v>
      </c>
      <c r="AI344" s="4">
        <f t="shared" si="179"/>
        <v>0</v>
      </c>
      <c r="AJ344" s="4">
        <f t="shared" si="180"/>
        <v>8.7795574558837277</v>
      </c>
      <c r="AK344" s="4">
        <f t="shared" si="181"/>
        <v>6.0402547112774139</v>
      </c>
      <c r="AL344" s="4">
        <f t="shared" si="182"/>
        <v>0</v>
      </c>
      <c r="AM344" s="4">
        <f>CER!$C$7+CER!$C$8*J344+CER!$C$9*K344+CER!$C$10*L344+CER!$C$11*M344</f>
        <v>3.054689376922703</v>
      </c>
      <c r="AN344" s="4">
        <f t="shared" si="183"/>
        <v>21.214594760634821</v>
      </c>
      <c r="AO344" s="4">
        <f t="shared" si="184"/>
        <v>-2.0958290277500957E-2</v>
      </c>
      <c r="AP344" s="4">
        <f>Alternatives!$F$25+Alternatives!$F$26*J344+Alternatives!$F$27*K344+Alternatives!$F$28*G344+Alternatives!$F$29*O344</f>
        <v>3.2563553775964231</v>
      </c>
      <c r="AQ344" s="4">
        <f t="shared" si="185"/>
        <v>-0.22262429095122105</v>
      </c>
    </row>
    <row r="345" spans="1:43" x14ac:dyDescent="0.35">
      <c r="A345" s="2" t="s">
        <v>326</v>
      </c>
      <c r="B345" s="2" t="s">
        <v>283</v>
      </c>
      <c r="C345" s="2" t="s">
        <v>67</v>
      </c>
      <c r="D345" s="2">
        <v>30.1508</v>
      </c>
      <c r="E345" s="2">
        <v>6500</v>
      </c>
      <c r="F345" s="2">
        <v>277</v>
      </c>
      <c r="G345" s="2">
        <v>63.8</v>
      </c>
      <c r="H345" s="2" t="s">
        <v>68</v>
      </c>
      <c r="I345" s="4">
        <f t="shared" si="155"/>
        <v>3.4062114568178576</v>
      </c>
      <c r="J345" s="4">
        <f t="shared" si="156"/>
        <v>8.7795574558837277</v>
      </c>
      <c r="K345" s="4">
        <f t="shared" si="157"/>
        <v>5.6240175061873385</v>
      </c>
      <c r="L345" s="2">
        <v>0</v>
      </c>
      <c r="M345" s="2">
        <v>0</v>
      </c>
      <c r="N345" s="4">
        <f t="shared" si="158"/>
        <v>63.8</v>
      </c>
      <c r="O345" s="4">
        <f t="shared" si="159"/>
        <v>0</v>
      </c>
      <c r="P345" s="4">
        <f t="shared" si="160"/>
        <v>0</v>
      </c>
      <c r="Q345" s="4">
        <f t="shared" si="161"/>
        <v>8.7795574558837277</v>
      </c>
      <c r="R345" s="4">
        <f t="shared" si="162"/>
        <v>5.6240175061873385</v>
      </c>
      <c r="S345" s="4">
        <f t="shared" si="163"/>
        <v>63.8</v>
      </c>
      <c r="T345" s="4">
        <f t="shared" si="164"/>
        <v>0</v>
      </c>
      <c r="U345" s="4">
        <f t="shared" si="165"/>
        <v>8.7795574558837277</v>
      </c>
      <c r="V345" s="4">
        <f t="shared" si="166"/>
        <v>5.6240175061873385</v>
      </c>
      <c r="W345" s="4">
        <f t="shared" si="167"/>
        <v>63.8</v>
      </c>
      <c r="X345" s="4">
        <f t="shared" si="168"/>
        <v>0</v>
      </c>
      <c r="Y345" s="4">
        <f t="shared" si="169"/>
        <v>8.7795574558837277</v>
      </c>
      <c r="Z345" s="4">
        <f t="shared" si="170"/>
        <v>5.6240175061873385</v>
      </c>
      <c r="AA345" s="4">
        <f t="shared" si="171"/>
        <v>63.8</v>
      </c>
      <c r="AB345" s="4">
        <f t="shared" si="172"/>
        <v>0</v>
      </c>
      <c r="AC345" s="4">
        <f t="shared" si="173"/>
        <v>0</v>
      </c>
      <c r="AD345" s="4">
        <f t="shared" si="174"/>
        <v>0</v>
      </c>
      <c r="AE345" s="4">
        <f t="shared" si="175"/>
        <v>0</v>
      </c>
      <c r="AF345" s="4">
        <f t="shared" si="176"/>
        <v>0</v>
      </c>
      <c r="AG345" s="4">
        <f t="shared" si="177"/>
        <v>8.7795574558837277</v>
      </c>
      <c r="AH345" s="4">
        <f t="shared" si="178"/>
        <v>0</v>
      </c>
      <c r="AI345" s="4">
        <f t="shared" si="179"/>
        <v>0</v>
      </c>
      <c r="AJ345" s="4">
        <f t="shared" si="180"/>
        <v>8.7795574558837277</v>
      </c>
      <c r="AK345" s="4">
        <f t="shared" si="181"/>
        <v>5.6240175061873385</v>
      </c>
      <c r="AL345" s="4">
        <f t="shared" si="182"/>
        <v>0</v>
      </c>
      <c r="AM345" s="4">
        <f>CER!$C$7+CER!$C$8*J345+CER!$C$9*K345+CER!$C$10*L345+CER!$C$11*M345</f>
        <v>3.2082574772184196</v>
      </c>
      <c r="AN345" s="4">
        <f t="shared" si="183"/>
        <v>24.735945699924063</v>
      </c>
      <c r="AO345" s="4">
        <f t="shared" si="184"/>
        <v>0.19795397959943806</v>
      </c>
      <c r="AP345" s="4">
        <f>Alternatives!$F$25+Alternatives!$F$26*J345+Alternatives!$F$27*K345+Alternatives!$F$28*G345+Alternatives!$F$29*O345</f>
        <v>3.3671202468857842</v>
      </c>
      <c r="AQ345" s="4">
        <f t="shared" si="185"/>
        <v>3.909120993207349E-2</v>
      </c>
    </row>
    <row r="346" spans="1:43" x14ac:dyDescent="0.35">
      <c r="A346" s="2" t="s">
        <v>327</v>
      </c>
      <c r="B346" s="2" t="s">
        <v>283</v>
      </c>
      <c r="C346" s="2" t="s">
        <v>67</v>
      </c>
      <c r="D346" s="2">
        <v>41.389200000000002</v>
      </c>
      <c r="E346" s="2">
        <v>3000</v>
      </c>
      <c r="F346" s="2">
        <v>137</v>
      </c>
      <c r="G346" s="2">
        <v>45.7</v>
      </c>
      <c r="H346" s="2" t="s">
        <v>68</v>
      </c>
      <c r="I346" s="4">
        <f t="shared" si="155"/>
        <v>3.7230199772336676</v>
      </c>
      <c r="J346" s="4">
        <f t="shared" si="156"/>
        <v>8.0063675676502459</v>
      </c>
      <c r="K346" s="4">
        <f t="shared" si="157"/>
        <v>4.9199809258281251</v>
      </c>
      <c r="L346" s="2">
        <v>0</v>
      </c>
      <c r="M346" s="2">
        <v>0</v>
      </c>
      <c r="N346" s="4">
        <f t="shared" si="158"/>
        <v>45.7</v>
      </c>
      <c r="O346" s="4">
        <f t="shared" si="159"/>
        <v>0</v>
      </c>
      <c r="P346" s="4">
        <f t="shared" si="160"/>
        <v>0</v>
      </c>
      <c r="Q346" s="4">
        <f t="shared" si="161"/>
        <v>8.0063675676502459</v>
      </c>
      <c r="R346" s="4">
        <f t="shared" si="162"/>
        <v>4.9199809258281251</v>
      </c>
      <c r="S346" s="4">
        <f t="shared" si="163"/>
        <v>45.7</v>
      </c>
      <c r="T346" s="4">
        <f t="shared" si="164"/>
        <v>0</v>
      </c>
      <c r="U346" s="4">
        <f t="shared" si="165"/>
        <v>8.0063675676502459</v>
      </c>
      <c r="V346" s="4">
        <f t="shared" si="166"/>
        <v>4.9199809258281251</v>
      </c>
      <c r="W346" s="4">
        <f t="shared" si="167"/>
        <v>45.7</v>
      </c>
      <c r="X346" s="4">
        <f t="shared" si="168"/>
        <v>0</v>
      </c>
      <c r="Y346" s="4">
        <f t="shared" si="169"/>
        <v>8.0063675676502459</v>
      </c>
      <c r="Z346" s="4">
        <f t="shared" si="170"/>
        <v>4.9199809258281251</v>
      </c>
      <c r="AA346" s="4">
        <f t="shared" si="171"/>
        <v>45.7</v>
      </c>
      <c r="AB346" s="4">
        <f t="shared" si="172"/>
        <v>0</v>
      </c>
      <c r="AC346" s="4">
        <f t="shared" si="173"/>
        <v>0</v>
      </c>
      <c r="AD346" s="4">
        <f t="shared" si="174"/>
        <v>0</v>
      </c>
      <c r="AE346" s="4">
        <f t="shared" si="175"/>
        <v>0</v>
      </c>
      <c r="AF346" s="4">
        <f t="shared" si="176"/>
        <v>0</v>
      </c>
      <c r="AG346" s="4">
        <f t="shared" si="177"/>
        <v>8.0063675676502459</v>
      </c>
      <c r="AH346" s="4">
        <f t="shared" si="178"/>
        <v>0</v>
      </c>
      <c r="AI346" s="4">
        <f t="shared" si="179"/>
        <v>0</v>
      </c>
      <c r="AJ346" s="4">
        <f t="shared" si="180"/>
        <v>8.0063675676502459</v>
      </c>
      <c r="AK346" s="4">
        <f t="shared" si="181"/>
        <v>4.9199809258281251</v>
      </c>
      <c r="AL346" s="4">
        <f t="shared" si="182"/>
        <v>0</v>
      </c>
      <c r="AM346" s="4">
        <f>CER!$C$7+CER!$C$8*J346+CER!$C$9*K346+CER!$C$10*L346+CER!$C$11*M346</f>
        <v>3.8180374614800279</v>
      </c>
      <c r="AN346" s="4">
        <f t="shared" si="183"/>
        <v>45.51479607153599</v>
      </c>
      <c r="AO346" s="4">
        <f t="shared" si="184"/>
        <v>-9.5017484246360251E-2</v>
      </c>
      <c r="AP346" s="4">
        <f>Alternatives!$F$25+Alternatives!$F$26*J346+Alternatives!$F$27*K346+Alternatives!$F$28*G346+Alternatives!$F$29*O346</f>
        <v>3.5037570558673932</v>
      </c>
      <c r="AQ346" s="4">
        <f t="shared" si="185"/>
        <v>0.21926292136627445</v>
      </c>
    </row>
    <row r="347" spans="1:43" x14ac:dyDescent="0.35">
      <c r="A347" s="2" t="s">
        <v>328</v>
      </c>
      <c r="B347" s="2" t="s">
        <v>283</v>
      </c>
      <c r="C347" s="2" t="s">
        <v>67</v>
      </c>
      <c r="D347" s="2">
        <v>28.5578</v>
      </c>
      <c r="E347" s="2">
        <v>4500</v>
      </c>
      <c r="F347" s="2">
        <v>310</v>
      </c>
      <c r="G347" s="2">
        <v>57.3</v>
      </c>
      <c r="H347" s="2" t="s">
        <v>68</v>
      </c>
      <c r="I347" s="4">
        <f t="shared" si="155"/>
        <v>3.3519301036920335</v>
      </c>
      <c r="J347" s="4">
        <f t="shared" si="156"/>
        <v>8.4118326757584114</v>
      </c>
      <c r="K347" s="4">
        <f t="shared" si="157"/>
        <v>5.7365722974791922</v>
      </c>
      <c r="L347" s="2">
        <v>0</v>
      </c>
      <c r="M347" s="2">
        <v>0</v>
      </c>
      <c r="N347" s="4">
        <f t="shared" si="158"/>
        <v>57.3</v>
      </c>
      <c r="O347" s="4">
        <f t="shared" si="159"/>
        <v>0</v>
      </c>
      <c r="P347" s="4">
        <f t="shared" si="160"/>
        <v>0</v>
      </c>
      <c r="Q347" s="4">
        <f t="shared" si="161"/>
        <v>8.4118326757584114</v>
      </c>
      <c r="R347" s="4">
        <f t="shared" si="162"/>
        <v>5.7365722974791922</v>
      </c>
      <c r="S347" s="4">
        <f t="shared" si="163"/>
        <v>57.3</v>
      </c>
      <c r="T347" s="4">
        <f t="shared" si="164"/>
        <v>0</v>
      </c>
      <c r="U347" s="4">
        <f t="shared" si="165"/>
        <v>8.4118326757584114</v>
      </c>
      <c r="V347" s="4">
        <f t="shared" si="166"/>
        <v>5.7365722974791922</v>
      </c>
      <c r="W347" s="4">
        <f t="shared" si="167"/>
        <v>57.3</v>
      </c>
      <c r="X347" s="4">
        <f t="shared" si="168"/>
        <v>0</v>
      </c>
      <c r="Y347" s="4">
        <f t="shared" si="169"/>
        <v>8.4118326757584114</v>
      </c>
      <c r="Z347" s="4">
        <f t="shared" si="170"/>
        <v>5.7365722974791922</v>
      </c>
      <c r="AA347" s="4">
        <f t="shared" si="171"/>
        <v>57.3</v>
      </c>
      <c r="AB347" s="4">
        <f t="shared" si="172"/>
        <v>0</v>
      </c>
      <c r="AC347" s="4">
        <f t="shared" si="173"/>
        <v>0</v>
      </c>
      <c r="AD347" s="4">
        <f t="shared" si="174"/>
        <v>0</v>
      </c>
      <c r="AE347" s="4">
        <f t="shared" si="175"/>
        <v>0</v>
      </c>
      <c r="AF347" s="4">
        <f t="shared" si="176"/>
        <v>0</v>
      </c>
      <c r="AG347" s="4">
        <f t="shared" si="177"/>
        <v>8.4118326757584114</v>
      </c>
      <c r="AH347" s="4">
        <f t="shared" si="178"/>
        <v>0</v>
      </c>
      <c r="AI347" s="4">
        <f t="shared" si="179"/>
        <v>0</v>
      </c>
      <c r="AJ347" s="4">
        <f t="shared" si="180"/>
        <v>8.4118326757584114</v>
      </c>
      <c r="AK347" s="4">
        <f t="shared" si="181"/>
        <v>5.7365722974791922</v>
      </c>
      <c r="AL347" s="4">
        <f t="shared" si="182"/>
        <v>0</v>
      </c>
      <c r="AM347" s="4">
        <f>CER!$C$7+CER!$C$8*J347+CER!$C$9*K347+CER!$C$10*L347+CER!$C$11*M347</f>
        <v>3.3332034559805801</v>
      </c>
      <c r="AN347" s="4">
        <f t="shared" si="183"/>
        <v>28.027984457701727</v>
      </c>
      <c r="AO347" s="4">
        <f t="shared" si="184"/>
        <v>1.8726647711453381E-2</v>
      </c>
      <c r="AP347" s="4">
        <f>Alternatives!$F$25+Alternatives!$F$26*J347+Alternatives!$F$27*K347+Alternatives!$F$28*G347+Alternatives!$F$29*O347</f>
        <v>3.2856260545893696</v>
      </c>
      <c r="AQ347" s="4">
        <f t="shared" si="185"/>
        <v>6.6304049102663853E-2</v>
      </c>
    </row>
    <row r="348" spans="1:43" x14ac:dyDescent="0.35">
      <c r="A348" s="2" t="s">
        <v>328</v>
      </c>
      <c r="B348" s="2" t="s">
        <v>283</v>
      </c>
      <c r="C348" s="2" t="s">
        <v>67</v>
      </c>
      <c r="D348" s="2">
        <v>29.1219</v>
      </c>
      <c r="E348" s="2">
        <v>4500</v>
      </c>
      <c r="F348" s="2">
        <v>237</v>
      </c>
      <c r="G348" s="2">
        <v>57.3</v>
      </c>
      <c r="H348" s="2" t="s">
        <v>68</v>
      </c>
      <c r="I348" s="4">
        <f t="shared" si="155"/>
        <v>3.3714904684527229</v>
      </c>
      <c r="J348" s="4">
        <f t="shared" si="156"/>
        <v>8.4118326757584114</v>
      </c>
      <c r="K348" s="4">
        <f t="shared" si="157"/>
        <v>5.4680601411351315</v>
      </c>
      <c r="L348" s="2">
        <v>0</v>
      </c>
      <c r="M348" s="2">
        <v>0</v>
      </c>
      <c r="N348" s="4">
        <f t="shared" si="158"/>
        <v>57.3</v>
      </c>
      <c r="O348" s="4">
        <f t="shared" si="159"/>
        <v>0</v>
      </c>
      <c r="P348" s="4">
        <f t="shared" si="160"/>
        <v>0</v>
      </c>
      <c r="Q348" s="4">
        <f t="shared" si="161"/>
        <v>8.4118326757584114</v>
      </c>
      <c r="R348" s="4">
        <f t="shared" si="162"/>
        <v>5.4680601411351315</v>
      </c>
      <c r="S348" s="4">
        <f t="shared" si="163"/>
        <v>57.3</v>
      </c>
      <c r="T348" s="4">
        <f t="shared" si="164"/>
        <v>0</v>
      </c>
      <c r="U348" s="4">
        <f t="shared" si="165"/>
        <v>8.4118326757584114</v>
      </c>
      <c r="V348" s="4">
        <f t="shared" si="166"/>
        <v>5.4680601411351315</v>
      </c>
      <c r="W348" s="4">
        <f t="shared" si="167"/>
        <v>57.3</v>
      </c>
      <c r="X348" s="4">
        <f t="shared" si="168"/>
        <v>0</v>
      </c>
      <c r="Y348" s="4">
        <f t="shared" si="169"/>
        <v>8.4118326757584114</v>
      </c>
      <c r="Z348" s="4">
        <f t="shared" si="170"/>
        <v>5.4680601411351315</v>
      </c>
      <c r="AA348" s="4">
        <f t="shared" si="171"/>
        <v>57.3</v>
      </c>
      <c r="AB348" s="4">
        <f t="shared" si="172"/>
        <v>0</v>
      </c>
      <c r="AC348" s="4">
        <f t="shared" si="173"/>
        <v>0</v>
      </c>
      <c r="AD348" s="4">
        <f t="shared" si="174"/>
        <v>0</v>
      </c>
      <c r="AE348" s="4">
        <f t="shared" si="175"/>
        <v>0</v>
      </c>
      <c r="AF348" s="4">
        <f t="shared" si="176"/>
        <v>0</v>
      </c>
      <c r="AG348" s="4">
        <f t="shared" si="177"/>
        <v>8.4118326757584114</v>
      </c>
      <c r="AH348" s="4">
        <f t="shared" si="178"/>
        <v>0</v>
      </c>
      <c r="AI348" s="4">
        <f t="shared" si="179"/>
        <v>0</v>
      </c>
      <c r="AJ348" s="4">
        <f t="shared" si="180"/>
        <v>8.4118326757584114</v>
      </c>
      <c r="AK348" s="4">
        <f t="shared" si="181"/>
        <v>5.4680601411351315</v>
      </c>
      <c r="AL348" s="4">
        <f t="shared" si="182"/>
        <v>0</v>
      </c>
      <c r="AM348" s="4">
        <f>CER!$C$7+CER!$C$8*J348+CER!$C$9*K348+CER!$C$10*L348+CER!$C$11*M348</f>
        <v>3.4322693281607006</v>
      </c>
      <c r="AN348" s="4">
        <f t="shared" si="183"/>
        <v>30.946791549795901</v>
      </c>
      <c r="AO348" s="4">
        <f t="shared" si="184"/>
        <v>-6.0778859707977695E-2</v>
      </c>
      <c r="AP348" s="4">
        <f>Alternatives!$F$25+Alternatives!$F$26*J348+Alternatives!$F$27*K348+Alternatives!$F$28*G348+Alternatives!$F$29*O348</f>
        <v>3.3570798158974635</v>
      </c>
      <c r="AQ348" s="4">
        <f t="shared" si="185"/>
        <v>1.4410652555259418E-2</v>
      </c>
    </row>
    <row r="349" spans="1:43" x14ac:dyDescent="0.35">
      <c r="A349" s="2" t="s">
        <v>329</v>
      </c>
      <c r="B349" s="2" t="s">
        <v>283</v>
      </c>
      <c r="C349" s="2" t="s">
        <v>67</v>
      </c>
      <c r="D349" s="2">
        <v>26.954999999999998</v>
      </c>
      <c r="E349" s="2">
        <v>5000</v>
      </c>
      <c r="F349" s="2">
        <v>310</v>
      </c>
      <c r="G349" s="2">
        <v>57.3</v>
      </c>
      <c r="H349" s="2" t="s">
        <v>68</v>
      </c>
      <c r="I349" s="4">
        <f t="shared" si="155"/>
        <v>3.2941688089036321</v>
      </c>
      <c r="J349" s="4">
        <f t="shared" si="156"/>
        <v>8.5171931914162382</v>
      </c>
      <c r="K349" s="4">
        <f t="shared" si="157"/>
        <v>5.7365722974791922</v>
      </c>
      <c r="L349" s="2">
        <v>0</v>
      </c>
      <c r="M349" s="2">
        <v>0</v>
      </c>
      <c r="N349" s="4">
        <f t="shared" si="158"/>
        <v>57.3</v>
      </c>
      <c r="O349" s="4">
        <f t="shared" si="159"/>
        <v>0</v>
      </c>
      <c r="P349" s="4">
        <f t="shared" si="160"/>
        <v>0</v>
      </c>
      <c r="Q349" s="4">
        <f t="shared" si="161"/>
        <v>8.5171931914162382</v>
      </c>
      <c r="R349" s="4">
        <f t="shared" si="162"/>
        <v>5.7365722974791922</v>
      </c>
      <c r="S349" s="4">
        <f t="shared" si="163"/>
        <v>57.3</v>
      </c>
      <c r="T349" s="4">
        <f t="shared" si="164"/>
        <v>0</v>
      </c>
      <c r="U349" s="4">
        <f t="shared" si="165"/>
        <v>8.5171931914162382</v>
      </c>
      <c r="V349" s="4">
        <f t="shared" si="166"/>
        <v>5.7365722974791922</v>
      </c>
      <c r="W349" s="4">
        <f t="shared" si="167"/>
        <v>57.3</v>
      </c>
      <c r="X349" s="4">
        <f t="shared" si="168"/>
        <v>0</v>
      </c>
      <c r="Y349" s="4">
        <f t="shared" si="169"/>
        <v>8.5171931914162382</v>
      </c>
      <c r="Z349" s="4">
        <f t="shared" si="170"/>
        <v>5.7365722974791922</v>
      </c>
      <c r="AA349" s="4">
        <f t="shared" si="171"/>
        <v>57.3</v>
      </c>
      <c r="AB349" s="4">
        <f t="shared" si="172"/>
        <v>0</v>
      </c>
      <c r="AC349" s="4">
        <f t="shared" si="173"/>
        <v>0</v>
      </c>
      <c r="AD349" s="4">
        <f t="shared" si="174"/>
        <v>0</v>
      </c>
      <c r="AE349" s="4">
        <f t="shared" si="175"/>
        <v>0</v>
      </c>
      <c r="AF349" s="4">
        <f t="shared" si="176"/>
        <v>0</v>
      </c>
      <c r="AG349" s="4">
        <f t="shared" si="177"/>
        <v>8.5171931914162382</v>
      </c>
      <c r="AH349" s="4">
        <f t="shared" si="178"/>
        <v>0</v>
      </c>
      <c r="AI349" s="4">
        <f t="shared" si="179"/>
        <v>0</v>
      </c>
      <c r="AJ349" s="4">
        <f t="shared" si="180"/>
        <v>8.5171931914162382</v>
      </c>
      <c r="AK349" s="4">
        <f t="shared" si="181"/>
        <v>5.7365722974791922</v>
      </c>
      <c r="AL349" s="4">
        <f t="shared" si="182"/>
        <v>0</v>
      </c>
      <c r="AM349" s="4">
        <f>CER!$C$7+CER!$C$8*J349+CER!$C$9*K349+CER!$C$10*L349+CER!$C$11*M349</f>
        <v>3.2855057896938553</v>
      </c>
      <c r="AN349" s="4">
        <f t="shared" si="183"/>
        <v>26.722496860851766</v>
      </c>
      <c r="AO349" s="4">
        <f t="shared" si="184"/>
        <v>8.6630192097767456E-3</v>
      </c>
      <c r="AP349" s="4">
        <f>Alternatives!$F$25+Alternatives!$F$26*J349+Alternatives!$F$27*K349+Alternatives!$F$28*G349+Alternatives!$F$29*O349</f>
        <v>3.3246185040791008</v>
      </c>
      <c r="AQ349" s="4">
        <f t="shared" si="185"/>
        <v>-3.0449695175468694E-2</v>
      </c>
    </row>
    <row r="350" spans="1:43" x14ac:dyDescent="0.35">
      <c r="A350" s="2" t="s">
        <v>329</v>
      </c>
      <c r="B350" s="2" t="s">
        <v>283</v>
      </c>
      <c r="C350" s="2" t="s">
        <v>67</v>
      </c>
      <c r="D350" s="2">
        <v>27.878499999999999</v>
      </c>
      <c r="E350" s="2">
        <v>4500</v>
      </c>
      <c r="F350" s="2">
        <v>237</v>
      </c>
      <c r="G350" s="2">
        <v>57.3</v>
      </c>
      <c r="H350" s="2" t="s">
        <v>68</v>
      </c>
      <c r="I350" s="4">
        <f t="shared" si="155"/>
        <v>3.3278557824363348</v>
      </c>
      <c r="J350" s="4">
        <f t="shared" si="156"/>
        <v>8.4118326757584114</v>
      </c>
      <c r="K350" s="4">
        <f t="shared" si="157"/>
        <v>5.4680601411351315</v>
      </c>
      <c r="L350" s="2">
        <v>0</v>
      </c>
      <c r="M350" s="2">
        <v>0</v>
      </c>
      <c r="N350" s="4">
        <f t="shared" si="158"/>
        <v>57.3</v>
      </c>
      <c r="O350" s="4">
        <f t="shared" si="159"/>
        <v>0</v>
      </c>
      <c r="P350" s="4">
        <f t="shared" si="160"/>
        <v>0</v>
      </c>
      <c r="Q350" s="4">
        <f t="shared" si="161"/>
        <v>8.4118326757584114</v>
      </c>
      <c r="R350" s="4">
        <f t="shared" si="162"/>
        <v>5.4680601411351315</v>
      </c>
      <c r="S350" s="4">
        <f t="shared" si="163"/>
        <v>57.3</v>
      </c>
      <c r="T350" s="4">
        <f t="shared" si="164"/>
        <v>0</v>
      </c>
      <c r="U350" s="4">
        <f t="shared" si="165"/>
        <v>8.4118326757584114</v>
      </c>
      <c r="V350" s="4">
        <f t="shared" si="166"/>
        <v>5.4680601411351315</v>
      </c>
      <c r="W350" s="4">
        <f t="shared" si="167"/>
        <v>57.3</v>
      </c>
      <c r="X350" s="4">
        <f t="shared" si="168"/>
        <v>0</v>
      </c>
      <c r="Y350" s="4">
        <f t="shared" si="169"/>
        <v>8.4118326757584114</v>
      </c>
      <c r="Z350" s="4">
        <f t="shared" si="170"/>
        <v>5.4680601411351315</v>
      </c>
      <c r="AA350" s="4">
        <f t="shared" si="171"/>
        <v>57.3</v>
      </c>
      <c r="AB350" s="4">
        <f t="shared" si="172"/>
        <v>0</v>
      </c>
      <c r="AC350" s="4">
        <f t="shared" si="173"/>
        <v>0</v>
      </c>
      <c r="AD350" s="4">
        <f t="shared" si="174"/>
        <v>0</v>
      </c>
      <c r="AE350" s="4">
        <f t="shared" si="175"/>
        <v>0</v>
      </c>
      <c r="AF350" s="4">
        <f t="shared" si="176"/>
        <v>0</v>
      </c>
      <c r="AG350" s="4">
        <f t="shared" si="177"/>
        <v>8.4118326757584114</v>
      </c>
      <c r="AH350" s="4">
        <f t="shared" si="178"/>
        <v>0</v>
      </c>
      <c r="AI350" s="4">
        <f t="shared" si="179"/>
        <v>0</v>
      </c>
      <c r="AJ350" s="4">
        <f t="shared" si="180"/>
        <v>8.4118326757584114</v>
      </c>
      <c r="AK350" s="4">
        <f t="shared" si="181"/>
        <v>5.4680601411351315</v>
      </c>
      <c r="AL350" s="4">
        <f t="shared" si="182"/>
        <v>0</v>
      </c>
      <c r="AM350" s="4">
        <f>CER!$C$7+CER!$C$8*J350+CER!$C$9*K350+CER!$C$10*L350+CER!$C$11*M350</f>
        <v>3.4322693281607006</v>
      </c>
      <c r="AN350" s="4">
        <f t="shared" si="183"/>
        <v>30.946791549795901</v>
      </c>
      <c r="AO350" s="4">
        <f t="shared" si="184"/>
        <v>-0.10441354572436579</v>
      </c>
      <c r="AP350" s="4">
        <f>Alternatives!$F$25+Alternatives!$F$26*J350+Alternatives!$F$27*K350+Alternatives!$F$28*G350+Alternatives!$F$29*O350</f>
        <v>3.3570798158974635</v>
      </c>
      <c r="AQ350" s="4">
        <f t="shared" si="185"/>
        <v>-2.9224033461128673E-2</v>
      </c>
    </row>
    <row r="351" spans="1:43" x14ac:dyDescent="0.35">
      <c r="A351" s="2" t="s">
        <v>330</v>
      </c>
      <c r="B351" s="2" t="s">
        <v>283</v>
      </c>
      <c r="C351" s="2" t="s">
        <v>67</v>
      </c>
      <c r="D351" s="2">
        <v>25.5518</v>
      </c>
      <c r="E351" s="2">
        <v>3500</v>
      </c>
      <c r="F351" s="2">
        <v>335</v>
      </c>
      <c r="G351" s="2">
        <v>48.7</v>
      </c>
      <c r="H351" s="2" t="s">
        <v>68</v>
      </c>
      <c r="I351" s="4">
        <f t="shared" si="155"/>
        <v>3.2407077642660691</v>
      </c>
      <c r="J351" s="4">
        <f t="shared" si="156"/>
        <v>8.1605182474775049</v>
      </c>
      <c r="K351" s="4">
        <f t="shared" si="157"/>
        <v>5.8141305318250662</v>
      </c>
      <c r="L351" s="2">
        <v>0</v>
      </c>
      <c r="M351" s="2">
        <v>0</v>
      </c>
      <c r="N351" s="4">
        <f t="shared" si="158"/>
        <v>48.7</v>
      </c>
      <c r="O351" s="4">
        <f t="shared" si="159"/>
        <v>0</v>
      </c>
      <c r="P351" s="4">
        <f t="shared" si="160"/>
        <v>0</v>
      </c>
      <c r="Q351" s="4">
        <f t="shared" si="161"/>
        <v>8.1605182474775049</v>
      </c>
      <c r="R351" s="4">
        <f t="shared" si="162"/>
        <v>5.8141305318250662</v>
      </c>
      <c r="S351" s="4">
        <f t="shared" si="163"/>
        <v>48.7</v>
      </c>
      <c r="T351" s="4">
        <f t="shared" si="164"/>
        <v>0</v>
      </c>
      <c r="U351" s="4">
        <f t="shared" si="165"/>
        <v>8.1605182474775049</v>
      </c>
      <c r="V351" s="4">
        <f t="shared" si="166"/>
        <v>5.8141305318250662</v>
      </c>
      <c r="W351" s="4">
        <f t="shared" si="167"/>
        <v>48.7</v>
      </c>
      <c r="X351" s="4">
        <f t="shared" si="168"/>
        <v>0</v>
      </c>
      <c r="Y351" s="4">
        <f t="shared" si="169"/>
        <v>8.1605182474775049</v>
      </c>
      <c r="Z351" s="4">
        <f t="shared" si="170"/>
        <v>5.8141305318250662</v>
      </c>
      <c r="AA351" s="4">
        <f t="shared" si="171"/>
        <v>48.7</v>
      </c>
      <c r="AB351" s="4">
        <f t="shared" si="172"/>
        <v>0</v>
      </c>
      <c r="AC351" s="4">
        <f t="shared" si="173"/>
        <v>0</v>
      </c>
      <c r="AD351" s="4">
        <f t="shared" si="174"/>
        <v>0</v>
      </c>
      <c r="AE351" s="4">
        <f t="shared" si="175"/>
        <v>0</v>
      </c>
      <c r="AF351" s="4">
        <f t="shared" si="176"/>
        <v>0</v>
      </c>
      <c r="AG351" s="4">
        <f t="shared" si="177"/>
        <v>8.1605182474775049</v>
      </c>
      <c r="AH351" s="4">
        <f t="shared" si="178"/>
        <v>0</v>
      </c>
      <c r="AI351" s="4">
        <f t="shared" si="179"/>
        <v>0</v>
      </c>
      <c r="AJ351" s="4">
        <f t="shared" si="180"/>
        <v>8.1605182474775049</v>
      </c>
      <c r="AK351" s="4">
        <f t="shared" si="181"/>
        <v>5.8141305318250662</v>
      </c>
      <c r="AL351" s="4">
        <f t="shared" si="182"/>
        <v>0</v>
      </c>
      <c r="AM351" s="4">
        <f>CER!$C$7+CER!$C$8*J351+CER!$C$9*K351+CER!$C$10*L351+CER!$C$11*M351</f>
        <v>3.4183611665362057</v>
      </c>
      <c r="AN351" s="4">
        <f t="shared" si="183"/>
        <v>30.519357869616055</v>
      </c>
      <c r="AO351" s="4">
        <f t="shared" si="184"/>
        <v>-0.1776534022701366</v>
      </c>
      <c r="AP351" s="4">
        <f>Alternatives!$F$25+Alternatives!$F$26*J351+Alternatives!$F$27*K351+Alternatives!$F$28*G351+Alternatives!$F$29*O351</f>
        <v>3.2838419944001025</v>
      </c>
      <c r="AQ351" s="4">
        <f t="shared" si="185"/>
        <v>-4.3134230134033391E-2</v>
      </c>
    </row>
    <row r="352" spans="1:43" x14ac:dyDescent="0.35">
      <c r="A352" s="2" t="s">
        <v>330</v>
      </c>
      <c r="B352" s="2" t="s">
        <v>283</v>
      </c>
      <c r="C352" s="2" t="s">
        <v>67</v>
      </c>
      <c r="D352" s="2">
        <v>19.014500000000002</v>
      </c>
      <c r="E352" s="2">
        <v>4000</v>
      </c>
      <c r="F352" s="2">
        <v>650</v>
      </c>
      <c r="G352" s="2">
        <v>48.7</v>
      </c>
      <c r="H352" s="2" t="s">
        <v>68</v>
      </c>
      <c r="I352" s="4">
        <f t="shared" si="155"/>
        <v>2.9452018460042635</v>
      </c>
      <c r="J352" s="4">
        <f t="shared" si="156"/>
        <v>8.2940496401020276</v>
      </c>
      <c r="K352" s="4">
        <f t="shared" si="157"/>
        <v>6.4769723628896827</v>
      </c>
      <c r="L352" s="2">
        <v>0</v>
      </c>
      <c r="M352" s="2">
        <v>0</v>
      </c>
      <c r="N352" s="4">
        <f t="shared" si="158"/>
        <v>48.7</v>
      </c>
      <c r="O352" s="4">
        <f t="shared" si="159"/>
        <v>0</v>
      </c>
      <c r="P352" s="4">
        <f t="shared" si="160"/>
        <v>0</v>
      </c>
      <c r="Q352" s="4">
        <f t="shared" si="161"/>
        <v>8.2940496401020276</v>
      </c>
      <c r="R352" s="4">
        <f t="shared" si="162"/>
        <v>6.4769723628896827</v>
      </c>
      <c r="S352" s="4">
        <f t="shared" si="163"/>
        <v>48.7</v>
      </c>
      <c r="T352" s="4">
        <f t="shared" si="164"/>
        <v>0</v>
      </c>
      <c r="U352" s="4">
        <f t="shared" si="165"/>
        <v>8.2940496401020276</v>
      </c>
      <c r="V352" s="4">
        <f t="shared" si="166"/>
        <v>6.4769723628896827</v>
      </c>
      <c r="W352" s="4">
        <f t="shared" si="167"/>
        <v>48.7</v>
      </c>
      <c r="X352" s="4">
        <f t="shared" si="168"/>
        <v>0</v>
      </c>
      <c r="Y352" s="4">
        <f t="shared" si="169"/>
        <v>8.2940496401020276</v>
      </c>
      <c r="Z352" s="4">
        <f t="shared" si="170"/>
        <v>6.4769723628896827</v>
      </c>
      <c r="AA352" s="4">
        <f t="shared" si="171"/>
        <v>48.7</v>
      </c>
      <c r="AB352" s="4">
        <f t="shared" si="172"/>
        <v>0</v>
      </c>
      <c r="AC352" s="4">
        <f t="shared" si="173"/>
        <v>0</v>
      </c>
      <c r="AD352" s="4">
        <f t="shared" si="174"/>
        <v>0</v>
      </c>
      <c r="AE352" s="4">
        <f t="shared" si="175"/>
        <v>0</v>
      </c>
      <c r="AF352" s="4">
        <f t="shared" si="176"/>
        <v>0</v>
      </c>
      <c r="AG352" s="4">
        <f t="shared" si="177"/>
        <v>8.2940496401020276</v>
      </c>
      <c r="AH352" s="4">
        <f t="shared" si="178"/>
        <v>0</v>
      </c>
      <c r="AI352" s="4">
        <f t="shared" si="179"/>
        <v>0</v>
      </c>
      <c r="AJ352" s="4">
        <f t="shared" si="180"/>
        <v>8.2940496401020276</v>
      </c>
      <c r="AK352" s="4">
        <f t="shared" si="181"/>
        <v>6.4769723628896827</v>
      </c>
      <c r="AL352" s="4">
        <f t="shared" si="182"/>
        <v>0</v>
      </c>
      <c r="AM352" s="4">
        <f>CER!$C$7+CER!$C$8*J352+CER!$C$9*K352+CER!$C$10*L352+CER!$C$11*M352</f>
        <v>3.113358960479172</v>
      </c>
      <c r="AN352" s="4">
        <f t="shared" si="183"/>
        <v>22.496482428539029</v>
      </c>
      <c r="AO352" s="4">
        <f t="shared" si="184"/>
        <v>-0.16815711447490855</v>
      </c>
      <c r="AP352" s="4">
        <f>Alternatives!$F$25+Alternatives!$F$26*J352+Alternatives!$F$27*K352+Alternatives!$F$28*G352+Alternatives!$F$29*O352</f>
        <v>3.1568712720519838</v>
      </c>
      <c r="AQ352" s="4">
        <f t="shared" si="185"/>
        <v>-0.21166942604772032</v>
      </c>
    </row>
    <row r="353" spans="1:43" x14ac:dyDescent="0.35">
      <c r="A353" s="2" t="s">
        <v>330</v>
      </c>
      <c r="B353" s="2" t="s">
        <v>283</v>
      </c>
      <c r="C353" s="2" t="s">
        <v>67</v>
      </c>
      <c r="D353" s="2">
        <v>20.254999999999999</v>
      </c>
      <c r="E353" s="2">
        <v>4000</v>
      </c>
      <c r="F353" s="2">
        <v>650</v>
      </c>
      <c r="G353" s="2">
        <v>48.7</v>
      </c>
      <c r="H353" s="2" t="s">
        <v>68</v>
      </c>
      <c r="I353" s="4">
        <f t="shared" si="155"/>
        <v>3.0084016766546537</v>
      </c>
      <c r="J353" s="4">
        <f t="shared" si="156"/>
        <v>8.2940496401020276</v>
      </c>
      <c r="K353" s="4">
        <f t="shared" si="157"/>
        <v>6.4769723628896827</v>
      </c>
      <c r="L353" s="2">
        <v>0</v>
      </c>
      <c r="M353" s="2">
        <v>0</v>
      </c>
      <c r="N353" s="4">
        <f t="shared" si="158"/>
        <v>48.7</v>
      </c>
      <c r="O353" s="4">
        <f t="shared" si="159"/>
        <v>0</v>
      </c>
      <c r="P353" s="4">
        <f t="shared" si="160"/>
        <v>0</v>
      </c>
      <c r="Q353" s="4">
        <f t="shared" si="161"/>
        <v>8.2940496401020276</v>
      </c>
      <c r="R353" s="4">
        <f t="shared" si="162"/>
        <v>6.4769723628896827</v>
      </c>
      <c r="S353" s="4">
        <f t="shared" si="163"/>
        <v>48.7</v>
      </c>
      <c r="T353" s="4">
        <f t="shared" si="164"/>
        <v>0</v>
      </c>
      <c r="U353" s="4">
        <f t="shared" si="165"/>
        <v>8.2940496401020276</v>
      </c>
      <c r="V353" s="4">
        <f t="shared" si="166"/>
        <v>6.4769723628896827</v>
      </c>
      <c r="W353" s="4">
        <f t="shared" si="167"/>
        <v>48.7</v>
      </c>
      <c r="X353" s="4">
        <f t="shared" si="168"/>
        <v>0</v>
      </c>
      <c r="Y353" s="4">
        <f t="shared" si="169"/>
        <v>8.2940496401020276</v>
      </c>
      <c r="Z353" s="4">
        <f t="shared" si="170"/>
        <v>6.4769723628896827</v>
      </c>
      <c r="AA353" s="4">
        <f t="shared" si="171"/>
        <v>48.7</v>
      </c>
      <c r="AB353" s="4">
        <f t="shared" si="172"/>
        <v>0</v>
      </c>
      <c r="AC353" s="4">
        <f t="shared" si="173"/>
        <v>0</v>
      </c>
      <c r="AD353" s="4">
        <f t="shared" si="174"/>
        <v>0</v>
      </c>
      <c r="AE353" s="4">
        <f t="shared" si="175"/>
        <v>0</v>
      </c>
      <c r="AF353" s="4">
        <f t="shared" si="176"/>
        <v>0</v>
      </c>
      <c r="AG353" s="4">
        <f t="shared" si="177"/>
        <v>8.2940496401020276</v>
      </c>
      <c r="AH353" s="4">
        <f t="shared" si="178"/>
        <v>0</v>
      </c>
      <c r="AI353" s="4">
        <f t="shared" si="179"/>
        <v>0</v>
      </c>
      <c r="AJ353" s="4">
        <f t="shared" si="180"/>
        <v>8.2940496401020276</v>
      </c>
      <c r="AK353" s="4">
        <f t="shared" si="181"/>
        <v>6.4769723628896827</v>
      </c>
      <c r="AL353" s="4">
        <f t="shared" si="182"/>
        <v>0</v>
      </c>
      <c r="AM353" s="4">
        <f>CER!$C$7+CER!$C$8*J353+CER!$C$9*K353+CER!$C$10*L353+CER!$C$11*M353</f>
        <v>3.113358960479172</v>
      </c>
      <c r="AN353" s="4">
        <f t="shared" si="183"/>
        <v>22.496482428539029</v>
      </c>
      <c r="AO353" s="4">
        <f t="shared" si="184"/>
        <v>-0.1049572838245183</v>
      </c>
      <c r="AP353" s="4">
        <f>Alternatives!$F$25+Alternatives!$F$26*J353+Alternatives!$F$27*K353+Alternatives!$F$28*G353+Alternatives!$F$29*O353</f>
        <v>3.1568712720519838</v>
      </c>
      <c r="AQ353" s="4">
        <f t="shared" si="185"/>
        <v>-0.14846959539733007</v>
      </c>
    </row>
    <row r="354" spans="1:43" x14ac:dyDescent="0.35">
      <c r="A354" s="2" t="s">
        <v>330</v>
      </c>
      <c r="B354" s="2" t="s">
        <v>283</v>
      </c>
      <c r="C354" s="2" t="s">
        <v>67</v>
      </c>
      <c r="D354" s="2">
        <v>25.014800000000001</v>
      </c>
      <c r="E354" s="2">
        <v>4000</v>
      </c>
      <c r="F354" s="2">
        <v>455</v>
      </c>
      <c r="G354" s="2">
        <v>48.7</v>
      </c>
      <c r="H354" s="2" t="s">
        <v>68</v>
      </c>
      <c r="I354" s="4">
        <f t="shared" si="155"/>
        <v>3.2194676497053285</v>
      </c>
      <c r="J354" s="4">
        <f t="shared" si="156"/>
        <v>8.2940496401020276</v>
      </c>
      <c r="K354" s="4">
        <f t="shared" si="157"/>
        <v>6.1202974189509503</v>
      </c>
      <c r="L354" s="2">
        <v>0</v>
      </c>
      <c r="M354" s="2">
        <v>0</v>
      </c>
      <c r="N354" s="4">
        <f t="shared" si="158"/>
        <v>48.7</v>
      </c>
      <c r="O354" s="4">
        <f t="shared" si="159"/>
        <v>0</v>
      </c>
      <c r="P354" s="4">
        <f t="shared" si="160"/>
        <v>0</v>
      </c>
      <c r="Q354" s="4">
        <f t="shared" si="161"/>
        <v>8.2940496401020276</v>
      </c>
      <c r="R354" s="4">
        <f t="shared" si="162"/>
        <v>6.1202974189509503</v>
      </c>
      <c r="S354" s="4">
        <f t="shared" si="163"/>
        <v>48.7</v>
      </c>
      <c r="T354" s="4">
        <f t="shared" si="164"/>
        <v>0</v>
      </c>
      <c r="U354" s="4">
        <f t="shared" si="165"/>
        <v>8.2940496401020276</v>
      </c>
      <c r="V354" s="4">
        <f t="shared" si="166"/>
        <v>6.1202974189509503</v>
      </c>
      <c r="W354" s="4">
        <f t="shared" si="167"/>
        <v>48.7</v>
      </c>
      <c r="X354" s="4">
        <f t="shared" si="168"/>
        <v>0</v>
      </c>
      <c r="Y354" s="4">
        <f t="shared" si="169"/>
        <v>8.2940496401020276</v>
      </c>
      <c r="Z354" s="4">
        <f t="shared" si="170"/>
        <v>6.1202974189509503</v>
      </c>
      <c r="AA354" s="4">
        <f t="shared" si="171"/>
        <v>48.7</v>
      </c>
      <c r="AB354" s="4">
        <f t="shared" si="172"/>
        <v>0</v>
      </c>
      <c r="AC354" s="4">
        <f t="shared" si="173"/>
        <v>0</v>
      </c>
      <c r="AD354" s="4">
        <f t="shared" si="174"/>
        <v>0</v>
      </c>
      <c r="AE354" s="4">
        <f t="shared" si="175"/>
        <v>0</v>
      </c>
      <c r="AF354" s="4">
        <f t="shared" si="176"/>
        <v>0</v>
      </c>
      <c r="AG354" s="4">
        <f t="shared" si="177"/>
        <v>8.2940496401020276</v>
      </c>
      <c r="AH354" s="4">
        <f t="shared" si="178"/>
        <v>0</v>
      </c>
      <c r="AI354" s="4">
        <f t="shared" si="179"/>
        <v>0</v>
      </c>
      <c r="AJ354" s="4">
        <f t="shared" si="180"/>
        <v>8.2940496401020276</v>
      </c>
      <c r="AK354" s="4">
        <f t="shared" si="181"/>
        <v>6.1202974189509503</v>
      </c>
      <c r="AL354" s="4">
        <f t="shared" si="182"/>
        <v>0</v>
      </c>
      <c r="AM354" s="4">
        <f>CER!$C$7+CER!$C$8*J354+CER!$C$9*K354+CER!$C$10*L354+CER!$C$11*M354</f>
        <v>3.2449519389393728</v>
      </c>
      <c r="AN354" s="4">
        <f t="shared" si="183"/>
        <v>25.660476760862341</v>
      </c>
      <c r="AO354" s="4">
        <f t="shared" si="184"/>
        <v>-2.5484289234044333E-2</v>
      </c>
      <c r="AP354" s="4">
        <f>Alternatives!$F$25+Alternatives!$F$26*J354+Alternatives!$F$27*K354+Alternatives!$F$28*G354+Alternatives!$F$29*O354</f>
        <v>3.2517860299377292</v>
      </c>
      <c r="AQ354" s="4">
        <f t="shared" si="185"/>
        <v>-3.2318380232400745E-2</v>
      </c>
    </row>
    <row r="355" spans="1:43" x14ac:dyDescent="0.35">
      <c r="A355" s="2" t="s">
        <v>330</v>
      </c>
      <c r="B355" s="2" t="s">
        <v>283</v>
      </c>
      <c r="C355" s="2" t="s">
        <v>67</v>
      </c>
      <c r="D355" s="2">
        <v>24.076499999999999</v>
      </c>
      <c r="E355" s="2">
        <v>4000</v>
      </c>
      <c r="F355" s="2">
        <v>455</v>
      </c>
      <c r="G355" s="2">
        <v>48.7</v>
      </c>
      <c r="H355" s="2" t="s">
        <v>68</v>
      </c>
      <c r="I355" s="4">
        <f t="shared" si="155"/>
        <v>3.1812362610392451</v>
      </c>
      <c r="J355" s="4">
        <f t="shared" si="156"/>
        <v>8.2940496401020276</v>
      </c>
      <c r="K355" s="4">
        <f t="shared" si="157"/>
        <v>6.1202974189509503</v>
      </c>
      <c r="L355" s="2">
        <v>0</v>
      </c>
      <c r="M355" s="2">
        <v>0</v>
      </c>
      <c r="N355" s="4">
        <f t="shared" si="158"/>
        <v>48.7</v>
      </c>
      <c r="O355" s="4">
        <f t="shared" si="159"/>
        <v>0</v>
      </c>
      <c r="P355" s="4">
        <f t="shared" si="160"/>
        <v>0</v>
      </c>
      <c r="Q355" s="4">
        <f t="shared" si="161"/>
        <v>8.2940496401020276</v>
      </c>
      <c r="R355" s="4">
        <f t="shared" si="162"/>
        <v>6.1202974189509503</v>
      </c>
      <c r="S355" s="4">
        <f t="shared" si="163"/>
        <v>48.7</v>
      </c>
      <c r="T355" s="4">
        <f t="shared" si="164"/>
        <v>0</v>
      </c>
      <c r="U355" s="4">
        <f t="shared" si="165"/>
        <v>8.2940496401020276</v>
      </c>
      <c r="V355" s="4">
        <f t="shared" si="166"/>
        <v>6.1202974189509503</v>
      </c>
      <c r="W355" s="4">
        <f t="shared" si="167"/>
        <v>48.7</v>
      </c>
      <c r="X355" s="4">
        <f t="shared" si="168"/>
        <v>0</v>
      </c>
      <c r="Y355" s="4">
        <f t="shared" si="169"/>
        <v>8.2940496401020276</v>
      </c>
      <c r="Z355" s="4">
        <f t="shared" si="170"/>
        <v>6.1202974189509503</v>
      </c>
      <c r="AA355" s="4">
        <f t="shared" si="171"/>
        <v>48.7</v>
      </c>
      <c r="AB355" s="4">
        <f t="shared" si="172"/>
        <v>0</v>
      </c>
      <c r="AC355" s="4">
        <f t="shared" si="173"/>
        <v>0</v>
      </c>
      <c r="AD355" s="4">
        <f t="shared" si="174"/>
        <v>0</v>
      </c>
      <c r="AE355" s="4">
        <f t="shared" si="175"/>
        <v>0</v>
      </c>
      <c r="AF355" s="4">
        <f t="shared" si="176"/>
        <v>0</v>
      </c>
      <c r="AG355" s="4">
        <f t="shared" si="177"/>
        <v>8.2940496401020276</v>
      </c>
      <c r="AH355" s="4">
        <f t="shared" si="178"/>
        <v>0</v>
      </c>
      <c r="AI355" s="4">
        <f t="shared" si="179"/>
        <v>0</v>
      </c>
      <c r="AJ355" s="4">
        <f t="shared" si="180"/>
        <v>8.2940496401020276</v>
      </c>
      <c r="AK355" s="4">
        <f t="shared" si="181"/>
        <v>6.1202974189509503</v>
      </c>
      <c r="AL355" s="4">
        <f t="shared" si="182"/>
        <v>0</v>
      </c>
      <c r="AM355" s="4">
        <f>CER!$C$7+CER!$C$8*J355+CER!$C$9*K355+CER!$C$10*L355+CER!$C$11*M355</f>
        <v>3.2449519389393728</v>
      </c>
      <c r="AN355" s="4">
        <f t="shared" si="183"/>
        <v>25.660476760862341</v>
      </c>
      <c r="AO355" s="4">
        <f t="shared" si="184"/>
        <v>-6.3715677900127776E-2</v>
      </c>
      <c r="AP355" s="4">
        <f>Alternatives!$F$25+Alternatives!$F$26*J355+Alternatives!$F$27*K355+Alternatives!$F$28*G355+Alternatives!$F$29*O355</f>
        <v>3.2517860299377292</v>
      </c>
      <c r="AQ355" s="4">
        <f t="shared" si="185"/>
        <v>-7.0549768898484189E-2</v>
      </c>
    </row>
    <row r="356" spans="1:43" x14ac:dyDescent="0.35">
      <c r="A356" s="2" t="s">
        <v>330</v>
      </c>
      <c r="B356" s="2" t="s">
        <v>283</v>
      </c>
      <c r="C356" s="2" t="s">
        <v>67</v>
      </c>
      <c r="D356" s="2">
        <v>28.629899999999999</v>
      </c>
      <c r="E356" s="2">
        <v>3500</v>
      </c>
      <c r="F356" s="2">
        <v>335</v>
      </c>
      <c r="G356" s="2">
        <v>48.7</v>
      </c>
      <c r="H356" s="2" t="s">
        <v>68</v>
      </c>
      <c r="I356" s="4">
        <f t="shared" si="155"/>
        <v>3.354451626264245</v>
      </c>
      <c r="J356" s="4">
        <f t="shared" si="156"/>
        <v>8.1605182474775049</v>
      </c>
      <c r="K356" s="4">
        <f t="shared" si="157"/>
        <v>5.8141305318250662</v>
      </c>
      <c r="L356" s="2">
        <v>0</v>
      </c>
      <c r="M356" s="2">
        <v>0</v>
      </c>
      <c r="N356" s="4">
        <f t="shared" si="158"/>
        <v>48.7</v>
      </c>
      <c r="O356" s="4">
        <f t="shared" si="159"/>
        <v>0</v>
      </c>
      <c r="P356" s="4">
        <f t="shared" si="160"/>
        <v>0</v>
      </c>
      <c r="Q356" s="4">
        <f t="shared" si="161"/>
        <v>8.1605182474775049</v>
      </c>
      <c r="R356" s="4">
        <f t="shared" si="162"/>
        <v>5.8141305318250662</v>
      </c>
      <c r="S356" s="4">
        <f t="shared" si="163"/>
        <v>48.7</v>
      </c>
      <c r="T356" s="4">
        <f t="shared" si="164"/>
        <v>0</v>
      </c>
      <c r="U356" s="4">
        <f t="shared" si="165"/>
        <v>8.1605182474775049</v>
      </c>
      <c r="V356" s="4">
        <f t="shared" si="166"/>
        <v>5.8141305318250662</v>
      </c>
      <c r="W356" s="4">
        <f t="shared" si="167"/>
        <v>48.7</v>
      </c>
      <c r="X356" s="4">
        <f t="shared" si="168"/>
        <v>0</v>
      </c>
      <c r="Y356" s="4">
        <f t="shared" si="169"/>
        <v>8.1605182474775049</v>
      </c>
      <c r="Z356" s="4">
        <f t="shared" si="170"/>
        <v>5.8141305318250662</v>
      </c>
      <c r="AA356" s="4">
        <f t="shared" si="171"/>
        <v>48.7</v>
      </c>
      <c r="AB356" s="4">
        <f t="shared" si="172"/>
        <v>0</v>
      </c>
      <c r="AC356" s="4">
        <f t="shared" si="173"/>
        <v>0</v>
      </c>
      <c r="AD356" s="4">
        <f t="shared" si="174"/>
        <v>0</v>
      </c>
      <c r="AE356" s="4">
        <f t="shared" si="175"/>
        <v>0</v>
      </c>
      <c r="AF356" s="4">
        <f t="shared" si="176"/>
        <v>0</v>
      </c>
      <c r="AG356" s="4">
        <f t="shared" si="177"/>
        <v>8.1605182474775049</v>
      </c>
      <c r="AH356" s="4">
        <f t="shared" si="178"/>
        <v>0</v>
      </c>
      <c r="AI356" s="4">
        <f t="shared" si="179"/>
        <v>0</v>
      </c>
      <c r="AJ356" s="4">
        <f t="shared" si="180"/>
        <v>8.1605182474775049</v>
      </c>
      <c r="AK356" s="4">
        <f t="shared" si="181"/>
        <v>5.8141305318250662</v>
      </c>
      <c r="AL356" s="4">
        <f t="shared" si="182"/>
        <v>0</v>
      </c>
      <c r="AM356" s="4">
        <f>CER!$C$7+CER!$C$8*J356+CER!$C$9*K356+CER!$C$10*L356+CER!$C$11*M356</f>
        <v>3.4183611665362057</v>
      </c>
      <c r="AN356" s="4">
        <f t="shared" si="183"/>
        <v>30.519357869616055</v>
      </c>
      <c r="AO356" s="4">
        <f t="shared" si="184"/>
        <v>-6.3909540271960719E-2</v>
      </c>
      <c r="AP356" s="4">
        <f>Alternatives!$F$25+Alternatives!$F$26*J356+Alternatives!$F$27*K356+Alternatives!$F$28*G356+Alternatives!$F$29*O356</f>
        <v>3.2838419944001025</v>
      </c>
      <c r="AQ356" s="4">
        <f t="shared" si="185"/>
        <v>7.0609631864142486E-2</v>
      </c>
    </row>
    <row r="357" spans="1:43" x14ac:dyDescent="0.35">
      <c r="A357" s="2" t="s">
        <v>331</v>
      </c>
      <c r="B357" s="2" t="s">
        <v>283</v>
      </c>
      <c r="C357" s="2" t="s">
        <v>67</v>
      </c>
      <c r="D357" s="2">
        <v>42.890599999999999</v>
      </c>
      <c r="E357" s="2">
        <v>3500</v>
      </c>
      <c r="F357" s="2">
        <v>163</v>
      </c>
      <c r="G357" s="2">
        <v>48.9</v>
      </c>
      <c r="H357" s="2" t="s">
        <v>68</v>
      </c>
      <c r="I357" s="4">
        <f t="shared" si="155"/>
        <v>3.7586526877058293</v>
      </c>
      <c r="J357" s="4">
        <f t="shared" si="156"/>
        <v>8.1605182474775049</v>
      </c>
      <c r="K357" s="4">
        <f t="shared" si="157"/>
        <v>5.0937502008067623</v>
      </c>
      <c r="L357" s="2">
        <v>0</v>
      </c>
      <c r="M357" s="2">
        <v>0</v>
      </c>
      <c r="N357" s="4">
        <f t="shared" si="158"/>
        <v>48.9</v>
      </c>
      <c r="O357" s="4">
        <f t="shared" si="159"/>
        <v>0</v>
      </c>
      <c r="P357" s="4">
        <f t="shared" si="160"/>
        <v>0</v>
      </c>
      <c r="Q357" s="4">
        <f t="shared" si="161"/>
        <v>8.1605182474775049</v>
      </c>
      <c r="R357" s="4">
        <f t="shared" si="162"/>
        <v>5.0937502008067623</v>
      </c>
      <c r="S357" s="4">
        <f t="shared" si="163"/>
        <v>48.9</v>
      </c>
      <c r="T357" s="4">
        <f t="shared" si="164"/>
        <v>0</v>
      </c>
      <c r="U357" s="4">
        <f t="shared" si="165"/>
        <v>8.1605182474775049</v>
      </c>
      <c r="V357" s="4">
        <f t="shared" si="166"/>
        <v>5.0937502008067623</v>
      </c>
      <c r="W357" s="4">
        <f t="shared" si="167"/>
        <v>48.9</v>
      </c>
      <c r="X357" s="4">
        <f t="shared" si="168"/>
        <v>0</v>
      </c>
      <c r="Y357" s="4">
        <f t="shared" si="169"/>
        <v>8.1605182474775049</v>
      </c>
      <c r="Z357" s="4">
        <f t="shared" si="170"/>
        <v>5.0937502008067623</v>
      </c>
      <c r="AA357" s="4">
        <f t="shared" si="171"/>
        <v>48.9</v>
      </c>
      <c r="AB357" s="4">
        <f t="shared" si="172"/>
        <v>0</v>
      </c>
      <c r="AC357" s="4">
        <f t="shared" si="173"/>
        <v>0</v>
      </c>
      <c r="AD357" s="4">
        <f t="shared" si="174"/>
        <v>0</v>
      </c>
      <c r="AE357" s="4">
        <f t="shared" si="175"/>
        <v>0</v>
      </c>
      <c r="AF357" s="4">
        <f t="shared" si="176"/>
        <v>0</v>
      </c>
      <c r="AG357" s="4">
        <f t="shared" si="177"/>
        <v>8.1605182474775049</v>
      </c>
      <c r="AH357" s="4">
        <f t="shared" si="178"/>
        <v>0</v>
      </c>
      <c r="AI357" s="4">
        <f t="shared" si="179"/>
        <v>0</v>
      </c>
      <c r="AJ357" s="4">
        <f t="shared" si="180"/>
        <v>8.1605182474775049</v>
      </c>
      <c r="AK357" s="4">
        <f t="shared" si="181"/>
        <v>5.0937502008067623</v>
      </c>
      <c r="AL357" s="4">
        <f t="shared" si="182"/>
        <v>0</v>
      </c>
      <c r="AM357" s="4">
        <f>CER!$C$7+CER!$C$8*J357+CER!$C$9*K357+CER!$C$10*L357+CER!$C$11*M357</f>
        <v>3.6841409612591214</v>
      </c>
      <c r="AN357" s="4">
        <f t="shared" si="183"/>
        <v>39.810908643638427</v>
      </c>
      <c r="AO357" s="4">
        <f t="shared" si="184"/>
        <v>7.4511726446707893E-2</v>
      </c>
      <c r="AP357" s="4">
        <f>Alternatives!$F$25+Alternatives!$F$26*J357+Alternatives!$F$27*K357+Alternatives!$F$28*G357+Alternatives!$F$29*O357</f>
        <v>3.4729409182617483</v>
      </c>
      <c r="AQ357" s="4">
        <f t="shared" si="185"/>
        <v>0.28571176944408094</v>
      </c>
    </row>
    <row r="358" spans="1:43" x14ac:dyDescent="0.35">
      <c r="A358" s="2" t="s">
        <v>332</v>
      </c>
      <c r="B358" s="2" t="s">
        <v>283</v>
      </c>
      <c r="C358" s="2" t="s">
        <v>67</v>
      </c>
      <c r="D358" s="2">
        <v>38.2151</v>
      </c>
      <c r="E358" s="2">
        <v>3500</v>
      </c>
      <c r="F358" s="2">
        <v>175</v>
      </c>
      <c r="G358" s="2">
        <v>46.2</v>
      </c>
      <c r="H358" s="2" t="s">
        <v>68</v>
      </c>
      <c r="I358" s="4">
        <f t="shared" si="155"/>
        <v>3.6432307254649419</v>
      </c>
      <c r="J358" s="4">
        <f t="shared" si="156"/>
        <v>8.1605182474775049</v>
      </c>
      <c r="K358" s="4">
        <f t="shared" si="157"/>
        <v>5.1647859739235145</v>
      </c>
      <c r="L358" s="2">
        <v>0</v>
      </c>
      <c r="M358" s="2">
        <v>0</v>
      </c>
      <c r="N358" s="4">
        <f t="shared" si="158"/>
        <v>46.2</v>
      </c>
      <c r="O358" s="4">
        <f t="shared" si="159"/>
        <v>0</v>
      </c>
      <c r="P358" s="4">
        <f t="shared" si="160"/>
        <v>0</v>
      </c>
      <c r="Q358" s="4">
        <f t="shared" si="161"/>
        <v>8.1605182474775049</v>
      </c>
      <c r="R358" s="4">
        <f t="shared" si="162"/>
        <v>5.1647859739235145</v>
      </c>
      <c r="S358" s="4">
        <f t="shared" si="163"/>
        <v>46.2</v>
      </c>
      <c r="T358" s="4">
        <f t="shared" si="164"/>
        <v>0</v>
      </c>
      <c r="U358" s="4">
        <f t="shared" si="165"/>
        <v>8.1605182474775049</v>
      </c>
      <c r="V358" s="4">
        <f t="shared" si="166"/>
        <v>5.1647859739235145</v>
      </c>
      <c r="W358" s="4">
        <f t="shared" si="167"/>
        <v>46.2</v>
      </c>
      <c r="X358" s="4">
        <f t="shared" si="168"/>
        <v>0</v>
      </c>
      <c r="Y358" s="4">
        <f t="shared" si="169"/>
        <v>8.1605182474775049</v>
      </c>
      <c r="Z358" s="4">
        <f t="shared" si="170"/>
        <v>5.1647859739235145</v>
      </c>
      <c r="AA358" s="4">
        <f t="shared" si="171"/>
        <v>46.2</v>
      </c>
      <c r="AB358" s="4">
        <f t="shared" si="172"/>
        <v>0</v>
      </c>
      <c r="AC358" s="4">
        <f t="shared" si="173"/>
        <v>0</v>
      </c>
      <c r="AD358" s="4">
        <f t="shared" si="174"/>
        <v>0</v>
      </c>
      <c r="AE358" s="4">
        <f t="shared" si="175"/>
        <v>0</v>
      </c>
      <c r="AF358" s="4">
        <f t="shared" si="176"/>
        <v>0</v>
      </c>
      <c r="AG358" s="4">
        <f t="shared" si="177"/>
        <v>8.1605182474775049</v>
      </c>
      <c r="AH358" s="4">
        <f t="shared" si="178"/>
        <v>0</v>
      </c>
      <c r="AI358" s="4">
        <f t="shared" si="179"/>
        <v>0</v>
      </c>
      <c r="AJ358" s="4">
        <f t="shared" si="180"/>
        <v>8.1605182474775049</v>
      </c>
      <c r="AK358" s="4">
        <f t="shared" si="181"/>
        <v>5.1647859739235145</v>
      </c>
      <c r="AL358" s="4">
        <f t="shared" si="182"/>
        <v>0</v>
      </c>
      <c r="AM358" s="4">
        <f>CER!$C$7+CER!$C$8*J358+CER!$C$9*K358+CER!$C$10*L358+CER!$C$11*M358</f>
        <v>3.6579327593079851</v>
      </c>
      <c r="AN358" s="4">
        <f t="shared" si="183"/>
        <v>38.781090101478156</v>
      </c>
      <c r="AO358" s="4">
        <f t="shared" si="184"/>
        <v>-1.470203384304325E-2</v>
      </c>
      <c r="AP358" s="4">
        <f>Alternatives!$F$25+Alternatives!$F$26*J358+Alternatives!$F$27*K358+Alternatives!$F$28*G358+Alternatives!$F$29*O358</f>
        <v>3.4891573402212215</v>
      </c>
      <c r="AQ358" s="4">
        <f t="shared" si="185"/>
        <v>0.15407338524372038</v>
      </c>
    </row>
    <row r="359" spans="1:43" x14ac:dyDescent="0.35">
      <c r="A359" s="2" t="s">
        <v>333</v>
      </c>
      <c r="B359" s="2" t="s">
        <v>283</v>
      </c>
      <c r="C359" s="2" t="s">
        <v>67</v>
      </c>
      <c r="D359" s="2">
        <v>35.721899999999998</v>
      </c>
      <c r="E359" s="2">
        <v>4000</v>
      </c>
      <c r="F359" s="2">
        <v>175</v>
      </c>
      <c r="G359" s="2">
        <v>46.4</v>
      </c>
      <c r="H359" s="2" t="s">
        <v>68</v>
      </c>
      <c r="I359" s="4">
        <f t="shared" si="155"/>
        <v>3.5757639460830428</v>
      </c>
      <c r="J359" s="4">
        <f t="shared" si="156"/>
        <v>8.2940496401020276</v>
      </c>
      <c r="K359" s="4">
        <f t="shared" si="157"/>
        <v>5.1647859739235145</v>
      </c>
      <c r="L359" s="2">
        <v>0</v>
      </c>
      <c r="M359" s="2">
        <v>0</v>
      </c>
      <c r="N359" s="4">
        <f t="shared" si="158"/>
        <v>46.4</v>
      </c>
      <c r="O359" s="4">
        <f t="shared" si="159"/>
        <v>0</v>
      </c>
      <c r="P359" s="4">
        <f t="shared" si="160"/>
        <v>0</v>
      </c>
      <c r="Q359" s="4">
        <f t="shared" si="161"/>
        <v>8.2940496401020276</v>
      </c>
      <c r="R359" s="4">
        <f t="shared" si="162"/>
        <v>5.1647859739235145</v>
      </c>
      <c r="S359" s="4">
        <f t="shared" si="163"/>
        <v>46.4</v>
      </c>
      <c r="T359" s="4">
        <f t="shared" si="164"/>
        <v>0</v>
      </c>
      <c r="U359" s="4">
        <f t="shared" si="165"/>
        <v>8.2940496401020276</v>
      </c>
      <c r="V359" s="4">
        <f t="shared" si="166"/>
        <v>5.1647859739235145</v>
      </c>
      <c r="W359" s="4">
        <f t="shared" si="167"/>
        <v>46.4</v>
      </c>
      <c r="X359" s="4">
        <f t="shared" si="168"/>
        <v>0</v>
      </c>
      <c r="Y359" s="4">
        <f t="shared" si="169"/>
        <v>8.2940496401020276</v>
      </c>
      <c r="Z359" s="4">
        <f t="shared" si="170"/>
        <v>5.1647859739235145</v>
      </c>
      <c r="AA359" s="4">
        <f t="shared" si="171"/>
        <v>46.4</v>
      </c>
      <c r="AB359" s="4">
        <f t="shared" si="172"/>
        <v>0</v>
      </c>
      <c r="AC359" s="4">
        <f t="shared" si="173"/>
        <v>0</v>
      </c>
      <c r="AD359" s="4">
        <f t="shared" si="174"/>
        <v>0</v>
      </c>
      <c r="AE359" s="4">
        <f t="shared" si="175"/>
        <v>0</v>
      </c>
      <c r="AF359" s="4">
        <f t="shared" si="176"/>
        <v>0</v>
      </c>
      <c r="AG359" s="4">
        <f t="shared" si="177"/>
        <v>8.2940496401020276</v>
      </c>
      <c r="AH359" s="4">
        <f t="shared" si="178"/>
        <v>0</v>
      </c>
      <c r="AI359" s="4">
        <f t="shared" si="179"/>
        <v>0</v>
      </c>
      <c r="AJ359" s="4">
        <f t="shared" si="180"/>
        <v>8.2940496401020276</v>
      </c>
      <c r="AK359" s="4">
        <f t="shared" si="181"/>
        <v>5.1647859739235145</v>
      </c>
      <c r="AL359" s="4">
        <f t="shared" si="182"/>
        <v>0</v>
      </c>
      <c r="AM359" s="4">
        <f>CER!$C$7+CER!$C$8*J359+CER!$C$9*K359+CER!$C$10*L359+CER!$C$11*M359</f>
        <v>3.5974818801105952</v>
      </c>
      <c r="AN359" s="4">
        <f t="shared" si="183"/>
        <v>36.506191637654915</v>
      </c>
      <c r="AO359" s="4">
        <f t="shared" si="184"/>
        <v>-2.1717934027552399E-2</v>
      </c>
      <c r="AP359" s="4">
        <f>Alternatives!$F$25+Alternatives!$F$26*J359+Alternatives!$F$27*K359+Alternatives!$F$28*G359+Alternatives!$F$29*O359</f>
        <v>3.5359739733584976</v>
      </c>
      <c r="AQ359" s="4">
        <f t="shared" si="185"/>
        <v>3.9789972724545208E-2</v>
      </c>
    </row>
    <row r="360" spans="1:43" x14ac:dyDescent="0.35">
      <c r="A360" s="2" t="s">
        <v>334</v>
      </c>
      <c r="B360" s="2" t="s">
        <v>283</v>
      </c>
      <c r="C360" s="2" t="s">
        <v>67</v>
      </c>
      <c r="D360" s="2">
        <v>23.686900000000001</v>
      </c>
      <c r="E360" s="2">
        <v>5000</v>
      </c>
      <c r="F360" s="2">
        <v>310</v>
      </c>
      <c r="G360" s="2">
        <v>60.6</v>
      </c>
      <c r="H360" s="2" t="s">
        <v>68</v>
      </c>
      <c r="I360" s="4">
        <f t="shared" si="155"/>
        <v>3.1649221527065365</v>
      </c>
      <c r="J360" s="4">
        <f t="shared" si="156"/>
        <v>8.5171931914162382</v>
      </c>
      <c r="K360" s="4">
        <f t="shared" si="157"/>
        <v>5.7365722974791922</v>
      </c>
      <c r="L360" s="2">
        <v>0</v>
      </c>
      <c r="M360" s="2">
        <v>0</v>
      </c>
      <c r="N360" s="4">
        <f t="shared" si="158"/>
        <v>60.6</v>
      </c>
      <c r="O360" s="4">
        <f t="shared" si="159"/>
        <v>0</v>
      </c>
      <c r="P360" s="4">
        <f t="shared" si="160"/>
        <v>0</v>
      </c>
      <c r="Q360" s="4">
        <f t="shared" si="161"/>
        <v>8.5171931914162382</v>
      </c>
      <c r="R360" s="4">
        <f t="shared" si="162"/>
        <v>5.7365722974791922</v>
      </c>
      <c r="S360" s="4">
        <f t="shared" si="163"/>
        <v>60.6</v>
      </c>
      <c r="T360" s="4">
        <f t="shared" si="164"/>
        <v>0</v>
      </c>
      <c r="U360" s="4">
        <f t="shared" si="165"/>
        <v>8.5171931914162382</v>
      </c>
      <c r="V360" s="4">
        <f t="shared" si="166"/>
        <v>5.7365722974791922</v>
      </c>
      <c r="W360" s="4">
        <f t="shared" si="167"/>
        <v>60.6</v>
      </c>
      <c r="X360" s="4">
        <f t="shared" si="168"/>
        <v>0</v>
      </c>
      <c r="Y360" s="4">
        <f t="shared" si="169"/>
        <v>8.5171931914162382</v>
      </c>
      <c r="Z360" s="4">
        <f t="shared" si="170"/>
        <v>5.7365722974791922</v>
      </c>
      <c r="AA360" s="4">
        <f t="shared" si="171"/>
        <v>60.6</v>
      </c>
      <c r="AB360" s="4">
        <f t="shared" si="172"/>
        <v>0</v>
      </c>
      <c r="AC360" s="4">
        <f t="shared" si="173"/>
        <v>0</v>
      </c>
      <c r="AD360" s="4">
        <f t="shared" si="174"/>
        <v>0</v>
      </c>
      <c r="AE360" s="4">
        <f t="shared" si="175"/>
        <v>0</v>
      </c>
      <c r="AF360" s="4">
        <f t="shared" si="176"/>
        <v>0</v>
      </c>
      <c r="AG360" s="4">
        <f t="shared" si="177"/>
        <v>8.5171931914162382</v>
      </c>
      <c r="AH360" s="4">
        <f t="shared" si="178"/>
        <v>0</v>
      </c>
      <c r="AI360" s="4">
        <f t="shared" si="179"/>
        <v>0</v>
      </c>
      <c r="AJ360" s="4">
        <f t="shared" si="180"/>
        <v>8.5171931914162382</v>
      </c>
      <c r="AK360" s="4">
        <f t="shared" si="181"/>
        <v>5.7365722974791922</v>
      </c>
      <c r="AL360" s="4">
        <f t="shared" si="182"/>
        <v>0</v>
      </c>
      <c r="AM360" s="4">
        <f>CER!$C$7+CER!$C$8*J360+CER!$C$9*K360+CER!$C$10*L360+CER!$C$11*M360</f>
        <v>3.2855057896938553</v>
      </c>
      <c r="AN360" s="4">
        <f t="shared" si="183"/>
        <v>26.722496860851766</v>
      </c>
      <c r="AO360" s="4">
        <f t="shared" si="184"/>
        <v>-0.12058363698731878</v>
      </c>
      <c r="AP360" s="4">
        <f>Alternatives!$F$25+Alternatives!$F$26*J360+Alternatives!$F$27*K360+Alternatives!$F$28*G360+Alternatives!$F$29*O360</f>
        <v>3.2816943660897473</v>
      </c>
      <c r="AQ360" s="4">
        <f t="shared" si="185"/>
        <v>-0.11677221338321075</v>
      </c>
    </row>
    <row r="361" spans="1:43" x14ac:dyDescent="0.35">
      <c r="A361" s="2" t="s">
        <v>335</v>
      </c>
      <c r="B361" s="2" t="s">
        <v>283</v>
      </c>
      <c r="C361" s="2" t="s">
        <v>67</v>
      </c>
      <c r="D361" s="2">
        <v>18.138500000000001</v>
      </c>
      <c r="E361" s="2">
        <v>5000</v>
      </c>
      <c r="F361" s="2">
        <v>355</v>
      </c>
      <c r="G361" s="2">
        <v>69.900000000000006</v>
      </c>
      <c r="H361" s="2" t="s">
        <v>68</v>
      </c>
      <c r="I361" s="4">
        <f t="shared" si="155"/>
        <v>2.8980367510805376</v>
      </c>
      <c r="J361" s="4">
        <f t="shared" si="156"/>
        <v>8.5171931914162382</v>
      </c>
      <c r="K361" s="4">
        <f t="shared" si="157"/>
        <v>5.872117789475416</v>
      </c>
      <c r="L361" s="2">
        <v>0</v>
      </c>
      <c r="M361" s="2">
        <v>0</v>
      </c>
      <c r="N361" s="4">
        <f t="shared" si="158"/>
        <v>69.900000000000006</v>
      </c>
      <c r="O361" s="4">
        <f t="shared" si="159"/>
        <v>0</v>
      </c>
      <c r="P361" s="4">
        <f t="shared" si="160"/>
        <v>0</v>
      </c>
      <c r="Q361" s="4">
        <f t="shared" si="161"/>
        <v>8.5171931914162382</v>
      </c>
      <c r="R361" s="4">
        <f t="shared" si="162"/>
        <v>5.872117789475416</v>
      </c>
      <c r="S361" s="4">
        <f t="shared" si="163"/>
        <v>69.900000000000006</v>
      </c>
      <c r="T361" s="4">
        <f t="shared" si="164"/>
        <v>0</v>
      </c>
      <c r="U361" s="4">
        <f t="shared" si="165"/>
        <v>8.5171931914162382</v>
      </c>
      <c r="V361" s="4">
        <f t="shared" si="166"/>
        <v>5.872117789475416</v>
      </c>
      <c r="W361" s="4">
        <f t="shared" si="167"/>
        <v>69.900000000000006</v>
      </c>
      <c r="X361" s="4">
        <f t="shared" si="168"/>
        <v>0</v>
      </c>
      <c r="Y361" s="4">
        <f t="shared" si="169"/>
        <v>8.5171931914162382</v>
      </c>
      <c r="Z361" s="4">
        <f t="shared" si="170"/>
        <v>5.872117789475416</v>
      </c>
      <c r="AA361" s="4">
        <f t="shared" si="171"/>
        <v>69.900000000000006</v>
      </c>
      <c r="AB361" s="4">
        <f t="shared" si="172"/>
        <v>0</v>
      </c>
      <c r="AC361" s="4">
        <f t="shared" si="173"/>
        <v>0</v>
      </c>
      <c r="AD361" s="4">
        <f t="shared" si="174"/>
        <v>0</v>
      </c>
      <c r="AE361" s="4">
        <f t="shared" si="175"/>
        <v>0</v>
      </c>
      <c r="AF361" s="4">
        <f t="shared" si="176"/>
        <v>0</v>
      </c>
      <c r="AG361" s="4">
        <f t="shared" si="177"/>
        <v>8.5171931914162382</v>
      </c>
      <c r="AH361" s="4">
        <f t="shared" si="178"/>
        <v>0</v>
      </c>
      <c r="AI361" s="4">
        <f t="shared" si="179"/>
        <v>0</v>
      </c>
      <c r="AJ361" s="4">
        <f t="shared" si="180"/>
        <v>8.5171931914162382</v>
      </c>
      <c r="AK361" s="4">
        <f t="shared" si="181"/>
        <v>5.872117789475416</v>
      </c>
      <c r="AL361" s="4">
        <f t="shared" si="182"/>
        <v>0</v>
      </c>
      <c r="AM361" s="4">
        <f>CER!$C$7+CER!$C$8*J361+CER!$C$9*K361+CER!$C$10*L361+CER!$C$11*M361</f>
        <v>3.2354971324787853</v>
      </c>
      <c r="AN361" s="4">
        <f t="shared" si="183"/>
        <v>25.419005251422291</v>
      </c>
      <c r="AO361" s="4">
        <f t="shared" si="184"/>
        <v>-0.33746038139824774</v>
      </c>
      <c r="AP361" s="4">
        <f>Alternatives!$F$25+Alternatives!$F$26*J361+Alternatives!$F$27*K361+Alternatives!$F$28*G361+Alternatives!$F$29*O361</f>
        <v>3.1246563343215996</v>
      </c>
      <c r="AQ361" s="4">
        <f t="shared" si="185"/>
        <v>-0.22661958324106202</v>
      </c>
    </row>
    <row r="362" spans="1:43" x14ac:dyDescent="0.35">
      <c r="A362" s="2" t="s">
        <v>335</v>
      </c>
      <c r="B362" s="2" t="s">
        <v>283</v>
      </c>
      <c r="C362" s="2" t="s">
        <v>67</v>
      </c>
      <c r="D362" s="2">
        <v>21.833500000000001</v>
      </c>
      <c r="E362" s="2">
        <v>5000</v>
      </c>
      <c r="F362" s="2">
        <v>355</v>
      </c>
      <c r="G362" s="2">
        <v>69.900000000000006</v>
      </c>
      <c r="H362" s="2" t="s">
        <v>68</v>
      </c>
      <c r="I362" s="4">
        <f t="shared" si="155"/>
        <v>3.0834454875317472</v>
      </c>
      <c r="J362" s="4">
        <f t="shared" si="156"/>
        <v>8.5171931914162382</v>
      </c>
      <c r="K362" s="4">
        <f t="shared" si="157"/>
        <v>5.872117789475416</v>
      </c>
      <c r="L362" s="2">
        <v>0</v>
      </c>
      <c r="M362" s="2">
        <v>0</v>
      </c>
      <c r="N362" s="4">
        <f t="shared" si="158"/>
        <v>69.900000000000006</v>
      </c>
      <c r="O362" s="4">
        <f t="shared" si="159"/>
        <v>0</v>
      </c>
      <c r="P362" s="4">
        <f t="shared" si="160"/>
        <v>0</v>
      </c>
      <c r="Q362" s="4">
        <f t="shared" si="161"/>
        <v>8.5171931914162382</v>
      </c>
      <c r="R362" s="4">
        <f t="shared" si="162"/>
        <v>5.872117789475416</v>
      </c>
      <c r="S362" s="4">
        <f t="shared" si="163"/>
        <v>69.900000000000006</v>
      </c>
      <c r="T362" s="4">
        <f t="shared" si="164"/>
        <v>0</v>
      </c>
      <c r="U362" s="4">
        <f t="shared" si="165"/>
        <v>8.5171931914162382</v>
      </c>
      <c r="V362" s="4">
        <f t="shared" si="166"/>
        <v>5.872117789475416</v>
      </c>
      <c r="W362" s="4">
        <f t="shared" si="167"/>
        <v>69.900000000000006</v>
      </c>
      <c r="X362" s="4">
        <f t="shared" si="168"/>
        <v>0</v>
      </c>
      <c r="Y362" s="4">
        <f t="shared" si="169"/>
        <v>8.5171931914162382</v>
      </c>
      <c r="Z362" s="4">
        <f t="shared" si="170"/>
        <v>5.872117789475416</v>
      </c>
      <c r="AA362" s="4">
        <f t="shared" si="171"/>
        <v>69.900000000000006</v>
      </c>
      <c r="AB362" s="4">
        <f t="shared" si="172"/>
        <v>0</v>
      </c>
      <c r="AC362" s="4">
        <f t="shared" si="173"/>
        <v>0</v>
      </c>
      <c r="AD362" s="4">
        <f t="shared" si="174"/>
        <v>0</v>
      </c>
      <c r="AE362" s="4">
        <f t="shared" si="175"/>
        <v>0</v>
      </c>
      <c r="AF362" s="4">
        <f t="shared" si="176"/>
        <v>0</v>
      </c>
      <c r="AG362" s="4">
        <f t="shared" si="177"/>
        <v>8.5171931914162382</v>
      </c>
      <c r="AH362" s="4">
        <f t="shared" si="178"/>
        <v>0</v>
      </c>
      <c r="AI362" s="4">
        <f t="shared" si="179"/>
        <v>0</v>
      </c>
      <c r="AJ362" s="4">
        <f t="shared" si="180"/>
        <v>8.5171931914162382</v>
      </c>
      <c r="AK362" s="4">
        <f t="shared" si="181"/>
        <v>5.872117789475416</v>
      </c>
      <c r="AL362" s="4">
        <f t="shared" si="182"/>
        <v>0</v>
      </c>
      <c r="AM362" s="4">
        <f>CER!$C$7+CER!$C$8*J362+CER!$C$9*K362+CER!$C$10*L362+CER!$C$11*M362</f>
        <v>3.2354971324787853</v>
      </c>
      <c r="AN362" s="4">
        <f t="shared" si="183"/>
        <v>25.419005251422291</v>
      </c>
      <c r="AO362" s="4">
        <f t="shared" si="184"/>
        <v>-0.15205164494703816</v>
      </c>
      <c r="AP362" s="4">
        <f>Alternatives!$F$25+Alternatives!$F$26*J362+Alternatives!$F$27*K362+Alternatives!$F$28*G362+Alternatives!$F$29*O362</f>
        <v>3.1246563343215996</v>
      </c>
      <c r="AQ362" s="4">
        <f t="shared" si="185"/>
        <v>-4.1210846789852429E-2</v>
      </c>
    </row>
    <row r="363" spans="1:43" x14ac:dyDescent="0.35">
      <c r="A363" s="2" t="s">
        <v>335</v>
      </c>
      <c r="B363" s="2" t="s">
        <v>283</v>
      </c>
      <c r="C363" s="2" t="s">
        <v>67</v>
      </c>
      <c r="D363" s="2">
        <v>24.759899999999998</v>
      </c>
      <c r="E363" s="2">
        <v>5000</v>
      </c>
      <c r="F363" s="2">
        <v>355</v>
      </c>
      <c r="G363" s="2">
        <v>69.900000000000006</v>
      </c>
      <c r="H363" s="2" t="s">
        <v>68</v>
      </c>
      <c r="I363" s="4">
        <f t="shared" si="155"/>
        <v>3.2092254090360264</v>
      </c>
      <c r="J363" s="4">
        <f t="shared" si="156"/>
        <v>8.5171931914162382</v>
      </c>
      <c r="K363" s="4">
        <f t="shared" si="157"/>
        <v>5.872117789475416</v>
      </c>
      <c r="L363" s="2">
        <v>0</v>
      </c>
      <c r="M363" s="2">
        <v>0</v>
      </c>
      <c r="N363" s="4">
        <f t="shared" si="158"/>
        <v>69.900000000000006</v>
      </c>
      <c r="O363" s="4">
        <f t="shared" si="159"/>
        <v>0</v>
      </c>
      <c r="P363" s="4">
        <f t="shared" si="160"/>
        <v>0</v>
      </c>
      <c r="Q363" s="4">
        <f t="shared" si="161"/>
        <v>8.5171931914162382</v>
      </c>
      <c r="R363" s="4">
        <f t="shared" si="162"/>
        <v>5.872117789475416</v>
      </c>
      <c r="S363" s="4">
        <f t="shared" si="163"/>
        <v>69.900000000000006</v>
      </c>
      <c r="T363" s="4">
        <f t="shared" si="164"/>
        <v>0</v>
      </c>
      <c r="U363" s="4">
        <f t="shared" si="165"/>
        <v>8.5171931914162382</v>
      </c>
      <c r="V363" s="4">
        <f t="shared" si="166"/>
        <v>5.872117789475416</v>
      </c>
      <c r="W363" s="4">
        <f t="shared" si="167"/>
        <v>69.900000000000006</v>
      </c>
      <c r="X363" s="4">
        <f t="shared" si="168"/>
        <v>0</v>
      </c>
      <c r="Y363" s="4">
        <f t="shared" si="169"/>
        <v>8.5171931914162382</v>
      </c>
      <c r="Z363" s="4">
        <f t="shared" si="170"/>
        <v>5.872117789475416</v>
      </c>
      <c r="AA363" s="4">
        <f t="shared" si="171"/>
        <v>69.900000000000006</v>
      </c>
      <c r="AB363" s="4">
        <f t="shared" si="172"/>
        <v>0</v>
      </c>
      <c r="AC363" s="4">
        <f t="shared" si="173"/>
        <v>0</v>
      </c>
      <c r="AD363" s="4">
        <f t="shared" si="174"/>
        <v>0</v>
      </c>
      <c r="AE363" s="4">
        <f t="shared" si="175"/>
        <v>0</v>
      </c>
      <c r="AF363" s="4">
        <f t="shared" si="176"/>
        <v>0</v>
      </c>
      <c r="AG363" s="4">
        <f t="shared" si="177"/>
        <v>8.5171931914162382</v>
      </c>
      <c r="AH363" s="4">
        <f t="shared" si="178"/>
        <v>0</v>
      </c>
      <c r="AI363" s="4">
        <f t="shared" si="179"/>
        <v>0</v>
      </c>
      <c r="AJ363" s="4">
        <f t="shared" si="180"/>
        <v>8.5171931914162382</v>
      </c>
      <c r="AK363" s="4">
        <f t="shared" si="181"/>
        <v>5.872117789475416</v>
      </c>
      <c r="AL363" s="4">
        <f t="shared" si="182"/>
        <v>0</v>
      </c>
      <c r="AM363" s="4">
        <f>CER!$C$7+CER!$C$8*J363+CER!$C$9*K363+CER!$C$10*L363+CER!$C$11*M363</f>
        <v>3.2354971324787853</v>
      </c>
      <c r="AN363" s="4">
        <f t="shared" si="183"/>
        <v>25.419005251422291</v>
      </c>
      <c r="AO363" s="4">
        <f t="shared" si="184"/>
        <v>-2.6271723442758965E-2</v>
      </c>
      <c r="AP363" s="4">
        <f>Alternatives!$F$25+Alternatives!$F$26*J363+Alternatives!$F$27*K363+Alternatives!$F$28*G363+Alternatives!$F$29*O363</f>
        <v>3.1246563343215996</v>
      </c>
      <c r="AQ363" s="4">
        <f t="shared" si="185"/>
        <v>8.4569074714426762E-2</v>
      </c>
    </row>
    <row r="364" spans="1:43" x14ac:dyDescent="0.35">
      <c r="A364" s="2" t="s">
        <v>335</v>
      </c>
      <c r="B364" s="2" t="s">
        <v>283</v>
      </c>
      <c r="C364" s="2" t="s">
        <v>67</v>
      </c>
      <c r="D364" s="2">
        <v>24.340900000000001</v>
      </c>
      <c r="E364" s="2">
        <v>5000</v>
      </c>
      <c r="F364" s="2">
        <v>355</v>
      </c>
      <c r="G364" s="2">
        <v>69.900000000000006</v>
      </c>
      <c r="H364" s="2" t="s">
        <v>68</v>
      </c>
      <c r="I364" s="4">
        <f t="shared" si="155"/>
        <v>3.1921580630466915</v>
      </c>
      <c r="J364" s="4">
        <f t="shared" si="156"/>
        <v>8.5171931914162382</v>
      </c>
      <c r="K364" s="4">
        <f t="shared" si="157"/>
        <v>5.872117789475416</v>
      </c>
      <c r="L364" s="2">
        <v>0</v>
      </c>
      <c r="M364" s="2">
        <v>0</v>
      </c>
      <c r="N364" s="4">
        <f t="shared" si="158"/>
        <v>69.900000000000006</v>
      </c>
      <c r="O364" s="4">
        <f t="shared" si="159"/>
        <v>0</v>
      </c>
      <c r="P364" s="4">
        <f t="shared" si="160"/>
        <v>0</v>
      </c>
      <c r="Q364" s="4">
        <f t="shared" si="161"/>
        <v>8.5171931914162382</v>
      </c>
      <c r="R364" s="4">
        <f t="shared" si="162"/>
        <v>5.872117789475416</v>
      </c>
      <c r="S364" s="4">
        <f t="shared" si="163"/>
        <v>69.900000000000006</v>
      </c>
      <c r="T364" s="4">
        <f t="shared" si="164"/>
        <v>0</v>
      </c>
      <c r="U364" s="4">
        <f t="shared" si="165"/>
        <v>8.5171931914162382</v>
      </c>
      <c r="V364" s="4">
        <f t="shared" si="166"/>
        <v>5.872117789475416</v>
      </c>
      <c r="W364" s="4">
        <f t="shared" si="167"/>
        <v>69.900000000000006</v>
      </c>
      <c r="X364" s="4">
        <f t="shared" si="168"/>
        <v>0</v>
      </c>
      <c r="Y364" s="4">
        <f t="shared" si="169"/>
        <v>8.5171931914162382</v>
      </c>
      <c r="Z364" s="4">
        <f t="shared" si="170"/>
        <v>5.872117789475416</v>
      </c>
      <c r="AA364" s="4">
        <f t="shared" si="171"/>
        <v>69.900000000000006</v>
      </c>
      <c r="AB364" s="4">
        <f t="shared" si="172"/>
        <v>0</v>
      </c>
      <c r="AC364" s="4">
        <f t="shared" si="173"/>
        <v>0</v>
      </c>
      <c r="AD364" s="4">
        <f t="shared" si="174"/>
        <v>0</v>
      </c>
      <c r="AE364" s="4">
        <f t="shared" si="175"/>
        <v>0</v>
      </c>
      <c r="AF364" s="4">
        <f t="shared" si="176"/>
        <v>0</v>
      </c>
      <c r="AG364" s="4">
        <f t="shared" si="177"/>
        <v>8.5171931914162382</v>
      </c>
      <c r="AH364" s="4">
        <f t="shared" si="178"/>
        <v>0</v>
      </c>
      <c r="AI364" s="4">
        <f t="shared" si="179"/>
        <v>0</v>
      </c>
      <c r="AJ364" s="4">
        <f t="shared" si="180"/>
        <v>8.5171931914162382</v>
      </c>
      <c r="AK364" s="4">
        <f t="shared" si="181"/>
        <v>5.872117789475416</v>
      </c>
      <c r="AL364" s="4">
        <f t="shared" si="182"/>
        <v>0</v>
      </c>
      <c r="AM364" s="4">
        <f>CER!$C$7+CER!$C$8*J364+CER!$C$9*K364+CER!$C$10*L364+CER!$C$11*M364</f>
        <v>3.2354971324787853</v>
      </c>
      <c r="AN364" s="4">
        <f t="shared" si="183"/>
        <v>25.419005251422291</v>
      </c>
      <c r="AO364" s="4">
        <f t="shared" si="184"/>
        <v>-4.3339069432093869E-2</v>
      </c>
      <c r="AP364" s="4">
        <f>Alternatives!$F$25+Alternatives!$F$26*J364+Alternatives!$F$27*K364+Alternatives!$F$28*G364+Alternatives!$F$29*O364</f>
        <v>3.1246563343215996</v>
      </c>
      <c r="AQ364" s="4">
        <f t="shared" si="185"/>
        <v>6.7501728725091859E-2</v>
      </c>
    </row>
    <row r="365" spans="1:43" x14ac:dyDescent="0.35">
      <c r="A365" s="2" t="s">
        <v>335</v>
      </c>
      <c r="B365" s="2" t="s">
        <v>283</v>
      </c>
      <c r="C365" s="2" t="s">
        <v>67</v>
      </c>
      <c r="D365" s="2">
        <v>35.238599999999998</v>
      </c>
      <c r="E365" s="2">
        <v>5500</v>
      </c>
      <c r="F365" s="2">
        <v>305</v>
      </c>
      <c r="G365" s="2">
        <v>69.900000000000006</v>
      </c>
      <c r="H365" s="2" t="s">
        <v>68</v>
      </c>
      <c r="I365" s="4">
        <f t="shared" si="155"/>
        <v>3.5621420726965245</v>
      </c>
      <c r="J365" s="4">
        <f t="shared" si="156"/>
        <v>8.6125033712205621</v>
      </c>
      <c r="K365" s="4">
        <f t="shared" si="157"/>
        <v>5.7203117766074119</v>
      </c>
      <c r="L365" s="2">
        <v>0</v>
      </c>
      <c r="M365" s="2">
        <v>0</v>
      </c>
      <c r="N365" s="4">
        <f t="shared" si="158"/>
        <v>69.900000000000006</v>
      </c>
      <c r="O365" s="4">
        <f t="shared" si="159"/>
        <v>0</v>
      </c>
      <c r="P365" s="4">
        <f t="shared" si="160"/>
        <v>0</v>
      </c>
      <c r="Q365" s="4">
        <f t="shared" si="161"/>
        <v>8.6125033712205621</v>
      </c>
      <c r="R365" s="4">
        <f t="shared" si="162"/>
        <v>5.7203117766074119</v>
      </c>
      <c r="S365" s="4">
        <f t="shared" si="163"/>
        <v>69.900000000000006</v>
      </c>
      <c r="T365" s="4">
        <f t="shared" si="164"/>
        <v>0</v>
      </c>
      <c r="U365" s="4">
        <f t="shared" si="165"/>
        <v>8.6125033712205621</v>
      </c>
      <c r="V365" s="4">
        <f t="shared" si="166"/>
        <v>5.7203117766074119</v>
      </c>
      <c r="W365" s="4">
        <f t="shared" si="167"/>
        <v>69.900000000000006</v>
      </c>
      <c r="X365" s="4">
        <f t="shared" si="168"/>
        <v>0</v>
      </c>
      <c r="Y365" s="4">
        <f t="shared" si="169"/>
        <v>8.6125033712205621</v>
      </c>
      <c r="Z365" s="4">
        <f t="shared" si="170"/>
        <v>5.7203117766074119</v>
      </c>
      <c r="AA365" s="4">
        <f t="shared" si="171"/>
        <v>69.900000000000006</v>
      </c>
      <c r="AB365" s="4">
        <f t="shared" si="172"/>
        <v>0</v>
      </c>
      <c r="AC365" s="4">
        <f t="shared" si="173"/>
        <v>0</v>
      </c>
      <c r="AD365" s="4">
        <f t="shared" si="174"/>
        <v>0</v>
      </c>
      <c r="AE365" s="4">
        <f t="shared" si="175"/>
        <v>0</v>
      </c>
      <c r="AF365" s="4">
        <f t="shared" si="176"/>
        <v>0</v>
      </c>
      <c r="AG365" s="4">
        <f t="shared" si="177"/>
        <v>8.6125033712205621</v>
      </c>
      <c r="AH365" s="4">
        <f t="shared" si="178"/>
        <v>0</v>
      </c>
      <c r="AI365" s="4">
        <f t="shared" si="179"/>
        <v>0</v>
      </c>
      <c r="AJ365" s="4">
        <f t="shared" si="180"/>
        <v>8.6125033712205621</v>
      </c>
      <c r="AK365" s="4">
        <f t="shared" si="181"/>
        <v>5.7203117766074119</v>
      </c>
      <c r="AL365" s="4">
        <f t="shared" si="182"/>
        <v>0</v>
      </c>
      <c r="AM365" s="4">
        <f>CER!$C$7+CER!$C$8*J365+CER!$C$9*K365+CER!$C$10*L365+CER!$C$11*M365</f>
        <v>3.2483572190631627</v>
      </c>
      <c r="AN365" s="4">
        <f t="shared" si="183"/>
        <v>25.748006819945584</v>
      </c>
      <c r="AO365" s="4">
        <f t="shared" si="184"/>
        <v>0.31378485363336184</v>
      </c>
      <c r="AP365" s="4">
        <f>Alternatives!$F$25+Alternatives!$F$26*J365+Alternatives!$F$27*K365+Alternatives!$F$28*G365+Alternatives!$F$29*O365</f>
        <v>3.2003263886496232</v>
      </c>
      <c r="AQ365" s="4">
        <f t="shared" si="185"/>
        <v>0.36181568404690134</v>
      </c>
    </row>
    <row r="366" spans="1:43" x14ac:dyDescent="0.35">
      <c r="A366" s="2" t="s">
        <v>335</v>
      </c>
      <c r="B366" s="2" t="s">
        <v>283</v>
      </c>
      <c r="C366" s="2" t="s">
        <v>67</v>
      </c>
      <c r="D366" s="2">
        <v>27.385999999999999</v>
      </c>
      <c r="E366" s="2">
        <v>4500</v>
      </c>
      <c r="F366" s="2">
        <v>310</v>
      </c>
      <c r="G366" s="2">
        <v>69.900000000000006</v>
      </c>
      <c r="H366" s="2" t="s">
        <v>68</v>
      </c>
      <c r="I366" s="4">
        <f t="shared" si="155"/>
        <v>3.3100319339100417</v>
      </c>
      <c r="J366" s="4">
        <f t="shared" si="156"/>
        <v>8.4118326757584114</v>
      </c>
      <c r="K366" s="4">
        <f t="shared" si="157"/>
        <v>5.7365722974791922</v>
      </c>
      <c r="L366" s="2">
        <v>0</v>
      </c>
      <c r="M366" s="2">
        <v>0</v>
      </c>
      <c r="N366" s="4">
        <f t="shared" si="158"/>
        <v>69.900000000000006</v>
      </c>
      <c r="O366" s="4">
        <f t="shared" si="159"/>
        <v>0</v>
      </c>
      <c r="P366" s="4">
        <f t="shared" si="160"/>
        <v>0</v>
      </c>
      <c r="Q366" s="4">
        <f t="shared" si="161"/>
        <v>8.4118326757584114</v>
      </c>
      <c r="R366" s="4">
        <f t="shared" si="162"/>
        <v>5.7365722974791922</v>
      </c>
      <c r="S366" s="4">
        <f t="shared" si="163"/>
        <v>69.900000000000006</v>
      </c>
      <c r="T366" s="4">
        <f t="shared" si="164"/>
        <v>0</v>
      </c>
      <c r="U366" s="4">
        <f t="shared" si="165"/>
        <v>8.4118326757584114</v>
      </c>
      <c r="V366" s="4">
        <f t="shared" si="166"/>
        <v>5.7365722974791922</v>
      </c>
      <c r="W366" s="4">
        <f t="shared" si="167"/>
        <v>69.900000000000006</v>
      </c>
      <c r="X366" s="4">
        <f t="shared" si="168"/>
        <v>0</v>
      </c>
      <c r="Y366" s="4">
        <f t="shared" si="169"/>
        <v>8.4118326757584114</v>
      </c>
      <c r="Z366" s="4">
        <f t="shared" si="170"/>
        <v>5.7365722974791922</v>
      </c>
      <c r="AA366" s="4">
        <f t="shared" si="171"/>
        <v>69.900000000000006</v>
      </c>
      <c r="AB366" s="4">
        <f t="shared" si="172"/>
        <v>0</v>
      </c>
      <c r="AC366" s="4">
        <f t="shared" si="173"/>
        <v>0</v>
      </c>
      <c r="AD366" s="4">
        <f t="shared" si="174"/>
        <v>0</v>
      </c>
      <c r="AE366" s="4">
        <f t="shared" si="175"/>
        <v>0</v>
      </c>
      <c r="AF366" s="4">
        <f t="shared" si="176"/>
        <v>0</v>
      </c>
      <c r="AG366" s="4">
        <f t="shared" si="177"/>
        <v>8.4118326757584114</v>
      </c>
      <c r="AH366" s="4">
        <f t="shared" si="178"/>
        <v>0</v>
      </c>
      <c r="AI366" s="4">
        <f t="shared" si="179"/>
        <v>0</v>
      </c>
      <c r="AJ366" s="4">
        <f t="shared" si="180"/>
        <v>8.4118326757584114</v>
      </c>
      <c r="AK366" s="4">
        <f t="shared" si="181"/>
        <v>5.7365722974791922</v>
      </c>
      <c r="AL366" s="4">
        <f t="shared" si="182"/>
        <v>0</v>
      </c>
      <c r="AM366" s="4">
        <f>CER!$C$7+CER!$C$8*J366+CER!$C$9*K366+CER!$C$10*L366+CER!$C$11*M366</f>
        <v>3.3332034559805801</v>
      </c>
      <c r="AN366" s="4">
        <f t="shared" si="183"/>
        <v>28.027984457701727</v>
      </c>
      <c r="AO366" s="4">
        <f t="shared" si="184"/>
        <v>-2.3171522070538408E-2</v>
      </c>
      <c r="AP366" s="4">
        <f>Alternatives!$F$25+Alternatives!$F$26*J366+Alternatives!$F$27*K366+Alternatives!$F$28*G366+Alternatives!$F$29*O366</f>
        <v>3.1217338913572936</v>
      </c>
      <c r="AQ366" s="4">
        <f t="shared" si="185"/>
        <v>0.18829804255274807</v>
      </c>
    </row>
    <row r="367" spans="1:43" x14ac:dyDescent="0.35">
      <c r="A367" s="2" t="s">
        <v>335</v>
      </c>
      <c r="B367" s="2" t="s">
        <v>283</v>
      </c>
      <c r="C367" s="2" t="s">
        <v>67</v>
      </c>
      <c r="D367" s="2">
        <v>26.425799999999999</v>
      </c>
      <c r="E367" s="2">
        <v>5000</v>
      </c>
      <c r="F367" s="2">
        <v>310</v>
      </c>
      <c r="G367" s="2">
        <v>69.900000000000006</v>
      </c>
      <c r="H367" s="2" t="s">
        <v>68</v>
      </c>
      <c r="I367" s="4">
        <f t="shared" si="155"/>
        <v>3.2743408056594423</v>
      </c>
      <c r="J367" s="4">
        <f t="shared" si="156"/>
        <v>8.5171931914162382</v>
      </c>
      <c r="K367" s="4">
        <f t="shared" si="157"/>
        <v>5.7365722974791922</v>
      </c>
      <c r="L367" s="2">
        <v>0</v>
      </c>
      <c r="M367" s="2">
        <v>0</v>
      </c>
      <c r="N367" s="4">
        <f t="shared" si="158"/>
        <v>69.900000000000006</v>
      </c>
      <c r="O367" s="4">
        <f t="shared" si="159"/>
        <v>0</v>
      </c>
      <c r="P367" s="4">
        <f t="shared" si="160"/>
        <v>0</v>
      </c>
      <c r="Q367" s="4">
        <f t="shared" si="161"/>
        <v>8.5171931914162382</v>
      </c>
      <c r="R367" s="4">
        <f t="shared" si="162"/>
        <v>5.7365722974791922</v>
      </c>
      <c r="S367" s="4">
        <f t="shared" si="163"/>
        <v>69.900000000000006</v>
      </c>
      <c r="T367" s="4">
        <f t="shared" si="164"/>
        <v>0</v>
      </c>
      <c r="U367" s="4">
        <f t="shared" si="165"/>
        <v>8.5171931914162382</v>
      </c>
      <c r="V367" s="4">
        <f t="shared" si="166"/>
        <v>5.7365722974791922</v>
      </c>
      <c r="W367" s="4">
        <f t="shared" si="167"/>
        <v>69.900000000000006</v>
      </c>
      <c r="X367" s="4">
        <f t="shared" si="168"/>
        <v>0</v>
      </c>
      <c r="Y367" s="4">
        <f t="shared" si="169"/>
        <v>8.5171931914162382</v>
      </c>
      <c r="Z367" s="4">
        <f t="shared" si="170"/>
        <v>5.7365722974791922</v>
      </c>
      <c r="AA367" s="4">
        <f t="shared" si="171"/>
        <v>69.900000000000006</v>
      </c>
      <c r="AB367" s="4">
        <f t="shared" si="172"/>
        <v>0</v>
      </c>
      <c r="AC367" s="4">
        <f t="shared" si="173"/>
        <v>0</v>
      </c>
      <c r="AD367" s="4">
        <f t="shared" si="174"/>
        <v>0</v>
      </c>
      <c r="AE367" s="4">
        <f t="shared" si="175"/>
        <v>0</v>
      </c>
      <c r="AF367" s="4">
        <f t="shared" si="176"/>
        <v>0</v>
      </c>
      <c r="AG367" s="4">
        <f t="shared" si="177"/>
        <v>8.5171931914162382</v>
      </c>
      <c r="AH367" s="4">
        <f t="shared" si="178"/>
        <v>0</v>
      </c>
      <c r="AI367" s="4">
        <f t="shared" si="179"/>
        <v>0</v>
      </c>
      <c r="AJ367" s="4">
        <f t="shared" si="180"/>
        <v>8.5171931914162382</v>
      </c>
      <c r="AK367" s="4">
        <f t="shared" si="181"/>
        <v>5.7365722974791922</v>
      </c>
      <c r="AL367" s="4">
        <f t="shared" si="182"/>
        <v>0</v>
      </c>
      <c r="AM367" s="4">
        <f>CER!$C$7+CER!$C$8*J367+CER!$C$9*K367+CER!$C$10*L367+CER!$C$11*M367</f>
        <v>3.2855057896938553</v>
      </c>
      <c r="AN367" s="4">
        <f t="shared" si="183"/>
        <v>26.722496860851766</v>
      </c>
      <c r="AO367" s="4">
        <f t="shared" si="184"/>
        <v>-1.1164984034413017E-2</v>
      </c>
      <c r="AP367" s="4">
        <f>Alternatives!$F$25+Alternatives!$F$26*J367+Alternatives!$F$27*K367+Alternatives!$F$28*G367+Alternatives!$F$29*O367</f>
        <v>3.1607263408470248</v>
      </c>
      <c r="AQ367" s="4">
        <f t="shared" si="185"/>
        <v>0.11361446481241755</v>
      </c>
    </row>
    <row r="368" spans="1:43" x14ac:dyDescent="0.35">
      <c r="A368" s="2" t="s">
        <v>336</v>
      </c>
      <c r="B368" s="2" t="s">
        <v>283</v>
      </c>
      <c r="C368" s="2" t="s">
        <v>67</v>
      </c>
      <c r="D368" s="2">
        <v>16.267299999999999</v>
      </c>
      <c r="E368" s="2">
        <v>5000</v>
      </c>
      <c r="F368" s="2">
        <v>355</v>
      </c>
      <c r="G368" s="2">
        <v>69.900000000000006</v>
      </c>
      <c r="H368" s="2" t="s">
        <v>68</v>
      </c>
      <c r="I368" s="4">
        <f t="shared" si="155"/>
        <v>2.7891569578592961</v>
      </c>
      <c r="J368" s="4">
        <f t="shared" si="156"/>
        <v>8.5171931914162382</v>
      </c>
      <c r="K368" s="4">
        <f t="shared" si="157"/>
        <v>5.872117789475416</v>
      </c>
      <c r="L368" s="2">
        <v>0</v>
      </c>
      <c r="M368" s="2">
        <v>0</v>
      </c>
      <c r="N368" s="4">
        <f t="shared" si="158"/>
        <v>69.900000000000006</v>
      </c>
      <c r="O368" s="4">
        <f t="shared" si="159"/>
        <v>0</v>
      </c>
      <c r="P368" s="4">
        <f t="shared" si="160"/>
        <v>0</v>
      </c>
      <c r="Q368" s="4">
        <f t="shared" si="161"/>
        <v>8.5171931914162382</v>
      </c>
      <c r="R368" s="4">
        <f t="shared" si="162"/>
        <v>5.872117789475416</v>
      </c>
      <c r="S368" s="4">
        <f t="shared" si="163"/>
        <v>69.900000000000006</v>
      </c>
      <c r="T368" s="4">
        <f t="shared" si="164"/>
        <v>0</v>
      </c>
      <c r="U368" s="4">
        <f t="shared" si="165"/>
        <v>8.5171931914162382</v>
      </c>
      <c r="V368" s="4">
        <f t="shared" si="166"/>
        <v>5.872117789475416</v>
      </c>
      <c r="W368" s="4">
        <f t="shared" si="167"/>
        <v>69.900000000000006</v>
      </c>
      <c r="X368" s="4">
        <f t="shared" si="168"/>
        <v>0</v>
      </c>
      <c r="Y368" s="4">
        <f t="shared" si="169"/>
        <v>8.5171931914162382</v>
      </c>
      <c r="Z368" s="4">
        <f t="shared" si="170"/>
        <v>5.872117789475416</v>
      </c>
      <c r="AA368" s="4">
        <f t="shared" si="171"/>
        <v>69.900000000000006</v>
      </c>
      <c r="AB368" s="4">
        <f t="shared" si="172"/>
        <v>0</v>
      </c>
      <c r="AC368" s="4">
        <f t="shared" si="173"/>
        <v>0</v>
      </c>
      <c r="AD368" s="4">
        <f t="shared" si="174"/>
        <v>0</v>
      </c>
      <c r="AE368" s="4">
        <f t="shared" si="175"/>
        <v>0</v>
      </c>
      <c r="AF368" s="4">
        <f t="shared" si="176"/>
        <v>0</v>
      </c>
      <c r="AG368" s="4">
        <f t="shared" si="177"/>
        <v>8.5171931914162382</v>
      </c>
      <c r="AH368" s="4">
        <f t="shared" si="178"/>
        <v>0</v>
      </c>
      <c r="AI368" s="4">
        <f t="shared" si="179"/>
        <v>0</v>
      </c>
      <c r="AJ368" s="4">
        <f t="shared" si="180"/>
        <v>8.5171931914162382</v>
      </c>
      <c r="AK368" s="4">
        <f t="shared" si="181"/>
        <v>5.872117789475416</v>
      </c>
      <c r="AL368" s="4">
        <f t="shared" si="182"/>
        <v>0</v>
      </c>
      <c r="AM368" s="4">
        <f>CER!$C$7+CER!$C$8*J368+CER!$C$9*K368+CER!$C$10*L368+CER!$C$11*M368</f>
        <v>3.2354971324787853</v>
      </c>
      <c r="AN368" s="4">
        <f t="shared" si="183"/>
        <v>25.419005251422291</v>
      </c>
      <c r="AO368" s="4">
        <f t="shared" si="184"/>
        <v>-0.44634017461948927</v>
      </c>
      <c r="AP368" s="4">
        <f>Alternatives!$F$25+Alternatives!$F$26*J368+Alternatives!$F$27*K368+Alternatives!$F$28*G368+Alternatives!$F$29*O368</f>
        <v>3.1246563343215996</v>
      </c>
      <c r="AQ368" s="4">
        <f t="shared" si="185"/>
        <v>-0.33549937646230354</v>
      </c>
    </row>
    <row r="369" spans="1:43" x14ac:dyDescent="0.35">
      <c r="A369" s="2" t="s">
        <v>336</v>
      </c>
      <c r="B369" s="2" t="s">
        <v>283</v>
      </c>
      <c r="C369" s="2" t="s">
        <v>67</v>
      </c>
      <c r="D369" s="2">
        <v>22.2957</v>
      </c>
      <c r="E369" s="2">
        <v>5500</v>
      </c>
      <c r="F369" s="2">
        <v>420</v>
      </c>
      <c r="G369" s="2">
        <v>69.900000000000006</v>
      </c>
      <c r="H369" s="2" t="s">
        <v>68</v>
      </c>
      <c r="I369" s="4">
        <f t="shared" si="155"/>
        <v>3.1043938347608133</v>
      </c>
      <c r="J369" s="4">
        <f t="shared" si="156"/>
        <v>8.6125033712205621</v>
      </c>
      <c r="K369" s="4">
        <f t="shared" si="157"/>
        <v>6.0402547112774139</v>
      </c>
      <c r="L369" s="2">
        <v>0</v>
      </c>
      <c r="M369" s="2">
        <v>0</v>
      </c>
      <c r="N369" s="4">
        <f t="shared" si="158"/>
        <v>69.900000000000006</v>
      </c>
      <c r="O369" s="4">
        <f t="shared" si="159"/>
        <v>0</v>
      </c>
      <c r="P369" s="4">
        <f t="shared" si="160"/>
        <v>0</v>
      </c>
      <c r="Q369" s="4">
        <f t="shared" si="161"/>
        <v>8.6125033712205621</v>
      </c>
      <c r="R369" s="4">
        <f t="shared" si="162"/>
        <v>6.0402547112774139</v>
      </c>
      <c r="S369" s="4">
        <f t="shared" si="163"/>
        <v>69.900000000000006</v>
      </c>
      <c r="T369" s="4">
        <f t="shared" si="164"/>
        <v>0</v>
      </c>
      <c r="U369" s="4">
        <f t="shared" si="165"/>
        <v>8.6125033712205621</v>
      </c>
      <c r="V369" s="4">
        <f t="shared" si="166"/>
        <v>6.0402547112774139</v>
      </c>
      <c r="W369" s="4">
        <f t="shared" si="167"/>
        <v>69.900000000000006</v>
      </c>
      <c r="X369" s="4">
        <f t="shared" si="168"/>
        <v>0</v>
      </c>
      <c r="Y369" s="4">
        <f t="shared" si="169"/>
        <v>8.6125033712205621</v>
      </c>
      <c r="Z369" s="4">
        <f t="shared" si="170"/>
        <v>6.0402547112774139</v>
      </c>
      <c r="AA369" s="4">
        <f t="shared" si="171"/>
        <v>69.900000000000006</v>
      </c>
      <c r="AB369" s="4">
        <f t="shared" si="172"/>
        <v>0</v>
      </c>
      <c r="AC369" s="4">
        <f t="shared" si="173"/>
        <v>0</v>
      </c>
      <c r="AD369" s="4">
        <f t="shared" si="174"/>
        <v>0</v>
      </c>
      <c r="AE369" s="4">
        <f t="shared" si="175"/>
        <v>0</v>
      </c>
      <c r="AF369" s="4">
        <f t="shared" si="176"/>
        <v>0</v>
      </c>
      <c r="AG369" s="4">
        <f t="shared" si="177"/>
        <v>8.6125033712205621</v>
      </c>
      <c r="AH369" s="4">
        <f t="shared" si="178"/>
        <v>0</v>
      </c>
      <c r="AI369" s="4">
        <f t="shared" si="179"/>
        <v>0</v>
      </c>
      <c r="AJ369" s="4">
        <f t="shared" si="180"/>
        <v>8.6125033712205621</v>
      </c>
      <c r="AK369" s="4">
        <f t="shared" si="181"/>
        <v>6.0402547112774139</v>
      </c>
      <c r="AL369" s="4">
        <f t="shared" si="182"/>
        <v>0</v>
      </c>
      <c r="AM369" s="4">
        <f>CER!$C$7+CER!$C$8*J369+CER!$C$9*K369+CER!$C$10*L369+CER!$C$11*M369</f>
        <v>3.1303162845203789</v>
      </c>
      <c r="AN369" s="4">
        <f t="shared" si="183"/>
        <v>22.881215372319719</v>
      </c>
      <c r="AO369" s="4">
        <f t="shared" si="184"/>
        <v>-2.5922449759565591E-2</v>
      </c>
      <c r="AP369" s="4">
        <f>Alternatives!$F$25+Alternatives!$F$26*J369+Alternatives!$F$27*K369+Alternatives!$F$28*G369+Alternatives!$F$29*O369</f>
        <v>3.1151863845716399</v>
      </c>
      <c r="AQ369" s="4">
        <f t="shared" si="185"/>
        <v>-1.0792549810826557E-2</v>
      </c>
    </row>
    <row r="370" spans="1:43" x14ac:dyDescent="0.35">
      <c r="A370" s="2" t="s">
        <v>336</v>
      </c>
      <c r="B370" s="2" t="s">
        <v>283</v>
      </c>
      <c r="C370" s="2" t="s">
        <v>67</v>
      </c>
      <c r="D370" s="2">
        <v>21.833500000000001</v>
      </c>
      <c r="E370" s="2">
        <v>5500</v>
      </c>
      <c r="F370" s="2">
        <v>355</v>
      </c>
      <c r="G370" s="2">
        <v>69.900000000000006</v>
      </c>
      <c r="H370" s="2" t="s">
        <v>68</v>
      </c>
      <c r="I370" s="4">
        <f t="shared" si="155"/>
        <v>3.0834454875317472</v>
      </c>
      <c r="J370" s="4">
        <f t="shared" si="156"/>
        <v>8.6125033712205621</v>
      </c>
      <c r="K370" s="4">
        <f t="shared" si="157"/>
        <v>5.872117789475416</v>
      </c>
      <c r="L370" s="2">
        <v>0</v>
      </c>
      <c r="M370" s="2">
        <v>0</v>
      </c>
      <c r="N370" s="4">
        <f t="shared" si="158"/>
        <v>69.900000000000006</v>
      </c>
      <c r="O370" s="4">
        <f t="shared" si="159"/>
        <v>0</v>
      </c>
      <c r="P370" s="4">
        <f t="shared" si="160"/>
        <v>0</v>
      </c>
      <c r="Q370" s="4">
        <f t="shared" si="161"/>
        <v>8.6125033712205621</v>
      </c>
      <c r="R370" s="4">
        <f t="shared" si="162"/>
        <v>5.872117789475416</v>
      </c>
      <c r="S370" s="4">
        <f t="shared" si="163"/>
        <v>69.900000000000006</v>
      </c>
      <c r="T370" s="4">
        <f t="shared" si="164"/>
        <v>0</v>
      </c>
      <c r="U370" s="4">
        <f t="shared" si="165"/>
        <v>8.6125033712205621</v>
      </c>
      <c r="V370" s="4">
        <f t="shared" si="166"/>
        <v>5.872117789475416</v>
      </c>
      <c r="W370" s="4">
        <f t="shared" si="167"/>
        <v>69.900000000000006</v>
      </c>
      <c r="X370" s="4">
        <f t="shared" si="168"/>
        <v>0</v>
      </c>
      <c r="Y370" s="4">
        <f t="shared" si="169"/>
        <v>8.6125033712205621</v>
      </c>
      <c r="Z370" s="4">
        <f t="shared" si="170"/>
        <v>5.872117789475416</v>
      </c>
      <c r="AA370" s="4">
        <f t="shared" si="171"/>
        <v>69.900000000000006</v>
      </c>
      <c r="AB370" s="4">
        <f t="shared" si="172"/>
        <v>0</v>
      </c>
      <c r="AC370" s="4">
        <f t="shared" si="173"/>
        <v>0</v>
      </c>
      <c r="AD370" s="4">
        <f t="shared" si="174"/>
        <v>0</v>
      </c>
      <c r="AE370" s="4">
        <f t="shared" si="175"/>
        <v>0</v>
      </c>
      <c r="AF370" s="4">
        <f t="shared" si="176"/>
        <v>0</v>
      </c>
      <c r="AG370" s="4">
        <f t="shared" si="177"/>
        <v>8.6125033712205621</v>
      </c>
      <c r="AH370" s="4">
        <f t="shared" si="178"/>
        <v>0</v>
      </c>
      <c r="AI370" s="4">
        <f t="shared" si="179"/>
        <v>0</v>
      </c>
      <c r="AJ370" s="4">
        <f t="shared" si="180"/>
        <v>8.6125033712205621</v>
      </c>
      <c r="AK370" s="4">
        <f t="shared" si="181"/>
        <v>5.872117789475416</v>
      </c>
      <c r="AL370" s="4">
        <f t="shared" si="182"/>
        <v>0</v>
      </c>
      <c r="AM370" s="4">
        <f>CER!$C$7+CER!$C$8*J370+CER!$C$9*K370+CER!$C$10*L370+CER!$C$11*M370</f>
        <v>3.1923493448882394</v>
      </c>
      <c r="AN370" s="4">
        <f t="shared" si="183"/>
        <v>24.345556417506796</v>
      </c>
      <c r="AO370" s="4">
        <f t="shared" si="184"/>
        <v>-0.10890385735649222</v>
      </c>
      <c r="AP370" s="4">
        <f>Alternatives!$F$25+Alternatives!$F$26*J370+Alternatives!$F$27*K370+Alternatives!$F$28*G370+Alternatives!$F$29*O370</f>
        <v>3.1599292954368128</v>
      </c>
      <c r="AQ370" s="4">
        <f t="shared" si="185"/>
        <v>-7.6483807905065593E-2</v>
      </c>
    </row>
    <row r="371" spans="1:43" x14ac:dyDescent="0.35">
      <c r="A371" s="2" t="s">
        <v>336</v>
      </c>
      <c r="B371" s="2" t="s">
        <v>283</v>
      </c>
      <c r="C371" s="2" t="s">
        <v>67</v>
      </c>
      <c r="D371" s="2">
        <v>22.588100000000001</v>
      </c>
      <c r="E371" s="2">
        <v>5500</v>
      </c>
      <c r="F371" s="2">
        <v>355</v>
      </c>
      <c r="G371" s="2">
        <v>69.900000000000006</v>
      </c>
      <c r="H371" s="2" t="s">
        <v>68</v>
      </c>
      <c r="I371" s="4">
        <f t="shared" si="155"/>
        <v>3.1174232189302398</v>
      </c>
      <c r="J371" s="4">
        <f t="shared" si="156"/>
        <v>8.6125033712205621</v>
      </c>
      <c r="K371" s="4">
        <f t="shared" si="157"/>
        <v>5.872117789475416</v>
      </c>
      <c r="L371" s="2">
        <v>0</v>
      </c>
      <c r="M371" s="2">
        <v>0</v>
      </c>
      <c r="N371" s="4">
        <f t="shared" si="158"/>
        <v>69.900000000000006</v>
      </c>
      <c r="O371" s="4">
        <f t="shared" si="159"/>
        <v>0</v>
      </c>
      <c r="P371" s="4">
        <f t="shared" si="160"/>
        <v>0</v>
      </c>
      <c r="Q371" s="4">
        <f t="shared" si="161"/>
        <v>8.6125033712205621</v>
      </c>
      <c r="R371" s="4">
        <f t="shared" si="162"/>
        <v>5.872117789475416</v>
      </c>
      <c r="S371" s="4">
        <f t="shared" si="163"/>
        <v>69.900000000000006</v>
      </c>
      <c r="T371" s="4">
        <f t="shared" si="164"/>
        <v>0</v>
      </c>
      <c r="U371" s="4">
        <f t="shared" si="165"/>
        <v>8.6125033712205621</v>
      </c>
      <c r="V371" s="4">
        <f t="shared" si="166"/>
        <v>5.872117789475416</v>
      </c>
      <c r="W371" s="4">
        <f t="shared" si="167"/>
        <v>69.900000000000006</v>
      </c>
      <c r="X371" s="4">
        <f t="shared" si="168"/>
        <v>0</v>
      </c>
      <c r="Y371" s="4">
        <f t="shared" si="169"/>
        <v>8.6125033712205621</v>
      </c>
      <c r="Z371" s="4">
        <f t="shared" si="170"/>
        <v>5.872117789475416</v>
      </c>
      <c r="AA371" s="4">
        <f t="shared" si="171"/>
        <v>69.900000000000006</v>
      </c>
      <c r="AB371" s="4">
        <f t="shared" si="172"/>
        <v>0</v>
      </c>
      <c r="AC371" s="4">
        <f t="shared" si="173"/>
        <v>0</v>
      </c>
      <c r="AD371" s="4">
        <f t="shared" si="174"/>
        <v>0</v>
      </c>
      <c r="AE371" s="4">
        <f t="shared" si="175"/>
        <v>0</v>
      </c>
      <c r="AF371" s="4">
        <f t="shared" si="176"/>
        <v>0</v>
      </c>
      <c r="AG371" s="4">
        <f t="shared" si="177"/>
        <v>8.6125033712205621</v>
      </c>
      <c r="AH371" s="4">
        <f t="shared" si="178"/>
        <v>0</v>
      </c>
      <c r="AI371" s="4">
        <f t="shared" si="179"/>
        <v>0</v>
      </c>
      <c r="AJ371" s="4">
        <f t="shared" si="180"/>
        <v>8.6125033712205621</v>
      </c>
      <c r="AK371" s="4">
        <f t="shared" si="181"/>
        <v>5.872117789475416</v>
      </c>
      <c r="AL371" s="4">
        <f t="shared" si="182"/>
        <v>0</v>
      </c>
      <c r="AM371" s="4">
        <f>CER!$C$7+CER!$C$8*J371+CER!$C$9*K371+CER!$C$10*L371+CER!$C$11*M371</f>
        <v>3.1923493448882394</v>
      </c>
      <c r="AN371" s="4">
        <f t="shared" si="183"/>
        <v>24.345556417506796</v>
      </c>
      <c r="AO371" s="4">
        <f t="shared" si="184"/>
        <v>-7.4926125957999634E-2</v>
      </c>
      <c r="AP371" s="4">
        <f>Alternatives!$F$25+Alternatives!$F$26*J371+Alternatives!$F$27*K371+Alternatives!$F$28*G371+Alternatives!$F$29*O371</f>
        <v>3.1599292954368128</v>
      </c>
      <c r="AQ371" s="4">
        <f t="shared" si="185"/>
        <v>-4.250607650657301E-2</v>
      </c>
    </row>
    <row r="372" spans="1:43" x14ac:dyDescent="0.35">
      <c r="A372" s="2" t="s">
        <v>336</v>
      </c>
      <c r="B372" s="2" t="s">
        <v>283</v>
      </c>
      <c r="C372" s="2" t="s">
        <v>67</v>
      </c>
      <c r="D372" s="2">
        <v>22.892800000000001</v>
      </c>
      <c r="E372" s="2">
        <v>5000</v>
      </c>
      <c r="F372" s="2">
        <v>355</v>
      </c>
      <c r="G372" s="2">
        <v>69.900000000000006</v>
      </c>
      <c r="H372" s="2" t="s">
        <v>68</v>
      </c>
      <c r="I372" s="4">
        <f t="shared" si="155"/>
        <v>3.1308224506425071</v>
      </c>
      <c r="J372" s="4">
        <f t="shared" si="156"/>
        <v>8.5171931914162382</v>
      </c>
      <c r="K372" s="4">
        <f t="shared" si="157"/>
        <v>5.872117789475416</v>
      </c>
      <c r="L372" s="2">
        <v>0</v>
      </c>
      <c r="M372" s="2">
        <v>0</v>
      </c>
      <c r="N372" s="4">
        <f t="shared" si="158"/>
        <v>69.900000000000006</v>
      </c>
      <c r="O372" s="4">
        <f t="shared" si="159"/>
        <v>0</v>
      </c>
      <c r="P372" s="4">
        <f t="shared" si="160"/>
        <v>0</v>
      </c>
      <c r="Q372" s="4">
        <f t="shared" si="161"/>
        <v>8.5171931914162382</v>
      </c>
      <c r="R372" s="4">
        <f t="shared" si="162"/>
        <v>5.872117789475416</v>
      </c>
      <c r="S372" s="4">
        <f t="shared" si="163"/>
        <v>69.900000000000006</v>
      </c>
      <c r="T372" s="4">
        <f t="shared" si="164"/>
        <v>0</v>
      </c>
      <c r="U372" s="4">
        <f t="shared" si="165"/>
        <v>8.5171931914162382</v>
      </c>
      <c r="V372" s="4">
        <f t="shared" si="166"/>
        <v>5.872117789475416</v>
      </c>
      <c r="W372" s="4">
        <f t="shared" si="167"/>
        <v>69.900000000000006</v>
      </c>
      <c r="X372" s="4">
        <f t="shared" si="168"/>
        <v>0</v>
      </c>
      <c r="Y372" s="4">
        <f t="shared" si="169"/>
        <v>8.5171931914162382</v>
      </c>
      <c r="Z372" s="4">
        <f t="shared" si="170"/>
        <v>5.872117789475416</v>
      </c>
      <c r="AA372" s="4">
        <f t="shared" si="171"/>
        <v>69.900000000000006</v>
      </c>
      <c r="AB372" s="4">
        <f t="shared" si="172"/>
        <v>0</v>
      </c>
      <c r="AC372" s="4">
        <f t="shared" si="173"/>
        <v>0</v>
      </c>
      <c r="AD372" s="4">
        <f t="shared" si="174"/>
        <v>0</v>
      </c>
      <c r="AE372" s="4">
        <f t="shared" si="175"/>
        <v>0</v>
      </c>
      <c r="AF372" s="4">
        <f t="shared" si="176"/>
        <v>0</v>
      </c>
      <c r="AG372" s="4">
        <f t="shared" si="177"/>
        <v>8.5171931914162382</v>
      </c>
      <c r="AH372" s="4">
        <f t="shared" si="178"/>
        <v>0</v>
      </c>
      <c r="AI372" s="4">
        <f t="shared" si="179"/>
        <v>0</v>
      </c>
      <c r="AJ372" s="4">
        <f t="shared" si="180"/>
        <v>8.5171931914162382</v>
      </c>
      <c r="AK372" s="4">
        <f t="shared" si="181"/>
        <v>5.872117789475416</v>
      </c>
      <c r="AL372" s="4">
        <f t="shared" si="182"/>
        <v>0</v>
      </c>
      <c r="AM372" s="4">
        <f>CER!$C$7+CER!$C$8*J372+CER!$C$9*K372+CER!$C$10*L372+CER!$C$11*M372</f>
        <v>3.2354971324787853</v>
      </c>
      <c r="AN372" s="4">
        <f t="shared" si="183"/>
        <v>25.419005251422291</v>
      </c>
      <c r="AO372" s="4">
        <f t="shared" si="184"/>
        <v>-0.10467468183627826</v>
      </c>
      <c r="AP372" s="4">
        <f>Alternatives!$F$25+Alternatives!$F$26*J372+Alternatives!$F$27*K372+Alternatives!$F$28*G372+Alternatives!$F$29*O372</f>
        <v>3.1246563343215996</v>
      </c>
      <c r="AQ372" s="4">
        <f t="shared" si="185"/>
        <v>6.1661163209074665E-3</v>
      </c>
    </row>
    <row r="373" spans="1:43" x14ac:dyDescent="0.35">
      <c r="A373" s="2" t="s">
        <v>336</v>
      </c>
      <c r="B373" s="2" t="s">
        <v>283</v>
      </c>
      <c r="C373" s="2" t="s">
        <v>67</v>
      </c>
      <c r="D373" s="2">
        <v>33.589700000000001</v>
      </c>
      <c r="E373" s="2">
        <v>6000</v>
      </c>
      <c r="F373" s="2">
        <v>305</v>
      </c>
      <c r="G373" s="2">
        <v>69.900000000000006</v>
      </c>
      <c r="H373" s="2" t="s">
        <v>68</v>
      </c>
      <c r="I373" s="4">
        <f t="shared" si="155"/>
        <v>3.5142194723547853</v>
      </c>
      <c r="J373" s="4">
        <f t="shared" si="156"/>
        <v>8.6995147482101913</v>
      </c>
      <c r="K373" s="4">
        <f t="shared" si="157"/>
        <v>5.7203117766074119</v>
      </c>
      <c r="L373" s="2">
        <v>0</v>
      </c>
      <c r="M373" s="2">
        <v>0</v>
      </c>
      <c r="N373" s="4">
        <f t="shared" si="158"/>
        <v>69.900000000000006</v>
      </c>
      <c r="O373" s="4">
        <f t="shared" si="159"/>
        <v>0</v>
      </c>
      <c r="P373" s="4">
        <f t="shared" si="160"/>
        <v>0</v>
      </c>
      <c r="Q373" s="4">
        <f t="shared" si="161"/>
        <v>8.6995147482101913</v>
      </c>
      <c r="R373" s="4">
        <f t="shared" si="162"/>
        <v>5.7203117766074119</v>
      </c>
      <c r="S373" s="4">
        <f t="shared" si="163"/>
        <v>69.900000000000006</v>
      </c>
      <c r="T373" s="4">
        <f t="shared" si="164"/>
        <v>0</v>
      </c>
      <c r="U373" s="4">
        <f t="shared" si="165"/>
        <v>8.6995147482101913</v>
      </c>
      <c r="V373" s="4">
        <f t="shared" si="166"/>
        <v>5.7203117766074119</v>
      </c>
      <c r="W373" s="4">
        <f t="shared" si="167"/>
        <v>69.900000000000006</v>
      </c>
      <c r="X373" s="4">
        <f t="shared" si="168"/>
        <v>0</v>
      </c>
      <c r="Y373" s="4">
        <f t="shared" si="169"/>
        <v>8.6995147482101913</v>
      </c>
      <c r="Z373" s="4">
        <f t="shared" si="170"/>
        <v>5.7203117766074119</v>
      </c>
      <c r="AA373" s="4">
        <f t="shared" si="171"/>
        <v>69.900000000000006</v>
      </c>
      <c r="AB373" s="4">
        <f t="shared" si="172"/>
        <v>0</v>
      </c>
      <c r="AC373" s="4">
        <f t="shared" si="173"/>
        <v>0</v>
      </c>
      <c r="AD373" s="4">
        <f t="shared" si="174"/>
        <v>0</v>
      </c>
      <c r="AE373" s="4">
        <f t="shared" si="175"/>
        <v>0</v>
      </c>
      <c r="AF373" s="4">
        <f t="shared" si="176"/>
        <v>0</v>
      </c>
      <c r="AG373" s="4">
        <f t="shared" si="177"/>
        <v>8.6995147482101913</v>
      </c>
      <c r="AH373" s="4">
        <f t="shared" si="178"/>
        <v>0</v>
      </c>
      <c r="AI373" s="4">
        <f t="shared" si="179"/>
        <v>0</v>
      </c>
      <c r="AJ373" s="4">
        <f t="shared" si="180"/>
        <v>8.6995147482101913</v>
      </c>
      <c r="AK373" s="4">
        <f t="shared" si="181"/>
        <v>5.7203117766074119</v>
      </c>
      <c r="AL373" s="4">
        <f t="shared" si="182"/>
        <v>0</v>
      </c>
      <c r="AM373" s="4">
        <f>CER!$C$7+CER!$C$8*J373+CER!$C$9*K373+CER!$C$10*L373+CER!$C$11*M373</f>
        <v>3.2089663751888002</v>
      </c>
      <c r="AN373" s="4">
        <f t="shared" si="183"/>
        <v>24.753487178450847</v>
      </c>
      <c r="AO373" s="4">
        <f t="shared" si="184"/>
        <v>0.30525309716598503</v>
      </c>
      <c r="AP373" s="4">
        <f>Alternatives!$F$25+Alternatives!$F$26*J373+Alternatives!$F$27*K373+Alternatives!$F$28*G373+Alternatives!$F$29*O373</f>
        <v>3.2325280792081497</v>
      </c>
      <c r="AQ373" s="4">
        <f t="shared" si="185"/>
        <v>0.2816913931466356</v>
      </c>
    </row>
    <row r="374" spans="1:43" x14ac:dyDescent="0.35">
      <c r="A374" s="2" t="s">
        <v>336</v>
      </c>
      <c r="B374" s="2" t="s">
        <v>283</v>
      </c>
      <c r="C374" s="2" t="s">
        <v>67</v>
      </c>
      <c r="D374" s="2">
        <v>31.230599999999999</v>
      </c>
      <c r="E374" s="2">
        <v>6000</v>
      </c>
      <c r="F374" s="2">
        <v>305</v>
      </c>
      <c r="G374" s="2">
        <v>69.900000000000006</v>
      </c>
      <c r="H374" s="2" t="s">
        <v>68</v>
      </c>
      <c r="I374" s="4">
        <f t="shared" si="155"/>
        <v>3.4413983834063027</v>
      </c>
      <c r="J374" s="4">
        <f t="shared" si="156"/>
        <v>8.6995147482101913</v>
      </c>
      <c r="K374" s="4">
        <f t="shared" si="157"/>
        <v>5.7203117766074119</v>
      </c>
      <c r="L374" s="2">
        <v>0</v>
      </c>
      <c r="M374" s="2">
        <v>0</v>
      </c>
      <c r="N374" s="4">
        <f t="shared" si="158"/>
        <v>69.900000000000006</v>
      </c>
      <c r="O374" s="4">
        <f t="shared" si="159"/>
        <v>0</v>
      </c>
      <c r="P374" s="4">
        <f t="shared" si="160"/>
        <v>0</v>
      </c>
      <c r="Q374" s="4">
        <f t="shared" si="161"/>
        <v>8.6995147482101913</v>
      </c>
      <c r="R374" s="4">
        <f t="shared" si="162"/>
        <v>5.7203117766074119</v>
      </c>
      <c r="S374" s="4">
        <f t="shared" si="163"/>
        <v>69.900000000000006</v>
      </c>
      <c r="T374" s="4">
        <f t="shared" si="164"/>
        <v>0</v>
      </c>
      <c r="U374" s="4">
        <f t="shared" si="165"/>
        <v>8.6995147482101913</v>
      </c>
      <c r="V374" s="4">
        <f t="shared" si="166"/>
        <v>5.7203117766074119</v>
      </c>
      <c r="W374" s="4">
        <f t="shared" si="167"/>
        <v>69.900000000000006</v>
      </c>
      <c r="X374" s="4">
        <f t="shared" si="168"/>
        <v>0</v>
      </c>
      <c r="Y374" s="4">
        <f t="shared" si="169"/>
        <v>8.6995147482101913</v>
      </c>
      <c r="Z374" s="4">
        <f t="shared" si="170"/>
        <v>5.7203117766074119</v>
      </c>
      <c r="AA374" s="4">
        <f t="shared" si="171"/>
        <v>69.900000000000006</v>
      </c>
      <c r="AB374" s="4">
        <f t="shared" si="172"/>
        <v>0</v>
      </c>
      <c r="AC374" s="4">
        <f t="shared" si="173"/>
        <v>0</v>
      </c>
      <c r="AD374" s="4">
        <f t="shared" si="174"/>
        <v>0</v>
      </c>
      <c r="AE374" s="4">
        <f t="shared" si="175"/>
        <v>0</v>
      </c>
      <c r="AF374" s="4">
        <f t="shared" si="176"/>
        <v>0</v>
      </c>
      <c r="AG374" s="4">
        <f t="shared" si="177"/>
        <v>8.6995147482101913</v>
      </c>
      <c r="AH374" s="4">
        <f t="shared" si="178"/>
        <v>0</v>
      </c>
      <c r="AI374" s="4">
        <f t="shared" si="179"/>
        <v>0</v>
      </c>
      <c r="AJ374" s="4">
        <f t="shared" si="180"/>
        <v>8.6995147482101913</v>
      </c>
      <c r="AK374" s="4">
        <f t="shared" si="181"/>
        <v>5.7203117766074119</v>
      </c>
      <c r="AL374" s="4">
        <f t="shared" si="182"/>
        <v>0</v>
      </c>
      <c r="AM374" s="4">
        <f>CER!$C$7+CER!$C$8*J374+CER!$C$9*K374+CER!$C$10*L374+CER!$C$11*M374</f>
        <v>3.2089663751888002</v>
      </c>
      <c r="AN374" s="4">
        <f t="shared" si="183"/>
        <v>24.753487178450847</v>
      </c>
      <c r="AO374" s="4">
        <f t="shared" si="184"/>
        <v>0.23243200821750243</v>
      </c>
      <c r="AP374" s="4">
        <f>Alternatives!$F$25+Alternatives!$F$26*J374+Alternatives!$F$27*K374+Alternatives!$F$28*G374+Alternatives!$F$29*O374</f>
        <v>3.2325280792081497</v>
      </c>
      <c r="AQ374" s="4">
        <f t="shared" si="185"/>
        <v>0.208870304198153</v>
      </c>
    </row>
    <row r="375" spans="1:43" x14ac:dyDescent="0.35">
      <c r="A375" s="2" t="s">
        <v>336</v>
      </c>
      <c r="B375" s="2" t="s">
        <v>283</v>
      </c>
      <c r="C375" s="2" t="s">
        <v>67</v>
      </c>
      <c r="D375" s="2">
        <v>24.861999999999998</v>
      </c>
      <c r="E375" s="2">
        <v>5000</v>
      </c>
      <c r="F375" s="2">
        <v>310</v>
      </c>
      <c r="G375" s="2">
        <v>69.900000000000006</v>
      </c>
      <c r="H375" s="2" t="s">
        <v>68</v>
      </c>
      <c r="I375" s="4">
        <f t="shared" si="155"/>
        <v>3.2133405333695237</v>
      </c>
      <c r="J375" s="4">
        <f t="shared" si="156"/>
        <v>8.5171931914162382</v>
      </c>
      <c r="K375" s="4">
        <f t="shared" si="157"/>
        <v>5.7365722974791922</v>
      </c>
      <c r="L375" s="2">
        <v>0</v>
      </c>
      <c r="M375" s="2">
        <v>0</v>
      </c>
      <c r="N375" s="4">
        <f t="shared" si="158"/>
        <v>69.900000000000006</v>
      </c>
      <c r="O375" s="4">
        <f t="shared" si="159"/>
        <v>0</v>
      </c>
      <c r="P375" s="4">
        <f t="shared" si="160"/>
        <v>0</v>
      </c>
      <c r="Q375" s="4">
        <f t="shared" si="161"/>
        <v>8.5171931914162382</v>
      </c>
      <c r="R375" s="4">
        <f t="shared" si="162"/>
        <v>5.7365722974791922</v>
      </c>
      <c r="S375" s="4">
        <f t="shared" si="163"/>
        <v>69.900000000000006</v>
      </c>
      <c r="T375" s="4">
        <f t="shared" si="164"/>
        <v>0</v>
      </c>
      <c r="U375" s="4">
        <f t="shared" si="165"/>
        <v>8.5171931914162382</v>
      </c>
      <c r="V375" s="4">
        <f t="shared" si="166"/>
        <v>5.7365722974791922</v>
      </c>
      <c r="W375" s="4">
        <f t="shared" si="167"/>
        <v>69.900000000000006</v>
      </c>
      <c r="X375" s="4">
        <f t="shared" si="168"/>
        <v>0</v>
      </c>
      <c r="Y375" s="4">
        <f t="shared" si="169"/>
        <v>8.5171931914162382</v>
      </c>
      <c r="Z375" s="4">
        <f t="shared" si="170"/>
        <v>5.7365722974791922</v>
      </c>
      <c r="AA375" s="4">
        <f t="shared" si="171"/>
        <v>69.900000000000006</v>
      </c>
      <c r="AB375" s="4">
        <f t="shared" si="172"/>
        <v>0</v>
      </c>
      <c r="AC375" s="4">
        <f t="shared" si="173"/>
        <v>0</v>
      </c>
      <c r="AD375" s="4">
        <f t="shared" si="174"/>
        <v>0</v>
      </c>
      <c r="AE375" s="4">
        <f t="shared" si="175"/>
        <v>0</v>
      </c>
      <c r="AF375" s="4">
        <f t="shared" si="176"/>
        <v>0</v>
      </c>
      <c r="AG375" s="4">
        <f t="shared" si="177"/>
        <v>8.5171931914162382</v>
      </c>
      <c r="AH375" s="4">
        <f t="shared" si="178"/>
        <v>0</v>
      </c>
      <c r="AI375" s="4">
        <f t="shared" si="179"/>
        <v>0</v>
      </c>
      <c r="AJ375" s="4">
        <f t="shared" si="180"/>
        <v>8.5171931914162382</v>
      </c>
      <c r="AK375" s="4">
        <f t="shared" si="181"/>
        <v>5.7365722974791922</v>
      </c>
      <c r="AL375" s="4">
        <f t="shared" si="182"/>
        <v>0</v>
      </c>
      <c r="AM375" s="4">
        <f>CER!$C$7+CER!$C$8*J375+CER!$C$9*K375+CER!$C$10*L375+CER!$C$11*M375</f>
        <v>3.2855057896938553</v>
      </c>
      <c r="AN375" s="4">
        <f t="shared" si="183"/>
        <v>26.722496860851766</v>
      </c>
      <c r="AO375" s="4">
        <f t="shared" si="184"/>
        <v>-7.2165256324331573E-2</v>
      </c>
      <c r="AP375" s="4">
        <f>Alternatives!$F$25+Alternatives!$F$26*J375+Alternatives!$F$27*K375+Alternatives!$F$28*G375+Alternatives!$F$29*O375</f>
        <v>3.1607263408470248</v>
      </c>
      <c r="AQ375" s="4">
        <f t="shared" si="185"/>
        <v>5.2614192522498993E-2</v>
      </c>
    </row>
    <row r="376" spans="1:43" x14ac:dyDescent="0.35">
      <c r="A376" s="2" t="s">
        <v>336</v>
      </c>
      <c r="B376" s="2" t="s">
        <v>283</v>
      </c>
      <c r="C376" s="2" t="s">
        <v>67</v>
      </c>
      <c r="D376" s="2">
        <v>26.7728</v>
      </c>
      <c r="E376" s="2">
        <v>5000</v>
      </c>
      <c r="F376" s="2">
        <v>310</v>
      </c>
      <c r="G376" s="2">
        <v>69.900000000000006</v>
      </c>
      <c r="H376" s="2" t="s">
        <v>68</v>
      </c>
      <c r="I376" s="4">
        <f t="shared" si="155"/>
        <v>3.2873864467581719</v>
      </c>
      <c r="J376" s="4">
        <f t="shared" si="156"/>
        <v>8.5171931914162382</v>
      </c>
      <c r="K376" s="4">
        <f t="shared" si="157"/>
        <v>5.7365722974791922</v>
      </c>
      <c r="L376" s="2">
        <v>0</v>
      </c>
      <c r="M376" s="2">
        <v>0</v>
      </c>
      <c r="N376" s="4">
        <f t="shared" si="158"/>
        <v>69.900000000000006</v>
      </c>
      <c r="O376" s="4">
        <f t="shared" si="159"/>
        <v>0</v>
      </c>
      <c r="P376" s="4">
        <f t="shared" si="160"/>
        <v>0</v>
      </c>
      <c r="Q376" s="4">
        <f t="shared" si="161"/>
        <v>8.5171931914162382</v>
      </c>
      <c r="R376" s="4">
        <f t="shared" si="162"/>
        <v>5.7365722974791922</v>
      </c>
      <c r="S376" s="4">
        <f t="shared" si="163"/>
        <v>69.900000000000006</v>
      </c>
      <c r="T376" s="4">
        <f t="shared" si="164"/>
        <v>0</v>
      </c>
      <c r="U376" s="4">
        <f t="shared" si="165"/>
        <v>8.5171931914162382</v>
      </c>
      <c r="V376" s="4">
        <f t="shared" si="166"/>
        <v>5.7365722974791922</v>
      </c>
      <c r="W376" s="4">
        <f t="shared" si="167"/>
        <v>69.900000000000006</v>
      </c>
      <c r="X376" s="4">
        <f t="shared" si="168"/>
        <v>0</v>
      </c>
      <c r="Y376" s="4">
        <f t="shared" si="169"/>
        <v>8.5171931914162382</v>
      </c>
      <c r="Z376" s="4">
        <f t="shared" si="170"/>
        <v>5.7365722974791922</v>
      </c>
      <c r="AA376" s="4">
        <f t="shared" si="171"/>
        <v>69.900000000000006</v>
      </c>
      <c r="AB376" s="4">
        <f t="shared" si="172"/>
        <v>0</v>
      </c>
      <c r="AC376" s="4">
        <f t="shared" si="173"/>
        <v>0</v>
      </c>
      <c r="AD376" s="4">
        <f t="shared" si="174"/>
        <v>0</v>
      </c>
      <c r="AE376" s="4">
        <f t="shared" si="175"/>
        <v>0</v>
      </c>
      <c r="AF376" s="4">
        <f t="shared" si="176"/>
        <v>0</v>
      </c>
      <c r="AG376" s="4">
        <f t="shared" si="177"/>
        <v>8.5171931914162382</v>
      </c>
      <c r="AH376" s="4">
        <f t="shared" si="178"/>
        <v>0</v>
      </c>
      <c r="AI376" s="4">
        <f t="shared" si="179"/>
        <v>0</v>
      </c>
      <c r="AJ376" s="4">
        <f t="shared" si="180"/>
        <v>8.5171931914162382</v>
      </c>
      <c r="AK376" s="4">
        <f t="shared" si="181"/>
        <v>5.7365722974791922</v>
      </c>
      <c r="AL376" s="4">
        <f t="shared" si="182"/>
        <v>0</v>
      </c>
      <c r="AM376" s="4">
        <f>CER!$C$7+CER!$C$8*J376+CER!$C$9*K376+CER!$C$10*L376+CER!$C$11*M376</f>
        <v>3.2855057896938553</v>
      </c>
      <c r="AN376" s="4">
        <f t="shared" si="183"/>
        <v>26.722496860851766</v>
      </c>
      <c r="AO376" s="4">
        <f t="shared" si="184"/>
        <v>1.8806570643166154E-3</v>
      </c>
      <c r="AP376" s="4">
        <f>Alternatives!$F$25+Alternatives!$F$26*J376+Alternatives!$F$27*K376+Alternatives!$F$28*G376+Alternatives!$F$29*O376</f>
        <v>3.1607263408470248</v>
      </c>
      <c r="AQ376" s="4">
        <f t="shared" si="185"/>
        <v>0.12666010591114718</v>
      </c>
    </row>
    <row r="377" spans="1:43" x14ac:dyDescent="0.35">
      <c r="A377" s="2" t="s">
        <v>337</v>
      </c>
      <c r="B377" s="2" t="s">
        <v>283</v>
      </c>
      <c r="C377" s="2" t="s">
        <v>67</v>
      </c>
      <c r="D377" s="2">
        <v>33.7087</v>
      </c>
      <c r="E377" s="2">
        <v>4000</v>
      </c>
      <c r="F377" s="2">
        <v>237</v>
      </c>
      <c r="G377" s="2">
        <v>52</v>
      </c>
      <c r="H377" s="2" t="s">
        <v>68</v>
      </c>
      <c r="I377" s="4">
        <f t="shared" si="155"/>
        <v>3.5177559642780847</v>
      </c>
      <c r="J377" s="4">
        <f t="shared" si="156"/>
        <v>8.2940496401020276</v>
      </c>
      <c r="K377" s="4">
        <f t="shared" si="157"/>
        <v>5.4680601411351315</v>
      </c>
      <c r="L377" s="2">
        <v>0</v>
      </c>
      <c r="M377" s="2">
        <v>0</v>
      </c>
      <c r="N377" s="4">
        <f t="shared" si="158"/>
        <v>52</v>
      </c>
      <c r="O377" s="4">
        <f t="shared" si="159"/>
        <v>0</v>
      </c>
      <c r="P377" s="4">
        <f t="shared" si="160"/>
        <v>0</v>
      </c>
      <c r="Q377" s="4">
        <f t="shared" si="161"/>
        <v>8.2940496401020276</v>
      </c>
      <c r="R377" s="4">
        <f t="shared" si="162"/>
        <v>5.4680601411351315</v>
      </c>
      <c r="S377" s="4">
        <f t="shared" si="163"/>
        <v>52</v>
      </c>
      <c r="T377" s="4">
        <f t="shared" si="164"/>
        <v>0</v>
      </c>
      <c r="U377" s="4">
        <f t="shared" si="165"/>
        <v>8.2940496401020276</v>
      </c>
      <c r="V377" s="4">
        <f t="shared" si="166"/>
        <v>5.4680601411351315</v>
      </c>
      <c r="W377" s="4">
        <f t="shared" si="167"/>
        <v>52</v>
      </c>
      <c r="X377" s="4">
        <f t="shared" si="168"/>
        <v>0</v>
      </c>
      <c r="Y377" s="4">
        <f t="shared" si="169"/>
        <v>8.2940496401020276</v>
      </c>
      <c r="Z377" s="4">
        <f t="shared" si="170"/>
        <v>5.4680601411351315</v>
      </c>
      <c r="AA377" s="4">
        <f t="shared" si="171"/>
        <v>52</v>
      </c>
      <c r="AB377" s="4">
        <f t="shared" si="172"/>
        <v>0</v>
      </c>
      <c r="AC377" s="4">
        <f t="shared" si="173"/>
        <v>0</v>
      </c>
      <c r="AD377" s="4">
        <f t="shared" si="174"/>
        <v>0</v>
      </c>
      <c r="AE377" s="4">
        <f t="shared" si="175"/>
        <v>0</v>
      </c>
      <c r="AF377" s="4">
        <f t="shared" si="176"/>
        <v>0</v>
      </c>
      <c r="AG377" s="4">
        <f t="shared" si="177"/>
        <v>8.2940496401020276</v>
      </c>
      <c r="AH377" s="4">
        <f t="shared" si="178"/>
        <v>0</v>
      </c>
      <c r="AI377" s="4">
        <f t="shared" si="179"/>
        <v>0</v>
      </c>
      <c r="AJ377" s="4">
        <f t="shared" si="180"/>
        <v>8.2940496401020276</v>
      </c>
      <c r="AK377" s="4">
        <f t="shared" si="181"/>
        <v>5.4680601411351315</v>
      </c>
      <c r="AL377" s="4">
        <f t="shared" si="182"/>
        <v>0</v>
      </c>
      <c r="AM377" s="4">
        <f>CER!$C$7+CER!$C$8*J377+CER!$C$9*K377+CER!$C$10*L377+CER!$C$11*M377</f>
        <v>3.4855907825395005</v>
      </c>
      <c r="AN377" s="4">
        <f t="shared" si="183"/>
        <v>32.641705564318478</v>
      </c>
      <c r="AO377" s="4">
        <f t="shared" si="184"/>
        <v>3.2165181738584181E-2</v>
      </c>
      <c r="AP377" s="4">
        <f>Alternatives!$F$25+Alternatives!$F$26*J377+Alternatives!$F$27*K377+Alternatives!$F$28*G377+Alternatives!$F$29*O377</f>
        <v>3.3824287330174814</v>
      </c>
      <c r="AQ377" s="4">
        <f t="shared" si="185"/>
        <v>0.13532723126060331</v>
      </c>
    </row>
    <row r="378" spans="1:43" x14ac:dyDescent="0.35">
      <c r="A378" s="2" t="s">
        <v>337</v>
      </c>
      <c r="B378" s="2" t="s">
        <v>283</v>
      </c>
      <c r="C378" s="2" t="s">
        <v>67</v>
      </c>
      <c r="D378" s="2">
        <v>28.325800000000001</v>
      </c>
      <c r="E378" s="2">
        <v>4500</v>
      </c>
      <c r="F378" s="2">
        <v>308</v>
      </c>
      <c r="G378" s="2">
        <v>52</v>
      </c>
      <c r="H378" s="2" t="s">
        <v>68</v>
      </c>
      <c r="I378" s="4">
        <f t="shared" si="155"/>
        <v>3.3437730501162863</v>
      </c>
      <c r="J378" s="4">
        <f t="shared" si="156"/>
        <v>8.4118326757584114</v>
      </c>
      <c r="K378" s="4">
        <f t="shared" si="157"/>
        <v>5.730099782973574</v>
      </c>
      <c r="L378" s="2">
        <v>0</v>
      </c>
      <c r="M378" s="2">
        <v>0</v>
      </c>
      <c r="N378" s="4">
        <f t="shared" si="158"/>
        <v>52</v>
      </c>
      <c r="O378" s="4">
        <f t="shared" si="159"/>
        <v>0</v>
      </c>
      <c r="P378" s="4">
        <f t="shared" si="160"/>
        <v>0</v>
      </c>
      <c r="Q378" s="4">
        <f t="shared" si="161"/>
        <v>8.4118326757584114</v>
      </c>
      <c r="R378" s="4">
        <f t="shared" si="162"/>
        <v>5.730099782973574</v>
      </c>
      <c r="S378" s="4">
        <f t="shared" si="163"/>
        <v>52</v>
      </c>
      <c r="T378" s="4">
        <f t="shared" si="164"/>
        <v>0</v>
      </c>
      <c r="U378" s="4">
        <f t="shared" si="165"/>
        <v>8.4118326757584114</v>
      </c>
      <c r="V378" s="4">
        <f t="shared" si="166"/>
        <v>5.730099782973574</v>
      </c>
      <c r="W378" s="4">
        <f t="shared" si="167"/>
        <v>52</v>
      </c>
      <c r="X378" s="4">
        <f t="shared" si="168"/>
        <v>0</v>
      </c>
      <c r="Y378" s="4">
        <f t="shared" si="169"/>
        <v>8.4118326757584114</v>
      </c>
      <c r="Z378" s="4">
        <f t="shared" si="170"/>
        <v>5.730099782973574</v>
      </c>
      <c r="AA378" s="4">
        <f t="shared" si="171"/>
        <v>52</v>
      </c>
      <c r="AB378" s="4">
        <f t="shared" si="172"/>
        <v>0</v>
      </c>
      <c r="AC378" s="4">
        <f t="shared" si="173"/>
        <v>0</v>
      </c>
      <c r="AD378" s="4">
        <f t="shared" si="174"/>
        <v>0</v>
      </c>
      <c r="AE378" s="4">
        <f t="shared" si="175"/>
        <v>0</v>
      </c>
      <c r="AF378" s="4">
        <f t="shared" si="176"/>
        <v>0</v>
      </c>
      <c r="AG378" s="4">
        <f t="shared" si="177"/>
        <v>8.4118326757584114</v>
      </c>
      <c r="AH378" s="4">
        <f t="shared" si="178"/>
        <v>0</v>
      </c>
      <c r="AI378" s="4">
        <f t="shared" si="179"/>
        <v>0</v>
      </c>
      <c r="AJ378" s="4">
        <f t="shared" si="180"/>
        <v>8.4118326757584114</v>
      </c>
      <c r="AK378" s="4">
        <f t="shared" si="181"/>
        <v>5.730099782973574</v>
      </c>
      <c r="AL378" s="4">
        <f t="shared" si="182"/>
        <v>0</v>
      </c>
      <c r="AM378" s="4">
        <f>CER!$C$7+CER!$C$8*J378+CER!$C$9*K378+CER!$C$10*L378+CER!$C$11*M378</f>
        <v>3.3355914495203436</v>
      </c>
      <c r="AN378" s="4">
        <f t="shared" si="183"/>
        <v>28.094995082144365</v>
      </c>
      <c r="AO378" s="4">
        <f t="shared" si="184"/>
        <v>8.1816005959427507E-3</v>
      </c>
      <c r="AP378" s="4">
        <f>Alternatives!$F$25+Alternatives!$F$26*J378+Alternatives!$F$27*K378+Alternatives!$F$28*G378+Alternatives!$F$29*O378</f>
        <v>3.3562872222905646</v>
      </c>
      <c r="AQ378" s="4">
        <f t="shared" si="185"/>
        <v>-1.2514172174278304E-2</v>
      </c>
    </row>
    <row r="379" spans="1:43" x14ac:dyDescent="0.35">
      <c r="A379" s="2" t="s">
        <v>338</v>
      </c>
      <c r="B379" s="2" t="s">
        <v>283</v>
      </c>
      <c r="C379" s="2" t="s">
        <v>67</v>
      </c>
      <c r="D379" s="2">
        <v>32.516599999999997</v>
      </c>
      <c r="E379" s="2">
        <v>4500</v>
      </c>
      <c r="F379" s="2">
        <v>237</v>
      </c>
      <c r="G379" s="2">
        <v>52</v>
      </c>
      <c r="H379" s="2" t="s">
        <v>68</v>
      </c>
      <c r="I379" s="4">
        <f t="shared" si="155"/>
        <v>3.4817507281682576</v>
      </c>
      <c r="J379" s="4">
        <f t="shared" si="156"/>
        <v>8.4118326757584114</v>
      </c>
      <c r="K379" s="4">
        <f t="shared" si="157"/>
        <v>5.4680601411351315</v>
      </c>
      <c r="L379" s="2">
        <v>0</v>
      </c>
      <c r="M379" s="2">
        <v>0</v>
      </c>
      <c r="N379" s="4">
        <f t="shared" si="158"/>
        <v>52</v>
      </c>
      <c r="O379" s="4">
        <f t="shared" si="159"/>
        <v>0</v>
      </c>
      <c r="P379" s="4">
        <f t="shared" si="160"/>
        <v>0</v>
      </c>
      <c r="Q379" s="4">
        <f t="shared" si="161"/>
        <v>8.4118326757584114</v>
      </c>
      <c r="R379" s="4">
        <f t="shared" si="162"/>
        <v>5.4680601411351315</v>
      </c>
      <c r="S379" s="4">
        <f t="shared" si="163"/>
        <v>52</v>
      </c>
      <c r="T379" s="4">
        <f t="shared" si="164"/>
        <v>0</v>
      </c>
      <c r="U379" s="4">
        <f t="shared" si="165"/>
        <v>8.4118326757584114</v>
      </c>
      <c r="V379" s="4">
        <f t="shared" si="166"/>
        <v>5.4680601411351315</v>
      </c>
      <c r="W379" s="4">
        <f t="shared" si="167"/>
        <v>52</v>
      </c>
      <c r="X379" s="4">
        <f t="shared" si="168"/>
        <v>0</v>
      </c>
      <c r="Y379" s="4">
        <f t="shared" si="169"/>
        <v>8.4118326757584114</v>
      </c>
      <c r="Z379" s="4">
        <f t="shared" si="170"/>
        <v>5.4680601411351315</v>
      </c>
      <c r="AA379" s="4">
        <f t="shared" si="171"/>
        <v>52</v>
      </c>
      <c r="AB379" s="4">
        <f t="shared" si="172"/>
        <v>0</v>
      </c>
      <c r="AC379" s="4">
        <f t="shared" si="173"/>
        <v>0</v>
      </c>
      <c r="AD379" s="4">
        <f t="shared" si="174"/>
        <v>0</v>
      </c>
      <c r="AE379" s="4">
        <f t="shared" si="175"/>
        <v>0</v>
      </c>
      <c r="AF379" s="4">
        <f t="shared" si="176"/>
        <v>0</v>
      </c>
      <c r="AG379" s="4">
        <f t="shared" si="177"/>
        <v>8.4118326757584114</v>
      </c>
      <c r="AH379" s="4">
        <f t="shared" si="178"/>
        <v>0</v>
      </c>
      <c r="AI379" s="4">
        <f t="shared" si="179"/>
        <v>0</v>
      </c>
      <c r="AJ379" s="4">
        <f t="shared" si="180"/>
        <v>8.4118326757584114</v>
      </c>
      <c r="AK379" s="4">
        <f t="shared" si="181"/>
        <v>5.4680601411351315</v>
      </c>
      <c r="AL379" s="4">
        <f t="shared" si="182"/>
        <v>0</v>
      </c>
      <c r="AM379" s="4">
        <f>CER!$C$7+CER!$C$8*J379+CER!$C$9*K379+CER!$C$10*L379+CER!$C$11*M379</f>
        <v>3.4322693281607006</v>
      </c>
      <c r="AN379" s="4">
        <f t="shared" si="183"/>
        <v>30.946791549795901</v>
      </c>
      <c r="AO379" s="4">
        <f t="shared" si="184"/>
        <v>4.9481400007556964E-2</v>
      </c>
      <c r="AP379" s="4">
        <f>Alternatives!$F$25+Alternatives!$F$26*J379+Alternatives!$F$27*K379+Alternatives!$F$28*G379+Alternatives!$F$29*O379</f>
        <v>3.426018582971273</v>
      </c>
      <c r="AQ379" s="4">
        <f t="shared" si="185"/>
        <v>5.573214519698455E-2</v>
      </c>
    </row>
    <row r="380" spans="1:43" x14ac:dyDescent="0.35">
      <c r="A380" s="2" t="s">
        <v>338</v>
      </c>
      <c r="B380" s="2" t="s">
        <v>283</v>
      </c>
      <c r="C380" s="2" t="s">
        <v>67</v>
      </c>
      <c r="D380" s="2">
        <v>27.540800000000001</v>
      </c>
      <c r="E380" s="2">
        <v>4500</v>
      </c>
      <c r="F380" s="2">
        <v>308</v>
      </c>
      <c r="G380" s="2">
        <v>52</v>
      </c>
      <c r="H380" s="2" t="s">
        <v>68</v>
      </c>
      <c r="I380" s="4">
        <f t="shared" si="155"/>
        <v>3.3156685415351044</v>
      </c>
      <c r="J380" s="4">
        <f t="shared" si="156"/>
        <v>8.4118326757584114</v>
      </c>
      <c r="K380" s="4">
        <f t="shared" si="157"/>
        <v>5.730099782973574</v>
      </c>
      <c r="L380" s="2">
        <v>0</v>
      </c>
      <c r="M380" s="2">
        <v>0</v>
      </c>
      <c r="N380" s="4">
        <f t="shared" si="158"/>
        <v>52</v>
      </c>
      <c r="O380" s="4">
        <f t="shared" si="159"/>
        <v>0</v>
      </c>
      <c r="P380" s="4">
        <f t="shared" si="160"/>
        <v>0</v>
      </c>
      <c r="Q380" s="4">
        <f t="shared" si="161"/>
        <v>8.4118326757584114</v>
      </c>
      <c r="R380" s="4">
        <f t="shared" si="162"/>
        <v>5.730099782973574</v>
      </c>
      <c r="S380" s="4">
        <f t="shared" si="163"/>
        <v>52</v>
      </c>
      <c r="T380" s="4">
        <f t="shared" si="164"/>
        <v>0</v>
      </c>
      <c r="U380" s="4">
        <f t="shared" si="165"/>
        <v>8.4118326757584114</v>
      </c>
      <c r="V380" s="4">
        <f t="shared" si="166"/>
        <v>5.730099782973574</v>
      </c>
      <c r="W380" s="4">
        <f t="shared" si="167"/>
        <v>52</v>
      </c>
      <c r="X380" s="4">
        <f t="shared" si="168"/>
        <v>0</v>
      </c>
      <c r="Y380" s="4">
        <f t="shared" si="169"/>
        <v>8.4118326757584114</v>
      </c>
      <c r="Z380" s="4">
        <f t="shared" si="170"/>
        <v>5.730099782973574</v>
      </c>
      <c r="AA380" s="4">
        <f t="shared" si="171"/>
        <v>52</v>
      </c>
      <c r="AB380" s="4">
        <f t="shared" si="172"/>
        <v>0</v>
      </c>
      <c r="AC380" s="4">
        <f t="shared" si="173"/>
        <v>0</v>
      </c>
      <c r="AD380" s="4">
        <f t="shared" si="174"/>
        <v>0</v>
      </c>
      <c r="AE380" s="4">
        <f t="shared" si="175"/>
        <v>0</v>
      </c>
      <c r="AF380" s="4">
        <f t="shared" si="176"/>
        <v>0</v>
      </c>
      <c r="AG380" s="4">
        <f t="shared" si="177"/>
        <v>8.4118326757584114</v>
      </c>
      <c r="AH380" s="4">
        <f t="shared" si="178"/>
        <v>0</v>
      </c>
      <c r="AI380" s="4">
        <f t="shared" si="179"/>
        <v>0</v>
      </c>
      <c r="AJ380" s="4">
        <f t="shared" si="180"/>
        <v>8.4118326757584114</v>
      </c>
      <c r="AK380" s="4">
        <f t="shared" si="181"/>
        <v>5.730099782973574</v>
      </c>
      <c r="AL380" s="4">
        <f t="shared" si="182"/>
        <v>0</v>
      </c>
      <c r="AM380" s="4">
        <f>CER!$C$7+CER!$C$8*J380+CER!$C$9*K380+CER!$C$10*L380+CER!$C$11*M380</f>
        <v>3.3355914495203436</v>
      </c>
      <c r="AN380" s="4">
        <f t="shared" si="183"/>
        <v>28.094995082144365</v>
      </c>
      <c r="AO380" s="4">
        <f t="shared" si="184"/>
        <v>-1.9922907985239213E-2</v>
      </c>
      <c r="AP380" s="4">
        <f>Alternatives!$F$25+Alternatives!$F$26*J380+Alternatives!$F$27*K380+Alternatives!$F$28*G380+Alternatives!$F$29*O380</f>
        <v>3.3562872222905646</v>
      </c>
      <c r="AQ380" s="4">
        <f t="shared" si="185"/>
        <v>-4.0618680755460268E-2</v>
      </c>
    </row>
    <row r="381" spans="1:43" x14ac:dyDescent="0.35">
      <c r="A381" s="2" t="s">
        <v>339</v>
      </c>
      <c r="B381" s="2" t="s">
        <v>283</v>
      </c>
      <c r="C381" s="2" t="s">
        <v>67</v>
      </c>
      <c r="D381" s="2">
        <v>21.349299999999999</v>
      </c>
      <c r="E381" s="2">
        <v>5500</v>
      </c>
      <c r="F381" s="2">
        <v>355</v>
      </c>
      <c r="G381" s="2">
        <v>66.5</v>
      </c>
      <c r="H381" s="2" t="s">
        <v>68</v>
      </c>
      <c r="I381" s="4">
        <f t="shared" si="155"/>
        <v>3.061018952251886</v>
      </c>
      <c r="J381" s="4">
        <f t="shared" si="156"/>
        <v>8.6125033712205621</v>
      </c>
      <c r="K381" s="4">
        <f t="shared" si="157"/>
        <v>5.872117789475416</v>
      </c>
      <c r="L381" s="2">
        <v>0</v>
      </c>
      <c r="M381" s="2">
        <v>0</v>
      </c>
      <c r="N381" s="4">
        <f t="shared" si="158"/>
        <v>66.5</v>
      </c>
      <c r="O381" s="4">
        <f t="shared" si="159"/>
        <v>0</v>
      </c>
      <c r="P381" s="4">
        <f t="shared" si="160"/>
        <v>0</v>
      </c>
      <c r="Q381" s="4">
        <f t="shared" si="161"/>
        <v>8.6125033712205621</v>
      </c>
      <c r="R381" s="4">
        <f t="shared" si="162"/>
        <v>5.872117789475416</v>
      </c>
      <c r="S381" s="4">
        <f t="shared" si="163"/>
        <v>66.5</v>
      </c>
      <c r="T381" s="4">
        <f t="shared" si="164"/>
        <v>0</v>
      </c>
      <c r="U381" s="4">
        <f t="shared" si="165"/>
        <v>8.6125033712205621</v>
      </c>
      <c r="V381" s="4">
        <f t="shared" si="166"/>
        <v>5.872117789475416</v>
      </c>
      <c r="W381" s="4">
        <f t="shared" si="167"/>
        <v>66.5</v>
      </c>
      <c r="X381" s="4">
        <f t="shared" si="168"/>
        <v>0</v>
      </c>
      <c r="Y381" s="4">
        <f t="shared" si="169"/>
        <v>8.6125033712205621</v>
      </c>
      <c r="Z381" s="4">
        <f t="shared" si="170"/>
        <v>5.872117789475416</v>
      </c>
      <c r="AA381" s="4">
        <f t="shared" si="171"/>
        <v>66.5</v>
      </c>
      <c r="AB381" s="4">
        <f t="shared" si="172"/>
        <v>0</v>
      </c>
      <c r="AC381" s="4">
        <f t="shared" si="173"/>
        <v>0</v>
      </c>
      <c r="AD381" s="4">
        <f t="shared" si="174"/>
        <v>0</v>
      </c>
      <c r="AE381" s="4">
        <f t="shared" si="175"/>
        <v>0</v>
      </c>
      <c r="AF381" s="4">
        <f t="shared" si="176"/>
        <v>0</v>
      </c>
      <c r="AG381" s="4">
        <f t="shared" si="177"/>
        <v>8.6125033712205621</v>
      </c>
      <c r="AH381" s="4">
        <f t="shared" si="178"/>
        <v>0</v>
      </c>
      <c r="AI381" s="4">
        <f t="shared" si="179"/>
        <v>0</v>
      </c>
      <c r="AJ381" s="4">
        <f t="shared" si="180"/>
        <v>8.6125033712205621</v>
      </c>
      <c r="AK381" s="4">
        <f t="shared" si="181"/>
        <v>5.872117789475416</v>
      </c>
      <c r="AL381" s="4">
        <f t="shared" si="182"/>
        <v>0</v>
      </c>
      <c r="AM381" s="4">
        <f>CER!$C$7+CER!$C$8*J381+CER!$C$9*K381+CER!$C$10*L381+CER!$C$11*M381</f>
        <v>3.1923493448882394</v>
      </c>
      <c r="AN381" s="4">
        <f t="shared" si="183"/>
        <v>24.345556417506796</v>
      </c>
      <c r="AO381" s="4">
        <f t="shared" si="184"/>
        <v>-0.13133039263635338</v>
      </c>
      <c r="AP381" s="4">
        <f>Alternatives!$F$25+Alternatives!$F$26*J381+Alternatives!$F$27*K381+Alternatives!$F$28*G381+Alternatives!$F$29*O381</f>
        <v>3.2041541648803888</v>
      </c>
      <c r="AQ381" s="4">
        <f t="shared" si="185"/>
        <v>-0.14313521262850282</v>
      </c>
    </row>
    <row r="382" spans="1:43" x14ac:dyDescent="0.35">
      <c r="A382" s="2" t="s">
        <v>340</v>
      </c>
      <c r="B382" s="2" t="s">
        <v>283</v>
      </c>
      <c r="C382" s="2" t="s">
        <v>67</v>
      </c>
      <c r="D382" s="2">
        <v>22.281600000000001</v>
      </c>
      <c r="E382" s="2">
        <v>5500</v>
      </c>
      <c r="F382" s="2">
        <v>310</v>
      </c>
      <c r="G382" s="2">
        <v>61.3</v>
      </c>
      <c r="H382" s="2" t="s">
        <v>68</v>
      </c>
      <c r="I382" s="4">
        <f t="shared" si="155"/>
        <v>3.1037612257660907</v>
      </c>
      <c r="J382" s="4">
        <f t="shared" si="156"/>
        <v>8.6125033712205621</v>
      </c>
      <c r="K382" s="4">
        <f t="shared" si="157"/>
        <v>5.7365722974791922</v>
      </c>
      <c r="L382" s="2">
        <v>0</v>
      </c>
      <c r="M382" s="2">
        <v>0</v>
      </c>
      <c r="N382" s="4">
        <f t="shared" si="158"/>
        <v>61.3</v>
      </c>
      <c r="O382" s="4">
        <f t="shared" si="159"/>
        <v>0</v>
      </c>
      <c r="P382" s="4">
        <f t="shared" si="160"/>
        <v>0</v>
      </c>
      <c r="Q382" s="4">
        <f t="shared" si="161"/>
        <v>8.6125033712205621</v>
      </c>
      <c r="R382" s="4">
        <f t="shared" si="162"/>
        <v>5.7365722974791922</v>
      </c>
      <c r="S382" s="4">
        <f t="shared" si="163"/>
        <v>61.3</v>
      </c>
      <c r="T382" s="4">
        <f t="shared" si="164"/>
        <v>0</v>
      </c>
      <c r="U382" s="4">
        <f t="shared" si="165"/>
        <v>8.6125033712205621</v>
      </c>
      <c r="V382" s="4">
        <f t="shared" si="166"/>
        <v>5.7365722974791922</v>
      </c>
      <c r="W382" s="4">
        <f t="shared" si="167"/>
        <v>61.3</v>
      </c>
      <c r="X382" s="4">
        <f t="shared" si="168"/>
        <v>0</v>
      </c>
      <c r="Y382" s="4">
        <f t="shared" si="169"/>
        <v>8.6125033712205621</v>
      </c>
      <c r="Z382" s="4">
        <f t="shared" si="170"/>
        <v>5.7365722974791922</v>
      </c>
      <c r="AA382" s="4">
        <f t="shared" si="171"/>
        <v>61.3</v>
      </c>
      <c r="AB382" s="4">
        <f t="shared" si="172"/>
        <v>0</v>
      </c>
      <c r="AC382" s="4">
        <f t="shared" si="173"/>
        <v>0</v>
      </c>
      <c r="AD382" s="4">
        <f t="shared" si="174"/>
        <v>0</v>
      </c>
      <c r="AE382" s="4">
        <f t="shared" si="175"/>
        <v>0</v>
      </c>
      <c r="AF382" s="4">
        <f t="shared" si="176"/>
        <v>0</v>
      </c>
      <c r="AG382" s="4">
        <f t="shared" si="177"/>
        <v>8.6125033712205621</v>
      </c>
      <c r="AH382" s="4">
        <f t="shared" si="178"/>
        <v>0</v>
      </c>
      <c r="AI382" s="4">
        <f t="shared" si="179"/>
        <v>0</v>
      </c>
      <c r="AJ382" s="4">
        <f t="shared" si="180"/>
        <v>8.6125033712205621</v>
      </c>
      <c r="AK382" s="4">
        <f t="shared" si="181"/>
        <v>5.7365722974791922</v>
      </c>
      <c r="AL382" s="4">
        <f t="shared" si="182"/>
        <v>0</v>
      </c>
      <c r="AM382" s="4">
        <f>CER!$C$7+CER!$C$8*J382+CER!$C$9*K382+CER!$C$10*L382+CER!$C$11*M382</f>
        <v>3.2423580021033094</v>
      </c>
      <c r="AN382" s="4">
        <f t="shared" si="183"/>
        <v>25.59400135873188</v>
      </c>
      <c r="AO382" s="4">
        <f t="shared" si="184"/>
        <v>-0.13859677633721867</v>
      </c>
      <c r="AP382" s="4">
        <f>Alternatives!$F$25+Alternatives!$F$26*J382+Alternatives!$F$27*K382+Alternatives!$F$28*G382+Alternatives!$F$29*O382</f>
        <v>3.3078622070254009</v>
      </c>
      <c r="AQ382" s="4">
        <f t="shared" si="185"/>
        <v>-0.2041009812593102</v>
      </c>
    </row>
    <row r="383" spans="1:43" x14ac:dyDescent="0.35">
      <c r="A383" s="2" t="s">
        <v>341</v>
      </c>
      <c r="B383" s="2" t="s">
        <v>283</v>
      </c>
      <c r="C383" s="2" t="s">
        <v>67</v>
      </c>
      <c r="D383" s="2">
        <v>22.9604</v>
      </c>
      <c r="E383" s="2">
        <v>6000</v>
      </c>
      <c r="F383" s="2">
        <v>355</v>
      </c>
      <c r="G383" s="2">
        <v>57.6</v>
      </c>
      <c r="H383" s="2" t="s">
        <v>68</v>
      </c>
      <c r="I383" s="4">
        <f t="shared" si="155"/>
        <v>3.1337709929023987</v>
      </c>
      <c r="J383" s="4">
        <f t="shared" si="156"/>
        <v>8.6995147482101913</v>
      </c>
      <c r="K383" s="4">
        <f t="shared" si="157"/>
        <v>5.872117789475416</v>
      </c>
      <c r="L383" s="2">
        <v>0</v>
      </c>
      <c r="M383" s="2">
        <v>0</v>
      </c>
      <c r="N383" s="4">
        <f t="shared" si="158"/>
        <v>57.6</v>
      </c>
      <c r="O383" s="4">
        <f t="shared" si="159"/>
        <v>0</v>
      </c>
      <c r="P383" s="4">
        <f t="shared" si="160"/>
        <v>0</v>
      </c>
      <c r="Q383" s="4">
        <f t="shared" si="161"/>
        <v>8.6995147482101913</v>
      </c>
      <c r="R383" s="4">
        <f t="shared" si="162"/>
        <v>5.872117789475416</v>
      </c>
      <c r="S383" s="4">
        <f t="shared" si="163"/>
        <v>57.6</v>
      </c>
      <c r="T383" s="4">
        <f t="shared" si="164"/>
        <v>0</v>
      </c>
      <c r="U383" s="4">
        <f t="shared" si="165"/>
        <v>8.6995147482101913</v>
      </c>
      <c r="V383" s="4">
        <f t="shared" si="166"/>
        <v>5.872117789475416</v>
      </c>
      <c r="W383" s="4">
        <f t="shared" si="167"/>
        <v>57.6</v>
      </c>
      <c r="X383" s="4">
        <f t="shared" si="168"/>
        <v>0</v>
      </c>
      <c r="Y383" s="4">
        <f t="shared" si="169"/>
        <v>8.6995147482101913</v>
      </c>
      <c r="Z383" s="4">
        <f t="shared" si="170"/>
        <v>5.872117789475416</v>
      </c>
      <c r="AA383" s="4">
        <f t="shared" si="171"/>
        <v>57.6</v>
      </c>
      <c r="AB383" s="4">
        <f t="shared" si="172"/>
        <v>0</v>
      </c>
      <c r="AC383" s="4">
        <f t="shared" si="173"/>
        <v>0</v>
      </c>
      <c r="AD383" s="4">
        <f t="shared" si="174"/>
        <v>0</v>
      </c>
      <c r="AE383" s="4">
        <f t="shared" si="175"/>
        <v>0</v>
      </c>
      <c r="AF383" s="4">
        <f t="shared" si="176"/>
        <v>0</v>
      </c>
      <c r="AG383" s="4">
        <f t="shared" si="177"/>
        <v>8.6995147482101913</v>
      </c>
      <c r="AH383" s="4">
        <f t="shared" si="178"/>
        <v>0</v>
      </c>
      <c r="AI383" s="4">
        <f t="shared" si="179"/>
        <v>0</v>
      </c>
      <c r="AJ383" s="4">
        <f t="shared" si="180"/>
        <v>8.6995147482101913</v>
      </c>
      <c r="AK383" s="4">
        <f t="shared" si="181"/>
        <v>5.872117789475416</v>
      </c>
      <c r="AL383" s="4">
        <f t="shared" si="182"/>
        <v>0</v>
      </c>
      <c r="AM383" s="4">
        <f>CER!$C$7+CER!$C$8*J383+CER!$C$9*K383+CER!$C$10*L383+CER!$C$11*M383</f>
        <v>3.152958501013877</v>
      </c>
      <c r="AN383" s="4">
        <f t="shared" si="183"/>
        <v>23.405206579570098</v>
      </c>
      <c r="AO383" s="4">
        <f t="shared" si="184"/>
        <v>-1.9187508111478291E-2</v>
      </c>
      <c r="AP383" s="4">
        <f>Alternatives!$F$25+Alternatives!$F$26*J383+Alternatives!$F$27*K383+Alternatives!$F$28*G383+Alternatives!$F$29*O383</f>
        <v>3.3521209548647466</v>
      </c>
      <c r="AQ383" s="4">
        <f t="shared" si="185"/>
        <v>-0.2183499619623479</v>
      </c>
    </row>
    <row r="384" spans="1:43" x14ac:dyDescent="0.35">
      <c r="A384" s="2" t="s">
        <v>341</v>
      </c>
      <c r="B384" s="2" t="s">
        <v>283</v>
      </c>
      <c r="C384" s="2" t="s">
        <v>67</v>
      </c>
      <c r="D384" s="2">
        <v>22.466100000000001</v>
      </c>
      <c r="E384" s="2">
        <v>6000</v>
      </c>
      <c r="F384" s="2">
        <v>420</v>
      </c>
      <c r="G384" s="2">
        <v>57.6</v>
      </c>
      <c r="H384" s="2" t="s">
        <v>68</v>
      </c>
      <c r="I384" s="4">
        <f t="shared" si="155"/>
        <v>3.1120075063801291</v>
      </c>
      <c r="J384" s="4">
        <f t="shared" si="156"/>
        <v>8.6995147482101913</v>
      </c>
      <c r="K384" s="4">
        <f t="shared" si="157"/>
        <v>6.0402547112774139</v>
      </c>
      <c r="L384" s="2">
        <v>0</v>
      </c>
      <c r="M384" s="2">
        <v>0</v>
      </c>
      <c r="N384" s="4">
        <f t="shared" si="158"/>
        <v>57.6</v>
      </c>
      <c r="O384" s="4">
        <f t="shared" si="159"/>
        <v>0</v>
      </c>
      <c r="P384" s="4">
        <f t="shared" si="160"/>
        <v>0</v>
      </c>
      <c r="Q384" s="4">
        <f t="shared" si="161"/>
        <v>8.6995147482101913</v>
      </c>
      <c r="R384" s="4">
        <f t="shared" si="162"/>
        <v>6.0402547112774139</v>
      </c>
      <c r="S384" s="4">
        <f t="shared" si="163"/>
        <v>57.6</v>
      </c>
      <c r="T384" s="4">
        <f t="shared" si="164"/>
        <v>0</v>
      </c>
      <c r="U384" s="4">
        <f t="shared" si="165"/>
        <v>8.6995147482101913</v>
      </c>
      <c r="V384" s="4">
        <f t="shared" si="166"/>
        <v>6.0402547112774139</v>
      </c>
      <c r="W384" s="4">
        <f t="shared" si="167"/>
        <v>57.6</v>
      </c>
      <c r="X384" s="4">
        <f t="shared" si="168"/>
        <v>0</v>
      </c>
      <c r="Y384" s="4">
        <f t="shared" si="169"/>
        <v>8.6995147482101913</v>
      </c>
      <c r="Z384" s="4">
        <f t="shared" si="170"/>
        <v>6.0402547112774139</v>
      </c>
      <c r="AA384" s="4">
        <f t="shared" si="171"/>
        <v>57.6</v>
      </c>
      <c r="AB384" s="4">
        <f t="shared" si="172"/>
        <v>0</v>
      </c>
      <c r="AC384" s="4">
        <f t="shared" si="173"/>
        <v>0</v>
      </c>
      <c r="AD384" s="4">
        <f t="shared" si="174"/>
        <v>0</v>
      </c>
      <c r="AE384" s="4">
        <f t="shared" si="175"/>
        <v>0</v>
      </c>
      <c r="AF384" s="4">
        <f t="shared" si="176"/>
        <v>0</v>
      </c>
      <c r="AG384" s="4">
        <f t="shared" si="177"/>
        <v>8.6995147482101913</v>
      </c>
      <c r="AH384" s="4">
        <f t="shared" si="178"/>
        <v>0</v>
      </c>
      <c r="AI384" s="4">
        <f t="shared" si="179"/>
        <v>0</v>
      </c>
      <c r="AJ384" s="4">
        <f t="shared" si="180"/>
        <v>8.6995147482101913</v>
      </c>
      <c r="AK384" s="4">
        <f t="shared" si="181"/>
        <v>6.0402547112774139</v>
      </c>
      <c r="AL384" s="4">
        <f t="shared" si="182"/>
        <v>0</v>
      </c>
      <c r="AM384" s="4">
        <f>CER!$C$7+CER!$C$8*J384+CER!$C$9*K384+CER!$C$10*L384+CER!$C$11*M384</f>
        <v>3.0909254406460165</v>
      </c>
      <c r="AN384" s="4">
        <f t="shared" si="183"/>
        <v>21.997425870935263</v>
      </c>
      <c r="AO384" s="4">
        <f t="shared" si="184"/>
        <v>2.1082065734112643E-2</v>
      </c>
      <c r="AP384" s="4">
        <f>Alternatives!$F$25+Alternatives!$F$26*J384+Alternatives!$F$27*K384+Alternatives!$F$28*G384+Alternatives!$F$29*O384</f>
        <v>3.3073780439995737</v>
      </c>
      <c r="AQ384" s="4">
        <f t="shared" si="185"/>
        <v>-0.19537053761944456</v>
      </c>
    </row>
    <row r="385" spans="1:43" x14ac:dyDescent="0.35">
      <c r="A385" s="2" t="s">
        <v>341</v>
      </c>
      <c r="B385" s="2" t="s">
        <v>283</v>
      </c>
      <c r="C385" s="2" t="s">
        <v>67</v>
      </c>
      <c r="D385" s="2">
        <v>31.219200000000001</v>
      </c>
      <c r="E385" s="2">
        <v>6500</v>
      </c>
      <c r="F385" s="2">
        <v>277</v>
      </c>
      <c r="G385" s="2">
        <v>57.6</v>
      </c>
      <c r="H385" s="2" t="s">
        <v>68</v>
      </c>
      <c r="I385" s="4">
        <f t="shared" si="155"/>
        <v>3.4410332901593548</v>
      </c>
      <c r="J385" s="4">
        <f t="shared" si="156"/>
        <v>8.7795574558837277</v>
      </c>
      <c r="K385" s="4">
        <f t="shared" si="157"/>
        <v>5.6240175061873385</v>
      </c>
      <c r="L385" s="2">
        <v>0</v>
      </c>
      <c r="M385" s="2">
        <v>0</v>
      </c>
      <c r="N385" s="4">
        <f t="shared" si="158"/>
        <v>57.6</v>
      </c>
      <c r="O385" s="4">
        <f t="shared" si="159"/>
        <v>0</v>
      </c>
      <c r="P385" s="4">
        <f t="shared" si="160"/>
        <v>0</v>
      </c>
      <c r="Q385" s="4">
        <f t="shared" si="161"/>
        <v>8.7795574558837277</v>
      </c>
      <c r="R385" s="4">
        <f t="shared" si="162"/>
        <v>5.6240175061873385</v>
      </c>
      <c r="S385" s="4">
        <f t="shared" si="163"/>
        <v>57.6</v>
      </c>
      <c r="T385" s="4">
        <f t="shared" si="164"/>
        <v>0</v>
      </c>
      <c r="U385" s="4">
        <f t="shared" si="165"/>
        <v>8.7795574558837277</v>
      </c>
      <c r="V385" s="4">
        <f t="shared" si="166"/>
        <v>5.6240175061873385</v>
      </c>
      <c r="W385" s="4">
        <f t="shared" si="167"/>
        <v>57.6</v>
      </c>
      <c r="X385" s="4">
        <f t="shared" si="168"/>
        <v>0</v>
      </c>
      <c r="Y385" s="4">
        <f t="shared" si="169"/>
        <v>8.7795574558837277</v>
      </c>
      <c r="Z385" s="4">
        <f t="shared" si="170"/>
        <v>5.6240175061873385</v>
      </c>
      <c r="AA385" s="4">
        <f t="shared" si="171"/>
        <v>57.6</v>
      </c>
      <c r="AB385" s="4">
        <f t="shared" si="172"/>
        <v>0</v>
      </c>
      <c r="AC385" s="4">
        <f t="shared" si="173"/>
        <v>0</v>
      </c>
      <c r="AD385" s="4">
        <f t="shared" si="174"/>
        <v>0</v>
      </c>
      <c r="AE385" s="4">
        <f t="shared" si="175"/>
        <v>0</v>
      </c>
      <c r="AF385" s="4">
        <f t="shared" si="176"/>
        <v>0</v>
      </c>
      <c r="AG385" s="4">
        <f t="shared" si="177"/>
        <v>8.7795574558837277</v>
      </c>
      <c r="AH385" s="4">
        <f t="shared" si="178"/>
        <v>0</v>
      </c>
      <c r="AI385" s="4">
        <f t="shared" si="179"/>
        <v>0</v>
      </c>
      <c r="AJ385" s="4">
        <f t="shared" si="180"/>
        <v>8.7795574558837277</v>
      </c>
      <c r="AK385" s="4">
        <f t="shared" si="181"/>
        <v>5.6240175061873385</v>
      </c>
      <c r="AL385" s="4">
        <f t="shared" si="182"/>
        <v>0</v>
      </c>
      <c r="AM385" s="4">
        <f>CER!$C$7+CER!$C$8*J385+CER!$C$9*K385+CER!$C$10*L385+CER!$C$11*M385</f>
        <v>3.2082574772184196</v>
      </c>
      <c r="AN385" s="4">
        <f t="shared" si="183"/>
        <v>24.735945699924063</v>
      </c>
      <c r="AO385" s="4">
        <f t="shared" si="184"/>
        <v>0.23277581294093519</v>
      </c>
      <c r="AP385" s="4">
        <f>Alternatives!$F$25+Alternatives!$F$26*J385+Alternatives!$F$27*K385+Alternatives!$F$28*G385+Alternatives!$F$29*O385</f>
        <v>3.4477655970475993</v>
      </c>
      <c r="AQ385" s="4">
        <f t="shared" si="185"/>
        <v>-6.7323068882445547E-3</v>
      </c>
    </row>
    <row r="386" spans="1:43" x14ac:dyDescent="0.35">
      <c r="A386" s="2" t="s">
        <v>342</v>
      </c>
      <c r="B386" s="2" t="s">
        <v>283</v>
      </c>
      <c r="C386" s="2" t="s">
        <v>67</v>
      </c>
      <c r="D386" s="2">
        <v>22.9604</v>
      </c>
      <c r="E386" s="2">
        <v>6000</v>
      </c>
      <c r="F386" s="2">
        <v>355</v>
      </c>
      <c r="G386" s="2">
        <v>63.9</v>
      </c>
      <c r="H386" s="2" t="s">
        <v>68</v>
      </c>
      <c r="I386" s="4">
        <f t="shared" ref="I386:I449" si="186">LN(D386)</f>
        <v>3.1337709929023987</v>
      </c>
      <c r="J386" s="4">
        <f t="shared" ref="J386:J449" si="187">LN(E386)</f>
        <v>8.6995147482101913</v>
      </c>
      <c r="K386" s="4">
        <f t="shared" ref="K386:K449" si="188">LN(F386)</f>
        <v>5.872117789475416</v>
      </c>
      <c r="L386" s="2">
        <v>0</v>
      </c>
      <c r="M386" s="2">
        <v>0</v>
      </c>
      <c r="N386" s="4">
        <f t="shared" ref="N386:N449" si="189">G386</f>
        <v>63.9</v>
      </c>
      <c r="O386" s="4">
        <f t="shared" ref="O386:O449" si="190">L386+M386</f>
        <v>0</v>
      </c>
      <c r="P386" s="4">
        <f t="shared" ref="P386:P449" si="191">L386+2*M386</f>
        <v>0</v>
      </c>
      <c r="Q386" s="4">
        <f t="shared" ref="Q386:Q449" si="192">J386</f>
        <v>8.6995147482101913</v>
      </c>
      <c r="R386" s="4">
        <f t="shared" ref="R386:R449" si="193">K386</f>
        <v>5.872117789475416</v>
      </c>
      <c r="S386" s="4">
        <f t="shared" ref="S386:S449" si="194">G386</f>
        <v>63.9</v>
      </c>
      <c r="T386" s="4">
        <f t="shared" ref="T386:T449" si="195">O386</f>
        <v>0</v>
      </c>
      <c r="U386" s="4">
        <f t="shared" ref="U386:U449" si="196">J386</f>
        <v>8.6995147482101913</v>
      </c>
      <c r="V386" s="4">
        <f t="shared" ref="V386:V449" si="197">K386</f>
        <v>5.872117789475416</v>
      </c>
      <c r="W386" s="4">
        <f t="shared" ref="W386:W449" si="198">G386</f>
        <v>63.9</v>
      </c>
      <c r="X386" s="4">
        <f t="shared" ref="X386:X449" si="199">P386</f>
        <v>0</v>
      </c>
      <c r="Y386" s="4">
        <f t="shared" ref="Y386:Y449" si="200">J386</f>
        <v>8.6995147482101913</v>
      </c>
      <c r="Z386" s="4">
        <f t="shared" ref="Z386:Z449" si="201">K386</f>
        <v>5.872117789475416</v>
      </c>
      <c r="AA386" s="4">
        <f t="shared" ref="AA386:AA449" si="202">G386</f>
        <v>63.9</v>
      </c>
      <c r="AB386" s="4">
        <f t="shared" ref="AB386:AB449" si="203">L386</f>
        <v>0</v>
      </c>
      <c r="AC386" s="4">
        <f t="shared" ref="AC386:AC449" si="204">M386</f>
        <v>0</v>
      </c>
      <c r="AD386" s="4">
        <f t="shared" ref="AD386:AD449" si="205">M386*J386</f>
        <v>0</v>
      </c>
      <c r="AE386" s="4">
        <f t="shared" ref="AE386:AE449" si="206">M386*K386</f>
        <v>0</v>
      </c>
      <c r="AF386" s="4">
        <f t="shared" ref="AF386:AF449" si="207">M386*G386</f>
        <v>0</v>
      </c>
      <c r="AG386" s="4">
        <f t="shared" ref="AG386:AG449" si="208">J386</f>
        <v>8.6995147482101913</v>
      </c>
      <c r="AH386" s="4">
        <f t="shared" ref="AH386:AH449" si="209">L386</f>
        <v>0</v>
      </c>
      <c r="AI386" s="4">
        <f t="shared" ref="AI386:AI449" si="210">M386</f>
        <v>0</v>
      </c>
      <c r="AJ386" s="4">
        <f t="shared" ref="AJ386:AJ449" si="211">J386</f>
        <v>8.6995147482101913</v>
      </c>
      <c r="AK386" s="4">
        <f t="shared" ref="AK386:AK449" si="212">K386</f>
        <v>5.872117789475416</v>
      </c>
      <c r="AL386" s="4">
        <f t="shared" ref="AL386:AL449" si="213">M386</f>
        <v>0</v>
      </c>
      <c r="AM386" s="4">
        <f>CER!$C$7+CER!$C$8*J386+CER!$C$9*K386+CER!$C$10*L386+CER!$C$11*M386</f>
        <v>3.152958501013877</v>
      </c>
      <c r="AN386" s="4">
        <f t="shared" ref="AN386:AN449" si="214">EXP(AM386)</f>
        <v>23.405206579570098</v>
      </c>
      <c r="AO386" s="4">
        <f t="shared" ref="AO386:AO449" si="215">I386-AM386</f>
        <v>-1.9187508111478291E-2</v>
      </c>
      <c r="AP386" s="4">
        <f>Alternatives!$F$25+Alternatives!$F$26*J386+Alternatives!$F$27*K386+Alternatives!$F$28*G386+Alternatives!$F$29*O386</f>
        <v>3.2701748732487088</v>
      </c>
      <c r="AQ386" s="4">
        <f t="shared" ref="AQ386:AQ449" si="216">I386-AP386</f>
        <v>-0.13640388034631012</v>
      </c>
    </row>
    <row r="387" spans="1:43" x14ac:dyDescent="0.35">
      <c r="A387" s="2" t="s">
        <v>342</v>
      </c>
      <c r="B387" s="2" t="s">
        <v>283</v>
      </c>
      <c r="C387" s="2" t="s">
        <v>67</v>
      </c>
      <c r="D387" s="2">
        <v>21.207999999999998</v>
      </c>
      <c r="E387" s="2">
        <v>6500</v>
      </c>
      <c r="F387" s="2">
        <v>420</v>
      </c>
      <c r="G387" s="2">
        <v>63.9</v>
      </c>
      <c r="H387" s="2" t="s">
        <v>68</v>
      </c>
      <c r="I387" s="4">
        <f t="shared" si="186"/>
        <v>3.0543784689867244</v>
      </c>
      <c r="J387" s="4">
        <f t="shared" si="187"/>
        <v>8.7795574558837277</v>
      </c>
      <c r="K387" s="4">
        <f t="shared" si="188"/>
        <v>6.0402547112774139</v>
      </c>
      <c r="L387" s="2">
        <v>0</v>
      </c>
      <c r="M387" s="2">
        <v>0</v>
      </c>
      <c r="N387" s="4">
        <f t="shared" si="189"/>
        <v>63.9</v>
      </c>
      <c r="O387" s="4">
        <f t="shared" si="190"/>
        <v>0</v>
      </c>
      <c r="P387" s="4">
        <f t="shared" si="191"/>
        <v>0</v>
      </c>
      <c r="Q387" s="4">
        <f t="shared" si="192"/>
        <v>8.7795574558837277</v>
      </c>
      <c r="R387" s="4">
        <f t="shared" si="193"/>
        <v>6.0402547112774139</v>
      </c>
      <c r="S387" s="4">
        <f t="shared" si="194"/>
        <v>63.9</v>
      </c>
      <c r="T387" s="4">
        <f t="shared" si="195"/>
        <v>0</v>
      </c>
      <c r="U387" s="4">
        <f t="shared" si="196"/>
        <v>8.7795574558837277</v>
      </c>
      <c r="V387" s="4">
        <f t="shared" si="197"/>
        <v>6.0402547112774139</v>
      </c>
      <c r="W387" s="4">
        <f t="shared" si="198"/>
        <v>63.9</v>
      </c>
      <c r="X387" s="4">
        <f t="shared" si="199"/>
        <v>0</v>
      </c>
      <c r="Y387" s="4">
        <f t="shared" si="200"/>
        <v>8.7795574558837277</v>
      </c>
      <c r="Z387" s="4">
        <f t="shared" si="201"/>
        <v>6.0402547112774139</v>
      </c>
      <c r="AA387" s="4">
        <f t="shared" si="202"/>
        <v>63.9</v>
      </c>
      <c r="AB387" s="4">
        <f t="shared" si="203"/>
        <v>0</v>
      </c>
      <c r="AC387" s="4">
        <f t="shared" si="204"/>
        <v>0</v>
      </c>
      <c r="AD387" s="4">
        <f t="shared" si="205"/>
        <v>0</v>
      </c>
      <c r="AE387" s="4">
        <f t="shared" si="206"/>
        <v>0</v>
      </c>
      <c r="AF387" s="4">
        <f t="shared" si="207"/>
        <v>0</v>
      </c>
      <c r="AG387" s="4">
        <f t="shared" si="208"/>
        <v>8.7795574558837277</v>
      </c>
      <c r="AH387" s="4">
        <f t="shared" si="209"/>
        <v>0</v>
      </c>
      <c r="AI387" s="4">
        <f t="shared" si="210"/>
        <v>0</v>
      </c>
      <c r="AJ387" s="4">
        <f t="shared" si="211"/>
        <v>8.7795574558837277</v>
      </c>
      <c r="AK387" s="4">
        <f t="shared" si="212"/>
        <v>6.0402547112774139</v>
      </c>
      <c r="AL387" s="4">
        <f t="shared" si="213"/>
        <v>0</v>
      </c>
      <c r="AM387" s="4">
        <f>CER!$C$7+CER!$C$8*J387+CER!$C$9*K387+CER!$C$10*L387+CER!$C$11*M387</f>
        <v>3.054689376922703</v>
      </c>
      <c r="AN387" s="4">
        <f t="shared" si="214"/>
        <v>21.214594760634821</v>
      </c>
      <c r="AO387" s="4">
        <f t="shared" si="215"/>
        <v>-3.1090793597865485E-4</v>
      </c>
      <c r="AP387" s="4">
        <f>Alternatives!$F$25+Alternatives!$F$26*J387+Alternatives!$F$27*K387+Alternatives!$F$28*G387+Alternatives!$F$29*O387</f>
        <v>3.2550546461422005</v>
      </c>
      <c r="AQ387" s="4">
        <f t="shared" si="216"/>
        <v>-0.20067617715547614</v>
      </c>
    </row>
    <row r="388" spans="1:43" x14ac:dyDescent="0.35">
      <c r="A388" s="2" t="s">
        <v>342</v>
      </c>
      <c r="B388" s="2" t="s">
        <v>283</v>
      </c>
      <c r="C388" s="2" t="s">
        <v>67</v>
      </c>
      <c r="D388" s="2">
        <v>31.219200000000001</v>
      </c>
      <c r="E388" s="2">
        <v>6500</v>
      </c>
      <c r="F388" s="2">
        <v>277</v>
      </c>
      <c r="G388" s="2">
        <v>63.9</v>
      </c>
      <c r="H388" s="2" t="s">
        <v>68</v>
      </c>
      <c r="I388" s="4">
        <f t="shared" si="186"/>
        <v>3.4410332901593548</v>
      </c>
      <c r="J388" s="4">
        <f t="shared" si="187"/>
        <v>8.7795574558837277</v>
      </c>
      <c r="K388" s="4">
        <f t="shared" si="188"/>
        <v>5.6240175061873385</v>
      </c>
      <c r="L388" s="2">
        <v>0</v>
      </c>
      <c r="M388" s="2">
        <v>0</v>
      </c>
      <c r="N388" s="4">
        <f t="shared" si="189"/>
        <v>63.9</v>
      </c>
      <c r="O388" s="4">
        <f t="shared" si="190"/>
        <v>0</v>
      </c>
      <c r="P388" s="4">
        <f t="shared" si="191"/>
        <v>0</v>
      </c>
      <c r="Q388" s="4">
        <f t="shared" si="192"/>
        <v>8.7795574558837277</v>
      </c>
      <c r="R388" s="4">
        <f t="shared" si="193"/>
        <v>5.6240175061873385</v>
      </c>
      <c r="S388" s="4">
        <f t="shared" si="194"/>
        <v>63.9</v>
      </c>
      <c r="T388" s="4">
        <f t="shared" si="195"/>
        <v>0</v>
      </c>
      <c r="U388" s="4">
        <f t="shared" si="196"/>
        <v>8.7795574558837277</v>
      </c>
      <c r="V388" s="4">
        <f t="shared" si="197"/>
        <v>5.6240175061873385</v>
      </c>
      <c r="W388" s="4">
        <f t="shared" si="198"/>
        <v>63.9</v>
      </c>
      <c r="X388" s="4">
        <f t="shared" si="199"/>
        <v>0</v>
      </c>
      <c r="Y388" s="4">
        <f t="shared" si="200"/>
        <v>8.7795574558837277</v>
      </c>
      <c r="Z388" s="4">
        <f t="shared" si="201"/>
        <v>5.6240175061873385</v>
      </c>
      <c r="AA388" s="4">
        <f t="shared" si="202"/>
        <v>63.9</v>
      </c>
      <c r="AB388" s="4">
        <f t="shared" si="203"/>
        <v>0</v>
      </c>
      <c r="AC388" s="4">
        <f t="shared" si="204"/>
        <v>0</v>
      </c>
      <c r="AD388" s="4">
        <f t="shared" si="205"/>
        <v>0</v>
      </c>
      <c r="AE388" s="4">
        <f t="shared" si="206"/>
        <v>0</v>
      </c>
      <c r="AF388" s="4">
        <f t="shared" si="207"/>
        <v>0</v>
      </c>
      <c r="AG388" s="4">
        <f t="shared" si="208"/>
        <v>8.7795574558837277</v>
      </c>
      <c r="AH388" s="4">
        <f t="shared" si="209"/>
        <v>0</v>
      </c>
      <c r="AI388" s="4">
        <f t="shared" si="210"/>
        <v>0</v>
      </c>
      <c r="AJ388" s="4">
        <f t="shared" si="211"/>
        <v>8.7795574558837277</v>
      </c>
      <c r="AK388" s="4">
        <f t="shared" si="212"/>
        <v>5.6240175061873385</v>
      </c>
      <c r="AL388" s="4">
        <f t="shared" si="213"/>
        <v>0</v>
      </c>
      <c r="AM388" s="4">
        <f>CER!$C$7+CER!$C$8*J388+CER!$C$9*K388+CER!$C$10*L388+CER!$C$11*M388</f>
        <v>3.2082574772184196</v>
      </c>
      <c r="AN388" s="4">
        <f t="shared" si="214"/>
        <v>24.735945699924063</v>
      </c>
      <c r="AO388" s="4">
        <f t="shared" si="215"/>
        <v>0.23277581294093519</v>
      </c>
      <c r="AP388" s="4">
        <f>Alternatives!$F$25+Alternatives!$F$26*J388+Alternatives!$F$27*K388+Alternatives!$F$28*G388+Alternatives!$F$29*O388</f>
        <v>3.3658195154315615</v>
      </c>
      <c r="AQ388" s="4">
        <f t="shared" si="216"/>
        <v>7.5213774727793226E-2</v>
      </c>
    </row>
    <row r="389" spans="1:43" x14ac:dyDescent="0.35">
      <c r="A389" s="2" t="s">
        <v>343</v>
      </c>
      <c r="B389" s="2" t="s">
        <v>283</v>
      </c>
      <c r="C389" s="2" t="s">
        <v>67</v>
      </c>
      <c r="D389" s="2">
        <v>21.949200000000001</v>
      </c>
      <c r="E389" s="2">
        <v>6500</v>
      </c>
      <c r="F389" s="2">
        <v>355</v>
      </c>
      <c r="G389" s="2">
        <v>63.8</v>
      </c>
      <c r="H389" s="2" t="s">
        <v>68</v>
      </c>
      <c r="I389" s="4">
        <f t="shared" si="186"/>
        <v>3.0887306923877436</v>
      </c>
      <c r="J389" s="4">
        <f t="shared" si="187"/>
        <v>8.7795574558837277</v>
      </c>
      <c r="K389" s="4">
        <f t="shared" si="188"/>
        <v>5.872117789475416</v>
      </c>
      <c r="L389" s="2">
        <v>0</v>
      </c>
      <c r="M389" s="2">
        <v>0</v>
      </c>
      <c r="N389" s="4">
        <f t="shared" si="189"/>
        <v>63.8</v>
      </c>
      <c r="O389" s="4">
        <f t="shared" si="190"/>
        <v>0</v>
      </c>
      <c r="P389" s="4">
        <f t="shared" si="191"/>
        <v>0</v>
      </c>
      <c r="Q389" s="4">
        <f t="shared" si="192"/>
        <v>8.7795574558837277</v>
      </c>
      <c r="R389" s="4">
        <f t="shared" si="193"/>
        <v>5.872117789475416</v>
      </c>
      <c r="S389" s="4">
        <f t="shared" si="194"/>
        <v>63.8</v>
      </c>
      <c r="T389" s="4">
        <f t="shared" si="195"/>
        <v>0</v>
      </c>
      <c r="U389" s="4">
        <f t="shared" si="196"/>
        <v>8.7795574558837277</v>
      </c>
      <c r="V389" s="4">
        <f t="shared" si="197"/>
        <v>5.872117789475416</v>
      </c>
      <c r="W389" s="4">
        <f t="shared" si="198"/>
        <v>63.8</v>
      </c>
      <c r="X389" s="4">
        <f t="shared" si="199"/>
        <v>0</v>
      </c>
      <c r="Y389" s="4">
        <f t="shared" si="200"/>
        <v>8.7795574558837277</v>
      </c>
      <c r="Z389" s="4">
        <f t="shared" si="201"/>
        <v>5.872117789475416</v>
      </c>
      <c r="AA389" s="4">
        <f t="shared" si="202"/>
        <v>63.8</v>
      </c>
      <c r="AB389" s="4">
        <f t="shared" si="203"/>
        <v>0</v>
      </c>
      <c r="AC389" s="4">
        <f t="shared" si="204"/>
        <v>0</v>
      </c>
      <c r="AD389" s="4">
        <f t="shared" si="205"/>
        <v>0</v>
      </c>
      <c r="AE389" s="4">
        <f t="shared" si="206"/>
        <v>0</v>
      </c>
      <c r="AF389" s="4">
        <f t="shared" si="207"/>
        <v>0</v>
      </c>
      <c r="AG389" s="4">
        <f t="shared" si="208"/>
        <v>8.7795574558837277</v>
      </c>
      <c r="AH389" s="4">
        <f t="shared" si="209"/>
        <v>0</v>
      </c>
      <c r="AI389" s="4">
        <f t="shared" si="210"/>
        <v>0</v>
      </c>
      <c r="AJ389" s="4">
        <f t="shared" si="211"/>
        <v>8.7795574558837277</v>
      </c>
      <c r="AK389" s="4">
        <f t="shared" si="212"/>
        <v>5.872117789475416</v>
      </c>
      <c r="AL389" s="4">
        <f t="shared" si="213"/>
        <v>0</v>
      </c>
      <c r="AM389" s="4">
        <f>CER!$C$7+CER!$C$8*J389+CER!$C$9*K389+CER!$C$10*L389+CER!$C$11*M389</f>
        <v>3.1167224372905635</v>
      </c>
      <c r="AN389" s="4">
        <f t="shared" si="214"/>
        <v>22.572276219399868</v>
      </c>
      <c r="AO389" s="4">
        <f t="shared" si="215"/>
        <v>-2.7991744902819971E-2</v>
      </c>
      <c r="AP389" s="4">
        <f>Alternatives!$F$25+Alternatives!$F$26*J389+Alternatives!$F$27*K389+Alternatives!$F$28*G389+Alternatives!$F$29*O389</f>
        <v>3.301098288461596</v>
      </c>
      <c r="AQ389" s="4">
        <f t="shared" si="216"/>
        <v>-0.21236759607385247</v>
      </c>
    </row>
    <row r="390" spans="1:43" x14ac:dyDescent="0.35">
      <c r="A390" s="2" t="s">
        <v>343</v>
      </c>
      <c r="B390" s="2" t="s">
        <v>283</v>
      </c>
      <c r="C390" s="2" t="s">
        <v>67</v>
      </c>
      <c r="D390" s="2">
        <v>20.7746</v>
      </c>
      <c r="E390" s="2">
        <v>6500</v>
      </c>
      <c r="F390" s="2">
        <v>420</v>
      </c>
      <c r="G390" s="2">
        <v>63.8</v>
      </c>
      <c r="H390" s="2" t="s">
        <v>68</v>
      </c>
      <c r="I390" s="4">
        <f t="shared" si="186"/>
        <v>3.0337310866452021</v>
      </c>
      <c r="J390" s="4">
        <f t="shared" si="187"/>
        <v>8.7795574558837277</v>
      </c>
      <c r="K390" s="4">
        <f t="shared" si="188"/>
        <v>6.0402547112774139</v>
      </c>
      <c r="L390" s="2">
        <v>0</v>
      </c>
      <c r="M390" s="2">
        <v>0</v>
      </c>
      <c r="N390" s="4">
        <f t="shared" si="189"/>
        <v>63.8</v>
      </c>
      <c r="O390" s="4">
        <f t="shared" si="190"/>
        <v>0</v>
      </c>
      <c r="P390" s="4">
        <f t="shared" si="191"/>
        <v>0</v>
      </c>
      <c r="Q390" s="4">
        <f t="shared" si="192"/>
        <v>8.7795574558837277</v>
      </c>
      <c r="R390" s="4">
        <f t="shared" si="193"/>
        <v>6.0402547112774139</v>
      </c>
      <c r="S390" s="4">
        <f t="shared" si="194"/>
        <v>63.8</v>
      </c>
      <c r="T390" s="4">
        <f t="shared" si="195"/>
        <v>0</v>
      </c>
      <c r="U390" s="4">
        <f t="shared" si="196"/>
        <v>8.7795574558837277</v>
      </c>
      <c r="V390" s="4">
        <f t="shared" si="197"/>
        <v>6.0402547112774139</v>
      </c>
      <c r="W390" s="4">
        <f t="shared" si="198"/>
        <v>63.8</v>
      </c>
      <c r="X390" s="4">
        <f t="shared" si="199"/>
        <v>0</v>
      </c>
      <c r="Y390" s="4">
        <f t="shared" si="200"/>
        <v>8.7795574558837277</v>
      </c>
      <c r="Z390" s="4">
        <f t="shared" si="201"/>
        <v>6.0402547112774139</v>
      </c>
      <c r="AA390" s="4">
        <f t="shared" si="202"/>
        <v>63.8</v>
      </c>
      <c r="AB390" s="4">
        <f t="shared" si="203"/>
        <v>0</v>
      </c>
      <c r="AC390" s="4">
        <f t="shared" si="204"/>
        <v>0</v>
      </c>
      <c r="AD390" s="4">
        <f t="shared" si="205"/>
        <v>0</v>
      </c>
      <c r="AE390" s="4">
        <f t="shared" si="206"/>
        <v>0</v>
      </c>
      <c r="AF390" s="4">
        <f t="shared" si="207"/>
        <v>0</v>
      </c>
      <c r="AG390" s="4">
        <f t="shared" si="208"/>
        <v>8.7795574558837277</v>
      </c>
      <c r="AH390" s="4">
        <f t="shared" si="209"/>
        <v>0</v>
      </c>
      <c r="AI390" s="4">
        <f t="shared" si="210"/>
        <v>0</v>
      </c>
      <c r="AJ390" s="4">
        <f t="shared" si="211"/>
        <v>8.7795574558837277</v>
      </c>
      <c r="AK390" s="4">
        <f t="shared" si="212"/>
        <v>6.0402547112774139</v>
      </c>
      <c r="AL390" s="4">
        <f t="shared" si="213"/>
        <v>0</v>
      </c>
      <c r="AM390" s="4">
        <f>CER!$C$7+CER!$C$8*J390+CER!$C$9*K390+CER!$C$10*L390+CER!$C$11*M390</f>
        <v>3.054689376922703</v>
      </c>
      <c r="AN390" s="4">
        <f t="shared" si="214"/>
        <v>21.214594760634821</v>
      </c>
      <c r="AO390" s="4">
        <f t="shared" si="215"/>
        <v>-2.0958290277500957E-2</v>
      </c>
      <c r="AP390" s="4">
        <f>Alternatives!$F$25+Alternatives!$F$26*J390+Alternatives!$F$27*K390+Alternatives!$F$28*G390+Alternatives!$F$29*O390</f>
        <v>3.2563553775964231</v>
      </c>
      <c r="AQ390" s="4">
        <f t="shared" si="216"/>
        <v>-0.22262429095122105</v>
      </c>
    </row>
    <row r="391" spans="1:43" x14ac:dyDescent="0.35">
      <c r="A391" s="2" t="s">
        <v>343</v>
      </c>
      <c r="B391" s="2" t="s">
        <v>283</v>
      </c>
      <c r="C391" s="2" t="s">
        <v>67</v>
      </c>
      <c r="D391" s="2">
        <v>30.1508</v>
      </c>
      <c r="E391" s="2">
        <v>6500</v>
      </c>
      <c r="F391" s="2">
        <v>277</v>
      </c>
      <c r="G391" s="2">
        <v>63.8</v>
      </c>
      <c r="H391" s="2" t="s">
        <v>68</v>
      </c>
      <c r="I391" s="4">
        <f t="shared" si="186"/>
        <v>3.4062114568178576</v>
      </c>
      <c r="J391" s="4">
        <f t="shared" si="187"/>
        <v>8.7795574558837277</v>
      </c>
      <c r="K391" s="4">
        <f t="shared" si="188"/>
        <v>5.6240175061873385</v>
      </c>
      <c r="L391" s="2">
        <v>0</v>
      </c>
      <c r="M391" s="2">
        <v>0</v>
      </c>
      <c r="N391" s="4">
        <f t="shared" si="189"/>
        <v>63.8</v>
      </c>
      <c r="O391" s="4">
        <f t="shared" si="190"/>
        <v>0</v>
      </c>
      <c r="P391" s="4">
        <f t="shared" si="191"/>
        <v>0</v>
      </c>
      <c r="Q391" s="4">
        <f t="shared" si="192"/>
        <v>8.7795574558837277</v>
      </c>
      <c r="R391" s="4">
        <f t="shared" si="193"/>
        <v>5.6240175061873385</v>
      </c>
      <c r="S391" s="4">
        <f t="shared" si="194"/>
        <v>63.8</v>
      </c>
      <c r="T391" s="4">
        <f t="shared" si="195"/>
        <v>0</v>
      </c>
      <c r="U391" s="4">
        <f t="shared" si="196"/>
        <v>8.7795574558837277</v>
      </c>
      <c r="V391" s="4">
        <f t="shared" si="197"/>
        <v>5.6240175061873385</v>
      </c>
      <c r="W391" s="4">
        <f t="shared" si="198"/>
        <v>63.8</v>
      </c>
      <c r="X391" s="4">
        <f t="shared" si="199"/>
        <v>0</v>
      </c>
      <c r="Y391" s="4">
        <f t="shared" si="200"/>
        <v>8.7795574558837277</v>
      </c>
      <c r="Z391" s="4">
        <f t="shared" si="201"/>
        <v>5.6240175061873385</v>
      </c>
      <c r="AA391" s="4">
        <f t="shared" si="202"/>
        <v>63.8</v>
      </c>
      <c r="AB391" s="4">
        <f t="shared" si="203"/>
        <v>0</v>
      </c>
      <c r="AC391" s="4">
        <f t="shared" si="204"/>
        <v>0</v>
      </c>
      <c r="AD391" s="4">
        <f t="shared" si="205"/>
        <v>0</v>
      </c>
      <c r="AE391" s="4">
        <f t="shared" si="206"/>
        <v>0</v>
      </c>
      <c r="AF391" s="4">
        <f t="shared" si="207"/>
        <v>0</v>
      </c>
      <c r="AG391" s="4">
        <f t="shared" si="208"/>
        <v>8.7795574558837277</v>
      </c>
      <c r="AH391" s="4">
        <f t="shared" si="209"/>
        <v>0</v>
      </c>
      <c r="AI391" s="4">
        <f t="shared" si="210"/>
        <v>0</v>
      </c>
      <c r="AJ391" s="4">
        <f t="shared" si="211"/>
        <v>8.7795574558837277</v>
      </c>
      <c r="AK391" s="4">
        <f t="shared" si="212"/>
        <v>5.6240175061873385</v>
      </c>
      <c r="AL391" s="4">
        <f t="shared" si="213"/>
        <v>0</v>
      </c>
      <c r="AM391" s="4">
        <f>CER!$C$7+CER!$C$8*J391+CER!$C$9*K391+CER!$C$10*L391+CER!$C$11*M391</f>
        <v>3.2082574772184196</v>
      </c>
      <c r="AN391" s="4">
        <f t="shared" si="214"/>
        <v>24.735945699924063</v>
      </c>
      <c r="AO391" s="4">
        <f t="shared" si="215"/>
        <v>0.19795397959943806</v>
      </c>
      <c r="AP391" s="4">
        <f>Alternatives!$F$25+Alternatives!$F$26*J391+Alternatives!$F$27*K391+Alternatives!$F$28*G391+Alternatives!$F$29*O391</f>
        <v>3.3671202468857842</v>
      </c>
      <c r="AQ391" s="4">
        <f t="shared" si="216"/>
        <v>3.909120993207349E-2</v>
      </c>
    </row>
    <row r="392" spans="1:43" x14ac:dyDescent="0.35">
      <c r="A392" s="2" t="s">
        <v>344</v>
      </c>
      <c r="B392" s="2" t="s">
        <v>283</v>
      </c>
      <c r="C392" s="2" t="s">
        <v>67</v>
      </c>
      <c r="D392" s="2">
        <v>22.9604</v>
      </c>
      <c r="E392" s="2">
        <v>6000</v>
      </c>
      <c r="F392" s="2">
        <v>355</v>
      </c>
      <c r="G392" s="2">
        <v>57.5</v>
      </c>
      <c r="H392" s="2" t="s">
        <v>68</v>
      </c>
      <c r="I392" s="4">
        <f t="shared" si="186"/>
        <v>3.1337709929023987</v>
      </c>
      <c r="J392" s="4">
        <f t="shared" si="187"/>
        <v>8.6995147482101913</v>
      </c>
      <c r="K392" s="4">
        <f t="shared" si="188"/>
        <v>5.872117789475416</v>
      </c>
      <c r="L392" s="2">
        <v>0</v>
      </c>
      <c r="M392" s="2">
        <v>0</v>
      </c>
      <c r="N392" s="4">
        <f t="shared" si="189"/>
        <v>57.5</v>
      </c>
      <c r="O392" s="4">
        <f t="shared" si="190"/>
        <v>0</v>
      </c>
      <c r="P392" s="4">
        <f t="shared" si="191"/>
        <v>0</v>
      </c>
      <c r="Q392" s="4">
        <f t="shared" si="192"/>
        <v>8.6995147482101913</v>
      </c>
      <c r="R392" s="4">
        <f t="shared" si="193"/>
        <v>5.872117789475416</v>
      </c>
      <c r="S392" s="4">
        <f t="shared" si="194"/>
        <v>57.5</v>
      </c>
      <c r="T392" s="4">
        <f t="shared" si="195"/>
        <v>0</v>
      </c>
      <c r="U392" s="4">
        <f t="shared" si="196"/>
        <v>8.6995147482101913</v>
      </c>
      <c r="V392" s="4">
        <f t="shared" si="197"/>
        <v>5.872117789475416</v>
      </c>
      <c r="W392" s="4">
        <f t="shared" si="198"/>
        <v>57.5</v>
      </c>
      <c r="X392" s="4">
        <f t="shared" si="199"/>
        <v>0</v>
      </c>
      <c r="Y392" s="4">
        <f t="shared" si="200"/>
        <v>8.6995147482101913</v>
      </c>
      <c r="Z392" s="4">
        <f t="shared" si="201"/>
        <v>5.872117789475416</v>
      </c>
      <c r="AA392" s="4">
        <f t="shared" si="202"/>
        <v>57.5</v>
      </c>
      <c r="AB392" s="4">
        <f t="shared" si="203"/>
        <v>0</v>
      </c>
      <c r="AC392" s="4">
        <f t="shared" si="204"/>
        <v>0</v>
      </c>
      <c r="AD392" s="4">
        <f t="shared" si="205"/>
        <v>0</v>
      </c>
      <c r="AE392" s="4">
        <f t="shared" si="206"/>
        <v>0</v>
      </c>
      <c r="AF392" s="4">
        <f t="shared" si="207"/>
        <v>0</v>
      </c>
      <c r="AG392" s="4">
        <f t="shared" si="208"/>
        <v>8.6995147482101913</v>
      </c>
      <c r="AH392" s="4">
        <f t="shared" si="209"/>
        <v>0</v>
      </c>
      <c r="AI392" s="4">
        <f t="shared" si="210"/>
        <v>0</v>
      </c>
      <c r="AJ392" s="4">
        <f t="shared" si="211"/>
        <v>8.6995147482101913</v>
      </c>
      <c r="AK392" s="4">
        <f t="shared" si="212"/>
        <v>5.872117789475416</v>
      </c>
      <c r="AL392" s="4">
        <f t="shared" si="213"/>
        <v>0</v>
      </c>
      <c r="AM392" s="4">
        <f>CER!$C$7+CER!$C$8*J392+CER!$C$9*K392+CER!$C$10*L392+CER!$C$11*M392</f>
        <v>3.152958501013877</v>
      </c>
      <c r="AN392" s="4">
        <f t="shared" si="214"/>
        <v>23.405206579570098</v>
      </c>
      <c r="AO392" s="4">
        <f t="shared" si="215"/>
        <v>-1.9187508111478291E-2</v>
      </c>
      <c r="AP392" s="4">
        <f>Alternatives!$F$25+Alternatives!$F$26*J392+Alternatives!$F$27*K392+Alternatives!$F$28*G392+Alternatives!$F$29*O392</f>
        <v>3.3534216863189696</v>
      </c>
      <c r="AQ392" s="4">
        <f t="shared" si="216"/>
        <v>-0.21965069341657095</v>
      </c>
    </row>
    <row r="393" spans="1:43" x14ac:dyDescent="0.35">
      <c r="A393" s="2" t="s">
        <v>344</v>
      </c>
      <c r="B393" s="2" t="s">
        <v>283</v>
      </c>
      <c r="C393" s="2" t="s">
        <v>67</v>
      </c>
      <c r="D393" s="2">
        <v>20.7746</v>
      </c>
      <c r="E393" s="2">
        <v>6500</v>
      </c>
      <c r="F393" s="2">
        <v>420</v>
      </c>
      <c r="G393" s="2">
        <v>57.5</v>
      </c>
      <c r="H393" s="2" t="s">
        <v>68</v>
      </c>
      <c r="I393" s="4">
        <f t="shared" si="186"/>
        <v>3.0337310866452021</v>
      </c>
      <c r="J393" s="4">
        <f t="shared" si="187"/>
        <v>8.7795574558837277</v>
      </c>
      <c r="K393" s="4">
        <f t="shared" si="188"/>
        <v>6.0402547112774139</v>
      </c>
      <c r="L393" s="2">
        <v>0</v>
      </c>
      <c r="M393" s="2">
        <v>0</v>
      </c>
      <c r="N393" s="4">
        <f t="shared" si="189"/>
        <v>57.5</v>
      </c>
      <c r="O393" s="4">
        <f t="shared" si="190"/>
        <v>0</v>
      </c>
      <c r="P393" s="4">
        <f t="shared" si="191"/>
        <v>0</v>
      </c>
      <c r="Q393" s="4">
        <f t="shared" si="192"/>
        <v>8.7795574558837277</v>
      </c>
      <c r="R393" s="4">
        <f t="shared" si="193"/>
        <v>6.0402547112774139</v>
      </c>
      <c r="S393" s="4">
        <f t="shared" si="194"/>
        <v>57.5</v>
      </c>
      <c r="T393" s="4">
        <f t="shared" si="195"/>
        <v>0</v>
      </c>
      <c r="U393" s="4">
        <f t="shared" si="196"/>
        <v>8.7795574558837277</v>
      </c>
      <c r="V393" s="4">
        <f t="shared" si="197"/>
        <v>6.0402547112774139</v>
      </c>
      <c r="W393" s="4">
        <f t="shared" si="198"/>
        <v>57.5</v>
      </c>
      <c r="X393" s="4">
        <f t="shared" si="199"/>
        <v>0</v>
      </c>
      <c r="Y393" s="4">
        <f t="shared" si="200"/>
        <v>8.7795574558837277</v>
      </c>
      <c r="Z393" s="4">
        <f t="shared" si="201"/>
        <v>6.0402547112774139</v>
      </c>
      <c r="AA393" s="4">
        <f t="shared" si="202"/>
        <v>57.5</v>
      </c>
      <c r="AB393" s="4">
        <f t="shared" si="203"/>
        <v>0</v>
      </c>
      <c r="AC393" s="4">
        <f t="shared" si="204"/>
        <v>0</v>
      </c>
      <c r="AD393" s="4">
        <f t="shared" si="205"/>
        <v>0</v>
      </c>
      <c r="AE393" s="4">
        <f t="shared" si="206"/>
        <v>0</v>
      </c>
      <c r="AF393" s="4">
        <f t="shared" si="207"/>
        <v>0</v>
      </c>
      <c r="AG393" s="4">
        <f t="shared" si="208"/>
        <v>8.7795574558837277</v>
      </c>
      <c r="AH393" s="4">
        <f t="shared" si="209"/>
        <v>0</v>
      </c>
      <c r="AI393" s="4">
        <f t="shared" si="210"/>
        <v>0</v>
      </c>
      <c r="AJ393" s="4">
        <f t="shared" si="211"/>
        <v>8.7795574558837277</v>
      </c>
      <c r="AK393" s="4">
        <f t="shared" si="212"/>
        <v>6.0402547112774139</v>
      </c>
      <c r="AL393" s="4">
        <f t="shared" si="213"/>
        <v>0</v>
      </c>
      <c r="AM393" s="4">
        <f>CER!$C$7+CER!$C$8*J393+CER!$C$9*K393+CER!$C$10*L393+CER!$C$11*M393</f>
        <v>3.054689376922703</v>
      </c>
      <c r="AN393" s="4">
        <f t="shared" si="214"/>
        <v>21.214594760634821</v>
      </c>
      <c r="AO393" s="4">
        <f t="shared" si="215"/>
        <v>-2.0958290277500957E-2</v>
      </c>
      <c r="AP393" s="4">
        <f>Alternatives!$F$25+Alternatives!$F$26*J393+Alternatives!$F$27*K393+Alternatives!$F$28*G393+Alternatives!$F$29*O393</f>
        <v>3.3383014592124614</v>
      </c>
      <c r="AQ393" s="4">
        <f t="shared" si="216"/>
        <v>-0.30457037256725927</v>
      </c>
    </row>
    <row r="394" spans="1:43" x14ac:dyDescent="0.35">
      <c r="A394" s="2" t="s">
        <v>344</v>
      </c>
      <c r="B394" s="2" t="s">
        <v>283</v>
      </c>
      <c r="C394" s="2" t="s">
        <v>67</v>
      </c>
      <c r="D394" s="2">
        <v>30.1508</v>
      </c>
      <c r="E394" s="2">
        <v>6500</v>
      </c>
      <c r="F394" s="2">
        <v>277</v>
      </c>
      <c r="G394" s="2">
        <v>57.5</v>
      </c>
      <c r="H394" s="2" t="s">
        <v>68</v>
      </c>
      <c r="I394" s="4">
        <f t="shared" si="186"/>
        <v>3.4062114568178576</v>
      </c>
      <c r="J394" s="4">
        <f t="shared" si="187"/>
        <v>8.7795574558837277</v>
      </c>
      <c r="K394" s="4">
        <f t="shared" si="188"/>
        <v>5.6240175061873385</v>
      </c>
      <c r="L394" s="2">
        <v>0</v>
      </c>
      <c r="M394" s="2">
        <v>0</v>
      </c>
      <c r="N394" s="4">
        <f t="shared" si="189"/>
        <v>57.5</v>
      </c>
      <c r="O394" s="4">
        <f t="shared" si="190"/>
        <v>0</v>
      </c>
      <c r="P394" s="4">
        <f t="shared" si="191"/>
        <v>0</v>
      </c>
      <c r="Q394" s="4">
        <f t="shared" si="192"/>
        <v>8.7795574558837277</v>
      </c>
      <c r="R394" s="4">
        <f t="shared" si="193"/>
        <v>5.6240175061873385</v>
      </c>
      <c r="S394" s="4">
        <f t="shared" si="194"/>
        <v>57.5</v>
      </c>
      <c r="T394" s="4">
        <f t="shared" si="195"/>
        <v>0</v>
      </c>
      <c r="U394" s="4">
        <f t="shared" si="196"/>
        <v>8.7795574558837277</v>
      </c>
      <c r="V394" s="4">
        <f t="shared" si="197"/>
        <v>5.6240175061873385</v>
      </c>
      <c r="W394" s="4">
        <f t="shared" si="198"/>
        <v>57.5</v>
      </c>
      <c r="X394" s="4">
        <f t="shared" si="199"/>
        <v>0</v>
      </c>
      <c r="Y394" s="4">
        <f t="shared" si="200"/>
        <v>8.7795574558837277</v>
      </c>
      <c r="Z394" s="4">
        <f t="shared" si="201"/>
        <v>5.6240175061873385</v>
      </c>
      <c r="AA394" s="4">
        <f t="shared" si="202"/>
        <v>57.5</v>
      </c>
      <c r="AB394" s="4">
        <f t="shared" si="203"/>
        <v>0</v>
      </c>
      <c r="AC394" s="4">
        <f t="shared" si="204"/>
        <v>0</v>
      </c>
      <c r="AD394" s="4">
        <f t="shared" si="205"/>
        <v>0</v>
      </c>
      <c r="AE394" s="4">
        <f t="shared" si="206"/>
        <v>0</v>
      </c>
      <c r="AF394" s="4">
        <f t="shared" si="207"/>
        <v>0</v>
      </c>
      <c r="AG394" s="4">
        <f t="shared" si="208"/>
        <v>8.7795574558837277</v>
      </c>
      <c r="AH394" s="4">
        <f t="shared" si="209"/>
        <v>0</v>
      </c>
      <c r="AI394" s="4">
        <f t="shared" si="210"/>
        <v>0</v>
      </c>
      <c r="AJ394" s="4">
        <f t="shared" si="211"/>
        <v>8.7795574558837277</v>
      </c>
      <c r="AK394" s="4">
        <f t="shared" si="212"/>
        <v>5.6240175061873385</v>
      </c>
      <c r="AL394" s="4">
        <f t="shared" si="213"/>
        <v>0</v>
      </c>
      <c r="AM394" s="4">
        <f>CER!$C$7+CER!$C$8*J394+CER!$C$9*K394+CER!$C$10*L394+CER!$C$11*M394</f>
        <v>3.2082574772184196</v>
      </c>
      <c r="AN394" s="4">
        <f t="shared" si="214"/>
        <v>24.735945699924063</v>
      </c>
      <c r="AO394" s="4">
        <f t="shared" si="215"/>
        <v>0.19795397959943806</v>
      </c>
      <c r="AP394" s="4">
        <f>Alternatives!$F$25+Alternatives!$F$26*J394+Alternatives!$F$27*K394+Alternatives!$F$28*G394+Alternatives!$F$29*O394</f>
        <v>3.4490663285018224</v>
      </c>
      <c r="AQ394" s="4">
        <f t="shared" si="216"/>
        <v>-4.2854871683964735E-2</v>
      </c>
    </row>
    <row r="395" spans="1:43" x14ac:dyDescent="0.35">
      <c r="A395" s="2" t="s">
        <v>345</v>
      </c>
      <c r="B395" s="2" t="s">
        <v>283</v>
      </c>
      <c r="C395" s="2" t="s">
        <v>67</v>
      </c>
      <c r="D395" s="2">
        <v>28.5578</v>
      </c>
      <c r="E395" s="2">
        <v>4500</v>
      </c>
      <c r="F395" s="2">
        <v>310</v>
      </c>
      <c r="G395" s="2">
        <v>60.4</v>
      </c>
      <c r="H395" s="2" t="s">
        <v>68</v>
      </c>
      <c r="I395" s="4">
        <f t="shared" si="186"/>
        <v>3.3519301036920335</v>
      </c>
      <c r="J395" s="4">
        <f t="shared" si="187"/>
        <v>8.4118326757584114</v>
      </c>
      <c r="K395" s="4">
        <f t="shared" si="188"/>
        <v>5.7365722974791922</v>
      </c>
      <c r="L395" s="2">
        <v>0</v>
      </c>
      <c r="M395" s="2">
        <v>0</v>
      </c>
      <c r="N395" s="4">
        <f t="shared" si="189"/>
        <v>60.4</v>
      </c>
      <c r="O395" s="4">
        <f t="shared" si="190"/>
        <v>0</v>
      </c>
      <c r="P395" s="4">
        <f t="shared" si="191"/>
        <v>0</v>
      </c>
      <c r="Q395" s="4">
        <f t="shared" si="192"/>
        <v>8.4118326757584114</v>
      </c>
      <c r="R395" s="4">
        <f t="shared" si="193"/>
        <v>5.7365722974791922</v>
      </c>
      <c r="S395" s="4">
        <f t="shared" si="194"/>
        <v>60.4</v>
      </c>
      <c r="T395" s="4">
        <f t="shared" si="195"/>
        <v>0</v>
      </c>
      <c r="U395" s="4">
        <f t="shared" si="196"/>
        <v>8.4118326757584114</v>
      </c>
      <c r="V395" s="4">
        <f t="shared" si="197"/>
        <v>5.7365722974791922</v>
      </c>
      <c r="W395" s="4">
        <f t="shared" si="198"/>
        <v>60.4</v>
      </c>
      <c r="X395" s="4">
        <f t="shared" si="199"/>
        <v>0</v>
      </c>
      <c r="Y395" s="4">
        <f t="shared" si="200"/>
        <v>8.4118326757584114</v>
      </c>
      <c r="Z395" s="4">
        <f t="shared" si="201"/>
        <v>5.7365722974791922</v>
      </c>
      <c r="AA395" s="4">
        <f t="shared" si="202"/>
        <v>60.4</v>
      </c>
      <c r="AB395" s="4">
        <f t="shared" si="203"/>
        <v>0</v>
      </c>
      <c r="AC395" s="4">
        <f t="shared" si="204"/>
        <v>0</v>
      </c>
      <c r="AD395" s="4">
        <f t="shared" si="205"/>
        <v>0</v>
      </c>
      <c r="AE395" s="4">
        <f t="shared" si="206"/>
        <v>0</v>
      </c>
      <c r="AF395" s="4">
        <f t="shared" si="207"/>
        <v>0</v>
      </c>
      <c r="AG395" s="4">
        <f t="shared" si="208"/>
        <v>8.4118326757584114</v>
      </c>
      <c r="AH395" s="4">
        <f t="shared" si="209"/>
        <v>0</v>
      </c>
      <c r="AI395" s="4">
        <f t="shared" si="210"/>
        <v>0</v>
      </c>
      <c r="AJ395" s="4">
        <f t="shared" si="211"/>
        <v>8.4118326757584114</v>
      </c>
      <c r="AK395" s="4">
        <f t="shared" si="212"/>
        <v>5.7365722974791922</v>
      </c>
      <c r="AL395" s="4">
        <f t="shared" si="213"/>
        <v>0</v>
      </c>
      <c r="AM395" s="4">
        <f>CER!$C$7+CER!$C$8*J395+CER!$C$9*K395+CER!$C$10*L395+CER!$C$11*M395</f>
        <v>3.3332034559805801</v>
      </c>
      <c r="AN395" s="4">
        <f t="shared" si="214"/>
        <v>28.027984457701727</v>
      </c>
      <c r="AO395" s="4">
        <f t="shared" si="215"/>
        <v>1.8726647711453381E-2</v>
      </c>
      <c r="AP395" s="4">
        <f>Alternatives!$F$25+Alternatives!$F$26*J395+Alternatives!$F$27*K395+Alternatives!$F$28*G395+Alternatives!$F$29*O395</f>
        <v>3.2453033795084618</v>
      </c>
      <c r="AQ395" s="4">
        <f t="shared" si="216"/>
        <v>0.10662672418357166</v>
      </c>
    </row>
    <row r="396" spans="1:43" x14ac:dyDescent="0.35">
      <c r="A396" s="2" t="s">
        <v>346</v>
      </c>
      <c r="B396" s="2" t="s">
        <v>283</v>
      </c>
      <c r="C396" s="2" t="s">
        <v>67</v>
      </c>
      <c r="D396" s="2">
        <v>26.954999999999998</v>
      </c>
      <c r="E396" s="2">
        <v>5000</v>
      </c>
      <c r="F396" s="2">
        <v>310</v>
      </c>
      <c r="G396" s="2">
        <v>60.4</v>
      </c>
      <c r="H396" s="2" t="s">
        <v>68</v>
      </c>
      <c r="I396" s="4">
        <f t="shared" si="186"/>
        <v>3.2941688089036321</v>
      </c>
      <c r="J396" s="4">
        <f t="shared" si="187"/>
        <v>8.5171931914162382</v>
      </c>
      <c r="K396" s="4">
        <f t="shared" si="188"/>
        <v>5.7365722974791922</v>
      </c>
      <c r="L396" s="2">
        <v>0</v>
      </c>
      <c r="M396" s="2">
        <v>0</v>
      </c>
      <c r="N396" s="4">
        <f t="shared" si="189"/>
        <v>60.4</v>
      </c>
      <c r="O396" s="4">
        <f t="shared" si="190"/>
        <v>0</v>
      </c>
      <c r="P396" s="4">
        <f t="shared" si="191"/>
        <v>0</v>
      </c>
      <c r="Q396" s="4">
        <f t="shared" si="192"/>
        <v>8.5171931914162382</v>
      </c>
      <c r="R396" s="4">
        <f t="shared" si="193"/>
        <v>5.7365722974791922</v>
      </c>
      <c r="S396" s="4">
        <f t="shared" si="194"/>
        <v>60.4</v>
      </c>
      <c r="T396" s="4">
        <f t="shared" si="195"/>
        <v>0</v>
      </c>
      <c r="U396" s="4">
        <f t="shared" si="196"/>
        <v>8.5171931914162382</v>
      </c>
      <c r="V396" s="4">
        <f t="shared" si="197"/>
        <v>5.7365722974791922</v>
      </c>
      <c r="W396" s="4">
        <f t="shared" si="198"/>
        <v>60.4</v>
      </c>
      <c r="X396" s="4">
        <f t="shared" si="199"/>
        <v>0</v>
      </c>
      <c r="Y396" s="4">
        <f t="shared" si="200"/>
        <v>8.5171931914162382</v>
      </c>
      <c r="Z396" s="4">
        <f t="shared" si="201"/>
        <v>5.7365722974791922</v>
      </c>
      <c r="AA396" s="4">
        <f t="shared" si="202"/>
        <v>60.4</v>
      </c>
      <c r="AB396" s="4">
        <f t="shared" si="203"/>
        <v>0</v>
      </c>
      <c r="AC396" s="4">
        <f t="shared" si="204"/>
        <v>0</v>
      </c>
      <c r="AD396" s="4">
        <f t="shared" si="205"/>
        <v>0</v>
      </c>
      <c r="AE396" s="4">
        <f t="shared" si="206"/>
        <v>0</v>
      </c>
      <c r="AF396" s="4">
        <f t="shared" si="207"/>
        <v>0</v>
      </c>
      <c r="AG396" s="4">
        <f t="shared" si="208"/>
        <v>8.5171931914162382</v>
      </c>
      <c r="AH396" s="4">
        <f t="shared" si="209"/>
        <v>0</v>
      </c>
      <c r="AI396" s="4">
        <f t="shared" si="210"/>
        <v>0</v>
      </c>
      <c r="AJ396" s="4">
        <f t="shared" si="211"/>
        <v>8.5171931914162382</v>
      </c>
      <c r="AK396" s="4">
        <f t="shared" si="212"/>
        <v>5.7365722974791922</v>
      </c>
      <c r="AL396" s="4">
        <f t="shared" si="213"/>
        <v>0</v>
      </c>
      <c r="AM396" s="4">
        <f>CER!$C$7+CER!$C$8*J396+CER!$C$9*K396+CER!$C$10*L396+CER!$C$11*M396</f>
        <v>3.2855057896938553</v>
      </c>
      <c r="AN396" s="4">
        <f t="shared" si="214"/>
        <v>26.722496860851766</v>
      </c>
      <c r="AO396" s="4">
        <f t="shared" si="215"/>
        <v>8.6630192097767456E-3</v>
      </c>
      <c r="AP396" s="4">
        <f>Alternatives!$F$25+Alternatives!$F$26*J396+Alternatives!$F$27*K396+Alternatives!$F$28*G396+Alternatives!$F$29*O396</f>
        <v>3.2842958289981929</v>
      </c>
      <c r="AQ396" s="4">
        <f t="shared" si="216"/>
        <v>9.8729799054391165E-3</v>
      </c>
    </row>
    <row r="397" spans="1:43" x14ac:dyDescent="0.35">
      <c r="A397" s="2" t="s">
        <v>347</v>
      </c>
      <c r="B397" s="2" t="s">
        <v>283</v>
      </c>
      <c r="C397" s="2" t="s">
        <v>67</v>
      </c>
      <c r="D397" s="2">
        <v>31.266400000000001</v>
      </c>
      <c r="E397" s="2">
        <v>4500</v>
      </c>
      <c r="F397" s="2">
        <v>328</v>
      </c>
      <c r="G397" s="2">
        <v>56.7</v>
      </c>
      <c r="H397" s="2" t="s">
        <v>68</v>
      </c>
      <c r="I397" s="4">
        <f t="shared" si="186"/>
        <v>3.4425440385230508</v>
      </c>
      <c r="J397" s="4">
        <f t="shared" si="187"/>
        <v>8.4118326757584114</v>
      </c>
      <c r="K397" s="4">
        <f t="shared" si="188"/>
        <v>5.7930136083841441</v>
      </c>
      <c r="L397" s="2">
        <v>0</v>
      </c>
      <c r="M397" s="2">
        <v>0</v>
      </c>
      <c r="N397" s="4">
        <f t="shared" si="189"/>
        <v>56.7</v>
      </c>
      <c r="O397" s="4">
        <f t="shared" si="190"/>
        <v>0</v>
      </c>
      <c r="P397" s="4">
        <f t="shared" si="191"/>
        <v>0</v>
      </c>
      <c r="Q397" s="4">
        <f t="shared" si="192"/>
        <v>8.4118326757584114</v>
      </c>
      <c r="R397" s="4">
        <f t="shared" si="193"/>
        <v>5.7930136083841441</v>
      </c>
      <c r="S397" s="4">
        <f t="shared" si="194"/>
        <v>56.7</v>
      </c>
      <c r="T397" s="4">
        <f t="shared" si="195"/>
        <v>0</v>
      </c>
      <c r="U397" s="4">
        <f t="shared" si="196"/>
        <v>8.4118326757584114</v>
      </c>
      <c r="V397" s="4">
        <f t="shared" si="197"/>
        <v>5.7930136083841441</v>
      </c>
      <c r="W397" s="4">
        <f t="shared" si="198"/>
        <v>56.7</v>
      </c>
      <c r="X397" s="4">
        <f t="shared" si="199"/>
        <v>0</v>
      </c>
      <c r="Y397" s="4">
        <f t="shared" si="200"/>
        <v>8.4118326757584114</v>
      </c>
      <c r="Z397" s="4">
        <f t="shared" si="201"/>
        <v>5.7930136083841441</v>
      </c>
      <c r="AA397" s="4">
        <f t="shared" si="202"/>
        <v>56.7</v>
      </c>
      <c r="AB397" s="4">
        <f t="shared" si="203"/>
        <v>0</v>
      </c>
      <c r="AC397" s="4">
        <f t="shared" si="204"/>
        <v>0</v>
      </c>
      <c r="AD397" s="4">
        <f t="shared" si="205"/>
        <v>0</v>
      </c>
      <c r="AE397" s="4">
        <f t="shared" si="206"/>
        <v>0</v>
      </c>
      <c r="AF397" s="4">
        <f t="shared" si="207"/>
        <v>0</v>
      </c>
      <c r="AG397" s="4">
        <f t="shared" si="208"/>
        <v>8.4118326757584114</v>
      </c>
      <c r="AH397" s="4">
        <f t="shared" si="209"/>
        <v>0</v>
      </c>
      <c r="AI397" s="4">
        <f t="shared" si="210"/>
        <v>0</v>
      </c>
      <c r="AJ397" s="4">
        <f t="shared" si="211"/>
        <v>8.4118326757584114</v>
      </c>
      <c r="AK397" s="4">
        <f t="shared" si="212"/>
        <v>5.7930136083841441</v>
      </c>
      <c r="AL397" s="4">
        <f t="shared" si="213"/>
        <v>0</v>
      </c>
      <c r="AM397" s="4">
        <f>CER!$C$7+CER!$C$8*J397+CER!$C$9*K397+CER!$C$10*L397+CER!$C$11*M397</f>
        <v>3.3123797891197628</v>
      </c>
      <c r="AN397" s="4">
        <f t="shared" si="214"/>
        <v>27.450373903504421</v>
      </c>
      <c r="AO397" s="4">
        <f t="shared" si="215"/>
        <v>0.13016424940328797</v>
      </c>
      <c r="AP397" s="4">
        <f>Alternatives!$F$25+Alternatives!$F$26*J397+Alternatives!$F$27*K397+Alternatives!$F$28*G397+Alternatives!$F$29*O397</f>
        <v>3.2784108478810063</v>
      </c>
      <c r="AQ397" s="4">
        <f t="shared" si="216"/>
        <v>0.16413319064204446</v>
      </c>
    </row>
    <row r="398" spans="1:43" x14ac:dyDescent="0.35">
      <c r="A398" s="2" t="s">
        <v>348</v>
      </c>
      <c r="B398" s="2" t="s">
        <v>283</v>
      </c>
      <c r="C398" s="2" t="s">
        <v>67</v>
      </c>
      <c r="D398" s="2">
        <v>29.091999999999999</v>
      </c>
      <c r="E398" s="2">
        <v>5000</v>
      </c>
      <c r="F398" s="2">
        <v>328</v>
      </c>
      <c r="G398" s="2">
        <v>56.7</v>
      </c>
      <c r="H398" s="2" t="s">
        <v>68</v>
      </c>
      <c r="I398" s="4">
        <f t="shared" si="186"/>
        <v>3.3704632222922943</v>
      </c>
      <c r="J398" s="4">
        <f t="shared" si="187"/>
        <v>8.5171931914162382</v>
      </c>
      <c r="K398" s="4">
        <f t="shared" si="188"/>
        <v>5.7930136083841441</v>
      </c>
      <c r="L398" s="2">
        <v>0</v>
      </c>
      <c r="M398" s="2">
        <v>0</v>
      </c>
      <c r="N398" s="4">
        <f t="shared" si="189"/>
        <v>56.7</v>
      </c>
      <c r="O398" s="4">
        <f t="shared" si="190"/>
        <v>0</v>
      </c>
      <c r="P398" s="4">
        <f t="shared" si="191"/>
        <v>0</v>
      </c>
      <c r="Q398" s="4">
        <f t="shared" si="192"/>
        <v>8.5171931914162382</v>
      </c>
      <c r="R398" s="4">
        <f t="shared" si="193"/>
        <v>5.7930136083841441</v>
      </c>
      <c r="S398" s="4">
        <f t="shared" si="194"/>
        <v>56.7</v>
      </c>
      <c r="T398" s="4">
        <f t="shared" si="195"/>
        <v>0</v>
      </c>
      <c r="U398" s="4">
        <f t="shared" si="196"/>
        <v>8.5171931914162382</v>
      </c>
      <c r="V398" s="4">
        <f t="shared" si="197"/>
        <v>5.7930136083841441</v>
      </c>
      <c r="W398" s="4">
        <f t="shared" si="198"/>
        <v>56.7</v>
      </c>
      <c r="X398" s="4">
        <f t="shared" si="199"/>
        <v>0</v>
      </c>
      <c r="Y398" s="4">
        <f t="shared" si="200"/>
        <v>8.5171931914162382</v>
      </c>
      <c r="Z398" s="4">
        <f t="shared" si="201"/>
        <v>5.7930136083841441</v>
      </c>
      <c r="AA398" s="4">
        <f t="shared" si="202"/>
        <v>56.7</v>
      </c>
      <c r="AB398" s="4">
        <f t="shared" si="203"/>
        <v>0</v>
      </c>
      <c r="AC398" s="4">
        <f t="shared" si="204"/>
        <v>0</v>
      </c>
      <c r="AD398" s="4">
        <f t="shared" si="205"/>
        <v>0</v>
      </c>
      <c r="AE398" s="4">
        <f t="shared" si="206"/>
        <v>0</v>
      </c>
      <c r="AF398" s="4">
        <f t="shared" si="207"/>
        <v>0</v>
      </c>
      <c r="AG398" s="4">
        <f t="shared" si="208"/>
        <v>8.5171931914162382</v>
      </c>
      <c r="AH398" s="4">
        <f t="shared" si="209"/>
        <v>0</v>
      </c>
      <c r="AI398" s="4">
        <f t="shared" si="210"/>
        <v>0</v>
      </c>
      <c r="AJ398" s="4">
        <f t="shared" si="211"/>
        <v>8.5171931914162382</v>
      </c>
      <c r="AK398" s="4">
        <f t="shared" si="212"/>
        <v>5.7930136083841441</v>
      </c>
      <c r="AL398" s="4">
        <f t="shared" si="213"/>
        <v>0</v>
      </c>
      <c r="AM398" s="4">
        <f>CER!$C$7+CER!$C$8*J398+CER!$C$9*K398+CER!$C$10*L398+CER!$C$11*M398</f>
        <v>3.264682122833038</v>
      </c>
      <c r="AN398" s="4">
        <f t="shared" si="214"/>
        <v>26.171790253866654</v>
      </c>
      <c r="AO398" s="4">
        <f t="shared" si="215"/>
        <v>0.10578109945925629</v>
      </c>
      <c r="AP398" s="4">
        <f>Alternatives!$F$25+Alternatives!$F$26*J398+Alternatives!$F$27*K398+Alternatives!$F$28*G398+Alternatives!$F$29*O398</f>
        <v>3.3174032973707375</v>
      </c>
      <c r="AQ398" s="4">
        <f t="shared" si="216"/>
        <v>5.3059924921556867E-2</v>
      </c>
    </row>
    <row r="399" spans="1:43" x14ac:dyDescent="0.35">
      <c r="A399" s="2" t="s">
        <v>349</v>
      </c>
      <c r="B399" s="2" t="s">
        <v>283</v>
      </c>
      <c r="C399" s="2" t="s">
        <v>67</v>
      </c>
      <c r="D399" s="2">
        <v>34.365600000000001</v>
      </c>
      <c r="E399" s="2">
        <v>4000</v>
      </c>
      <c r="F399" s="2">
        <v>175</v>
      </c>
      <c r="G399" s="2">
        <v>46.2</v>
      </c>
      <c r="H399" s="2" t="s">
        <v>68</v>
      </c>
      <c r="I399" s="4">
        <f t="shared" si="186"/>
        <v>3.5370560640457693</v>
      </c>
      <c r="J399" s="4">
        <f t="shared" si="187"/>
        <v>8.2940496401020276</v>
      </c>
      <c r="K399" s="4">
        <f t="shared" si="188"/>
        <v>5.1647859739235145</v>
      </c>
      <c r="L399" s="2">
        <v>0</v>
      </c>
      <c r="M399" s="2">
        <v>0</v>
      </c>
      <c r="N399" s="4">
        <f t="shared" si="189"/>
        <v>46.2</v>
      </c>
      <c r="O399" s="4">
        <f t="shared" si="190"/>
        <v>0</v>
      </c>
      <c r="P399" s="4">
        <f t="shared" si="191"/>
        <v>0</v>
      </c>
      <c r="Q399" s="4">
        <f t="shared" si="192"/>
        <v>8.2940496401020276</v>
      </c>
      <c r="R399" s="4">
        <f t="shared" si="193"/>
        <v>5.1647859739235145</v>
      </c>
      <c r="S399" s="4">
        <f t="shared" si="194"/>
        <v>46.2</v>
      </c>
      <c r="T399" s="4">
        <f t="shared" si="195"/>
        <v>0</v>
      </c>
      <c r="U399" s="4">
        <f t="shared" si="196"/>
        <v>8.2940496401020276</v>
      </c>
      <c r="V399" s="4">
        <f t="shared" si="197"/>
        <v>5.1647859739235145</v>
      </c>
      <c r="W399" s="4">
        <f t="shared" si="198"/>
        <v>46.2</v>
      </c>
      <c r="X399" s="4">
        <f t="shared" si="199"/>
        <v>0</v>
      </c>
      <c r="Y399" s="4">
        <f t="shared" si="200"/>
        <v>8.2940496401020276</v>
      </c>
      <c r="Z399" s="4">
        <f t="shared" si="201"/>
        <v>5.1647859739235145</v>
      </c>
      <c r="AA399" s="4">
        <f t="shared" si="202"/>
        <v>46.2</v>
      </c>
      <c r="AB399" s="4">
        <f t="shared" si="203"/>
        <v>0</v>
      </c>
      <c r="AC399" s="4">
        <f t="shared" si="204"/>
        <v>0</v>
      </c>
      <c r="AD399" s="4">
        <f t="shared" si="205"/>
        <v>0</v>
      </c>
      <c r="AE399" s="4">
        <f t="shared" si="206"/>
        <v>0</v>
      </c>
      <c r="AF399" s="4">
        <f t="shared" si="207"/>
        <v>0</v>
      </c>
      <c r="AG399" s="4">
        <f t="shared" si="208"/>
        <v>8.2940496401020276</v>
      </c>
      <c r="AH399" s="4">
        <f t="shared" si="209"/>
        <v>0</v>
      </c>
      <c r="AI399" s="4">
        <f t="shared" si="210"/>
        <v>0</v>
      </c>
      <c r="AJ399" s="4">
        <f t="shared" si="211"/>
        <v>8.2940496401020276</v>
      </c>
      <c r="AK399" s="4">
        <f t="shared" si="212"/>
        <v>5.1647859739235145</v>
      </c>
      <c r="AL399" s="4">
        <f t="shared" si="213"/>
        <v>0</v>
      </c>
      <c r="AM399" s="4">
        <f>CER!$C$7+CER!$C$8*J399+CER!$C$9*K399+CER!$C$10*L399+CER!$C$11*M399</f>
        <v>3.5974818801105952</v>
      </c>
      <c r="AN399" s="4">
        <f t="shared" si="214"/>
        <v>36.506191637654915</v>
      </c>
      <c r="AO399" s="4">
        <f t="shared" si="215"/>
        <v>-6.0425816064825888E-2</v>
      </c>
      <c r="AP399" s="4">
        <f>Alternatives!$F$25+Alternatives!$F$26*J399+Alternatives!$F$27*K399+Alternatives!$F$28*G399+Alternatives!$F$29*O399</f>
        <v>3.5385754362669433</v>
      </c>
      <c r="AQ399" s="4">
        <f t="shared" si="216"/>
        <v>-1.5193722211739313E-3</v>
      </c>
    </row>
    <row r="400" spans="1:43" x14ac:dyDescent="0.35">
      <c r="A400" s="2" t="s">
        <v>350</v>
      </c>
      <c r="B400" s="2" t="s">
        <v>283</v>
      </c>
      <c r="C400" s="2" t="s">
        <v>67</v>
      </c>
      <c r="D400" s="2">
        <v>18.138500000000001</v>
      </c>
      <c r="E400" s="2">
        <v>5000</v>
      </c>
      <c r="F400" s="2">
        <v>355</v>
      </c>
      <c r="G400" s="2">
        <v>69.900000000000006</v>
      </c>
      <c r="H400" s="2" t="s">
        <v>68</v>
      </c>
      <c r="I400" s="4">
        <f t="shared" si="186"/>
        <v>2.8980367510805376</v>
      </c>
      <c r="J400" s="4">
        <f t="shared" si="187"/>
        <v>8.5171931914162382</v>
      </c>
      <c r="K400" s="4">
        <f t="shared" si="188"/>
        <v>5.872117789475416</v>
      </c>
      <c r="L400" s="2">
        <v>0</v>
      </c>
      <c r="M400" s="2">
        <v>0</v>
      </c>
      <c r="N400" s="4">
        <f t="shared" si="189"/>
        <v>69.900000000000006</v>
      </c>
      <c r="O400" s="4">
        <f t="shared" si="190"/>
        <v>0</v>
      </c>
      <c r="P400" s="4">
        <f t="shared" si="191"/>
        <v>0</v>
      </c>
      <c r="Q400" s="4">
        <f t="shared" si="192"/>
        <v>8.5171931914162382</v>
      </c>
      <c r="R400" s="4">
        <f t="shared" si="193"/>
        <v>5.872117789475416</v>
      </c>
      <c r="S400" s="4">
        <f t="shared" si="194"/>
        <v>69.900000000000006</v>
      </c>
      <c r="T400" s="4">
        <f t="shared" si="195"/>
        <v>0</v>
      </c>
      <c r="U400" s="4">
        <f t="shared" si="196"/>
        <v>8.5171931914162382</v>
      </c>
      <c r="V400" s="4">
        <f t="shared" si="197"/>
        <v>5.872117789475416</v>
      </c>
      <c r="W400" s="4">
        <f t="shared" si="198"/>
        <v>69.900000000000006</v>
      </c>
      <c r="X400" s="4">
        <f t="shared" si="199"/>
        <v>0</v>
      </c>
      <c r="Y400" s="4">
        <f t="shared" si="200"/>
        <v>8.5171931914162382</v>
      </c>
      <c r="Z400" s="4">
        <f t="shared" si="201"/>
        <v>5.872117789475416</v>
      </c>
      <c r="AA400" s="4">
        <f t="shared" si="202"/>
        <v>69.900000000000006</v>
      </c>
      <c r="AB400" s="4">
        <f t="shared" si="203"/>
        <v>0</v>
      </c>
      <c r="AC400" s="4">
        <f t="shared" si="204"/>
        <v>0</v>
      </c>
      <c r="AD400" s="4">
        <f t="shared" si="205"/>
        <v>0</v>
      </c>
      <c r="AE400" s="4">
        <f t="shared" si="206"/>
        <v>0</v>
      </c>
      <c r="AF400" s="4">
        <f t="shared" si="207"/>
        <v>0</v>
      </c>
      <c r="AG400" s="4">
        <f t="shared" si="208"/>
        <v>8.5171931914162382</v>
      </c>
      <c r="AH400" s="4">
        <f t="shared" si="209"/>
        <v>0</v>
      </c>
      <c r="AI400" s="4">
        <f t="shared" si="210"/>
        <v>0</v>
      </c>
      <c r="AJ400" s="4">
        <f t="shared" si="211"/>
        <v>8.5171931914162382</v>
      </c>
      <c r="AK400" s="4">
        <f t="shared" si="212"/>
        <v>5.872117789475416</v>
      </c>
      <c r="AL400" s="4">
        <f t="shared" si="213"/>
        <v>0</v>
      </c>
      <c r="AM400" s="4">
        <f>CER!$C$7+CER!$C$8*J400+CER!$C$9*K400+CER!$C$10*L400+CER!$C$11*M400</f>
        <v>3.2354971324787853</v>
      </c>
      <c r="AN400" s="4">
        <f t="shared" si="214"/>
        <v>25.419005251422291</v>
      </c>
      <c r="AO400" s="4">
        <f t="shared" si="215"/>
        <v>-0.33746038139824774</v>
      </c>
      <c r="AP400" s="4">
        <f>Alternatives!$F$25+Alternatives!$F$26*J400+Alternatives!$F$27*K400+Alternatives!$F$28*G400+Alternatives!$F$29*O400</f>
        <v>3.1246563343215996</v>
      </c>
      <c r="AQ400" s="4">
        <f t="shared" si="216"/>
        <v>-0.22661958324106202</v>
      </c>
    </row>
    <row r="401" spans="1:43" x14ac:dyDescent="0.35">
      <c r="A401" s="2" t="s">
        <v>350</v>
      </c>
      <c r="B401" s="2" t="s">
        <v>283</v>
      </c>
      <c r="C401" s="2" t="s">
        <v>67</v>
      </c>
      <c r="D401" s="2">
        <v>24.1099</v>
      </c>
      <c r="E401" s="2">
        <v>5500</v>
      </c>
      <c r="F401" s="2">
        <v>355</v>
      </c>
      <c r="G401" s="2">
        <v>69.900000000000006</v>
      </c>
      <c r="H401" s="2" t="s">
        <v>68</v>
      </c>
      <c r="I401" s="4">
        <f t="shared" si="186"/>
        <v>3.1826225445279039</v>
      </c>
      <c r="J401" s="4">
        <f t="shared" si="187"/>
        <v>8.6125033712205621</v>
      </c>
      <c r="K401" s="4">
        <f t="shared" si="188"/>
        <v>5.872117789475416</v>
      </c>
      <c r="L401" s="2">
        <v>0</v>
      </c>
      <c r="M401" s="2">
        <v>0</v>
      </c>
      <c r="N401" s="4">
        <f t="shared" si="189"/>
        <v>69.900000000000006</v>
      </c>
      <c r="O401" s="4">
        <f t="shared" si="190"/>
        <v>0</v>
      </c>
      <c r="P401" s="4">
        <f t="shared" si="191"/>
        <v>0</v>
      </c>
      <c r="Q401" s="4">
        <f t="shared" si="192"/>
        <v>8.6125033712205621</v>
      </c>
      <c r="R401" s="4">
        <f t="shared" si="193"/>
        <v>5.872117789475416</v>
      </c>
      <c r="S401" s="4">
        <f t="shared" si="194"/>
        <v>69.900000000000006</v>
      </c>
      <c r="T401" s="4">
        <f t="shared" si="195"/>
        <v>0</v>
      </c>
      <c r="U401" s="4">
        <f t="shared" si="196"/>
        <v>8.6125033712205621</v>
      </c>
      <c r="V401" s="4">
        <f t="shared" si="197"/>
        <v>5.872117789475416</v>
      </c>
      <c r="W401" s="4">
        <f t="shared" si="198"/>
        <v>69.900000000000006</v>
      </c>
      <c r="X401" s="4">
        <f t="shared" si="199"/>
        <v>0</v>
      </c>
      <c r="Y401" s="4">
        <f t="shared" si="200"/>
        <v>8.6125033712205621</v>
      </c>
      <c r="Z401" s="4">
        <f t="shared" si="201"/>
        <v>5.872117789475416</v>
      </c>
      <c r="AA401" s="4">
        <f t="shared" si="202"/>
        <v>69.900000000000006</v>
      </c>
      <c r="AB401" s="4">
        <f t="shared" si="203"/>
        <v>0</v>
      </c>
      <c r="AC401" s="4">
        <f t="shared" si="204"/>
        <v>0</v>
      </c>
      <c r="AD401" s="4">
        <f t="shared" si="205"/>
        <v>0</v>
      </c>
      <c r="AE401" s="4">
        <f t="shared" si="206"/>
        <v>0</v>
      </c>
      <c r="AF401" s="4">
        <f t="shared" si="207"/>
        <v>0</v>
      </c>
      <c r="AG401" s="4">
        <f t="shared" si="208"/>
        <v>8.6125033712205621</v>
      </c>
      <c r="AH401" s="4">
        <f t="shared" si="209"/>
        <v>0</v>
      </c>
      <c r="AI401" s="4">
        <f t="shared" si="210"/>
        <v>0</v>
      </c>
      <c r="AJ401" s="4">
        <f t="shared" si="211"/>
        <v>8.6125033712205621</v>
      </c>
      <c r="AK401" s="4">
        <f t="shared" si="212"/>
        <v>5.872117789475416</v>
      </c>
      <c r="AL401" s="4">
        <f t="shared" si="213"/>
        <v>0</v>
      </c>
      <c r="AM401" s="4">
        <f>CER!$C$7+CER!$C$8*J401+CER!$C$9*K401+CER!$C$10*L401+CER!$C$11*M401</f>
        <v>3.1923493448882394</v>
      </c>
      <c r="AN401" s="4">
        <f t="shared" si="214"/>
        <v>24.345556417506796</v>
      </c>
      <c r="AO401" s="4">
        <f t="shared" si="215"/>
        <v>-9.7268003603354636E-3</v>
      </c>
      <c r="AP401" s="4">
        <f>Alternatives!$F$25+Alternatives!$F$26*J401+Alternatives!$F$27*K401+Alternatives!$F$28*G401+Alternatives!$F$29*O401</f>
        <v>3.1599292954368128</v>
      </c>
      <c r="AQ401" s="4">
        <f t="shared" si="216"/>
        <v>2.2693249091091161E-2</v>
      </c>
    </row>
    <row r="402" spans="1:43" x14ac:dyDescent="0.35">
      <c r="A402" s="2" t="s">
        <v>350</v>
      </c>
      <c r="B402" s="2" t="s">
        <v>283</v>
      </c>
      <c r="C402" s="2" t="s">
        <v>67</v>
      </c>
      <c r="D402" s="2">
        <v>24.340900000000001</v>
      </c>
      <c r="E402" s="2">
        <v>5000</v>
      </c>
      <c r="F402" s="2">
        <v>355</v>
      </c>
      <c r="G402" s="2">
        <v>69.900000000000006</v>
      </c>
      <c r="H402" s="2" t="s">
        <v>68</v>
      </c>
      <c r="I402" s="4">
        <f t="shared" si="186"/>
        <v>3.1921580630466915</v>
      </c>
      <c r="J402" s="4">
        <f t="shared" si="187"/>
        <v>8.5171931914162382</v>
      </c>
      <c r="K402" s="4">
        <f t="shared" si="188"/>
        <v>5.872117789475416</v>
      </c>
      <c r="L402" s="2">
        <v>0</v>
      </c>
      <c r="M402" s="2">
        <v>0</v>
      </c>
      <c r="N402" s="4">
        <f t="shared" si="189"/>
        <v>69.900000000000006</v>
      </c>
      <c r="O402" s="4">
        <f t="shared" si="190"/>
        <v>0</v>
      </c>
      <c r="P402" s="4">
        <f t="shared" si="191"/>
        <v>0</v>
      </c>
      <c r="Q402" s="4">
        <f t="shared" si="192"/>
        <v>8.5171931914162382</v>
      </c>
      <c r="R402" s="4">
        <f t="shared" si="193"/>
        <v>5.872117789475416</v>
      </c>
      <c r="S402" s="4">
        <f t="shared" si="194"/>
        <v>69.900000000000006</v>
      </c>
      <c r="T402" s="4">
        <f t="shared" si="195"/>
        <v>0</v>
      </c>
      <c r="U402" s="4">
        <f t="shared" si="196"/>
        <v>8.5171931914162382</v>
      </c>
      <c r="V402" s="4">
        <f t="shared" si="197"/>
        <v>5.872117789475416</v>
      </c>
      <c r="W402" s="4">
        <f t="shared" si="198"/>
        <v>69.900000000000006</v>
      </c>
      <c r="X402" s="4">
        <f t="shared" si="199"/>
        <v>0</v>
      </c>
      <c r="Y402" s="4">
        <f t="shared" si="200"/>
        <v>8.5171931914162382</v>
      </c>
      <c r="Z402" s="4">
        <f t="shared" si="201"/>
        <v>5.872117789475416</v>
      </c>
      <c r="AA402" s="4">
        <f t="shared" si="202"/>
        <v>69.900000000000006</v>
      </c>
      <c r="AB402" s="4">
        <f t="shared" si="203"/>
        <v>0</v>
      </c>
      <c r="AC402" s="4">
        <f t="shared" si="204"/>
        <v>0</v>
      </c>
      <c r="AD402" s="4">
        <f t="shared" si="205"/>
        <v>0</v>
      </c>
      <c r="AE402" s="4">
        <f t="shared" si="206"/>
        <v>0</v>
      </c>
      <c r="AF402" s="4">
        <f t="shared" si="207"/>
        <v>0</v>
      </c>
      <c r="AG402" s="4">
        <f t="shared" si="208"/>
        <v>8.5171931914162382</v>
      </c>
      <c r="AH402" s="4">
        <f t="shared" si="209"/>
        <v>0</v>
      </c>
      <c r="AI402" s="4">
        <f t="shared" si="210"/>
        <v>0</v>
      </c>
      <c r="AJ402" s="4">
        <f t="shared" si="211"/>
        <v>8.5171931914162382</v>
      </c>
      <c r="AK402" s="4">
        <f t="shared" si="212"/>
        <v>5.872117789475416</v>
      </c>
      <c r="AL402" s="4">
        <f t="shared" si="213"/>
        <v>0</v>
      </c>
      <c r="AM402" s="4">
        <f>CER!$C$7+CER!$C$8*J402+CER!$C$9*K402+CER!$C$10*L402+CER!$C$11*M402</f>
        <v>3.2354971324787853</v>
      </c>
      <c r="AN402" s="4">
        <f t="shared" si="214"/>
        <v>25.419005251422291</v>
      </c>
      <c r="AO402" s="4">
        <f t="shared" si="215"/>
        <v>-4.3339069432093869E-2</v>
      </c>
      <c r="AP402" s="4">
        <f>Alternatives!$F$25+Alternatives!$F$26*J402+Alternatives!$F$27*K402+Alternatives!$F$28*G402+Alternatives!$F$29*O402</f>
        <v>3.1246563343215996</v>
      </c>
      <c r="AQ402" s="4">
        <f t="shared" si="216"/>
        <v>6.7501728725091859E-2</v>
      </c>
    </row>
    <row r="403" spans="1:43" x14ac:dyDescent="0.35">
      <c r="A403" s="2" t="s">
        <v>350</v>
      </c>
      <c r="B403" s="2" t="s">
        <v>283</v>
      </c>
      <c r="C403" s="2" t="s">
        <v>67</v>
      </c>
      <c r="D403" s="2">
        <v>35.032899999999998</v>
      </c>
      <c r="E403" s="2">
        <v>5500</v>
      </c>
      <c r="F403" s="2">
        <v>305</v>
      </c>
      <c r="G403" s="2">
        <v>69.900000000000006</v>
      </c>
      <c r="H403" s="2" t="s">
        <v>68</v>
      </c>
      <c r="I403" s="4">
        <f t="shared" si="186"/>
        <v>3.55628761996608</v>
      </c>
      <c r="J403" s="4">
        <f t="shared" si="187"/>
        <v>8.6125033712205621</v>
      </c>
      <c r="K403" s="4">
        <f t="shared" si="188"/>
        <v>5.7203117766074119</v>
      </c>
      <c r="L403" s="2">
        <v>0</v>
      </c>
      <c r="M403" s="2">
        <v>0</v>
      </c>
      <c r="N403" s="4">
        <f t="shared" si="189"/>
        <v>69.900000000000006</v>
      </c>
      <c r="O403" s="4">
        <f t="shared" si="190"/>
        <v>0</v>
      </c>
      <c r="P403" s="4">
        <f t="shared" si="191"/>
        <v>0</v>
      </c>
      <c r="Q403" s="4">
        <f t="shared" si="192"/>
        <v>8.6125033712205621</v>
      </c>
      <c r="R403" s="4">
        <f t="shared" si="193"/>
        <v>5.7203117766074119</v>
      </c>
      <c r="S403" s="4">
        <f t="shared" si="194"/>
        <v>69.900000000000006</v>
      </c>
      <c r="T403" s="4">
        <f t="shared" si="195"/>
        <v>0</v>
      </c>
      <c r="U403" s="4">
        <f t="shared" si="196"/>
        <v>8.6125033712205621</v>
      </c>
      <c r="V403" s="4">
        <f t="shared" si="197"/>
        <v>5.7203117766074119</v>
      </c>
      <c r="W403" s="4">
        <f t="shared" si="198"/>
        <v>69.900000000000006</v>
      </c>
      <c r="X403" s="4">
        <f t="shared" si="199"/>
        <v>0</v>
      </c>
      <c r="Y403" s="4">
        <f t="shared" si="200"/>
        <v>8.6125033712205621</v>
      </c>
      <c r="Z403" s="4">
        <f t="shared" si="201"/>
        <v>5.7203117766074119</v>
      </c>
      <c r="AA403" s="4">
        <f t="shared" si="202"/>
        <v>69.900000000000006</v>
      </c>
      <c r="AB403" s="4">
        <f t="shared" si="203"/>
        <v>0</v>
      </c>
      <c r="AC403" s="4">
        <f t="shared" si="204"/>
        <v>0</v>
      </c>
      <c r="AD403" s="4">
        <f t="shared" si="205"/>
        <v>0</v>
      </c>
      <c r="AE403" s="4">
        <f t="shared" si="206"/>
        <v>0</v>
      </c>
      <c r="AF403" s="4">
        <f t="shared" si="207"/>
        <v>0</v>
      </c>
      <c r="AG403" s="4">
        <f t="shared" si="208"/>
        <v>8.6125033712205621</v>
      </c>
      <c r="AH403" s="4">
        <f t="shared" si="209"/>
        <v>0</v>
      </c>
      <c r="AI403" s="4">
        <f t="shared" si="210"/>
        <v>0</v>
      </c>
      <c r="AJ403" s="4">
        <f t="shared" si="211"/>
        <v>8.6125033712205621</v>
      </c>
      <c r="AK403" s="4">
        <f t="shared" si="212"/>
        <v>5.7203117766074119</v>
      </c>
      <c r="AL403" s="4">
        <f t="shared" si="213"/>
        <v>0</v>
      </c>
      <c r="AM403" s="4">
        <f>CER!$C$7+CER!$C$8*J403+CER!$C$9*K403+CER!$C$10*L403+CER!$C$11*M403</f>
        <v>3.2483572190631627</v>
      </c>
      <c r="AN403" s="4">
        <f t="shared" si="214"/>
        <v>25.748006819945584</v>
      </c>
      <c r="AO403" s="4">
        <f t="shared" si="215"/>
        <v>0.30793040090291735</v>
      </c>
      <c r="AP403" s="4">
        <f>Alternatives!$F$25+Alternatives!$F$26*J403+Alternatives!$F$27*K403+Alternatives!$F$28*G403+Alternatives!$F$29*O403</f>
        <v>3.2003263886496232</v>
      </c>
      <c r="AQ403" s="4">
        <f t="shared" si="216"/>
        <v>0.35596123131645685</v>
      </c>
    </row>
    <row r="404" spans="1:43" x14ac:dyDescent="0.35">
      <c r="A404" s="2" t="s">
        <v>350</v>
      </c>
      <c r="B404" s="2" t="s">
        <v>283</v>
      </c>
      <c r="C404" s="2" t="s">
        <v>67</v>
      </c>
      <c r="D404" s="2">
        <v>27.481300000000001</v>
      </c>
      <c r="E404" s="2">
        <v>4500</v>
      </c>
      <c r="F404" s="2">
        <v>310</v>
      </c>
      <c r="G404" s="2">
        <v>69.900000000000006</v>
      </c>
      <c r="H404" s="2" t="s">
        <v>68</v>
      </c>
      <c r="I404" s="4">
        <f t="shared" si="186"/>
        <v>3.3135057733676616</v>
      </c>
      <c r="J404" s="4">
        <f t="shared" si="187"/>
        <v>8.4118326757584114</v>
      </c>
      <c r="K404" s="4">
        <f t="shared" si="188"/>
        <v>5.7365722974791922</v>
      </c>
      <c r="L404" s="2">
        <v>0</v>
      </c>
      <c r="M404" s="2">
        <v>0</v>
      </c>
      <c r="N404" s="4">
        <f t="shared" si="189"/>
        <v>69.900000000000006</v>
      </c>
      <c r="O404" s="4">
        <f t="shared" si="190"/>
        <v>0</v>
      </c>
      <c r="P404" s="4">
        <f t="shared" si="191"/>
        <v>0</v>
      </c>
      <c r="Q404" s="4">
        <f t="shared" si="192"/>
        <v>8.4118326757584114</v>
      </c>
      <c r="R404" s="4">
        <f t="shared" si="193"/>
        <v>5.7365722974791922</v>
      </c>
      <c r="S404" s="4">
        <f t="shared" si="194"/>
        <v>69.900000000000006</v>
      </c>
      <c r="T404" s="4">
        <f t="shared" si="195"/>
        <v>0</v>
      </c>
      <c r="U404" s="4">
        <f t="shared" si="196"/>
        <v>8.4118326757584114</v>
      </c>
      <c r="V404" s="4">
        <f t="shared" si="197"/>
        <v>5.7365722974791922</v>
      </c>
      <c r="W404" s="4">
        <f t="shared" si="198"/>
        <v>69.900000000000006</v>
      </c>
      <c r="X404" s="4">
        <f t="shared" si="199"/>
        <v>0</v>
      </c>
      <c r="Y404" s="4">
        <f t="shared" si="200"/>
        <v>8.4118326757584114</v>
      </c>
      <c r="Z404" s="4">
        <f t="shared" si="201"/>
        <v>5.7365722974791922</v>
      </c>
      <c r="AA404" s="4">
        <f t="shared" si="202"/>
        <v>69.900000000000006</v>
      </c>
      <c r="AB404" s="4">
        <f t="shared" si="203"/>
        <v>0</v>
      </c>
      <c r="AC404" s="4">
        <f t="shared" si="204"/>
        <v>0</v>
      </c>
      <c r="AD404" s="4">
        <f t="shared" si="205"/>
        <v>0</v>
      </c>
      <c r="AE404" s="4">
        <f t="shared" si="206"/>
        <v>0</v>
      </c>
      <c r="AF404" s="4">
        <f t="shared" si="207"/>
        <v>0</v>
      </c>
      <c r="AG404" s="4">
        <f t="shared" si="208"/>
        <v>8.4118326757584114</v>
      </c>
      <c r="AH404" s="4">
        <f t="shared" si="209"/>
        <v>0</v>
      </c>
      <c r="AI404" s="4">
        <f t="shared" si="210"/>
        <v>0</v>
      </c>
      <c r="AJ404" s="4">
        <f t="shared" si="211"/>
        <v>8.4118326757584114</v>
      </c>
      <c r="AK404" s="4">
        <f t="shared" si="212"/>
        <v>5.7365722974791922</v>
      </c>
      <c r="AL404" s="4">
        <f t="shared" si="213"/>
        <v>0</v>
      </c>
      <c r="AM404" s="4">
        <f>CER!$C$7+CER!$C$8*J404+CER!$C$9*K404+CER!$C$10*L404+CER!$C$11*M404</f>
        <v>3.3332034559805801</v>
      </c>
      <c r="AN404" s="4">
        <f t="shared" si="214"/>
        <v>28.027984457701727</v>
      </c>
      <c r="AO404" s="4">
        <f t="shared" si="215"/>
        <v>-1.9697682612918488E-2</v>
      </c>
      <c r="AP404" s="4">
        <f>Alternatives!$F$25+Alternatives!$F$26*J404+Alternatives!$F$27*K404+Alternatives!$F$28*G404+Alternatives!$F$29*O404</f>
        <v>3.1217338913572936</v>
      </c>
      <c r="AQ404" s="4">
        <f t="shared" si="216"/>
        <v>0.19177188201036799</v>
      </c>
    </row>
    <row r="405" spans="1:43" x14ac:dyDescent="0.35">
      <c r="A405" s="2" t="s">
        <v>350</v>
      </c>
      <c r="B405" s="2" t="s">
        <v>283</v>
      </c>
      <c r="C405" s="2" t="s">
        <v>67</v>
      </c>
      <c r="D405" s="2">
        <v>26.425799999999999</v>
      </c>
      <c r="E405" s="2">
        <v>5000</v>
      </c>
      <c r="F405" s="2">
        <v>310</v>
      </c>
      <c r="G405" s="2">
        <v>69.900000000000006</v>
      </c>
      <c r="H405" s="2" t="s">
        <v>68</v>
      </c>
      <c r="I405" s="4">
        <f t="shared" si="186"/>
        <v>3.2743408056594423</v>
      </c>
      <c r="J405" s="4">
        <f t="shared" si="187"/>
        <v>8.5171931914162382</v>
      </c>
      <c r="K405" s="4">
        <f t="shared" si="188"/>
        <v>5.7365722974791922</v>
      </c>
      <c r="L405" s="2">
        <v>0</v>
      </c>
      <c r="M405" s="2">
        <v>0</v>
      </c>
      <c r="N405" s="4">
        <f t="shared" si="189"/>
        <v>69.900000000000006</v>
      </c>
      <c r="O405" s="4">
        <f t="shared" si="190"/>
        <v>0</v>
      </c>
      <c r="P405" s="4">
        <f t="shared" si="191"/>
        <v>0</v>
      </c>
      <c r="Q405" s="4">
        <f t="shared" si="192"/>
        <v>8.5171931914162382</v>
      </c>
      <c r="R405" s="4">
        <f t="shared" si="193"/>
        <v>5.7365722974791922</v>
      </c>
      <c r="S405" s="4">
        <f t="shared" si="194"/>
        <v>69.900000000000006</v>
      </c>
      <c r="T405" s="4">
        <f t="shared" si="195"/>
        <v>0</v>
      </c>
      <c r="U405" s="4">
        <f t="shared" si="196"/>
        <v>8.5171931914162382</v>
      </c>
      <c r="V405" s="4">
        <f t="shared" si="197"/>
        <v>5.7365722974791922</v>
      </c>
      <c r="W405" s="4">
        <f t="shared" si="198"/>
        <v>69.900000000000006</v>
      </c>
      <c r="X405" s="4">
        <f t="shared" si="199"/>
        <v>0</v>
      </c>
      <c r="Y405" s="4">
        <f t="shared" si="200"/>
        <v>8.5171931914162382</v>
      </c>
      <c r="Z405" s="4">
        <f t="shared" si="201"/>
        <v>5.7365722974791922</v>
      </c>
      <c r="AA405" s="4">
        <f t="shared" si="202"/>
        <v>69.900000000000006</v>
      </c>
      <c r="AB405" s="4">
        <f t="shared" si="203"/>
        <v>0</v>
      </c>
      <c r="AC405" s="4">
        <f t="shared" si="204"/>
        <v>0</v>
      </c>
      <c r="AD405" s="4">
        <f t="shared" si="205"/>
        <v>0</v>
      </c>
      <c r="AE405" s="4">
        <f t="shared" si="206"/>
        <v>0</v>
      </c>
      <c r="AF405" s="4">
        <f t="shared" si="207"/>
        <v>0</v>
      </c>
      <c r="AG405" s="4">
        <f t="shared" si="208"/>
        <v>8.5171931914162382</v>
      </c>
      <c r="AH405" s="4">
        <f t="shared" si="209"/>
        <v>0</v>
      </c>
      <c r="AI405" s="4">
        <f t="shared" si="210"/>
        <v>0</v>
      </c>
      <c r="AJ405" s="4">
        <f t="shared" si="211"/>
        <v>8.5171931914162382</v>
      </c>
      <c r="AK405" s="4">
        <f t="shared" si="212"/>
        <v>5.7365722974791922</v>
      </c>
      <c r="AL405" s="4">
        <f t="shared" si="213"/>
        <v>0</v>
      </c>
      <c r="AM405" s="4">
        <f>CER!$C$7+CER!$C$8*J405+CER!$C$9*K405+CER!$C$10*L405+CER!$C$11*M405</f>
        <v>3.2855057896938553</v>
      </c>
      <c r="AN405" s="4">
        <f t="shared" si="214"/>
        <v>26.722496860851766</v>
      </c>
      <c r="AO405" s="4">
        <f t="shared" si="215"/>
        <v>-1.1164984034413017E-2</v>
      </c>
      <c r="AP405" s="4">
        <f>Alternatives!$F$25+Alternatives!$F$26*J405+Alternatives!$F$27*K405+Alternatives!$F$28*G405+Alternatives!$F$29*O405</f>
        <v>3.1607263408470248</v>
      </c>
      <c r="AQ405" s="4">
        <f t="shared" si="216"/>
        <v>0.11361446481241755</v>
      </c>
    </row>
    <row r="406" spans="1:43" x14ac:dyDescent="0.35">
      <c r="A406" s="2" t="s">
        <v>351</v>
      </c>
      <c r="B406" s="2" t="s">
        <v>283</v>
      </c>
      <c r="C406" s="2" t="s">
        <v>67</v>
      </c>
      <c r="D406" s="2">
        <v>16.267299999999999</v>
      </c>
      <c r="E406" s="2">
        <v>5000</v>
      </c>
      <c r="F406" s="2">
        <v>355</v>
      </c>
      <c r="G406" s="2">
        <v>69.900000000000006</v>
      </c>
      <c r="H406" s="2" t="s">
        <v>68</v>
      </c>
      <c r="I406" s="4">
        <f t="shared" si="186"/>
        <v>2.7891569578592961</v>
      </c>
      <c r="J406" s="4">
        <f t="shared" si="187"/>
        <v>8.5171931914162382</v>
      </c>
      <c r="K406" s="4">
        <f t="shared" si="188"/>
        <v>5.872117789475416</v>
      </c>
      <c r="L406" s="2">
        <v>0</v>
      </c>
      <c r="M406" s="2">
        <v>0</v>
      </c>
      <c r="N406" s="4">
        <f t="shared" si="189"/>
        <v>69.900000000000006</v>
      </c>
      <c r="O406" s="4">
        <f t="shared" si="190"/>
        <v>0</v>
      </c>
      <c r="P406" s="4">
        <f t="shared" si="191"/>
        <v>0</v>
      </c>
      <c r="Q406" s="4">
        <f t="shared" si="192"/>
        <v>8.5171931914162382</v>
      </c>
      <c r="R406" s="4">
        <f t="shared" si="193"/>
        <v>5.872117789475416</v>
      </c>
      <c r="S406" s="4">
        <f t="shared" si="194"/>
        <v>69.900000000000006</v>
      </c>
      <c r="T406" s="4">
        <f t="shared" si="195"/>
        <v>0</v>
      </c>
      <c r="U406" s="4">
        <f t="shared" si="196"/>
        <v>8.5171931914162382</v>
      </c>
      <c r="V406" s="4">
        <f t="shared" si="197"/>
        <v>5.872117789475416</v>
      </c>
      <c r="W406" s="4">
        <f t="shared" si="198"/>
        <v>69.900000000000006</v>
      </c>
      <c r="X406" s="4">
        <f t="shared" si="199"/>
        <v>0</v>
      </c>
      <c r="Y406" s="4">
        <f t="shared" si="200"/>
        <v>8.5171931914162382</v>
      </c>
      <c r="Z406" s="4">
        <f t="shared" si="201"/>
        <v>5.872117789475416</v>
      </c>
      <c r="AA406" s="4">
        <f t="shared" si="202"/>
        <v>69.900000000000006</v>
      </c>
      <c r="AB406" s="4">
        <f t="shared" si="203"/>
        <v>0</v>
      </c>
      <c r="AC406" s="4">
        <f t="shared" si="204"/>
        <v>0</v>
      </c>
      <c r="AD406" s="4">
        <f t="shared" si="205"/>
        <v>0</v>
      </c>
      <c r="AE406" s="4">
        <f t="shared" si="206"/>
        <v>0</v>
      </c>
      <c r="AF406" s="4">
        <f t="shared" si="207"/>
        <v>0</v>
      </c>
      <c r="AG406" s="4">
        <f t="shared" si="208"/>
        <v>8.5171931914162382</v>
      </c>
      <c r="AH406" s="4">
        <f t="shared" si="209"/>
        <v>0</v>
      </c>
      <c r="AI406" s="4">
        <f t="shared" si="210"/>
        <v>0</v>
      </c>
      <c r="AJ406" s="4">
        <f t="shared" si="211"/>
        <v>8.5171931914162382</v>
      </c>
      <c r="AK406" s="4">
        <f t="shared" si="212"/>
        <v>5.872117789475416</v>
      </c>
      <c r="AL406" s="4">
        <f t="shared" si="213"/>
        <v>0</v>
      </c>
      <c r="AM406" s="4">
        <f>CER!$C$7+CER!$C$8*J406+CER!$C$9*K406+CER!$C$10*L406+CER!$C$11*M406</f>
        <v>3.2354971324787853</v>
      </c>
      <c r="AN406" s="4">
        <f t="shared" si="214"/>
        <v>25.419005251422291</v>
      </c>
      <c r="AO406" s="4">
        <f t="shared" si="215"/>
        <v>-0.44634017461948927</v>
      </c>
      <c r="AP406" s="4">
        <f>Alternatives!$F$25+Alternatives!$F$26*J406+Alternatives!$F$27*K406+Alternatives!$F$28*G406+Alternatives!$F$29*O406</f>
        <v>3.1246563343215996</v>
      </c>
      <c r="AQ406" s="4">
        <f t="shared" si="216"/>
        <v>-0.33549937646230354</v>
      </c>
    </row>
    <row r="407" spans="1:43" x14ac:dyDescent="0.35">
      <c r="A407" s="2" t="s">
        <v>351</v>
      </c>
      <c r="B407" s="2" t="s">
        <v>283</v>
      </c>
      <c r="C407" s="2" t="s">
        <v>67</v>
      </c>
      <c r="D407" s="2">
        <v>21.656199999999998</v>
      </c>
      <c r="E407" s="2">
        <v>6000</v>
      </c>
      <c r="F407" s="2">
        <v>420</v>
      </c>
      <c r="G407" s="2">
        <v>69.900000000000006</v>
      </c>
      <c r="H407" s="2" t="s">
        <v>68</v>
      </c>
      <c r="I407" s="4">
        <f t="shared" si="186"/>
        <v>3.0752917875852024</v>
      </c>
      <c r="J407" s="4">
        <f t="shared" si="187"/>
        <v>8.6995147482101913</v>
      </c>
      <c r="K407" s="4">
        <f t="shared" si="188"/>
        <v>6.0402547112774139</v>
      </c>
      <c r="L407" s="2">
        <v>0</v>
      </c>
      <c r="M407" s="2">
        <v>0</v>
      </c>
      <c r="N407" s="4">
        <f t="shared" si="189"/>
        <v>69.900000000000006</v>
      </c>
      <c r="O407" s="4">
        <f t="shared" si="190"/>
        <v>0</v>
      </c>
      <c r="P407" s="4">
        <f t="shared" si="191"/>
        <v>0</v>
      </c>
      <c r="Q407" s="4">
        <f t="shared" si="192"/>
        <v>8.6995147482101913</v>
      </c>
      <c r="R407" s="4">
        <f t="shared" si="193"/>
        <v>6.0402547112774139</v>
      </c>
      <c r="S407" s="4">
        <f t="shared" si="194"/>
        <v>69.900000000000006</v>
      </c>
      <c r="T407" s="4">
        <f t="shared" si="195"/>
        <v>0</v>
      </c>
      <c r="U407" s="4">
        <f t="shared" si="196"/>
        <v>8.6995147482101913</v>
      </c>
      <c r="V407" s="4">
        <f t="shared" si="197"/>
        <v>6.0402547112774139</v>
      </c>
      <c r="W407" s="4">
        <f t="shared" si="198"/>
        <v>69.900000000000006</v>
      </c>
      <c r="X407" s="4">
        <f t="shared" si="199"/>
        <v>0</v>
      </c>
      <c r="Y407" s="4">
        <f t="shared" si="200"/>
        <v>8.6995147482101913</v>
      </c>
      <c r="Z407" s="4">
        <f t="shared" si="201"/>
        <v>6.0402547112774139</v>
      </c>
      <c r="AA407" s="4">
        <f t="shared" si="202"/>
        <v>69.900000000000006</v>
      </c>
      <c r="AB407" s="4">
        <f t="shared" si="203"/>
        <v>0</v>
      </c>
      <c r="AC407" s="4">
        <f t="shared" si="204"/>
        <v>0</v>
      </c>
      <c r="AD407" s="4">
        <f t="shared" si="205"/>
        <v>0</v>
      </c>
      <c r="AE407" s="4">
        <f t="shared" si="206"/>
        <v>0</v>
      </c>
      <c r="AF407" s="4">
        <f t="shared" si="207"/>
        <v>0</v>
      </c>
      <c r="AG407" s="4">
        <f t="shared" si="208"/>
        <v>8.6995147482101913</v>
      </c>
      <c r="AH407" s="4">
        <f t="shared" si="209"/>
        <v>0</v>
      </c>
      <c r="AI407" s="4">
        <f t="shared" si="210"/>
        <v>0</v>
      </c>
      <c r="AJ407" s="4">
        <f t="shared" si="211"/>
        <v>8.6995147482101913</v>
      </c>
      <c r="AK407" s="4">
        <f t="shared" si="212"/>
        <v>6.0402547112774139</v>
      </c>
      <c r="AL407" s="4">
        <f t="shared" si="213"/>
        <v>0</v>
      </c>
      <c r="AM407" s="4">
        <f>CER!$C$7+CER!$C$8*J407+CER!$C$9*K407+CER!$C$10*L407+CER!$C$11*M407</f>
        <v>3.0909254406460165</v>
      </c>
      <c r="AN407" s="4">
        <f t="shared" si="214"/>
        <v>21.997425870935263</v>
      </c>
      <c r="AO407" s="4">
        <f t="shared" si="215"/>
        <v>-1.5633653060814101E-2</v>
      </c>
      <c r="AP407" s="4">
        <f>Alternatives!$F$25+Alternatives!$F$26*J407+Alternatives!$F$27*K407+Alternatives!$F$28*G407+Alternatives!$F$29*O407</f>
        <v>3.1473880751301664</v>
      </c>
      <c r="AQ407" s="4">
        <f t="shared" si="216"/>
        <v>-7.2096287544963999E-2</v>
      </c>
    </row>
    <row r="408" spans="1:43" x14ac:dyDescent="0.35">
      <c r="A408" s="2" t="s">
        <v>351</v>
      </c>
      <c r="B408" s="2" t="s">
        <v>283</v>
      </c>
      <c r="C408" s="2" t="s">
        <v>67</v>
      </c>
      <c r="D408" s="2">
        <v>22.6509</v>
      </c>
      <c r="E408" s="2">
        <v>5500</v>
      </c>
      <c r="F408" s="2">
        <v>355</v>
      </c>
      <c r="G408" s="2">
        <v>69.900000000000006</v>
      </c>
      <c r="H408" s="2" t="s">
        <v>68</v>
      </c>
      <c r="I408" s="4">
        <f t="shared" si="186"/>
        <v>3.1201995862389627</v>
      </c>
      <c r="J408" s="4">
        <f t="shared" si="187"/>
        <v>8.6125033712205621</v>
      </c>
      <c r="K408" s="4">
        <f t="shared" si="188"/>
        <v>5.872117789475416</v>
      </c>
      <c r="L408" s="2">
        <v>0</v>
      </c>
      <c r="M408" s="2">
        <v>0</v>
      </c>
      <c r="N408" s="4">
        <f t="shared" si="189"/>
        <v>69.900000000000006</v>
      </c>
      <c r="O408" s="4">
        <f t="shared" si="190"/>
        <v>0</v>
      </c>
      <c r="P408" s="4">
        <f t="shared" si="191"/>
        <v>0</v>
      </c>
      <c r="Q408" s="4">
        <f t="shared" si="192"/>
        <v>8.6125033712205621</v>
      </c>
      <c r="R408" s="4">
        <f t="shared" si="193"/>
        <v>5.872117789475416</v>
      </c>
      <c r="S408" s="4">
        <f t="shared" si="194"/>
        <v>69.900000000000006</v>
      </c>
      <c r="T408" s="4">
        <f t="shared" si="195"/>
        <v>0</v>
      </c>
      <c r="U408" s="4">
        <f t="shared" si="196"/>
        <v>8.6125033712205621</v>
      </c>
      <c r="V408" s="4">
        <f t="shared" si="197"/>
        <v>5.872117789475416</v>
      </c>
      <c r="W408" s="4">
        <f t="shared" si="198"/>
        <v>69.900000000000006</v>
      </c>
      <c r="X408" s="4">
        <f t="shared" si="199"/>
        <v>0</v>
      </c>
      <c r="Y408" s="4">
        <f t="shared" si="200"/>
        <v>8.6125033712205621</v>
      </c>
      <c r="Z408" s="4">
        <f t="shared" si="201"/>
        <v>5.872117789475416</v>
      </c>
      <c r="AA408" s="4">
        <f t="shared" si="202"/>
        <v>69.900000000000006</v>
      </c>
      <c r="AB408" s="4">
        <f t="shared" si="203"/>
        <v>0</v>
      </c>
      <c r="AC408" s="4">
        <f t="shared" si="204"/>
        <v>0</v>
      </c>
      <c r="AD408" s="4">
        <f t="shared" si="205"/>
        <v>0</v>
      </c>
      <c r="AE408" s="4">
        <f t="shared" si="206"/>
        <v>0</v>
      </c>
      <c r="AF408" s="4">
        <f t="shared" si="207"/>
        <v>0</v>
      </c>
      <c r="AG408" s="4">
        <f t="shared" si="208"/>
        <v>8.6125033712205621</v>
      </c>
      <c r="AH408" s="4">
        <f t="shared" si="209"/>
        <v>0</v>
      </c>
      <c r="AI408" s="4">
        <f t="shared" si="210"/>
        <v>0</v>
      </c>
      <c r="AJ408" s="4">
        <f t="shared" si="211"/>
        <v>8.6125033712205621</v>
      </c>
      <c r="AK408" s="4">
        <f t="shared" si="212"/>
        <v>5.872117789475416</v>
      </c>
      <c r="AL408" s="4">
        <f t="shared" si="213"/>
        <v>0</v>
      </c>
      <c r="AM408" s="4">
        <f>CER!$C$7+CER!$C$8*J408+CER!$C$9*K408+CER!$C$10*L408+CER!$C$11*M408</f>
        <v>3.1923493448882394</v>
      </c>
      <c r="AN408" s="4">
        <f t="shared" si="214"/>
        <v>24.345556417506796</v>
      </c>
      <c r="AO408" s="4">
        <f t="shared" si="215"/>
        <v>-7.2149758649276752E-2</v>
      </c>
      <c r="AP408" s="4">
        <f>Alternatives!$F$25+Alternatives!$F$26*J408+Alternatives!$F$27*K408+Alternatives!$F$28*G408+Alternatives!$F$29*O408</f>
        <v>3.1599292954368128</v>
      </c>
      <c r="AQ408" s="4">
        <f t="shared" si="216"/>
        <v>-3.9729709197850127E-2</v>
      </c>
    </row>
    <row r="409" spans="1:43" x14ac:dyDescent="0.35">
      <c r="A409" s="2" t="s">
        <v>351</v>
      </c>
      <c r="B409" s="2" t="s">
        <v>283</v>
      </c>
      <c r="C409" s="2" t="s">
        <v>67</v>
      </c>
      <c r="D409" s="2">
        <v>23.395399999999999</v>
      </c>
      <c r="E409" s="2">
        <v>5500</v>
      </c>
      <c r="F409" s="2">
        <v>355</v>
      </c>
      <c r="G409" s="2">
        <v>69.900000000000006</v>
      </c>
      <c r="H409" s="2" t="s">
        <v>68</v>
      </c>
      <c r="I409" s="4">
        <f t="shared" si="186"/>
        <v>3.1525394218424583</v>
      </c>
      <c r="J409" s="4">
        <f t="shared" si="187"/>
        <v>8.6125033712205621</v>
      </c>
      <c r="K409" s="4">
        <f t="shared" si="188"/>
        <v>5.872117789475416</v>
      </c>
      <c r="L409" s="2">
        <v>0</v>
      </c>
      <c r="M409" s="2">
        <v>0</v>
      </c>
      <c r="N409" s="4">
        <f t="shared" si="189"/>
        <v>69.900000000000006</v>
      </c>
      <c r="O409" s="4">
        <f t="shared" si="190"/>
        <v>0</v>
      </c>
      <c r="P409" s="4">
        <f t="shared" si="191"/>
        <v>0</v>
      </c>
      <c r="Q409" s="4">
        <f t="shared" si="192"/>
        <v>8.6125033712205621</v>
      </c>
      <c r="R409" s="4">
        <f t="shared" si="193"/>
        <v>5.872117789475416</v>
      </c>
      <c r="S409" s="4">
        <f t="shared" si="194"/>
        <v>69.900000000000006</v>
      </c>
      <c r="T409" s="4">
        <f t="shared" si="195"/>
        <v>0</v>
      </c>
      <c r="U409" s="4">
        <f t="shared" si="196"/>
        <v>8.6125033712205621</v>
      </c>
      <c r="V409" s="4">
        <f t="shared" si="197"/>
        <v>5.872117789475416</v>
      </c>
      <c r="W409" s="4">
        <f t="shared" si="198"/>
        <v>69.900000000000006</v>
      </c>
      <c r="X409" s="4">
        <f t="shared" si="199"/>
        <v>0</v>
      </c>
      <c r="Y409" s="4">
        <f t="shared" si="200"/>
        <v>8.6125033712205621</v>
      </c>
      <c r="Z409" s="4">
        <f t="shared" si="201"/>
        <v>5.872117789475416</v>
      </c>
      <c r="AA409" s="4">
        <f t="shared" si="202"/>
        <v>69.900000000000006</v>
      </c>
      <c r="AB409" s="4">
        <f t="shared" si="203"/>
        <v>0</v>
      </c>
      <c r="AC409" s="4">
        <f t="shared" si="204"/>
        <v>0</v>
      </c>
      <c r="AD409" s="4">
        <f t="shared" si="205"/>
        <v>0</v>
      </c>
      <c r="AE409" s="4">
        <f t="shared" si="206"/>
        <v>0</v>
      </c>
      <c r="AF409" s="4">
        <f t="shared" si="207"/>
        <v>0</v>
      </c>
      <c r="AG409" s="4">
        <f t="shared" si="208"/>
        <v>8.6125033712205621</v>
      </c>
      <c r="AH409" s="4">
        <f t="shared" si="209"/>
        <v>0</v>
      </c>
      <c r="AI409" s="4">
        <f t="shared" si="210"/>
        <v>0</v>
      </c>
      <c r="AJ409" s="4">
        <f t="shared" si="211"/>
        <v>8.6125033712205621</v>
      </c>
      <c r="AK409" s="4">
        <f t="shared" si="212"/>
        <v>5.872117789475416</v>
      </c>
      <c r="AL409" s="4">
        <f t="shared" si="213"/>
        <v>0</v>
      </c>
      <c r="AM409" s="4">
        <f>CER!$C$7+CER!$C$8*J409+CER!$C$9*K409+CER!$C$10*L409+CER!$C$11*M409</f>
        <v>3.1923493448882394</v>
      </c>
      <c r="AN409" s="4">
        <f t="shared" si="214"/>
        <v>24.345556417506796</v>
      </c>
      <c r="AO409" s="4">
        <f t="shared" si="215"/>
        <v>-3.9809923045781126E-2</v>
      </c>
      <c r="AP409" s="4">
        <f>Alternatives!$F$25+Alternatives!$F$26*J409+Alternatives!$F$27*K409+Alternatives!$F$28*G409+Alternatives!$F$29*O409</f>
        <v>3.1599292954368128</v>
      </c>
      <c r="AQ409" s="4">
        <f t="shared" si="216"/>
        <v>-7.3898735943545013E-3</v>
      </c>
    </row>
    <row r="410" spans="1:43" x14ac:dyDescent="0.35">
      <c r="A410" s="2" t="s">
        <v>351</v>
      </c>
      <c r="B410" s="2" t="s">
        <v>283</v>
      </c>
      <c r="C410" s="2" t="s">
        <v>67</v>
      </c>
      <c r="D410" s="2">
        <v>33.589700000000001</v>
      </c>
      <c r="E410" s="2">
        <v>6000</v>
      </c>
      <c r="F410" s="2">
        <v>305</v>
      </c>
      <c r="G410" s="2">
        <v>69.900000000000006</v>
      </c>
      <c r="H410" s="2" t="s">
        <v>68</v>
      </c>
      <c r="I410" s="4">
        <f t="shared" si="186"/>
        <v>3.5142194723547853</v>
      </c>
      <c r="J410" s="4">
        <f t="shared" si="187"/>
        <v>8.6995147482101913</v>
      </c>
      <c r="K410" s="4">
        <f t="shared" si="188"/>
        <v>5.7203117766074119</v>
      </c>
      <c r="L410" s="2">
        <v>0</v>
      </c>
      <c r="M410" s="2">
        <v>0</v>
      </c>
      <c r="N410" s="4">
        <f t="shared" si="189"/>
        <v>69.900000000000006</v>
      </c>
      <c r="O410" s="4">
        <f t="shared" si="190"/>
        <v>0</v>
      </c>
      <c r="P410" s="4">
        <f t="shared" si="191"/>
        <v>0</v>
      </c>
      <c r="Q410" s="4">
        <f t="shared" si="192"/>
        <v>8.6995147482101913</v>
      </c>
      <c r="R410" s="4">
        <f t="shared" si="193"/>
        <v>5.7203117766074119</v>
      </c>
      <c r="S410" s="4">
        <f t="shared" si="194"/>
        <v>69.900000000000006</v>
      </c>
      <c r="T410" s="4">
        <f t="shared" si="195"/>
        <v>0</v>
      </c>
      <c r="U410" s="4">
        <f t="shared" si="196"/>
        <v>8.6995147482101913</v>
      </c>
      <c r="V410" s="4">
        <f t="shared" si="197"/>
        <v>5.7203117766074119</v>
      </c>
      <c r="W410" s="4">
        <f t="shared" si="198"/>
        <v>69.900000000000006</v>
      </c>
      <c r="X410" s="4">
        <f t="shared" si="199"/>
        <v>0</v>
      </c>
      <c r="Y410" s="4">
        <f t="shared" si="200"/>
        <v>8.6995147482101913</v>
      </c>
      <c r="Z410" s="4">
        <f t="shared" si="201"/>
        <v>5.7203117766074119</v>
      </c>
      <c r="AA410" s="4">
        <f t="shared" si="202"/>
        <v>69.900000000000006</v>
      </c>
      <c r="AB410" s="4">
        <f t="shared" si="203"/>
        <v>0</v>
      </c>
      <c r="AC410" s="4">
        <f t="shared" si="204"/>
        <v>0</v>
      </c>
      <c r="AD410" s="4">
        <f t="shared" si="205"/>
        <v>0</v>
      </c>
      <c r="AE410" s="4">
        <f t="shared" si="206"/>
        <v>0</v>
      </c>
      <c r="AF410" s="4">
        <f t="shared" si="207"/>
        <v>0</v>
      </c>
      <c r="AG410" s="4">
        <f t="shared" si="208"/>
        <v>8.6995147482101913</v>
      </c>
      <c r="AH410" s="4">
        <f t="shared" si="209"/>
        <v>0</v>
      </c>
      <c r="AI410" s="4">
        <f t="shared" si="210"/>
        <v>0</v>
      </c>
      <c r="AJ410" s="4">
        <f t="shared" si="211"/>
        <v>8.6995147482101913</v>
      </c>
      <c r="AK410" s="4">
        <f t="shared" si="212"/>
        <v>5.7203117766074119</v>
      </c>
      <c r="AL410" s="4">
        <f t="shared" si="213"/>
        <v>0</v>
      </c>
      <c r="AM410" s="4">
        <f>CER!$C$7+CER!$C$8*J410+CER!$C$9*K410+CER!$C$10*L410+CER!$C$11*M410</f>
        <v>3.2089663751888002</v>
      </c>
      <c r="AN410" s="4">
        <f t="shared" si="214"/>
        <v>24.753487178450847</v>
      </c>
      <c r="AO410" s="4">
        <f t="shared" si="215"/>
        <v>0.30525309716598503</v>
      </c>
      <c r="AP410" s="4">
        <f>Alternatives!$F$25+Alternatives!$F$26*J410+Alternatives!$F$27*K410+Alternatives!$F$28*G410+Alternatives!$F$29*O410</f>
        <v>3.2325280792081497</v>
      </c>
      <c r="AQ410" s="4">
        <f t="shared" si="216"/>
        <v>0.2816913931466356</v>
      </c>
    </row>
    <row r="411" spans="1:43" x14ac:dyDescent="0.35">
      <c r="A411" s="2" t="s">
        <v>351</v>
      </c>
      <c r="B411" s="2" t="s">
        <v>283</v>
      </c>
      <c r="C411" s="2" t="s">
        <v>67</v>
      </c>
      <c r="D411" s="2">
        <v>24.452100000000002</v>
      </c>
      <c r="E411" s="2">
        <v>5500</v>
      </c>
      <c r="F411" s="2">
        <v>310</v>
      </c>
      <c r="G411" s="2">
        <v>69.900000000000006</v>
      </c>
      <c r="H411" s="2" t="s">
        <v>68</v>
      </c>
      <c r="I411" s="4">
        <f t="shared" si="186"/>
        <v>3.1967161018031351</v>
      </c>
      <c r="J411" s="4">
        <f t="shared" si="187"/>
        <v>8.6125033712205621</v>
      </c>
      <c r="K411" s="4">
        <f t="shared" si="188"/>
        <v>5.7365722974791922</v>
      </c>
      <c r="L411" s="2">
        <v>0</v>
      </c>
      <c r="M411" s="2">
        <v>0</v>
      </c>
      <c r="N411" s="4">
        <f t="shared" si="189"/>
        <v>69.900000000000006</v>
      </c>
      <c r="O411" s="4">
        <f t="shared" si="190"/>
        <v>0</v>
      </c>
      <c r="P411" s="4">
        <f t="shared" si="191"/>
        <v>0</v>
      </c>
      <c r="Q411" s="4">
        <f t="shared" si="192"/>
        <v>8.6125033712205621</v>
      </c>
      <c r="R411" s="4">
        <f t="shared" si="193"/>
        <v>5.7365722974791922</v>
      </c>
      <c r="S411" s="4">
        <f t="shared" si="194"/>
        <v>69.900000000000006</v>
      </c>
      <c r="T411" s="4">
        <f t="shared" si="195"/>
        <v>0</v>
      </c>
      <c r="U411" s="4">
        <f t="shared" si="196"/>
        <v>8.6125033712205621</v>
      </c>
      <c r="V411" s="4">
        <f t="shared" si="197"/>
        <v>5.7365722974791922</v>
      </c>
      <c r="W411" s="4">
        <f t="shared" si="198"/>
        <v>69.900000000000006</v>
      </c>
      <c r="X411" s="4">
        <f t="shared" si="199"/>
        <v>0</v>
      </c>
      <c r="Y411" s="4">
        <f t="shared" si="200"/>
        <v>8.6125033712205621</v>
      </c>
      <c r="Z411" s="4">
        <f t="shared" si="201"/>
        <v>5.7365722974791922</v>
      </c>
      <c r="AA411" s="4">
        <f t="shared" si="202"/>
        <v>69.900000000000006</v>
      </c>
      <c r="AB411" s="4">
        <f t="shared" si="203"/>
        <v>0</v>
      </c>
      <c r="AC411" s="4">
        <f t="shared" si="204"/>
        <v>0</v>
      </c>
      <c r="AD411" s="4">
        <f t="shared" si="205"/>
        <v>0</v>
      </c>
      <c r="AE411" s="4">
        <f t="shared" si="206"/>
        <v>0</v>
      </c>
      <c r="AF411" s="4">
        <f t="shared" si="207"/>
        <v>0</v>
      </c>
      <c r="AG411" s="4">
        <f t="shared" si="208"/>
        <v>8.6125033712205621</v>
      </c>
      <c r="AH411" s="4">
        <f t="shared" si="209"/>
        <v>0</v>
      </c>
      <c r="AI411" s="4">
        <f t="shared" si="210"/>
        <v>0</v>
      </c>
      <c r="AJ411" s="4">
        <f t="shared" si="211"/>
        <v>8.6125033712205621</v>
      </c>
      <c r="AK411" s="4">
        <f t="shared" si="212"/>
        <v>5.7365722974791922</v>
      </c>
      <c r="AL411" s="4">
        <f t="shared" si="213"/>
        <v>0</v>
      </c>
      <c r="AM411" s="4">
        <f>CER!$C$7+CER!$C$8*J411+CER!$C$9*K411+CER!$C$10*L411+CER!$C$11*M411</f>
        <v>3.2423580021033094</v>
      </c>
      <c r="AN411" s="4">
        <f t="shared" si="214"/>
        <v>25.59400135873188</v>
      </c>
      <c r="AO411" s="4">
        <f t="shared" si="215"/>
        <v>-4.5641900300174232E-2</v>
      </c>
      <c r="AP411" s="4">
        <f>Alternatives!$F$25+Alternatives!$F$26*J411+Alternatives!$F$27*K411+Alternatives!$F$28*G411+Alternatives!$F$29*O411</f>
        <v>3.1959993019622379</v>
      </c>
      <c r="AQ411" s="4">
        <f t="shared" si="216"/>
        <v>7.1679984089723092E-4</v>
      </c>
    </row>
    <row r="412" spans="1:43" x14ac:dyDescent="0.35">
      <c r="A412" s="2" t="s">
        <v>351</v>
      </c>
      <c r="B412" s="2" t="s">
        <v>283</v>
      </c>
      <c r="C412" s="2" t="s">
        <v>67</v>
      </c>
      <c r="D412" s="2">
        <v>25.225100000000001</v>
      </c>
      <c r="E412" s="2">
        <v>5000</v>
      </c>
      <c r="F412" s="2">
        <v>310</v>
      </c>
      <c r="G412" s="2">
        <v>69.900000000000006</v>
      </c>
      <c r="H412" s="2" t="s">
        <v>68</v>
      </c>
      <c r="I412" s="4">
        <f t="shared" si="186"/>
        <v>3.2278395305529246</v>
      </c>
      <c r="J412" s="4">
        <f t="shared" si="187"/>
        <v>8.5171931914162382</v>
      </c>
      <c r="K412" s="4">
        <f t="shared" si="188"/>
        <v>5.7365722974791922</v>
      </c>
      <c r="L412" s="2">
        <v>0</v>
      </c>
      <c r="M412" s="2">
        <v>0</v>
      </c>
      <c r="N412" s="4">
        <f t="shared" si="189"/>
        <v>69.900000000000006</v>
      </c>
      <c r="O412" s="4">
        <f t="shared" si="190"/>
        <v>0</v>
      </c>
      <c r="P412" s="4">
        <f t="shared" si="191"/>
        <v>0</v>
      </c>
      <c r="Q412" s="4">
        <f t="shared" si="192"/>
        <v>8.5171931914162382</v>
      </c>
      <c r="R412" s="4">
        <f t="shared" si="193"/>
        <v>5.7365722974791922</v>
      </c>
      <c r="S412" s="4">
        <f t="shared" si="194"/>
        <v>69.900000000000006</v>
      </c>
      <c r="T412" s="4">
        <f t="shared" si="195"/>
        <v>0</v>
      </c>
      <c r="U412" s="4">
        <f t="shared" si="196"/>
        <v>8.5171931914162382</v>
      </c>
      <c r="V412" s="4">
        <f t="shared" si="197"/>
        <v>5.7365722974791922</v>
      </c>
      <c r="W412" s="4">
        <f t="shared" si="198"/>
        <v>69.900000000000006</v>
      </c>
      <c r="X412" s="4">
        <f t="shared" si="199"/>
        <v>0</v>
      </c>
      <c r="Y412" s="4">
        <f t="shared" si="200"/>
        <v>8.5171931914162382</v>
      </c>
      <c r="Z412" s="4">
        <f t="shared" si="201"/>
        <v>5.7365722974791922</v>
      </c>
      <c r="AA412" s="4">
        <f t="shared" si="202"/>
        <v>69.900000000000006</v>
      </c>
      <c r="AB412" s="4">
        <f t="shared" si="203"/>
        <v>0</v>
      </c>
      <c r="AC412" s="4">
        <f t="shared" si="204"/>
        <v>0</v>
      </c>
      <c r="AD412" s="4">
        <f t="shared" si="205"/>
        <v>0</v>
      </c>
      <c r="AE412" s="4">
        <f t="shared" si="206"/>
        <v>0</v>
      </c>
      <c r="AF412" s="4">
        <f t="shared" si="207"/>
        <v>0</v>
      </c>
      <c r="AG412" s="4">
        <f t="shared" si="208"/>
        <v>8.5171931914162382</v>
      </c>
      <c r="AH412" s="4">
        <f t="shared" si="209"/>
        <v>0</v>
      </c>
      <c r="AI412" s="4">
        <f t="shared" si="210"/>
        <v>0</v>
      </c>
      <c r="AJ412" s="4">
        <f t="shared" si="211"/>
        <v>8.5171931914162382</v>
      </c>
      <c r="AK412" s="4">
        <f t="shared" si="212"/>
        <v>5.7365722974791922</v>
      </c>
      <c r="AL412" s="4">
        <f t="shared" si="213"/>
        <v>0</v>
      </c>
      <c r="AM412" s="4">
        <f>CER!$C$7+CER!$C$8*J412+CER!$C$9*K412+CER!$C$10*L412+CER!$C$11*M412</f>
        <v>3.2855057896938553</v>
      </c>
      <c r="AN412" s="4">
        <f t="shared" si="214"/>
        <v>26.722496860851766</v>
      </c>
      <c r="AO412" s="4">
        <f t="shared" si="215"/>
        <v>-5.7666259140930709E-2</v>
      </c>
      <c r="AP412" s="4">
        <f>Alternatives!$F$25+Alternatives!$F$26*J412+Alternatives!$F$27*K412+Alternatives!$F$28*G412+Alternatives!$F$29*O412</f>
        <v>3.1607263408470248</v>
      </c>
      <c r="AQ412" s="4">
        <f t="shared" si="216"/>
        <v>6.7113189705899856E-2</v>
      </c>
    </row>
    <row r="413" spans="1:43" x14ac:dyDescent="0.35">
      <c r="A413" s="2" t="s">
        <v>352</v>
      </c>
      <c r="B413" s="2" t="s">
        <v>283</v>
      </c>
      <c r="C413" s="2" t="s">
        <v>67</v>
      </c>
      <c r="D413" s="2">
        <v>20.7059</v>
      </c>
      <c r="E413" s="2">
        <v>5500</v>
      </c>
      <c r="F413" s="2">
        <v>355</v>
      </c>
      <c r="G413" s="2">
        <v>66.5</v>
      </c>
      <c r="H413" s="2" t="s">
        <v>68</v>
      </c>
      <c r="I413" s="4">
        <f t="shared" si="186"/>
        <v>3.0304186838142453</v>
      </c>
      <c r="J413" s="4">
        <f t="shared" si="187"/>
        <v>8.6125033712205621</v>
      </c>
      <c r="K413" s="4">
        <f t="shared" si="188"/>
        <v>5.872117789475416</v>
      </c>
      <c r="L413" s="2">
        <v>0</v>
      </c>
      <c r="M413" s="2">
        <v>0</v>
      </c>
      <c r="N413" s="4">
        <f t="shared" si="189"/>
        <v>66.5</v>
      </c>
      <c r="O413" s="4">
        <f t="shared" si="190"/>
        <v>0</v>
      </c>
      <c r="P413" s="4">
        <f t="shared" si="191"/>
        <v>0</v>
      </c>
      <c r="Q413" s="4">
        <f t="shared" si="192"/>
        <v>8.6125033712205621</v>
      </c>
      <c r="R413" s="4">
        <f t="shared" si="193"/>
        <v>5.872117789475416</v>
      </c>
      <c r="S413" s="4">
        <f t="shared" si="194"/>
        <v>66.5</v>
      </c>
      <c r="T413" s="4">
        <f t="shared" si="195"/>
        <v>0</v>
      </c>
      <c r="U413" s="4">
        <f t="shared" si="196"/>
        <v>8.6125033712205621</v>
      </c>
      <c r="V413" s="4">
        <f t="shared" si="197"/>
        <v>5.872117789475416</v>
      </c>
      <c r="W413" s="4">
        <f t="shared" si="198"/>
        <v>66.5</v>
      </c>
      <c r="X413" s="4">
        <f t="shared" si="199"/>
        <v>0</v>
      </c>
      <c r="Y413" s="4">
        <f t="shared" si="200"/>
        <v>8.6125033712205621</v>
      </c>
      <c r="Z413" s="4">
        <f t="shared" si="201"/>
        <v>5.872117789475416</v>
      </c>
      <c r="AA413" s="4">
        <f t="shared" si="202"/>
        <v>66.5</v>
      </c>
      <c r="AB413" s="4">
        <f t="shared" si="203"/>
        <v>0</v>
      </c>
      <c r="AC413" s="4">
        <f t="shared" si="204"/>
        <v>0</v>
      </c>
      <c r="AD413" s="4">
        <f t="shared" si="205"/>
        <v>0</v>
      </c>
      <c r="AE413" s="4">
        <f t="shared" si="206"/>
        <v>0</v>
      </c>
      <c r="AF413" s="4">
        <f t="shared" si="207"/>
        <v>0</v>
      </c>
      <c r="AG413" s="4">
        <f t="shared" si="208"/>
        <v>8.6125033712205621</v>
      </c>
      <c r="AH413" s="4">
        <f t="shared" si="209"/>
        <v>0</v>
      </c>
      <c r="AI413" s="4">
        <f t="shared" si="210"/>
        <v>0</v>
      </c>
      <c r="AJ413" s="4">
        <f t="shared" si="211"/>
        <v>8.6125033712205621</v>
      </c>
      <c r="AK413" s="4">
        <f t="shared" si="212"/>
        <v>5.872117789475416</v>
      </c>
      <c r="AL413" s="4">
        <f t="shared" si="213"/>
        <v>0</v>
      </c>
      <c r="AM413" s="4">
        <f>CER!$C$7+CER!$C$8*J413+CER!$C$9*K413+CER!$C$10*L413+CER!$C$11*M413</f>
        <v>3.1923493448882394</v>
      </c>
      <c r="AN413" s="4">
        <f t="shared" si="214"/>
        <v>24.345556417506796</v>
      </c>
      <c r="AO413" s="4">
        <f t="shared" si="215"/>
        <v>-0.16193066107399412</v>
      </c>
      <c r="AP413" s="4">
        <f>Alternatives!$F$25+Alternatives!$F$26*J413+Alternatives!$F$27*K413+Alternatives!$F$28*G413+Alternatives!$F$29*O413</f>
        <v>3.2041541648803888</v>
      </c>
      <c r="AQ413" s="4">
        <f t="shared" si="216"/>
        <v>-0.17373548106614356</v>
      </c>
    </row>
    <row r="414" spans="1:43" x14ac:dyDescent="0.35">
      <c r="A414" s="2" t="s">
        <v>353</v>
      </c>
      <c r="B414" s="2" t="s">
        <v>283</v>
      </c>
      <c r="C414" s="2" t="s">
        <v>67</v>
      </c>
      <c r="D414" s="2">
        <v>36.974200000000003</v>
      </c>
      <c r="E414" s="2">
        <v>3500</v>
      </c>
      <c r="F414" s="2">
        <v>175</v>
      </c>
      <c r="G414" s="2">
        <v>46.5</v>
      </c>
      <c r="H414" s="2" t="s">
        <v>68</v>
      </c>
      <c r="I414" s="4">
        <f t="shared" si="186"/>
        <v>3.6102203721220936</v>
      </c>
      <c r="J414" s="4">
        <f t="shared" si="187"/>
        <v>8.1605182474775049</v>
      </c>
      <c r="K414" s="4">
        <f t="shared" si="188"/>
        <v>5.1647859739235145</v>
      </c>
      <c r="L414" s="2">
        <v>0</v>
      </c>
      <c r="M414" s="2">
        <v>0</v>
      </c>
      <c r="N414" s="4">
        <f t="shared" si="189"/>
        <v>46.5</v>
      </c>
      <c r="O414" s="4">
        <f t="shared" si="190"/>
        <v>0</v>
      </c>
      <c r="P414" s="4">
        <f t="shared" si="191"/>
        <v>0</v>
      </c>
      <c r="Q414" s="4">
        <f t="shared" si="192"/>
        <v>8.1605182474775049</v>
      </c>
      <c r="R414" s="4">
        <f t="shared" si="193"/>
        <v>5.1647859739235145</v>
      </c>
      <c r="S414" s="4">
        <f t="shared" si="194"/>
        <v>46.5</v>
      </c>
      <c r="T414" s="4">
        <f t="shared" si="195"/>
        <v>0</v>
      </c>
      <c r="U414" s="4">
        <f t="shared" si="196"/>
        <v>8.1605182474775049</v>
      </c>
      <c r="V414" s="4">
        <f t="shared" si="197"/>
        <v>5.1647859739235145</v>
      </c>
      <c r="W414" s="4">
        <f t="shared" si="198"/>
        <v>46.5</v>
      </c>
      <c r="X414" s="4">
        <f t="shared" si="199"/>
        <v>0</v>
      </c>
      <c r="Y414" s="4">
        <f t="shared" si="200"/>
        <v>8.1605182474775049</v>
      </c>
      <c r="Z414" s="4">
        <f t="shared" si="201"/>
        <v>5.1647859739235145</v>
      </c>
      <c r="AA414" s="4">
        <f t="shared" si="202"/>
        <v>46.5</v>
      </c>
      <c r="AB414" s="4">
        <f t="shared" si="203"/>
        <v>0</v>
      </c>
      <c r="AC414" s="4">
        <f t="shared" si="204"/>
        <v>0</v>
      </c>
      <c r="AD414" s="4">
        <f t="shared" si="205"/>
        <v>0</v>
      </c>
      <c r="AE414" s="4">
        <f t="shared" si="206"/>
        <v>0</v>
      </c>
      <c r="AF414" s="4">
        <f t="shared" si="207"/>
        <v>0</v>
      </c>
      <c r="AG414" s="4">
        <f t="shared" si="208"/>
        <v>8.1605182474775049</v>
      </c>
      <c r="AH414" s="4">
        <f t="shared" si="209"/>
        <v>0</v>
      </c>
      <c r="AI414" s="4">
        <f t="shared" si="210"/>
        <v>0</v>
      </c>
      <c r="AJ414" s="4">
        <f t="shared" si="211"/>
        <v>8.1605182474775049</v>
      </c>
      <c r="AK414" s="4">
        <f t="shared" si="212"/>
        <v>5.1647859739235145</v>
      </c>
      <c r="AL414" s="4">
        <f t="shared" si="213"/>
        <v>0</v>
      </c>
      <c r="AM414" s="4">
        <f>CER!$C$7+CER!$C$8*J414+CER!$C$9*K414+CER!$C$10*L414+CER!$C$11*M414</f>
        <v>3.6579327593079851</v>
      </c>
      <c r="AN414" s="4">
        <f t="shared" si="214"/>
        <v>38.781090101478156</v>
      </c>
      <c r="AO414" s="4">
        <f t="shared" si="215"/>
        <v>-4.7712387185891547E-2</v>
      </c>
      <c r="AP414" s="4">
        <f>Alternatives!$F$25+Alternatives!$F$26*J414+Alternatives!$F$27*K414+Alternatives!$F$28*G414+Alternatives!$F$29*O414</f>
        <v>3.4852551458585528</v>
      </c>
      <c r="AQ414" s="4">
        <f t="shared" si="216"/>
        <v>0.12496522626354079</v>
      </c>
    </row>
    <row r="415" spans="1:43" x14ac:dyDescent="0.35">
      <c r="A415" s="2" t="s">
        <v>354</v>
      </c>
      <c r="B415" s="2" t="s">
        <v>283</v>
      </c>
      <c r="C415" s="2" t="s">
        <v>67</v>
      </c>
      <c r="D415" s="2">
        <v>16.267299999999999</v>
      </c>
      <c r="E415" s="2">
        <v>5500</v>
      </c>
      <c r="F415" s="2">
        <v>355</v>
      </c>
      <c r="G415" s="2">
        <v>70.099999999999994</v>
      </c>
      <c r="H415" s="2" t="s">
        <v>68</v>
      </c>
      <c r="I415" s="4">
        <f t="shared" si="186"/>
        <v>2.7891569578592961</v>
      </c>
      <c r="J415" s="4">
        <f t="shared" si="187"/>
        <v>8.6125033712205621</v>
      </c>
      <c r="K415" s="4">
        <f t="shared" si="188"/>
        <v>5.872117789475416</v>
      </c>
      <c r="L415" s="2">
        <v>0</v>
      </c>
      <c r="M415" s="2">
        <v>0</v>
      </c>
      <c r="N415" s="4">
        <f t="shared" si="189"/>
        <v>70.099999999999994</v>
      </c>
      <c r="O415" s="4">
        <f t="shared" si="190"/>
        <v>0</v>
      </c>
      <c r="P415" s="4">
        <f t="shared" si="191"/>
        <v>0</v>
      </c>
      <c r="Q415" s="4">
        <f t="shared" si="192"/>
        <v>8.6125033712205621</v>
      </c>
      <c r="R415" s="4">
        <f t="shared" si="193"/>
        <v>5.872117789475416</v>
      </c>
      <c r="S415" s="4">
        <f t="shared" si="194"/>
        <v>70.099999999999994</v>
      </c>
      <c r="T415" s="4">
        <f t="shared" si="195"/>
        <v>0</v>
      </c>
      <c r="U415" s="4">
        <f t="shared" si="196"/>
        <v>8.6125033712205621</v>
      </c>
      <c r="V415" s="4">
        <f t="shared" si="197"/>
        <v>5.872117789475416</v>
      </c>
      <c r="W415" s="4">
        <f t="shared" si="198"/>
        <v>70.099999999999994</v>
      </c>
      <c r="X415" s="4">
        <f t="shared" si="199"/>
        <v>0</v>
      </c>
      <c r="Y415" s="4">
        <f t="shared" si="200"/>
        <v>8.6125033712205621</v>
      </c>
      <c r="Z415" s="4">
        <f t="shared" si="201"/>
        <v>5.872117789475416</v>
      </c>
      <c r="AA415" s="4">
        <f t="shared" si="202"/>
        <v>70.099999999999994</v>
      </c>
      <c r="AB415" s="4">
        <f t="shared" si="203"/>
        <v>0</v>
      </c>
      <c r="AC415" s="4">
        <f t="shared" si="204"/>
        <v>0</v>
      </c>
      <c r="AD415" s="4">
        <f t="shared" si="205"/>
        <v>0</v>
      </c>
      <c r="AE415" s="4">
        <f t="shared" si="206"/>
        <v>0</v>
      </c>
      <c r="AF415" s="4">
        <f t="shared" si="207"/>
        <v>0</v>
      </c>
      <c r="AG415" s="4">
        <f t="shared" si="208"/>
        <v>8.6125033712205621</v>
      </c>
      <c r="AH415" s="4">
        <f t="shared" si="209"/>
        <v>0</v>
      </c>
      <c r="AI415" s="4">
        <f t="shared" si="210"/>
        <v>0</v>
      </c>
      <c r="AJ415" s="4">
        <f t="shared" si="211"/>
        <v>8.6125033712205621</v>
      </c>
      <c r="AK415" s="4">
        <f t="shared" si="212"/>
        <v>5.872117789475416</v>
      </c>
      <c r="AL415" s="4">
        <f t="shared" si="213"/>
        <v>0</v>
      </c>
      <c r="AM415" s="4">
        <f>CER!$C$7+CER!$C$8*J415+CER!$C$9*K415+CER!$C$10*L415+CER!$C$11*M415</f>
        <v>3.1923493448882394</v>
      </c>
      <c r="AN415" s="4">
        <f t="shared" si="214"/>
        <v>24.345556417506796</v>
      </c>
      <c r="AO415" s="4">
        <f t="shared" si="215"/>
        <v>-0.40319238702894333</v>
      </c>
      <c r="AP415" s="4">
        <f>Alternatives!$F$25+Alternatives!$F$26*J415+Alternatives!$F$27*K415+Alternatives!$F$28*G415+Alternatives!$F$29*O415</f>
        <v>3.1573278325283671</v>
      </c>
      <c r="AQ415" s="4">
        <f t="shared" si="216"/>
        <v>-0.36817087466907106</v>
      </c>
    </row>
    <row r="416" spans="1:43" x14ac:dyDescent="0.35">
      <c r="A416" s="2" t="s">
        <v>354</v>
      </c>
      <c r="B416" s="2" t="s">
        <v>283</v>
      </c>
      <c r="C416" s="2" t="s">
        <v>67</v>
      </c>
      <c r="D416" s="2">
        <v>19.727900000000002</v>
      </c>
      <c r="E416" s="2">
        <v>6000</v>
      </c>
      <c r="F416" s="2">
        <v>420</v>
      </c>
      <c r="G416" s="2">
        <v>70.099999999999994</v>
      </c>
      <c r="H416" s="2" t="s">
        <v>68</v>
      </c>
      <c r="I416" s="4">
        <f t="shared" si="186"/>
        <v>2.9820338774715909</v>
      </c>
      <c r="J416" s="4">
        <f t="shared" si="187"/>
        <v>8.6995147482101913</v>
      </c>
      <c r="K416" s="4">
        <f t="shared" si="188"/>
        <v>6.0402547112774139</v>
      </c>
      <c r="L416" s="2">
        <v>0</v>
      </c>
      <c r="M416" s="2">
        <v>0</v>
      </c>
      <c r="N416" s="4">
        <f t="shared" si="189"/>
        <v>70.099999999999994</v>
      </c>
      <c r="O416" s="4">
        <f t="shared" si="190"/>
        <v>0</v>
      </c>
      <c r="P416" s="4">
        <f t="shared" si="191"/>
        <v>0</v>
      </c>
      <c r="Q416" s="4">
        <f t="shared" si="192"/>
        <v>8.6995147482101913</v>
      </c>
      <c r="R416" s="4">
        <f t="shared" si="193"/>
        <v>6.0402547112774139</v>
      </c>
      <c r="S416" s="4">
        <f t="shared" si="194"/>
        <v>70.099999999999994</v>
      </c>
      <c r="T416" s="4">
        <f t="shared" si="195"/>
        <v>0</v>
      </c>
      <c r="U416" s="4">
        <f t="shared" si="196"/>
        <v>8.6995147482101913</v>
      </c>
      <c r="V416" s="4">
        <f t="shared" si="197"/>
        <v>6.0402547112774139</v>
      </c>
      <c r="W416" s="4">
        <f t="shared" si="198"/>
        <v>70.099999999999994</v>
      </c>
      <c r="X416" s="4">
        <f t="shared" si="199"/>
        <v>0</v>
      </c>
      <c r="Y416" s="4">
        <f t="shared" si="200"/>
        <v>8.6995147482101913</v>
      </c>
      <c r="Z416" s="4">
        <f t="shared" si="201"/>
        <v>6.0402547112774139</v>
      </c>
      <c r="AA416" s="4">
        <f t="shared" si="202"/>
        <v>70.099999999999994</v>
      </c>
      <c r="AB416" s="4">
        <f t="shared" si="203"/>
        <v>0</v>
      </c>
      <c r="AC416" s="4">
        <f t="shared" si="204"/>
        <v>0</v>
      </c>
      <c r="AD416" s="4">
        <f t="shared" si="205"/>
        <v>0</v>
      </c>
      <c r="AE416" s="4">
        <f t="shared" si="206"/>
        <v>0</v>
      </c>
      <c r="AF416" s="4">
        <f t="shared" si="207"/>
        <v>0</v>
      </c>
      <c r="AG416" s="4">
        <f t="shared" si="208"/>
        <v>8.6995147482101913</v>
      </c>
      <c r="AH416" s="4">
        <f t="shared" si="209"/>
        <v>0</v>
      </c>
      <c r="AI416" s="4">
        <f t="shared" si="210"/>
        <v>0</v>
      </c>
      <c r="AJ416" s="4">
        <f t="shared" si="211"/>
        <v>8.6995147482101913</v>
      </c>
      <c r="AK416" s="4">
        <f t="shared" si="212"/>
        <v>6.0402547112774139</v>
      </c>
      <c r="AL416" s="4">
        <f t="shared" si="213"/>
        <v>0</v>
      </c>
      <c r="AM416" s="4">
        <f>CER!$C$7+CER!$C$8*J416+CER!$C$9*K416+CER!$C$10*L416+CER!$C$11*M416</f>
        <v>3.0909254406460165</v>
      </c>
      <c r="AN416" s="4">
        <f t="shared" si="214"/>
        <v>21.997425870935263</v>
      </c>
      <c r="AO416" s="4">
        <f t="shared" si="215"/>
        <v>-0.10889156317442561</v>
      </c>
      <c r="AP416" s="4">
        <f>Alternatives!$F$25+Alternatives!$F$26*J416+Alternatives!$F$27*K416+Alternatives!$F$28*G416+Alternatives!$F$29*O416</f>
        <v>3.1447866122217207</v>
      </c>
      <c r="AQ416" s="4">
        <f t="shared" si="216"/>
        <v>-0.16275273475012986</v>
      </c>
    </row>
    <row r="417" spans="1:43" x14ac:dyDescent="0.35">
      <c r="A417" s="2" t="s">
        <v>354</v>
      </c>
      <c r="B417" s="2" t="s">
        <v>283</v>
      </c>
      <c r="C417" s="2" t="s">
        <v>67</v>
      </c>
      <c r="D417" s="2">
        <v>21.114000000000001</v>
      </c>
      <c r="E417" s="2">
        <v>5500</v>
      </c>
      <c r="F417" s="2">
        <v>355</v>
      </c>
      <c r="G417" s="2">
        <v>70.099999999999994</v>
      </c>
      <c r="H417" s="2" t="s">
        <v>68</v>
      </c>
      <c r="I417" s="4">
        <f t="shared" si="186"/>
        <v>3.0499363275675031</v>
      </c>
      <c r="J417" s="4">
        <f t="shared" si="187"/>
        <v>8.6125033712205621</v>
      </c>
      <c r="K417" s="4">
        <f t="shared" si="188"/>
        <v>5.872117789475416</v>
      </c>
      <c r="L417" s="2">
        <v>0</v>
      </c>
      <c r="M417" s="2">
        <v>0</v>
      </c>
      <c r="N417" s="4">
        <f t="shared" si="189"/>
        <v>70.099999999999994</v>
      </c>
      <c r="O417" s="4">
        <f t="shared" si="190"/>
        <v>0</v>
      </c>
      <c r="P417" s="4">
        <f t="shared" si="191"/>
        <v>0</v>
      </c>
      <c r="Q417" s="4">
        <f t="shared" si="192"/>
        <v>8.6125033712205621</v>
      </c>
      <c r="R417" s="4">
        <f t="shared" si="193"/>
        <v>5.872117789475416</v>
      </c>
      <c r="S417" s="4">
        <f t="shared" si="194"/>
        <v>70.099999999999994</v>
      </c>
      <c r="T417" s="4">
        <f t="shared" si="195"/>
        <v>0</v>
      </c>
      <c r="U417" s="4">
        <f t="shared" si="196"/>
        <v>8.6125033712205621</v>
      </c>
      <c r="V417" s="4">
        <f t="shared" si="197"/>
        <v>5.872117789475416</v>
      </c>
      <c r="W417" s="4">
        <f t="shared" si="198"/>
        <v>70.099999999999994</v>
      </c>
      <c r="X417" s="4">
        <f t="shared" si="199"/>
        <v>0</v>
      </c>
      <c r="Y417" s="4">
        <f t="shared" si="200"/>
        <v>8.6125033712205621</v>
      </c>
      <c r="Z417" s="4">
        <f t="shared" si="201"/>
        <v>5.872117789475416</v>
      </c>
      <c r="AA417" s="4">
        <f t="shared" si="202"/>
        <v>70.099999999999994</v>
      </c>
      <c r="AB417" s="4">
        <f t="shared" si="203"/>
        <v>0</v>
      </c>
      <c r="AC417" s="4">
        <f t="shared" si="204"/>
        <v>0</v>
      </c>
      <c r="AD417" s="4">
        <f t="shared" si="205"/>
        <v>0</v>
      </c>
      <c r="AE417" s="4">
        <f t="shared" si="206"/>
        <v>0</v>
      </c>
      <c r="AF417" s="4">
        <f t="shared" si="207"/>
        <v>0</v>
      </c>
      <c r="AG417" s="4">
        <f t="shared" si="208"/>
        <v>8.6125033712205621</v>
      </c>
      <c r="AH417" s="4">
        <f t="shared" si="209"/>
        <v>0</v>
      </c>
      <c r="AI417" s="4">
        <f t="shared" si="210"/>
        <v>0</v>
      </c>
      <c r="AJ417" s="4">
        <f t="shared" si="211"/>
        <v>8.6125033712205621</v>
      </c>
      <c r="AK417" s="4">
        <f t="shared" si="212"/>
        <v>5.872117789475416</v>
      </c>
      <c r="AL417" s="4">
        <f t="shared" si="213"/>
        <v>0</v>
      </c>
      <c r="AM417" s="4">
        <f>CER!$C$7+CER!$C$8*J417+CER!$C$9*K417+CER!$C$10*L417+CER!$C$11*M417</f>
        <v>3.1923493448882394</v>
      </c>
      <c r="AN417" s="4">
        <f t="shared" si="214"/>
        <v>24.345556417506796</v>
      </c>
      <c r="AO417" s="4">
        <f t="shared" si="215"/>
        <v>-0.1424130173207363</v>
      </c>
      <c r="AP417" s="4">
        <f>Alternatives!$F$25+Alternatives!$F$26*J417+Alternatives!$F$27*K417+Alternatives!$F$28*G417+Alternatives!$F$29*O417</f>
        <v>3.1573278325283671</v>
      </c>
      <c r="AQ417" s="4">
        <f t="shared" si="216"/>
        <v>-0.10739150496086403</v>
      </c>
    </row>
    <row r="418" spans="1:43" x14ac:dyDescent="0.35">
      <c r="A418" s="2" t="s">
        <v>354</v>
      </c>
      <c r="B418" s="2" t="s">
        <v>283</v>
      </c>
      <c r="C418" s="2" t="s">
        <v>67</v>
      </c>
      <c r="D418" s="2">
        <v>29.4499</v>
      </c>
      <c r="E418" s="2">
        <v>6000</v>
      </c>
      <c r="F418" s="2">
        <v>305</v>
      </c>
      <c r="G418" s="2">
        <v>70.099999999999994</v>
      </c>
      <c r="H418" s="2" t="s">
        <v>68</v>
      </c>
      <c r="I418" s="4">
        <f t="shared" si="186"/>
        <v>3.3826905145060921</v>
      </c>
      <c r="J418" s="4">
        <f t="shared" si="187"/>
        <v>8.6995147482101913</v>
      </c>
      <c r="K418" s="4">
        <f t="shared" si="188"/>
        <v>5.7203117766074119</v>
      </c>
      <c r="L418" s="2">
        <v>0</v>
      </c>
      <c r="M418" s="2">
        <v>0</v>
      </c>
      <c r="N418" s="4">
        <f t="shared" si="189"/>
        <v>70.099999999999994</v>
      </c>
      <c r="O418" s="4">
        <f t="shared" si="190"/>
        <v>0</v>
      </c>
      <c r="P418" s="4">
        <f t="shared" si="191"/>
        <v>0</v>
      </c>
      <c r="Q418" s="4">
        <f t="shared" si="192"/>
        <v>8.6995147482101913</v>
      </c>
      <c r="R418" s="4">
        <f t="shared" si="193"/>
        <v>5.7203117766074119</v>
      </c>
      <c r="S418" s="4">
        <f t="shared" si="194"/>
        <v>70.099999999999994</v>
      </c>
      <c r="T418" s="4">
        <f t="shared" si="195"/>
        <v>0</v>
      </c>
      <c r="U418" s="4">
        <f t="shared" si="196"/>
        <v>8.6995147482101913</v>
      </c>
      <c r="V418" s="4">
        <f t="shared" si="197"/>
        <v>5.7203117766074119</v>
      </c>
      <c r="W418" s="4">
        <f t="shared" si="198"/>
        <v>70.099999999999994</v>
      </c>
      <c r="X418" s="4">
        <f t="shared" si="199"/>
        <v>0</v>
      </c>
      <c r="Y418" s="4">
        <f t="shared" si="200"/>
        <v>8.6995147482101913</v>
      </c>
      <c r="Z418" s="4">
        <f t="shared" si="201"/>
        <v>5.7203117766074119</v>
      </c>
      <c r="AA418" s="4">
        <f t="shared" si="202"/>
        <v>70.099999999999994</v>
      </c>
      <c r="AB418" s="4">
        <f t="shared" si="203"/>
        <v>0</v>
      </c>
      <c r="AC418" s="4">
        <f t="shared" si="204"/>
        <v>0</v>
      </c>
      <c r="AD418" s="4">
        <f t="shared" si="205"/>
        <v>0</v>
      </c>
      <c r="AE418" s="4">
        <f t="shared" si="206"/>
        <v>0</v>
      </c>
      <c r="AF418" s="4">
        <f t="shared" si="207"/>
        <v>0</v>
      </c>
      <c r="AG418" s="4">
        <f t="shared" si="208"/>
        <v>8.6995147482101913</v>
      </c>
      <c r="AH418" s="4">
        <f t="shared" si="209"/>
        <v>0</v>
      </c>
      <c r="AI418" s="4">
        <f t="shared" si="210"/>
        <v>0</v>
      </c>
      <c r="AJ418" s="4">
        <f t="shared" si="211"/>
        <v>8.6995147482101913</v>
      </c>
      <c r="AK418" s="4">
        <f t="shared" si="212"/>
        <v>5.7203117766074119</v>
      </c>
      <c r="AL418" s="4">
        <f t="shared" si="213"/>
        <v>0</v>
      </c>
      <c r="AM418" s="4">
        <f>CER!$C$7+CER!$C$8*J418+CER!$C$9*K418+CER!$C$10*L418+CER!$C$11*M418</f>
        <v>3.2089663751888002</v>
      </c>
      <c r="AN418" s="4">
        <f t="shared" si="214"/>
        <v>24.753487178450847</v>
      </c>
      <c r="AO418" s="4">
        <f t="shared" si="215"/>
        <v>0.17372413931729191</v>
      </c>
      <c r="AP418" s="4">
        <f>Alternatives!$F$25+Alternatives!$F$26*J418+Alternatives!$F$27*K418+Alternatives!$F$28*G418+Alternatives!$F$29*O418</f>
        <v>3.229926616299704</v>
      </c>
      <c r="AQ418" s="4">
        <f t="shared" si="216"/>
        <v>0.15276389820638814</v>
      </c>
    </row>
    <row r="419" spans="1:43" x14ac:dyDescent="0.35">
      <c r="A419" s="2" t="s">
        <v>355</v>
      </c>
      <c r="B419" s="2" t="s">
        <v>283</v>
      </c>
      <c r="C419" s="2" t="s">
        <v>67</v>
      </c>
      <c r="D419" s="2">
        <v>20.564299999999999</v>
      </c>
      <c r="E419" s="2">
        <v>6000</v>
      </c>
      <c r="F419" s="2">
        <v>420</v>
      </c>
      <c r="G419" s="2">
        <v>70.2</v>
      </c>
      <c r="H419" s="2" t="s">
        <v>68</v>
      </c>
      <c r="I419" s="4">
        <f t="shared" si="186"/>
        <v>3.023556562688285</v>
      </c>
      <c r="J419" s="4">
        <f t="shared" si="187"/>
        <v>8.6995147482101913</v>
      </c>
      <c r="K419" s="4">
        <f t="shared" si="188"/>
        <v>6.0402547112774139</v>
      </c>
      <c r="L419" s="2">
        <v>0</v>
      </c>
      <c r="M419" s="2">
        <v>0</v>
      </c>
      <c r="N419" s="4">
        <f t="shared" si="189"/>
        <v>70.2</v>
      </c>
      <c r="O419" s="4">
        <f t="shared" si="190"/>
        <v>0</v>
      </c>
      <c r="P419" s="4">
        <f t="shared" si="191"/>
        <v>0</v>
      </c>
      <c r="Q419" s="4">
        <f t="shared" si="192"/>
        <v>8.6995147482101913</v>
      </c>
      <c r="R419" s="4">
        <f t="shared" si="193"/>
        <v>6.0402547112774139</v>
      </c>
      <c r="S419" s="4">
        <f t="shared" si="194"/>
        <v>70.2</v>
      </c>
      <c r="T419" s="4">
        <f t="shared" si="195"/>
        <v>0</v>
      </c>
      <c r="U419" s="4">
        <f t="shared" si="196"/>
        <v>8.6995147482101913</v>
      </c>
      <c r="V419" s="4">
        <f t="shared" si="197"/>
        <v>6.0402547112774139</v>
      </c>
      <c r="W419" s="4">
        <f t="shared" si="198"/>
        <v>70.2</v>
      </c>
      <c r="X419" s="4">
        <f t="shared" si="199"/>
        <v>0</v>
      </c>
      <c r="Y419" s="4">
        <f t="shared" si="200"/>
        <v>8.6995147482101913</v>
      </c>
      <c r="Z419" s="4">
        <f t="shared" si="201"/>
        <v>6.0402547112774139</v>
      </c>
      <c r="AA419" s="4">
        <f t="shared" si="202"/>
        <v>70.2</v>
      </c>
      <c r="AB419" s="4">
        <f t="shared" si="203"/>
        <v>0</v>
      </c>
      <c r="AC419" s="4">
        <f t="shared" si="204"/>
        <v>0</v>
      </c>
      <c r="AD419" s="4">
        <f t="shared" si="205"/>
        <v>0</v>
      </c>
      <c r="AE419" s="4">
        <f t="shared" si="206"/>
        <v>0</v>
      </c>
      <c r="AF419" s="4">
        <f t="shared" si="207"/>
        <v>0</v>
      </c>
      <c r="AG419" s="4">
        <f t="shared" si="208"/>
        <v>8.6995147482101913</v>
      </c>
      <c r="AH419" s="4">
        <f t="shared" si="209"/>
        <v>0</v>
      </c>
      <c r="AI419" s="4">
        <f t="shared" si="210"/>
        <v>0</v>
      </c>
      <c r="AJ419" s="4">
        <f t="shared" si="211"/>
        <v>8.6995147482101913</v>
      </c>
      <c r="AK419" s="4">
        <f t="shared" si="212"/>
        <v>6.0402547112774139</v>
      </c>
      <c r="AL419" s="4">
        <f t="shared" si="213"/>
        <v>0</v>
      </c>
      <c r="AM419" s="4">
        <f>CER!$C$7+CER!$C$8*J419+CER!$C$9*K419+CER!$C$10*L419+CER!$C$11*M419</f>
        <v>3.0909254406460165</v>
      </c>
      <c r="AN419" s="4">
        <f t="shared" si="214"/>
        <v>21.997425870935263</v>
      </c>
      <c r="AO419" s="4">
        <f t="shared" si="215"/>
        <v>-6.7368877957731499E-2</v>
      </c>
      <c r="AP419" s="4">
        <f>Alternatives!$F$25+Alternatives!$F$26*J419+Alternatives!$F$27*K419+Alternatives!$F$28*G419+Alternatives!$F$29*O419</f>
        <v>3.1434858807674977</v>
      </c>
      <c r="AQ419" s="4">
        <f t="shared" si="216"/>
        <v>-0.1199293180792127</v>
      </c>
    </row>
    <row r="420" spans="1:43" x14ac:dyDescent="0.35">
      <c r="A420" s="2" t="s">
        <v>355</v>
      </c>
      <c r="B420" s="2" t="s">
        <v>283</v>
      </c>
      <c r="C420" s="2" t="s">
        <v>67</v>
      </c>
      <c r="D420" s="2">
        <v>26.645399999999999</v>
      </c>
      <c r="E420" s="2">
        <v>6500</v>
      </c>
      <c r="F420" s="2">
        <v>305</v>
      </c>
      <c r="G420" s="2">
        <v>70.2</v>
      </c>
      <c r="H420" s="2" t="s">
        <v>68</v>
      </c>
      <c r="I420" s="4">
        <f t="shared" si="186"/>
        <v>3.2826165278334738</v>
      </c>
      <c r="J420" s="4">
        <f t="shared" si="187"/>
        <v>8.7795574558837277</v>
      </c>
      <c r="K420" s="4">
        <f t="shared" si="188"/>
        <v>5.7203117766074119</v>
      </c>
      <c r="L420" s="2">
        <v>0</v>
      </c>
      <c r="M420" s="2">
        <v>0</v>
      </c>
      <c r="N420" s="4">
        <f t="shared" si="189"/>
        <v>70.2</v>
      </c>
      <c r="O420" s="4">
        <f t="shared" si="190"/>
        <v>0</v>
      </c>
      <c r="P420" s="4">
        <f t="shared" si="191"/>
        <v>0</v>
      </c>
      <c r="Q420" s="4">
        <f t="shared" si="192"/>
        <v>8.7795574558837277</v>
      </c>
      <c r="R420" s="4">
        <f t="shared" si="193"/>
        <v>5.7203117766074119</v>
      </c>
      <c r="S420" s="4">
        <f t="shared" si="194"/>
        <v>70.2</v>
      </c>
      <c r="T420" s="4">
        <f t="shared" si="195"/>
        <v>0</v>
      </c>
      <c r="U420" s="4">
        <f t="shared" si="196"/>
        <v>8.7795574558837277</v>
      </c>
      <c r="V420" s="4">
        <f t="shared" si="197"/>
        <v>5.7203117766074119</v>
      </c>
      <c r="W420" s="4">
        <f t="shared" si="198"/>
        <v>70.2</v>
      </c>
      <c r="X420" s="4">
        <f t="shared" si="199"/>
        <v>0</v>
      </c>
      <c r="Y420" s="4">
        <f t="shared" si="200"/>
        <v>8.7795574558837277</v>
      </c>
      <c r="Z420" s="4">
        <f t="shared" si="201"/>
        <v>5.7203117766074119</v>
      </c>
      <c r="AA420" s="4">
        <f t="shared" si="202"/>
        <v>70.2</v>
      </c>
      <c r="AB420" s="4">
        <f t="shared" si="203"/>
        <v>0</v>
      </c>
      <c r="AC420" s="4">
        <f t="shared" si="204"/>
        <v>0</v>
      </c>
      <c r="AD420" s="4">
        <f t="shared" si="205"/>
        <v>0</v>
      </c>
      <c r="AE420" s="4">
        <f t="shared" si="206"/>
        <v>0</v>
      </c>
      <c r="AF420" s="4">
        <f t="shared" si="207"/>
        <v>0</v>
      </c>
      <c r="AG420" s="4">
        <f t="shared" si="208"/>
        <v>8.7795574558837277</v>
      </c>
      <c r="AH420" s="4">
        <f t="shared" si="209"/>
        <v>0</v>
      </c>
      <c r="AI420" s="4">
        <f t="shared" si="210"/>
        <v>0</v>
      </c>
      <c r="AJ420" s="4">
        <f t="shared" si="211"/>
        <v>8.7795574558837277</v>
      </c>
      <c r="AK420" s="4">
        <f t="shared" si="212"/>
        <v>5.7203117766074119</v>
      </c>
      <c r="AL420" s="4">
        <f t="shared" si="213"/>
        <v>0</v>
      </c>
      <c r="AM420" s="4">
        <f>CER!$C$7+CER!$C$8*J420+CER!$C$9*K420+CER!$C$10*L420+CER!$C$11*M420</f>
        <v>3.1727303114654868</v>
      </c>
      <c r="AN420" s="4">
        <f t="shared" si="214"/>
        <v>23.872575022391807</v>
      </c>
      <c r="AO420" s="4">
        <f t="shared" si="215"/>
        <v>0.10988621636798701</v>
      </c>
      <c r="AP420" s="4">
        <f>Alternatives!$F$25+Alternatives!$F$26*J420+Alternatives!$F$27*K420+Alternatives!$F$28*G420+Alternatives!$F$29*O420</f>
        <v>3.2582485686041456</v>
      </c>
      <c r="AQ420" s="4">
        <f t="shared" si="216"/>
        <v>2.4367959229328218E-2</v>
      </c>
    </row>
    <row r="421" spans="1:43" x14ac:dyDescent="0.35">
      <c r="A421" s="2" t="s">
        <v>356</v>
      </c>
      <c r="B421" s="2" t="s">
        <v>283</v>
      </c>
      <c r="C421" s="2" t="s">
        <v>67</v>
      </c>
      <c r="D421" s="2">
        <v>25.2761</v>
      </c>
      <c r="E421" s="2">
        <v>5000</v>
      </c>
      <c r="F421" s="2">
        <v>310</v>
      </c>
      <c r="G421" s="2">
        <v>60.4</v>
      </c>
      <c r="H421" s="2" t="s">
        <v>68</v>
      </c>
      <c r="I421" s="4">
        <f t="shared" si="186"/>
        <v>3.2298592852255856</v>
      </c>
      <c r="J421" s="4">
        <f t="shared" si="187"/>
        <v>8.5171931914162382</v>
      </c>
      <c r="K421" s="4">
        <f t="shared" si="188"/>
        <v>5.7365722974791922</v>
      </c>
      <c r="L421" s="2">
        <v>0</v>
      </c>
      <c r="M421" s="2">
        <v>0</v>
      </c>
      <c r="N421" s="4">
        <f t="shared" si="189"/>
        <v>60.4</v>
      </c>
      <c r="O421" s="4">
        <f t="shared" si="190"/>
        <v>0</v>
      </c>
      <c r="P421" s="4">
        <f t="shared" si="191"/>
        <v>0</v>
      </c>
      <c r="Q421" s="4">
        <f t="shared" si="192"/>
        <v>8.5171931914162382</v>
      </c>
      <c r="R421" s="4">
        <f t="shared" si="193"/>
        <v>5.7365722974791922</v>
      </c>
      <c r="S421" s="4">
        <f t="shared" si="194"/>
        <v>60.4</v>
      </c>
      <c r="T421" s="4">
        <f t="shared" si="195"/>
        <v>0</v>
      </c>
      <c r="U421" s="4">
        <f t="shared" si="196"/>
        <v>8.5171931914162382</v>
      </c>
      <c r="V421" s="4">
        <f t="shared" si="197"/>
        <v>5.7365722974791922</v>
      </c>
      <c r="W421" s="4">
        <f t="shared" si="198"/>
        <v>60.4</v>
      </c>
      <c r="X421" s="4">
        <f t="shared" si="199"/>
        <v>0</v>
      </c>
      <c r="Y421" s="4">
        <f t="shared" si="200"/>
        <v>8.5171931914162382</v>
      </c>
      <c r="Z421" s="4">
        <f t="shared" si="201"/>
        <v>5.7365722974791922</v>
      </c>
      <c r="AA421" s="4">
        <f t="shared" si="202"/>
        <v>60.4</v>
      </c>
      <c r="AB421" s="4">
        <f t="shared" si="203"/>
        <v>0</v>
      </c>
      <c r="AC421" s="4">
        <f t="shared" si="204"/>
        <v>0</v>
      </c>
      <c r="AD421" s="4">
        <f t="shared" si="205"/>
        <v>0</v>
      </c>
      <c r="AE421" s="4">
        <f t="shared" si="206"/>
        <v>0</v>
      </c>
      <c r="AF421" s="4">
        <f t="shared" si="207"/>
        <v>0</v>
      </c>
      <c r="AG421" s="4">
        <f t="shared" si="208"/>
        <v>8.5171931914162382</v>
      </c>
      <c r="AH421" s="4">
        <f t="shared" si="209"/>
        <v>0</v>
      </c>
      <c r="AI421" s="4">
        <f t="shared" si="210"/>
        <v>0</v>
      </c>
      <c r="AJ421" s="4">
        <f t="shared" si="211"/>
        <v>8.5171931914162382</v>
      </c>
      <c r="AK421" s="4">
        <f t="shared" si="212"/>
        <v>5.7365722974791922</v>
      </c>
      <c r="AL421" s="4">
        <f t="shared" si="213"/>
        <v>0</v>
      </c>
      <c r="AM421" s="4">
        <f>CER!$C$7+CER!$C$8*J421+CER!$C$9*K421+CER!$C$10*L421+CER!$C$11*M421</f>
        <v>3.2855057896938553</v>
      </c>
      <c r="AN421" s="4">
        <f t="shared" si="214"/>
        <v>26.722496860851766</v>
      </c>
      <c r="AO421" s="4">
        <f t="shared" si="215"/>
        <v>-5.5646504468269686E-2</v>
      </c>
      <c r="AP421" s="4">
        <f>Alternatives!$F$25+Alternatives!$F$26*J421+Alternatives!$F$27*K421+Alternatives!$F$28*G421+Alternatives!$F$29*O421</f>
        <v>3.2842958289981929</v>
      </c>
      <c r="AQ421" s="4">
        <f t="shared" si="216"/>
        <v>-5.4436543772607315E-2</v>
      </c>
    </row>
    <row r="422" spans="1:43" x14ac:dyDescent="0.35">
      <c r="A422" s="2" t="s">
        <v>357</v>
      </c>
      <c r="B422" s="2" t="s">
        <v>283</v>
      </c>
      <c r="C422" s="2" t="s">
        <v>67</v>
      </c>
      <c r="D422" s="2">
        <v>23.686900000000001</v>
      </c>
      <c r="E422" s="2">
        <v>5000</v>
      </c>
      <c r="F422" s="2">
        <v>310</v>
      </c>
      <c r="G422" s="2">
        <v>60.6</v>
      </c>
      <c r="H422" s="2" t="s">
        <v>68</v>
      </c>
      <c r="I422" s="4">
        <f t="shared" si="186"/>
        <v>3.1649221527065365</v>
      </c>
      <c r="J422" s="4">
        <f t="shared" si="187"/>
        <v>8.5171931914162382</v>
      </c>
      <c r="K422" s="4">
        <f t="shared" si="188"/>
        <v>5.7365722974791922</v>
      </c>
      <c r="L422" s="2">
        <v>0</v>
      </c>
      <c r="M422" s="2">
        <v>0</v>
      </c>
      <c r="N422" s="4">
        <f t="shared" si="189"/>
        <v>60.6</v>
      </c>
      <c r="O422" s="4">
        <f t="shared" si="190"/>
        <v>0</v>
      </c>
      <c r="P422" s="4">
        <f t="shared" si="191"/>
        <v>0</v>
      </c>
      <c r="Q422" s="4">
        <f t="shared" si="192"/>
        <v>8.5171931914162382</v>
      </c>
      <c r="R422" s="4">
        <f t="shared" si="193"/>
        <v>5.7365722974791922</v>
      </c>
      <c r="S422" s="4">
        <f t="shared" si="194"/>
        <v>60.6</v>
      </c>
      <c r="T422" s="4">
        <f t="shared" si="195"/>
        <v>0</v>
      </c>
      <c r="U422" s="4">
        <f t="shared" si="196"/>
        <v>8.5171931914162382</v>
      </c>
      <c r="V422" s="4">
        <f t="shared" si="197"/>
        <v>5.7365722974791922</v>
      </c>
      <c r="W422" s="4">
        <f t="shared" si="198"/>
        <v>60.6</v>
      </c>
      <c r="X422" s="4">
        <f t="shared" si="199"/>
        <v>0</v>
      </c>
      <c r="Y422" s="4">
        <f t="shared" si="200"/>
        <v>8.5171931914162382</v>
      </c>
      <c r="Z422" s="4">
        <f t="shared" si="201"/>
        <v>5.7365722974791922</v>
      </c>
      <c r="AA422" s="4">
        <f t="shared" si="202"/>
        <v>60.6</v>
      </c>
      <c r="AB422" s="4">
        <f t="shared" si="203"/>
        <v>0</v>
      </c>
      <c r="AC422" s="4">
        <f t="shared" si="204"/>
        <v>0</v>
      </c>
      <c r="AD422" s="4">
        <f t="shared" si="205"/>
        <v>0</v>
      </c>
      <c r="AE422" s="4">
        <f t="shared" si="206"/>
        <v>0</v>
      </c>
      <c r="AF422" s="4">
        <f t="shared" si="207"/>
        <v>0</v>
      </c>
      <c r="AG422" s="4">
        <f t="shared" si="208"/>
        <v>8.5171931914162382</v>
      </c>
      <c r="AH422" s="4">
        <f t="shared" si="209"/>
        <v>0</v>
      </c>
      <c r="AI422" s="4">
        <f t="shared" si="210"/>
        <v>0</v>
      </c>
      <c r="AJ422" s="4">
        <f t="shared" si="211"/>
        <v>8.5171931914162382</v>
      </c>
      <c r="AK422" s="4">
        <f t="shared" si="212"/>
        <v>5.7365722974791922</v>
      </c>
      <c r="AL422" s="4">
        <f t="shared" si="213"/>
        <v>0</v>
      </c>
      <c r="AM422" s="4">
        <f>CER!$C$7+CER!$C$8*J422+CER!$C$9*K422+CER!$C$10*L422+CER!$C$11*M422</f>
        <v>3.2855057896938553</v>
      </c>
      <c r="AN422" s="4">
        <f t="shared" si="214"/>
        <v>26.722496860851766</v>
      </c>
      <c r="AO422" s="4">
        <f t="shared" si="215"/>
        <v>-0.12058363698731878</v>
      </c>
      <c r="AP422" s="4">
        <f>Alternatives!$F$25+Alternatives!$F$26*J422+Alternatives!$F$27*K422+Alternatives!$F$28*G422+Alternatives!$F$29*O422</f>
        <v>3.2816943660897473</v>
      </c>
      <c r="AQ422" s="4">
        <f t="shared" si="216"/>
        <v>-0.11677221338321075</v>
      </c>
    </row>
    <row r="423" spans="1:43" x14ac:dyDescent="0.35">
      <c r="A423" s="2" t="s">
        <v>358</v>
      </c>
      <c r="B423" s="2" t="s">
        <v>283</v>
      </c>
      <c r="C423" s="2" t="s">
        <v>67</v>
      </c>
      <c r="D423" s="2">
        <v>22.281600000000001</v>
      </c>
      <c r="E423" s="2">
        <v>5500</v>
      </c>
      <c r="F423" s="2">
        <v>310</v>
      </c>
      <c r="G423" s="2">
        <v>61.3</v>
      </c>
      <c r="H423" s="2" t="s">
        <v>68</v>
      </c>
      <c r="I423" s="4">
        <f t="shared" si="186"/>
        <v>3.1037612257660907</v>
      </c>
      <c r="J423" s="4">
        <f t="shared" si="187"/>
        <v>8.6125033712205621</v>
      </c>
      <c r="K423" s="4">
        <f t="shared" si="188"/>
        <v>5.7365722974791922</v>
      </c>
      <c r="L423" s="2">
        <v>0</v>
      </c>
      <c r="M423" s="2">
        <v>0</v>
      </c>
      <c r="N423" s="4">
        <f t="shared" si="189"/>
        <v>61.3</v>
      </c>
      <c r="O423" s="4">
        <f t="shared" si="190"/>
        <v>0</v>
      </c>
      <c r="P423" s="4">
        <f t="shared" si="191"/>
        <v>0</v>
      </c>
      <c r="Q423" s="4">
        <f t="shared" si="192"/>
        <v>8.6125033712205621</v>
      </c>
      <c r="R423" s="4">
        <f t="shared" si="193"/>
        <v>5.7365722974791922</v>
      </c>
      <c r="S423" s="4">
        <f t="shared" si="194"/>
        <v>61.3</v>
      </c>
      <c r="T423" s="4">
        <f t="shared" si="195"/>
        <v>0</v>
      </c>
      <c r="U423" s="4">
        <f t="shared" si="196"/>
        <v>8.6125033712205621</v>
      </c>
      <c r="V423" s="4">
        <f t="shared" si="197"/>
        <v>5.7365722974791922</v>
      </c>
      <c r="W423" s="4">
        <f t="shared" si="198"/>
        <v>61.3</v>
      </c>
      <c r="X423" s="4">
        <f t="shared" si="199"/>
        <v>0</v>
      </c>
      <c r="Y423" s="4">
        <f t="shared" si="200"/>
        <v>8.6125033712205621</v>
      </c>
      <c r="Z423" s="4">
        <f t="shared" si="201"/>
        <v>5.7365722974791922</v>
      </c>
      <c r="AA423" s="4">
        <f t="shared" si="202"/>
        <v>61.3</v>
      </c>
      <c r="AB423" s="4">
        <f t="shared" si="203"/>
        <v>0</v>
      </c>
      <c r="AC423" s="4">
        <f t="shared" si="204"/>
        <v>0</v>
      </c>
      <c r="AD423" s="4">
        <f t="shared" si="205"/>
        <v>0</v>
      </c>
      <c r="AE423" s="4">
        <f t="shared" si="206"/>
        <v>0</v>
      </c>
      <c r="AF423" s="4">
        <f t="shared" si="207"/>
        <v>0</v>
      </c>
      <c r="AG423" s="4">
        <f t="shared" si="208"/>
        <v>8.6125033712205621</v>
      </c>
      <c r="AH423" s="4">
        <f t="shared" si="209"/>
        <v>0</v>
      </c>
      <c r="AI423" s="4">
        <f t="shared" si="210"/>
        <v>0</v>
      </c>
      <c r="AJ423" s="4">
        <f t="shared" si="211"/>
        <v>8.6125033712205621</v>
      </c>
      <c r="AK423" s="4">
        <f t="shared" si="212"/>
        <v>5.7365722974791922</v>
      </c>
      <c r="AL423" s="4">
        <f t="shared" si="213"/>
        <v>0</v>
      </c>
      <c r="AM423" s="4">
        <f>CER!$C$7+CER!$C$8*J423+CER!$C$9*K423+CER!$C$10*L423+CER!$C$11*M423</f>
        <v>3.2423580021033094</v>
      </c>
      <c r="AN423" s="4">
        <f t="shared" si="214"/>
        <v>25.59400135873188</v>
      </c>
      <c r="AO423" s="4">
        <f t="shared" si="215"/>
        <v>-0.13859677633721867</v>
      </c>
      <c r="AP423" s="4">
        <f>Alternatives!$F$25+Alternatives!$F$26*J423+Alternatives!$F$27*K423+Alternatives!$F$28*G423+Alternatives!$F$29*O423</f>
        <v>3.3078622070254009</v>
      </c>
      <c r="AQ423" s="4">
        <f t="shared" si="216"/>
        <v>-0.2041009812593102</v>
      </c>
    </row>
    <row r="424" spans="1:43" x14ac:dyDescent="0.35">
      <c r="A424" s="2" t="s">
        <v>359</v>
      </c>
      <c r="B424" s="2" t="s">
        <v>360</v>
      </c>
      <c r="C424" s="2" t="s">
        <v>67</v>
      </c>
      <c r="D424" s="2">
        <v>50.710900000000002</v>
      </c>
      <c r="E424" s="2">
        <v>3000</v>
      </c>
      <c r="F424" s="2">
        <v>180</v>
      </c>
      <c r="G424" s="2">
        <v>45.6</v>
      </c>
      <c r="H424" s="2" t="s">
        <v>68</v>
      </c>
      <c r="I424" s="4">
        <f t="shared" si="186"/>
        <v>3.9261408776281366</v>
      </c>
      <c r="J424" s="4">
        <f t="shared" si="187"/>
        <v>8.0063675676502459</v>
      </c>
      <c r="K424" s="4">
        <f t="shared" si="188"/>
        <v>5.1929568508902104</v>
      </c>
      <c r="L424" s="2">
        <v>0</v>
      </c>
      <c r="M424" s="2">
        <v>0</v>
      </c>
      <c r="N424" s="4">
        <f t="shared" si="189"/>
        <v>45.6</v>
      </c>
      <c r="O424" s="4">
        <f t="shared" si="190"/>
        <v>0</v>
      </c>
      <c r="P424" s="4">
        <f t="shared" si="191"/>
        <v>0</v>
      </c>
      <c r="Q424" s="4">
        <f t="shared" si="192"/>
        <v>8.0063675676502459</v>
      </c>
      <c r="R424" s="4">
        <f t="shared" si="193"/>
        <v>5.1929568508902104</v>
      </c>
      <c r="S424" s="4">
        <f t="shared" si="194"/>
        <v>45.6</v>
      </c>
      <c r="T424" s="4">
        <f t="shared" si="195"/>
        <v>0</v>
      </c>
      <c r="U424" s="4">
        <f t="shared" si="196"/>
        <v>8.0063675676502459</v>
      </c>
      <c r="V424" s="4">
        <f t="shared" si="197"/>
        <v>5.1929568508902104</v>
      </c>
      <c r="W424" s="4">
        <f t="shared" si="198"/>
        <v>45.6</v>
      </c>
      <c r="X424" s="4">
        <f t="shared" si="199"/>
        <v>0</v>
      </c>
      <c r="Y424" s="4">
        <f t="shared" si="200"/>
        <v>8.0063675676502459</v>
      </c>
      <c r="Z424" s="4">
        <f t="shared" si="201"/>
        <v>5.1929568508902104</v>
      </c>
      <c r="AA424" s="4">
        <f t="shared" si="202"/>
        <v>45.6</v>
      </c>
      <c r="AB424" s="4">
        <f t="shared" si="203"/>
        <v>0</v>
      </c>
      <c r="AC424" s="4">
        <f t="shared" si="204"/>
        <v>0</v>
      </c>
      <c r="AD424" s="4">
        <f t="shared" si="205"/>
        <v>0</v>
      </c>
      <c r="AE424" s="4">
        <f t="shared" si="206"/>
        <v>0</v>
      </c>
      <c r="AF424" s="4">
        <f t="shared" si="207"/>
        <v>0</v>
      </c>
      <c r="AG424" s="4">
        <f t="shared" si="208"/>
        <v>8.0063675676502459</v>
      </c>
      <c r="AH424" s="4">
        <f t="shared" si="209"/>
        <v>0</v>
      </c>
      <c r="AI424" s="4">
        <f t="shared" si="210"/>
        <v>0</v>
      </c>
      <c r="AJ424" s="4">
        <f t="shared" si="211"/>
        <v>8.0063675676502459</v>
      </c>
      <c r="AK424" s="4">
        <f t="shared" si="212"/>
        <v>5.1929568508902104</v>
      </c>
      <c r="AL424" s="4">
        <f t="shared" si="213"/>
        <v>0</v>
      </c>
      <c r="AM424" s="4">
        <f>CER!$C$7+CER!$C$8*J424+CER!$C$9*K424+CER!$C$10*L424+CER!$C$11*M424</f>
        <v>3.7173247098912343</v>
      </c>
      <c r="AN424" s="4">
        <f t="shared" si="214"/>
        <v>41.154147419900319</v>
      </c>
      <c r="AO424" s="4">
        <f t="shared" si="215"/>
        <v>0.20881616773690226</v>
      </c>
      <c r="AP424" s="4">
        <f>Alternatives!$F$25+Alternatives!$F$26*J424+Alternatives!$F$27*K424+Alternatives!$F$28*G424+Alternatives!$F$29*O424</f>
        <v>3.4324161726632121</v>
      </c>
      <c r="AQ424" s="4">
        <f t="shared" si="216"/>
        <v>0.49372470496492449</v>
      </c>
    </row>
    <row r="425" spans="1:43" x14ac:dyDescent="0.35">
      <c r="A425" s="2" t="s">
        <v>359</v>
      </c>
      <c r="B425" s="2" t="s">
        <v>360</v>
      </c>
      <c r="C425" s="2" t="s">
        <v>67</v>
      </c>
      <c r="D425" s="2">
        <v>46.917299999999997</v>
      </c>
      <c r="E425" s="2">
        <v>3500</v>
      </c>
      <c r="F425" s="2">
        <v>180</v>
      </c>
      <c r="G425" s="2">
        <v>45.6</v>
      </c>
      <c r="H425" s="2" t="s">
        <v>68</v>
      </c>
      <c r="I425" s="4">
        <f t="shared" si="186"/>
        <v>3.8483864773724785</v>
      </c>
      <c r="J425" s="4">
        <f t="shared" si="187"/>
        <v>8.1605182474775049</v>
      </c>
      <c r="K425" s="4">
        <f t="shared" si="188"/>
        <v>5.1929568508902104</v>
      </c>
      <c r="L425" s="2">
        <v>0</v>
      </c>
      <c r="M425" s="2">
        <v>0</v>
      </c>
      <c r="N425" s="4">
        <f t="shared" si="189"/>
        <v>45.6</v>
      </c>
      <c r="O425" s="4">
        <f t="shared" si="190"/>
        <v>0</v>
      </c>
      <c r="P425" s="4">
        <f t="shared" si="191"/>
        <v>0</v>
      </c>
      <c r="Q425" s="4">
        <f t="shared" si="192"/>
        <v>8.1605182474775049</v>
      </c>
      <c r="R425" s="4">
        <f t="shared" si="193"/>
        <v>5.1929568508902104</v>
      </c>
      <c r="S425" s="4">
        <f t="shared" si="194"/>
        <v>45.6</v>
      </c>
      <c r="T425" s="4">
        <f t="shared" si="195"/>
        <v>0</v>
      </c>
      <c r="U425" s="4">
        <f t="shared" si="196"/>
        <v>8.1605182474775049</v>
      </c>
      <c r="V425" s="4">
        <f t="shared" si="197"/>
        <v>5.1929568508902104</v>
      </c>
      <c r="W425" s="4">
        <f t="shared" si="198"/>
        <v>45.6</v>
      </c>
      <c r="X425" s="4">
        <f t="shared" si="199"/>
        <v>0</v>
      </c>
      <c r="Y425" s="4">
        <f t="shared" si="200"/>
        <v>8.1605182474775049</v>
      </c>
      <c r="Z425" s="4">
        <f t="shared" si="201"/>
        <v>5.1929568508902104</v>
      </c>
      <c r="AA425" s="4">
        <f t="shared" si="202"/>
        <v>45.6</v>
      </c>
      <c r="AB425" s="4">
        <f t="shared" si="203"/>
        <v>0</v>
      </c>
      <c r="AC425" s="4">
        <f t="shared" si="204"/>
        <v>0</v>
      </c>
      <c r="AD425" s="4">
        <f t="shared" si="205"/>
        <v>0</v>
      </c>
      <c r="AE425" s="4">
        <f t="shared" si="206"/>
        <v>0</v>
      </c>
      <c r="AF425" s="4">
        <f t="shared" si="207"/>
        <v>0</v>
      </c>
      <c r="AG425" s="4">
        <f t="shared" si="208"/>
        <v>8.1605182474775049</v>
      </c>
      <c r="AH425" s="4">
        <f t="shared" si="209"/>
        <v>0</v>
      </c>
      <c r="AI425" s="4">
        <f t="shared" si="210"/>
        <v>0</v>
      </c>
      <c r="AJ425" s="4">
        <f t="shared" si="211"/>
        <v>8.1605182474775049</v>
      </c>
      <c r="AK425" s="4">
        <f t="shared" si="212"/>
        <v>5.1929568508902104</v>
      </c>
      <c r="AL425" s="4">
        <f t="shared" si="213"/>
        <v>0</v>
      </c>
      <c r="AM425" s="4">
        <f>CER!$C$7+CER!$C$8*J425+CER!$C$9*K425+CER!$C$10*L425+CER!$C$11*M425</f>
        <v>3.6475392913369911</v>
      </c>
      <c r="AN425" s="4">
        <f t="shared" si="214"/>
        <v>38.380107493220969</v>
      </c>
      <c r="AO425" s="4">
        <f t="shared" si="215"/>
        <v>0.20084718603548746</v>
      </c>
      <c r="AP425" s="4">
        <f>Alternatives!$F$25+Alternatives!$F$26*J425+Alternatives!$F$27*K425+Alternatives!$F$28*G425+Alternatives!$F$29*O425</f>
        <v>3.489465177780962</v>
      </c>
      <c r="AQ425" s="4">
        <f t="shared" si="216"/>
        <v>0.35892129959151653</v>
      </c>
    </row>
    <row r="426" spans="1:43" x14ac:dyDescent="0.35">
      <c r="A426" s="2" t="s">
        <v>359</v>
      </c>
      <c r="B426" s="2" t="s">
        <v>360</v>
      </c>
      <c r="C426" s="2" t="s">
        <v>67</v>
      </c>
      <c r="D426" s="2">
        <v>42.8155</v>
      </c>
      <c r="E426" s="2">
        <v>3000</v>
      </c>
      <c r="F426" s="2">
        <v>200</v>
      </c>
      <c r="G426" s="2">
        <v>45.6</v>
      </c>
      <c r="H426" s="2" t="s">
        <v>68</v>
      </c>
      <c r="I426" s="4">
        <f t="shared" si="186"/>
        <v>3.7569001865601472</v>
      </c>
      <c r="J426" s="4">
        <f t="shared" si="187"/>
        <v>8.0063675676502459</v>
      </c>
      <c r="K426" s="4">
        <f t="shared" si="188"/>
        <v>5.2983173665480363</v>
      </c>
      <c r="L426" s="2">
        <v>0</v>
      </c>
      <c r="M426" s="2">
        <v>0</v>
      </c>
      <c r="N426" s="4">
        <f t="shared" si="189"/>
        <v>45.6</v>
      </c>
      <c r="O426" s="4">
        <f t="shared" si="190"/>
        <v>0</v>
      </c>
      <c r="P426" s="4">
        <f t="shared" si="191"/>
        <v>0</v>
      </c>
      <c r="Q426" s="4">
        <f t="shared" si="192"/>
        <v>8.0063675676502459</v>
      </c>
      <c r="R426" s="4">
        <f t="shared" si="193"/>
        <v>5.2983173665480363</v>
      </c>
      <c r="S426" s="4">
        <f t="shared" si="194"/>
        <v>45.6</v>
      </c>
      <c r="T426" s="4">
        <f t="shared" si="195"/>
        <v>0</v>
      </c>
      <c r="U426" s="4">
        <f t="shared" si="196"/>
        <v>8.0063675676502459</v>
      </c>
      <c r="V426" s="4">
        <f t="shared" si="197"/>
        <v>5.2983173665480363</v>
      </c>
      <c r="W426" s="4">
        <f t="shared" si="198"/>
        <v>45.6</v>
      </c>
      <c r="X426" s="4">
        <f t="shared" si="199"/>
        <v>0</v>
      </c>
      <c r="Y426" s="4">
        <f t="shared" si="200"/>
        <v>8.0063675676502459</v>
      </c>
      <c r="Z426" s="4">
        <f t="shared" si="201"/>
        <v>5.2983173665480363</v>
      </c>
      <c r="AA426" s="4">
        <f t="shared" si="202"/>
        <v>45.6</v>
      </c>
      <c r="AB426" s="4">
        <f t="shared" si="203"/>
        <v>0</v>
      </c>
      <c r="AC426" s="4">
        <f t="shared" si="204"/>
        <v>0</v>
      </c>
      <c r="AD426" s="4">
        <f t="shared" si="205"/>
        <v>0</v>
      </c>
      <c r="AE426" s="4">
        <f t="shared" si="206"/>
        <v>0</v>
      </c>
      <c r="AF426" s="4">
        <f t="shared" si="207"/>
        <v>0</v>
      </c>
      <c r="AG426" s="4">
        <f t="shared" si="208"/>
        <v>8.0063675676502459</v>
      </c>
      <c r="AH426" s="4">
        <f t="shared" si="209"/>
        <v>0</v>
      </c>
      <c r="AI426" s="4">
        <f t="shared" si="210"/>
        <v>0</v>
      </c>
      <c r="AJ426" s="4">
        <f t="shared" si="211"/>
        <v>8.0063675676502459</v>
      </c>
      <c r="AK426" s="4">
        <f t="shared" si="212"/>
        <v>5.2983173665480363</v>
      </c>
      <c r="AL426" s="4">
        <f t="shared" si="213"/>
        <v>0</v>
      </c>
      <c r="AM426" s="4">
        <f>CER!$C$7+CER!$C$8*J426+CER!$C$9*K426+CER!$C$10*L426+CER!$C$11*M426</f>
        <v>3.6784526099494523</v>
      </c>
      <c r="AN426" s="4">
        <f t="shared" si="214"/>
        <v>39.585093077351324</v>
      </c>
      <c r="AO426" s="4">
        <f t="shared" si="215"/>
        <v>7.8447576610694902E-2</v>
      </c>
      <c r="AP426" s="4">
        <f>Alternatives!$F$25+Alternatives!$F$26*J426+Alternatives!$F$27*K426+Alternatives!$F$28*G426+Alternatives!$F$29*O426</f>
        <v>3.404378689222554</v>
      </c>
      <c r="AQ426" s="4">
        <f t="shared" si="216"/>
        <v>0.35252149733759319</v>
      </c>
    </row>
    <row r="427" spans="1:43" x14ac:dyDescent="0.35">
      <c r="A427" s="2" t="s">
        <v>359</v>
      </c>
      <c r="B427" s="2" t="s">
        <v>360</v>
      </c>
      <c r="C427" s="2" t="s">
        <v>67</v>
      </c>
      <c r="D427" s="2">
        <v>48.039900000000003</v>
      </c>
      <c r="E427" s="2">
        <v>3000</v>
      </c>
      <c r="F427" s="2">
        <v>158</v>
      </c>
      <c r="G427" s="2">
        <v>45.6</v>
      </c>
      <c r="H427" s="2" t="s">
        <v>68</v>
      </c>
      <c r="I427" s="4">
        <f t="shared" si="186"/>
        <v>3.8720319156109486</v>
      </c>
      <c r="J427" s="4">
        <f t="shared" si="187"/>
        <v>8.0063675676502459</v>
      </c>
      <c r="K427" s="4">
        <f t="shared" si="188"/>
        <v>5.0625950330269669</v>
      </c>
      <c r="L427" s="2">
        <v>0</v>
      </c>
      <c r="M427" s="2">
        <v>0</v>
      </c>
      <c r="N427" s="4">
        <f t="shared" si="189"/>
        <v>45.6</v>
      </c>
      <c r="O427" s="4">
        <f t="shared" si="190"/>
        <v>0</v>
      </c>
      <c r="P427" s="4">
        <f t="shared" si="191"/>
        <v>0</v>
      </c>
      <c r="Q427" s="4">
        <f t="shared" si="192"/>
        <v>8.0063675676502459</v>
      </c>
      <c r="R427" s="4">
        <f t="shared" si="193"/>
        <v>5.0625950330269669</v>
      </c>
      <c r="S427" s="4">
        <f t="shared" si="194"/>
        <v>45.6</v>
      </c>
      <c r="T427" s="4">
        <f t="shared" si="195"/>
        <v>0</v>
      </c>
      <c r="U427" s="4">
        <f t="shared" si="196"/>
        <v>8.0063675676502459</v>
      </c>
      <c r="V427" s="4">
        <f t="shared" si="197"/>
        <v>5.0625950330269669</v>
      </c>
      <c r="W427" s="4">
        <f t="shared" si="198"/>
        <v>45.6</v>
      </c>
      <c r="X427" s="4">
        <f t="shared" si="199"/>
        <v>0</v>
      </c>
      <c r="Y427" s="4">
        <f t="shared" si="200"/>
        <v>8.0063675676502459</v>
      </c>
      <c r="Z427" s="4">
        <f t="shared" si="201"/>
        <v>5.0625950330269669</v>
      </c>
      <c r="AA427" s="4">
        <f t="shared" si="202"/>
        <v>45.6</v>
      </c>
      <c r="AB427" s="4">
        <f t="shared" si="203"/>
        <v>0</v>
      </c>
      <c r="AC427" s="4">
        <f t="shared" si="204"/>
        <v>0</v>
      </c>
      <c r="AD427" s="4">
        <f t="shared" si="205"/>
        <v>0</v>
      </c>
      <c r="AE427" s="4">
        <f t="shared" si="206"/>
        <v>0</v>
      </c>
      <c r="AF427" s="4">
        <f t="shared" si="207"/>
        <v>0</v>
      </c>
      <c r="AG427" s="4">
        <f t="shared" si="208"/>
        <v>8.0063675676502459</v>
      </c>
      <c r="AH427" s="4">
        <f t="shared" si="209"/>
        <v>0</v>
      </c>
      <c r="AI427" s="4">
        <f t="shared" si="210"/>
        <v>0</v>
      </c>
      <c r="AJ427" s="4">
        <f t="shared" si="211"/>
        <v>8.0063675676502459</v>
      </c>
      <c r="AK427" s="4">
        <f t="shared" si="212"/>
        <v>5.0625950330269669</v>
      </c>
      <c r="AL427" s="4">
        <f t="shared" si="213"/>
        <v>0</v>
      </c>
      <c r="AM427" s="4">
        <f>CER!$C$7+CER!$C$8*J427+CER!$C$9*K427+CER!$C$10*L427+CER!$C$11*M427</f>
        <v>3.7654208831202043</v>
      </c>
      <c r="AN427" s="4">
        <f t="shared" si="214"/>
        <v>43.181876558663866</v>
      </c>
      <c r="AO427" s="4">
        <f t="shared" si="215"/>
        <v>0.10661103249074433</v>
      </c>
      <c r="AP427" s="4">
        <f>Alternatives!$F$25+Alternatives!$F$26*J427+Alternatives!$F$27*K427+Alternatives!$F$28*G427+Alternatives!$F$29*O427</f>
        <v>3.4671067518314556</v>
      </c>
      <c r="AQ427" s="4">
        <f t="shared" si="216"/>
        <v>0.40492516377949306</v>
      </c>
    </row>
    <row r="428" spans="1:43" x14ac:dyDescent="0.35">
      <c r="A428" s="2" t="s">
        <v>359</v>
      </c>
      <c r="B428" s="2" t="s">
        <v>360</v>
      </c>
      <c r="C428" s="2" t="s">
        <v>67</v>
      </c>
      <c r="D428" s="2">
        <v>45.6267</v>
      </c>
      <c r="E428" s="2">
        <v>3000</v>
      </c>
      <c r="F428" s="2">
        <v>158</v>
      </c>
      <c r="G428" s="2">
        <v>45.6</v>
      </c>
      <c r="H428" s="2" t="s">
        <v>68</v>
      </c>
      <c r="I428" s="4">
        <f t="shared" si="186"/>
        <v>3.8204930714824812</v>
      </c>
      <c r="J428" s="4">
        <f t="shared" si="187"/>
        <v>8.0063675676502459</v>
      </c>
      <c r="K428" s="4">
        <f t="shared" si="188"/>
        <v>5.0625950330269669</v>
      </c>
      <c r="L428" s="2">
        <v>0</v>
      </c>
      <c r="M428" s="2">
        <v>0</v>
      </c>
      <c r="N428" s="4">
        <f t="shared" si="189"/>
        <v>45.6</v>
      </c>
      <c r="O428" s="4">
        <f t="shared" si="190"/>
        <v>0</v>
      </c>
      <c r="P428" s="4">
        <f t="shared" si="191"/>
        <v>0</v>
      </c>
      <c r="Q428" s="4">
        <f t="shared" si="192"/>
        <v>8.0063675676502459</v>
      </c>
      <c r="R428" s="4">
        <f t="shared" si="193"/>
        <v>5.0625950330269669</v>
      </c>
      <c r="S428" s="4">
        <f t="shared" si="194"/>
        <v>45.6</v>
      </c>
      <c r="T428" s="4">
        <f t="shared" si="195"/>
        <v>0</v>
      </c>
      <c r="U428" s="4">
        <f t="shared" si="196"/>
        <v>8.0063675676502459</v>
      </c>
      <c r="V428" s="4">
        <f t="shared" si="197"/>
        <v>5.0625950330269669</v>
      </c>
      <c r="W428" s="4">
        <f t="shared" si="198"/>
        <v>45.6</v>
      </c>
      <c r="X428" s="4">
        <f t="shared" si="199"/>
        <v>0</v>
      </c>
      <c r="Y428" s="4">
        <f t="shared" si="200"/>
        <v>8.0063675676502459</v>
      </c>
      <c r="Z428" s="4">
        <f t="shared" si="201"/>
        <v>5.0625950330269669</v>
      </c>
      <c r="AA428" s="4">
        <f t="shared" si="202"/>
        <v>45.6</v>
      </c>
      <c r="AB428" s="4">
        <f t="shared" si="203"/>
        <v>0</v>
      </c>
      <c r="AC428" s="4">
        <f t="shared" si="204"/>
        <v>0</v>
      </c>
      <c r="AD428" s="4">
        <f t="shared" si="205"/>
        <v>0</v>
      </c>
      <c r="AE428" s="4">
        <f t="shared" si="206"/>
        <v>0</v>
      </c>
      <c r="AF428" s="4">
        <f t="shared" si="207"/>
        <v>0</v>
      </c>
      <c r="AG428" s="4">
        <f t="shared" si="208"/>
        <v>8.0063675676502459</v>
      </c>
      <c r="AH428" s="4">
        <f t="shared" si="209"/>
        <v>0</v>
      </c>
      <c r="AI428" s="4">
        <f t="shared" si="210"/>
        <v>0</v>
      </c>
      <c r="AJ428" s="4">
        <f t="shared" si="211"/>
        <v>8.0063675676502459</v>
      </c>
      <c r="AK428" s="4">
        <f t="shared" si="212"/>
        <v>5.0625950330269669</v>
      </c>
      <c r="AL428" s="4">
        <f t="shared" si="213"/>
        <v>0</v>
      </c>
      <c r="AM428" s="4">
        <f>CER!$C$7+CER!$C$8*J428+CER!$C$9*K428+CER!$C$10*L428+CER!$C$11*M428</f>
        <v>3.7654208831202043</v>
      </c>
      <c r="AN428" s="4">
        <f t="shared" si="214"/>
        <v>43.181876558663866</v>
      </c>
      <c r="AO428" s="4">
        <f t="shared" si="215"/>
        <v>5.5072188362276897E-2</v>
      </c>
      <c r="AP428" s="4">
        <f>Alternatives!$F$25+Alternatives!$F$26*J428+Alternatives!$F$27*K428+Alternatives!$F$28*G428+Alternatives!$F$29*O428</f>
        <v>3.4671067518314556</v>
      </c>
      <c r="AQ428" s="4">
        <f t="shared" si="216"/>
        <v>0.35338631965102563</v>
      </c>
    </row>
    <row r="429" spans="1:43" x14ac:dyDescent="0.35">
      <c r="A429" s="2" t="s">
        <v>361</v>
      </c>
      <c r="B429" s="2" t="s">
        <v>360</v>
      </c>
      <c r="C429" s="2" t="s">
        <v>67</v>
      </c>
      <c r="D429" s="2">
        <v>48.177799999999998</v>
      </c>
      <c r="E429" s="2">
        <v>3500</v>
      </c>
      <c r="F429" s="2">
        <v>180</v>
      </c>
      <c r="G429" s="2">
        <v>45.6</v>
      </c>
      <c r="H429" s="2" t="s">
        <v>68</v>
      </c>
      <c r="I429" s="4">
        <f t="shared" si="186"/>
        <v>3.8748983340437233</v>
      </c>
      <c r="J429" s="4">
        <f t="shared" si="187"/>
        <v>8.1605182474775049</v>
      </c>
      <c r="K429" s="4">
        <f t="shared" si="188"/>
        <v>5.1929568508902104</v>
      </c>
      <c r="L429" s="2">
        <v>0</v>
      </c>
      <c r="M429" s="2">
        <v>0</v>
      </c>
      <c r="N429" s="4">
        <f t="shared" si="189"/>
        <v>45.6</v>
      </c>
      <c r="O429" s="4">
        <f t="shared" si="190"/>
        <v>0</v>
      </c>
      <c r="P429" s="4">
        <f t="shared" si="191"/>
        <v>0</v>
      </c>
      <c r="Q429" s="4">
        <f t="shared" si="192"/>
        <v>8.1605182474775049</v>
      </c>
      <c r="R429" s="4">
        <f t="shared" si="193"/>
        <v>5.1929568508902104</v>
      </c>
      <c r="S429" s="4">
        <f t="shared" si="194"/>
        <v>45.6</v>
      </c>
      <c r="T429" s="4">
        <f t="shared" si="195"/>
        <v>0</v>
      </c>
      <c r="U429" s="4">
        <f t="shared" si="196"/>
        <v>8.1605182474775049</v>
      </c>
      <c r="V429" s="4">
        <f t="shared" si="197"/>
        <v>5.1929568508902104</v>
      </c>
      <c r="W429" s="4">
        <f t="shared" si="198"/>
        <v>45.6</v>
      </c>
      <c r="X429" s="4">
        <f t="shared" si="199"/>
        <v>0</v>
      </c>
      <c r="Y429" s="4">
        <f t="shared" si="200"/>
        <v>8.1605182474775049</v>
      </c>
      <c r="Z429" s="4">
        <f t="shared" si="201"/>
        <v>5.1929568508902104</v>
      </c>
      <c r="AA429" s="4">
        <f t="shared" si="202"/>
        <v>45.6</v>
      </c>
      <c r="AB429" s="4">
        <f t="shared" si="203"/>
        <v>0</v>
      </c>
      <c r="AC429" s="4">
        <f t="shared" si="204"/>
        <v>0</v>
      </c>
      <c r="AD429" s="4">
        <f t="shared" si="205"/>
        <v>0</v>
      </c>
      <c r="AE429" s="4">
        <f t="shared" si="206"/>
        <v>0</v>
      </c>
      <c r="AF429" s="4">
        <f t="shared" si="207"/>
        <v>0</v>
      </c>
      <c r="AG429" s="4">
        <f t="shared" si="208"/>
        <v>8.1605182474775049</v>
      </c>
      <c r="AH429" s="4">
        <f t="shared" si="209"/>
        <v>0</v>
      </c>
      <c r="AI429" s="4">
        <f t="shared" si="210"/>
        <v>0</v>
      </c>
      <c r="AJ429" s="4">
        <f t="shared" si="211"/>
        <v>8.1605182474775049</v>
      </c>
      <c r="AK429" s="4">
        <f t="shared" si="212"/>
        <v>5.1929568508902104</v>
      </c>
      <c r="AL429" s="4">
        <f t="shared" si="213"/>
        <v>0</v>
      </c>
      <c r="AM429" s="4">
        <f>CER!$C$7+CER!$C$8*J429+CER!$C$9*K429+CER!$C$10*L429+CER!$C$11*M429</f>
        <v>3.6475392913369911</v>
      </c>
      <c r="AN429" s="4">
        <f t="shared" si="214"/>
        <v>38.380107493220969</v>
      </c>
      <c r="AO429" s="4">
        <f t="shared" si="215"/>
        <v>0.22735904270673224</v>
      </c>
      <c r="AP429" s="4">
        <f>Alternatives!$F$25+Alternatives!$F$26*J429+Alternatives!$F$27*K429+Alternatives!$F$28*G429+Alternatives!$F$29*O429</f>
        <v>3.489465177780962</v>
      </c>
      <c r="AQ429" s="4">
        <f t="shared" si="216"/>
        <v>0.38543315626276131</v>
      </c>
    </row>
    <row r="430" spans="1:43" x14ac:dyDescent="0.35">
      <c r="A430" s="2" t="s">
        <v>361</v>
      </c>
      <c r="B430" s="2" t="s">
        <v>360</v>
      </c>
      <c r="C430" s="2" t="s">
        <v>67</v>
      </c>
      <c r="D430" s="2">
        <v>45.7074</v>
      </c>
      <c r="E430" s="2">
        <v>3500</v>
      </c>
      <c r="F430" s="2">
        <v>180</v>
      </c>
      <c r="G430" s="2">
        <v>45.6</v>
      </c>
      <c r="H430" s="2" t="s">
        <v>68</v>
      </c>
      <c r="I430" s="4">
        <f t="shared" si="186"/>
        <v>3.8222602103933743</v>
      </c>
      <c r="J430" s="4">
        <f t="shared" si="187"/>
        <v>8.1605182474775049</v>
      </c>
      <c r="K430" s="4">
        <f t="shared" si="188"/>
        <v>5.1929568508902104</v>
      </c>
      <c r="L430" s="2">
        <v>0</v>
      </c>
      <c r="M430" s="2">
        <v>0</v>
      </c>
      <c r="N430" s="4">
        <f t="shared" si="189"/>
        <v>45.6</v>
      </c>
      <c r="O430" s="4">
        <f t="shared" si="190"/>
        <v>0</v>
      </c>
      <c r="P430" s="4">
        <f t="shared" si="191"/>
        <v>0</v>
      </c>
      <c r="Q430" s="4">
        <f t="shared" si="192"/>
        <v>8.1605182474775049</v>
      </c>
      <c r="R430" s="4">
        <f t="shared" si="193"/>
        <v>5.1929568508902104</v>
      </c>
      <c r="S430" s="4">
        <f t="shared" si="194"/>
        <v>45.6</v>
      </c>
      <c r="T430" s="4">
        <f t="shared" si="195"/>
        <v>0</v>
      </c>
      <c r="U430" s="4">
        <f t="shared" si="196"/>
        <v>8.1605182474775049</v>
      </c>
      <c r="V430" s="4">
        <f t="shared" si="197"/>
        <v>5.1929568508902104</v>
      </c>
      <c r="W430" s="4">
        <f t="shared" si="198"/>
        <v>45.6</v>
      </c>
      <c r="X430" s="4">
        <f t="shared" si="199"/>
        <v>0</v>
      </c>
      <c r="Y430" s="4">
        <f t="shared" si="200"/>
        <v>8.1605182474775049</v>
      </c>
      <c r="Z430" s="4">
        <f t="shared" si="201"/>
        <v>5.1929568508902104</v>
      </c>
      <c r="AA430" s="4">
        <f t="shared" si="202"/>
        <v>45.6</v>
      </c>
      <c r="AB430" s="4">
        <f t="shared" si="203"/>
        <v>0</v>
      </c>
      <c r="AC430" s="4">
        <f t="shared" si="204"/>
        <v>0</v>
      </c>
      <c r="AD430" s="4">
        <f t="shared" si="205"/>
        <v>0</v>
      </c>
      <c r="AE430" s="4">
        <f t="shared" si="206"/>
        <v>0</v>
      </c>
      <c r="AF430" s="4">
        <f t="shared" si="207"/>
        <v>0</v>
      </c>
      <c r="AG430" s="4">
        <f t="shared" si="208"/>
        <v>8.1605182474775049</v>
      </c>
      <c r="AH430" s="4">
        <f t="shared" si="209"/>
        <v>0</v>
      </c>
      <c r="AI430" s="4">
        <f t="shared" si="210"/>
        <v>0</v>
      </c>
      <c r="AJ430" s="4">
        <f t="shared" si="211"/>
        <v>8.1605182474775049</v>
      </c>
      <c r="AK430" s="4">
        <f t="shared" si="212"/>
        <v>5.1929568508902104</v>
      </c>
      <c r="AL430" s="4">
        <f t="shared" si="213"/>
        <v>0</v>
      </c>
      <c r="AM430" s="4">
        <f>CER!$C$7+CER!$C$8*J430+CER!$C$9*K430+CER!$C$10*L430+CER!$C$11*M430</f>
        <v>3.6475392913369911</v>
      </c>
      <c r="AN430" s="4">
        <f t="shared" si="214"/>
        <v>38.380107493220969</v>
      </c>
      <c r="AO430" s="4">
        <f t="shared" si="215"/>
        <v>0.17472091905638321</v>
      </c>
      <c r="AP430" s="4">
        <f>Alternatives!$F$25+Alternatives!$F$26*J430+Alternatives!$F$27*K430+Alternatives!$F$28*G430+Alternatives!$F$29*O430</f>
        <v>3.489465177780962</v>
      </c>
      <c r="AQ430" s="4">
        <f t="shared" si="216"/>
        <v>0.33279503261241228</v>
      </c>
    </row>
    <row r="431" spans="1:43" x14ac:dyDescent="0.35">
      <c r="A431" s="2" t="s">
        <v>361</v>
      </c>
      <c r="B431" s="2" t="s">
        <v>360</v>
      </c>
      <c r="C431" s="2" t="s">
        <v>67</v>
      </c>
      <c r="D431" s="2">
        <v>42.753100000000003</v>
      </c>
      <c r="E431" s="2">
        <v>3500</v>
      </c>
      <c r="F431" s="2">
        <v>180</v>
      </c>
      <c r="G431" s="2">
        <v>45.6</v>
      </c>
      <c r="H431" s="2" t="s">
        <v>68</v>
      </c>
      <c r="I431" s="4">
        <f t="shared" si="186"/>
        <v>3.7554417073735942</v>
      </c>
      <c r="J431" s="4">
        <f t="shared" si="187"/>
        <v>8.1605182474775049</v>
      </c>
      <c r="K431" s="4">
        <f t="shared" si="188"/>
        <v>5.1929568508902104</v>
      </c>
      <c r="L431" s="2">
        <v>0</v>
      </c>
      <c r="M431" s="2">
        <v>0</v>
      </c>
      <c r="N431" s="4">
        <f t="shared" si="189"/>
        <v>45.6</v>
      </c>
      <c r="O431" s="4">
        <f t="shared" si="190"/>
        <v>0</v>
      </c>
      <c r="P431" s="4">
        <f t="shared" si="191"/>
        <v>0</v>
      </c>
      <c r="Q431" s="4">
        <f t="shared" si="192"/>
        <v>8.1605182474775049</v>
      </c>
      <c r="R431" s="4">
        <f t="shared" si="193"/>
        <v>5.1929568508902104</v>
      </c>
      <c r="S431" s="4">
        <f t="shared" si="194"/>
        <v>45.6</v>
      </c>
      <c r="T431" s="4">
        <f t="shared" si="195"/>
        <v>0</v>
      </c>
      <c r="U431" s="4">
        <f t="shared" si="196"/>
        <v>8.1605182474775049</v>
      </c>
      <c r="V431" s="4">
        <f t="shared" si="197"/>
        <v>5.1929568508902104</v>
      </c>
      <c r="W431" s="4">
        <f t="shared" si="198"/>
        <v>45.6</v>
      </c>
      <c r="X431" s="4">
        <f t="shared" si="199"/>
        <v>0</v>
      </c>
      <c r="Y431" s="4">
        <f t="shared" si="200"/>
        <v>8.1605182474775049</v>
      </c>
      <c r="Z431" s="4">
        <f t="shared" si="201"/>
        <v>5.1929568508902104</v>
      </c>
      <c r="AA431" s="4">
        <f t="shared" si="202"/>
        <v>45.6</v>
      </c>
      <c r="AB431" s="4">
        <f t="shared" si="203"/>
        <v>0</v>
      </c>
      <c r="AC431" s="4">
        <f t="shared" si="204"/>
        <v>0</v>
      </c>
      <c r="AD431" s="4">
        <f t="shared" si="205"/>
        <v>0</v>
      </c>
      <c r="AE431" s="4">
        <f t="shared" si="206"/>
        <v>0</v>
      </c>
      <c r="AF431" s="4">
        <f t="shared" si="207"/>
        <v>0</v>
      </c>
      <c r="AG431" s="4">
        <f t="shared" si="208"/>
        <v>8.1605182474775049</v>
      </c>
      <c r="AH431" s="4">
        <f t="shared" si="209"/>
        <v>0</v>
      </c>
      <c r="AI431" s="4">
        <f t="shared" si="210"/>
        <v>0</v>
      </c>
      <c r="AJ431" s="4">
        <f t="shared" si="211"/>
        <v>8.1605182474775049</v>
      </c>
      <c r="AK431" s="4">
        <f t="shared" si="212"/>
        <v>5.1929568508902104</v>
      </c>
      <c r="AL431" s="4">
        <f t="shared" si="213"/>
        <v>0</v>
      </c>
      <c r="AM431" s="4">
        <f>CER!$C$7+CER!$C$8*J431+CER!$C$9*K431+CER!$C$10*L431+CER!$C$11*M431</f>
        <v>3.6475392913369911</v>
      </c>
      <c r="AN431" s="4">
        <f t="shared" si="214"/>
        <v>38.380107493220969</v>
      </c>
      <c r="AO431" s="4">
        <f t="shared" si="215"/>
        <v>0.10790241603660311</v>
      </c>
      <c r="AP431" s="4">
        <f>Alternatives!$F$25+Alternatives!$F$26*J431+Alternatives!$F$27*K431+Alternatives!$F$28*G431+Alternatives!$F$29*O431</f>
        <v>3.489465177780962</v>
      </c>
      <c r="AQ431" s="4">
        <f t="shared" si="216"/>
        <v>0.26597652959263218</v>
      </c>
    </row>
    <row r="432" spans="1:43" x14ac:dyDescent="0.35">
      <c r="A432" s="2" t="s">
        <v>361</v>
      </c>
      <c r="B432" s="2" t="s">
        <v>360</v>
      </c>
      <c r="C432" s="2" t="s">
        <v>67</v>
      </c>
      <c r="D432" s="2">
        <v>45.141300000000001</v>
      </c>
      <c r="E432" s="2">
        <v>3000</v>
      </c>
      <c r="F432" s="2">
        <v>158</v>
      </c>
      <c r="G432" s="2">
        <v>45.6</v>
      </c>
      <c r="H432" s="2" t="s">
        <v>68</v>
      </c>
      <c r="I432" s="4">
        <f t="shared" si="186"/>
        <v>3.8097975702657925</v>
      </c>
      <c r="J432" s="4">
        <f t="shared" si="187"/>
        <v>8.0063675676502459</v>
      </c>
      <c r="K432" s="4">
        <f t="shared" si="188"/>
        <v>5.0625950330269669</v>
      </c>
      <c r="L432" s="2">
        <v>0</v>
      </c>
      <c r="M432" s="2">
        <v>0</v>
      </c>
      <c r="N432" s="4">
        <f t="shared" si="189"/>
        <v>45.6</v>
      </c>
      <c r="O432" s="4">
        <f t="shared" si="190"/>
        <v>0</v>
      </c>
      <c r="P432" s="4">
        <f t="shared" si="191"/>
        <v>0</v>
      </c>
      <c r="Q432" s="4">
        <f t="shared" si="192"/>
        <v>8.0063675676502459</v>
      </c>
      <c r="R432" s="4">
        <f t="shared" si="193"/>
        <v>5.0625950330269669</v>
      </c>
      <c r="S432" s="4">
        <f t="shared" si="194"/>
        <v>45.6</v>
      </c>
      <c r="T432" s="4">
        <f t="shared" si="195"/>
        <v>0</v>
      </c>
      <c r="U432" s="4">
        <f t="shared" si="196"/>
        <v>8.0063675676502459</v>
      </c>
      <c r="V432" s="4">
        <f t="shared" si="197"/>
        <v>5.0625950330269669</v>
      </c>
      <c r="W432" s="4">
        <f t="shared" si="198"/>
        <v>45.6</v>
      </c>
      <c r="X432" s="4">
        <f t="shared" si="199"/>
        <v>0</v>
      </c>
      <c r="Y432" s="4">
        <f t="shared" si="200"/>
        <v>8.0063675676502459</v>
      </c>
      <c r="Z432" s="4">
        <f t="shared" si="201"/>
        <v>5.0625950330269669</v>
      </c>
      <c r="AA432" s="4">
        <f t="shared" si="202"/>
        <v>45.6</v>
      </c>
      <c r="AB432" s="4">
        <f t="shared" si="203"/>
        <v>0</v>
      </c>
      <c r="AC432" s="4">
        <f t="shared" si="204"/>
        <v>0</v>
      </c>
      <c r="AD432" s="4">
        <f t="shared" si="205"/>
        <v>0</v>
      </c>
      <c r="AE432" s="4">
        <f t="shared" si="206"/>
        <v>0</v>
      </c>
      <c r="AF432" s="4">
        <f t="shared" si="207"/>
        <v>0</v>
      </c>
      <c r="AG432" s="4">
        <f t="shared" si="208"/>
        <v>8.0063675676502459</v>
      </c>
      <c r="AH432" s="4">
        <f t="shared" si="209"/>
        <v>0</v>
      </c>
      <c r="AI432" s="4">
        <f t="shared" si="210"/>
        <v>0</v>
      </c>
      <c r="AJ432" s="4">
        <f t="shared" si="211"/>
        <v>8.0063675676502459</v>
      </c>
      <c r="AK432" s="4">
        <f t="shared" si="212"/>
        <v>5.0625950330269669</v>
      </c>
      <c r="AL432" s="4">
        <f t="shared" si="213"/>
        <v>0</v>
      </c>
      <c r="AM432" s="4">
        <f>CER!$C$7+CER!$C$8*J432+CER!$C$9*K432+CER!$C$10*L432+CER!$C$11*M432</f>
        <v>3.7654208831202043</v>
      </c>
      <c r="AN432" s="4">
        <f t="shared" si="214"/>
        <v>43.181876558663866</v>
      </c>
      <c r="AO432" s="4">
        <f t="shared" si="215"/>
        <v>4.4376687145588178E-2</v>
      </c>
      <c r="AP432" s="4">
        <f>Alternatives!$F$25+Alternatives!$F$26*J432+Alternatives!$F$27*K432+Alternatives!$F$28*G432+Alternatives!$F$29*O432</f>
        <v>3.4671067518314556</v>
      </c>
      <c r="AQ432" s="4">
        <f t="shared" si="216"/>
        <v>0.34269081843433691</v>
      </c>
    </row>
    <row r="433" spans="1:43" x14ac:dyDescent="0.35">
      <c r="A433" s="2" t="s">
        <v>361</v>
      </c>
      <c r="B433" s="2" t="s">
        <v>360</v>
      </c>
      <c r="C433" s="2" t="s">
        <v>67</v>
      </c>
      <c r="D433" s="2">
        <v>43.640300000000003</v>
      </c>
      <c r="E433" s="2">
        <v>3000</v>
      </c>
      <c r="F433" s="2">
        <v>158</v>
      </c>
      <c r="G433" s="2">
        <v>45.6</v>
      </c>
      <c r="H433" s="2" t="s">
        <v>68</v>
      </c>
      <c r="I433" s="4">
        <f t="shared" si="186"/>
        <v>3.7759810353683725</v>
      </c>
      <c r="J433" s="4">
        <f t="shared" si="187"/>
        <v>8.0063675676502459</v>
      </c>
      <c r="K433" s="4">
        <f t="shared" si="188"/>
        <v>5.0625950330269669</v>
      </c>
      <c r="L433" s="2">
        <v>0</v>
      </c>
      <c r="M433" s="2">
        <v>0</v>
      </c>
      <c r="N433" s="4">
        <f t="shared" si="189"/>
        <v>45.6</v>
      </c>
      <c r="O433" s="4">
        <f t="shared" si="190"/>
        <v>0</v>
      </c>
      <c r="P433" s="4">
        <f t="shared" si="191"/>
        <v>0</v>
      </c>
      <c r="Q433" s="4">
        <f t="shared" si="192"/>
        <v>8.0063675676502459</v>
      </c>
      <c r="R433" s="4">
        <f t="shared" si="193"/>
        <v>5.0625950330269669</v>
      </c>
      <c r="S433" s="4">
        <f t="shared" si="194"/>
        <v>45.6</v>
      </c>
      <c r="T433" s="4">
        <f t="shared" si="195"/>
        <v>0</v>
      </c>
      <c r="U433" s="4">
        <f t="shared" si="196"/>
        <v>8.0063675676502459</v>
      </c>
      <c r="V433" s="4">
        <f t="shared" si="197"/>
        <v>5.0625950330269669</v>
      </c>
      <c r="W433" s="4">
        <f t="shared" si="198"/>
        <v>45.6</v>
      </c>
      <c r="X433" s="4">
        <f t="shared" si="199"/>
        <v>0</v>
      </c>
      <c r="Y433" s="4">
        <f t="shared" si="200"/>
        <v>8.0063675676502459</v>
      </c>
      <c r="Z433" s="4">
        <f t="shared" si="201"/>
        <v>5.0625950330269669</v>
      </c>
      <c r="AA433" s="4">
        <f t="shared" si="202"/>
        <v>45.6</v>
      </c>
      <c r="AB433" s="4">
        <f t="shared" si="203"/>
        <v>0</v>
      </c>
      <c r="AC433" s="4">
        <f t="shared" si="204"/>
        <v>0</v>
      </c>
      <c r="AD433" s="4">
        <f t="shared" si="205"/>
        <v>0</v>
      </c>
      <c r="AE433" s="4">
        <f t="shared" si="206"/>
        <v>0</v>
      </c>
      <c r="AF433" s="4">
        <f t="shared" si="207"/>
        <v>0</v>
      </c>
      <c r="AG433" s="4">
        <f t="shared" si="208"/>
        <v>8.0063675676502459</v>
      </c>
      <c r="AH433" s="4">
        <f t="shared" si="209"/>
        <v>0</v>
      </c>
      <c r="AI433" s="4">
        <f t="shared" si="210"/>
        <v>0</v>
      </c>
      <c r="AJ433" s="4">
        <f t="shared" si="211"/>
        <v>8.0063675676502459</v>
      </c>
      <c r="AK433" s="4">
        <f t="shared" si="212"/>
        <v>5.0625950330269669</v>
      </c>
      <c r="AL433" s="4">
        <f t="shared" si="213"/>
        <v>0</v>
      </c>
      <c r="AM433" s="4">
        <f>CER!$C$7+CER!$C$8*J433+CER!$C$9*K433+CER!$C$10*L433+CER!$C$11*M433</f>
        <v>3.7654208831202043</v>
      </c>
      <c r="AN433" s="4">
        <f t="shared" si="214"/>
        <v>43.181876558663866</v>
      </c>
      <c r="AO433" s="4">
        <f t="shared" si="215"/>
        <v>1.0560152248168198E-2</v>
      </c>
      <c r="AP433" s="4">
        <f>Alternatives!$F$25+Alternatives!$F$26*J433+Alternatives!$F$27*K433+Alternatives!$F$28*G433+Alternatives!$F$29*O433</f>
        <v>3.4671067518314556</v>
      </c>
      <c r="AQ433" s="4">
        <f t="shared" si="216"/>
        <v>0.30887428353691693</v>
      </c>
    </row>
    <row r="434" spans="1:43" x14ac:dyDescent="0.35">
      <c r="A434" s="2" t="s">
        <v>361</v>
      </c>
      <c r="B434" s="2" t="s">
        <v>360</v>
      </c>
      <c r="C434" s="2" t="s">
        <v>67</v>
      </c>
      <c r="D434" s="2">
        <v>40.329700000000003</v>
      </c>
      <c r="E434" s="2">
        <v>3000</v>
      </c>
      <c r="F434" s="2">
        <v>158</v>
      </c>
      <c r="G434" s="2">
        <v>45.6</v>
      </c>
      <c r="H434" s="2" t="s">
        <v>68</v>
      </c>
      <c r="I434" s="4">
        <f t="shared" si="186"/>
        <v>3.6970881702263183</v>
      </c>
      <c r="J434" s="4">
        <f t="shared" si="187"/>
        <v>8.0063675676502459</v>
      </c>
      <c r="K434" s="4">
        <f t="shared" si="188"/>
        <v>5.0625950330269669</v>
      </c>
      <c r="L434" s="2">
        <v>0</v>
      </c>
      <c r="M434" s="2">
        <v>0</v>
      </c>
      <c r="N434" s="4">
        <f t="shared" si="189"/>
        <v>45.6</v>
      </c>
      <c r="O434" s="4">
        <f t="shared" si="190"/>
        <v>0</v>
      </c>
      <c r="P434" s="4">
        <f t="shared" si="191"/>
        <v>0</v>
      </c>
      <c r="Q434" s="4">
        <f t="shared" si="192"/>
        <v>8.0063675676502459</v>
      </c>
      <c r="R434" s="4">
        <f t="shared" si="193"/>
        <v>5.0625950330269669</v>
      </c>
      <c r="S434" s="4">
        <f t="shared" si="194"/>
        <v>45.6</v>
      </c>
      <c r="T434" s="4">
        <f t="shared" si="195"/>
        <v>0</v>
      </c>
      <c r="U434" s="4">
        <f t="shared" si="196"/>
        <v>8.0063675676502459</v>
      </c>
      <c r="V434" s="4">
        <f t="shared" si="197"/>
        <v>5.0625950330269669</v>
      </c>
      <c r="W434" s="4">
        <f t="shared" si="198"/>
        <v>45.6</v>
      </c>
      <c r="X434" s="4">
        <f t="shared" si="199"/>
        <v>0</v>
      </c>
      <c r="Y434" s="4">
        <f t="shared" si="200"/>
        <v>8.0063675676502459</v>
      </c>
      <c r="Z434" s="4">
        <f t="shared" si="201"/>
        <v>5.0625950330269669</v>
      </c>
      <c r="AA434" s="4">
        <f t="shared" si="202"/>
        <v>45.6</v>
      </c>
      <c r="AB434" s="4">
        <f t="shared" si="203"/>
        <v>0</v>
      </c>
      <c r="AC434" s="4">
        <f t="shared" si="204"/>
        <v>0</v>
      </c>
      <c r="AD434" s="4">
        <f t="shared" si="205"/>
        <v>0</v>
      </c>
      <c r="AE434" s="4">
        <f t="shared" si="206"/>
        <v>0</v>
      </c>
      <c r="AF434" s="4">
        <f t="shared" si="207"/>
        <v>0</v>
      </c>
      <c r="AG434" s="4">
        <f t="shared" si="208"/>
        <v>8.0063675676502459</v>
      </c>
      <c r="AH434" s="4">
        <f t="shared" si="209"/>
        <v>0</v>
      </c>
      <c r="AI434" s="4">
        <f t="shared" si="210"/>
        <v>0</v>
      </c>
      <c r="AJ434" s="4">
        <f t="shared" si="211"/>
        <v>8.0063675676502459</v>
      </c>
      <c r="AK434" s="4">
        <f t="shared" si="212"/>
        <v>5.0625950330269669</v>
      </c>
      <c r="AL434" s="4">
        <f t="shared" si="213"/>
        <v>0</v>
      </c>
      <c r="AM434" s="4">
        <f>CER!$C$7+CER!$C$8*J434+CER!$C$9*K434+CER!$C$10*L434+CER!$C$11*M434</f>
        <v>3.7654208831202043</v>
      </c>
      <c r="AN434" s="4">
        <f t="shared" si="214"/>
        <v>43.181876558663866</v>
      </c>
      <c r="AO434" s="4">
        <f t="shared" si="215"/>
        <v>-6.8332712893885983E-2</v>
      </c>
      <c r="AP434" s="4">
        <f>Alternatives!$F$25+Alternatives!$F$26*J434+Alternatives!$F$27*K434+Alternatives!$F$28*G434+Alternatives!$F$29*O434</f>
        <v>3.4671067518314556</v>
      </c>
      <c r="AQ434" s="4">
        <f t="shared" si="216"/>
        <v>0.22998141839486275</v>
      </c>
    </row>
    <row r="435" spans="1:43" x14ac:dyDescent="0.35">
      <c r="A435" s="2" t="s">
        <v>361</v>
      </c>
      <c r="B435" s="2" t="s">
        <v>360</v>
      </c>
      <c r="C435" s="2" t="s">
        <v>67</v>
      </c>
      <c r="D435" s="2">
        <v>31.2608</v>
      </c>
      <c r="E435" s="2">
        <v>3500</v>
      </c>
      <c r="F435" s="2">
        <v>315</v>
      </c>
      <c r="G435" s="2">
        <v>45.6</v>
      </c>
      <c r="H435" s="2" t="s">
        <v>68</v>
      </c>
      <c r="I435" s="4">
        <f t="shared" si="186"/>
        <v>3.4423649164764862</v>
      </c>
      <c r="J435" s="4">
        <f t="shared" si="187"/>
        <v>8.1605182474775049</v>
      </c>
      <c r="K435" s="4">
        <f t="shared" si="188"/>
        <v>5.7525726388256331</v>
      </c>
      <c r="L435" s="2">
        <v>0</v>
      </c>
      <c r="M435" s="2">
        <v>0</v>
      </c>
      <c r="N435" s="4">
        <f t="shared" si="189"/>
        <v>45.6</v>
      </c>
      <c r="O435" s="4">
        <f t="shared" si="190"/>
        <v>0</v>
      </c>
      <c r="P435" s="4">
        <f t="shared" si="191"/>
        <v>0</v>
      </c>
      <c r="Q435" s="4">
        <f t="shared" si="192"/>
        <v>8.1605182474775049</v>
      </c>
      <c r="R435" s="4">
        <f t="shared" si="193"/>
        <v>5.7525726388256331</v>
      </c>
      <c r="S435" s="4">
        <f t="shared" si="194"/>
        <v>45.6</v>
      </c>
      <c r="T435" s="4">
        <f t="shared" si="195"/>
        <v>0</v>
      </c>
      <c r="U435" s="4">
        <f t="shared" si="196"/>
        <v>8.1605182474775049</v>
      </c>
      <c r="V435" s="4">
        <f t="shared" si="197"/>
        <v>5.7525726388256331</v>
      </c>
      <c r="W435" s="4">
        <f t="shared" si="198"/>
        <v>45.6</v>
      </c>
      <c r="X435" s="4">
        <f t="shared" si="199"/>
        <v>0</v>
      </c>
      <c r="Y435" s="4">
        <f t="shared" si="200"/>
        <v>8.1605182474775049</v>
      </c>
      <c r="Z435" s="4">
        <f t="shared" si="201"/>
        <v>5.7525726388256331</v>
      </c>
      <c r="AA435" s="4">
        <f t="shared" si="202"/>
        <v>45.6</v>
      </c>
      <c r="AB435" s="4">
        <f t="shared" si="203"/>
        <v>0</v>
      </c>
      <c r="AC435" s="4">
        <f t="shared" si="204"/>
        <v>0</v>
      </c>
      <c r="AD435" s="4">
        <f t="shared" si="205"/>
        <v>0</v>
      </c>
      <c r="AE435" s="4">
        <f t="shared" si="206"/>
        <v>0</v>
      </c>
      <c r="AF435" s="4">
        <f t="shared" si="207"/>
        <v>0</v>
      </c>
      <c r="AG435" s="4">
        <f t="shared" si="208"/>
        <v>8.1605182474775049</v>
      </c>
      <c r="AH435" s="4">
        <f t="shared" si="209"/>
        <v>0</v>
      </c>
      <c r="AI435" s="4">
        <f t="shared" si="210"/>
        <v>0</v>
      </c>
      <c r="AJ435" s="4">
        <f t="shared" si="211"/>
        <v>8.1605182474775049</v>
      </c>
      <c r="AK435" s="4">
        <f t="shared" si="212"/>
        <v>5.7525726388256331</v>
      </c>
      <c r="AL435" s="4">
        <f t="shared" si="213"/>
        <v>0</v>
      </c>
      <c r="AM435" s="4">
        <f>CER!$C$7+CER!$C$8*J435+CER!$C$9*K435+CER!$C$10*L435+CER!$C$11*M435</f>
        <v>3.4410725641972681</v>
      </c>
      <c r="AN435" s="4">
        <f t="shared" si="214"/>
        <v>31.220426128121769</v>
      </c>
      <c r="AO435" s="4">
        <f t="shared" si="215"/>
        <v>1.2923522792180897E-3</v>
      </c>
      <c r="AP435" s="4">
        <f>Alternatives!$F$25+Alternatives!$F$26*J435+Alternatives!$F$27*K435+Alternatives!$F$28*G435+Alternatives!$F$29*O435</f>
        <v>3.3405458384116806</v>
      </c>
      <c r="AQ435" s="4">
        <f t="shared" si="216"/>
        <v>0.10181907806480561</v>
      </c>
    </row>
    <row r="436" spans="1:43" x14ac:dyDescent="0.35">
      <c r="A436" s="2" t="s">
        <v>362</v>
      </c>
      <c r="B436" s="2" t="s">
        <v>360</v>
      </c>
      <c r="C436" s="2" t="s">
        <v>67</v>
      </c>
      <c r="D436" s="2">
        <v>45.177799999999998</v>
      </c>
      <c r="E436" s="2">
        <v>3500</v>
      </c>
      <c r="F436" s="2">
        <v>192</v>
      </c>
      <c r="G436" s="2">
        <v>49</v>
      </c>
      <c r="H436" s="2" t="s">
        <v>68</v>
      </c>
      <c r="I436" s="4">
        <f t="shared" si="186"/>
        <v>3.8106058157418214</v>
      </c>
      <c r="J436" s="4">
        <f t="shared" si="187"/>
        <v>8.1605182474775049</v>
      </c>
      <c r="K436" s="4">
        <f t="shared" si="188"/>
        <v>5.2574953720277815</v>
      </c>
      <c r="L436" s="2">
        <v>0</v>
      </c>
      <c r="M436" s="2">
        <v>0</v>
      </c>
      <c r="N436" s="4">
        <f t="shared" si="189"/>
        <v>49</v>
      </c>
      <c r="O436" s="4">
        <f t="shared" si="190"/>
        <v>0</v>
      </c>
      <c r="P436" s="4">
        <f t="shared" si="191"/>
        <v>0</v>
      </c>
      <c r="Q436" s="4">
        <f t="shared" si="192"/>
        <v>8.1605182474775049</v>
      </c>
      <c r="R436" s="4">
        <f t="shared" si="193"/>
        <v>5.2574953720277815</v>
      </c>
      <c r="S436" s="4">
        <f t="shared" si="194"/>
        <v>49</v>
      </c>
      <c r="T436" s="4">
        <f t="shared" si="195"/>
        <v>0</v>
      </c>
      <c r="U436" s="4">
        <f t="shared" si="196"/>
        <v>8.1605182474775049</v>
      </c>
      <c r="V436" s="4">
        <f t="shared" si="197"/>
        <v>5.2574953720277815</v>
      </c>
      <c r="W436" s="4">
        <f t="shared" si="198"/>
        <v>49</v>
      </c>
      <c r="X436" s="4">
        <f t="shared" si="199"/>
        <v>0</v>
      </c>
      <c r="Y436" s="4">
        <f t="shared" si="200"/>
        <v>8.1605182474775049</v>
      </c>
      <c r="Z436" s="4">
        <f t="shared" si="201"/>
        <v>5.2574953720277815</v>
      </c>
      <c r="AA436" s="4">
        <f t="shared" si="202"/>
        <v>49</v>
      </c>
      <c r="AB436" s="4">
        <f t="shared" si="203"/>
        <v>0</v>
      </c>
      <c r="AC436" s="4">
        <f t="shared" si="204"/>
        <v>0</v>
      </c>
      <c r="AD436" s="4">
        <f t="shared" si="205"/>
        <v>0</v>
      </c>
      <c r="AE436" s="4">
        <f t="shared" si="206"/>
        <v>0</v>
      </c>
      <c r="AF436" s="4">
        <f t="shared" si="207"/>
        <v>0</v>
      </c>
      <c r="AG436" s="4">
        <f t="shared" si="208"/>
        <v>8.1605182474775049</v>
      </c>
      <c r="AH436" s="4">
        <f t="shared" si="209"/>
        <v>0</v>
      </c>
      <c r="AI436" s="4">
        <f t="shared" si="210"/>
        <v>0</v>
      </c>
      <c r="AJ436" s="4">
        <f t="shared" si="211"/>
        <v>8.1605182474775049</v>
      </c>
      <c r="AK436" s="4">
        <f t="shared" si="212"/>
        <v>5.2574953720277815</v>
      </c>
      <c r="AL436" s="4">
        <f t="shared" si="213"/>
        <v>0</v>
      </c>
      <c r="AM436" s="4">
        <f>CER!$C$7+CER!$C$8*J436+CER!$C$9*K436+CER!$C$10*L436+CER!$C$11*M436</f>
        <v>3.6237282096609862</v>
      </c>
      <c r="AN436" s="4">
        <f t="shared" si="214"/>
        <v>37.477029913545692</v>
      </c>
      <c r="AO436" s="4">
        <f t="shared" si="215"/>
        <v>0.18687760608083526</v>
      </c>
      <c r="AP436" s="4">
        <f>Alternatives!$F$25+Alternatives!$F$26*J436+Alternatives!$F$27*K436+Alternatives!$F$28*G436+Alternatives!$F$29*O436</f>
        <v>3.4280659645485247</v>
      </c>
      <c r="AQ436" s="4">
        <f t="shared" si="216"/>
        <v>0.3825398511932967</v>
      </c>
    </row>
    <row r="437" spans="1:43" x14ac:dyDescent="0.35">
      <c r="A437" s="2" t="s">
        <v>362</v>
      </c>
      <c r="B437" s="2" t="s">
        <v>360</v>
      </c>
      <c r="C437" s="2" t="s">
        <v>33</v>
      </c>
      <c r="D437" s="2">
        <v>69.817099999999996</v>
      </c>
      <c r="E437" s="2">
        <v>3500</v>
      </c>
      <c r="F437" s="2">
        <v>146</v>
      </c>
      <c r="G437" s="2">
        <v>49</v>
      </c>
      <c r="H437" s="2" t="s">
        <v>68</v>
      </c>
      <c r="I437" s="4">
        <f t="shared" si="186"/>
        <v>4.2458789654375897</v>
      </c>
      <c r="J437" s="4">
        <f t="shared" si="187"/>
        <v>8.1605182474775049</v>
      </c>
      <c r="K437" s="4">
        <f t="shared" si="188"/>
        <v>4.9836066217083363</v>
      </c>
      <c r="L437" s="2">
        <v>1</v>
      </c>
      <c r="M437" s="2">
        <v>0</v>
      </c>
      <c r="N437" s="4">
        <f t="shared" si="189"/>
        <v>49</v>
      </c>
      <c r="O437" s="4">
        <f t="shared" si="190"/>
        <v>1</v>
      </c>
      <c r="P437" s="4">
        <f t="shared" si="191"/>
        <v>1</v>
      </c>
      <c r="Q437" s="4">
        <f t="shared" si="192"/>
        <v>8.1605182474775049</v>
      </c>
      <c r="R437" s="4">
        <f t="shared" si="193"/>
        <v>4.9836066217083363</v>
      </c>
      <c r="S437" s="4">
        <f t="shared" si="194"/>
        <v>49</v>
      </c>
      <c r="T437" s="4">
        <f t="shared" si="195"/>
        <v>1</v>
      </c>
      <c r="U437" s="4">
        <f t="shared" si="196"/>
        <v>8.1605182474775049</v>
      </c>
      <c r="V437" s="4">
        <f t="shared" si="197"/>
        <v>4.9836066217083363</v>
      </c>
      <c r="W437" s="4">
        <f t="shared" si="198"/>
        <v>49</v>
      </c>
      <c r="X437" s="4">
        <f t="shared" si="199"/>
        <v>1</v>
      </c>
      <c r="Y437" s="4">
        <f t="shared" si="200"/>
        <v>8.1605182474775049</v>
      </c>
      <c r="Z437" s="4">
        <f t="shared" si="201"/>
        <v>4.9836066217083363</v>
      </c>
      <c r="AA437" s="4">
        <f t="shared" si="202"/>
        <v>49</v>
      </c>
      <c r="AB437" s="4">
        <f t="shared" si="203"/>
        <v>1</v>
      </c>
      <c r="AC437" s="4">
        <f t="shared" si="204"/>
        <v>0</v>
      </c>
      <c r="AD437" s="4">
        <f t="shared" si="205"/>
        <v>0</v>
      </c>
      <c r="AE437" s="4">
        <f t="shared" si="206"/>
        <v>0</v>
      </c>
      <c r="AF437" s="4">
        <f t="shared" si="207"/>
        <v>0</v>
      </c>
      <c r="AG437" s="4">
        <f t="shared" si="208"/>
        <v>8.1605182474775049</v>
      </c>
      <c r="AH437" s="4">
        <f t="shared" si="209"/>
        <v>1</v>
      </c>
      <c r="AI437" s="4">
        <f t="shared" si="210"/>
        <v>0</v>
      </c>
      <c r="AJ437" s="4">
        <f t="shared" si="211"/>
        <v>8.1605182474775049</v>
      </c>
      <c r="AK437" s="4">
        <f t="shared" si="212"/>
        <v>4.9836066217083363</v>
      </c>
      <c r="AL437" s="4">
        <f t="shared" si="213"/>
        <v>0</v>
      </c>
      <c r="AM437" s="4">
        <f>CER!$C$7+CER!$C$8*J437+CER!$C$9*K437+CER!$C$10*L437+CER!$C$11*M437</f>
        <v>3.9485313123595676</v>
      </c>
      <c r="AN437" s="4">
        <f t="shared" si="214"/>
        <v>51.859145989467528</v>
      </c>
      <c r="AO437" s="4">
        <f t="shared" si="215"/>
        <v>0.29734765307802213</v>
      </c>
      <c r="AP437" s="4">
        <f>Alternatives!$F$25+Alternatives!$F$26*J437+Alternatives!$F$27*K437+Alternatives!$F$28*G437+Alternatives!$F$29*O437</f>
        <v>4.3456904200153676</v>
      </c>
      <c r="AQ437" s="4">
        <f t="shared" si="216"/>
        <v>-9.9811454577777958E-2</v>
      </c>
    </row>
    <row r="438" spans="1:43" x14ac:dyDescent="0.35">
      <c r="A438" s="2" t="s">
        <v>363</v>
      </c>
      <c r="B438" s="2" t="s">
        <v>360</v>
      </c>
      <c r="C438" s="2" t="s">
        <v>33</v>
      </c>
      <c r="D438" s="2">
        <v>63.3553</v>
      </c>
      <c r="E438" s="2">
        <v>3500</v>
      </c>
      <c r="F438" s="2">
        <v>146</v>
      </c>
      <c r="G438" s="2">
        <v>48.7</v>
      </c>
      <c r="H438" s="2" t="s">
        <v>68</v>
      </c>
      <c r="I438" s="4">
        <f t="shared" si="186"/>
        <v>4.1487585654618213</v>
      </c>
      <c r="J438" s="4">
        <f t="shared" si="187"/>
        <v>8.1605182474775049</v>
      </c>
      <c r="K438" s="4">
        <f t="shared" si="188"/>
        <v>4.9836066217083363</v>
      </c>
      <c r="L438" s="2">
        <v>1</v>
      </c>
      <c r="M438" s="2">
        <v>0</v>
      </c>
      <c r="N438" s="4">
        <f t="shared" si="189"/>
        <v>48.7</v>
      </c>
      <c r="O438" s="4">
        <f t="shared" si="190"/>
        <v>1</v>
      </c>
      <c r="P438" s="4">
        <f t="shared" si="191"/>
        <v>1</v>
      </c>
      <c r="Q438" s="4">
        <f t="shared" si="192"/>
        <v>8.1605182474775049</v>
      </c>
      <c r="R438" s="4">
        <f t="shared" si="193"/>
        <v>4.9836066217083363</v>
      </c>
      <c r="S438" s="4">
        <f t="shared" si="194"/>
        <v>48.7</v>
      </c>
      <c r="T438" s="4">
        <f t="shared" si="195"/>
        <v>1</v>
      </c>
      <c r="U438" s="4">
        <f t="shared" si="196"/>
        <v>8.1605182474775049</v>
      </c>
      <c r="V438" s="4">
        <f t="shared" si="197"/>
        <v>4.9836066217083363</v>
      </c>
      <c r="W438" s="4">
        <f t="shared" si="198"/>
        <v>48.7</v>
      </c>
      <c r="X438" s="4">
        <f t="shared" si="199"/>
        <v>1</v>
      </c>
      <c r="Y438" s="4">
        <f t="shared" si="200"/>
        <v>8.1605182474775049</v>
      </c>
      <c r="Z438" s="4">
        <f t="shared" si="201"/>
        <v>4.9836066217083363</v>
      </c>
      <c r="AA438" s="4">
        <f t="shared" si="202"/>
        <v>48.7</v>
      </c>
      <c r="AB438" s="4">
        <f t="shared" si="203"/>
        <v>1</v>
      </c>
      <c r="AC438" s="4">
        <f t="shared" si="204"/>
        <v>0</v>
      </c>
      <c r="AD438" s="4">
        <f t="shared" si="205"/>
        <v>0</v>
      </c>
      <c r="AE438" s="4">
        <f t="shared" si="206"/>
        <v>0</v>
      </c>
      <c r="AF438" s="4">
        <f t="shared" si="207"/>
        <v>0</v>
      </c>
      <c r="AG438" s="4">
        <f t="shared" si="208"/>
        <v>8.1605182474775049</v>
      </c>
      <c r="AH438" s="4">
        <f t="shared" si="209"/>
        <v>1</v>
      </c>
      <c r="AI438" s="4">
        <f t="shared" si="210"/>
        <v>0</v>
      </c>
      <c r="AJ438" s="4">
        <f t="shared" si="211"/>
        <v>8.1605182474775049</v>
      </c>
      <c r="AK438" s="4">
        <f t="shared" si="212"/>
        <v>4.9836066217083363</v>
      </c>
      <c r="AL438" s="4">
        <f t="shared" si="213"/>
        <v>0</v>
      </c>
      <c r="AM438" s="4">
        <f>CER!$C$7+CER!$C$8*J438+CER!$C$9*K438+CER!$C$10*L438+CER!$C$11*M438</f>
        <v>3.9485313123595676</v>
      </c>
      <c r="AN438" s="4">
        <f t="shared" si="214"/>
        <v>51.859145989467528</v>
      </c>
      <c r="AO438" s="4">
        <f t="shared" si="215"/>
        <v>0.20022725310225375</v>
      </c>
      <c r="AP438" s="4">
        <f>Alternatives!$F$25+Alternatives!$F$26*J438+Alternatives!$F$27*K438+Alternatives!$F$28*G438+Alternatives!$F$29*O438</f>
        <v>4.3495926143780359</v>
      </c>
      <c r="AQ438" s="4">
        <f t="shared" si="216"/>
        <v>-0.20083404891621459</v>
      </c>
    </row>
    <row r="439" spans="1:43" x14ac:dyDescent="0.35">
      <c r="A439" s="2" t="s">
        <v>364</v>
      </c>
      <c r="B439" s="2" t="s">
        <v>360</v>
      </c>
      <c r="C439" s="2" t="s">
        <v>67</v>
      </c>
      <c r="D439" s="2">
        <v>39.121899999999997</v>
      </c>
      <c r="E439" s="2">
        <v>4000</v>
      </c>
      <c r="F439" s="2">
        <v>190</v>
      </c>
      <c r="G439" s="2">
        <v>46.9</v>
      </c>
      <c r="H439" s="2" t="s">
        <v>68</v>
      </c>
      <c r="I439" s="4">
        <f t="shared" si="186"/>
        <v>3.666682412494362</v>
      </c>
      <c r="J439" s="4">
        <f t="shared" si="187"/>
        <v>8.2940496401020276</v>
      </c>
      <c r="K439" s="4">
        <f t="shared" si="188"/>
        <v>5.2470240721604862</v>
      </c>
      <c r="L439" s="2">
        <v>0</v>
      </c>
      <c r="M439" s="2">
        <v>0</v>
      </c>
      <c r="N439" s="4">
        <f t="shared" si="189"/>
        <v>46.9</v>
      </c>
      <c r="O439" s="4">
        <f t="shared" si="190"/>
        <v>0</v>
      </c>
      <c r="P439" s="4">
        <f t="shared" si="191"/>
        <v>0</v>
      </c>
      <c r="Q439" s="4">
        <f t="shared" si="192"/>
        <v>8.2940496401020276</v>
      </c>
      <c r="R439" s="4">
        <f t="shared" si="193"/>
        <v>5.2470240721604862</v>
      </c>
      <c r="S439" s="4">
        <f t="shared" si="194"/>
        <v>46.9</v>
      </c>
      <c r="T439" s="4">
        <f t="shared" si="195"/>
        <v>0</v>
      </c>
      <c r="U439" s="4">
        <f t="shared" si="196"/>
        <v>8.2940496401020276</v>
      </c>
      <c r="V439" s="4">
        <f t="shared" si="197"/>
        <v>5.2470240721604862</v>
      </c>
      <c r="W439" s="4">
        <f t="shared" si="198"/>
        <v>46.9</v>
      </c>
      <c r="X439" s="4">
        <f t="shared" si="199"/>
        <v>0</v>
      </c>
      <c r="Y439" s="4">
        <f t="shared" si="200"/>
        <v>8.2940496401020276</v>
      </c>
      <c r="Z439" s="4">
        <f t="shared" si="201"/>
        <v>5.2470240721604862</v>
      </c>
      <c r="AA439" s="4">
        <f t="shared" si="202"/>
        <v>46.9</v>
      </c>
      <c r="AB439" s="4">
        <f t="shared" si="203"/>
        <v>0</v>
      </c>
      <c r="AC439" s="4">
        <f t="shared" si="204"/>
        <v>0</v>
      </c>
      <c r="AD439" s="4">
        <f t="shared" si="205"/>
        <v>0</v>
      </c>
      <c r="AE439" s="4">
        <f t="shared" si="206"/>
        <v>0</v>
      </c>
      <c r="AF439" s="4">
        <f t="shared" si="207"/>
        <v>0</v>
      </c>
      <c r="AG439" s="4">
        <f t="shared" si="208"/>
        <v>8.2940496401020276</v>
      </c>
      <c r="AH439" s="4">
        <f t="shared" si="209"/>
        <v>0</v>
      </c>
      <c r="AI439" s="4">
        <f t="shared" si="210"/>
        <v>0</v>
      </c>
      <c r="AJ439" s="4">
        <f t="shared" si="211"/>
        <v>8.2940496401020276</v>
      </c>
      <c r="AK439" s="4">
        <f t="shared" si="212"/>
        <v>5.2470240721604862</v>
      </c>
      <c r="AL439" s="4">
        <f t="shared" si="213"/>
        <v>0</v>
      </c>
      <c r="AM439" s="4">
        <f>CER!$C$7+CER!$C$8*J439+CER!$C$9*K439+CER!$C$10*L439+CER!$C$11*M439</f>
        <v>3.5671406507256558</v>
      </c>
      <c r="AN439" s="4">
        <f t="shared" si="214"/>
        <v>35.415183858160525</v>
      </c>
      <c r="AO439" s="4">
        <f t="shared" si="215"/>
        <v>9.9541761768706216E-2</v>
      </c>
      <c r="AP439" s="4">
        <f>Alternatives!$F$25+Alternatives!$F$26*J439+Alternatives!$F$27*K439+Alternatives!$F$28*G439+Alternatives!$F$29*O439</f>
        <v>3.5075859384045844</v>
      </c>
      <c r="AQ439" s="4">
        <f t="shared" si="216"/>
        <v>0.15909647408977756</v>
      </c>
    </row>
    <row r="440" spans="1:43" x14ac:dyDescent="0.35">
      <c r="A440" s="2" t="s">
        <v>364</v>
      </c>
      <c r="B440" s="2" t="s">
        <v>360</v>
      </c>
      <c r="C440" s="2" t="s">
        <v>33</v>
      </c>
      <c r="D440" s="2">
        <v>52.924500000000002</v>
      </c>
      <c r="E440" s="2">
        <v>4000</v>
      </c>
      <c r="F440" s="2">
        <v>145</v>
      </c>
      <c r="G440" s="2">
        <v>46.9</v>
      </c>
      <c r="H440" s="2" t="s">
        <v>68</v>
      </c>
      <c r="I440" s="4">
        <f t="shared" si="186"/>
        <v>3.9688663696451738</v>
      </c>
      <c r="J440" s="4">
        <f t="shared" si="187"/>
        <v>8.2940496401020276</v>
      </c>
      <c r="K440" s="4">
        <f t="shared" si="188"/>
        <v>4.9767337424205742</v>
      </c>
      <c r="L440" s="2">
        <v>1</v>
      </c>
      <c r="M440" s="2">
        <v>0</v>
      </c>
      <c r="N440" s="4">
        <f t="shared" si="189"/>
        <v>46.9</v>
      </c>
      <c r="O440" s="4">
        <f t="shared" si="190"/>
        <v>1</v>
      </c>
      <c r="P440" s="4">
        <f t="shared" si="191"/>
        <v>1</v>
      </c>
      <c r="Q440" s="4">
        <f t="shared" si="192"/>
        <v>8.2940496401020276</v>
      </c>
      <c r="R440" s="4">
        <f t="shared" si="193"/>
        <v>4.9767337424205742</v>
      </c>
      <c r="S440" s="4">
        <f t="shared" si="194"/>
        <v>46.9</v>
      </c>
      <c r="T440" s="4">
        <f t="shared" si="195"/>
        <v>1</v>
      </c>
      <c r="U440" s="4">
        <f t="shared" si="196"/>
        <v>8.2940496401020276</v>
      </c>
      <c r="V440" s="4">
        <f t="shared" si="197"/>
        <v>4.9767337424205742</v>
      </c>
      <c r="W440" s="4">
        <f t="shared" si="198"/>
        <v>46.9</v>
      </c>
      <c r="X440" s="4">
        <f t="shared" si="199"/>
        <v>1</v>
      </c>
      <c r="Y440" s="4">
        <f t="shared" si="200"/>
        <v>8.2940496401020276</v>
      </c>
      <c r="Z440" s="4">
        <f t="shared" si="201"/>
        <v>4.9767337424205742</v>
      </c>
      <c r="AA440" s="4">
        <f t="shared" si="202"/>
        <v>46.9</v>
      </c>
      <c r="AB440" s="4">
        <f t="shared" si="203"/>
        <v>1</v>
      </c>
      <c r="AC440" s="4">
        <f t="shared" si="204"/>
        <v>0</v>
      </c>
      <c r="AD440" s="4">
        <f t="shared" si="205"/>
        <v>0</v>
      </c>
      <c r="AE440" s="4">
        <f t="shared" si="206"/>
        <v>0</v>
      </c>
      <c r="AF440" s="4">
        <f t="shared" si="207"/>
        <v>0</v>
      </c>
      <c r="AG440" s="4">
        <f t="shared" si="208"/>
        <v>8.2940496401020276</v>
      </c>
      <c r="AH440" s="4">
        <f t="shared" si="209"/>
        <v>1</v>
      </c>
      <c r="AI440" s="4">
        <f t="shared" si="210"/>
        <v>0</v>
      </c>
      <c r="AJ440" s="4">
        <f t="shared" si="211"/>
        <v>8.2940496401020276</v>
      </c>
      <c r="AK440" s="4">
        <f t="shared" si="212"/>
        <v>4.9767337424205742</v>
      </c>
      <c r="AL440" s="4">
        <f t="shared" si="213"/>
        <v>0</v>
      </c>
      <c r="AM440" s="4">
        <f>CER!$C$7+CER!$C$8*J440+CER!$C$9*K440+CER!$C$10*L440+CER!$C$11*M440</f>
        <v>3.8906161387715672</v>
      </c>
      <c r="AN440" s="4">
        <f t="shared" si="214"/>
        <v>48.941031703124118</v>
      </c>
      <c r="AO440" s="4">
        <f t="shared" si="215"/>
        <v>7.8250230873606608E-2</v>
      </c>
      <c r="AP440" s="4">
        <f>Alternatives!$F$25+Alternatives!$F$26*J440+Alternatives!$F$27*K440+Alternatives!$F$28*G440+Alternatives!$F$29*O440</f>
        <v>4.4242528182864831</v>
      </c>
      <c r="AQ440" s="4">
        <f t="shared" si="216"/>
        <v>-0.45538644864130928</v>
      </c>
    </row>
    <row r="441" spans="1:43" x14ac:dyDescent="0.35">
      <c r="A441" s="2" t="s">
        <v>365</v>
      </c>
      <c r="B441" s="2" t="s">
        <v>360</v>
      </c>
      <c r="C441" s="2" t="s">
        <v>67</v>
      </c>
      <c r="D441" s="2">
        <v>41.339700000000001</v>
      </c>
      <c r="E441" s="2">
        <v>3500</v>
      </c>
      <c r="F441" s="2">
        <v>190</v>
      </c>
      <c r="G441" s="2">
        <v>47.1</v>
      </c>
      <c r="H441" s="2" t="s">
        <v>68</v>
      </c>
      <c r="I441" s="4">
        <f t="shared" si="186"/>
        <v>3.7218232973332417</v>
      </c>
      <c r="J441" s="4">
        <f t="shared" si="187"/>
        <v>8.1605182474775049</v>
      </c>
      <c r="K441" s="4">
        <f t="shared" si="188"/>
        <v>5.2470240721604862</v>
      </c>
      <c r="L441" s="2">
        <v>0</v>
      </c>
      <c r="M441" s="2">
        <v>0</v>
      </c>
      <c r="N441" s="4">
        <f t="shared" si="189"/>
        <v>47.1</v>
      </c>
      <c r="O441" s="4">
        <f t="shared" si="190"/>
        <v>0</v>
      </c>
      <c r="P441" s="4">
        <f t="shared" si="191"/>
        <v>0</v>
      </c>
      <c r="Q441" s="4">
        <f t="shared" si="192"/>
        <v>8.1605182474775049</v>
      </c>
      <c r="R441" s="4">
        <f t="shared" si="193"/>
        <v>5.2470240721604862</v>
      </c>
      <c r="S441" s="4">
        <f t="shared" si="194"/>
        <v>47.1</v>
      </c>
      <c r="T441" s="4">
        <f t="shared" si="195"/>
        <v>0</v>
      </c>
      <c r="U441" s="4">
        <f t="shared" si="196"/>
        <v>8.1605182474775049</v>
      </c>
      <c r="V441" s="4">
        <f t="shared" si="197"/>
        <v>5.2470240721604862</v>
      </c>
      <c r="W441" s="4">
        <f t="shared" si="198"/>
        <v>47.1</v>
      </c>
      <c r="X441" s="4">
        <f t="shared" si="199"/>
        <v>0</v>
      </c>
      <c r="Y441" s="4">
        <f t="shared" si="200"/>
        <v>8.1605182474775049</v>
      </c>
      <c r="Z441" s="4">
        <f t="shared" si="201"/>
        <v>5.2470240721604862</v>
      </c>
      <c r="AA441" s="4">
        <f t="shared" si="202"/>
        <v>47.1</v>
      </c>
      <c r="AB441" s="4">
        <f t="shared" si="203"/>
        <v>0</v>
      </c>
      <c r="AC441" s="4">
        <f t="shared" si="204"/>
        <v>0</v>
      </c>
      <c r="AD441" s="4">
        <f t="shared" si="205"/>
        <v>0</v>
      </c>
      <c r="AE441" s="4">
        <f t="shared" si="206"/>
        <v>0</v>
      </c>
      <c r="AF441" s="4">
        <f t="shared" si="207"/>
        <v>0</v>
      </c>
      <c r="AG441" s="4">
        <f t="shared" si="208"/>
        <v>8.1605182474775049</v>
      </c>
      <c r="AH441" s="4">
        <f t="shared" si="209"/>
        <v>0</v>
      </c>
      <c r="AI441" s="4">
        <f t="shared" si="210"/>
        <v>0</v>
      </c>
      <c r="AJ441" s="4">
        <f t="shared" si="211"/>
        <v>8.1605182474775049</v>
      </c>
      <c r="AK441" s="4">
        <f t="shared" si="212"/>
        <v>5.2470240721604862</v>
      </c>
      <c r="AL441" s="4">
        <f t="shared" si="213"/>
        <v>0</v>
      </c>
      <c r="AM441" s="4">
        <f>CER!$C$7+CER!$C$8*J441+CER!$C$9*K441+CER!$C$10*L441+CER!$C$11*M441</f>
        <v>3.6275915299230457</v>
      </c>
      <c r="AN441" s="4">
        <f t="shared" si="214"/>
        <v>37.622095719978667</v>
      </c>
      <c r="AO441" s="4">
        <f t="shared" si="215"/>
        <v>9.423176741019601E-2</v>
      </c>
      <c r="AP441" s="4">
        <f>Alternatives!$F$25+Alternatives!$F$26*J441+Alternatives!$F$27*K441+Alternatives!$F$28*G441+Alternatives!$F$29*O441</f>
        <v>3.455566379450417</v>
      </c>
      <c r="AQ441" s="4">
        <f t="shared" si="216"/>
        <v>0.26625691788282468</v>
      </c>
    </row>
    <row r="442" spans="1:43" x14ac:dyDescent="0.35">
      <c r="A442" s="2" t="s">
        <v>365</v>
      </c>
      <c r="B442" s="2" t="s">
        <v>360</v>
      </c>
      <c r="C442" s="2" t="s">
        <v>33</v>
      </c>
      <c r="D442" s="2">
        <v>58.0184</v>
      </c>
      <c r="E442" s="2">
        <v>4000</v>
      </c>
      <c r="F442" s="2">
        <v>145</v>
      </c>
      <c r="G442" s="2">
        <v>47.1</v>
      </c>
      <c r="H442" s="2" t="s">
        <v>68</v>
      </c>
      <c r="I442" s="4">
        <f t="shared" si="186"/>
        <v>4.0607602016153237</v>
      </c>
      <c r="J442" s="4">
        <f t="shared" si="187"/>
        <v>8.2940496401020276</v>
      </c>
      <c r="K442" s="4">
        <f t="shared" si="188"/>
        <v>4.9767337424205742</v>
      </c>
      <c r="L442" s="2">
        <v>1</v>
      </c>
      <c r="M442" s="2">
        <v>0</v>
      </c>
      <c r="N442" s="4">
        <f t="shared" si="189"/>
        <v>47.1</v>
      </c>
      <c r="O442" s="4">
        <f t="shared" si="190"/>
        <v>1</v>
      </c>
      <c r="P442" s="4">
        <f t="shared" si="191"/>
        <v>1</v>
      </c>
      <c r="Q442" s="4">
        <f t="shared" si="192"/>
        <v>8.2940496401020276</v>
      </c>
      <c r="R442" s="4">
        <f t="shared" si="193"/>
        <v>4.9767337424205742</v>
      </c>
      <c r="S442" s="4">
        <f t="shared" si="194"/>
        <v>47.1</v>
      </c>
      <c r="T442" s="4">
        <f t="shared" si="195"/>
        <v>1</v>
      </c>
      <c r="U442" s="4">
        <f t="shared" si="196"/>
        <v>8.2940496401020276</v>
      </c>
      <c r="V442" s="4">
        <f t="shared" si="197"/>
        <v>4.9767337424205742</v>
      </c>
      <c r="W442" s="4">
        <f t="shared" si="198"/>
        <v>47.1</v>
      </c>
      <c r="X442" s="4">
        <f t="shared" si="199"/>
        <v>1</v>
      </c>
      <c r="Y442" s="4">
        <f t="shared" si="200"/>
        <v>8.2940496401020276</v>
      </c>
      <c r="Z442" s="4">
        <f t="shared" si="201"/>
        <v>4.9767337424205742</v>
      </c>
      <c r="AA442" s="4">
        <f t="shared" si="202"/>
        <v>47.1</v>
      </c>
      <c r="AB442" s="4">
        <f t="shared" si="203"/>
        <v>1</v>
      </c>
      <c r="AC442" s="4">
        <f t="shared" si="204"/>
        <v>0</v>
      </c>
      <c r="AD442" s="4">
        <f t="shared" si="205"/>
        <v>0</v>
      </c>
      <c r="AE442" s="4">
        <f t="shared" si="206"/>
        <v>0</v>
      </c>
      <c r="AF442" s="4">
        <f t="shared" si="207"/>
        <v>0</v>
      </c>
      <c r="AG442" s="4">
        <f t="shared" si="208"/>
        <v>8.2940496401020276</v>
      </c>
      <c r="AH442" s="4">
        <f t="shared" si="209"/>
        <v>1</v>
      </c>
      <c r="AI442" s="4">
        <f t="shared" si="210"/>
        <v>0</v>
      </c>
      <c r="AJ442" s="4">
        <f t="shared" si="211"/>
        <v>8.2940496401020276</v>
      </c>
      <c r="AK442" s="4">
        <f t="shared" si="212"/>
        <v>4.9767337424205742</v>
      </c>
      <c r="AL442" s="4">
        <f t="shared" si="213"/>
        <v>0</v>
      </c>
      <c r="AM442" s="4">
        <f>CER!$C$7+CER!$C$8*J442+CER!$C$9*K442+CER!$C$10*L442+CER!$C$11*M442</f>
        <v>3.8906161387715672</v>
      </c>
      <c r="AN442" s="4">
        <f t="shared" si="214"/>
        <v>48.941031703124118</v>
      </c>
      <c r="AO442" s="4">
        <f t="shared" si="215"/>
        <v>0.17014406284375649</v>
      </c>
      <c r="AP442" s="4">
        <f>Alternatives!$F$25+Alternatives!$F$26*J442+Alternatives!$F$27*K442+Alternatives!$F$28*G442+Alternatives!$F$29*O442</f>
        <v>4.421651355378037</v>
      </c>
      <c r="AQ442" s="4">
        <f t="shared" si="216"/>
        <v>-0.3608911537627133</v>
      </c>
    </row>
    <row r="443" spans="1:43" x14ac:dyDescent="0.35">
      <c r="A443" s="2" t="s">
        <v>366</v>
      </c>
      <c r="B443" s="2" t="s">
        <v>360</v>
      </c>
      <c r="C443" s="2" t="s">
        <v>67</v>
      </c>
      <c r="D443" s="2">
        <v>36.486600000000003</v>
      </c>
      <c r="E443" s="2">
        <v>3500</v>
      </c>
      <c r="F443" s="2">
        <v>158</v>
      </c>
      <c r="G443" s="2">
        <v>45.6</v>
      </c>
      <c r="H443" s="2" t="s">
        <v>68</v>
      </c>
      <c r="I443" s="4">
        <f t="shared" si="186"/>
        <v>3.5969450698945225</v>
      </c>
      <c r="J443" s="4">
        <f t="shared" si="187"/>
        <v>8.1605182474775049</v>
      </c>
      <c r="K443" s="4">
        <f t="shared" si="188"/>
        <v>5.0625950330269669</v>
      </c>
      <c r="L443" s="2">
        <v>0</v>
      </c>
      <c r="M443" s="2">
        <v>0</v>
      </c>
      <c r="N443" s="4">
        <f t="shared" si="189"/>
        <v>45.6</v>
      </c>
      <c r="O443" s="4">
        <f t="shared" si="190"/>
        <v>0</v>
      </c>
      <c r="P443" s="4">
        <f t="shared" si="191"/>
        <v>0</v>
      </c>
      <c r="Q443" s="4">
        <f t="shared" si="192"/>
        <v>8.1605182474775049</v>
      </c>
      <c r="R443" s="4">
        <f t="shared" si="193"/>
        <v>5.0625950330269669</v>
      </c>
      <c r="S443" s="4">
        <f t="shared" si="194"/>
        <v>45.6</v>
      </c>
      <c r="T443" s="4">
        <f t="shared" si="195"/>
        <v>0</v>
      </c>
      <c r="U443" s="4">
        <f t="shared" si="196"/>
        <v>8.1605182474775049</v>
      </c>
      <c r="V443" s="4">
        <f t="shared" si="197"/>
        <v>5.0625950330269669</v>
      </c>
      <c r="W443" s="4">
        <f t="shared" si="198"/>
        <v>45.6</v>
      </c>
      <c r="X443" s="4">
        <f t="shared" si="199"/>
        <v>0</v>
      </c>
      <c r="Y443" s="4">
        <f t="shared" si="200"/>
        <v>8.1605182474775049</v>
      </c>
      <c r="Z443" s="4">
        <f t="shared" si="201"/>
        <v>5.0625950330269669</v>
      </c>
      <c r="AA443" s="4">
        <f t="shared" si="202"/>
        <v>45.6</v>
      </c>
      <c r="AB443" s="4">
        <f t="shared" si="203"/>
        <v>0</v>
      </c>
      <c r="AC443" s="4">
        <f t="shared" si="204"/>
        <v>0</v>
      </c>
      <c r="AD443" s="4">
        <f t="shared" si="205"/>
        <v>0</v>
      </c>
      <c r="AE443" s="4">
        <f t="shared" si="206"/>
        <v>0</v>
      </c>
      <c r="AF443" s="4">
        <f t="shared" si="207"/>
        <v>0</v>
      </c>
      <c r="AG443" s="4">
        <f t="shared" si="208"/>
        <v>8.1605182474775049</v>
      </c>
      <c r="AH443" s="4">
        <f t="shared" si="209"/>
        <v>0</v>
      </c>
      <c r="AI443" s="4">
        <f t="shared" si="210"/>
        <v>0</v>
      </c>
      <c r="AJ443" s="4">
        <f t="shared" si="211"/>
        <v>8.1605182474775049</v>
      </c>
      <c r="AK443" s="4">
        <f t="shared" si="212"/>
        <v>5.0625950330269669</v>
      </c>
      <c r="AL443" s="4">
        <f t="shared" si="213"/>
        <v>0</v>
      </c>
      <c r="AM443" s="4">
        <f>CER!$C$7+CER!$C$8*J443+CER!$C$9*K443+CER!$C$10*L443+CER!$C$11*M443</f>
        <v>3.695635464565961</v>
      </c>
      <c r="AN443" s="4">
        <f t="shared" si="214"/>
        <v>40.27115535089689</v>
      </c>
      <c r="AO443" s="4">
        <f t="shared" si="215"/>
        <v>-9.8690394671438586E-2</v>
      </c>
      <c r="AP443" s="4">
        <f>Alternatives!$F$25+Alternatives!$F$26*J443+Alternatives!$F$27*K443+Alternatives!$F$28*G443+Alternatives!$F$29*O443</f>
        <v>3.5241557569492055</v>
      </c>
      <c r="AQ443" s="4">
        <f t="shared" si="216"/>
        <v>7.2789312945316986E-2</v>
      </c>
    </row>
    <row r="444" spans="1:43" x14ac:dyDescent="0.35">
      <c r="A444" s="2" t="s">
        <v>367</v>
      </c>
      <c r="B444" s="2" t="s">
        <v>360</v>
      </c>
      <c r="C444" s="2" t="s">
        <v>67</v>
      </c>
      <c r="D444" s="2">
        <v>38.529200000000003</v>
      </c>
      <c r="E444" s="2">
        <v>3500</v>
      </c>
      <c r="F444" s="2">
        <v>158</v>
      </c>
      <c r="G444" s="2">
        <v>45.6</v>
      </c>
      <c r="H444" s="2" t="s">
        <v>68</v>
      </c>
      <c r="I444" s="4">
        <f t="shared" si="186"/>
        <v>3.6514163953807257</v>
      </c>
      <c r="J444" s="4">
        <f t="shared" si="187"/>
        <v>8.1605182474775049</v>
      </c>
      <c r="K444" s="4">
        <f t="shared" si="188"/>
        <v>5.0625950330269669</v>
      </c>
      <c r="L444" s="2">
        <v>0</v>
      </c>
      <c r="M444" s="2">
        <v>0</v>
      </c>
      <c r="N444" s="4">
        <f t="shared" si="189"/>
        <v>45.6</v>
      </c>
      <c r="O444" s="4">
        <f t="shared" si="190"/>
        <v>0</v>
      </c>
      <c r="P444" s="4">
        <f t="shared" si="191"/>
        <v>0</v>
      </c>
      <c r="Q444" s="4">
        <f t="shared" si="192"/>
        <v>8.1605182474775049</v>
      </c>
      <c r="R444" s="4">
        <f t="shared" si="193"/>
        <v>5.0625950330269669</v>
      </c>
      <c r="S444" s="4">
        <f t="shared" si="194"/>
        <v>45.6</v>
      </c>
      <c r="T444" s="4">
        <f t="shared" si="195"/>
        <v>0</v>
      </c>
      <c r="U444" s="4">
        <f t="shared" si="196"/>
        <v>8.1605182474775049</v>
      </c>
      <c r="V444" s="4">
        <f t="shared" si="197"/>
        <v>5.0625950330269669</v>
      </c>
      <c r="W444" s="4">
        <f t="shared" si="198"/>
        <v>45.6</v>
      </c>
      <c r="X444" s="4">
        <f t="shared" si="199"/>
        <v>0</v>
      </c>
      <c r="Y444" s="4">
        <f t="shared" si="200"/>
        <v>8.1605182474775049</v>
      </c>
      <c r="Z444" s="4">
        <f t="shared" si="201"/>
        <v>5.0625950330269669</v>
      </c>
      <c r="AA444" s="4">
        <f t="shared" si="202"/>
        <v>45.6</v>
      </c>
      <c r="AB444" s="4">
        <f t="shared" si="203"/>
        <v>0</v>
      </c>
      <c r="AC444" s="4">
        <f t="shared" si="204"/>
        <v>0</v>
      </c>
      <c r="AD444" s="4">
        <f t="shared" si="205"/>
        <v>0</v>
      </c>
      <c r="AE444" s="4">
        <f t="shared" si="206"/>
        <v>0</v>
      </c>
      <c r="AF444" s="4">
        <f t="shared" si="207"/>
        <v>0</v>
      </c>
      <c r="AG444" s="4">
        <f t="shared" si="208"/>
        <v>8.1605182474775049</v>
      </c>
      <c r="AH444" s="4">
        <f t="shared" si="209"/>
        <v>0</v>
      </c>
      <c r="AI444" s="4">
        <f t="shared" si="210"/>
        <v>0</v>
      </c>
      <c r="AJ444" s="4">
        <f t="shared" si="211"/>
        <v>8.1605182474775049</v>
      </c>
      <c r="AK444" s="4">
        <f t="shared" si="212"/>
        <v>5.0625950330269669</v>
      </c>
      <c r="AL444" s="4">
        <f t="shared" si="213"/>
        <v>0</v>
      </c>
      <c r="AM444" s="4">
        <f>CER!$C$7+CER!$C$8*J444+CER!$C$9*K444+CER!$C$10*L444+CER!$C$11*M444</f>
        <v>3.695635464565961</v>
      </c>
      <c r="AN444" s="4">
        <f t="shared" si="214"/>
        <v>40.27115535089689</v>
      </c>
      <c r="AO444" s="4">
        <f t="shared" si="215"/>
        <v>-4.4219069185235327E-2</v>
      </c>
      <c r="AP444" s="4">
        <f>Alternatives!$F$25+Alternatives!$F$26*J444+Alternatives!$F$27*K444+Alternatives!$F$28*G444+Alternatives!$F$29*O444</f>
        <v>3.5241557569492055</v>
      </c>
      <c r="AQ444" s="4">
        <f t="shared" si="216"/>
        <v>0.12726063843152025</v>
      </c>
    </row>
    <row r="445" spans="1:43" x14ac:dyDescent="0.35">
      <c r="A445" s="2" t="s">
        <v>368</v>
      </c>
      <c r="B445" s="2" t="s">
        <v>360</v>
      </c>
      <c r="C445" s="2" t="s">
        <v>67</v>
      </c>
      <c r="D445" s="2">
        <v>29.517900000000001</v>
      </c>
      <c r="E445" s="2">
        <v>4500</v>
      </c>
      <c r="F445" s="2">
        <v>280</v>
      </c>
      <c r="G445" s="2">
        <v>55.1</v>
      </c>
      <c r="H445" s="2" t="s">
        <v>68</v>
      </c>
      <c r="I445" s="4">
        <f t="shared" si="186"/>
        <v>3.3849968589904469</v>
      </c>
      <c r="J445" s="4">
        <f t="shared" si="187"/>
        <v>8.4118326757584114</v>
      </c>
      <c r="K445" s="4">
        <f t="shared" si="188"/>
        <v>5.6347896031692493</v>
      </c>
      <c r="L445" s="2">
        <v>0</v>
      </c>
      <c r="M445" s="2">
        <v>0</v>
      </c>
      <c r="N445" s="4">
        <f t="shared" si="189"/>
        <v>55.1</v>
      </c>
      <c r="O445" s="4">
        <f t="shared" si="190"/>
        <v>0</v>
      </c>
      <c r="P445" s="4">
        <f t="shared" si="191"/>
        <v>0</v>
      </c>
      <c r="Q445" s="4">
        <f t="shared" si="192"/>
        <v>8.4118326757584114</v>
      </c>
      <c r="R445" s="4">
        <f t="shared" si="193"/>
        <v>5.6347896031692493</v>
      </c>
      <c r="S445" s="4">
        <f t="shared" si="194"/>
        <v>55.1</v>
      </c>
      <c r="T445" s="4">
        <f t="shared" si="195"/>
        <v>0</v>
      </c>
      <c r="U445" s="4">
        <f t="shared" si="196"/>
        <v>8.4118326757584114</v>
      </c>
      <c r="V445" s="4">
        <f t="shared" si="197"/>
        <v>5.6347896031692493</v>
      </c>
      <c r="W445" s="4">
        <f t="shared" si="198"/>
        <v>55.1</v>
      </c>
      <c r="X445" s="4">
        <f t="shared" si="199"/>
        <v>0</v>
      </c>
      <c r="Y445" s="4">
        <f t="shared" si="200"/>
        <v>8.4118326757584114</v>
      </c>
      <c r="Z445" s="4">
        <f t="shared" si="201"/>
        <v>5.6347896031692493</v>
      </c>
      <c r="AA445" s="4">
        <f t="shared" si="202"/>
        <v>55.1</v>
      </c>
      <c r="AB445" s="4">
        <f t="shared" si="203"/>
        <v>0</v>
      </c>
      <c r="AC445" s="4">
        <f t="shared" si="204"/>
        <v>0</v>
      </c>
      <c r="AD445" s="4">
        <f t="shared" si="205"/>
        <v>0</v>
      </c>
      <c r="AE445" s="4">
        <f t="shared" si="206"/>
        <v>0</v>
      </c>
      <c r="AF445" s="4">
        <f t="shared" si="207"/>
        <v>0</v>
      </c>
      <c r="AG445" s="4">
        <f t="shared" si="208"/>
        <v>8.4118326757584114</v>
      </c>
      <c r="AH445" s="4">
        <f t="shared" si="209"/>
        <v>0</v>
      </c>
      <c r="AI445" s="4">
        <f t="shared" si="210"/>
        <v>0</v>
      </c>
      <c r="AJ445" s="4">
        <f t="shared" si="211"/>
        <v>8.4118326757584114</v>
      </c>
      <c r="AK445" s="4">
        <f t="shared" si="212"/>
        <v>5.6347896031692493</v>
      </c>
      <c r="AL445" s="4">
        <f t="shared" si="213"/>
        <v>0</v>
      </c>
      <c r="AM445" s="4">
        <f>CER!$C$7+CER!$C$8*J445+CER!$C$9*K445+CER!$C$10*L445+CER!$C$11*M445</f>
        <v>3.3707555412267203</v>
      </c>
      <c r="AN445" s="4">
        <f t="shared" si="214"/>
        <v>29.100505385522371</v>
      </c>
      <c r="AO445" s="4">
        <f t="shared" si="215"/>
        <v>1.4241317763726613E-2</v>
      </c>
      <c r="AP445" s="4">
        <f>Alternatives!$F$25+Alternatives!$F$26*J445+Alternatives!$F$27*K445+Alternatives!$F$28*G445+Alternatives!$F$29*O445</f>
        <v>3.3413275360988584</v>
      </c>
      <c r="AQ445" s="4">
        <f t="shared" si="216"/>
        <v>4.3669322891588536E-2</v>
      </c>
    </row>
    <row r="446" spans="1:43" x14ac:dyDescent="0.35">
      <c r="A446" s="2" t="s">
        <v>369</v>
      </c>
      <c r="B446" s="2" t="s">
        <v>360</v>
      </c>
      <c r="C446" s="2" t="s">
        <v>67</v>
      </c>
      <c r="D446" s="2">
        <v>28.048100000000002</v>
      </c>
      <c r="E446" s="2">
        <v>4500</v>
      </c>
      <c r="F446" s="2">
        <v>285</v>
      </c>
      <c r="G446" s="2">
        <v>53.4</v>
      </c>
      <c r="H446" s="2" t="s">
        <v>68</v>
      </c>
      <c r="I446" s="4">
        <f t="shared" si="186"/>
        <v>3.3339208934891231</v>
      </c>
      <c r="J446" s="4">
        <f t="shared" si="187"/>
        <v>8.4118326757584114</v>
      </c>
      <c r="K446" s="4">
        <f t="shared" si="188"/>
        <v>5.6524891802686508</v>
      </c>
      <c r="L446" s="2">
        <v>0</v>
      </c>
      <c r="M446" s="2">
        <v>0</v>
      </c>
      <c r="N446" s="4">
        <f t="shared" si="189"/>
        <v>53.4</v>
      </c>
      <c r="O446" s="4">
        <f t="shared" si="190"/>
        <v>0</v>
      </c>
      <c r="P446" s="4">
        <f t="shared" si="191"/>
        <v>0</v>
      </c>
      <c r="Q446" s="4">
        <f t="shared" si="192"/>
        <v>8.4118326757584114</v>
      </c>
      <c r="R446" s="4">
        <f t="shared" si="193"/>
        <v>5.6524891802686508</v>
      </c>
      <c r="S446" s="4">
        <f t="shared" si="194"/>
        <v>53.4</v>
      </c>
      <c r="T446" s="4">
        <f t="shared" si="195"/>
        <v>0</v>
      </c>
      <c r="U446" s="4">
        <f t="shared" si="196"/>
        <v>8.4118326757584114</v>
      </c>
      <c r="V446" s="4">
        <f t="shared" si="197"/>
        <v>5.6524891802686508</v>
      </c>
      <c r="W446" s="4">
        <f t="shared" si="198"/>
        <v>53.4</v>
      </c>
      <c r="X446" s="4">
        <f t="shared" si="199"/>
        <v>0</v>
      </c>
      <c r="Y446" s="4">
        <f t="shared" si="200"/>
        <v>8.4118326757584114</v>
      </c>
      <c r="Z446" s="4">
        <f t="shared" si="201"/>
        <v>5.6524891802686508</v>
      </c>
      <c r="AA446" s="4">
        <f t="shared" si="202"/>
        <v>53.4</v>
      </c>
      <c r="AB446" s="4">
        <f t="shared" si="203"/>
        <v>0</v>
      </c>
      <c r="AC446" s="4">
        <f t="shared" si="204"/>
        <v>0</v>
      </c>
      <c r="AD446" s="4">
        <f t="shared" si="205"/>
        <v>0</v>
      </c>
      <c r="AE446" s="4">
        <f t="shared" si="206"/>
        <v>0</v>
      </c>
      <c r="AF446" s="4">
        <f t="shared" si="207"/>
        <v>0</v>
      </c>
      <c r="AG446" s="4">
        <f t="shared" si="208"/>
        <v>8.4118326757584114</v>
      </c>
      <c r="AH446" s="4">
        <f t="shared" si="209"/>
        <v>0</v>
      </c>
      <c r="AI446" s="4">
        <f t="shared" si="210"/>
        <v>0</v>
      </c>
      <c r="AJ446" s="4">
        <f t="shared" si="211"/>
        <v>8.4118326757584114</v>
      </c>
      <c r="AK446" s="4">
        <f t="shared" si="212"/>
        <v>5.6524891802686508</v>
      </c>
      <c r="AL446" s="4">
        <f t="shared" si="213"/>
        <v>0</v>
      </c>
      <c r="AM446" s="4">
        <f>CER!$C$7+CER!$C$8*J446+CER!$C$9*K446+CER!$C$10*L446+CER!$C$11*M446</f>
        <v>3.3642253935177848</v>
      </c>
      <c r="AN446" s="4">
        <f t="shared" si="214"/>
        <v>28.911093902517447</v>
      </c>
      <c r="AO446" s="4">
        <f t="shared" si="215"/>
        <v>-3.0304500028661696E-2</v>
      </c>
      <c r="AP446" s="4">
        <f>Alternatives!$F$25+Alternatives!$F$26*J446+Alternatives!$F$27*K446+Alternatives!$F$28*G446+Alternatives!$F$29*O446</f>
        <v>3.358729936926709</v>
      </c>
      <c r="AQ446" s="4">
        <f t="shared" si="216"/>
        <v>-2.4809043437585832E-2</v>
      </c>
    </row>
    <row r="447" spans="1:43" x14ac:dyDescent="0.35">
      <c r="A447" s="2" t="s">
        <v>370</v>
      </c>
      <c r="B447" s="2" t="s">
        <v>360</v>
      </c>
      <c r="C447" s="2" t="s">
        <v>67</v>
      </c>
      <c r="D447" s="2">
        <v>29.528400000000001</v>
      </c>
      <c r="E447" s="2">
        <v>4500</v>
      </c>
      <c r="F447" s="2">
        <v>285</v>
      </c>
      <c r="G447" s="2">
        <v>53.4</v>
      </c>
      <c r="H447" s="2" t="s">
        <v>68</v>
      </c>
      <c r="I447" s="4">
        <f t="shared" si="186"/>
        <v>3.3853525121003178</v>
      </c>
      <c r="J447" s="4">
        <f t="shared" si="187"/>
        <v>8.4118326757584114</v>
      </c>
      <c r="K447" s="4">
        <f t="shared" si="188"/>
        <v>5.6524891802686508</v>
      </c>
      <c r="L447" s="2">
        <v>0</v>
      </c>
      <c r="M447" s="2">
        <v>0</v>
      </c>
      <c r="N447" s="4">
        <f t="shared" si="189"/>
        <v>53.4</v>
      </c>
      <c r="O447" s="4">
        <f t="shared" si="190"/>
        <v>0</v>
      </c>
      <c r="P447" s="4">
        <f t="shared" si="191"/>
        <v>0</v>
      </c>
      <c r="Q447" s="4">
        <f t="shared" si="192"/>
        <v>8.4118326757584114</v>
      </c>
      <c r="R447" s="4">
        <f t="shared" si="193"/>
        <v>5.6524891802686508</v>
      </c>
      <c r="S447" s="4">
        <f t="shared" si="194"/>
        <v>53.4</v>
      </c>
      <c r="T447" s="4">
        <f t="shared" si="195"/>
        <v>0</v>
      </c>
      <c r="U447" s="4">
        <f t="shared" si="196"/>
        <v>8.4118326757584114</v>
      </c>
      <c r="V447" s="4">
        <f t="shared" si="197"/>
        <v>5.6524891802686508</v>
      </c>
      <c r="W447" s="4">
        <f t="shared" si="198"/>
        <v>53.4</v>
      </c>
      <c r="X447" s="4">
        <f t="shared" si="199"/>
        <v>0</v>
      </c>
      <c r="Y447" s="4">
        <f t="shared" si="200"/>
        <v>8.4118326757584114</v>
      </c>
      <c r="Z447" s="4">
        <f t="shared" si="201"/>
        <v>5.6524891802686508</v>
      </c>
      <c r="AA447" s="4">
        <f t="shared" si="202"/>
        <v>53.4</v>
      </c>
      <c r="AB447" s="4">
        <f t="shared" si="203"/>
        <v>0</v>
      </c>
      <c r="AC447" s="4">
        <f t="shared" si="204"/>
        <v>0</v>
      </c>
      <c r="AD447" s="4">
        <f t="shared" si="205"/>
        <v>0</v>
      </c>
      <c r="AE447" s="4">
        <f t="shared" si="206"/>
        <v>0</v>
      </c>
      <c r="AF447" s="4">
        <f t="shared" si="207"/>
        <v>0</v>
      </c>
      <c r="AG447" s="4">
        <f t="shared" si="208"/>
        <v>8.4118326757584114</v>
      </c>
      <c r="AH447" s="4">
        <f t="shared" si="209"/>
        <v>0</v>
      </c>
      <c r="AI447" s="4">
        <f t="shared" si="210"/>
        <v>0</v>
      </c>
      <c r="AJ447" s="4">
        <f t="shared" si="211"/>
        <v>8.4118326757584114</v>
      </c>
      <c r="AK447" s="4">
        <f t="shared" si="212"/>
        <v>5.6524891802686508</v>
      </c>
      <c r="AL447" s="4">
        <f t="shared" si="213"/>
        <v>0</v>
      </c>
      <c r="AM447" s="4">
        <f>CER!$C$7+CER!$C$8*J447+CER!$C$9*K447+CER!$C$10*L447+CER!$C$11*M447</f>
        <v>3.3642253935177848</v>
      </c>
      <c r="AN447" s="4">
        <f t="shared" si="214"/>
        <v>28.911093902517447</v>
      </c>
      <c r="AO447" s="4">
        <f t="shared" si="215"/>
        <v>2.1127118582533022E-2</v>
      </c>
      <c r="AP447" s="4">
        <f>Alternatives!$F$25+Alternatives!$F$26*J447+Alternatives!$F$27*K447+Alternatives!$F$28*G447+Alternatives!$F$29*O447</f>
        <v>3.358729936926709</v>
      </c>
      <c r="AQ447" s="4">
        <f t="shared" si="216"/>
        <v>2.6622575173608887E-2</v>
      </c>
    </row>
    <row r="448" spans="1:43" x14ac:dyDescent="0.35">
      <c r="A448" s="2" t="s">
        <v>371</v>
      </c>
      <c r="B448" s="2" t="s">
        <v>360</v>
      </c>
      <c r="C448" s="2" t="s">
        <v>67</v>
      </c>
      <c r="D448" s="2">
        <v>27.425599999999999</v>
      </c>
      <c r="E448" s="2">
        <v>5000</v>
      </c>
      <c r="F448" s="2">
        <v>285</v>
      </c>
      <c r="G448" s="2">
        <v>53.4</v>
      </c>
      <c r="H448" s="2" t="s">
        <v>68</v>
      </c>
      <c r="I448" s="4">
        <f t="shared" si="186"/>
        <v>3.3114768837706556</v>
      </c>
      <c r="J448" s="4">
        <f t="shared" si="187"/>
        <v>8.5171931914162382</v>
      </c>
      <c r="K448" s="4">
        <f t="shared" si="188"/>
        <v>5.6524891802686508</v>
      </c>
      <c r="L448" s="2">
        <v>0</v>
      </c>
      <c r="M448" s="2">
        <v>0</v>
      </c>
      <c r="N448" s="4">
        <f t="shared" si="189"/>
        <v>53.4</v>
      </c>
      <c r="O448" s="4">
        <f t="shared" si="190"/>
        <v>0</v>
      </c>
      <c r="P448" s="4">
        <f t="shared" si="191"/>
        <v>0</v>
      </c>
      <c r="Q448" s="4">
        <f t="shared" si="192"/>
        <v>8.5171931914162382</v>
      </c>
      <c r="R448" s="4">
        <f t="shared" si="193"/>
        <v>5.6524891802686508</v>
      </c>
      <c r="S448" s="4">
        <f t="shared" si="194"/>
        <v>53.4</v>
      </c>
      <c r="T448" s="4">
        <f t="shared" si="195"/>
        <v>0</v>
      </c>
      <c r="U448" s="4">
        <f t="shared" si="196"/>
        <v>8.5171931914162382</v>
      </c>
      <c r="V448" s="4">
        <f t="shared" si="197"/>
        <v>5.6524891802686508</v>
      </c>
      <c r="W448" s="4">
        <f t="shared" si="198"/>
        <v>53.4</v>
      </c>
      <c r="X448" s="4">
        <f t="shared" si="199"/>
        <v>0</v>
      </c>
      <c r="Y448" s="4">
        <f t="shared" si="200"/>
        <v>8.5171931914162382</v>
      </c>
      <c r="Z448" s="4">
        <f t="shared" si="201"/>
        <v>5.6524891802686508</v>
      </c>
      <c r="AA448" s="4">
        <f t="shared" si="202"/>
        <v>53.4</v>
      </c>
      <c r="AB448" s="4">
        <f t="shared" si="203"/>
        <v>0</v>
      </c>
      <c r="AC448" s="4">
        <f t="shared" si="204"/>
        <v>0</v>
      </c>
      <c r="AD448" s="4">
        <f t="shared" si="205"/>
        <v>0</v>
      </c>
      <c r="AE448" s="4">
        <f t="shared" si="206"/>
        <v>0</v>
      </c>
      <c r="AF448" s="4">
        <f t="shared" si="207"/>
        <v>0</v>
      </c>
      <c r="AG448" s="4">
        <f t="shared" si="208"/>
        <v>8.5171931914162382</v>
      </c>
      <c r="AH448" s="4">
        <f t="shared" si="209"/>
        <v>0</v>
      </c>
      <c r="AI448" s="4">
        <f t="shared" si="210"/>
        <v>0</v>
      </c>
      <c r="AJ448" s="4">
        <f t="shared" si="211"/>
        <v>8.5171931914162382</v>
      </c>
      <c r="AK448" s="4">
        <f t="shared" si="212"/>
        <v>5.6524891802686508</v>
      </c>
      <c r="AL448" s="4">
        <f t="shared" si="213"/>
        <v>0</v>
      </c>
      <c r="AM448" s="4">
        <f>CER!$C$7+CER!$C$8*J448+CER!$C$9*K448+CER!$C$10*L448+CER!$C$11*M448</f>
        <v>3.31652772723106</v>
      </c>
      <c r="AN448" s="4">
        <f t="shared" si="214"/>
        <v>27.564472829637207</v>
      </c>
      <c r="AO448" s="4">
        <f t="shared" si="215"/>
        <v>-5.0508434604044083E-3</v>
      </c>
      <c r="AP448" s="4">
        <f>Alternatives!$F$25+Alternatives!$F$26*J448+Alternatives!$F$27*K448+Alternatives!$F$28*G448+Alternatives!$F$29*O448</f>
        <v>3.3977223864164401</v>
      </c>
      <c r="AQ448" s="4">
        <f t="shared" si="216"/>
        <v>-8.6245502645784455E-2</v>
      </c>
    </row>
    <row r="449" spans="1:43" x14ac:dyDescent="0.35">
      <c r="A449" s="2" t="s">
        <v>372</v>
      </c>
      <c r="B449" s="2" t="s">
        <v>360</v>
      </c>
      <c r="C449" s="2" t="s">
        <v>67</v>
      </c>
      <c r="D449" s="2">
        <v>26.0425</v>
      </c>
      <c r="E449" s="2">
        <v>5000</v>
      </c>
      <c r="F449" s="2">
        <v>285</v>
      </c>
      <c r="G449" s="2">
        <v>53.2</v>
      </c>
      <c r="H449" s="2" t="s">
        <v>68</v>
      </c>
      <c r="I449" s="4">
        <f t="shared" si="186"/>
        <v>3.2597298188764667</v>
      </c>
      <c r="J449" s="4">
        <f t="shared" si="187"/>
        <v>8.5171931914162382</v>
      </c>
      <c r="K449" s="4">
        <f t="shared" si="188"/>
        <v>5.6524891802686508</v>
      </c>
      <c r="L449" s="2">
        <v>0</v>
      </c>
      <c r="M449" s="2">
        <v>0</v>
      </c>
      <c r="N449" s="4">
        <f t="shared" si="189"/>
        <v>53.2</v>
      </c>
      <c r="O449" s="4">
        <f t="shared" si="190"/>
        <v>0</v>
      </c>
      <c r="P449" s="4">
        <f t="shared" si="191"/>
        <v>0</v>
      </c>
      <c r="Q449" s="4">
        <f t="shared" si="192"/>
        <v>8.5171931914162382</v>
      </c>
      <c r="R449" s="4">
        <f t="shared" si="193"/>
        <v>5.6524891802686508</v>
      </c>
      <c r="S449" s="4">
        <f t="shared" si="194"/>
        <v>53.2</v>
      </c>
      <c r="T449" s="4">
        <f t="shared" si="195"/>
        <v>0</v>
      </c>
      <c r="U449" s="4">
        <f t="shared" si="196"/>
        <v>8.5171931914162382</v>
      </c>
      <c r="V449" s="4">
        <f t="shared" si="197"/>
        <v>5.6524891802686508</v>
      </c>
      <c r="W449" s="4">
        <f t="shared" si="198"/>
        <v>53.2</v>
      </c>
      <c r="X449" s="4">
        <f t="shared" si="199"/>
        <v>0</v>
      </c>
      <c r="Y449" s="4">
        <f t="shared" si="200"/>
        <v>8.5171931914162382</v>
      </c>
      <c r="Z449" s="4">
        <f t="shared" si="201"/>
        <v>5.6524891802686508</v>
      </c>
      <c r="AA449" s="4">
        <f t="shared" si="202"/>
        <v>53.2</v>
      </c>
      <c r="AB449" s="4">
        <f t="shared" si="203"/>
        <v>0</v>
      </c>
      <c r="AC449" s="4">
        <f t="shared" si="204"/>
        <v>0</v>
      </c>
      <c r="AD449" s="4">
        <f t="shared" si="205"/>
        <v>0</v>
      </c>
      <c r="AE449" s="4">
        <f t="shared" si="206"/>
        <v>0</v>
      </c>
      <c r="AF449" s="4">
        <f t="shared" si="207"/>
        <v>0</v>
      </c>
      <c r="AG449" s="4">
        <f t="shared" si="208"/>
        <v>8.5171931914162382</v>
      </c>
      <c r="AH449" s="4">
        <f t="shared" si="209"/>
        <v>0</v>
      </c>
      <c r="AI449" s="4">
        <f t="shared" si="210"/>
        <v>0</v>
      </c>
      <c r="AJ449" s="4">
        <f t="shared" si="211"/>
        <v>8.5171931914162382</v>
      </c>
      <c r="AK449" s="4">
        <f t="shared" si="212"/>
        <v>5.6524891802686508</v>
      </c>
      <c r="AL449" s="4">
        <f t="shared" si="213"/>
        <v>0</v>
      </c>
      <c r="AM449" s="4">
        <f>CER!$C$7+CER!$C$8*J449+CER!$C$9*K449+CER!$C$10*L449+CER!$C$11*M449</f>
        <v>3.31652772723106</v>
      </c>
      <c r="AN449" s="4">
        <f t="shared" si="214"/>
        <v>27.564472829637207</v>
      </c>
      <c r="AO449" s="4">
        <f t="shared" si="215"/>
        <v>-5.6797908354593307E-2</v>
      </c>
      <c r="AP449" s="4">
        <f>Alternatives!$F$25+Alternatives!$F$26*J449+Alternatives!$F$27*K449+Alternatives!$F$28*G449+Alternatives!$F$29*O449</f>
        <v>3.4003238493248853</v>
      </c>
      <c r="AQ449" s="4">
        <f t="shared" si="216"/>
        <v>-0.14059403044841856</v>
      </c>
    </row>
    <row r="450" spans="1:43" x14ac:dyDescent="0.35">
      <c r="A450" s="2" t="s">
        <v>373</v>
      </c>
      <c r="B450" s="2" t="s">
        <v>360</v>
      </c>
      <c r="C450" s="2" t="s">
        <v>67</v>
      </c>
      <c r="D450" s="2">
        <v>28.072199999999999</v>
      </c>
      <c r="E450" s="2">
        <v>4500</v>
      </c>
      <c r="F450" s="2">
        <v>280</v>
      </c>
      <c r="G450" s="2">
        <v>51.4</v>
      </c>
      <c r="H450" s="2" t="s">
        <v>68</v>
      </c>
      <c r="I450" s="4">
        <f t="shared" ref="I450:I513" si="217">LN(D450)</f>
        <v>3.3347797627924396</v>
      </c>
      <c r="J450" s="4">
        <f t="shared" ref="J450:J513" si="218">LN(E450)</f>
        <v>8.4118326757584114</v>
      </c>
      <c r="K450" s="4">
        <f t="shared" ref="K450:K513" si="219">LN(F450)</f>
        <v>5.6347896031692493</v>
      </c>
      <c r="L450" s="2">
        <v>0</v>
      </c>
      <c r="M450" s="2">
        <v>0</v>
      </c>
      <c r="N450" s="4">
        <f t="shared" ref="N450:N513" si="220">G450</f>
        <v>51.4</v>
      </c>
      <c r="O450" s="4">
        <f t="shared" ref="O450:O513" si="221">L450+M450</f>
        <v>0</v>
      </c>
      <c r="P450" s="4">
        <f t="shared" ref="P450:P513" si="222">L450+2*M450</f>
        <v>0</v>
      </c>
      <c r="Q450" s="4">
        <f t="shared" ref="Q450:Q513" si="223">J450</f>
        <v>8.4118326757584114</v>
      </c>
      <c r="R450" s="4">
        <f t="shared" ref="R450:R513" si="224">K450</f>
        <v>5.6347896031692493</v>
      </c>
      <c r="S450" s="4">
        <f t="shared" ref="S450:S513" si="225">G450</f>
        <v>51.4</v>
      </c>
      <c r="T450" s="4">
        <f t="shared" ref="T450:T513" si="226">O450</f>
        <v>0</v>
      </c>
      <c r="U450" s="4">
        <f t="shared" ref="U450:U513" si="227">J450</f>
        <v>8.4118326757584114</v>
      </c>
      <c r="V450" s="4">
        <f t="shared" ref="V450:V513" si="228">K450</f>
        <v>5.6347896031692493</v>
      </c>
      <c r="W450" s="4">
        <f t="shared" ref="W450:W513" si="229">G450</f>
        <v>51.4</v>
      </c>
      <c r="X450" s="4">
        <f t="shared" ref="X450:X513" si="230">P450</f>
        <v>0</v>
      </c>
      <c r="Y450" s="4">
        <f t="shared" ref="Y450:Y513" si="231">J450</f>
        <v>8.4118326757584114</v>
      </c>
      <c r="Z450" s="4">
        <f t="shared" ref="Z450:Z513" si="232">K450</f>
        <v>5.6347896031692493</v>
      </c>
      <c r="AA450" s="4">
        <f t="shared" ref="AA450:AA513" si="233">G450</f>
        <v>51.4</v>
      </c>
      <c r="AB450" s="4">
        <f t="shared" ref="AB450:AB513" si="234">L450</f>
        <v>0</v>
      </c>
      <c r="AC450" s="4">
        <f t="shared" ref="AC450:AC513" si="235">M450</f>
        <v>0</v>
      </c>
      <c r="AD450" s="4">
        <f t="shared" ref="AD450:AD513" si="236">M450*J450</f>
        <v>0</v>
      </c>
      <c r="AE450" s="4">
        <f t="shared" ref="AE450:AE513" si="237">M450*K450</f>
        <v>0</v>
      </c>
      <c r="AF450" s="4">
        <f t="shared" ref="AF450:AF513" si="238">M450*G450</f>
        <v>0</v>
      </c>
      <c r="AG450" s="4">
        <f t="shared" ref="AG450:AG513" si="239">J450</f>
        <v>8.4118326757584114</v>
      </c>
      <c r="AH450" s="4">
        <f t="shared" ref="AH450:AH513" si="240">L450</f>
        <v>0</v>
      </c>
      <c r="AI450" s="4">
        <f t="shared" ref="AI450:AI513" si="241">M450</f>
        <v>0</v>
      </c>
      <c r="AJ450" s="4">
        <f t="shared" ref="AJ450:AJ513" si="242">J450</f>
        <v>8.4118326757584114</v>
      </c>
      <c r="AK450" s="4">
        <f t="shared" ref="AK450:AK513" si="243">K450</f>
        <v>5.6347896031692493</v>
      </c>
      <c r="AL450" s="4">
        <f t="shared" ref="AL450:AL513" si="244">M450</f>
        <v>0</v>
      </c>
      <c r="AM450" s="4">
        <f>CER!$C$7+CER!$C$8*J450+CER!$C$9*K450+CER!$C$10*L450+CER!$C$11*M450</f>
        <v>3.3707555412267203</v>
      </c>
      <c r="AN450" s="4">
        <f t="shared" ref="AN450:AN513" si="245">EXP(AM450)</f>
        <v>29.100505385522371</v>
      </c>
      <c r="AO450" s="4">
        <f t="shared" ref="AO450:AO513" si="246">I450-AM450</f>
        <v>-3.5975778434280681E-2</v>
      </c>
      <c r="AP450" s="4">
        <f>Alternatives!$F$25+Alternatives!$F$26*J450+Alternatives!$F$27*K450+Alternatives!$F$28*G450+Alternatives!$F$29*O450</f>
        <v>3.3894545999051031</v>
      </c>
      <c r="AQ450" s="4">
        <f t="shared" ref="AQ450:AQ513" si="247">I450-AP450</f>
        <v>-5.4674837112663521E-2</v>
      </c>
    </row>
    <row r="451" spans="1:43" x14ac:dyDescent="0.35">
      <c r="A451" s="2" t="s">
        <v>374</v>
      </c>
      <c r="B451" s="2" t="s">
        <v>360</v>
      </c>
      <c r="C451" s="2" t="s">
        <v>67</v>
      </c>
      <c r="D451" s="2">
        <v>27.1602</v>
      </c>
      <c r="E451" s="2">
        <v>4500</v>
      </c>
      <c r="F451" s="2">
        <v>280</v>
      </c>
      <c r="G451" s="2">
        <v>58.1</v>
      </c>
      <c r="H451" s="2" t="s">
        <v>68</v>
      </c>
      <c r="I451" s="4">
        <f t="shared" si="217"/>
        <v>3.3017526664336332</v>
      </c>
      <c r="J451" s="4">
        <f t="shared" si="218"/>
        <v>8.4118326757584114</v>
      </c>
      <c r="K451" s="4">
        <f t="shared" si="219"/>
        <v>5.6347896031692493</v>
      </c>
      <c r="L451" s="2">
        <v>0</v>
      </c>
      <c r="M451" s="2">
        <v>0</v>
      </c>
      <c r="N451" s="4">
        <f t="shared" si="220"/>
        <v>58.1</v>
      </c>
      <c r="O451" s="4">
        <f t="shared" si="221"/>
        <v>0</v>
      </c>
      <c r="P451" s="4">
        <f t="shared" si="222"/>
        <v>0</v>
      </c>
      <c r="Q451" s="4">
        <f t="shared" si="223"/>
        <v>8.4118326757584114</v>
      </c>
      <c r="R451" s="4">
        <f t="shared" si="224"/>
        <v>5.6347896031692493</v>
      </c>
      <c r="S451" s="4">
        <f t="shared" si="225"/>
        <v>58.1</v>
      </c>
      <c r="T451" s="4">
        <f t="shared" si="226"/>
        <v>0</v>
      </c>
      <c r="U451" s="4">
        <f t="shared" si="227"/>
        <v>8.4118326757584114</v>
      </c>
      <c r="V451" s="4">
        <f t="shared" si="228"/>
        <v>5.6347896031692493</v>
      </c>
      <c r="W451" s="4">
        <f t="shared" si="229"/>
        <v>58.1</v>
      </c>
      <c r="X451" s="4">
        <f t="shared" si="230"/>
        <v>0</v>
      </c>
      <c r="Y451" s="4">
        <f t="shared" si="231"/>
        <v>8.4118326757584114</v>
      </c>
      <c r="Z451" s="4">
        <f t="shared" si="232"/>
        <v>5.6347896031692493</v>
      </c>
      <c r="AA451" s="4">
        <f t="shared" si="233"/>
        <v>58.1</v>
      </c>
      <c r="AB451" s="4">
        <f t="shared" si="234"/>
        <v>0</v>
      </c>
      <c r="AC451" s="4">
        <f t="shared" si="235"/>
        <v>0</v>
      </c>
      <c r="AD451" s="4">
        <f t="shared" si="236"/>
        <v>0</v>
      </c>
      <c r="AE451" s="4">
        <f t="shared" si="237"/>
        <v>0</v>
      </c>
      <c r="AF451" s="4">
        <f t="shared" si="238"/>
        <v>0</v>
      </c>
      <c r="AG451" s="4">
        <f t="shared" si="239"/>
        <v>8.4118326757584114</v>
      </c>
      <c r="AH451" s="4">
        <f t="shared" si="240"/>
        <v>0</v>
      </c>
      <c r="AI451" s="4">
        <f t="shared" si="241"/>
        <v>0</v>
      </c>
      <c r="AJ451" s="4">
        <f t="shared" si="242"/>
        <v>8.4118326757584114</v>
      </c>
      <c r="AK451" s="4">
        <f t="shared" si="243"/>
        <v>5.6347896031692493</v>
      </c>
      <c r="AL451" s="4">
        <f t="shared" si="244"/>
        <v>0</v>
      </c>
      <c r="AM451" s="4">
        <f>CER!$C$7+CER!$C$8*J451+CER!$C$9*K451+CER!$C$10*L451+CER!$C$11*M451</f>
        <v>3.3707555412267203</v>
      </c>
      <c r="AN451" s="4">
        <f t="shared" si="245"/>
        <v>29.100505385522371</v>
      </c>
      <c r="AO451" s="4">
        <f t="shared" si="246"/>
        <v>-6.9002874793087088E-2</v>
      </c>
      <c r="AP451" s="4">
        <f>Alternatives!$F$25+Alternatives!$F$26*J451+Alternatives!$F$27*K451+Alternatives!$F$28*G451+Alternatives!$F$29*O451</f>
        <v>3.3023055924721736</v>
      </c>
      <c r="AQ451" s="4">
        <f t="shared" si="247"/>
        <v>-5.5292603854040223E-4</v>
      </c>
    </row>
    <row r="452" spans="1:43" x14ac:dyDescent="0.35">
      <c r="A452" s="2" t="s">
        <v>375</v>
      </c>
      <c r="B452" s="2" t="s">
        <v>360</v>
      </c>
      <c r="C452" s="2" t="s">
        <v>67</v>
      </c>
      <c r="D452" s="2">
        <v>26.7837</v>
      </c>
      <c r="E452" s="2">
        <v>4500</v>
      </c>
      <c r="F452" s="2">
        <v>280</v>
      </c>
      <c r="G452" s="2">
        <v>58.1</v>
      </c>
      <c r="H452" s="2" t="s">
        <v>68</v>
      </c>
      <c r="I452" s="4">
        <f t="shared" si="217"/>
        <v>3.2877934935274906</v>
      </c>
      <c r="J452" s="4">
        <f t="shared" si="218"/>
        <v>8.4118326757584114</v>
      </c>
      <c r="K452" s="4">
        <f t="shared" si="219"/>
        <v>5.6347896031692493</v>
      </c>
      <c r="L452" s="2">
        <v>0</v>
      </c>
      <c r="M452" s="2">
        <v>0</v>
      </c>
      <c r="N452" s="4">
        <f t="shared" si="220"/>
        <v>58.1</v>
      </c>
      <c r="O452" s="4">
        <f t="shared" si="221"/>
        <v>0</v>
      </c>
      <c r="P452" s="4">
        <f t="shared" si="222"/>
        <v>0</v>
      </c>
      <c r="Q452" s="4">
        <f t="shared" si="223"/>
        <v>8.4118326757584114</v>
      </c>
      <c r="R452" s="4">
        <f t="shared" si="224"/>
        <v>5.6347896031692493</v>
      </c>
      <c r="S452" s="4">
        <f t="shared" si="225"/>
        <v>58.1</v>
      </c>
      <c r="T452" s="4">
        <f t="shared" si="226"/>
        <v>0</v>
      </c>
      <c r="U452" s="4">
        <f t="shared" si="227"/>
        <v>8.4118326757584114</v>
      </c>
      <c r="V452" s="4">
        <f t="shared" si="228"/>
        <v>5.6347896031692493</v>
      </c>
      <c r="W452" s="4">
        <f t="shared" si="229"/>
        <v>58.1</v>
      </c>
      <c r="X452" s="4">
        <f t="shared" si="230"/>
        <v>0</v>
      </c>
      <c r="Y452" s="4">
        <f t="shared" si="231"/>
        <v>8.4118326757584114</v>
      </c>
      <c r="Z452" s="4">
        <f t="shared" si="232"/>
        <v>5.6347896031692493</v>
      </c>
      <c r="AA452" s="4">
        <f t="shared" si="233"/>
        <v>58.1</v>
      </c>
      <c r="AB452" s="4">
        <f t="shared" si="234"/>
        <v>0</v>
      </c>
      <c r="AC452" s="4">
        <f t="shared" si="235"/>
        <v>0</v>
      </c>
      <c r="AD452" s="4">
        <f t="shared" si="236"/>
        <v>0</v>
      </c>
      <c r="AE452" s="4">
        <f t="shared" si="237"/>
        <v>0</v>
      </c>
      <c r="AF452" s="4">
        <f t="shared" si="238"/>
        <v>0</v>
      </c>
      <c r="AG452" s="4">
        <f t="shared" si="239"/>
        <v>8.4118326757584114</v>
      </c>
      <c r="AH452" s="4">
        <f t="shared" si="240"/>
        <v>0</v>
      </c>
      <c r="AI452" s="4">
        <f t="shared" si="241"/>
        <v>0</v>
      </c>
      <c r="AJ452" s="4">
        <f t="shared" si="242"/>
        <v>8.4118326757584114</v>
      </c>
      <c r="AK452" s="4">
        <f t="shared" si="243"/>
        <v>5.6347896031692493</v>
      </c>
      <c r="AL452" s="4">
        <f t="shared" si="244"/>
        <v>0</v>
      </c>
      <c r="AM452" s="4">
        <f>CER!$C$7+CER!$C$8*J452+CER!$C$9*K452+CER!$C$10*L452+CER!$C$11*M452</f>
        <v>3.3707555412267203</v>
      </c>
      <c r="AN452" s="4">
        <f t="shared" si="245"/>
        <v>29.100505385522371</v>
      </c>
      <c r="AO452" s="4">
        <f t="shared" si="246"/>
        <v>-8.2962047699229657E-2</v>
      </c>
      <c r="AP452" s="4">
        <f>Alternatives!$F$25+Alternatives!$F$26*J452+Alternatives!$F$27*K452+Alternatives!$F$28*G452+Alternatives!$F$29*O452</f>
        <v>3.3023055924721736</v>
      </c>
      <c r="AQ452" s="4">
        <f t="shared" si="247"/>
        <v>-1.4512098944682972E-2</v>
      </c>
    </row>
    <row r="453" spans="1:43" x14ac:dyDescent="0.35">
      <c r="A453" s="2" t="s">
        <v>376</v>
      </c>
      <c r="B453" s="2" t="s">
        <v>360</v>
      </c>
      <c r="C453" s="2" t="s">
        <v>67</v>
      </c>
      <c r="D453" s="2">
        <v>27.7745</v>
      </c>
      <c r="E453" s="2">
        <v>4500</v>
      </c>
      <c r="F453" s="2">
        <v>290</v>
      </c>
      <c r="G453" s="2">
        <v>53.5</v>
      </c>
      <c r="H453" s="2" t="s">
        <v>68</v>
      </c>
      <c r="I453" s="4">
        <f t="shared" si="217"/>
        <v>3.3241183335634794</v>
      </c>
      <c r="J453" s="4">
        <f t="shared" si="218"/>
        <v>8.4118326757584114</v>
      </c>
      <c r="K453" s="4">
        <f t="shared" si="219"/>
        <v>5.6698809229805196</v>
      </c>
      <c r="L453" s="2">
        <v>0</v>
      </c>
      <c r="M453" s="2">
        <v>0</v>
      </c>
      <c r="N453" s="4">
        <f t="shared" si="220"/>
        <v>53.5</v>
      </c>
      <c r="O453" s="4">
        <f t="shared" si="221"/>
        <v>0</v>
      </c>
      <c r="P453" s="4">
        <f t="shared" si="222"/>
        <v>0</v>
      </c>
      <c r="Q453" s="4">
        <f t="shared" si="223"/>
        <v>8.4118326757584114</v>
      </c>
      <c r="R453" s="4">
        <f t="shared" si="224"/>
        <v>5.6698809229805196</v>
      </c>
      <c r="S453" s="4">
        <f t="shared" si="225"/>
        <v>53.5</v>
      </c>
      <c r="T453" s="4">
        <f t="shared" si="226"/>
        <v>0</v>
      </c>
      <c r="U453" s="4">
        <f t="shared" si="227"/>
        <v>8.4118326757584114</v>
      </c>
      <c r="V453" s="4">
        <f t="shared" si="228"/>
        <v>5.6698809229805196</v>
      </c>
      <c r="W453" s="4">
        <f t="shared" si="229"/>
        <v>53.5</v>
      </c>
      <c r="X453" s="4">
        <f t="shared" si="230"/>
        <v>0</v>
      </c>
      <c r="Y453" s="4">
        <f t="shared" si="231"/>
        <v>8.4118326757584114</v>
      </c>
      <c r="Z453" s="4">
        <f t="shared" si="232"/>
        <v>5.6698809229805196</v>
      </c>
      <c r="AA453" s="4">
        <f t="shared" si="233"/>
        <v>53.5</v>
      </c>
      <c r="AB453" s="4">
        <f t="shared" si="234"/>
        <v>0</v>
      </c>
      <c r="AC453" s="4">
        <f t="shared" si="235"/>
        <v>0</v>
      </c>
      <c r="AD453" s="4">
        <f t="shared" si="236"/>
        <v>0</v>
      </c>
      <c r="AE453" s="4">
        <f t="shared" si="237"/>
        <v>0</v>
      </c>
      <c r="AF453" s="4">
        <f t="shared" si="238"/>
        <v>0</v>
      </c>
      <c r="AG453" s="4">
        <f t="shared" si="239"/>
        <v>8.4118326757584114</v>
      </c>
      <c r="AH453" s="4">
        <f t="shared" si="240"/>
        <v>0</v>
      </c>
      <c r="AI453" s="4">
        <f t="shared" si="241"/>
        <v>0</v>
      </c>
      <c r="AJ453" s="4">
        <f t="shared" si="242"/>
        <v>8.4118326757584114</v>
      </c>
      <c r="AK453" s="4">
        <f t="shared" si="243"/>
        <v>5.6698809229805196</v>
      </c>
      <c r="AL453" s="4">
        <f t="shared" si="244"/>
        <v>0</v>
      </c>
      <c r="AM453" s="4">
        <f>CER!$C$7+CER!$C$8*J453+CER!$C$9*K453+CER!$C$10*L453+CER!$C$11*M453</f>
        <v>3.3578088193710416</v>
      </c>
      <c r="AN453" s="4">
        <f t="shared" si="245"/>
        <v>28.726177623789034</v>
      </c>
      <c r="AO453" s="4">
        <f t="shared" si="246"/>
        <v>-3.3690485807562176E-2</v>
      </c>
      <c r="AP453" s="4">
        <f>Alternatives!$F$25+Alternatives!$F$26*J453+Alternatives!$F$27*K453+Alternatives!$F$28*G453+Alternatives!$F$29*O453</f>
        <v>3.352801089377536</v>
      </c>
      <c r="AQ453" s="4">
        <f t="shared" si="247"/>
        <v>-2.8682755814056549E-2</v>
      </c>
    </row>
    <row r="454" spans="1:43" x14ac:dyDescent="0.35">
      <c r="A454" s="2" t="s">
        <v>377</v>
      </c>
      <c r="B454" s="2" t="s">
        <v>360</v>
      </c>
      <c r="C454" s="2" t="s">
        <v>67</v>
      </c>
      <c r="D454" s="2">
        <v>29.328299999999999</v>
      </c>
      <c r="E454" s="2">
        <v>4500</v>
      </c>
      <c r="F454" s="2">
        <v>290</v>
      </c>
      <c r="G454" s="2">
        <v>53.5</v>
      </c>
      <c r="H454" s="2" t="s">
        <v>68</v>
      </c>
      <c r="I454" s="4">
        <f t="shared" si="217"/>
        <v>3.3785529201776017</v>
      </c>
      <c r="J454" s="4">
        <f t="shared" si="218"/>
        <v>8.4118326757584114</v>
      </c>
      <c r="K454" s="4">
        <f t="shared" si="219"/>
        <v>5.6698809229805196</v>
      </c>
      <c r="L454" s="2">
        <v>0</v>
      </c>
      <c r="M454" s="2">
        <v>0</v>
      </c>
      <c r="N454" s="4">
        <f t="shared" si="220"/>
        <v>53.5</v>
      </c>
      <c r="O454" s="4">
        <f t="shared" si="221"/>
        <v>0</v>
      </c>
      <c r="P454" s="4">
        <f t="shared" si="222"/>
        <v>0</v>
      </c>
      <c r="Q454" s="4">
        <f t="shared" si="223"/>
        <v>8.4118326757584114</v>
      </c>
      <c r="R454" s="4">
        <f t="shared" si="224"/>
        <v>5.6698809229805196</v>
      </c>
      <c r="S454" s="4">
        <f t="shared" si="225"/>
        <v>53.5</v>
      </c>
      <c r="T454" s="4">
        <f t="shared" si="226"/>
        <v>0</v>
      </c>
      <c r="U454" s="4">
        <f t="shared" si="227"/>
        <v>8.4118326757584114</v>
      </c>
      <c r="V454" s="4">
        <f t="shared" si="228"/>
        <v>5.6698809229805196</v>
      </c>
      <c r="W454" s="4">
        <f t="shared" si="229"/>
        <v>53.5</v>
      </c>
      <c r="X454" s="4">
        <f t="shared" si="230"/>
        <v>0</v>
      </c>
      <c r="Y454" s="4">
        <f t="shared" si="231"/>
        <v>8.4118326757584114</v>
      </c>
      <c r="Z454" s="4">
        <f t="shared" si="232"/>
        <v>5.6698809229805196</v>
      </c>
      <c r="AA454" s="4">
        <f t="shared" si="233"/>
        <v>53.5</v>
      </c>
      <c r="AB454" s="4">
        <f t="shared" si="234"/>
        <v>0</v>
      </c>
      <c r="AC454" s="4">
        <f t="shared" si="235"/>
        <v>0</v>
      </c>
      <c r="AD454" s="4">
        <f t="shared" si="236"/>
        <v>0</v>
      </c>
      <c r="AE454" s="4">
        <f t="shared" si="237"/>
        <v>0</v>
      </c>
      <c r="AF454" s="4">
        <f t="shared" si="238"/>
        <v>0</v>
      </c>
      <c r="AG454" s="4">
        <f t="shared" si="239"/>
        <v>8.4118326757584114</v>
      </c>
      <c r="AH454" s="4">
        <f t="shared" si="240"/>
        <v>0</v>
      </c>
      <c r="AI454" s="4">
        <f t="shared" si="241"/>
        <v>0</v>
      </c>
      <c r="AJ454" s="4">
        <f t="shared" si="242"/>
        <v>8.4118326757584114</v>
      </c>
      <c r="AK454" s="4">
        <f t="shared" si="243"/>
        <v>5.6698809229805196</v>
      </c>
      <c r="AL454" s="4">
        <f t="shared" si="244"/>
        <v>0</v>
      </c>
      <c r="AM454" s="4">
        <f>CER!$C$7+CER!$C$8*J454+CER!$C$9*K454+CER!$C$10*L454+CER!$C$11*M454</f>
        <v>3.3578088193710416</v>
      </c>
      <c r="AN454" s="4">
        <f t="shared" si="245"/>
        <v>28.726177623789034</v>
      </c>
      <c r="AO454" s="4">
        <f t="shared" si="246"/>
        <v>2.0744100806560084E-2</v>
      </c>
      <c r="AP454" s="4">
        <f>Alternatives!$F$25+Alternatives!$F$26*J454+Alternatives!$F$27*K454+Alternatives!$F$28*G454+Alternatives!$F$29*O454</f>
        <v>3.352801089377536</v>
      </c>
      <c r="AQ454" s="4">
        <f t="shared" si="247"/>
        <v>2.5751830800065711E-2</v>
      </c>
    </row>
    <row r="455" spans="1:43" x14ac:dyDescent="0.35">
      <c r="A455" s="2" t="s">
        <v>378</v>
      </c>
      <c r="B455" s="2" t="s">
        <v>360</v>
      </c>
      <c r="C455" s="2" t="s">
        <v>67</v>
      </c>
      <c r="D455" s="2">
        <v>26.145299999999999</v>
      </c>
      <c r="E455" s="2">
        <v>5000</v>
      </c>
      <c r="F455" s="2">
        <v>355</v>
      </c>
      <c r="G455" s="2">
        <v>53.5</v>
      </c>
      <c r="H455" s="2" t="s">
        <v>68</v>
      </c>
      <c r="I455" s="4">
        <f t="shared" si="217"/>
        <v>3.2636694420435686</v>
      </c>
      <c r="J455" s="4">
        <f t="shared" si="218"/>
        <v>8.5171931914162382</v>
      </c>
      <c r="K455" s="4">
        <f t="shared" si="219"/>
        <v>5.872117789475416</v>
      </c>
      <c r="L455" s="2">
        <v>0</v>
      </c>
      <c r="M455" s="2">
        <v>0</v>
      </c>
      <c r="N455" s="4">
        <f t="shared" si="220"/>
        <v>53.5</v>
      </c>
      <c r="O455" s="4">
        <f t="shared" si="221"/>
        <v>0</v>
      </c>
      <c r="P455" s="4">
        <f t="shared" si="222"/>
        <v>0</v>
      </c>
      <c r="Q455" s="4">
        <f t="shared" si="223"/>
        <v>8.5171931914162382</v>
      </c>
      <c r="R455" s="4">
        <f t="shared" si="224"/>
        <v>5.872117789475416</v>
      </c>
      <c r="S455" s="4">
        <f t="shared" si="225"/>
        <v>53.5</v>
      </c>
      <c r="T455" s="4">
        <f t="shared" si="226"/>
        <v>0</v>
      </c>
      <c r="U455" s="4">
        <f t="shared" si="227"/>
        <v>8.5171931914162382</v>
      </c>
      <c r="V455" s="4">
        <f t="shared" si="228"/>
        <v>5.872117789475416</v>
      </c>
      <c r="W455" s="4">
        <f t="shared" si="229"/>
        <v>53.5</v>
      </c>
      <c r="X455" s="4">
        <f t="shared" si="230"/>
        <v>0</v>
      </c>
      <c r="Y455" s="4">
        <f t="shared" si="231"/>
        <v>8.5171931914162382</v>
      </c>
      <c r="Z455" s="4">
        <f t="shared" si="232"/>
        <v>5.872117789475416</v>
      </c>
      <c r="AA455" s="4">
        <f t="shared" si="233"/>
        <v>53.5</v>
      </c>
      <c r="AB455" s="4">
        <f t="shared" si="234"/>
        <v>0</v>
      </c>
      <c r="AC455" s="4">
        <f t="shared" si="235"/>
        <v>0</v>
      </c>
      <c r="AD455" s="4">
        <f t="shared" si="236"/>
        <v>0</v>
      </c>
      <c r="AE455" s="4">
        <f t="shared" si="237"/>
        <v>0</v>
      </c>
      <c r="AF455" s="4">
        <f t="shared" si="238"/>
        <v>0</v>
      </c>
      <c r="AG455" s="4">
        <f t="shared" si="239"/>
        <v>8.5171931914162382</v>
      </c>
      <c r="AH455" s="4">
        <f t="shared" si="240"/>
        <v>0</v>
      </c>
      <c r="AI455" s="4">
        <f t="shared" si="241"/>
        <v>0</v>
      </c>
      <c r="AJ455" s="4">
        <f t="shared" si="242"/>
        <v>8.5171931914162382</v>
      </c>
      <c r="AK455" s="4">
        <f t="shared" si="243"/>
        <v>5.872117789475416</v>
      </c>
      <c r="AL455" s="4">
        <f t="shared" si="244"/>
        <v>0</v>
      </c>
      <c r="AM455" s="4">
        <f>CER!$C$7+CER!$C$8*J455+CER!$C$9*K455+CER!$C$10*L455+CER!$C$11*M455</f>
        <v>3.2354971324787853</v>
      </c>
      <c r="AN455" s="4">
        <f t="shared" si="245"/>
        <v>25.419005251422291</v>
      </c>
      <c r="AO455" s="4">
        <f t="shared" si="246"/>
        <v>2.8172309564783227E-2</v>
      </c>
      <c r="AP455" s="4">
        <f>Alternatives!$F$25+Alternatives!$F$26*J455+Alternatives!$F$27*K455+Alternatives!$F$28*G455+Alternatives!$F$29*O455</f>
        <v>3.337976292814143</v>
      </c>
      <c r="AQ455" s="4">
        <f t="shared" si="247"/>
        <v>-7.4306850770574417E-2</v>
      </c>
    </row>
    <row r="456" spans="1:43" x14ac:dyDescent="0.35">
      <c r="A456" s="2" t="s">
        <v>379</v>
      </c>
      <c r="B456" s="2" t="s">
        <v>360</v>
      </c>
      <c r="C456" s="2" t="s">
        <v>67</v>
      </c>
      <c r="D456" s="2">
        <v>33.504300000000001</v>
      </c>
      <c r="E456" s="2">
        <v>4000</v>
      </c>
      <c r="F456" s="2">
        <v>272</v>
      </c>
      <c r="G456" s="2">
        <v>50.5</v>
      </c>
      <c r="H456" s="2" t="s">
        <v>68</v>
      </c>
      <c r="I456" s="4">
        <f t="shared" si="217"/>
        <v>3.5116737888027658</v>
      </c>
      <c r="J456" s="4">
        <f t="shared" si="218"/>
        <v>8.2940496401020276</v>
      </c>
      <c r="K456" s="4">
        <f t="shared" si="219"/>
        <v>5.6058020662959978</v>
      </c>
      <c r="L456" s="2">
        <v>0</v>
      </c>
      <c r="M456" s="2">
        <v>0</v>
      </c>
      <c r="N456" s="4">
        <f t="shared" si="220"/>
        <v>50.5</v>
      </c>
      <c r="O456" s="4">
        <f t="shared" si="221"/>
        <v>0</v>
      </c>
      <c r="P456" s="4">
        <f t="shared" si="222"/>
        <v>0</v>
      </c>
      <c r="Q456" s="4">
        <f t="shared" si="223"/>
        <v>8.2940496401020276</v>
      </c>
      <c r="R456" s="4">
        <f t="shared" si="224"/>
        <v>5.6058020662959978</v>
      </c>
      <c r="S456" s="4">
        <f t="shared" si="225"/>
        <v>50.5</v>
      </c>
      <c r="T456" s="4">
        <f t="shared" si="226"/>
        <v>0</v>
      </c>
      <c r="U456" s="4">
        <f t="shared" si="227"/>
        <v>8.2940496401020276</v>
      </c>
      <c r="V456" s="4">
        <f t="shared" si="228"/>
        <v>5.6058020662959978</v>
      </c>
      <c r="W456" s="4">
        <f t="shared" si="229"/>
        <v>50.5</v>
      </c>
      <c r="X456" s="4">
        <f t="shared" si="230"/>
        <v>0</v>
      </c>
      <c r="Y456" s="4">
        <f t="shared" si="231"/>
        <v>8.2940496401020276</v>
      </c>
      <c r="Z456" s="4">
        <f t="shared" si="232"/>
        <v>5.6058020662959978</v>
      </c>
      <c r="AA456" s="4">
        <f t="shared" si="233"/>
        <v>50.5</v>
      </c>
      <c r="AB456" s="4">
        <f t="shared" si="234"/>
        <v>0</v>
      </c>
      <c r="AC456" s="4">
        <f t="shared" si="235"/>
        <v>0</v>
      </c>
      <c r="AD456" s="4">
        <f t="shared" si="236"/>
        <v>0</v>
      </c>
      <c r="AE456" s="4">
        <f t="shared" si="237"/>
        <v>0</v>
      </c>
      <c r="AF456" s="4">
        <f t="shared" si="238"/>
        <v>0</v>
      </c>
      <c r="AG456" s="4">
        <f t="shared" si="239"/>
        <v>8.2940496401020276</v>
      </c>
      <c r="AH456" s="4">
        <f t="shared" si="240"/>
        <v>0</v>
      </c>
      <c r="AI456" s="4">
        <f t="shared" si="241"/>
        <v>0</v>
      </c>
      <c r="AJ456" s="4">
        <f t="shared" si="242"/>
        <v>8.2940496401020276</v>
      </c>
      <c r="AK456" s="4">
        <f t="shared" si="243"/>
        <v>5.6058020662959978</v>
      </c>
      <c r="AL456" s="4">
        <f t="shared" si="244"/>
        <v>0</v>
      </c>
      <c r="AM456" s="4">
        <f>CER!$C$7+CER!$C$8*J456+CER!$C$9*K456+CER!$C$10*L456+CER!$C$11*M456</f>
        <v>3.4347717651154057</v>
      </c>
      <c r="AN456" s="4">
        <f t="shared" si="245"/>
        <v>31.024330922832075</v>
      </c>
      <c r="AO456" s="4">
        <f t="shared" si="246"/>
        <v>7.6902023687360099E-2</v>
      </c>
      <c r="AP456" s="4">
        <f>Alternatives!$F$25+Alternatives!$F$26*J456+Alternatives!$F$27*K456+Alternatives!$F$28*G456+Alternatives!$F$29*O456</f>
        <v>3.36528520554644</v>
      </c>
      <c r="AQ456" s="4">
        <f t="shared" si="247"/>
        <v>0.14638858325632587</v>
      </c>
    </row>
    <row r="457" spans="1:43" x14ac:dyDescent="0.35">
      <c r="A457" s="2" t="s">
        <v>380</v>
      </c>
      <c r="B457" s="2" t="s">
        <v>360</v>
      </c>
      <c r="C457" s="2" t="s">
        <v>67</v>
      </c>
      <c r="D457" s="2">
        <v>31.621300000000002</v>
      </c>
      <c r="E457" s="2">
        <v>4000</v>
      </c>
      <c r="F457" s="2">
        <v>272</v>
      </c>
      <c r="G457" s="2">
        <v>50.5</v>
      </c>
      <c r="H457" s="2" t="s">
        <v>68</v>
      </c>
      <c r="I457" s="4">
        <f t="shared" si="217"/>
        <v>3.453830944155682</v>
      </c>
      <c r="J457" s="4">
        <f t="shared" si="218"/>
        <v>8.2940496401020276</v>
      </c>
      <c r="K457" s="4">
        <f t="shared" si="219"/>
        <v>5.6058020662959978</v>
      </c>
      <c r="L457" s="2">
        <v>0</v>
      </c>
      <c r="M457" s="2">
        <v>0</v>
      </c>
      <c r="N457" s="4">
        <f t="shared" si="220"/>
        <v>50.5</v>
      </c>
      <c r="O457" s="4">
        <f t="shared" si="221"/>
        <v>0</v>
      </c>
      <c r="P457" s="4">
        <f t="shared" si="222"/>
        <v>0</v>
      </c>
      <c r="Q457" s="4">
        <f t="shared" si="223"/>
        <v>8.2940496401020276</v>
      </c>
      <c r="R457" s="4">
        <f t="shared" si="224"/>
        <v>5.6058020662959978</v>
      </c>
      <c r="S457" s="4">
        <f t="shared" si="225"/>
        <v>50.5</v>
      </c>
      <c r="T457" s="4">
        <f t="shared" si="226"/>
        <v>0</v>
      </c>
      <c r="U457" s="4">
        <f t="shared" si="227"/>
        <v>8.2940496401020276</v>
      </c>
      <c r="V457" s="4">
        <f t="shared" si="228"/>
        <v>5.6058020662959978</v>
      </c>
      <c r="W457" s="4">
        <f t="shared" si="229"/>
        <v>50.5</v>
      </c>
      <c r="X457" s="4">
        <f t="shared" si="230"/>
        <v>0</v>
      </c>
      <c r="Y457" s="4">
        <f t="shared" si="231"/>
        <v>8.2940496401020276</v>
      </c>
      <c r="Z457" s="4">
        <f t="shared" si="232"/>
        <v>5.6058020662959978</v>
      </c>
      <c r="AA457" s="4">
        <f t="shared" si="233"/>
        <v>50.5</v>
      </c>
      <c r="AB457" s="4">
        <f t="shared" si="234"/>
        <v>0</v>
      </c>
      <c r="AC457" s="4">
        <f t="shared" si="235"/>
        <v>0</v>
      </c>
      <c r="AD457" s="4">
        <f t="shared" si="236"/>
        <v>0</v>
      </c>
      <c r="AE457" s="4">
        <f t="shared" si="237"/>
        <v>0</v>
      </c>
      <c r="AF457" s="4">
        <f t="shared" si="238"/>
        <v>0</v>
      </c>
      <c r="AG457" s="4">
        <f t="shared" si="239"/>
        <v>8.2940496401020276</v>
      </c>
      <c r="AH457" s="4">
        <f t="shared" si="240"/>
        <v>0</v>
      </c>
      <c r="AI457" s="4">
        <f t="shared" si="241"/>
        <v>0</v>
      </c>
      <c r="AJ457" s="4">
        <f t="shared" si="242"/>
        <v>8.2940496401020276</v>
      </c>
      <c r="AK457" s="4">
        <f t="shared" si="243"/>
        <v>5.6058020662959978</v>
      </c>
      <c r="AL457" s="4">
        <f t="shared" si="244"/>
        <v>0</v>
      </c>
      <c r="AM457" s="4">
        <f>CER!$C$7+CER!$C$8*J457+CER!$C$9*K457+CER!$C$10*L457+CER!$C$11*M457</f>
        <v>3.4347717651154057</v>
      </c>
      <c r="AN457" s="4">
        <f t="shared" si="245"/>
        <v>31.024330922832075</v>
      </c>
      <c r="AO457" s="4">
        <f t="shared" si="246"/>
        <v>1.9059179040276319E-2</v>
      </c>
      <c r="AP457" s="4">
        <f>Alternatives!$F$25+Alternatives!$F$26*J457+Alternatives!$F$27*K457+Alternatives!$F$28*G457+Alternatives!$F$29*O457</f>
        <v>3.36528520554644</v>
      </c>
      <c r="AQ457" s="4">
        <f t="shared" si="247"/>
        <v>8.8545738609242086E-2</v>
      </c>
    </row>
    <row r="458" spans="1:43" x14ac:dyDescent="0.35">
      <c r="A458" s="2" t="s">
        <v>381</v>
      </c>
      <c r="B458" s="2" t="s">
        <v>360</v>
      </c>
      <c r="C458" s="2" t="s">
        <v>67</v>
      </c>
      <c r="D458" s="2">
        <v>29.148700000000002</v>
      </c>
      <c r="E458" s="2">
        <v>4500</v>
      </c>
      <c r="F458" s="2">
        <v>355</v>
      </c>
      <c r="G458" s="2">
        <v>50.5</v>
      </c>
      <c r="H458" s="2" t="s">
        <v>68</v>
      </c>
      <c r="I458" s="4">
        <f t="shared" si="217"/>
        <v>3.3724103148895082</v>
      </c>
      <c r="J458" s="4">
        <f t="shared" si="218"/>
        <v>8.4118326757584114</v>
      </c>
      <c r="K458" s="4">
        <f t="shared" si="219"/>
        <v>5.872117789475416</v>
      </c>
      <c r="L458" s="2">
        <v>0</v>
      </c>
      <c r="M458" s="2">
        <v>0</v>
      </c>
      <c r="N458" s="4">
        <f t="shared" si="220"/>
        <v>50.5</v>
      </c>
      <c r="O458" s="4">
        <f t="shared" si="221"/>
        <v>0</v>
      </c>
      <c r="P458" s="4">
        <f t="shared" si="222"/>
        <v>0</v>
      </c>
      <c r="Q458" s="4">
        <f t="shared" si="223"/>
        <v>8.4118326757584114</v>
      </c>
      <c r="R458" s="4">
        <f t="shared" si="224"/>
        <v>5.872117789475416</v>
      </c>
      <c r="S458" s="4">
        <f t="shared" si="225"/>
        <v>50.5</v>
      </c>
      <c r="T458" s="4">
        <f t="shared" si="226"/>
        <v>0</v>
      </c>
      <c r="U458" s="4">
        <f t="shared" si="227"/>
        <v>8.4118326757584114</v>
      </c>
      <c r="V458" s="4">
        <f t="shared" si="228"/>
        <v>5.872117789475416</v>
      </c>
      <c r="W458" s="4">
        <f t="shared" si="229"/>
        <v>50.5</v>
      </c>
      <c r="X458" s="4">
        <f t="shared" si="230"/>
        <v>0</v>
      </c>
      <c r="Y458" s="4">
        <f t="shared" si="231"/>
        <v>8.4118326757584114</v>
      </c>
      <c r="Z458" s="4">
        <f t="shared" si="232"/>
        <v>5.872117789475416</v>
      </c>
      <c r="AA458" s="4">
        <f t="shared" si="233"/>
        <v>50.5</v>
      </c>
      <c r="AB458" s="4">
        <f t="shared" si="234"/>
        <v>0</v>
      </c>
      <c r="AC458" s="4">
        <f t="shared" si="235"/>
        <v>0</v>
      </c>
      <c r="AD458" s="4">
        <f t="shared" si="236"/>
        <v>0</v>
      </c>
      <c r="AE458" s="4">
        <f t="shared" si="237"/>
        <v>0</v>
      </c>
      <c r="AF458" s="4">
        <f t="shared" si="238"/>
        <v>0</v>
      </c>
      <c r="AG458" s="4">
        <f t="shared" si="239"/>
        <v>8.4118326757584114</v>
      </c>
      <c r="AH458" s="4">
        <f t="shared" si="240"/>
        <v>0</v>
      </c>
      <c r="AI458" s="4">
        <f t="shared" si="241"/>
        <v>0</v>
      </c>
      <c r="AJ458" s="4">
        <f t="shared" si="242"/>
        <v>8.4118326757584114</v>
      </c>
      <c r="AK458" s="4">
        <f t="shared" si="243"/>
        <v>5.872117789475416</v>
      </c>
      <c r="AL458" s="4">
        <f t="shared" si="244"/>
        <v>0</v>
      </c>
      <c r="AM458" s="4">
        <f>CER!$C$7+CER!$C$8*J458+CER!$C$9*K458+CER!$C$10*L458+CER!$C$11*M458</f>
        <v>3.2831947987655101</v>
      </c>
      <c r="AN458" s="4">
        <f t="shared" si="245"/>
        <v>26.660812716225866</v>
      </c>
      <c r="AO458" s="4">
        <f t="shared" si="246"/>
        <v>8.9215516123998029E-2</v>
      </c>
      <c r="AP458" s="4">
        <f>Alternatives!$F$25+Alternatives!$F$26*J458+Alternatives!$F$27*K458+Alternatives!$F$28*G458+Alternatives!$F$29*O458</f>
        <v>3.3380057869510966</v>
      </c>
      <c r="AQ458" s="4">
        <f t="shared" si="247"/>
        <v>3.4404527938411533E-2</v>
      </c>
    </row>
    <row r="459" spans="1:43" x14ac:dyDescent="0.35">
      <c r="A459" s="2" t="s">
        <v>382</v>
      </c>
      <c r="B459" s="2" t="s">
        <v>360</v>
      </c>
      <c r="C459" s="2" t="s">
        <v>67</v>
      </c>
      <c r="D459" s="2">
        <v>31.487100000000002</v>
      </c>
      <c r="E459" s="2">
        <v>4000</v>
      </c>
      <c r="F459" s="2">
        <v>272</v>
      </c>
      <c r="G459" s="2">
        <v>48.4</v>
      </c>
      <c r="H459" s="2" t="s">
        <v>68</v>
      </c>
      <c r="I459" s="4">
        <f t="shared" si="217"/>
        <v>3.4495779381442877</v>
      </c>
      <c r="J459" s="4">
        <f t="shared" si="218"/>
        <v>8.2940496401020276</v>
      </c>
      <c r="K459" s="4">
        <f t="shared" si="219"/>
        <v>5.6058020662959978</v>
      </c>
      <c r="L459" s="2">
        <v>0</v>
      </c>
      <c r="M459" s="2">
        <v>0</v>
      </c>
      <c r="N459" s="4">
        <f t="shared" si="220"/>
        <v>48.4</v>
      </c>
      <c r="O459" s="4">
        <f t="shared" si="221"/>
        <v>0</v>
      </c>
      <c r="P459" s="4">
        <f t="shared" si="222"/>
        <v>0</v>
      </c>
      <c r="Q459" s="4">
        <f t="shared" si="223"/>
        <v>8.2940496401020276</v>
      </c>
      <c r="R459" s="4">
        <f t="shared" si="224"/>
        <v>5.6058020662959978</v>
      </c>
      <c r="S459" s="4">
        <f t="shared" si="225"/>
        <v>48.4</v>
      </c>
      <c r="T459" s="4">
        <f t="shared" si="226"/>
        <v>0</v>
      </c>
      <c r="U459" s="4">
        <f t="shared" si="227"/>
        <v>8.2940496401020276</v>
      </c>
      <c r="V459" s="4">
        <f t="shared" si="228"/>
        <v>5.6058020662959978</v>
      </c>
      <c r="W459" s="4">
        <f t="shared" si="229"/>
        <v>48.4</v>
      </c>
      <c r="X459" s="4">
        <f t="shared" si="230"/>
        <v>0</v>
      </c>
      <c r="Y459" s="4">
        <f t="shared" si="231"/>
        <v>8.2940496401020276</v>
      </c>
      <c r="Z459" s="4">
        <f t="shared" si="232"/>
        <v>5.6058020662959978</v>
      </c>
      <c r="AA459" s="4">
        <f t="shared" si="233"/>
        <v>48.4</v>
      </c>
      <c r="AB459" s="4">
        <f t="shared" si="234"/>
        <v>0</v>
      </c>
      <c r="AC459" s="4">
        <f t="shared" si="235"/>
        <v>0</v>
      </c>
      <c r="AD459" s="4">
        <f t="shared" si="236"/>
        <v>0</v>
      </c>
      <c r="AE459" s="4">
        <f t="shared" si="237"/>
        <v>0</v>
      </c>
      <c r="AF459" s="4">
        <f t="shared" si="238"/>
        <v>0</v>
      </c>
      <c r="AG459" s="4">
        <f t="shared" si="239"/>
        <v>8.2940496401020276</v>
      </c>
      <c r="AH459" s="4">
        <f t="shared" si="240"/>
        <v>0</v>
      </c>
      <c r="AI459" s="4">
        <f t="shared" si="241"/>
        <v>0</v>
      </c>
      <c r="AJ459" s="4">
        <f t="shared" si="242"/>
        <v>8.2940496401020276</v>
      </c>
      <c r="AK459" s="4">
        <f t="shared" si="243"/>
        <v>5.6058020662959978</v>
      </c>
      <c r="AL459" s="4">
        <f t="shared" si="244"/>
        <v>0</v>
      </c>
      <c r="AM459" s="4">
        <f>CER!$C$7+CER!$C$8*J459+CER!$C$9*K459+CER!$C$10*L459+CER!$C$11*M459</f>
        <v>3.4347717651154057</v>
      </c>
      <c r="AN459" s="4">
        <f t="shared" si="245"/>
        <v>31.024330922832075</v>
      </c>
      <c r="AO459" s="4">
        <f t="shared" si="246"/>
        <v>1.4806173028881986E-2</v>
      </c>
      <c r="AP459" s="4">
        <f>Alternatives!$F$25+Alternatives!$F$26*J459+Alternatives!$F$27*K459+Alternatives!$F$28*G459+Alternatives!$F$29*O459</f>
        <v>3.3926005660851195</v>
      </c>
      <c r="AQ459" s="4">
        <f t="shared" si="247"/>
        <v>5.6977372059168196E-2</v>
      </c>
    </row>
    <row r="460" spans="1:43" x14ac:dyDescent="0.35">
      <c r="A460" s="2" t="s">
        <v>383</v>
      </c>
      <c r="B460" s="2" t="s">
        <v>360</v>
      </c>
      <c r="C460" s="2" t="s">
        <v>67</v>
      </c>
      <c r="D460" s="2">
        <v>30.897600000000001</v>
      </c>
      <c r="E460" s="2">
        <v>4000</v>
      </c>
      <c r="F460" s="2">
        <v>272</v>
      </c>
      <c r="G460" s="2">
        <v>48.4</v>
      </c>
      <c r="H460" s="2" t="s">
        <v>68</v>
      </c>
      <c r="I460" s="4">
        <f t="shared" si="217"/>
        <v>3.4306785109843241</v>
      </c>
      <c r="J460" s="4">
        <f t="shared" si="218"/>
        <v>8.2940496401020276</v>
      </c>
      <c r="K460" s="4">
        <f t="shared" si="219"/>
        <v>5.6058020662959978</v>
      </c>
      <c r="L460" s="2">
        <v>0</v>
      </c>
      <c r="M460" s="2">
        <v>0</v>
      </c>
      <c r="N460" s="4">
        <f t="shared" si="220"/>
        <v>48.4</v>
      </c>
      <c r="O460" s="4">
        <f t="shared" si="221"/>
        <v>0</v>
      </c>
      <c r="P460" s="4">
        <f t="shared" si="222"/>
        <v>0</v>
      </c>
      <c r="Q460" s="4">
        <f t="shared" si="223"/>
        <v>8.2940496401020276</v>
      </c>
      <c r="R460" s="4">
        <f t="shared" si="224"/>
        <v>5.6058020662959978</v>
      </c>
      <c r="S460" s="4">
        <f t="shared" si="225"/>
        <v>48.4</v>
      </c>
      <c r="T460" s="4">
        <f t="shared" si="226"/>
        <v>0</v>
      </c>
      <c r="U460" s="4">
        <f t="shared" si="227"/>
        <v>8.2940496401020276</v>
      </c>
      <c r="V460" s="4">
        <f t="shared" si="228"/>
        <v>5.6058020662959978</v>
      </c>
      <c r="W460" s="4">
        <f t="shared" si="229"/>
        <v>48.4</v>
      </c>
      <c r="X460" s="4">
        <f t="shared" si="230"/>
        <v>0</v>
      </c>
      <c r="Y460" s="4">
        <f t="shared" si="231"/>
        <v>8.2940496401020276</v>
      </c>
      <c r="Z460" s="4">
        <f t="shared" si="232"/>
        <v>5.6058020662959978</v>
      </c>
      <c r="AA460" s="4">
        <f t="shared" si="233"/>
        <v>48.4</v>
      </c>
      <c r="AB460" s="4">
        <f t="shared" si="234"/>
        <v>0</v>
      </c>
      <c r="AC460" s="4">
        <f t="shared" si="235"/>
        <v>0</v>
      </c>
      <c r="AD460" s="4">
        <f t="shared" si="236"/>
        <v>0</v>
      </c>
      <c r="AE460" s="4">
        <f t="shared" si="237"/>
        <v>0</v>
      </c>
      <c r="AF460" s="4">
        <f t="shared" si="238"/>
        <v>0</v>
      </c>
      <c r="AG460" s="4">
        <f t="shared" si="239"/>
        <v>8.2940496401020276</v>
      </c>
      <c r="AH460" s="4">
        <f t="shared" si="240"/>
        <v>0</v>
      </c>
      <c r="AI460" s="4">
        <f t="shared" si="241"/>
        <v>0</v>
      </c>
      <c r="AJ460" s="4">
        <f t="shared" si="242"/>
        <v>8.2940496401020276</v>
      </c>
      <c r="AK460" s="4">
        <f t="shared" si="243"/>
        <v>5.6058020662959978</v>
      </c>
      <c r="AL460" s="4">
        <f t="shared" si="244"/>
        <v>0</v>
      </c>
      <c r="AM460" s="4">
        <f>CER!$C$7+CER!$C$8*J460+CER!$C$9*K460+CER!$C$10*L460+CER!$C$11*M460</f>
        <v>3.4347717651154057</v>
      </c>
      <c r="AN460" s="4">
        <f t="shared" si="245"/>
        <v>31.024330922832075</v>
      </c>
      <c r="AO460" s="4">
        <f t="shared" si="246"/>
        <v>-4.0932541310816362E-3</v>
      </c>
      <c r="AP460" s="4">
        <f>Alternatives!$F$25+Alternatives!$F$26*J460+Alternatives!$F$27*K460+Alternatives!$F$28*G460+Alternatives!$F$29*O460</f>
        <v>3.3926005660851195</v>
      </c>
      <c r="AQ460" s="4">
        <f t="shared" si="247"/>
        <v>3.8077944899204574E-2</v>
      </c>
    </row>
    <row r="461" spans="1:43" x14ac:dyDescent="0.35">
      <c r="A461" s="2" t="s">
        <v>384</v>
      </c>
      <c r="B461" s="2" t="s">
        <v>360</v>
      </c>
      <c r="C461" s="2" t="s">
        <v>67</v>
      </c>
      <c r="D461" s="2">
        <v>45.1038</v>
      </c>
      <c r="E461" s="2">
        <v>3500</v>
      </c>
      <c r="F461" s="2">
        <v>200</v>
      </c>
      <c r="G461" s="2">
        <v>46</v>
      </c>
      <c r="H461" s="2" t="s">
        <v>68</v>
      </c>
      <c r="I461" s="4">
        <f t="shared" si="217"/>
        <v>3.8089665001654023</v>
      </c>
      <c r="J461" s="4">
        <f t="shared" si="218"/>
        <v>8.1605182474775049</v>
      </c>
      <c r="K461" s="4">
        <f t="shared" si="219"/>
        <v>5.2983173665480363</v>
      </c>
      <c r="L461" s="2">
        <v>0</v>
      </c>
      <c r="M461" s="2">
        <v>0</v>
      </c>
      <c r="N461" s="4">
        <f t="shared" si="220"/>
        <v>46</v>
      </c>
      <c r="O461" s="4">
        <f t="shared" si="221"/>
        <v>0</v>
      </c>
      <c r="P461" s="4">
        <f t="shared" si="222"/>
        <v>0</v>
      </c>
      <c r="Q461" s="4">
        <f t="shared" si="223"/>
        <v>8.1605182474775049</v>
      </c>
      <c r="R461" s="4">
        <f t="shared" si="224"/>
        <v>5.2983173665480363</v>
      </c>
      <c r="S461" s="4">
        <f t="shared" si="225"/>
        <v>46</v>
      </c>
      <c r="T461" s="4">
        <f t="shared" si="226"/>
        <v>0</v>
      </c>
      <c r="U461" s="4">
        <f t="shared" si="227"/>
        <v>8.1605182474775049</v>
      </c>
      <c r="V461" s="4">
        <f t="shared" si="228"/>
        <v>5.2983173665480363</v>
      </c>
      <c r="W461" s="4">
        <f t="shared" si="229"/>
        <v>46</v>
      </c>
      <c r="X461" s="4">
        <f t="shared" si="230"/>
        <v>0</v>
      </c>
      <c r="Y461" s="4">
        <f t="shared" si="231"/>
        <v>8.1605182474775049</v>
      </c>
      <c r="Z461" s="4">
        <f t="shared" si="232"/>
        <v>5.2983173665480363</v>
      </c>
      <c r="AA461" s="4">
        <f t="shared" si="233"/>
        <v>46</v>
      </c>
      <c r="AB461" s="4">
        <f t="shared" si="234"/>
        <v>0</v>
      </c>
      <c r="AC461" s="4">
        <f t="shared" si="235"/>
        <v>0</v>
      </c>
      <c r="AD461" s="4">
        <f t="shared" si="236"/>
        <v>0</v>
      </c>
      <c r="AE461" s="4">
        <f t="shared" si="237"/>
        <v>0</v>
      </c>
      <c r="AF461" s="4">
        <f t="shared" si="238"/>
        <v>0</v>
      </c>
      <c r="AG461" s="4">
        <f t="shared" si="239"/>
        <v>8.1605182474775049</v>
      </c>
      <c r="AH461" s="4">
        <f t="shared" si="240"/>
        <v>0</v>
      </c>
      <c r="AI461" s="4">
        <f t="shared" si="241"/>
        <v>0</v>
      </c>
      <c r="AJ461" s="4">
        <f t="shared" si="242"/>
        <v>8.1605182474775049</v>
      </c>
      <c r="AK461" s="4">
        <f t="shared" si="243"/>
        <v>5.2983173665480363</v>
      </c>
      <c r="AL461" s="4">
        <f t="shared" si="244"/>
        <v>0</v>
      </c>
      <c r="AM461" s="4">
        <f>CER!$C$7+CER!$C$8*J461+CER!$C$9*K461+CER!$C$10*L461+CER!$C$11*M461</f>
        <v>3.6086671913952091</v>
      </c>
      <c r="AN461" s="4">
        <f t="shared" si="245"/>
        <v>36.916816959819819</v>
      </c>
      <c r="AO461" s="4">
        <f t="shared" si="246"/>
        <v>0.2002993087701932</v>
      </c>
      <c r="AP461" s="4">
        <f>Alternatives!$F$25+Alternatives!$F$26*J461+Alternatives!$F$27*K461+Alternatives!$F$28*G461+Alternatives!$F$29*O461</f>
        <v>3.4562247685234131</v>
      </c>
      <c r="AQ461" s="4">
        <f t="shared" si="247"/>
        <v>0.35274173164198919</v>
      </c>
    </row>
    <row r="462" spans="1:43" x14ac:dyDescent="0.35">
      <c r="A462" s="2" t="s">
        <v>384</v>
      </c>
      <c r="B462" s="2" t="s">
        <v>360</v>
      </c>
      <c r="C462" s="2" t="s">
        <v>67</v>
      </c>
      <c r="D462" s="2">
        <v>31.569700000000001</v>
      </c>
      <c r="E462" s="2">
        <v>3500</v>
      </c>
      <c r="F462" s="2">
        <v>320</v>
      </c>
      <c r="G462" s="2">
        <v>46</v>
      </c>
      <c r="H462" s="2" t="s">
        <v>68</v>
      </c>
      <c r="I462" s="4">
        <f t="shared" si="217"/>
        <v>3.4521977998323199</v>
      </c>
      <c r="J462" s="4">
        <f t="shared" si="218"/>
        <v>8.1605182474775049</v>
      </c>
      <c r="K462" s="4">
        <f t="shared" si="219"/>
        <v>5.768320995793772</v>
      </c>
      <c r="L462" s="2">
        <v>0</v>
      </c>
      <c r="M462" s="2">
        <v>0</v>
      </c>
      <c r="N462" s="4">
        <f t="shared" si="220"/>
        <v>46</v>
      </c>
      <c r="O462" s="4">
        <f t="shared" si="221"/>
        <v>0</v>
      </c>
      <c r="P462" s="4">
        <f t="shared" si="222"/>
        <v>0</v>
      </c>
      <c r="Q462" s="4">
        <f t="shared" si="223"/>
        <v>8.1605182474775049</v>
      </c>
      <c r="R462" s="4">
        <f t="shared" si="224"/>
        <v>5.768320995793772</v>
      </c>
      <c r="S462" s="4">
        <f t="shared" si="225"/>
        <v>46</v>
      </c>
      <c r="T462" s="4">
        <f t="shared" si="226"/>
        <v>0</v>
      </c>
      <c r="U462" s="4">
        <f t="shared" si="227"/>
        <v>8.1605182474775049</v>
      </c>
      <c r="V462" s="4">
        <f t="shared" si="228"/>
        <v>5.768320995793772</v>
      </c>
      <c r="W462" s="4">
        <f t="shared" si="229"/>
        <v>46</v>
      </c>
      <c r="X462" s="4">
        <f t="shared" si="230"/>
        <v>0</v>
      </c>
      <c r="Y462" s="4">
        <f t="shared" si="231"/>
        <v>8.1605182474775049</v>
      </c>
      <c r="Z462" s="4">
        <f t="shared" si="232"/>
        <v>5.768320995793772</v>
      </c>
      <c r="AA462" s="4">
        <f t="shared" si="233"/>
        <v>46</v>
      </c>
      <c r="AB462" s="4">
        <f t="shared" si="234"/>
        <v>0</v>
      </c>
      <c r="AC462" s="4">
        <f t="shared" si="235"/>
        <v>0</v>
      </c>
      <c r="AD462" s="4">
        <f t="shared" si="236"/>
        <v>0</v>
      </c>
      <c r="AE462" s="4">
        <f t="shared" si="237"/>
        <v>0</v>
      </c>
      <c r="AF462" s="4">
        <f t="shared" si="238"/>
        <v>0</v>
      </c>
      <c r="AG462" s="4">
        <f t="shared" si="239"/>
        <v>8.1605182474775049</v>
      </c>
      <c r="AH462" s="4">
        <f t="shared" si="240"/>
        <v>0</v>
      </c>
      <c r="AI462" s="4">
        <f t="shared" si="241"/>
        <v>0</v>
      </c>
      <c r="AJ462" s="4">
        <f t="shared" si="242"/>
        <v>8.1605182474775049</v>
      </c>
      <c r="AK462" s="4">
        <f t="shared" si="243"/>
        <v>5.768320995793772</v>
      </c>
      <c r="AL462" s="4">
        <f t="shared" si="244"/>
        <v>0</v>
      </c>
      <c r="AM462" s="4">
        <f>CER!$C$7+CER!$C$8*J462+CER!$C$9*K462+CER!$C$10*L462+CER!$C$11*M462</f>
        <v>3.4352623068901336</v>
      </c>
      <c r="AN462" s="4">
        <f t="shared" si="245"/>
        <v>31.039553386504629</v>
      </c>
      <c r="AO462" s="4">
        <f t="shared" si="246"/>
        <v>1.6935492942186325E-2</v>
      </c>
      <c r="AP462" s="4">
        <f>Alternatives!$F$25+Alternatives!$F$26*J462+Alternatives!$F$27*K462+Alternatives!$F$28*G462+Alternatives!$F$29*O462</f>
        <v>3.3311521178273673</v>
      </c>
      <c r="AQ462" s="4">
        <f t="shared" si="247"/>
        <v>0.12104568200495258</v>
      </c>
    </row>
    <row r="463" spans="1:43" x14ac:dyDescent="0.35">
      <c r="A463" s="2" t="s">
        <v>385</v>
      </c>
      <c r="B463" s="2" t="s">
        <v>360</v>
      </c>
      <c r="C463" s="2" t="s">
        <v>67</v>
      </c>
      <c r="D463" s="2">
        <v>43.6203</v>
      </c>
      <c r="E463" s="2">
        <v>3500</v>
      </c>
      <c r="F463" s="2">
        <v>200</v>
      </c>
      <c r="G463" s="2">
        <v>45.6</v>
      </c>
      <c r="H463" s="2" t="s">
        <v>68</v>
      </c>
      <c r="I463" s="4">
        <f t="shared" si="217"/>
        <v>3.7755226383289249</v>
      </c>
      <c r="J463" s="4">
        <f t="shared" si="218"/>
        <v>8.1605182474775049</v>
      </c>
      <c r="K463" s="4">
        <f t="shared" si="219"/>
        <v>5.2983173665480363</v>
      </c>
      <c r="L463" s="2">
        <v>0</v>
      </c>
      <c r="M463" s="2">
        <v>0</v>
      </c>
      <c r="N463" s="4">
        <f t="shared" si="220"/>
        <v>45.6</v>
      </c>
      <c r="O463" s="4">
        <f t="shared" si="221"/>
        <v>0</v>
      </c>
      <c r="P463" s="4">
        <f t="shared" si="222"/>
        <v>0</v>
      </c>
      <c r="Q463" s="4">
        <f t="shared" si="223"/>
        <v>8.1605182474775049</v>
      </c>
      <c r="R463" s="4">
        <f t="shared" si="224"/>
        <v>5.2983173665480363</v>
      </c>
      <c r="S463" s="4">
        <f t="shared" si="225"/>
        <v>45.6</v>
      </c>
      <c r="T463" s="4">
        <f t="shared" si="226"/>
        <v>0</v>
      </c>
      <c r="U463" s="4">
        <f t="shared" si="227"/>
        <v>8.1605182474775049</v>
      </c>
      <c r="V463" s="4">
        <f t="shared" si="228"/>
        <v>5.2983173665480363</v>
      </c>
      <c r="W463" s="4">
        <f t="shared" si="229"/>
        <v>45.6</v>
      </c>
      <c r="X463" s="4">
        <f t="shared" si="230"/>
        <v>0</v>
      </c>
      <c r="Y463" s="4">
        <f t="shared" si="231"/>
        <v>8.1605182474775049</v>
      </c>
      <c r="Z463" s="4">
        <f t="shared" si="232"/>
        <v>5.2983173665480363</v>
      </c>
      <c r="AA463" s="4">
        <f t="shared" si="233"/>
        <v>45.6</v>
      </c>
      <c r="AB463" s="4">
        <f t="shared" si="234"/>
        <v>0</v>
      </c>
      <c r="AC463" s="4">
        <f t="shared" si="235"/>
        <v>0</v>
      </c>
      <c r="AD463" s="4">
        <f t="shared" si="236"/>
        <v>0</v>
      </c>
      <c r="AE463" s="4">
        <f t="shared" si="237"/>
        <v>0</v>
      </c>
      <c r="AF463" s="4">
        <f t="shared" si="238"/>
        <v>0</v>
      </c>
      <c r="AG463" s="4">
        <f t="shared" si="239"/>
        <v>8.1605182474775049</v>
      </c>
      <c r="AH463" s="4">
        <f t="shared" si="240"/>
        <v>0</v>
      </c>
      <c r="AI463" s="4">
        <f t="shared" si="241"/>
        <v>0</v>
      </c>
      <c r="AJ463" s="4">
        <f t="shared" si="242"/>
        <v>8.1605182474775049</v>
      </c>
      <c r="AK463" s="4">
        <f t="shared" si="243"/>
        <v>5.2983173665480363</v>
      </c>
      <c r="AL463" s="4">
        <f t="shared" si="244"/>
        <v>0</v>
      </c>
      <c r="AM463" s="4">
        <f>CER!$C$7+CER!$C$8*J463+CER!$C$9*K463+CER!$C$10*L463+CER!$C$11*M463</f>
        <v>3.6086671913952091</v>
      </c>
      <c r="AN463" s="4">
        <f t="shared" si="245"/>
        <v>36.916816959819819</v>
      </c>
      <c r="AO463" s="4">
        <f t="shared" si="246"/>
        <v>0.16685544693371579</v>
      </c>
      <c r="AP463" s="4">
        <f>Alternatives!$F$25+Alternatives!$F$26*J463+Alternatives!$F$27*K463+Alternatives!$F$28*G463+Alternatives!$F$29*O463</f>
        <v>3.4614276943403044</v>
      </c>
      <c r="AQ463" s="4">
        <f t="shared" si="247"/>
        <v>0.31409494398862048</v>
      </c>
    </row>
    <row r="464" spans="1:43" x14ac:dyDescent="0.35">
      <c r="A464" s="2" t="s">
        <v>385</v>
      </c>
      <c r="B464" s="2" t="s">
        <v>360</v>
      </c>
      <c r="C464" s="2" t="s">
        <v>67</v>
      </c>
      <c r="D464" s="2">
        <v>41.797400000000003</v>
      </c>
      <c r="E464" s="2">
        <v>3500</v>
      </c>
      <c r="F464" s="2">
        <v>200</v>
      </c>
      <c r="G464" s="2">
        <v>45.6</v>
      </c>
      <c r="H464" s="2" t="s">
        <v>68</v>
      </c>
      <c r="I464" s="4">
        <f t="shared" si="217"/>
        <v>3.7328341366392133</v>
      </c>
      <c r="J464" s="4">
        <f t="shared" si="218"/>
        <v>8.1605182474775049</v>
      </c>
      <c r="K464" s="4">
        <f t="shared" si="219"/>
        <v>5.2983173665480363</v>
      </c>
      <c r="L464" s="2">
        <v>0</v>
      </c>
      <c r="M464" s="2">
        <v>0</v>
      </c>
      <c r="N464" s="4">
        <f t="shared" si="220"/>
        <v>45.6</v>
      </c>
      <c r="O464" s="4">
        <f t="shared" si="221"/>
        <v>0</v>
      </c>
      <c r="P464" s="4">
        <f t="shared" si="222"/>
        <v>0</v>
      </c>
      <c r="Q464" s="4">
        <f t="shared" si="223"/>
        <v>8.1605182474775049</v>
      </c>
      <c r="R464" s="4">
        <f t="shared" si="224"/>
        <v>5.2983173665480363</v>
      </c>
      <c r="S464" s="4">
        <f t="shared" si="225"/>
        <v>45.6</v>
      </c>
      <c r="T464" s="4">
        <f t="shared" si="226"/>
        <v>0</v>
      </c>
      <c r="U464" s="4">
        <f t="shared" si="227"/>
        <v>8.1605182474775049</v>
      </c>
      <c r="V464" s="4">
        <f t="shared" si="228"/>
        <v>5.2983173665480363</v>
      </c>
      <c r="W464" s="4">
        <f t="shared" si="229"/>
        <v>45.6</v>
      </c>
      <c r="X464" s="4">
        <f t="shared" si="230"/>
        <v>0</v>
      </c>
      <c r="Y464" s="4">
        <f t="shared" si="231"/>
        <v>8.1605182474775049</v>
      </c>
      <c r="Z464" s="4">
        <f t="shared" si="232"/>
        <v>5.2983173665480363</v>
      </c>
      <c r="AA464" s="4">
        <f t="shared" si="233"/>
        <v>45.6</v>
      </c>
      <c r="AB464" s="4">
        <f t="shared" si="234"/>
        <v>0</v>
      </c>
      <c r="AC464" s="4">
        <f t="shared" si="235"/>
        <v>0</v>
      </c>
      <c r="AD464" s="4">
        <f t="shared" si="236"/>
        <v>0</v>
      </c>
      <c r="AE464" s="4">
        <f t="shared" si="237"/>
        <v>0</v>
      </c>
      <c r="AF464" s="4">
        <f t="shared" si="238"/>
        <v>0</v>
      </c>
      <c r="AG464" s="4">
        <f t="shared" si="239"/>
        <v>8.1605182474775049</v>
      </c>
      <c r="AH464" s="4">
        <f t="shared" si="240"/>
        <v>0</v>
      </c>
      <c r="AI464" s="4">
        <f t="shared" si="241"/>
        <v>0</v>
      </c>
      <c r="AJ464" s="4">
        <f t="shared" si="242"/>
        <v>8.1605182474775049</v>
      </c>
      <c r="AK464" s="4">
        <f t="shared" si="243"/>
        <v>5.2983173665480363</v>
      </c>
      <c r="AL464" s="4">
        <f t="shared" si="244"/>
        <v>0</v>
      </c>
      <c r="AM464" s="4">
        <f>CER!$C$7+CER!$C$8*J464+CER!$C$9*K464+CER!$C$10*L464+CER!$C$11*M464</f>
        <v>3.6086671913952091</v>
      </c>
      <c r="AN464" s="4">
        <f t="shared" si="245"/>
        <v>36.916816959819819</v>
      </c>
      <c r="AO464" s="4">
        <f t="shared" si="246"/>
        <v>0.12416694524400418</v>
      </c>
      <c r="AP464" s="4">
        <f>Alternatives!$F$25+Alternatives!$F$26*J464+Alternatives!$F$27*K464+Alternatives!$F$28*G464+Alternatives!$F$29*O464</f>
        <v>3.4614276943403044</v>
      </c>
      <c r="AQ464" s="4">
        <f t="shared" si="247"/>
        <v>0.27140644229890887</v>
      </c>
    </row>
    <row r="465" spans="1:43" x14ac:dyDescent="0.35">
      <c r="A465" s="2" t="s">
        <v>386</v>
      </c>
      <c r="B465" s="2" t="s">
        <v>387</v>
      </c>
      <c r="C465" s="2" t="s">
        <v>67</v>
      </c>
      <c r="D465" s="2">
        <v>28.574400000000001</v>
      </c>
      <c r="E465" s="2">
        <v>4500</v>
      </c>
      <c r="F465" s="2">
        <v>281</v>
      </c>
      <c r="G465" s="2">
        <v>50</v>
      </c>
      <c r="H465" s="2" t="s">
        <v>68</v>
      </c>
      <c r="I465" s="4">
        <f t="shared" si="217"/>
        <v>3.3525112120850982</v>
      </c>
      <c r="J465" s="4">
        <f t="shared" si="218"/>
        <v>8.4118326757584114</v>
      </c>
      <c r="K465" s="4">
        <f t="shared" si="219"/>
        <v>5.6383546693337454</v>
      </c>
      <c r="L465" s="2">
        <v>0</v>
      </c>
      <c r="M465" s="2">
        <v>0</v>
      </c>
      <c r="N465" s="4">
        <f t="shared" si="220"/>
        <v>50</v>
      </c>
      <c r="O465" s="4">
        <f t="shared" si="221"/>
        <v>0</v>
      </c>
      <c r="P465" s="4">
        <f t="shared" si="222"/>
        <v>0</v>
      </c>
      <c r="Q465" s="4">
        <f t="shared" si="223"/>
        <v>8.4118326757584114</v>
      </c>
      <c r="R465" s="4">
        <f t="shared" si="224"/>
        <v>5.6383546693337454</v>
      </c>
      <c r="S465" s="4">
        <f t="shared" si="225"/>
        <v>50</v>
      </c>
      <c r="T465" s="4">
        <f t="shared" si="226"/>
        <v>0</v>
      </c>
      <c r="U465" s="4">
        <f t="shared" si="227"/>
        <v>8.4118326757584114</v>
      </c>
      <c r="V465" s="4">
        <f t="shared" si="228"/>
        <v>5.6383546693337454</v>
      </c>
      <c r="W465" s="4">
        <f t="shared" si="229"/>
        <v>50</v>
      </c>
      <c r="X465" s="4">
        <f t="shared" si="230"/>
        <v>0</v>
      </c>
      <c r="Y465" s="4">
        <f t="shared" si="231"/>
        <v>8.4118326757584114</v>
      </c>
      <c r="Z465" s="4">
        <f t="shared" si="232"/>
        <v>5.6383546693337454</v>
      </c>
      <c r="AA465" s="4">
        <f t="shared" si="233"/>
        <v>50</v>
      </c>
      <c r="AB465" s="4">
        <f t="shared" si="234"/>
        <v>0</v>
      </c>
      <c r="AC465" s="4">
        <f t="shared" si="235"/>
        <v>0</v>
      </c>
      <c r="AD465" s="4">
        <f t="shared" si="236"/>
        <v>0</v>
      </c>
      <c r="AE465" s="4">
        <f t="shared" si="237"/>
        <v>0</v>
      </c>
      <c r="AF465" s="4">
        <f t="shared" si="238"/>
        <v>0</v>
      </c>
      <c r="AG465" s="4">
        <f t="shared" si="239"/>
        <v>8.4118326757584114</v>
      </c>
      <c r="AH465" s="4">
        <f t="shared" si="240"/>
        <v>0</v>
      </c>
      <c r="AI465" s="4">
        <f t="shared" si="241"/>
        <v>0</v>
      </c>
      <c r="AJ465" s="4">
        <f t="shared" si="242"/>
        <v>8.4118326757584114</v>
      </c>
      <c r="AK465" s="4">
        <f t="shared" si="243"/>
        <v>5.6383546693337454</v>
      </c>
      <c r="AL465" s="4">
        <f t="shared" si="244"/>
        <v>0</v>
      </c>
      <c r="AM465" s="4">
        <f>CER!$C$7+CER!$C$8*J465+CER!$C$9*K465+CER!$C$10*L465+CER!$C$11*M465</f>
        <v>3.3694402324758079</v>
      </c>
      <c r="AN465" s="4">
        <f t="shared" si="245"/>
        <v>29.062254397577046</v>
      </c>
      <c r="AO465" s="4">
        <f t="shared" si="246"/>
        <v>-1.6929020390709759E-2</v>
      </c>
      <c r="AP465" s="4">
        <f>Alternatives!$F$25+Alternatives!$F$26*J465+Alternatives!$F$27*K465+Alternatives!$F$28*G465+Alternatives!$F$29*O465</f>
        <v>3.4067161406215924</v>
      </c>
      <c r="AQ465" s="4">
        <f t="shared" si="247"/>
        <v>-5.4204928536494279E-2</v>
      </c>
    </row>
    <row r="466" spans="1:43" x14ac:dyDescent="0.35">
      <c r="A466" s="2" t="s">
        <v>388</v>
      </c>
      <c r="B466" s="2" t="s">
        <v>387</v>
      </c>
      <c r="C466" s="2" t="s">
        <v>67</v>
      </c>
      <c r="D466" s="2">
        <v>29.8306</v>
      </c>
      <c r="E466" s="2">
        <v>4500</v>
      </c>
      <c r="F466" s="2">
        <v>281</v>
      </c>
      <c r="G466" s="2">
        <v>49.9</v>
      </c>
      <c r="H466" s="2" t="s">
        <v>68</v>
      </c>
      <c r="I466" s="4">
        <f t="shared" si="217"/>
        <v>3.3955347123035895</v>
      </c>
      <c r="J466" s="4">
        <f t="shared" si="218"/>
        <v>8.4118326757584114</v>
      </c>
      <c r="K466" s="4">
        <f t="shared" si="219"/>
        <v>5.6383546693337454</v>
      </c>
      <c r="L466" s="2">
        <v>0</v>
      </c>
      <c r="M466" s="2">
        <v>0</v>
      </c>
      <c r="N466" s="4">
        <f t="shared" si="220"/>
        <v>49.9</v>
      </c>
      <c r="O466" s="4">
        <f t="shared" si="221"/>
        <v>0</v>
      </c>
      <c r="P466" s="4">
        <f t="shared" si="222"/>
        <v>0</v>
      </c>
      <c r="Q466" s="4">
        <f t="shared" si="223"/>
        <v>8.4118326757584114</v>
      </c>
      <c r="R466" s="4">
        <f t="shared" si="224"/>
        <v>5.6383546693337454</v>
      </c>
      <c r="S466" s="4">
        <f t="shared" si="225"/>
        <v>49.9</v>
      </c>
      <c r="T466" s="4">
        <f t="shared" si="226"/>
        <v>0</v>
      </c>
      <c r="U466" s="4">
        <f t="shared" si="227"/>
        <v>8.4118326757584114</v>
      </c>
      <c r="V466" s="4">
        <f t="shared" si="228"/>
        <v>5.6383546693337454</v>
      </c>
      <c r="W466" s="4">
        <f t="shared" si="229"/>
        <v>49.9</v>
      </c>
      <c r="X466" s="4">
        <f t="shared" si="230"/>
        <v>0</v>
      </c>
      <c r="Y466" s="4">
        <f t="shared" si="231"/>
        <v>8.4118326757584114</v>
      </c>
      <c r="Z466" s="4">
        <f t="shared" si="232"/>
        <v>5.6383546693337454</v>
      </c>
      <c r="AA466" s="4">
        <f t="shared" si="233"/>
        <v>49.9</v>
      </c>
      <c r="AB466" s="4">
        <f t="shared" si="234"/>
        <v>0</v>
      </c>
      <c r="AC466" s="4">
        <f t="shared" si="235"/>
        <v>0</v>
      </c>
      <c r="AD466" s="4">
        <f t="shared" si="236"/>
        <v>0</v>
      </c>
      <c r="AE466" s="4">
        <f t="shared" si="237"/>
        <v>0</v>
      </c>
      <c r="AF466" s="4">
        <f t="shared" si="238"/>
        <v>0</v>
      </c>
      <c r="AG466" s="4">
        <f t="shared" si="239"/>
        <v>8.4118326757584114</v>
      </c>
      <c r="AH466" s="4">
        <f t="shared" si="240"/>
        <v>0</v>
      </c>
      <c r="AI466" s="4">
        <f t="shared" si="241"/>
        <v>0</v>
      </c>
      <c r="AJ466" s="4">
        <f t="shared" si="242"/>
        <v>8.4118326757584114</v>
      </c>
      <c r="AK466" s="4">
        <f t="shared" si="243"/>
        <v>5.6383546693337454</v>
      </c>
      <c r="AL466" s="4">
        <f t="shared" si="244"/>
        <v>0</v>
      </c>
      <c r="AM466" s="4">
        <f>CER!$C$7+CER!$C$8*J466+CER!$C$9*K466+CER!$C$10*L466+CER!$C$11*M466</f>
        <v>3.3694402324758079</v>
      </c>
      <c r="AN466" s="4">
        <f t="shared" si="245"/>
        <v>29.062254397577046</v>
      </c>
      <c r="AO466" s="4">
        <f t="shared" si="246"/>
        <v>2.6094479827781569E-2</v>
      </c>
      <c r="AP466" s="4">
        <f>Alternatives!$F$25+Alternatives!$F$26*J466+Alternatives!$F$27*K466+Alternatives!$F$28*G466+Alternatives!$F$29*O466</f>
        <v>3.4080168720758151</v>
      </c>
      <c r="AQ466" s="4">
        <f t="shared" si="247"/>
        <v>-1.2482159772225554E-2</v>
      </c>
    </row>
    <row r="467" spans="1:43" x14ac:dyDescent="0.35">
      <c r="A467" s="2" t="s">
        <v>389</v>
      </c>
      <c r="B467" s="2" t="s">
        <v>387</v>
      </c>
      <c r="C467" s="2" t="s">
        <v>67</v>
      </c>
      <c r="D467" s="2">
        <v>31.148299999999999</v>
      </c>
      <c r="E467" s="2">
        <v>4500</v>
      </c>
      <c r="F467" s="2">
        <v>281</v>
      </c>
      <c r="G467" s="2">
        <v>49.9</v>
      </c>
      <c r="H467" s="2" t="s">
        <v>68</v>
      </c>
      <c r="I467" s="4">
        <f t="shared" si="217"/>
        <v>3.4387596691053681</v>
      </c>
      <c r="J467" s="4">
        <f t="shared" si="218"/>
        <v>8.4118326757584114</v>
      </c>
      <c r="K467" s="4">
        <f t="shared" si="219"/>
        <v>5.6383546693337454</v>
      </c>
      <c r="L467" s="2">
        <v>0</v>
      </c>
      <c r="M467" s="2">
        <v>0</v>
      </c>
      <c r="N467" s="4">
        <f t="shared" si="220"/>
        <v>49.9</v>
      </c>
      <c r="O467" s="4">
        <f t="shared" si="221"/>
        <v>0</v>
      </c>
      <c r="P467" s="4">
        <f t="shared" si="222"/>
        <v>0</v>
      </c>
      <c r="Q467" s="4">
        <f t="shared" si="223"/>
        <v>8.4118326757584114</v>
      </c>
      <c r="R467" s="4">
        <f t="shared" si="224"/>
        <v>5.6383546693337454</v>
      </c>
      <c r="S467" s="4">
        <f t="shared" si="225"/>
        <v>49.9</v>
      </c>
      <c r="T467" s="4">
        <f t="shared" si="226"/>
        <v>0</v>
      </c>
      <c r="U467" s="4">
        <f t="shared" si="227"/>
        <v>8.4118326757584114</v>
      </c>
      <c r="V467" s="4">
        <f t="shared" si="228"/>
        <v>5.6383546693337454</v>
      </c>
      <c r="W467" s="4">
        <f t="shared" si="229"/>
        <v>49.9</v>
      </c>
      <c r="X467" s="4">
        <f t="shared" si="230"/>
        <v>0</v>
      </c>
      <c r="Y467" s="4">
        <f t="shared" si="231"/>
        <v>8.4118326757584114</v>
      </c>
      <c r="Z467" s="4">
        <f t="shared" si="232"/>
        <v>5.6383546693337454</v>
      </c>
      <c r="AA467" s="4">
        <f t="shared" si="233"/>
        <v>49.9</v>
      </c>
      <c r="AB467" s="4">
        <f t="shared" si="234"/>
        <v>0</v>
      </c>
      <c r="AC467" s="4">
        <f t="shared" si="235"/>
        <v>0</v>
      </c>
      <c r="AD467" s="4">
        <f t="shared" si="236"/>
        <v>0</v>
      </c>
      <c r="AE467" s="4">
        <f t="shared" si="237"/>
        <v>0</v>
      </c>
      <c r="AF467" s="4">
        <f t="shared" si="238"/>
        <v>0</v>
      </c>
      <c r="AG467" s="4">
        <f t="shared" si="239"/>
        <v>8.4118326757584114</v>
      </c>
      <c r="AH467" s="4">
        <f t="shared" si="240"/>
        <v>0</v>
      </c>
      <c r="AI467" s="4">
        <f t="shared" si="241"/>
        <v>0</v>
      </c>
      <c r="AJ467" s="4">
        <f t="shared" si="242"/>
        <v>8.4118326757584114</v>
      </c>
      <c r="AK467" s="4">
        <f t="shared" si="243"/>
        <v>5.6383546693337454</v>
      </c>
      <c r="AL467" s="4">
        <f t="shared" si="244"/>
        <v>0</v>
      </c>
      <c r="AM467" s="4">
        <f>CER!$C$7+CER!$C$8*J467+CER!$C$9*K467+CER!$C$10*L467+CER!$C$11*M467</f>
        <v>3.3694402324758079</v>
      </c>
      <c r="AN467" s="4">
        <f t="shared" si="245"/>
        <v>29.062254397577046</v>
      </c>
      <c r="AO467" s="4">
        <f t="shared" si="246"/>
        <v>6.9319436629560194E-2</v>
      </c>
      <c r="AP467" s="4">
        <f>Alternatives!$F$25+Alternatives!$F$26*J467+Alternatives!$F$27*K467+Alternatives!$F$28*G467+Alternatives!$F$29*O467</f>
        <v>3.4080168720758151</v>
      </c>
      <c r="AQ467" s="4">
        <f t="shared" si="247"/>
        <v>3.0742797029553071E-2</v>
      </c>
    </row>
    <row r="468" spans="1:43" x14ac:dyDescent="0.35">
      <c r="A468" s="2" t="s">
        <v>390</v>
      </c>
      <c r="B468" s="2" t="s">
        <v>387</v>
      </c>
      <c r="C468" s="2" t="s">
        <v>33</v>
      </c>
      <c r="D468" s="2">
        <v>46.428199999999997</v>
      </c>
      <c r="E468" s="2">
        <v>4500</v>
      </c>
      <c r="F468" s="2">
        <v>178</v>
      </c>
      <c r="G468" s="2">
        <v>50</v>
      </c>
      <c r="H468" s="2" t="s">
        <v>68</v>
      </c>
      <c r="I468" s="4">
        <f t="shared" si="217"/>
        <v>3.8379070332424239</v>
      </c>
      <c r="J468" s="4">
        <f t="shared" si="218"/>
        <v>8.4118326757584114</v>
      </c>
      <c r="K468" s="4">
        <f t="shared" si="219"/>
        <v>5.181783550292085</v>
      </c>
      <c r="L468" s="2">
        <v>1</v>
      </c>
      <c r="M468" s="2">
        <v>0</v>
      </c>
      <c r="N468" s="4">
        <f t="shared" si="220"/>
        <v>50</v>
      </c>
      <c r="O468" s="4">
        <f t="shared" si="221"/>
        <v>1</v>
      </c>
      <c r="P468" s="4">
        <f t="shared" si="222"/>
        <v>1</v>
      </c>
      <c r="Q468" s="4">
        <f t="shared" si="223"/>
        <v>8.4118326757584114</v>
      </c>
      <c r="R468" s="4">
        <f t="shared" si="224"/>
        <v>5.181783550292085</v>
      </c>
      <c r="S468" s="4">
        <f t="shared" si="225"/>
        <v>50</v>
      </c>
      <c r="T468" s="4">
        <f t="shared" si="226"/>
        <v>1</v>
      </c>
      <c r="U468" s="4">
        <f t="shared" si="227"/>
        <v>8.4118326757584114</v>
      </c>
      <c r="V468" s="4">
        <f t="shared" si="228"/>
        <v>5.181783550292085</v>
      </c>
      <c r="W468" s="4">
        <f t="shared" si="229"/>
        <v>50</v>
      </c>
      <c r="X468" s="4">
        <f t="shared" si="230"/>
        <v>1</v>
      </c>
      <c r="Y468" s="4">
        <f t="shared" si="231"/>
        <v>8.4118326757584114</v>
      </c>
      <c r="Z468" s="4">
        <f t="shared" si="232"/>
        <v>5.181783550292085</v>
      </c>
      <c r="AA468" s="4">
        <f t="shared" si="233"/>
        <v>50</v>
      </c>
      <c r="AB468" s="4">
        <f t="shared" si="234"/>
        <v>1</v>
      </c>
      <c r="AC468" s="4">
        <f t="shared" si="235"/>
        <v>0</v>
      </c>
      <c r="AD468" s="4">
        <f t="shared" si="236"/>
        <v>0</v>
      </c>
      <c r="AE468" s="4">
        <f t="shared" si="237"/>
        <v>0</v>
      </c>
      <c r="AF468" s="4">
        <f t="shared" si="238"/>
        <v>0</v>
      </c>
      <c r="AG468" s="4">
        <f t="shared" si="239"/>
        <v>8.4118326757584114</v>
      </c>
      <c r="AH468" s="4">
        <f t="shared" si="240"/>
        <v>1</v>
      </c>
      <c r="AI468" s="4">
        <f t="shared" si="241"/>
        <v>0</v>
      </c>
      <c r="AJ468" s="4">
        <f t="shared" si="242"/>
        <v>8.4118326757584114</v>
      </c>
      <c r="AK468" s="4">
        <f t="shared" si="243"/>
        <v>5.181783550292085</v>
      </c>
      <c r="AL468" s="4">
        <f t="shared" si="244"/>
        <v>0</v>
      </c>
      <c r="AM468" s="4">
        <f>CER!$C$7+CER!$C$8*J468+CER!$C$9*K468+CER!$C$10*L468+CER!$C$11*M468</f>
        <v>3.7616428467488565</v>
      </c>
      <c r="AN468" s="4">
        <f t="shared" si="245"/>
        <v>43.019041650231564</v>
      </c>
      <c r="AO468" s="4">
        <f t="shared" si="246"/>
        <v>7.6264186493567365E-2</v>
      </c>
      <c r="AP468" s="4">
        <f>Alternatives!$F$25+Alternatives!$F$26*J468+Alternatives!$F$27*K468+Alternatives!$F$28*G468+Alternatives!$F$29*O468</f>
        <v>4.3729541953667797</v>
      </c>
      <c r="AQ468" s="4">
        <f t="shared" si="247"/>
        <v>-0.53504716212435577</v>
      </c>
    </row>
    <row r="469" spans="1:43" x14ac:dyDescent="0.35">
      <c r="A469" s="2" t="s">
        <v>391</v>
      </c>
      <c r="B469" s="2" t="s">
        <v>387</v>
      </c>
      <c r="C469" s="2" t="s">
        <v>33</v>
      </c>
      <c r="D469" s="2">
        <v>47.978499999999997</v>
      </c>
      <c r="E469" s="2">
        <v>4500</v>
      </c>
      <c r="F469" s="2">
        <v>178</v>
      </c>
      <c r="G469" s="2">
        <v>50</v>
      </c>
      <c r="H469" s="2" t="s">
        <v>68</v>
      </c>
      <c r="I469" s="4">
        <f t="shared" si="217"/>
        <v>3.870752993896589</v>
      </c>
      <c r="J469" s="4">
        <f t="shared" si="218"/>
        <v>8.4118326757584114</v>
      </c>
      <c r="K469" s="4">
        <f t="shared" si="219"/>
        <v>5.181783550292085</v>
      </c>
      <c r="L469" s="2">
        <v>1</v>
      </c>
      <c r="M469" s="2">
        <v>0</v>
      </c>
      <c r="N469" s="4">
        <f t="shared" si="220"/>
        <v>50</v>
      </c>
      <c r="O469" s="4">
        <f t="shared" si="221"/>
        <v>1</v>
      </c>
      <c r="P469" s="4">
        <f t="shared" si="222"/>
        <v>1</v>
      </c>
      <c r="Q469" s="4">
        <f t="shared" si="223"/>
        <v>8.4118326757584114</v>
      </c>
      <c r="R469" s="4">
        <f t="shared" si="224"/>
        <v>5.181783550292085</v>
      </c>
      <c r="S469" s="4">
        <f t="shared" si="225"/>
        <v>50</v>
      </c>
      <c r="T469" s="4">
        <f t="shared" si="226"/>
        <v>1</v>
      </c>
      <c r="U469" s="4">
        <f t="shared" si="227"/>
        <v>8.4118326757584114</v>
      </c>
      <c r="V469" s="4">
        <f t="shared" si="228"/>
        <v>5.181783550292085</v>
      </c>
      <c r="W469" s="4">
        <f t="shared" si="229"/>
        <v>50</v>
      </c>
      <c r="X469" s="4">
        <f t="shared" si="230"/>
        <v>1</v>
      </c>
      <c r="Y469" s="4">
        <f t="shared" si="231"/>
        <v>8.4118326757584114</v>
      </c>
      <c r="Z469" s="4">
        <f t="shared" si="232"/>
        <v>5.181783550292085</v>
      </c>
      <c r="AA469" s="4">
        <f t="shared" si="233"/>
        <v>50</v>
      </c>
      <c r="AB469" s="4">
        <f t="shared" si="234"/>
        <v>1</v>
      </c>
      <c r="AC469" s="4">
        <f t="shared" si="235"/>
        <v>0</v>
      </c>
      <c r="AD469" s="4">
        <f t="shared" si="236"/>
        <v>0</v>
      </c>
      <c r="AE469" s="4">
        <f t="shared" si="237"/>
        <v>0</v>
      </c>
      <c r="AF469" s="4">
        <f t="shared" si="238"/>
        <v>0</v>
      </c>
      <c r="AG469" s="4">
        <f t="shared" si="239"/>
        <v>8.4118326757584114</v>
      </c>
      <c r="AH469" s="4">
        <f t="shared" si="240"/>
        <v>1</v>
      </c>
      <c r="AI469" s="4">
        <f t="shared" si="241"/>
        <v>0</v>
      </c>
      <c r="AJ469" s="4">
        <f t="shared" si="242"/>
        <v>8.4118326757584114</v>
      </c>
      <c r="AK469" s="4">
        <f t="shared" si="243"/>
        <v>5.181783550292085</v>
      </c>
      <c r="AL469" s="4">
        <f t="shared" si="244"/>
        <v>0</v>
      </c>
      <c r="AM469" s="4">
        <f>CER!$C$7+CER!$C$8*J469+CER!$C$9*K469+CER!$C$10*L469+CER!$C$11*M469</f>
        <v>3.7616428467488565</v>
      </c>
      <c r="AN469" s="4">
        <f t="shared" si="245"/>
        <v>43.019041650231564</v>
      </c>
      <c r="AO469" s="4">
        <f t="shared" si="246"/>
        <v>0.10911014714773248</v>
      </c>
      <c r="AP469" s="4">
        <f>Alternatives!$F$25+Alternatives!$F$26*J469+Alternatives!$F$27*K469+Alternatives!$F$28*G469+Alternatives!$F$29*O469</f>
        <v>4.3729541953667797</v>
      </c>
      <c r="AQ469" s="4">
        <f t="shared" si="247"/>
        <v>-0.50220120147019065</v>
      </c>
    </row>
    <row r="470" spans="1:43" x14ac:dyDescent="0.35">
      <c r="A470" s="2" t="s">
        <v>392</v>
      </c>
      <c r="B470" s="2" t="s">
        <v>387</v>
      </c>
      <c r="C470" s="2" t="s">
        <v>67</v>
      </c>
      <c r="D470" s="2">
        <v>30.6873</v>
      </c>
      <c r="E470" s="2">
        <v>4000</v>
      </c>
      <c r="F470" s="2">
        <v>191</v>
      </c>
      <c r="G470" s="2">
        <v>53.2</v>
      </c>
      <c r="H470" s="2" t="s">
        <v>68</v>
      </c>
      <c r="I470" s="4">
        <f t="shared" si="217"/>
        <v>3.4238488882218925</v>
      </c>
      <c r="J470" s="4">
        <f t="shared" si="218"/>
        <v>8.2940496401020276</v>
      </c>
      <c r="K470" s="4">
        <f t="shared" si="219"/>
        <v>5.2522734280466299</v>
      </c>
      <c r="L470" s="2">
        <v>0</v>
      </c>
      <c r="M470" s="2">
        <v>0</v>
      </c>
      <c r="N470" s="4">
        <f t="shared" si="220"/>
        <v>53.2</v>
      </c>
      <c r="O470" s="4">
        <f t="shared" si="221"/>
        <v>0</v>
      </c>
      <c r="P470" s="4">
        <f t="shared" si="222"/>
        <v>0</v>
      </c>
      <c r="Q470" s="4">
        <f t="shared" si="223"/>
        <v>8.2940496401020276</v>
      </c>
      <c r="R470" s="4">
        <f t="shared" si="224"/>
        <v>5.2522734280466299</v>
      </c>
      <c r="S470" s="4">
        <f t="shared" si="225"/>
        <v>53.2</v>
      </c>
      <c r="T470" s="4">
        <f t="shared" si="226"/>
        <v>0</v>
      </c>
      <c r="U470" s="4">
        <f t="shared" si="227"/>
        <v>8.2940496401020276</v>
      </c>
      <c r="V470" s="4">
        <f t="shared" si="228"/>
        <v>5.2522734280466299</v>
      </c>
      <c r="W470" s="4">
        <f t="shared" si="229"/>
        <v>53.2</v>
      </c>
      <c r="X470" s="4">
        <f t="shared" si="230"/>
        <v>0</v>
      </c>
      <c r="Y470" s="4">
        <f t="shared" si="231"/>
        <v>8.2940496401020276</v>
      </c>
      <c r="Z470" s="4">
        <f t="shared" si="232"/>
        <v>5.2522734280466299</v>
      </c>
      <c r="AA470" s="4">
        <f t="shared" si="233"/>
        <v>53.2</v>
      </c>
      <c r="AB470" s="4">
        <f t="shared" si="234"/>
        <v>0</v>
      </c>
      <c r="AC470" s="4">
        <f t="shared" si="235"/>
        <v>0</v>
      </c>
      <c r="AD470" s="4">
        <f t="shared" si="236"/>
        <v>0</v>
      </c>
      <c r="AE470" s="4">
        <f t="shared" si="237"/>
        <v>0</v>
      </c>
      <c r="AF470" s="4">
        <f t="shared" si="238"/>
        <v>0</v>
      </c>
      <c r="AG470" s="4">
        <f t="shared" si="239"/>
        <v>8.2940496401020276</v>
      </c>
      <c r="AH470" s="4">
        <f t="shared" si="240"/>
        <v>0</v>
      </c>
      <c r="AI470" s="4">
        <f t="shared" si="241"/>
        <v>0</v>
      </c>
      <c r="AJ470" s="4">
        <f t="shared" si="242"/>
        <v>8.2940496401020276</v>
      </c>
      <c r="AK470" s="4">
        <f t="shared" si="243"/>
        <v>5.2522734280466299</v>
      </c>
      <c r="AL470" s="4">
        <f t="shared" si="244"/>
        <v>0</v>
      </c>
      <c r="AM470" s="4">
        <f>CER!$C$7+CER!$C$8*J470+CER!$C$9*K470+CER!$C$10*L470+CER!$C$11*M470</f>
        <v>3.56520393386961</v>
      </c>
      <c r="AN470" s="4">
        <f t="shared" si="245"/>
        <v>35.346661050678961</v>
      </c>
      <c r="AO470" s="4">
        <f t="shared" si="246"/>
        <v>-0.1413550456477175</v>
      </c>
      <c r="AP470" s="4">
        <f>Alternatives!$F$25+Alternatives!$F$26*J470+Alternatives!$F$27*K470+Alternatives!$F$28*G470+Alternatives!$F$29*O470</f>
        <v>3.4242429508621379</v>
      </c>
      <c r="AQ470" s="4">
        <f t="shared" si="247"/>
        <v>-3.9406264024544058E-4</v>
      </c>
    </row>
    <row r="471" spans="1:43" x14ac:dyDescent="0.35">
      <c r="A471" s="2" t="s">
        <v>392</v>
      </c>
      <c r="B471" s="2" t="s">
        <v>387</v>
      </c>
      <c r="C471" s="2" t="s">
        <v>67</v>
      </c>
      <c r="D471" s="2">
        <v>29.241599999999998</v>
      </c>
      <c r="E471" s="2">
        <v>4500</v>
      </c>
      <c r="F471" s="2">
        <v>281</v>
      </c>
      <c r="G471" s="2">
        <v>53.2</v>
      </c>
      <c r="H471" s="2" t="s">
        <v>68</v>
      </c>
      <c r="I471" s="4">
        <f t="shared" si="217"/>
        <v>3.3755923529467604</v>
      </c>
      <c r="J471" s="4">
        <f t="shared" si="218"/>
        <v>8.4118326757584114</v>
      </c>
      <c r="K471" s="4">
        <f t="shared" si="219"/>
        <v>5.6383546693337454</v>
      </c>
      <c r="L471" s="2">
        <v>0</v>
      </c>
      <c r="M471" s="2">
        <v>0</v>
      </c>
      <c r="N471" s="4">
        <f t="shared" si="220"/>
        <v>53.2</v>
      </c>
      <c r="O471" s="4">
        <f t="shared" si="221"/>
        <v>0</v>
      </c>
      <c r="P471" s="4">
        <f t="shared" si="222"/>
        <v>0</v>
      </c>
      <c r="Q471" s="4">
        <f t="shared" si="223"/>
        <v>8.4118326757584114</v>
      </c>
      <c r="R471" s="4">
        <f t="shared" si="224"/>
        <v>5.6383546693337454</v>
      </c>
      <c r="S471" s="4">
        <f t="shared" si="225"/>
        <v>53.2</v>
      </c>
      <c r="T471" s="4">
        <f t="shared" si="226"/>
        <v>0</v>
      </c>
      <c r="U471" s="4">
        <f t="shared" si="227"/>
        <v>8.4118326757584114</v>
      </c>
      <c r="V471" s="4">
        <f t="shared" si="228"/>
        <v>5.6383546693337454</v>
      </c>
      <c r="W471" s="4">
        <f t="shared" si="229"/>
        <v>53.2</v>
      </c>
      <c r="X471" s="4">
        <f t="shared" si="230"/>
        <v>0</v>
      </c>
      <c r="Y471" s="4">
        <f t="shared" si="231"/>
        <v>8.4118326757584114</v>
      </c>
      <c r="Z471" s="4">
        <f t="shared" si="232"/>
        <v>5.6383546693337454</v>
      </c>
      <c r="AA471" s="4">
        <f t="shared" si="233"/>
        <v>53.2</v>
      </c>
      <c r="AB471" s="4">
        <f t="shared" si="234"/>
        <v>0</v>
      </c>
      <c r="AC471" s="4">
        <f t="shared" si="235"/>
        <v>0</v>
      </c>
      <c r="AD471" s="4">
        <f t="shared" si="236"/>
        <v>0</v>
      </c>
      <c r="AE471" s="4">
        <f t="shared" si="237"/>
        <v>0</v>
      </c>
      <c r="AF471" s="4">
        <f t="shared" si="238"/>
        <v>0</v>
      </c>
      <c r="AG471" s="4">
        <f t="shared" si="239"/>
        <v>8.4118326757584114</v>
      </c>
      <c r="AH471" s="4">
        <f t="shared" si="240"/>
        <v>0</v>
      </c>
      <c r="AI471" s="4">
        <f t="shared" si="241"/>
        <v>0</v>
      </c>
      <c r="AJ471" s="4">
        <f t="shared" si="242"/>
        <v>8.4118326757584114</v>
      </c>
      <c r="AK471" s="4">
        <f t="shared" si="243"/>
        <v>5.6383546693337454</v>
      </c>
      <c r="AL471" s="4">
        <f t="shared" si="244"/>
        <v>0</v>
      </c>
      <c r="AM471" s="4">
        <f>CER!$C$7+CER!$C$8*J471+CER!$C$9*K471+CER!$C$10*L471+CER!$C$11*M471</f>
        <v>3.3694402324758079</v>
      </c>
      <c r="AN471" s="4">
        <f t="shared" si="245"/>
        <v>29.062254397577046</v>
      </c>
      <c r="AO471" s="4">
        <f t="shared" si="246"/>
        <v>6.1521204709524824E-3</v>
      </c>
      <c r="AP471" s="4">
        <f>Alternatives!$F$25+Alternatives!$F$26*J471+Alternatives!$F$27*K471+Alternatives!$F$28*G471+Alternatives!$F$29*O471</f>
        <v>3.3650927340864616</v>
      </c>
      <c r="AQ471" s="4">
        <f t="shared" si="247"/>
        <v>1.0499618860298821E-2</v>
      </c>
    </row>
    <row r="472" spans="1:43" x14ac:dyDescent="0.35">
      <c r="A472" s="2" t="s">
        <v>393</v>
      </c>
      <c r="B472" s="2" t="s">
        <v>387</v>
      </c>
      <c r="C472" s="2" t="s">
        <v>67</v>
      </c>
      <c r="D472" s="2">
        <v>32.553199999999997</v>
      </c>
      <c r="E472" s="2">
        <v>4000</v>
      </c>
      <c r="F472" s="2">
        <v>191</v>
      </c>
      <c r="G472" s="2">
        <v>53.2</v>
      </c>
      <c r="H472" s="2" t="s">
        <v>68</v>
      </c>
      <c r="I472" s="4">
        <f t="shared" si="217"/>
        <v>3.4828756741142968</v>
      </c>
      <c r="J472" s="4">
        <f t="shared" si="218"/>
        <v>8.2940496401020276</v>
      </c>
      <c r="K472" s="4">
        <f t="shared" si="219"/>
        <v>5.2522734280466299</v>
      </c>
      <c r="L472" s="2">
        <v>0</v>
      </c>
      <c r="M472" s="2">
        <v>0</v>
      </c>
      <c r="N472" s="4">
        <f t="shared" si="220"/>
        <v>53.2</v>
      </c>
      <c r="O472" s="4">
        <f t="shared" si="221"/>
        <v>0</v>
      </c>
      <c r="P472" s="4">
        <f t="shared" si="222"/>
        <v>0</v>
      </c>
      <c r="Q472" s="4">
        <f t="shared" si="223"/>
        <v>8.2940496401020276</v>
      </c>
      <c r="R472" s="4">
        <f t="shared" si="224"/>
        <v>5.2522734280466299</v>
      </c>
      <c r="S472" s="4">
        <f t="shared" si="225"/>
        <v>53.2</v>
      </c>
      <c r="T472" s="4">
        <f t="shared" si="226"/>
        <v>0</v>
      </c>
      <c r="U472" s="4">
        <f t="shared" si="227"/>
        <v>8.2940496401020276</v>
      </c>
      <c r="V472" s="4">
        <f t="shared" si="228"/>
        <v>5.2522734280466299</v>
      </c>
      <c r="W472" s="4">
        <f t="shared" si="229"/>
        <v>53.2</v>
      </c>
      <c r="X472" s="4">
        <f t="shared" si="230"/>
        <v>0</v>
      </c>
      <c r="Y472" s="4">
        <f t="shared" si="231"/>
        <v>8.2940496401020276</v>
      </c>
      <c r="Z472" s="4">
        <f t="shared" si="232"/>
        <v>5.2522734280466299</v>
      </c>
      <c r="AA472" s="4">
        <f t="shared" si="233"/>
        <v>53.2</v>
      </c>
      <c r="AB472" s="4">
        <f t="shared" si="234"/>
        <v>0</v>
      </c>
      <c r="AC472" s="4">
        <f t="shared" si="235"/>
        <v>0</v>
      </c>
      <c r="AD472" s="4">
        <f t="shared" si="236"/>
        <v>0</v>
      </c>
      <c r="AE472" s="4">
        <f t="shared" si="237"/>
        <v>0</v>
      </c>
      <c r="AF472" s="4">
        <f t="shared" si="238"/>
        <v>0</v>
      </c>
      <c r="AG472" s="4">
        <f t="shared" si="239"/>
        <v>8.2940496401020276</v>
      </c>
      <c r="AH472" s="4">
        <f t="shared" si="240"/>
        <v>0</v>
      </c>
      <c r="AI472" s="4">
        <f t="shared" si="241"/>
        <v>0</v>
      </c>
      <c r="AJ472" s="4">
        <f t="shared" si="242"/>
        <v>8.2940496401020276</v>
      </c>
      <c r="AK472" s="4">
        <f t="shared" si="243"/>
        <v>5.2522734280466299</v>
      </c>
      <c r="AL472" s="4">
        <f t="shared" si="244"/>
        <v>0</v>
      </c>
      <c r="AM472" s="4">
        <f>CER!$C$7+CER!$C$8*J472+CER!$C$9*K472+CER!$C$10*L472+CER!$C$11*M472</f>
        <v>3.56520393386961</v>
      </c>
      <c r="AN472" s="4">
        <f t="shared" si="245"/>
        <v>35.346661050678961</v>
      </c>
      <c r="AO472" s="4">
        <f t="shared" si="246"/>
        <v>-8.2328259755313216E-2</v>
      </c>
      <c r="AP472" s="4">
        <f>Alternatives!$F$25+Alternatives!$F$26*J472+Alternatives!$F$27*K472+Alternatives!$F$28*G472+Alternatives!$F$29*O472</f>
        <v>3.4242429508621379</v>
      </c>
      <c r="AQ472" s="4">
        <f t="shared" si="247"/>
        <v>5.8632723252158847E-2</v>
      </c>
    </row>
    <row r="473" spans="1:43" x14ac:dyDescent="0.35">
      <c r="A473" s="2" t="s">
        <v>394</v>
      </c>
      <c r="B473" s="2" t="s">
        <v>387</v>
      </c>
      <c r="C473" s="2" t="s">
        <v>67</v>
      </c>
      <c r="D473" s="2">
        <v>37.168500000000002</v>
      </c>
      <c r="E473" s="2">
        <v>3500</v>
      </c>
      <c r="F473" s="2">
        <v>188</v>
      </c>
      <c r="G473" s="2">
        <v>48.1</v>
      </c>
      <c r="H473" s="2" t="s">
        <v>68</v>
      </c>
      <c r="I473" s="4">
        <f t="shared" si="217"/>
        <v>3.6154616283697698</v>
      </c>
      <c r="J473" s="4">
        <f t="shared" si="218"/>
        <v>8.1605182474775049</v>
      </c>
      <c r="K473" s="4">
        <f t="shared" si="219"/>
        <v>5.2364419628299492</v>
      </c>
      <c r="L473" s="2">
        <v>0</v>
      </c>
      <c r="M473" s="2">
        <v>0</v>
      </c>
      <c r="N473" s="4">
        <f t="shared" si="220"/>
        <v>48.1</v>
      </c>
      <c r="O473" s="4">
        <f t="shared" si="221"/>
        <v>0</v>
      </c>
      <c r="P473" s="4">
        <f t="shared" si="222"/>
        <v>0</v>
      </c>
      <c r="Q473" s="4">
        <f t="shared" si="223"/>
        <v>8.1605182474775049</v>
      </c>
      <c r="R473" s="4">
        <f t="shared" si="224"/>
        <v>5.2364419628299492</v>
      </c>
      <c r="S473" s="4">
        <f t="shared" si="225"/>
        <v>48.1</v>
      </c>
      <c r="T473" s="4">
        <f t="shared" si="226"/>
        <v>0</v>
      </c>
      <c r="U473" s="4">
        <f t="shared" si="227"/>
        <v>8.1605182474775049</v>
      </c>
      <c r="V473" s="4">
        <f t="shared" si="228"/>
        <v>5.2364419628299492</v>
      </c>
      <c r="W473" s="4">
        <f t="shared" si="229"/>
        <v>48.1</v>
      </c>
      <c r="X473" s="4">
        <f t="shared" si="230"/>
        <v>0</v>
      </c>
      <c r="Y473" s="4">
        <f t="shared" si="231"/>
        <v>8.1605182474775049</v>
      </c>
      <c r="Z473" s="4">
        <f t="shared" si="232"/>
        <v>5.2364419628299492</v>
      </c>
      <c r="AA473" s="4">
        <f t="shared" si="233"/>
        <v>48.1</v>
      </c>
      <c r="AB473" s="4">
        <f t="shared" si="234"/>
        <v>0</v>
      </c>
      <c r="AC473" s="4">
        <f t="shared" si="235"/>
        <v>0</v>
      </c>
      <c r="AD473" s="4">
        <f t="shared" si="236"/>
        <v>0</v>
      </c>
      <c r="AE473" s="4">
        <f t="shared" si="237"/>
        <v>0</v>
      </c>
      <c r="AF473" s="4">
        <f t="shared" si="238"/>
        <v>0</v>
      </c>
      <c r="AG473" s="4">
        <f t="shared" si="239"/>
        <v>8.1605182474775049</v>
      </c>
      <c r="AH473" s="4">
        <f t="shared" si="240"/>
        <v>0</v>
      </c>
      <c r="AI473" s="4">
        <f t="shared" si="241"/>
        <v>0</v>
      </c>
      <c r="AJ473" s="4">
        <f t="shared" si="242"/>
        <v>8.1605182474775049</v>
      </c>
      <c r="AK473" s="4">
        <f t="shared" si="243"/>
        <v>5.2364419628299492</v>
      </c>
      <c r="AL473" s="4">
        <f t="shared" si="244"/>
        <v>0</v>
      </c>
      <c r="AM473" s="4">
        <f>CER!$C$7+CER!$C$8*J473+CER!$C$9*K473+CER!$C$10*L473+CER!$C$11*M473</f>
        <v>3.6314957326400048</v>
      </c>
      <c r="AN473" s="4">
        <f t="shared" si="245"/>
        <v>37.769267114844205</v>
      </c>
      <c r="AO473" s="4">
        <f t="shared" si="246"/>
        <v>-1.6034104270234995E-2</v>
      </c>
      <c r="AP473" s="4">
        <f>Alternatives!$F$25+Alternatives!$F$26*J473+Alternatives!$F$27*K473+Alternatives!$F$28*G473+Alternatives!$F$29*O473</f>
        <v>3.4453750696825556</v>
      </c>
      <c r="AQ473" s="4">
        <f t="shared" si="247"/>
        <v>0.17008655868721423</v>
      </c>
    </row>
    <row r="474" spans="1:43" x14ac:dyDescent="0.35">
      <c r="A474" s="2" t="s">
        <v>395</v>
      </c>
      <c r="B474" s="2" t="s">
        <v>387</v>
      </c>
      <c r="C474" s="2" t="s">
        <v>67</v>
      </c>
      <c r="D474" s="2">
        <v>33.9848</v>
      </c>
      <c r="E474" s="2">
        <v>3500</v>
      </c>
      <c r="F474" s="2">
        <v>188</v>
      </c>
      <c r="G474" s="2">
        <v>48.1</v>
      </c>
      <c r="H474" s="2" t="s">
        <v>68</v>
      </c>
      <c r="I474" s="4">
        <f t="shared" si="217"/>
        <v>3.525913365832043</v>
      </c>
      <c r="J474" s="4">
        <f t="shared" si="218"/>
        <v>8.1605182474775049</v>
      </c>
      <c r="K474" s="4">
        <f t="shared" si="219"/>
        <v>5.2364419628299492</v>
      </c>
      <c r="L474" s="2">
        <v>0</v>
      </c>
      <c r="M474" s="2">
        <v>0</v>
      </c>
      <c r="N474" s="4">
        <f t="shared" si="220"/>
        <v>48.1</v>
      </c>
      <c r="O474" s="4">
        <f t="shared" si="221"/>
        <v>0</v>
      </c>
      <c r="P474" s="4">
        <f t="shared" si="222"/>
        <v>0</v>
      </c>
      <c r="Q474" s="4">
        <f t="shared" si="223"/>
        <v>8.1605182474775049</v>
      </c>
      <c r="R474" s="4">
        <f t="shared" si="224"/>
        <v>5.2364419628299492</v>
      </c>
      <c r="S474" s="4">
        <f t="shared" si="225"/>
        <v>48.1</v>
      </c>
      <c r="T474" s="4">
        <f t="shared" si="226"/>
        <v>0</v>
      </c>
      <c r="U474" s="4">
        <f t="shared" si="227"/>
        <v>8.1605182474775049</v>
      </c>
      <c r="V474" s="4">
        <f t="shared" si="228"/>
        <v>5.2364419628299492</v>
      </c>
      <c r="W474" s="4">
        <f t="shared" si="229"/>
        <v>48.1</v>
      </c>
      <c r="X474" s="4">
        <f t="shared" si="230"/>
        <v>0</v>
      </c>
      <c r="Y474" s="4">
        <f t="shared" si="231"/>
        <v>8.1605182474775049</v>
      </c>
      <c r="Z474" s="4">
        <f t="shared" si="232"/>
        <v>5.2364419628299492</v>
      </c>
      <c r="AA474" s="4">
        <f t="shared" si="233"/>
        <v>48.1</v>
      </c>
      <c r="AB474" s="4">
        <f t="shared" si="234"/>
        <v>0</v>
      </c>
      <c r="AC474" s="4">
        <f t="shared" si="235"/>
        <v>0</v>
      </c>
      <c r="AD474" s="4">
        <f t="shared" si="236"/>
        <v>0</v>
      </c>
      <c r="AE474" s="4">
        <f t="shared" si="237"/>
        <v>0</v>
      </c>
      <c r="AF474" s="4">
        <f t="shared" si="238"/>
        <v>0</v>
      </c>
      <c r="AG474" s="4">
        <f t="shared" si="239"/>
        <v>8.1605182474775049</v>
      </c>
      <c r="AH474" s="4">
        <f t="shared" si="240"/>
        <v>0</v>
      </c>
      <c r="AI474" s="4">
        <f t="shared" si="241"/>
        <v>0</v>
      </c>
      <c r="AJ474" s="4">
        <f t="shared" si="242"/>
        <v>8.1605182474775049</v>
      </c>
      <c r="AK474" s="4">
        <f t="shared" si="243"/>
        <v>5.2364419628299492</v>
      </c>
      <c r="AL474" s="4">
        <f t="shared" si="244"/>
        <v>0</v>
      </c>
      <c r="AM474" s="4">
        <f>CER!$C$7+CER!$C$8*J474+CER!$C$9*K474+CER!$C$10*L474+CER!$C$11*M474</f>
        <v>3.6314957326400048</v>
      </c>
      <c r="AN474" s="4">
        <f t="shared" si="245"/>
        <v>37.769267114844205</v>
      </c>
      <c r="AO474" s="4">
        <f t="shared" si="246"/>
        <v>-0.10558236680796185</v>
      </c>
      <c r="AP474" s="4">
        <f>Alternatives!$F$25+Alternatives!$F$26*J474+Alternatives!$F$27*K474+Alternatives!$F$28*G474+Alternatives!$F$29*O474</f>
        <v>3.4453750696825556</v>
      </c>
      <c r="AQ474" s="4">
        <f t="shared" si="247"/>
        <v>8.0538296149487376E-2</v>
      </c>
    </row>
    <row r="475" spans="1:43" x14ac:dyDescent="0.35">
      <c r="A475" s="2" t="s">
        <v>396</v>
      </c>
      <c r="B475" s="2" t="s">
        <v>387</v>
      </c>
      <c r="C475" s="2" t="s">
        <v>67</v>
      </c>
      <c r="D475" s="2">
        <v>46.252600000000001</v>
      </c>
      <c r="E475" s="2">
        <v>3000</v>
      </c>
      <c r="F475" s="2">
        <v>147</v>
      </c>
      <c r="G475" s="2">
        <v>46.8</v>
      </c>
      <c r="H475" s="2" t="s">
        <v>68</v>
      </c>
      <c r="I475" s="4">
        <f t="shared" si="217"/>
        <v>3.8341176785945783</v>
      </c>
      <c r="J475" s="4">
        <f t="shared" si="218"/>
        <v>8.0063675676502459</v>
      </c>
      <c r="K475" s="4">
        <f t="shared" si="219"/>
        <v>4.990432586778736</v>
      </c>
      <c r="L475" s="2">
        <v>0</v>
      </c>
      <c r="M475" s="2">
        <v>0</v>
      </c>
      <c r="N475" s="4">
        <f t="shared" si="220"/>
        <v>46.8</v>
      </c>
      <c r="O475" s="4">
        <f t="shared" si="221"/>
        <v>0</v>
      </c>
      <c r="P475" s="4">
        <f t="shared" si="222"/>
        <v>0</v>
      </c>
      <c r="Q475" s="4">
        <f t="shared" si="223"/>
        <v>8.0063675676502459</v>
      </c>
      <c r="R475" s="4">
        <f t="shared" si="224"/>
        <v>4.990432586778736</v>
      </c>
      <c r="S475" s="4">
        <f t="shared" si="225"/>
        <v>46.8</v>
      </c>
      <c r="T475" s="4">
        <f t="shared" si="226"/>
        <v>0</v>
      </c>
      <c r="U475" s="4">
        <f t="shared" si="227"/>
        <v>8.0063675676502459</v>
      </c>
      <c r="V475" s="4">
        <f t="shared" si="228"/>
        <v>4.990432586778736</v>
      </c>
      <c r="W475" s="4">
        <f t="shared" si="229"/>
        <v>46.8</v>
      </c>
      <c r="X475" s="4">
        <f t="shared" si="230"/>
        <v>0</v>
      </c>
      <c r="Y475" s="4">
        <f t="shared" si="231"/>
        <v>8.0063675676502459</v>
      </c>
      <c r="Z475" s="4">
        <f t="shared" si="232"/>
        <v>4.990432586778736</v>
      </c>
      <c r="AA475" s="4">
        <f t="shared" si="233"/>
        <v>46.8</v>
      </c>
      <c r="AB475" s="4">
        <f t="shared" si="234"/>
        <v>0</v>
      </c>
      <c r="AC475" s="4">
        <f t="shared" si="235"/>
        <v>0</v>
      </c>
      <c r="AD475" s="4">
        <f t="shared" si="236"/>
        <v>0</v>
      </c>
      <c r="AE475" s="4">
        <f t="shared" si="237"/>
        <v>0</v>
      </c>
      <c r="AF475" s="4">
        <f t="shared" si="238"/>
        <v>0</v>
      </c>
      <c r="AG475" s="4">
        <f t="shared" si="239"/>
        <v>8.0063675676502459</v>
      </c>
      <c r="AH475" s="4">
        <f t="shared" si="240"/>
        <v>0</v>
      </c>
      <c r="AI475" s="4">
        <f t="shared" si="241"/>
        <v>0</v>
      </c>
      <c r="AJ475" s="4">
        <f t="shared" si="242"/>
        <v>8.0063675676502459</v>
      </c>
      <c r="AK475" s="4">
        <f t="shared" si="243"/>
        <v>4.990432586778736</v>
      </c>
      <c r="AL475" s="4">
        <f t="shared" si="244"/>
        <v>0</v>
      </c>
      <c r="AM475" s="4">
        <f>CER!$C$7+CER!$C$8*J475+CER!$C$9*K475+CER!$C$10*L475+CER!$C$11*M475</f>
        <v>3.7920447640407828</v>
      </c>
      <c r="AN475" s="4">
        <f t="shared" si="245"/>
        <v>44.346986754266588</v>
      </c>
      <c r="AO475" s="4">
        <f t="shared" si="246"/>
        <v>4.2072914553795471E-2</v>
      </c>
      <c r="AP475" s="4">
        <f>Alternatives!$F$25+Alternatives!$F$26*J475+Alternatives!$F$27*K475+Alternatives!$F$28*G475+Alternatives!$F$29*O475</f>
        <v>3.4707011206361869</v>
      </c>
      <c r="AQ475" s="4">
        <f t="shared" si="247"/>
        <v>0.36341655795839145</v>
      </c>
    </row>
    <row r="476" spans="1:43" x14ac:dyDescent="0.35">
      <c r="A476" s="2" t="s">
        <v>396</v>
      </c>
      <c r="B476" s="2" t="s">
        <v>387</v>
      </c>
      <c r="C476" s="2" t="s">
        <v>67</v>
      </c>
      <c r="D476" s="2">
        <v>48.800800000000002</v>
      </c>
      <c r="E476" s="2">
        <v>3000</v>
      </c>
      <c r="F476" s="2">
        <v>147</v>
      </c>
      <c r="G476" s="2">
        <v>46.8</v>
      </c>
      <c r="H476" s="2" t="s">
        <v>68</v>
      </c>
      <c r="I476" s="4">
        <f t="shared" si="217"/>
        <v>3.8877467061673534</v>
      </c>
      <c r="J476" s="4">
        <f t="shared" si="218"/>
        <v>8.0063675676502459</v>
      </c>
      <c r="K476" s="4">
        <f t="shared" si="219"/>
        <v>4.990432586778736</v>
      </c>
      <c r="L476" s="2">
        <v>0</v>
      </c>
      <c r="M476" s="2">
        <v>0</v>
      </c>
      <c r="N476" s="4">
        <f t="shared" si="220"/>
        <v>46.8</v>
      </c>
      <c r="O476" s="4">
        <f t="shared" si="221"/>
        <v>0</v>
      </c>
      <c r="P476" s="4">
        <f t="shared" si="222"/>
        <v>0</v>
      </c>
      <c r="Q476" s="4">
        <f t="shared" si="223"/>
        <v>8.0063675676502459</v>
      </c>
      <c r="R476" s="4">
        <f t="shared" si="224"/>
        <v>4.990432586778736</v>
      </c>
      <c r="S476" s="4">
        <f t="shared" si="225"/>
        <v>46.8</v>
      </c>
      <c r="T476" s="4">
        <f t="shared" si="226"/>
        <v>0</v>
      </c>
      <c r="U476" s="4">
        <f t="shared" si="227"/>
        <v>8.0063675676502459</v>
      </c>
      <c r="V476" s="4">
        <f t="shared" si="228"/>
        <v>4.990432586778736</v>
      </c>
      <c r="W476" s="4">
        <f t="shared" si="229"/>
        <v>46.8</v>
      </c>
      <c r="X476" s="4">
        <f t="shared" si="230"/>
        <v>0</v>
      </c>
      <c r="Y476" s="4">
        <f t="shared" si="231"/>
        <v>8.0063675676502459</v>
      </c>
      <c r="Z476" s="4">
        <f t="shared" si="232"/>
        <v>4.990432586778736</v>
      </c>
      <c r="AA476" s="4">
        <f t="shared" si="233"/>
        <v>46.8</v>
      </c>
      <c r="AB476" s="4">
        <f t="shared" si="234"/>
        <v>0</v>
      </c>
      <c r="AC476" s="4">
        <f t="shared" si="235"/>
        <v>0</v>
      </c>
      <c r="AD476" s="4">
        <f t="shared" si="236"/>
        <v>0</v>
      </c>
      <c r="AE476" s="4">
        <f t="shared" si="237"/>
        <v>0</v>
      </c>
      <c r="AF476" s="4">
        <f t="shared" si="238"/>
        <v>0</v>
      </c>
      <c r="AG476" s="4">
        <f t="shared" si="239"/>
        <v>8.0063675676502459</v>
      </c>
      <c r="AH476" s="4">
        <f t="shared" si="240"/>
        <v>0</v>
      </c>
      <c r="AI476" s="4">
        <f t="shared" si="241"/>
        <v>0</v>
      </c>
      <c r="AJ476" s="4">
        <f t="shared" si="242"/>
        <v>8.0063675676502459</v>
      </c>
      <c r="AK476" s="4">
        <f t="shared" si="243"/>
        <v>4.990432586778736</v>
      </c>
      <c r="AL476" s="4">
        <f t="shared" si="244"/>
        <v>0</v>
      </c>
      <c r="AM476" s="4">
        <f>CER!$C$7+CER!$C$8*J476+CER!$C$9*K476+CER!$C$10*L476+CER!$C$11*M476</f>
        <v>3.7920447640407828</v>
      </c>
      <c r="AN476" s="4">
        <f t="shared" si="245"/>
        <v>44.346986754266588</v>
      </c>
      <c r="AO476" s="4">
        <f t="shared" si="246"/>
        <v>9.5701942126570572E-2</v>
      </c>
      <c r="AP476" s="4">
        <f>Alternatives!$F$25+Alternatives!$F$26*J476+Alternatives!$F$27*K476+Alternatives!$F$28*G476+Alternatives!$F$29*O476</f>
        <v>3.4707011206361869</v>
      </c>
      <c r="AQ476" s="4">
        <f t="shared" si="247"/>
        <v>0.41704558553116655</v>
      </c>
    </row>
    <row r="477" spans="1:43" x14ac:dyDescent="0.35">
      <c r="A477" s="2" t="s">
        <v>396</v>
      </c>
      <c r="B477" s="2" t="s">
        <v>387</v>
      </c>
      <c r="C477" s="2" t="s">
        <v>67</v>
      </c>
      <c r="D477" s="2">
        <v>41.206499999999998</v>
      </c>
      <c r="E477" s="2">
        <v>3500</v>
      </c>
      <c r="F477" s="2">
        <v>195</v>
      </c>
      <c r="G477" s="2">
        <v>46.8</v>
      </c>
      <c r="H477" s="2" t="s">
        <v>68</v>
      </c>
      <c r="I477" s="4">
        <f t="shared" si="217"/>
        <v>3.718596010901869</v>
      </c>
      <c r="J477" s="4">
        <f t="shared" si="218"/>
        <v>8.1605182474775049</v>
      </c>
      <c r="K477" s="4">
        <f t="shared" si="219"/>
        <v>5.2729995585637468</v>
      </c>
      <c r="L477" s="2">
        <v>0</v>
      </c>
      <c r="M477" s="2">
        <v>0</v>
      </c>
      <c r="N477" s="4">
        <f t="shared" si="220"/>
        <v>46.8</v>
      </c>
      <c r="O477" s="4">
        <f t="shared" si="221"/>
        <v>0</v>
      </c>
      <c r="P477" s="4">
        <f t="shared" si="222"/>
        <v>0</v>
      </c>
      <c r="Q477" s="4">
        <f t="shared" si="223"/>
        <v>8.1605182474775049</v>
      </c>
      <c r="R477" s="4">
        <f t="shared" si="224"/>
        <v>5.2729995585637468</v>
      </c>
      <c r="S477" s="4">
        <f t="shared" si="225"/>
        <v>46.8</v>
      </c>
      <c r="T477" s="4">
        <f t="shared" si="226"/>
        <v>0</v>
      </c>
      <c r="U477" s="4">
        <f t="shared" si="227"/>
        <v>8.1605182474775049</v>
      </c>
      <c r="V477" s="4">
        <f t="shared" si="228"/>
        <v>5.2729995585637468</v>
      </c>
      <c r="W477" s="4">
        <f t="shared" si="229"/>
        <v>46.8</v>
      </c>
      <c r="X477" s="4">
        <f t="shared" si="230"/>
        <v>0</v>
      </c>
      <c r="Y477" s="4">
        <f t="shared" si="231"/>
        <v>8.1605182474775049</v>
      </c>
      <c r="Z477" s="4">
        <f t="shared" si="232"/>
        <v>5.2729995585637468</v>
      </c>
      <c r="AA477" s="4">
        <f t="shared" si="233"/>
        <v>46.8</v>
      </c>
      <c r="AB477" s="4">
        <f t="shared" si="234"/>
        <v>0</v>
      </c>
      <c r="AC477" s="4">
        <f t="shared" si="235"/>
        <v>0</v>
      </c>
      <c r="AD477" s="4">
        <f t="shared" si="236"/>
        <v>0</v>
      </c>
      <c r="AE477" s="4">
        <f t="shared" si="237"/>
        <v>0</v>
      </c>
      <c r="AF477" s="4">
        <f t="shared" si="238"/>
        <v>0</v>
      </c>
      <c r="AG477" s="4">
        <f t="shared" si="239"/>
        <v>8.1605182474775049</v>
      </c>
      <c r="AH477" s="4">
        <f t="shared" si="240"/>
        <v>0</v>
      </c>
      <c r="AI477" s="4">
        <f t="shared" si="241"/>
        <v>0</v>
      </c>
      <c r="AJ477" s="4">
        <f t="shared" si="242"/>
        <v>8.1605182474775049</v>
      </c>
      <c r="AK477" s="4">
        <f t="shared" si="243"/>
        <v>5.2729995585637468</v>
      </c>
      <c r="AL477" s="4">
        <f t="shared" si="244"/>
        <v>0</v>
      </c>
      <c r="AM477" s="4">
        <f>CER!$C$7+CER!$C$8*J477+CER!$C$9*K477+CER!$C$10*L477+CER!$C$11*M477</f>
        <v>3.6180080374999144</v>
      </c>
      <c r="AN477" s="4">
        <f t="shared" si="245"/>
        <v>37.263266814086847</v>
      </c>
      <c r="AO477" s="4">
        <f t="shared" si="246"/>
        <v>0.10058797340195458</v>
      </c>
      <c r="AP477" s="4">
        <f>Alternatives!$F$25+Alternatives!$F$26*J477+Alternatives!$F$27*K477+Alternatives!$F$28*G477+Alternatives!$F$29*O477</f>
        <v>3.452556237959874</v>
      </c>
      <c r="AQ477" s="4">
        <f t="shared" si="247"/>
        <v>0.26603977294199499</v>
      </c>
    </row>
    <row r="478" spans="1:43" x14ac:dyDescent="0.35">
      <c r="A478" s="2" t="s">
        <v>397</v>
      </c>
      <c r="B478" s="2" t="s">
        <v>387</v>
      </c>
      <c r="C478" s="2" t="s">
        <v>33</v>
      </c>
      <c r="D478" s="2">
        <v>67.891999999999996</v>
      </c>
      <c r="E478" s="2">
        <v>3500</v>
      </c>
      <c r="F478" s="2">
        <v>104</v>
      </c>
      <c r="G478" s="2">
        <v>46.4</v>
      </c>
      <c r="H478" s="2" t="s">
        <v>68</v>
      </c>
      <c r="I478" s="4">
        <f t="shared" si="217"/>
        <v>4.2179182072992845</v>
      </c>
      <c r="J478" s="4">
        <f t="shared" si="218"/>
        <v>8.1605182474775049</v>
      </c>
      <c r="K478" s="4">
        <f t="shared" si="219"/>
        <v>4.6443908991413725</v>
      </c>
      <c r="L478" s="2">
        <v>1</v>
      </c>
      <c r="M478" s="2">
        <v>0</v>
      </c>
      <c r="N478" s="4">
        <f t="shared" si="220"/>
        <v>46.4</v>
      </c>
      <c r="O478" s="4">
        <f t="shared" si="221"/>
        <v>1</v>
      </c>
      <c r="P478" s="4">
        <f t="shared" si="222"/>
        <v>1</v>
      </c>
      <c r="Q478" s="4">
        <f t="shared" si="223"/>
        <v>8.1605182474775049</v>
      </c>
      <c r="R478" s="4">
        <f t="shared" si="224"/>
        <v>4.6443908991413725</v>
      </c>
      <c r="S478" s="4">
        <f t="shared" si="225"/>
        <v>46.4</v>
      </c>
      <c r="T478" s="4">
        <f t="shared" si="226"/>
        <v>1</v>
      </c>
      <c r="U478" s="4">
        <f t="shared" si="227"/>
        <v>8.1605182474775049</v>
      </c>
      <c r="V478" s="4">
        <f t="shared" si="228"/>
        <v>4.6443908991413725</v>
      </c>
      <c r="W478" s="4">
        <f t="shared" si="229"/>
        <v>46.4</v>
      </c>
      <c r="X478" s="4">
        <f t="shared" si="230"/>
        <v>1</v>
      </c>
      <c r="Y478" s="4">
        <f t="shared" si="231"/>
        <v>8.1605182474775049</v>
      </c>
      <c r="Z478" s="4">
        <f t="shared" si="232"/>
        <v>4.6443908991413725</v>
      </c>
      <c r="AA478" s="4">
        <f t="shared" si="233"/>
        <v>46.4</v>
      </c>
      <c r="AB478" s="4">
        <f t="shared" si="234"/>
        <v>1</v>
      </c>
      <c r="AC478" s="4">
        <f t="shared" si="235"/>
        <v>0</v>
      </c>
      <c r="AD478" s="4">
        <f t="shared" si="236"/>
        <v>0</v>
      </c>
      <c r="AE478" s="4">
        <f t="shared" si="237"/>
        <v>0</v>
      </c>
      <c r="AF478" s="4">
        <f t="shared" si="238"/>
        <v>0</v>
      </c>
      <c r="AG478" s="4">
        <f t="shared" si="239"/>
        <v>8.1605182474775049</v>
      </c>
      <c r="AH478" s="4">
        <f t="shared" si="240"/>
        <v>1</v>
      </c>
      <c r="AI478" s="4">
        <f t="shared" si="241"/>
        <v>0</v>
      </c>
      <c r="AJ478" s="4">
        <f t="shared" si="242"/>
        <v>8.1605182474775049</v>
      </c>
      <c r="AK478" s="4">
        <f t="shared" si="243"/>
        <v>4.6443908991413725</v>
      </c>
      <c r="AL478" s="4">
        <f t="shared" si="244"/>
        <v>0</v>
      </c>
      <c r="AM478" s="4">
        <f>CER!$C$7+CER!$C$8*J478+CER!$C$9*K478+CER!$C$10*L478+CER!$C$11*M478</f>
        <v>4.0736828208456348</v>
      </c>
      <c r="AN478" s="4">
        <f t="shared" si="245"/>
        <v>58.773014991326818</v>
      </c>
      <c r="AO478" s="4">
        <f t="shared" si="246"/>
        <v>0.14423538645364964</v>
      </c>
      <c r="AP478" s="4">
        <f>Alternatives!$F$25+Alternatives!$F$26*J478+Alternatives!$F$27*K478+Alternatives!$F$28*G478+Alternatives!$F$29*O478</f>
        <v>4.4697781228719364</v>
      </c>
      <c r="AQ478" s="4">
        <f t="shared" si="247"/>
        <v>-0.25185991557265197</v>
      </c>
    </row>
    <row r="479" spans="1:43" x14ac:dyDescent="0.35">
      <c r="A479" s="2" t="s">
        <v>398</v>
      </c>
      <c r="B479" s="2" t="s">
        <v>387</v>
      </c>
      <c r="C479" s="2" t="s">
        <v>33</v>
      </c>
      <c r="D479" s="2">
        <v>69.331500000000005</v>
      </c>
      <c r="E479" s="2">
        <v>3500</v>
      </c>
      <c r="F479" s="2">
        <v>104</v>
      </c>
      <c r="G479" s="2">
        <v>46.6</v>
      </c>
      <c r="H479" s="2" t="s">
        <v>68</v>
      </c>
      <c r="I479" s="4">
        <f t="shared" si="217"/>
        <v>4.2388993483759121</v>
      </c>
      <c r="J479" s="4">
        <f t="shared" si="218"/>
        <v>8.1605182474775049</v>
      </c>
      <c r="K479" s="4">
        <f t="shared" si="219"/>
        <v>4.6443908991413725</v>
      </c>
      <c r="L479" s="2">
        <v>1</v>
      </c>
      <c r="M479" s="2">
        <v>0</v>
      </c>
      <c r="N479" s="4">
        <f t="shared" si="220"/>
        <v>46.6</v>
      </c>
      <c r="O479" s="4">
        <f t="shared" si="221"/>
        <v>1</v>
      </c>
      <c r="P479" s="4">
        <f t="shared" si="222"/>
        <v>1</v>
      </c>
      <c r="Q479" s="4">
        <f t="shared" si="223"/>
        <v>8.1605182474775049</v>
      </c>
      <c r="R479" s="4">
        <f t="shared" si="224"/>
        <v>4.6443908991413725</v>
      </c>
      <c r="S479" s="4">
        <f t="shared" si="225"/>
        <v>46.6</v>
      </c>
      <c r="T479" s="4">
        <f t="shared" si="226"/>
        <v>1</v>
      </c>
      <c r="U479" s="4">
        <f t="shared" si="227"/>
        <v>8.1605182474775049</v>
      </c>
      <c r="V479" s="4">
        <f t="shared" si="228"/>
        <v>4.6443908991413725</v>
      </c>
      <c r="W479" s="4">
        <f t="shared" si="229"/>
        <v>46.6</v>
      </c>
      <c r="X479" s="4">
        <f t="shared" si="230"/>
        <v>1</v>
      </c>
      <c r="Y479" s="4">
        <f t="shared" si="231"/>
        <v>8.1605182474775049</v>
      </c>
      <c r="Z479" s="4">
        <f t="shared" si="232"/>
        <v>4.6443908991413725</v>
      </c>
      <c r="AA479" s="4">
        <f t="shared" si="233"/>
        <v>46.6</v>
      </c>
      <c r="AB479" s="4">
        <f t="shared" si="234"/>
        <v>1</v>
      </c>
      <c r="AC479" s="4">
        <f t="shared" si="235"/>
        <v>0</v>
      </c>
      <c r="AD479" s="4">
        <f t="shared" si="236"/>
        <v>0</v>
      </c>
      <c r="AE479" s="4">
        <f t="shared" si="237"/>
        <v>0</v>
      </c>
      <c r="AF479" s="4">
        <f t="shared" si="238"/>
        <v>0</v>
      </c>
      <c r="AG479" s="4">
        <f t="shared" si="239"/>
        <v>8.1605182474775049</v>
      </c>
      <c r="AH479" s="4">
        <f t="shared" si="240"/>
        <v>1</v>
      </c>
      <c r="AI479" s="4">
        <f t="shared" si="241"/>
        <v>0</v>
      </c>
      <c r="AJ479" s="4">
        <f t="shared" si="242"/>
        <v>8.1605182474775049</v>
      </c>
      <c r="AK479" s="4">
        <f t="shared" si="243"/>
        <v>4.6443908991413725</v>
      </c>
      <c r="AL479" s="4">
        <f t="shared" si="244"/>
        <v>0</v>
      </c>
      <c r="AM479" s="4">
        <f>CER!$C$7+CER!$C$8*J479+CER!$C$9*K479+CER!$C$10*L479+CER!$C$11*M479</f>
        <v>4.0736828208456348</v>
      </c>
      <c r="AN479" s="4">
        <f t="shared" si="245"/>
        <v>58.773014991326818</v>
      </c>
      <c r="AO479" s="4">
        <f t="shared" si="246"/>
        <v>0.16521652753027727</v>
      </c>
      <c r="AP479" s="4">
        <f>Alternatives!$F$25+Alternatives!$F$26*J479+Alternatives!$F$27*K479+Alternatives!$F$28*G479+Alternatives!$F$29*O479</f>
        <v>4.4671766599634903</v>
      </c>
      <c r="AQ479" s="4">
        <f t="shared" si="247"/>
        <v>-0.22827731158757825</v>
      </c>
    </row>
    <row r="480" spans="1:43" x14ac:dyDescent="0.35">
      <c r="A480" s="2" t="s">
        <v>399</v>
      </c>
      <c r="B480" s="2" t="s">
        <v>387</v>
      </c>
      <c r="C480" s="2" t="s">
        <v>67</v>
      </c>
      <c r="D480" s="2">
        <v>28.9862</v>
      </c>
      <c r="E480" s="2">
        <v>3500</v>
      </c>
      <c r="F480" s="2">
        <v>280</v>
      </c>
      <c r="G480" s="2">
        <v>46.3</v>
      </c>
      <c r="H480" s="2" t="s">
        <v>68</v>
      </c>
      <c r="I480" s="4">
        <f t="shared" si="217"/>
        <v>3.3668198546592225</v>
      </c>
      <c r="J480" s="4">
        <f t="shared" si="218"/>
        <v>8.1605182474775049</v>
      </c>
      <c r="K480" s="4">
        <f t="shared" si="219"/>
        <v>5.6347896031692493</v>
      </c>
      <c r="L480" s="2">
        <v>0</v>
      </c>
      <c r="M480" s="2">
        <v>0</v>
      </c>
      <c r="N480" s="4">
        <f t="shared" si="220"/>
        <v>46.3</v>
      </c>
      <c r="O480" s="4">
        <f t="shared" si="221"/>
        <v>0</v>
      </c>
      <c r="P480" s="4">
        <f t="shared" si="222"/>
        <v>0</v>
      </c>
      <c r="Q480" s="4">
        <f t="shared" si="223"/>
        <v>8.1605182474775049</v>
      </c>
      <c r="R480" s="4">
        <f t="shared" si="224"/>
        <v>5.6347896031692493</v>
      </c>
      <c r="S480" s="4">
        <f t="shared" si="225"/>
        <v>46.3</v>
      </c>
      <c r="T480" s="4">
        <f t="shared" si="226"/>
        <v>0</v>
      </c>
      <c r="U480" s="4">
        <f t="shared" si="227"/>
        <v>8.1605182474775049</v>
      </c>
      <c r="V480" s="4">
        <f t="shared" si="228"/>
        <v>5.6347896031692493</v>
      </c>
      <c r="W480" s="4">
        <f t="shared" si="229"/>
        <v>46.3</v>
      </c>
      <c r="X480" s="4">
        <f t="shared" si="230"/>
        <v>0</v>
      </c>
      <c r="Y480" s="4">
        <f t="shared" si="231"/>
        <v>8.1605182474775049</v>
      </c>
      <c r="Z480" s="4">
        <f t="shared" si="232"/>
        <v>5.6347896031692493</v>
      </c>
      <c r="AA480" s="4">
        <f t="shared" si="233"/>
        <v>46.3</v>
      </c>
      <c r="AB480" s="4">
        <f t="shared" si="234"/>
        <v>0</v>
      </c>
      <c r="AC480" s="4">
        <f t="shared" si="235"/>
        <v>0</v>
      </c>
      <c r="AD480" s="4">
        <f t="shared" si="236"/>
        <v>0</v>
      </c>
      <c r="AE480" s="4">
        <f t="shared" si="237"/>
        <v>0</v>
      </c>
      <c r="AF480" s="4">
        <f t="shared" si="238"/>
        <v>0</v>
      </c>
      <c r="AG480" s="4">
        <f t="shared" si="239"/>
        <v>8.1605182474775049</v>
      </c>
      <c r="AH480" s="4">
        <f t="shared" si="240"/>
        <v>0</v>
      </c>
      <c r="AI480" s="4">
        <f t="shared" si="241"/>
        <v>0</v>
      </c>
      <c r="AJ480" s="4">
        <f t="shared" si="242"/>
        <v>8.1605182474775049</v>
      </c>
      <c r="AK480" s="4">
        <f t="shared" si="243"/>
        <v>5.6347896031692493</v>
      </c>
      <c r="AL480" s="4">
        <f t="shared" si="244"/>
        <v>0</v>
      </c>
      <c r="AM480" s="4">
        <f>CER!$C$7+CER!$C$8*J480+CER!$C$9*K480+CER!$C$10*L480+CER!$C$11*M480</f>
        <v>3.48452787480291</v>
      </c>
      <c r="AN480" s="4">
        <f t="shared" si="245"/>
        <v>32.607028875263929</v>
      </c>
      <c r="AO480" s="4">
        <f t="shared" si="246"/>
        <v>-0.11770802014368753</v>
      </c>
      <c r="AP480" s="4">
        <f>Alternatives!$F$25+Alternatives!$F$26*J480+Alternatives!$F$27*K480+Alternatives!$F$28*G480+Alternatives!$F$29*O480</f>
        <v>3.3627839580709535</v>
      </c>
      <c r="AQ480" s="4">
        <f t="shared" si="247"/>
        <v>4.0358965882689724E-3</v>
      </c>
    </row>
    <row r="481" spans="1:43" x14ac:dyDescent="0.35">
      <c r="A481" s="2" t="s">
        <v>399</v>
      </c>
      <c r="B481" s="2" t="s">
        <v>387</v>
      </c>
      <c r="C481" s="2" t="s">
        <v>67</v>
      </c>
      <c r="D481" s="2">
        <v>31.385899999999999</v>
      </c>
      <c r="E481" s="2">
        <v>3500</v>
      </c>
      <c r="F481" s="2">
        <v>280</v>
      </c>
      <c r="G481" s="2">
        <v>46.3</v>
      </c>
      <c r="H481" s="2" t="s">
        <v>68</v>
      </c>
      <c r="I481" s="4">
        <f t="shared" si="217"/>
        <v>3.4463587474775084</v>
      </c>
      <c r="J481" s="4">
        <f t="shared" si="218"/>
        <v>8.1605182474775049</v>
      </c>
      <c r="K481" s="4">
        <f t="shared" si="219"/>
        <v>5.6347896031692493</v>
      </c>
      <c r="L481" s="2">
        <v>0</v>
      </c>
      <c r="M481" s="2">
        <v>0</v>
      </c>
      <c r="N481" s="4">
        <f t="shared" si="220"/>
        <v>46.3</v>
      </c>
      <c r="O481" s="4">
        <f t="shared" si="221"/>
        <v>0</v>
      </c>
      <c r="P481" s="4">
        <f t="shared" si="222"/>
        <v>0</v>
      </c>
      <c r="Q481" s="4">
        <f t="shared" si="223"/>
        <v>8.1605182474775049</v>
      </c>
      <c r="R481" s="4">
        <f t="shared" si="224"/>
        <v>5.6347896031692493</v>
      </c>
      <c r="S481" s="4">
        <f t="shared" si="225"/>
        <v>46.3</v>
      </c>
      <c r="T481" s="4">
        <f t="shared" si="226"/>
        <v>0</v>
      </c>
      <c r="U481" s="4">
        <f t="shared" si="227"/>
        <v>8.1605182474775049</v>
      </c>
      <c r="V481" s="4">
        <f t="shared" si="228"/>
        <v>5.6347896031692493</v>
      </c>
      <c r="W481" s="4">
        <f t="shared" si="229"/>
        <v>46.3</v>
      </c>
      <c r="X481" s="4">
        <f t="shared" si="230"/>
        <v>0</v>
      </c>
      <c r="Y481" s="4">
        <f t="shared" si="231"/>
        <v>8.1605182474775049</v>
      </c>
      <c r="Z481" s="4">
        <f t="shared" si="232"/>
        <v>5.6347896031692493</v>
      </c>
      <c r="AA481" s="4">
        <f t="shared" si="233"/>
        <v>46.3</v>
      </c>
      <c r="AB481" s="4">
        <f t="shared" si="234"/>
        <v>0</v>
      </c>
      <c r="AC481" s="4">
        <f t="shared" si="235"/>
        <v>0</v>
      </c>
      <c r="AD481" s="4">
        <f t="shared" si="236"/>
        <v>0</v>
      </c>
      <c r="AE481" s="4">
        <f t="shared" si="237"/>
        <v>0</v>
      </c>
      <c r="AF481" s="4">
        <f t="shared" si="238"/>
        <v>0</v>
      </c>
      <c r="AG481" s="4">
        <f t="shared" si="239"/>
        <v>8.1605182474775049</v>
      </c>
      <c r="AH481" s="4">
        <f t="shared" si="240"/>
        <v>0</v>
      </c>
      <c r="AI481" s="4">
        <f t="shared" si="241"/>
        <v>0</v>
      </c>
      <c r="AJ481" s="4">
        <f t="shared" si="242"/>
        <v>8.1605182474775049</v>
      </c>
      <c r="AK481" s="4">
        <f t="shared" si="243"/>
        <v>5.6347896031692493</v>
      </c>
      <c r="AL481" s="4">
        <f t="shared" si="244"/>
        <v>0</v>
      </c>
      <c r="AM481" s="4">
        <f>CER!$C$7+CER!$C$8*J481+CER!$C$9*K481+CER!$C$10*L481+CER!$C$11*M481</f>
        <v>3.48452787480291</v>
      </c>
      <c r="AN481" s="4">
        <f t="shared" si="245"/>
        <v>32.607028875263929</v>
      </c>
      <c r="AO481" s="4">
        <f t="shared" si="246"/>
        <v>-3.8169127325401675E-2</v>
      </c>
      <c r="AP481" s="4">
        <f>Alternatives!$F$25+Alternatives!$F$26*J481+Alternatives!$F$27*K481+Alternatives!$F$28*G481+Alternatives!$F$29*O481</f>
        <v>3.3627839580709535</v>
      </c>
      <c r="AQ481" s="4">
        <f t="shared" si="247"/>
        <v>8.3574789406554828E-2</v>
      </c>
    </row>
    <row r="482" spans="1:43" x14ac:dyDescent="0.35">
      <c r="A482" s="2" t="s">
        <v>400</v>
      </c>
      <c r="B482" s="2" t="s">
        <v>387</v>
      </c>
      <c r="C482" s="2" t="s">
        <v>33</v>
      </c>
      <c r="D482" s="2">
        <v>60.659300000000002</v>
      </c>
      <c r="E482" s="2">
        <v>4000</v>
      </c>
      <c r="F482" s="2">
        <v>150</v>
      </c>
      <c r="G482" s="2">
        <v>50</v>
      </c>
      <c r="H482" s="2" t="s">
        <v>68</v>
      </c>
      <c r="I482" s="4">
        <f t="shared" si="217"/>
        <v>4.1052729624642117</v>
      </c>
      <c r="J482" s="4">
        <f t="shared" si="218"/>
        <v>8.2940496401020276</v>
      </c>
      <c r="K482" s="4">
        <f t="shared" si="219"/>
        <v>5.0106352940962555</v>
      </c>
      <c r="L482" s="2">
        <v>1</v>
      </c>
      <c r="M482" s="2">
        <v>0</v>
      </c>
      <c r="N482" s="4">
        <f t="shared" si="220"/>
        <v>50</v>
      </c>
      <c r="O482" s="4">
        <f t="shared" si="221"/>
        <v>1</v>
      </c>
      <c r="P482" s="4">
        <f t="shared" si="222"/>
        <v>1</v>
      </c>
      <c r="Q482" s="4">
        <f t="shared" si="223"/>
        <v>8.2940496401020276</v>
      </c>
      <c r="R482" s="4">
        <f t="shared" si="224"/>
        <v>5.0106352940962555</v>
      </c>
      <c r="S482" s="4">
        <f t="shared" si="225"/>
        <v>50</v>
      </c>
      <c r="T482" s="4">
        <f t="shared" si="226"/>
        <v>1</v>
      </c>
      <c r="U482" s="4">
        <f t="shared" si="227"/>
        <v>8.2940496401020276</v>
      </c>
      <c r="V482" s="4">
        <f t="shared" si="228"/>
        <v>5.0106352940962555</v>
      </c>
      <c r="W482" s="4">
        <f t="shared" si="229"/>
        <v>50</v>
      </c>
      <c r="X482" s="4">
        <f t="shared" si="230"/>
        <v>1</v>
      </c>
      <c r="Y482" s="4">
        <f t="shared" si="231"/>
        <v>8.2940496401020276</v>
      </c>
      <c r="Z482" s="4">
        <f t="shared" si="232"/>
        <v>5.0106352940962555</v>
      </c>
      <c r="AA482" s="4">
        <f t="shared" si="233"/>
        <v>50</v>
      </c>
      <c r="AB482" s="4">
        <f t="shared" si="234"/>
        <v>1</v>
      </c>
      <c r="AC482" s="4">
        <f t="shared" si="235"/>
        <v>0</v>
      </c>
      <c r="AD482" s="4">
        <f t="shared" si="236"/>
        <v>0</v>
      </c>
      <c r="AE482" s="4">
        <f t="shared" si="237"/>
        <v>0</v>
      </c>
      <c r="AF482" s="4">
        <f t="shared" si="238"/>
        <v>0</v>
      </c>
      <c r="AG482" s="4">
        <f t="shared" si="239"/>
        <v>8.2940496401020276</v>
      </c>
      <c r="AH482" s="4">
        <f t="shared" si="240"/>
        <v>1</v>
      </c>
      <c r="AI482" s="4">
        <f t="shared" si="241"/>
        <v>0</v>
      </c>
      <c r="AJ482" s="4">
        <f t="shared" si="242"/>
        <v>8.2940496401020276</v>
      </c>
      <c r="AK482" s="4">
        <f t="shared" si="243"/>
        <v>5.0106352940962555</v>
      </c>
      <c r="AL482" s="4">
        <f t="shared" si="244"/>
        <v>0</v>
      </c>
      <c r="AM482" s="4">
        <f>CER!$C$7+CER!$C$8*J482+CER!$C$9*K482+CER!$C$10*L482+CER!$C$11*M482</f>
        <v>3.8781083743904738</v>
      </c>
      <c r="AN482" s="4">
        <f t="shared" si="245"/>
        <v>48.332701168304609</v>
      </c>
      <c r="AO482" s="4">
        <f t="shared" si="246"/>
        <v>0.22716458807373785</v>
      </c>
      <c r="AP482" s="4">
        <f>Alternatives!$F$25+Alternatives!$F$26*J482+Alternatives!$F$27*K482+Alternatives!$F$28*G482+Alternatives!$F$29*O482</f>
        <v>4.3749086023770696</v>
      </c>
      <c r="AQ482" s="4">
        <f t="shared" si="247"/>
        <v>-0.26963563991285788</v>
      </c>
    </row>
    <row r="483" spans="1:43" x14ac:dyDescent="0.35">
      <c r="A483" s="2" t="s">
        <v>401</v>
      </c>
      <c r="B483" s="2" t="s">
        <v>387</v>
      </c>
      <c r="C483" s="2" t="s">
        <v>67</v>
      </c>
      <c r="D483" s="2">
        <v>36.271599999999999</v>
      </c>
      <c r="E483" s="2">
        <v>3500</v>
      </c>
      <c r="F483" s="2">
        <v>190</v>
      </c>
      <c r="G483" s="2">
        <v>45.5</v>
      </c>
      <c r="H483" s="2" t="s">
        <v>68</v>
      </c>
      <c r="I483" s="4">
        <f t="shared" si="217"/>
        <v>3.591035065914336</v>
      </c>
      <c r="J483" s="4">
        <f t="shared" si="218"/>
        <v>8.1605182474775049</v>
      </c>
      <c r="K483" s="4">
        <f t="shared" si="219"/>
        <v>5.2470240721604862</v>
      </c>
      <c r="L483" s="2">
        <v>0</v>
      </c>
      <c r="M483" s="2">
        <v>0</v>
      </c>
      <c r="N483" s="4">
        <f t="shared" si="220"/>
        <v>45.5</v>
      </c>
      <c r="O483" s="4">
        <f t="shared" si="221"/>
        <v>0</v>
      </c>
      <c r="P483" s="4">
        <f t="shared" si="222"/>
        <v>0</v>
      </c>
      <c r="Q483" s="4">
        <f t="shared" si="223"/>
        <v>8.1605182474775049</v>
      </c>
      <c r="R483" s="4">
        <f t="shared" si="224"/>
        <v>5.2470240721604862</v>
      </c>
      <c r="S483" s="4">
        <f t="shared" si="225"/>
        <v>45.5</v>
      </c>
      <c r="T483" s="4">
        <f t="shared" si="226"/>
        <v>0</v>
      </c>
      <c r="U483" s="4">
        <f t="shared" si="227"/>
        <v>8.1605182474775049</v>
      </c>
      <c r="V483" s="4">
        <f t="shared" si="228"/>
        <v>5.2470240721604862</v>
      </c>
      <c r="W483" s="4">
        <f t="shared" si="229"/>
        <v>45.5</v>
      </c>
      <c r="X483" s="4">
        <f t="shared" si="230"/>
        <v>0</v>
      </c>
      <c r="Y483" s="4">
        <f t="shared" si="231"/>
        <v>8.1605182474775049</v>
      </c>
      <c r="Z483" s="4">
        <f t="shared" si="232"/>
        <v>5.2470240721604862</v>
      </c>
      <c r="AA483" s="4">
        <f t="shared" si="233"/>
        <v>45.5</v>
      </c>
      <c r="AB483" s="4">
        <f t="shared" si="234"/>
        <v>0</v>
      </c>
      <c r="AC483" s="4">
        <f t="shared" si="235"/>
        <v>0</v>
      </c>
      <c r="AD483" s="4">
        <f t="shared" si="236"/>
        <v>0</v>
      </c>
      <c r="AE483" s="4">
        <f t="shared" si="237"/>
        <v>0</v>
      </c>
      <c r="AF483" s="4">
        <f t="shared" si="238"/>
        <v>0</v>
      </c>
      <c r="AG483" s="4">
        <f t="shared" si="239"/>
        <v>8.1605182474775049</v>
      </c>
      <c r="AH483" s="4">
        <f t="shared" si="240"/>
        <v>0</v>
      </c>
      <c r="AI483" s="4">
        <f t="shared" si="241"/>
        <v>0</v>
      </c>
      <c r="AJ483" s="4">
        <f t="shared" si="242"/>
        <v>8.1605182474775049</v>
      </c>
      <c r="AK483" s="4">
        <f t="shared" si="243"/>
        <v>5.2470240721604862</v>
      </c>
      <c r="AL483" s="4">
        <f t="shared" si="244"/>
        <v>0</v>
      </c>
      <c r="AM483" s="4">
        <f>CER!$C$7+CER!$C$8*J483+CER!$C$9*K483+CER!$C$10*L483+CER!$C$11*M483</f>
        <v>3.6275915299230457</v>
      </c>
      <c r="AN483" s="4">
        <f t="shared" si="245"/>
        <v>37.622095719978667</v>
      </c>
      <c r="AO483" s="4">
        <f t="shared" si="246"/>
        <v>-3.655646400870971E-2</v>
      </c>
      <c r="AP483" s="4">
        <f>Alternatives!$F$25+Alternatives!$F$26*J483+Alternatives!$F$27*K483+Alternatives!$F$28*G483+Alternatives!$F$29*O483</f>
        <v>3.4763780827179822</v>
      </c>
      <c r="AQ483" s="4">
        <f t="shared" si="247"/>
        <v>0.11465698319635376</v>
      </c>
    </row>
    <row r="484" spans="1:43" x14ac:dyDescent="0.35">
      <c r="A484" s="2" t="s">
        <v>401</v>
      </c>
      <c r="B484" s="2" t="s">
        <v>387</v>
      </c>
      <c r="C484" s="2" t="s">
        <v>67</v>
      </c>
      <c r="D484" s="2">
        <v>39.181800000000003</v>
      </c>
      <c r="E484" s="2">
        <v>3500</v>
      </c>
      <c r="F484" s="2">
        <v>147</v>
      </c>
      <c r="G484" s="2">
        <v>45.5</v>
      </c>
      <c r="H484" s="2" t="s">
        <v>68</v>
      </c>
      <c r="I484" s="4">
        <f t="shared" si="217"/>
        <v>3.6682123532681468</v>
      </c>
      <c r="J484" s="4">
        <f t="shared" si="218"/>
        <v>8.1605182474775049</v>
      </c>
      <c r="K484" s="4">
        <f t="shared" si="219"/>
        <v>4.990432586778736</v>
      </c>
      <c r="L484" s="2">
        <v>0</v>
      </c>
      <c r="M484" s="2">
        <v>0</v>
      </c>
      <c r="N484" s="4">
        <f t="shared" si="220"/>
        <v>45.5</v>
      </c>
      <c r="O484" s="4">
        <f t="shared" si="221"/>
        <v>0</v>
      </c>
      <c r="P484" s="4">
        <f t="shared" si="222"/>
        <v>0</v>
      </c>
      <c r="Q484" s="4">
        <f t="shared" si="223"/>
        <v>8.1605182474775049</v>
      </c>
      <c r="R484" s="4">
        <f t="shared" si="224"/>
        <v>4.990432586778736</v>
      </c>
      <c r="S484" s="4">
        <f t="shared" si="225"/>
        <v>45.5</v>
      </c>
      <c r="T484" s="4">
        <f t="shared" si="226"/>
        <v>0</v>
      </c>
      <c r="U484" s="4">
        <f t="shared" si="227"/>
        <v>8.1605182474775049</v>
      </c>
      <c r="V484" s="4">
        <f t="shared" si="228"/>
        <v>4.990432586778736</v>
      </c>
      <c r="W484" s="4">
        <f t="shared" si="229"/>
        <v>45.5</v>
      </c>
      <c r="X484" s="4">
        <f t="shared" si="230"/>
        <v>0</v>
      </c>
      <c r="Y484" s="4">
        <f t="shared" si="231"/>
        <v>8.1605182474775049</v>
      </c>
      <c r="Z484" s="4">
        <f t="shared" si="232"/>
        <v>4.990432586778736</v>
      </c>
      <c r="AA484" s="4">
        <f t="shared" si="233"/>
        <v>45.5</v>
      </c>
      <c r="AB484" s="4">
        <f t="shared" si="234"/>
        <v>0</v>
      </c>
      <c r="AC484" s="4">
        <f t="shared" si="235"/>
        <v>0</v>
      </c>
      <c r="AD484" s="4">
        <f t="shared" si="236"/>
        <v>0</v>
      </c>
      <c r="AE484" s="4">
        <f t="shared" si="237"/>
        <v>0</v>
      </c>
      <c r="AF484" s="4">
        <f t="shared" si="238"/>
        <v>0</v>
      </c>
      <c r="AG484" s="4">
        <f t="shared" si="239"/>
        <v>8.1605182474775049</v>
      </c>
      <c r="AH484" s="4">
        <f t="shared" si="240"/>
        <v>0</v>
      </c>
      <c r="AI484" s="4">
        <f t="shared" si="241"/>
        <v>0</v>
      </c>
      <c r="AJ484" s="4">
        <f t="shared" si="242"/>
        <v>8.1605182474775049</v>
      </c>
      <c r="AK484" s="4">
        <f t="shared" si="243"/>
        <v>4.990432586778736</v>
      </c>
      <c r="AL484" s="4">
        <f t="shared" si="244"/>
        <v>0</v>
      </c>
      <c r="AM484" s="4">
        <f>CER!$C$7+CER!$C$8*J484+CER!$C$9*K484+CER!$C$10*L484+CER!$C$11*M484</f>
        <v>3.7222593454865396</v>
      </c>
      <c r="AN484" s="4">
        <f t="shared" si="245"/>
        <v>41.357730030537972</v>
      </c>
      <c r="AO484" s="4">
        <f t="shared" si="246"/>
        <v>-5.404699221839282E-2</v>
      </c>
      <c r="AP484" s="4">
        <f>Alternatives!$F$25+Alternatives!$F$26*J484+Alternatives!$F$27*K484+Alternatives!$F$28*G484+Alternatives!$F$29*O484</f>
        <v>3.5446596346588333</v>
      </c>
      <c r="AQ484" s="4">
        <f t="shared" si="247"/>
        <v>0.12355271860931349</v>
      </c>
    </row>
    <row r="485" spans="1:43" x14ac:dyDescent="0.35">
      <c r="A485" s="2" t="s">
        <v>401</v>
      </c>
      <c r="B485" s="2" t="s">
        <v>387</v>
      </c>
      <c r="C485" s="2" t="s">
        <v>67</v>
      </c>
      <c r="D485" s="2">
        <v>39.9131</v>
      </c>
      <c r="E485" s="2">
        <v>3500</v>
      </c>
      <c r="F485" s="2">
        <v>147</v>
      </c>
      <c r="G485" s="2">
        <v>45.5</v>
      </c>
      <c r="H485" s="2" t="s">
        <v>68</v>
      </c>
      <c r="I485" s="4">
        <f t="shared" si="217"/>
        <v>3.6867045908123424</v>
      </c>
      <c r="J485" s="4">
        <f t="shared" si="218"/>
        <v>8.1605182474775049</v>
      </c>
      <c r="K485" s="4">
        <f t="shared" si="219"/>
        <v>4.990432586778736</v>
      </c>
      <c r="L485" s="2">
        <v>0</v>
      </c>
      <c r="M485" s="2">
        <v>0</v>
      </c>
      <c r="N485" s="4">
        <f t="shared" si="220"/>
        <v>45.5</v>
      </c>
      <c r="O485" s="4">
        <f t="shared" si="221"/>
        <v>0</v>
      </c>
      <c r="P485" s="4">
        <f t="shared" si="222"/>
        <v>0</v>
      </c>
      <c r="Q485" s="4">
        <f t="shared" si="223"/>
        <v>8.1605182474775049</v>
      </c>
      <c r="R485" s="4">
        <f t="shared" si="224"/>
        <v>4.990432586778736</v>
      </c>
      <c r="S485" s="4">
        <f t="shared" si="225"/>
        <v>45.5</v>
      </c>
      <c r="T485" s="4">
        <f t="shared" si="226"/>
        <v>0</v>
      </c>
      <c r="U485" s="4">
        <f t="shared" si="227"/>
        <v>8.1605182474775049</v>
      </c>
      <c r="V485" s="4">
        <f t="shared" si="228"/>
        <v>4.990432586778736</v>
      </c>
      <c r="W485" s="4">
        <f t="shared" si="229"/>
        <v>45.5</v>
      </c>
      <c r="X485" s="4">
        <f t="shared" si="230"/>
        <v>0</v>
      </c>
      <c r="Y485" s="4">
        <f t="shared" si="231"/>
        <v>8.1605182474775049</v>
      </c>
      <c r="Z485" s="4">
        <f t="shared" si="232"/>
        <v>4.990432586778736</v>
      </c>
      <c r="AA485" s="4">
        <f t="shared" si="233"/>
        <v>45.5</v>
      </c>
      <c r="AB485" s="4">
        <f t="shared" si="234"/>
        <v>0</v>
      </c>
      <c r="AC485" s="4">
        <f t="shared" si="235"/>
        <v>0</v>
      </c>
      <c r="AD485" s="4">
        <f t="shared" si="236"/>
        <v>0</v>
      </c>
      <c r="AE485" s="4">
        <f t="shared" si="237"/>
        <v>0</v>
      </c>
      <c r="AF485" s="4">
        <f t="shared" si="238"/>
        <v>0</v>
      </c>
      <c r="AG485" s="4">
        <f t="shared" si="239"/>
        <v>8.1605182474775049</v>
      </c>
      <c r="AH485" s="4">
        <f t="shared" si="240"/>
        <v>0</v>
      </c>
      <c r="AI485" s="4">
        <f t="shared" si="241"/>
        <v>0</v>
      </c>
      <c r="AJ485" s="4">
        <f t="shared" si="242"/>
        <v>8.1605182474775049</v>
      </c>
      <c r="AK485" s="4">
        <f t="shared" si="243"/>
        <v>4.990432586778736</v>
      </c>
      <c r="AL485" s="4">
        <f t="shared" si="244"/>
        <v>0</v>
      </c>
      <c r="AM485" s="4">
        <f>CER!$C$7+CER!$C$8*J485+CER!$C$9*K485+CER!$C$10*L485+CER!$C$11*M485</f>
        <v>3.7222593454865396</v>
      </c>
      <c r="AN485" s="4">
        <f t="shared" si="245"/>
        <v>41.357730030537972</v>
      </c>
      <c r="AO485" s="4">
        <f t="shared" si="246"/>
        <v>-3.555475467419722E-2</v>
      </c>
      <c r="AP485" s="4">
        <f>Alternatives!$F$25+Alternatives!$F$26*J485+Alternatives!$F$27*K485+Alternatives!$F$28*G485+Alternatives!$F$29*O485</f>
        <v>3.5446596346588333</v>
      </c>
      <c r="AQ485" s="4">
        <f t="shared" si="247"/>
        <v>0.14204495615350909</v>
      </c>
    </row>
    <row r="486" spans="1:43" x14ac:dyDescent="0.35">
      <c r="A486" s="2" t="s">
        <v>402</v>
      </c>
      <c r="B486" s="2" t="s">
        <v>387</v>
      </c>
      <c r="C486" s="2" t="s">
        <v>67</v>
      </c>
      <c r="D486" s="2">
        <v>39.563499999999998</v>
      </c>
      <c r="E486" s="2">
        <v>3500</v>
      </c>
      <c r="F486" s="2">
        <v>190</v>
      </c>
      <c r="G486" s="2">
        <v>45.7</v>
      </c>
      <c r="H486" s="2" t="s">
        <v>68</v>
      </c>
      <c r="I486" s="4">
        <f t="shared" si="217"/>
        <v>3.6779069760462457</v>
      </c>
      <c r="J486" s="4">
        <f t="shared" si="218"/>
        <v>8.1605182474775049</v>
      </c>
      <c r="K486" s="4">
        <f t="shared" si="219"/>
        <v>5.2470240721604862</v>
      </c>
      <c r="L486" s="2">
        <v>0</v>
      </c>
      <c r="M486" s="2">
        <v>0</v>
      </c>
      <c r="N486" s="4">
        <f t="shared" si="220"/>
        <v>45.7</v>
      </c>
      <c r="O486" s="4">
        <f t="shared" si="221"/>
        <v>0</v>
      </c>
      <c r="P486" s="4">
        <f t="shared" si="222"/>
        <v>0</v>
      </c>
      <c r="Q486" s="4">
        <f t="shared" si="223"/>
        <v>8.1605182474775049</v>
      </c>
      <c r="R486" s="4">
        <f t="shared" si="224"/>
        <v>5.2470240721604862</v>
      </c>
      <c r="S486" s="4">
        <f t="shared" si="225"/>
        <v>45.7</v>
      </c>
      <c r="T486" s="4">
        <f t="shared" si="226"/>
        <v>0</v>
      </c>
      <c r="U486" s="4">
        <f t="shared" si="227"/>
        <v>8.1605182474775049</v>
      </c>
      <c r="V486" s="4">
        <f t="shared" si="228"/>
        <v>5.2470240721604862</v>
      </c>
      <c r="W486" s="4">
        <f t="shared" si="229"/>
        <v>45.7</v>
      </c>
      <c r="X486" s="4">
        <f t="shared" si="230"/>
        <v>0</v>
      </c>
      <c r="Y486" s="4">
        <f t="shared" si="231"/>
        <v>8.1605182474775049</v>
      </c>
      <c r="Z486" s="4">
        <f t="shared" si="232"/>
        <v>5.2470240721604862</v>
      </c>
      <c r="AA486" s="4">
        <f t="shared" si="233"/>
        <v>45.7</v>
      </c>
      <c r="AB486" s="4">
        <f t="shared" si="234"/>
        <v>0</v>
      </c>
      <c r="AC486" s="4">
        <f t="shared" si="235"/>
        <v>0</v>
      </c>
      <c r="AD486" s="4">
        <f t="shared" si="236"/>
        <v>0</v>
      </c>
      <c r="AE486" s="4">
        <f t="shared" si="237"/>
        <v>0</v>
      </c>
      <c r="AF486" s="4">
        <f t="shared" si="238"/>
        <v>0</v>
      </c>
      <c r="AG486" s="4">
        <f t="shared" si="239"/>
        <v>8.1605182474775049</v>
      </c>
      <c r="AH486" s="4">
        <f t="shared" si="240"/>
        <v>0</v>
      </c>
      <c r="AI486" s="4">
        <f t="shared" si="241"/>
        <v>0</v>
      </c>
      <c r="AJ486" s="4">
        <f t="shared" si="242"/>
        <v>8.1605182474775049</v>
      </c>
      <c r="AK486" s="4">
        <f t="shared" si="243"/>
        <v>5.2470240721604862</v>
      </c>
      <c r="AL486" s="4">
        <f t="shared" si="244"/>
        <v>0</v>
      </c>
      <c r="AM486" s="4">
        <f>CER!$C$7+CER!$C$8*J486+CER!$C$9*K486+CER!$C$10*L486+CER!$C$11*M486</f>
        <v>3.6275915299230457</v>
      </c>
      <c r="AN486" s="4">
        <f t="shared" si="245"/>
        <v>37.622095719978667</v>
      </c>
      <c r="AO486" s="4">
        <f t="shared" si="246"/>
        <v>5.0315446123200047E-2</v>
      </c>
      <c r="AP486" s="4">
        <f>Alternatives!$F$25+Alternatives!$F$26*J486+Alternatives!$F$27*K486+Alternatives!$F$28*G486+Alternatives!$F$29*O486</f>
        <v>3.4737766198095366</v>
      </c>
      <c r="AQ486" s="4">
        <f t="shared" si="247"/>
        <v>0.20413035623670917</v>
      </c>
    </row>
    <row r="487" spans="1:43" x14ac:dyDescent="0.35">
      <c r="A487" s="2" t="s">
        <v>402</v>
      </c>
      <c r="B487" s="2" t="s">
        <v>387</v>
      </c>
      <c r="C487" s="2" t="s">
        <v>67</v>
      </c>
      <c r="D487" s="2">
        <v>43.003500000000003</v>
      </c>
      <c r="E487" s="2">
        <v>3500</v>
      </c>
      <c r="F487" s="2">
        <v>147</v>
      </c>
      <c r="G487" s="2">
        <v>45.7</v>
      </c>
      <c r="H487" s="2" t="s">
        <v>68</v>
      </c>
      <c r="I487" s="4">
        <f t="shared" si="217"/>
        <v>3.7612815077299779</v>
      </c>
      <c r="J487" s="4">
        <f t="shared" si="218"/>
        <v>8.1605182474775049</v>
      </c>
      <c r="K487" s="4">
        <f t="shared" si="219"/>
        <v>4.990432586778736</v>
      </c>
      <c r="L487" s="2">
        <v>0</v>
      </c>
      <c r="M487" s="2">
        <v>0</v>
      </c>
      <c r="N487" s="4">
        <f t="shared" si="220"/>
        <v>45.7</v>
      </c>
      <c r="O487" s="4">
        <f t="shared" si="221"/>
        <v>0</v>
      </c>
      <c r="P487" s="4">
        <f t="shared" si="222"/>
        <v>0</v>
      </c>
      <c r="Q487" s="4">
        <f t="shared" si="223"/>
        <v>8.1605182474775049</v>
      </c>
      <c r="R487" s="4">
        <f t="shared" si="224"/>
        <v>4.990432586778736</v>
      </c>
      <c r="S487" s="4">
        <f t="shared" si="225"/>
        <v>45.7</v>
      </c>
      <c r="T487" s="4">
        <f t="shared" si="226"/>
        <v>0</v>
      </c>
      <c r="U487" s="4">
        <f t="shared" si="227"/>
        <v>8.1605182474775049</v>
      </c>
      <c r="V487" s="4">
        <f t="shared" si="228"/>
        <v>4.990432586778736</v>
      </c>
      <c r="W487" s="4">
        <f t="shared" si="229"/>
        <v>45.7</v>
      </c>
      <c r="X487" s="4">
        <f t="shared" si="230"/>
        <v>0</v>
      </c>
      <c r="Y487" s="4">
        <f t="shared" si="231"/>
        <v>8.1605182474775049</v>
      </c>
      <c r="Z487" s="4">
        <f t="shared" si="232"/>
        <v>4.990432586778736</v>
      </c>
      <c r="AA487" s="4">
        <f t="shared" si="233"/>
        <v>45.7</v>
      </c>
      <c r="AB487" s="4">
        <f t="shared" si="234"/>
        <v>0</v>
      </c>
      <c r="AC487" s="4">
        <f t="shared" si="235"/>
        <v>0</v>
      </c>
      <c r="AD487" s="4">
        <f t="shared" si="236"/>
        <v>0</v>
      </c>
      <c r="AE487" s="4">
        <f t="shared" si="237"/>
        <v>0</v>
      </c>
      <c r="AF487" s="4">
        <f t="shared" si="238"/>
        <v>0</v>
      </c>
      <c r="AG487" s="4">
        <f t="shared" si="239"/>
        <v>8.1605182474775049</v>
      </c>
      <c r="AH487" s="4">
        <f t="shared" si="240"/>
        <v>0</v>
      </c>
      <c r="AI487" s="4">
        <f t="shared" si="241"/>
        <v>0</v>
      </c>
      <c r="AJ487" s="4">
        <f t="shared" si="242"/>
        <v>8.1605182474775049</v>
      </c>
      <c r="AK487" s="4">
        <f t="shared" si="243"/>
        <v>4.990432586778736</v>
      </c>
      <c r="AL487" s="4">
        <f t="shared" si="244"/>
        <v>0</v>
      </c>
      <c r="AM487" s="4">
        <f>CER!$C$7+CER!$C$8*J487+CER!$C$9*K487+CER!$C$10*L487+CER!$C$11*M487</f>
        <v>3.7222593454865396</v>
      </c>
      <c r="AN487" s="4">
        <f t="shared" si="245"/>
        <v>41.357730030537972</v>
      </c>
      <c r="AO487" s="4">
        <f t="shared" si="246"/>
        <v>3.9022162243438352E-2</v>
      </c>
      <c r="AP487" s="4">
        <f>Alternatives!$F$25+Alternatives!$F$26*J487+Alternatives!$F$27*K487+Alternatives!$F$28*G487+Alternatives!$F$29*O487</f>
        <v>3.5420581717503876</v>
      </c>
      <c r="AQ487" s="4">
        <f t="shared" si="247"/>
        <v>0.21922333597959032</v>
      </c>
    </row>
    <row r="488" spans="1:43" x14ac:dyDescent="0.35">
      <c r="A488" s="2" t="s">
        <v>402</v>
      </c>
      <c r="B488" s="2" t="s">
        <v>387</v>
      </c>
      <c r="C488" s="2" t="s">
        <v>67</v>
      </c>
      <c r="D488" s="2">
        <v>44.243699999999997</v>
      </c>
      <c r="E488" s="2">
        <v>3000</v>
      </c>
      <c r="F488" s="2">
        <v>147</v>
      </c>
      <c r="G488" s="2">
        <v>45.7</v>
      </c>
      <c r="H488" s="2" t="s">
        <v>68</v>
      </c>
      <c r="I488" s="4">
        <f t="shared" si="217"/>
        <v>3.7897129884366016</v>
      </c>
      <c r="J488" s="4">
        <f t="shared" si="218"/>
        <v>8.0063675676502459</v>
      </c>
      <c r="K488" s="4">
        <f t="shared" si="219"/>
        <v>4.990432586778736</v>
      </c>
      <c r="L488" s="2">
        <v>0</v>
      </c>
      <c r="M488" s="2">
        <v>0</v>
      </c>
      <c r="N488" s="4">
        <f t="shared" si="220"/>
        <v>45.7</v>
      </c>
      <c r="O488" s="4">
        <f t="shared" si="221"/>
        <v>0</v>
      </c>
      <c r="P488" s="4">
        <f t="shared" si="222"/>
        <v>0</v>
      </c>
      <c r="Q488" s="4">
        <f t="shared" si="223"/>
        <v>8.0063675676502459</v>
      </c>
      <c r="R488" s="4">
        <f t="shared" si="224"/>
        <v>4.990432586778736</v>
      </c>
      <c r="S488" s="4">
        <f t="shared" si="225"/>
        <v>45.7</v>
      </c>
      <c r="T488" s="4">
        <f t="shared" si="226"/>
        <v>0</v>
      </c>
      <c r="U488" s="4">
        <f t="shared" si="227"/>
        <v>8.0063675676502459</v>
      </c>
      <c r="V488" s="4">
        <f t="shared" si="228"/>
        <v>4.990432586778736</v>
      </c>
      <c r="W488" s="4">
        <f t="shared" si="229"/>
        <v>45.7</v>
      </c>
      <c r="X488" s="4">
        <f t="shared" si="230"/>
        <v>0</v>
      </c>
      <c r="Y488" s="4">
        <f t="shared" si="231"/>
        <v>8.0063675676502459</v>
      </c>
      <c r="Z488" s="4">
        <f t="shared" si="232"/>
        <v>4.990432586778736</v>
      </c>
      <c r="AA488" s="4">
        <f t="shared" si="233"/>
        <v>45.7</v>
      </c>
      <c r="AB488" s="4">
        <f t="shared" si="234"/>
        <v>0</v>
      </c>
      <c r="AC488" s="4">
        <f t="shared" si="235"/>
        <v>0</v>
      </c>
      <c r="AD488" s="4">
        <f t="shared" si="236"/>
        <v>0</v>
      </c>
      <c r="AE488" s="4">
        <f t="shared" si="237"/>
        <v>0</v>
      </c>
      <c r="AF488" s="4">
        <f t="shared" si="238"/>
        <v>0</v>
      </c>
      <c r="AG488" s="4">
        <f t="shared" si="239"/>
        <v>8.0063675676502459</v>
      </c>
      <c r="AH488" s="4">
        <f t="shared" si="240"/>
        <v>0</v>
      </c>
      <c r="AI488" s="4">
        <f t="shared" si="241"/>
        <v>0</v>
      </c>
      <c r="AJ488" s="4">
        <f t="shared" si="242"/>
        <v>8.0063675676502459</v>
      </c>
      <c r="AK488" s="4">
        <f t="shared" si="243"/>
        <v>4.990432586778736</v>
      </c>
      <c r="AL488" s="4">
        <f t="shared" si="244"/>
        <v>0</v>
      </c>
      <c r="AM488" s="4">
        <f>CER!$C$7+CER!$C$8*J488+CER!$C$9*K488+CER!$C$10*L488+CER!$C$11*M488</f>
        <v>3.7920447640407828</v>
      </c>
      <c r="AN488" s="4">
        <f t="shared" si="245"/>
        <v>44.346986754266588</v>
      </c>
      <c r="AO488" s="4">
        <f t="shared" si="246"/>
        <v>-2.3317756041811855E-3</v>
      </c>
      <c r="AP488" s="4">
        <f>Alternatives!$F$25+Alternatives!$F$26*J488+Alternatives!$F$27*K488+Alternatives!$F$28*G488+Alternatives!$F$29*O488</f>
        <v>3.4850091666326377</v>
      </c>
      <c r="AQ488" s="4">
        <f t="shared" si="247"/>
        <v>0.30470382180396394</v>
      </c>
    </row>
    <row r="489" spans="1:43" x14ac:dyDescent="0.35">
      <c r="A489" s="2" t="s">
        <v>403</v>
      </c>
      <c r="B489" s="2" t="s">
        <v>387</v>
      </c>
      <c r="C489" s="2" t="s">
        <v>33</v>
      </c>
      <c r="D489" s="2">
        <v>46.9788</v>
      </c>
      <c r="E489" s="2">
        <v>4500</v>
      </c>
      <c r="F489" s="2">
        <v>177</v>
      </c>
      <c r="G489" s="2">
        <v>48.1</v>
      </c>
      <c r="H489" s="2" t="s">
        <v>68</v>
      </c>
      <c r="I489" s="4">
        <f t="shared" si="217"/>
        <v>3.8496964361203809</v>
      </c>
      <c r="J489" s="4">
        <f t="shared" si="218"/>
        <v>8.4118326757584114</v>
      </c>
      <c r="K489" s="4">
        <f t="shared" si="219"/>
        <v>5.1761497325738288</v>
      </c>
      <c r="L489" s="2">
        <v>1</v>
      </c>
      <c r="M489" s="2">
        <v>0</v>
      </c>
      <c r="N489" s="4">
        <f t="shared" si="220"/>
        <v>48.1</v>
      </c>
      <c r="O489" s="4">
        <f t="shared" si="221"/>
        <v>1</v>
      </c>
      <c r="P489" s="4">
        <f t="shared" si="222"/>
        <v>1</v>
      </c>
      <c r="Q489" s="4">
        <f t="shared" si="223"/>
        <v>8.4118326757584114</v>
      </c>
      <c r="R489" s="4">
        <f t="shared" si="224"/>
        <v>5.1761497325738288</v>
      </c>
      <c r="S489" s="4">
        <f t="shared" si="225"/>
        <v>48.1</v>
      </c>
      <c r="T489" s="4">
        <f t="shared" si="226"/>
        <v>1</v>
      </c>
      <c r="U489" s="4">
        <f t="shared" si="227"/>
        <v>8.4118326757584114</v>
      </c>
      <c r="V489" s="4">
        <f t="shared" si="228"/>
        <v>5.1761497325738288</v>
      </c>
      <c r="W489" s="4">
        <f t="shared" si="229"/>
        <v>48.1</v>
      </c>
      <c r="X489" s="4">
        <f t="shared" si="230"/>
        <v>1</v>
      </c>
      <c r="Y489" s="4">
        <f t="shared" si="231"/>
        <v>8.4118326757584114</v>
      </c>
      <c r="Z489" s="4">
        <f t="shared" si="232"/>
        <v>5.1761497325738288</v>
      </c>
      <c r="AA489" s="4">
        <f t="shared" si="233"/>
        <v>48.1</v>
      </c>
      <c r="AB489" s="4">
        <f t="shared" si="234"/>
        <v>1</v>
      </c>
      <c r="AC489" s="4">
        <f t="shared" si="235"/>
        <v>0</v>
      </c>
      <c r="AD489" s="4">
        <f t="shared" si="236"/>
        <v>0</v>
      </c>
      <c r="AE489" s="4">
        <f t="shared" si="237"/>
        <v>0</v>
      </c>
      <c r="AF489" s="4">
        <f t="shared" si="238"/>
        <v>0</v>
      </c>
      <c r="AG489" s="4">
        <f t="shared" si="239"/>
        <v>8.4118326757584114</v>
      </c>
      <c r="AH489" s="4">
        <f t="shared" si="240"/>
        <v>1</v>
      </c>
      <c r="AI489" s="4">
        <f t="shared" si="241"/>
        <v>0</v>
      </c>
      <c r="AJ489" s="4">
        <f t="shared" si="242"/>
        <v>8.4118326757584114</v>
      </c>
      <c r="AK489" s="4">
        <f t="shared" si="243"/>
        <v>5.1761497325738288</v>
      </c>
      <c r="AL489" s="4">
        <f t="shared" si="244"/>
        <v>0</v>
      </c>
      <c r="AM489" s="4">
        <f>CER!$C$7+CER!$C$8*J489+CER!$C$9*K489+CER!$C$10*L489+CER!$C$11*M489</f>
        <v>3.7637214083810822</v>
      </c>
      <c r="AN489" s="4">
        <f t="shared" si="245"/>
        <v>43.108552374212145</v>
      </c>
      <c r="AO489" s="4">
        <f t="shared" si="246"/>
        <v>8.5975027739298771E-2</v>
      </c>
      <c r="AP489" s="4">
        <f>Alternatives!$F$25+Alternatives!$F$26*J489+Alternatives!$F$27*K489+Alternatives!$F$28*G489+Alternatives!$F$29*O489</f>
        <v>4.3991673080492282</v>
      </c>
      <c r="AQ489" s="4">
        <f t="shared" si="247"/>
        <v>-0.54947087192884725</v>
      </c>
    </row>
    <row r="490" spans="1:43" x14ac:dyDescent="0.35">
      <c r="A490" s="2" t="s">
        <v>404</v>
      </c>
      <c r="B490" s="2" t="s">
        <v>387</v>
      </c>
      <c r="C490" s="2" t="s">
        <v>33</v>
      </c>
      <c r="D490" s="2">
        <v>50.176699999999997</v>
      </c>
      <c r="E490" s="2">
        <v>4000</v>
      </c>
      <c r="F490" s="2">
        <v>177</v>
      </c>
      <c r="G490" s="2">
        <v>48.2</v>
      </c>
      <c r="H490" s="2" t="s">
        <v>68</v>
      </c>
      <c r="I490" s="4">
        <f t="shared" si="217"/>
        <v>3.9155507755234868</v>
      </c>
      <c r="J490" s="4">
        <f t="shared" si="218"/>
        <v>8.2940496401020276</v>
      </c>
      <c r="K490" s="4">
        <f t="shared" si="219"/>
        <v>5.1761497325738288</v>
      </c>
      <c r="L490" s="2">
        <v>1</v>
      </c>
      <c r="M490" s="2">
        <v>0</v>
      </c>
      <c r="N490" s="4">
        <f t="shared" si="220"/>
        <v>48.2</v>
      </c>
      <c r="O490" s="4">
        <f t="shared" si="221"/>
        <v>1</v>
      </c>
      <c r="P490" s="4">
        <f t="shared" si="222"/>
        <v>1</v>
      </c>
      <c r="Q490" s="4">
        <f t="shared" si="223"/>
        <v>8.2940496401020276</v>
      </c>
      <c r="R490" s="4">
        <f t="shared" si="224"/>
        <v>5.1761497325738288</v>
      </c>
      <c r="S490" s="4">
        <f t="shared" si="225"/>
        <v>48.2</v>
      </c>
      <c r="T490" s="4">
        <f t="shared" si="226"/>
        <v>1</v>
      </c>
      <c r="U490" s="4">
        <f t="shared" si="227"/>
        <v>8.2940496401020276</v>
      </c>
      <c r="V490" s="4">
        <f t="shared" si="228"/>
        <v>5.1761497325738288</v>
      </c>
      <c r="W490" s="4">
        <f t="shared" si="229"/>
        <v>48.2</v>
      </c>
      <c r="X490" s="4">
        <f t="shared" si="230"/>
        <v>1</v>
      </c>
      <c r="Y490" s="4">
        <f t="shared" si="231"/>
        <v>8.2940496401020276</v>
      </c>
      <c r="Z490" s="4">
        <f t="shared" si="232"/>
        <v>5.1761497325738288</v>
      </c>
      <c r="AA490" s="4">
        <f t="shared" si="233"/>
        <v>48.2</v>
      </c>
      <c r="AB490" s="4">
        <f t="shared" si="234"/>
        <v>1</v>
      </c>
      <c r="AC490" s="4">
        <f t="shared" si="235"/>
        <v>0</v>
      </c>
      <c r="AD490" s="4">
        <f t="shared" si="236"/>
        <v>0</v>
      </c>
      <c r="AE490" s="4">
        <f t="shared" si="237"/>
        <v>0</v>
      </c>
      <c r="AF490" s="4">
        <f t="shared" si="238"/>
        <v>0</v>
      </c>
      <c r="AG490" s="4">
        <f t="shared" si="239"/>
        <v>8.2940496401020276</v>
      </c>
      <c r="AH490" s="4">
        <f t="shared" si="240"/>
        <v>1</v>
      </c>
      <c r="AI490" s="4">
        <f t="shared" si="241"/>
        <v>0</v>
      </c>
      <c r="AJ490" s="4">
        <f t="shared" si="242"/>
        <v>8.2940496401020276</v>
      </c>
      <c r="AK490" s="4">
        <f t="shared" si="243"/>
        <v>5.1761497325738288</v>
      </c>
      <c r="AL490" s="4">
        <f t="shared" si="244"/>
        <v>0</v>
      </c>
      <c r="AM490" s="4">
        <f>CER!$C$7+CER!$C$8*J490+CER!$C$9*K490+CER!$C$10*L490+CER!$C$11*M490</f>
        <v>3.817042862759882</v>
      </c>
      <c r="AN490" s="4">
        <f t="shared" si="245"/>
        <v>45.469549618377656</v>
      </c>
      <c r="AO490" s="4">
        <f t="shared" si="246"/>
        <v>9.8507912763604821E-2</v>
      </c>
      <c r="AP490" s="4">
        <f>Alternatives!$F$25+Alternatives!$F$26*J490+Alternatives!$F$27*K490+Alternatives!$F$28*G490+Alternatives!$F$29*O490</f>
        <v>4.3542767266412135</v>
      </c>
      <c r="AQ490" s="4">
        <f t="shared" si="247"/>
        <v>-0.43872595111772661</v>
      </c>
    </row>
    <row r="491" spans="1:43" x14ac:dyDescent="0.35">
      <c r="A491" s="2" t="s">
        <v>405</v>
      </c>
      <c r="B491" s="2" t="s">
        <v>387</v>
      </c>
      <c r="C491" s="2" t="s">
        <v>33</v>
      </c>
      <c r="D491" s="2">
        <v>49.448300000000003</v>
      </c>
      <c r="E491" s="2">
        <v>4000</v>
      </c>
      <c r="F491" s="2">
        <v>177</v>
      </c>
      <c r="G491" s="2">
        <v>48.1</v>
      </c>
      <c r="H491" s="2" t="s">
        <v>68</v>
      </c>
      <c r="I491" s="4">
        <f t="shared" si="217"/>
        <v>3.9009276793180212</v>
      </c>
      <c r="J491" s="4">
        <f t="shared" si="218"/>
        <v>8.2940496401020276</v>
      </c>
      <c r="K491" s="4">
        <f t="shared" si="219"/>
        <v>5.1761497325738288</v>
      </c>
      <c r="L491" s="2">
        <v>1</v>
      </c>
      <c r="M491" s="2">
        <v>0</v>
      </c>
      <c r="N491" s="4">
        <f t="shared" si="220"/>
        <v>48.1</v>
      </c>
      <c r="O491" s="4">
        <f t="shared" si="221"/>
        <v>1</v>
      </c>
      <c r="P491" s="4">
        <f t="shared" si="222"/>
        <v>1</v>
      </c>
      <c r="Q491" s="4">
        <f t="shared" si="223"/>
        <v>8.2940496401020276</v>
      </c>
      <c r="R491" s="4">
        <f t="shared" si="224"/>
        <v>5.1761497325738288</v>
      </c>
      <c r="S491" s="4">
        <f t="shared" si="225"/>
        <v>48.1</v>
      </c>
      <c r="T491" s="4">
        <f t="shared" si="226"/>
        <v>1</v>
      </c>
      <c r="U491" s="4">
        <f t="shared" si="227"/>
        <v>8.2940496401020276</v>
      </c>
      <c r="V491" s="4">
        <f t="shared" si="228"/>
        <v>5.1761497325738288</v>
      </c>
      <c r="W491" s="4">
        <f t="shared" si="229"/>
        <v>48.1</v>
      </c>
      <c r="X491" s="4">
        <f t="shared" si="230"/>
        <v>1</v>
      </c>
      <c r="Y491" s="4">
        <f t="shared" si="231"/>
        <v>8.2940496401020276</v>
      </c>
      <c r="Z491" s="4">
        <f t="shared" si="232"/>
        <v>5.1761497325738288</v>
      </c>
      <c r="AA491" s="4">
        <f t="shared" si="233"/>
        <v>48.1</v>
      </c>
      <c r="AB491" s="4">
        <f t="shared" si="234"/>
        <v>1</v>
      </c>
      <c r="AC491" s="4">
        <f t="shared" si="235"/>
        <v>0</v>
      </c>
      <c r="AD491" s="4">
        <f t="shared" si="236"/>
        <v>0</v>
      </c>
      <c r="AE491" s="4">
        <f t="shared" si="237"/>
        <v>0</v>
      </c>
      <c r="AF491" s="4">
        <f t="shared" si="238"/>
        <v>0</v>
      </c>
      <c r="AG491" s="4">
        <f t="shared" si="239"/>
        <v>8.2940496401020276</v>
      </c>
      <c r="AH491" s="4">
        <f t="shared" si="240"/>
        <v>1</v>
      </c>
      <c r="AI491" s="4">
        <f t="shared" si="241"/>
        <v>0</v>
      </c>
      <c r="AJ491" s="4">
        <f t="shared" si="242"/>
        <v>8.2940496401020276</v>
      </c>
      <c r="AK491" s="4">
        <f t="shared" si="243"/>
        <v>5.1761497325738288</v>
      </c>
      <c r="AL491" s="4">
        <f t="shared" si="244"/>
        <v>0</v>
      </c>
      <c r="AM491" s="4">
        <f>CER!$C$7+CER!$C$8*J491+CER!$C$9*K491+CER!$C$10*L491+CER!$C$11*M491</f>
        <v>3.817042862759882</v>
      </c>
      <c r="AN491" s="4">
        <f t="shared" si="245"/>
        <v>45.469549618377656</v>
      </c>
      <c r="AO491" s="4">
        <f t="shared" si="246"/>
        <v>8.3884816558139175E-2</v>
      </c>
      <c r="AP491" s="4">
        <f>Alternatives!$F$25+Alternatives!$F$26*J491+Alternatives!$F$27*K491+Alternatives!$F$28*G491+Alternatives!$F$29*O491</f>
        <v>4.3555774580954365</v>
      </c>
      <c r="AQ491" s="4">
        <f t="shared" si="247"/>
        <v>-0.4546497787774153</v>
      </c>
    </row>
    <row r="492" spans="1:43" x14ac:dyDescent="0.35">
      <c r="A492" s="2" t="s">
        <v>406</v>
      </c>
      <c r="B492" s="2" t="s">
        <v>387</v>
      </c>
      <c r="C492" s="2" t="s">
        <v>67</v>
      </c>
      <c r="D492" s="2">
        <v>39.494500000000002</v>
      </c>
      <c r="E492" s="2">
        <v>3500</v>
      </c>
      <c r="F492" s="2">
        <v>191</v>
      </c>
      <c r="G492" s="2">
        <v>49.4</v>
      </c>
      <c r="H492" s="2" t="s">
        <v>68</v>
      </c>
      <c r="I492" s="4">
        <f t="shared" si="217"/>
        <v>3.676161421705888</v>
      </c>
      <c r="J492" s="4">
        <f t="shared" si="218"/>
        <v>8.1605182474775049</v>
      </c>
      <c r="K492" s="4">
        <f t="shared" si="219"/>
        <v>5.2522734280466299</v>
      </c>
      <c r="L492" s="2">
        <v>0</v>
      </c>
      <c r="M492" s="2">
        <v>0</v>
      </c>
      <c r="N492" s="4">
        <f t="shared" si="220"/>
        <v>49.4</v>
      </c>
      <c r="O492" s="4">
        <f t="shared" si="221"/>
        <v>0</v>
      </c>
      <c r="P492" s="4">
        <f t="shared" si="222"/>
        <v>0</v>
      </c>
      <c r="Q492" s="4">
        <f t="shared" si="223"/>
        <v>8.1605182474775049</v>
      </c>
      <c r="R492" s="4">
        <f t="shared" si="224"/>
        <v>5.2522734280466299</v>
      </c>
      <c r="S492" s="4">
        <f t="shared" si="225"/>
        <v>49.4</v>
      </c>
      <c r="T492" s="4">
        <f t="shared" si="226"/>
        <v>0</v>
      </c>
      <c r="U492" s="4">
        <f t="shared" si="227"/>
        <v>8.1605182474775049</v>
      </c>
      <c r="V492" s="4">
        <f t="shared" si="228"/>
        <v>5.2522734280466299</v>
      </c>
      <c r="W492" s="4">
        <f t="shared" si="229"/>
        <v>49.4</v>
      </c>
      <c r="X492" s="4">
        <f t="shared" si="230"/>
        <v>0</v>
      </c>
      <c r="Y492" s="4">
        <f t="shared" si="231"/>
        <v>8.1605182474775049</v>
      </c>
      <c r="Z492" s="4">
        <f t="shared" si="232"/>
        <v>5.2522734280466299</v>
      </c>
      <c r="AA492" s="4">
        <f t="shared" si="233"/>
        <v>49.4</v>
      </c>
      <c r="AB492" s="4">
        <f t="shared" si="234"/>
        <v>0</v>
      </c>
      <c r="AC492" s="4">
        <f t="shared" si="235"/>
        <v>0</v>
      </c>
      <c r="AD492" s="4">
        <f t="shared" si="236"/>
        <v>0</v>
      </c>
      <c r="AE492" s="4">
        <f t="shared" si="237"/>
        <v>0</v>
      </c>
      <c r="AF492" s="4">
        <f t="shared" si="238"/>
        <v>0</v>
      </c>
      <c r="AG492" s="4">
        <f t="shared" si="239"/>
        <v>8.1605182474775049</v>
      </c>
      <c r="AH492" s="4">
        <f t="shared" si="240"/>
        <v>0</v>
      </c>
      <c r="AI492" s="4">
        <f t="shared" si="241"/>
        <v>0</v>
      </c>
      <c r="AJ492" s="4">
        <f t="shared" si="242"/>
        <v>8.1605182474775049</v>
      </c>
      <c r="AK492" s="4">
        <f t="shared" si="243"/>
        <v>5.2522734280466299</v>
      </c>
      <c r="AL492" s="4">
        <f t="shared" si="244"/>
        <v>0</v>
      </c>
      <c r="AM492" s="4">
        <f>CER!$C$7+CER!$C$8*J492+CER!$C$9*K492+CER!$C$10*L492+CER!$C$11*M492</f>
        <v>3.6256548130669999</v>
      </c>
      <c r="AN492" s="4">
        <f t="shared" si="245"/>
        <v>37.549302885345988</v>
      </c>
      <c r="AO492" s="4">
        <f t="shared" si="246"/>
        <v>5.0506608638888117E-2</v>
      </c>
      <c r="AP492" s="4">
        <f>Alternatives!$F$25+Alternatives!$F$26*J492+Alternatives!$F$27*K492+Alternatives!$F$28*G492+Alternatives!$F$29*O492</f>
        <v>3.424252650076884</v>
      </c>
      <c r="AQ492" s="4">
        <f t="shared" si="247"/>
        <v>0.25190877162900405</v>
      </c>
    </row>
    <row r="493" spans="1:43" x14ac:dyDescent="0.35">
      <c r="A493" s="2" t="s">
        <v>406</v>
      </c>
      <c r="B493" s="2" t="s">
        <v>387</v>
      </c>
      <c r="C493" s="2" t="s">
        <v>67</v>
      </c>
      <c r="D493" s="2">
        <v>34.552300000000002</v>
      </c>
      <c r="E493" s="2">
        <v>4000</v>
      </c>
      <c r="F493" s="2">
        <v>290</v>
      </c>
      <c r="G493" s="2">
        <v>49.4</v>
      </c>
      <c r="H493" s="2" t="s">
        <v>68</v>
      </c>
      <c r="I493" s="4">
        <f t="shared" si="217"/>
        <v>3.5424741181861155</v>
      </c>
      <c r="J493" s="4">
        <f t="shared" si="218"/>
        <v>8.2940496401020276</v>
      </c>
      <c r="K493" s="4">
        <f t="shared" si="219"/>
        <v>5.6698809229805196</v>
      </c>
      <c r="L493" s="2">
        <v>0</v>
      </c>
      <c r="M493" s="2">
        <v>0</v>
      </c>
      <c r="N493" s="4">
        <f t="shared" si="220"/>
        <v>49.4</v>
      </c>
      <c r="O493" s="4">
        <f t="shared" si="221"/>
        <v>0</v>
      </c>
      <c r="P493" s="4">
        <f t="shared" si="222"/>
        <v>0</v>
      </c>
      <c r="Q493" s="4">
        <f t="shared" si="223"/>
        <v>8.2940496401020276</v>
      </c>
      <c r="R493" s="4">
        <f t="shared" si="224"/>
        <v>5.6698809229805196</v>
      </c>
      <c r="S493" s="4">
        <f t="shared" si="225"/>
        <v>49.4</v>
      </c>
      <c r="T493" s="4">
        <f t="shared" si="226"/>
        <v>0</v>
      </c>
      <c r="U493" s="4">
        <f t="shared" si="227"/>
        <v>8.2940496401020276</v>
      </c>
      <c r="V493" s="4">
        <f t="shared" si="228"/>
        <v>5.6698809229805196</v>
      </c>
      <c r="W493" s="4">
        <f t="shared" si="229"/>
        <v>49.4</v>
      </c>
      <c r="X493" s="4">
        <f t="shared" si="230"/>
        <v>0</v>
      </c>
      <c r="Y493" s="4">
        <f t="shared" si="231"/>
        <v>8.2940496401020276</v>
      </c>
      <c r="Z493" s="4">
        <f t="shared" si="232"/>
        <v>5.6698809229805196</v>
      </c>
      <c r="AA493" s="4">
        <f t="shared" si="233"/>
        <v>49.4</v>
      </c>
      <c r="AB493" s="4">
        <f t="shared" si="234"/>
        <v>0</v>
      </c>
      <c r="AC493" s="4">
        <f t="shared" si="235"/>
        <v>0</v>
      </c>
      <c r="AD493" s="4">
        <f t="shared" si="236"/>
        <v>0</v>
      </c>
      <c r="AE493" s="4">
        <f t="shared" si="237"/>
        <v>0</v>
      </c>
      <c r="AF493" s="4">
        <f t="shared" si="238"/>
        <v>0</v>
      </c>
      <c r="AG493" s="4">
        <f t="shared" si="239"/>
        <v>8.2940496401020276</v>
      </c>
      <c r="AH493" s="4">
        <f t="shared" si="240"/>
        <v>0</v>
      </c>
      <c r="AI493" s="4">
        <f t="shared" si="241"/>
        <v>0</v>
      </c>
      <c r="AJ493" s="4">
        <f t="shared" si="242"/>
        <v>8.2940496401020276</v>
      </c>
      <c r="AK493" s="4">
        <f t="shared" si="243"/>
        <v>5.6698809229805196</v>
      </c>
      <c r="AL493" s="4">
        <f t="shared" si="244"/>
        <v>0</v>
      </c>
      <c r="AM493" s="4">
        <f>CER!$C$7+CER!$C$8*J493+CER!$C$9*K493+CER!$C$10*L493+CER!$C$11*M493</f>
        <v>3.4111302737498415</v>
      </c>
      <c r="AN493" s="4">
        <f t="shared" si="245"/>
        <v>30.299471610013143</v>
      </c>
      <c r="AO493" s="4">
        <f t="shared" si="246"/>
        <v>0.131343844436274</v>
      </c>
      <c r="AP493" s="4">
        <f>Alternatives!$F$25+Alternatives!$F$26*J493+Alternatives!$F$27*K493+Alternatives!$F$28*G493+Alternatives!$F$29*O493</f>
        <v>3.3625412290468804</v>
      </c>
      <c r="AQ493" s="4">
        <f t="shared" si="247"/>
        <v>0.17993288913923511</v>
      </c>
    </row>
    <row r="494" spans="1:43" x14ac:dyDescent="0.35">
      <c r="A494" s="2" t="s">
        <v>407</v>
      </c>
      <c r="B494" s="2" t="s">
        <v>387</v>
      </c>
      <c r="C494" s="2" t="s">
        <v>67</v>
      </c>
      <c r="D494" s="2">
        <v>37.950800000000001</v>
      </c>
      <c r="E494" s="2">
        <v>3500</v>
      </c>
      <c r="F494" s="2">
        <v>191</v>
      </c>
      <c r="G494" s="2">
        <v>49.7</v>
      </c>
      <c r="H494" s="2" t="s">
        <v>68</v>
      </c>
      <c r="I494" s="4">
        <f t="shared" si="217"/>
        <v>3.6362905839883575</v>
      </c>
      <c r="J494" s="4">
        <f t="shared" si="218"/>
        <v>8.1605182474775049</v>
      </c>
      <c r="K494" s="4">
        <f t="shared" si="219"/>
        <v>5.2522734280466299</v>
      </c>
      <c r="L494" s="2">
        <v>0</v>
      </c>
      <c r="M494" s="2">
        <v>0</v>
      </c>
      <c r="N494" s="4">
        <f t="shared" si="220"/>
        <v>49.7</v>
      </c>
      <c r="O494" s="4">
        <f t="shared" si="221"/>
        <v>0</v>
      </c>
      <c r="P494" s="4">
        <f t="shared" si="222"/>
        <v>0</v>
      </c>
      <c r="Q494" s="4">
        <f t="shared" si="223"/>
        <v>8.1605182474775049</v>
      </c>
      <c r="R494" s="4">
        <f t="shared" si="224"/>
        <v>5.2522734280466299</v>
      </c>
      <c r="S494" s="4">
        <f t="shared" si="225"/>
        <v>49.7</v>
      </c>
      <c r="T494" s="4">
        <f t="shared" si="226"/>
        <v>0</v>
      </c>
      <c r="U494" s="4">
        <f t="shared" si="227"/>
        <v>8.1605182474775049</v>
      </c>
      <c r="V494" s="4">
        <f t="shared" si="228"/>
        <v>5.2522734280466299</v>
      </c>
      <c r="W494" s="4">
        <f t="shared" si="229"/>
        <v>49.7</v>
      </c>
      <c r="X494" s="4">
        <f t="shared" si="230"/>
        <v>0</v>
      </c>
      <c r="Y494" s="4">
        <f t="shared" si="231"/>
        <v>8.1605182474775049</v>
      </c>
      <c r="Z494" s="4">
        <f t="shared" si="232"/>
        <v>5.2522734280466299</v>
      </c>
      <c r="AA494" s="4">
        <f t="shared" si="233"/>
        <v>49.7</v>
      </c>
      <c r="AB494" s="4">
        <f t="shared" si="234"/>
        <v>0</v>
      </c>
      <c r="AC494" s="4">
        <f t="shared" si="235"/>
        <v>0</v>
      </c>
      <c r="AD494" s="4">
        <f t="shared" si="236"/>
        <v>0</v>
      </c>
      <c r="AE494" s="4">
        <f t="shared" si="237"/>
        <v>0</v>
      </c>
      <c r="AF494" s="4">
        <f t="shared" si="238"/>
        <v>0</v>
      </c>
      <c r="AG494" s="4">
        <f t="shared" si="239"/>
        <v>8.1605182474775049</v>
      </c>
      <c r="AH494" s="4">
        <f t="shared" si="240"/>
        <v>0</v>
      </c>
      <c r="AI494" s="4">
        <f t="shared" si="241"/>
        <v>0</v>
      </c>
      <c r="AJ494" s="4">
        <f t="shared" si="242"/>
        <v>8.1605182474775049</v>
      </c>
      <c r="AK494" s="4">
        <f t="shared" si="243"/>
        <v>5.2522734280466299</v>
      </c>
      <c r="AL494" s="4">
        <f t="shared" si="244"/>
        <v>0</v>
      </c>
      <c r="AM494" s="4">
        <f>CER!$C$7+CER!$C$8*J494+CER!$C$9*K494+CER!$C$10*L494+CER!$C$11*M494</f>
        <v>3.6256548130669999</v>
      </c>
      <c r="AN494" s="4">
        <f t="shared" si="245"/>
        <v>37.549302885345988</v>
      </c>
      <c r="AO494" s="4">
        <f t="shared" si="246"/>
        <v>1.063577092135759E-2</v>
      </c>
      <c r="AP494" s="4">
        <f>Alternatives!$F$25+Alternatives!$F$26*J494+Alternatives!$F$27*K494+Alternatives!$F$28*G494+Alternatives!$F$29*O494</f>
        <v>3.4203504557142153</v>
      </c>
      <c r="AQ494" s="4">
        <f t="shared" si="247"/>
        <v>0.21594012827414222</v>
      </c>
    </row>
    <row r="495" spans="1:43" x14ac:dyDescent="0.35">
      <c r="A495" s="2" t="s">
        <v>408</v>
      </c>
      <c r="B495" s="2" t="s">
        <v>387</v>
      </c>
      <c r="C495" s="2" t="s">
        <v>67</v>
      </c>
      <c r="D495" s="2">
        <v>42.167700000000004</v>
      </c>
      <c r="E495" s="2">
        <v>3000</v>
      </c>
      <c r="F495" s="2">
        <v>121</v>
      </c>
      <c r="G495" s="2">
        <v>41.7</v>
      </c>
      <c r="H495" s="2" t="s">
        <v>68</v>
      </c>
      <c r="I495" s="4">
        <f t="shared" si="217"/>
        <v>3.7416545251280535</v>
      </c>
      <c r="J495" s="4">
        <f t="shared" si="218"/>
        <v>8.0063675676502459</v>
      </c>
      <c r="K495" s="4">
        <f t="shared" si="219"/>
        <v>4.7957905455967413</v>
      </c>
      <c r="L495" s="2">
        <v>0</v>
      </c>
      <c r="M495" s="2">
        <v>0</v>
      </c>
      <c r="N495" s="4">
        <f t="shared" si="220"/>
        <v>41.7</v>
      </c>
      <c r="O495" s="4">
        <f t="shared" si="221"/>
        <v>0</v>
      </c>
      <c r="P495" s="4">
        <f t="shared" si="222"/>
        <v>0</v>
      </c>
      <c r="Q495" s="4">
        <f t="shared" si="223"/>
        <v>8.0063675676502459</v>
      </c>
      <c r="R495" s="4">
        <f t="shared" si="224"/>
        <v>4.7957905455967413</v>
      </c>
      <c r="S495" s="4">
        <f t="shared" si="225"/>
        <v>41.7</v>
      </c>
      <c r="T495" s="4">
        <f t="shared" si="226"/>
        <v>0</v>
      </c>
      <c r="U495" s="4">
        <f t="shared" si="227"/>
        <v>8.0063675676502459</v>
      </c>
      <c r="V495" s="4">
        <f t="shared" si="228"/>
        <v>4.7957905455967413</v>
      </c>
      <c r="W495" s="4">
        <f t="shared" si="229"/>
        <v>41.7</v>
      </c>
      <c r="X495" s="4">
        <f t="shared" si="230"/>
        <v>0</v>
      </c>
      <c r="Y495" s="4">
        <f t="shared" si="231"/>
        <v>8.0063675676502459</v>
      </c>
      <c r="Z495" s="4">
        <f t="shared" si="232"/>
        <v>4.7957905455967413</v>
      </c>
      <c r="AA495" s="4">
        <f t="shared" si="233"/>
        <v>41.7</v>
      </c>
      <c r="AB495" s="4">
        <f t="shared" si="234"/>
        <v>0</v>
      </c>
      <c r="AC495" s="4">
        <f t="shared" si="235"/>
        <v>0</v>
      </c>
      <c r="AD495" s="4">
        <f t="shared" si="236"/>
        <v>0</v>
      </c>
      <c r="AE495" s="4">
        <f t="shared" si="237"/>
        <v>0</v>
      </c>
      <c r="AF495" s="4">
        <f t="shared" si="238"/>
        <v>0</v>
      </c>
      <c r="AG495" s="4">
        <f t="shared" si="239"/>
        <v>8.0063675676502459</v>
      </c>
      <c r="AH495" s="4">
        <f t="shared" si="240"/>
        <v>0</v>
      </c>
      <c r="AI495" s="4">
        <f t="shared" si="241"/>
        <v>0</v>
      </c>
      <c r="AJ495" s="4">
        <f t="shared" si="242"/>
        <v>8.0063675676502459</v>
      </c>
      <c r="AK495" s="4">
        <f t="shared" si="243"/>
        <v>4.7957905455967413</v>
      </c>
      <c r="AL495" s="4">
        <f t="shared" si="244"/>
        <v>0</v>
      </c>
      <c r="AM495" s="4">
        <f>CER!$C$7+CER!$C$8*J495+CER!$C$9*K495+CER!$C$10*L495+CER!$C$11*M495</f>
        <v>3.8638567215891984</v>
      </c>
      <c r="AN495" s="4">
        <f t="shared" si="245"/>
        <v>47.648765475442659</v>
      </c>
      <c r="AO495" s="4">
        <f t="shared" si="246"/>
        <v>-0.12220219646114483</v>
      </c>
      <c r="AP495" s="4">
        <f>Alternatives!$F$25+Alternatives!$F$26*J495+Alternatives!$F$27*K495+Alternatives!$F$28*G495+Alternatives!$F$29*O495</f>
        <v>3.5888346121343786</v>
      </c>
      <c r="AQ495" s="4">
        <f t="shared" si="247"/>
        <v>0.15281991299367492</v>
      </c>
    </row>
    <row r="496" spans="1:43" x14ac:dyDescent="0.35">
      <c r="A496" s="2" t="s">
        <v>409</v>
      </c>
      <c r="B496" s="2" t="s">
        <v>387</v>
      </c>
      <c r="C496" s="2" t="s">
        <v>67</v>
      </c>
      <c r="D496" s="2">
        <v>27.878799999999998</v>
      </c>
      <c r="E496" s="2">
        <v>4500</v>
      </c>
      <c r="F496" s="2">
        <v>291</v>
      </c>
      <c r="G496" s="2">
        <v>53.5</v>
      </c>
      <c r="H496" s="2" t="s">
        <v>68</v>
      </c>
      <c r="I496" s="4">
        <f t="shared" si="217"/>
        <v>3.3278665433591197</v>
      </c>
      <c r="J496" s="4">
        <f t="shared" si="218"/>
        <v>8.4118326757584114</v>
      </c>
      <c r="K496" s="4">
        <f t="shared" si="219"/>
        <v>5.6733232671714928</v>
      </c>
      <c r="L496" s="2">
        <v>0</v>
      </c>
      <c r="M496" s="2">
        <v>0</v>
      </c>
      <c r="N496" s="4">
        <f t="shared" si="220"/>
        <v>53.5</v>
      </c>
      <c r="O496" s="4">
        <f t="shared" si="221"/>
        <v>0</v>
      </c>
      <c r="P496" s="4">
        <f t="shared" si="222"/>
        <v>0</v>
      </c>
      <c r="Q496" s="4">
        <f t="shared" si="223"/>
        <v>8.4118326757584114</v>
      </c>
      <c r="R496" s="4">
        <f t="shared" si="224"/>
        <v>5.6733232671714928</v>
      </c>
      <c r="S496" s="4">
        <f t="shared" si="225"/>
        <v>53.5</v>
      </c>
      <c r="T496" s="4">
        <f t="shared" si="226"/>
        <v>0</v>
      </c>
      <c r="U496" s="4">
        <f t="shared" si="227"/>
        <v>8.4118326757584114</v>
      </c>
      <c r="V496" s="4">
        <f t="shared" si="228"/>
        <v>5.6733232671714928</v>
      </c>
      <c r="W496" s="4">
        <f t="shared" si="229"/>
        <v>53.5</v>
      </c>
      <c r="X496" s="4">
        <f t="shared" si="230"/>
        <v>0</v>
      </c>
      <c r="Y496" s="4">
        <f t="shared" si="231"/>
        <v>8.4118326757584114</v>
      </c>
      <c r="Z496" s="4">
        <f t="shared" si="232"/>
        <v>5.6733232671714928</v>
      </c>
      <c r="AA496" s="4">
        <f t="shared" si="233"/>
        <v>53.5</v>
      </c>
      <c r="AB496" s="4">
        <f t="shared" si="234"/>
        <v>0</v>
      </c>
      <c r="AC496" s="4">
        <f t="shared" si="235"/>
        <v>0</v>
      </c>
      <c r="AD496" s="4">
        <f t="shared" si="236"/>
        <v>0</v>
      </c>
      <c r="AE496" s="4">
        <f t="shared" si="237"/>
        <v>0</v>
      </c>
      <c r="AF496" s="4">
        <f t="shared" si="238"/>
        <v>0</v>
      </c>
      <c r="AG496" s="4">
        <f t="shared" si="239"/>
        <v>8.4118326757584114</v>
      </c>
      <c r="AH496" s="4">
        <f t="shared" si="240"/>
        <v>0</v>
      </c>
      <c r="AI496" s="4">
        <f t="shared" si="241"/>
        <v>0</v>
      </c>
      <c r="AJ496" s="4">
        <f t="shared" si="242"/>
        <v>8.4118326757584114</v>
      </c>
      <c r="AK496" s="4">
        <f t="shared" si="243"/>
        <v>5.6733232671714928</v>
      </c>
      <c r="AL496" s="4">
        <f t="shared" si="244"/>
        <v>0</v>
      </c>
      <c r="AM496" s="4">
        <f>CER!$C$7+CER!$C$8*J496+CER!$C$9*K496+CER!$C$10*L496+CER!$C$11*M496</f>
        <v>3.3565387881208144</v>
      </c>
      <c r="AN496" s="4">
        <f t="shared" si="245"/>
        <v>28.68971763806864</v>
      </c>
      <c r="AO496" s="4">
        <f t="shared" si="246"/>
        <v>-2.8672244761694721E-2</v>
      </c>
      <c r="AP496" s="4">
        <f>Alternatives!$F$25+Alternatives!$F$26*J496+Alternatives!$F$27*K496+Alternatives!$F$28*G496+Alternatives!$F$29*O496</f>
        <v>3.3518850472753412</v>
      </c>
      <c r="AQ496" s="4">
        <f t="shared" si="247"/>
        <v>-2.4018503916221512E-2</v>
      </c>
    </row>
    <row r="497" spans="1:43" x14ac:dyDescent="0.35">
      <c r="A497" s="2" t="s">
        <v>410</v>
      </c>
      <c r="B497" s="2" t="s">
        <v>387</v>
      </c>
      <c r="C497" s="2" t="s">
        <v>67</v>
      </c>
      <c r="D497" s="2">
        <v>28.813500000000001</v>
      </c>
      <c r="E497" s="2">
        <v>4500</v>
      </c>
      <c r="F497" s="2">
        <v>291</v>
      </c>
      <c r="G497" s="2">
        <v>53.5</v>
      </c>
      <c r="H497" s="2" t="s">
        <v>68</v>
      </c>
      <c r="I497" s="4">
        <f t="shared" si="217"/>
        <v>3.3608440273129392</v>
      </c>
      <c r="J497" s="4">
        <f t="shared" si="218"/>
        <v>8.4118326757584114</v>
      </c>
      <c r="K497" s="4">
        <f t="shared" si="219"/>
        <v>5.6733232671714928</v>
      </c>
      <c r="L497" s="2">
        <v>0</v>
      </c>
      <c r="M497" s="2">
        <v>0</v>
      </c>
      <c r="N497" s="4">
        <f t="shared" si="220"/>
        <v>53.5</v>
      </c>
      <c r="O497" s="4">
        <f t="shared" si="221"/>
        <v>0</v>
      </c>
      <c r="P497" s="4">
        <f t="shared" si="222"/>
        <v>0</v>
      </c>
      <c r="Q497" s="4">
        <f t="shared" si="223"/>
        <v>8.4118326757584114</v>
      </c>
      <c r="R497" s="4">
        <f t="shared" si="224"/>
        <v>5.6733232671714928</v>
      </c>
      <c r="S497" s="4">
        <f t="shared" si="225"/>
        <v>53.5</v>
      </c>
      <c r="T497" s="4">
        <f t="shared" si="226"/>
        <v>0</v>
      </c>
      <c r="U497" s="4">
        <f t="shared" si="227"/>
        <v>8.4118326757584114</v>
      </c>
      <c r="V497" s="4">
        <f t="shared" si="228"/>
        <v>5.6733232671714928</v>
      </c>
      <c r="W497" s="4">
        <f t="shared" si="229"/>
        <v>53.5</v>
      </c>
      <c r="X497" s="4">
        <f t="shared" si="230"/>
        <v>0</v>
      </c>
      <c r="Y497" s="4">
        <f t="shared" si="231"/>
        <v>8.4118326757584114</v>
      </c>
      <c r="Z497" s="4">
        <f t="shared" si="232"/>
        <v>5.6733232671714928</v>
      </c>
      <c r="AA497" s="4">
        <f t="shared" si="233"/>
        <v>53.5</v>
      </c>
      <c r="AB497" s="4">
        <f t="shared" si="234"/>
        <v>0</v>
      </c>
      <c r="AC497" s="4">
        <f t="shared" si="235"/>
        <v>0</v>
      </c>
      <c r="AD497" s="4">
        <f t="shared" si="236"/>
        <v>0</v>
      </c>
      <c r="AE497" s="4">
        <f t="shared" si="237"/>
        <v>0</v>
      </c>
      <c r="AF497" s="4">
        <f t="shared" si="238"/>
        <v>0</v>
      </c>
      <c r="AG497" s="4">
        <f t="shared" si="239"/>
        <v>8.4118326757584114</v>
      </c>
      <c r="AH497" s="4">
        <f t="shared" si="240"/>
        <v>0</v>
      </c>
      <c r="AI497" s="4">
        <f t="shared" si="241"/>
        <v>0</v>
      </c>
      <c r="AJ497" s="4">
        <f t="shared" si="242"/>
        <v>8.4118326757584114</v>
      </c>
      <c r="AK497" s="4">
        <f t="shared" si="243"/>
        <v>5.6733232671714928</v>
      </c>
      <c r="AL497" s="4">
        <f t="shared" si="244"/>
        <v>0</v>
      </c>
      <c r="AM497" s="4">
        <f>CER!$C$7+CER!$C$8*J497+CER!$C$9*K497+CER!$C$10*L497+CER!$C$11*M497</f>
        <v>3.3565387881208144</v>
      </c>
      <c r="AN497" s="4">
        <f t="shared" si="245"/>
        <v>28.68971763806864</v>
      </c>
      <c r="AO497" s="4">
        <f t="shared" si="246"/>
        <v>4.3052391921247768E-3</v>
      </c>
      <c r="AP497" s="4">
        <f>Alternatives!$F$25+Alternatives!$F$26*J497+Alternatives!$F$27*K497+Alternatives!$F$28*G497+Alternatives!$F$29*O497</f>
        <v>3.3518850472753412</v>
      </c>
      <c r="AQ497" s="4">
        <f t="shared" si="247"/>
        <v>8.9589800375979856E-3</v>
      </c>
    </row>
    <row r="498" spans="1:43" x14ac:dyDescent="0.35">
      <c r="A498" s="2" t="s">
        <v>411</v>
      </c>
      <c r="B498" s="2" t="s">
        <v>387</v>
      </c>
      <c r="C498" s="2" t="s">
        <v>67</v>
      </c>
      <c r="D498" s="2">
        <v>27.172699999999999</v>
      </c>
      <c r="E498" s="2">
        <v>5000</v>
      </c>
      <c r="F498" s="2">
        <v>375</v>
      </c>
      <c r="G498" s="2">
        <v>56.8</v>
      </c>
      <c r="H498" s="2" t="s">
        <v>68</v>
      </c>
      <c r="I498" s="4">
        <f t="shared" si="217"/>
        <v>3.3022127928108573</v>
      </c>
      <c r="J498" s="4">
        <f t="shared" si="218"/>
        <v>8.5171931914162382</v>
      </c>
      <c r="K498" s="4">
        <f t="shared" si="219"/>
        <v>5.9269260259704106</v>
      </c>
      <c r="L498" s="2">
        <v>0</v>
      </c>
      <c r="M498" s="2">
        <v>0</v>
      </c>
      <c r="N498" s="4">
        <f t="shared" si="220"/>
        <v>56.8</v>
      </c>
      <c r="O498" s="4">
        <f t="shared" si="221"/>
        <v>0</v>
      </c>
      <c r="P498" s="4">
        <f t="shared" si="222"/>
        <v>0</v>
      </c>
      <c r="Q498" s="4">
        <f t="shared" si="223"/>
        <v>8.5171931914162382</v>
      </c>
      <c r="R498" s="4">
        <f t="shared" si="224"/>
        <v>5.9269260259704106</v>
      </c>
      <c r="S498" s="4">
        <f t="shared" si="225"/>
        <v>56.8</v>
      </c>
      <c r="T498" s="4">
        <f t="shared" si="226"/>
        <v>0</v>
      </c>
      <c r="U498" s="4">
        <f t="shared" si="227"/>
        <v>8.5171931914162382</v>
      </c>
      <c r="V498" s="4">
        <f t="shared" si="228"/>
        <v>5.9269260259704106</v>
      </c>
      <c r="W498" s="4">
        <f t="shared" si="229"/>
        <v>56.8</v>
      </c>
      <c r="X498" s="4">
        <f t="shared" si="230"/>
        <v>0</v>
      </c>
      <c r="Y498" s="4">
        <f t="shared" si="231"/>
        <v>8.5171931914162382</v>
      </c>
      <c r="Z498" s="4">
        <f t="shared" si="232"/>
        <v>5.9269260259704106</v>
      </c>
      <c r="AA498" s="4">
        <f t="shared" si="233"/>
        <v>56.8</v>
      </c>
      <c r="AB498" s="4">
        <f t="shared" si="234"/>
        <v>0</v>
      </c>
      <c r="AC498" s="4">
        <f t="shared" si="235"/>
        <v>0</v>
      </c>
      <c r="AD498" s="4">
        <f t="shared" si="236"/>
        <v>0</v>
      </c>
      <c r="AE498" s="4">
        <f t="shared" si="237"/>
        <v>0</v>
      </c>
      <c r="AF498" s="4">
        <f t="shared" si="238"/>
        <v>0</v>
      </c>
      <c r="AG498" s="4">
        <f t="shared" si="239"/>
        <v>8.5171931914162382</v>
      </c>
      <c r="AH498" s="4">
        <f t="shared" si="240"/>
        <v>0</v>
      </c>
      <c r="AI498" s="4">
        <f t="shared" si="241"/>
        <v>0</v>
      </c>
      <c r="AJ498" s="4">
        <f t="shared" si="242"/>
        <v>8.5171931914162382</v>
      </c>
      <c r="AK498" s="4">
        <f t="shared" si="243"/>
        <v>5.9269260259704106</v>
      </c>
      <c r="AL498" s="4">
        <f t="shared" si="244"/>
        <v>0</v>
      </c>
      <c r="AM498" s="4">
        <f>CER!$C$7+CER!$C$8*J498+CER!$C$9*K498+CER!$C$10*L498+CER!$C$11*M498</f>
        <v>3.2152759781557996</v>
      </c>
      <c r="AN498" s="4">
        <f t="shared" si="245"/>
        <v>24.910165624194015</v>
      </c>
      <c r="AO498" s="4">
        <f t="shared" si="246"/>
        <v>8.6936814655057759E-2</v>
      </c>
      <c r="AP498" s="4">
        <f>Alternatives!$F$25+Alternatives!$F$26*J498+Alternatives!$F$27*K498+Alternatives!$F$28*G498+Alternatives!$F$29*O498</f>
        <v>3.280467136769917</v>
      </c>
      <c r="AQ498" s="4">
        <f t="shared" si="247"/>
        <v>2.1745656040940364E-2</v>
      </c>
    </row>
    <row r="499" spans="1:43" x14ac:dyDescent="0.35">
      <c r="A499" s="2" t="s">
        <v>412</v>
      </c>
      <c r="B499" s="2" t="s">
        <v>387</v>
      </c>
      <c r="C499" s="2" t="s">
        <v>33</v>
      </c>
      <c r="D499" s="2">
        <v>26.964200000000002</v>
      </c>
      <c r="E499" s="2">
        <v>5500</v>
      </c>
      <c r="F499" s="2">
        <v>420</v>
      </c>
      <c r="G499" s="2">
        <v>56.8</v>
      </c>
      <c r="H499" s="2" t="s">
        <v>68</v>
      </c>
      <c r="I499" s="4">
        <f t="shared" si="217"/>
        <v>3.2945100602608215</v>
      </c>
      <c r="J499" s="4">
        <f t="shared" si="218"/>
        <v>8.6125033712205621</v>
      </c>
      <c r="K499" s="4">
        <f t="shared" si="219"/>
        <v>6.0402547112774139</v>
      </c>
      <c r="L499" s="2">
        <v>1</v>
      </c>
      <c r="M499" s="2">
        <v>0</v>
      </c>
      <c r="N499" s="4">
        <f t="shared" si="220"/>
        <v>56.8</v>
      </c>
      <c r="O499" s="4">
        <f t="shared" si="221"/>
        <v>1</v>
      </c>
      <c r="P499" s="4">
        <f t="shared" si="222"/>
        <v>1</v>
      </c>
      <c r="Q499" s="4">
        <f t="shared" si="223"/>
        <v>8.6125033712205621</v>
      </c>
      <c r="R499" s="4">
        <f t="shared" si="224"/>
        <v>6.0402547112774139</v>
      </c>
      <c r="S499" s="4">
        <f t="shared" si="225"/>
        <v>56.8</v>
      </c>
      <c r="T499" s="4">
        <f t="shared" si="226"/>
        <v>1</v>
      </c>
      <c r="U499" s="4">
        <f t="shared" si="227"/>
        <v>8.6125033712205621</v>
      </c>
      <c r="V499" s="4">
        <f t="shared" si="228"/>
        <v>6.0402547112774139</v>
      </c>
      <c r="W499" s="4">
        <f t="shared" si="229"/>
        <v>56.8</v>
      </c>
      <c r="X499" s="4">
        <f t="shared" si="230"/>
        <v>1</v>
      </c>
      <c r="Y499" s="4">
        <f t="shared" si="231"/>
        <v>8.6125033712205621</v>
      </c>
      <c r="Z499" s="4">
        <f t="shared" si="232"/>
        <v>6.0402547112774139</v>
      </c>
      <c r="AA499" s="4">
        <f t="shared" si="233"/>
        <v>56.8</v>
      </c>
      <c r="AB499" s="4">
        <f t="shared" si="234"/>
        <v>1</v>
      </c>
      <c r="AC499" s="4">
        <f t="shared" si="235"/>
        <v>0</v>
      </c>
      <c r="AD499" s="4">
        <f t="shared" si="236"/>
        <v>0</v>
      </c>
      <c r="AE499" s="4">
        <f t="shared" si="237"/>
        <v>0</v>
      </c>
      <c r="AF499" s="4">
        <f t="shared" si="238"/>
        <v>0</v>
      </c>
      <c r="AG499" s="4">
        <f t="shared" si="239"/>
        <v>8.6125033712205621</v>
      </c>
      <c r="AH499" s="4">
        <f t="shared" si="240"/>
        <v>1</v>
      </c>
      <c r="AI499" s="4">
        <f t="shared" si="241"/>
        <v>0</v>
      </c>
      <c r="AJ499" s="4">
        <f t="shared" si="242"/>
        <v>8.6125033712205621</v>
      </c>
      <c r="AK499" s="4">
        <f t="shared" si="243"/>
        <v>6.0402547112774139</v>
      </c>
      <c r="AL499" s="4">
        <f t="shared" si="244"/>
        <v>0</v>
      </c>
      <c r="AM499" s="4">
        <f>CER!$C$7+CER!$C$8*J499+CER!$C$9*K499+CER!$C$10*L499+CER!$C$11*M499</f>
        <v>3.3540698544896048</v>
      </c>
      <c r="AN499" s="4">
        <f t="shared" si="245"/>
        <v>28.618971998403239</v>
      </c>
      <c r="AO499" s="4">
        <f t="shared" si="246"/>
        <v>-5.9559794228783325E-2</v>
      </c>
      <c r="AP499" s="4">
        <f>Alternatives!$F$25+Alternatives!$F$26*J499+Alternatives!$F$27*K499+Alternatives!$F$28*G499+Alternatives!$F$29*O499</f>
        <v>4.1303221339833254</v>
      </c>
      <c r="AQ499" s="4">
        <f t="shared" si="247"/>
        <v>-0.83581207372250388</v>
      </c>
    </row>
    <row r="500" spans="1:43" x14ac:dyDescent="0.35">
      <c r="A500" s="2" t="s">
        <v>413</v>
      </c>
      <c r="B500" s="2" t="s">
        <v>387</v>
      </c>
      <c r="C500" s="2" t="s">
        <v>67</v>
      </c>
      <c r="D500" s="2">
        <v>32.941000000000003</v>
      </c>
      <c r="E500" s="2">
        <v>4500</v>
      </c>
      <c r="F500" s="2">
        <v>300</v>
      </c>
      <c r="G500" s="2">
        <v>52.9</v>
      </c>
      <c r="H500" s="2" t="s">
        <v>68</v>
      </c>
      <c r="I500" s="4">
        <f t="shared" si="217"/>
        <v>3.4947180825157722</v>
      </c>
      <c r="J500" s="4">
        <f t="shared" si="218"/>
        <v>8.4118326757584114</v>
      </c>
      <c r="K500" s="4">
        <f t="shared" si="219"/>
        <v>5.7037824746562009</v>
      </c>
      <c r="L500" s="2">
        <v>0</v>
      </c>
      <c r="M500" s="2">
        <v>0</v>
      </c>
      <c r="N500" s="4">
        <f t="shared" si="220"/>
        <v>52.9</v>
      </c>
      <c r="O500" s="4">
        <f t="shared" si="221"/>
        <v>0</v>
      </c>
      <c r="P500" s="4">
        <f t="shared" si="222"/>
        <v>0</v>
      </c>
      <c r="Q500" s="4">
        <f t="shared" si="223"/>
        <v>8.4118326757584114</v>
      </c>
      <c r="R500" s="4">
        <f t="shared" si="224"/>
        <v>5.7037824746562009</v>
      </c>
      <c r="S500" s="4">
        <f t="shared" si="225"/>
        <v>52.9</v>
      </c>
      <c r="T500" s="4">
        <f t="shared" si="226"/>
        <v>0</v>
      </c>
      <c r="U500" s="4">
        <f t="shared" si="227"/>
        <v>8.4118326757584114</v>
      </c>
      <c r="V500" s="4">
        <f t="shared" si="228"/>
        <v>5.7037824746562009</v>
      </c>
      <c r="W500" s="4">
        <f t="shared" si="229"/>
        <v>52.9</v>
      </c>
      <c r="X500" s="4">
        <f t="shared" si="230"/>
        <v>0</v>
      </c>
      <c r="Y500" s="4">
        <f t="shared" si="231"/>
        <v>8.4118326757584114</v>
      </c>
      <c r="Z500" s="4">
        <f t="shared" si="232"/>
        <v>5.7037824746562009</v>
      </c>
      <c r="AA500" s="4">
        <f t="shared" si="233"/>
        <v>52.9</v>
      </c>
      <c r="AB500" s="4">
        <f t="shared" si="234"/>
        <v>0</v>
      </c>
      <c r="AC500" s="4">
        <f t="shared" si="235"/>
        <v>0</v>
      </c>
      <c r="AD500" s="4">
        <f t="shared" si="236"/>
        <v>0</v>
      </c>
      <c r="AE500" s="4">
        <f t="shared" si="237"/>
        <v>0</v>
      </c>
      <c r="AF500" s="4">
        <f t="shared" si="238"/>
        <v>0</v>
      </c>
      <c r="AG500" s="4">
        <f t="shared" si="239"/>
        <v>8.4118326757584114</v>
      </c>
      <c r="AH500" s="4">
        <f t="shared" si="240"/>
        <v>0</v>
      </c>
      <c r="AI500" s="4">
        <f t="shared" si="241"/>
        <v>0</v>
      </c>
      <c r="AJ500" s="4">
        <f t="shared" si="242"/>
        <v>8.4118326757584114</v>
      </c>
      <c r="AK500" s="4">
        <f t="shared" si="243"/>
        <v>5.7037824746562009</v>
      </c>
      <c r="AL500" s="4">
        <f t="shared" si="244"/>
        <v>0</v>
      </c>
      <c r="AM500" s="4">
        <f>CER!$C$7+CER!$C$8*J500+CER!$C$9*K500+CER!$C$10*L500+CER!$C$11*M500</f>
        <v>3.3453010549899487</v>
      </c>
      <c r="AN500" s="4">
        <f t="shared" si="245"/>
        <v>28.369115044822525</v>
      </c>
      <c r="AO500" s="4">
        <f t="shared" si="246"/>
        <v>0.14941702752582353</v>
      </c>
      <c r="AP500" s="4">
        <f>Alternatives!$F$25+Alternatives!$F$26*J500+Alternatives!$F$27*K500+Alternatives!$F$28*G500+Alternatives!$F$29*O500</f>
        <v>3.3515839372743668</v>
      </c>
      <c r="AQ500" s="4">
        <f t="shared" si="247"/>
        <v>0.14313414524140544</v>
      </c>
    </row>
    <row r="501" spans="1:43" x14ac:dyDescent="0.35">
      <c r="A501" s="2" t="s">
        <v>413</v>
      </c>
      <c r="B501" s="2" t="s">
        <v>387</v>
      </c>
      <c r="C501" s="2" t="s">
        <v>67</v>
      </c>
      <c r="D501" s="2">
        <v>24.0002</v>
      </c>
      <c r="E501" s="2">
        <v>4500</v>
      </c>
      <c r="F501" s="2">
        <v>375</v>
      </c>
      <c r="G501" s="2">
        <v>52.9</v>
      </c>
      <c r="H501" s="2" t="s">
        <v>68</v>
      </c>
      <c r="I501" s="4">
        <f t="shared" si="217"/>
        <v>3.1780621636465569</v>
      </c>
      <c r="J501" s="4">
        <f t="shared" si="218"/>
        <v>8.4118326757584114</v>
      </c>
      <c r="K501" s="4">
        <f t="shared" si="219"/>
        <v>5.9269260259704106</v>
      </c>
      <c r="L501" s="2">
        <v>0</v>
      </c>
      <c r="M501" s="2">
        <v>0</v>
      </c>
      <c r="N501" s="4">
        <f t="shared" si="220"/>
        <v>52.9</v>
      </c>
      <c r="O501" s="4">
        <f t="shared" si="221"/>
        <v>0</v>
      </c>
      <c r="P501" s="4">
        <f t="shared" si="222"/>
        <v>0</v>
      </c>
      <c r="Q501" s="4">
        <f t="shared" si="223"/>
        <v>8.4118326757584114</v>
      </c>
      <c r="R501" s="4">
        <f t="shared" si="224"/>
        <v>5.9269260259704106</v>
      </c>
      <c r="S501" s="4">
        <f t="shared" si="225"/>
        <v>52.9</v>
      </c>
      <c r="T501" s="4">
        <f t="shared" si="226"/>
        <v>0</v>
      </c>
      <c r="U501" s="4">
        <f t="shared" si="227"/>
        <v>8.4118326757584114</v>
      </c>
      <c r="V501" s="4">
        <f t="shared" si="228"/>
        <v>5.9269260259704106</v>
      </c>
      <c r="W501" s="4">
        <f t="shared" si="229"/>
        <v>52.9</v>
      </c>
      <c r="X501" s="4">
        <f t="shared" si="230"/>
        <v>0</v>
      </c>
      <c r="Y501" s="4">
        <f t="shared" si="231"/>
        <v>8.4118326757584114</v>
      </c>
      <c r="Z501" s="4">
        <f t="shared" si="232"/>
        <v>5.9269260259704106</v>
      </c>
      <c r="AA501" s="4">
        <f t="shared" si="233"/>
        <v>52.9</v>
      </c>
      <c r="AB501" s="4">
        <f t="shared" si="234"/>
        <v>0</v>
      </c>
      <c r="AC501" s="4">
        <f t="shared" si="235"/>
        <v>0</v>
      </c>
      <c r="AD501" s="4">
        <f t="shared" si="236"/>
        <v>0</v>
      </c>
      <c r="AE501" s="4">
        <f t="shared" si="237"/>
        <v>0</v>
      </c>
      <c r="AF501" s="4">
        <f t="shared" si="238"/>
        <v>0</v>
      </c>
      <c r="AG501" s="4">
        <f t="shared" si="239"/>
        <v>8.4118326757584114</v>
      </c>
      <c r="AH501" s="4">
        <f t="shared" si="240"/>
        <v>0</v>
      </c>
      <c r="AI501" s="4">
        <f t="shared" si="241"/>
        <v>0</v>
      </c>
      <c r="AJ501" s="4">
        <f t="shared" si="242"/>
        <v>8.4118326757584114</v>
      </c>
      <c r="AK501" s="4">
        <f t="shared" si="243"/>
        <v>5.9269260259704106</v>
      </c>
      <c r="AL501" s="4">
        <f t="shared" si="244"/>
        <v>0</v>
      </c>
      <c r="AM501" s="4">
        <f>CER!$C$7+CER!$C$8*J501+CER!$C$9*K501+CER!$C$10*L501+CER!$C$11*M501</f>
        <v>3.2629736444425244</v>
      </c>
      <c r="AN501" s="4">
        <f t="shared" si="245"/>
        <v>26.127114490432071</v>
      </c>
      <c r="AO501" s="4">
        <f t="shared" si="246"/>
        <v>-8.4911480795967442E-2</v>
      </c>
      <c r="AP501" s="4">
        <f>Alternatives!$F$25+Alternatives!$F$26*J501+Alternatives!$F$27*K501+Alternatives!$F$28*G501+Alternatives!$F$29*O501</f>
        <v>3.2922032139948763</v>
      </c>
      <c r="AQ501" s="4">
        <f t="shared" si="247"/>
        <v>-0.11414105034831934</v>
      </c>
    </row>
    <row r="502" spans="1:43" x14ac:dyDescent="0.35">
      <c r="A502" s="2" t="s">
        <v>414</v>
      </c>
      <c r="B502" s="2" t="s">
        <v>387</v>
      </c>
      <c r="C502" s="2" t="s">
        <v>67</v>
      </c>
      <c r="D502" s="2">
        <v>29.363199999999999</v>
      </c>
      <c r="E502" s="2">
        <v>5000</v>
      </c>
      <c r="F502" s="2">
        <v>300</v>
      </c>
      <c r="G502" s="2">
        <v>53.5</v>
      </c>
      <c r="H502" s="2" t="s">
        <v>68</v>
      </c>
      <c r="I502" s="4">
        <f t="shared" si="217"/>
        <v>3.3797421896327502</v>
      </c>
      <c r="J502" s="4">
        <f t="shared" si="218"/>
        <v>8.5171931914162382</v>
      </c>
      <c r="K502" s="4">
        <f t="shared" si="219"/>
        <v>5.7037824746562009</v>
      </c>
      <c r="L502" s="2">
        <v>0</v>
      </c>
      <c r="M502" s="2">
        <v>0</v>
      </c>
      <c r="N502" s="4">
        <f t="shared" si="220"/>
        <v>53.5</v>
      </c>
      <c r="O502" s="4">
        <f t="shared" si="221"/>
        <v>0</v>
      </c>
      <c r="P502" s="4">
        <f t="shared" si="222"/>
        <v>0</v>
      </c>
      <c r="Q502" s="4">
        <f t="shared" si="223"/>
        <v>8.5171931914162382</v>
      </c>
      <c r="R502" s="4">
        <f t="shared" si="224"/>
        <v>5.7037824746562009</v>
      </c>
      <c r="S502" s="4">
        <f t="shared" si="225"/>
        <v>53.5</v>
      </c>
      <c r="T502" s="4">
        <f t="shared" si="226"/>
        <v>0</v>
      </c>
      <c r="U502" s="4">
        <f t="shared" si="227"/>
        <v>8.5171931914162382</v>
      </c>
      <c r="V502" s="4">
        <f t="shared" si="228"/>
        <v>5.7037824746562009</v>
      </c>
      <c r="W502" s="4">
        <f t="shared" si="229"/>
        <v>53.5</v>
      </c>
      <c r="X502" s="4">
        <f t="shared" si="230"/>
        <v>0</v>
      </c>
      <c r="Y502" s="4">
        <f t="shared" si="231"/>
        <v>8.5171931914162382</v>
      </c>
      <c r="Z502" s="4">
        <f t="shared" si="232"/>
        <v>5.7037824746562009</v>
      </c>
      <c r="AA502" s="4">
        <f t="shared" si="233"/>
        <v>53.5</v>
      </c>
      <c r="AB502" s="4">
        <f t="shared" si="234"/>
        <v>0</v>
      </c>
      <c r="AC502" s="4">
        <f t="shared" si="235"/>
        <v>0</v>
      </c>
      <c r="AD502" s="4">
        <f t="shared" si="236"/>
        <v>0</v>
      </c>
      <c r="AE502" s="4">
        <f t="shared" si="237"/>
        <v>0</v>
      </c>
      <c r="AF502" s="4">
        <f t="shared" si="238"/>
        <v>0</v>
      </c>
      <c r="AG502" s="4">
        <f t="shared" si="239"/>
        <v>8.5171931914162382</v>
      </c>
      <c r="AH502" s="4">
        <f t="shared" si="240"/>
        <v>0</v>
      </c>
      <c r="AI502" s="4">
        <f t="shared" si="241"/>
        <v>0</v>
      </c>
      <c r="AJ502" s="4">
        <f t="shared" si="242"/>
        <v>8.5171931914162382</v>
      </c>
      <c r="AK502" s="4">
        <f t="shared" si="243"/>
        <v>5.7037824746562009</v>
      </c>
      <c r="AL502" s="4">
        <f t="shared" si="244"/>
        <v>0</v>
      </c>
      <c r="AM502" s="4">
        <f>CER!$C$7+CER!$C$8*J502+CER!$C$9*K502+CER!$C$10*L502+CER!$C$11*M502</f>
        <v>3.2976033887032239</v>
      </c>
      <c r="AN502" s="4">
        <f t="shared" si="245"/>
        <v>27.047738265820904</v>
      </c>
      <c r="AO502" s="4">
        <f t="shared" si="246"/>
        <v>8.2138800929526301E-2</v>
      </c>
      <c r="AP502" s="4">
        <f>Alternatives!$F$25+Alternatives!$F$26*J502+Alternatives!$F$27*K502+Alternatives!$F$28*G502+Alternatives!$F$29*O502</f>
        <v>3.3827719980387609</v>
      </c>
      <c r="AQ502" s="4">
        <f t="shared" si="247"/>
        <v>-3.0298084060107477E-3</v>
      </c>
    </row>
    <row r="503" spans="1:43" x14ac:dyDescent="0.35">
      <c r="A503" s="2" t="s">
        <v>414</v>
      </c>
      <c r="B503" s="2" t="s">
        <v>387</v>
      </c>
      <c r="C503" s="2" t="s">
        <v>67</v>
      </c>
      <c r="D503" s="2">
        <v>26.097100000000001</v>
      </c>
      <c r="E503" s="2">
        <v>5000</v>
      </c>
      <c r="F503" s="2">
        <v>375</v>
      </c>
      <c r="G503" s="2">
        <v>53.5</v>
      </c>
      <c r="H503" s="2" t="s">
        <v>68</v>
      </c>
      <c r="I503" s="4">
        <f t="shared" si="217"/>
        <v>3.2618241970442399</v>
      </c>
      <c r="J503" s="4">
        <f t="shared" si="218"/>
        <v>8.5171931914162382</v>
      </c>
      <c r="K503" s="4">
        <f t="shared" si="219"/>
        <v>5.9269260259704106</v>
      </c>
      <c r="L503" s="2">
        <v>0</v>
      </c>
      <c r="M503" s="2">
        <v>0</v>
      </c>
      <c r="N503" s="4">
        <f t="shared" si="220"/>
        <v>53.5</v>
      </c>
      <c r="O503" s="4">
        <f t="shared" si="221"/>
        <v>0</v>
      </c>
      <c r="P503" s="4">
        <f t="shared" si="222"/>
        <v>0</v>
      </c>
      <c r="Q503" s="4">
        <f t="shared" si="223"/>
        <v>8.5171931914162382</v>
      </c>
      <c r="R503" s="4">
        <f t="shared" si="224"/>
        <v>5.9269260259704106</v>
      </c>
      <c r="S503" s="4">
        <f t="shared" si="225"/>
        <v>53.5</v>
      </c>
      <c r="T503" s="4">
        <f t="shared" si="226"/>
        <v>0</v>
      </c>
      <c r="U503" s="4">
        <f t="shared" si="227"/>
        <v>8.5171931914162382</v>
      </c>
      <c r="V503" s="4">
        <f t="shared" si="228"/>
        <v>5.9269260259704106</v>
      </c>
      <c r="W503" s="4">
        <f t="shared" si="229"/>
        <v>53.5</v>
      </c>
      <c r="X503" s="4">
        <f t="shared" si="230"/>
        <v>0</v>
      </c>
      <c r="Y503" s="4">
        <f t="shared" si="231"/>
        <v>8.5171931914162382</v>
      </c>
      <c r="Z503" s="4">
        <f t="shared" si="232"/>
        <v>5.9269260259704106</v>
      </c>
      <c r="AA503" s="4">
        <f t="shared" si="233"/>
        <v>53.5</v>
      </c>
      <c r="AB503" s="4">
        <f t="shared" si="234"/>
        <v>0</v>
      </c>
      <c r="AC503" s="4">
        <f t="shared" si="235"/>
        <v>0</v>
      </c>
      <c r="AD503" s="4">
        <f t="shared" si="236"/>
        <v>0</v>
      </c>
      <c r="AE503" s="4">
        <f t="shared" si="237"/>
        <v>0</v>
      </c>
      <c r="AF503" s="4">
        <f t="shared" si="238"/>
        <v>0</v>
      </c>
      <c r="AG503" s="4">
        <f t="shared" si="239"/>
        <v>8.5171931914162382</v>
      </c>
      <c r="AH503" s="4">
        <f t="shared" si="240"/>
        <v>0</v>
      </c>
      <c r="AI503" s="4">
        <f t="shared" si="241"/>
        <v>0</v>
      </c>
      <c r="AJ503" s="4">
        <f t="shared" si="242"/>
        <v>8.5171931914162382</v>
      </c>
      <c r="AK503" s="4">
        <f t="shared" si="243"/>
        <v>5.9269260259704106</v>
      </c>
      <c r="AL503" s="4">
        <f t="shared" si="244"/>
        <v>0</v>
      </c>
      <c r="AM503" s="4">
        <f>CER!$C$7+CER!$C$8*J503+CER!$C$9*K503+CER!$C$10*L503+CER!$C$11*M503</f>
        <v>3.2152759781557996</v>
      </c>
      <c r="AN503" s="4">
        <f t="shared" si="245"/>
        <v>24.910165624194015</v>
      </c>
      <c r="AO503" s="4">
        <f t="shared" si="246"/>
        <v>4.6548218888440296E-2</v>
      </c>
      <c r="AP503" s="4">
        <f>Alternatives!$F$25+Alternatives!$F$26*J503+Alternatives!$F$27*K503+Alternatives!$F$28*G503+Alternatives!$F$29*O503</f>
        <v>3.3233912747592704</v>
      </c>
      <c r="AQ503" s="4">
        <f t="shared" si="247"/>
        <v>-6.156707771503056E-2</v>
      </c>
    </row>
    <row r="504" spans="1:43" x14ac:dyDescent="0.35">
      <c r="A504" s="2" t="s">
        <v>415</v>
      </c>
      <c r="B504" s="2" t="s">
        <v>387</v>
      </c>
      <c r="C504" s="2" t="s">
        <v>67</v>
      </c>
      <c r="D504" s="2">
        <v>25.130099999999999</v>
      </c>
      <c r="E504" s="2">
        <v>4000</v>
      </c>
      <c r="F504" s="2">
        <v>368</v>
      </c>
      <c r="G504" s="2">
        <v>48.8</v>
      </c>
      <c r="H504" s="2" t="s">
        <v>68</v>
      </c>
      <c r="I504" s="4">
        <f t="shared" si="217"/>
        <v>3.2240663308551838</v>
      </c>
      <c r="J504" s="4">
        <f t="shared" si="218"/>
        <v>8.2940496401020276</v>
      </c>
      <c r="K504" s="4">
        <f t="shared" si="219"/>
        <v>5.9080829381689313</v>
      </c>
      <c r="L504" s="2">
        <v>0</v>
      </c>
      <c r="M504" s="2">
        <v>0</v>
      </c>
      <c r="N504" s="4">
        <f t="shared" si="220"/>
        <v>48.8</v>
      </c>
      <c r="O504" s="4">
        <f t="shared" si="221"/>
        <v>0</v>
      </c>
      <c r="P504" s="4">
        <f t="shared" si="222"/>
        <v>0</v>
      </c>
      <c r="Q504" s="4">
        <f t="shared" si="223"/>
        <v>8.2940496401020276</v>
      </c>
      <c r="R504" s="4">
        <f t="shared" si="224"/>
        <v>5.9080829381689313</v>
      </c>
      <c r="S504" s="4">
        <f t="shared" si="225"/>
        <v>48.8</v>
      </c>
      <c r="T504" s="4">
        <f t="shared" si="226"/>
        <v>0</v>
      </c>
      <c r="U504" s="4">
        <f t="shared" si="227"/>
        <v>8.2940496401020276</v>
      </c>
      <c r="V504" s="4">
        <f t="shared" si="228"/>
        <v>5.9080829381689313</v>
      </c>
      <c r="W504" s="4">
        <f t="shared" si="229"/>
        <v>48.8</v>
      </c>
      <c r="X504" s="4">
        <f t="shared" si="230"/>
        <v>0</v>
      </c>
      <c r="Y504" s="4">
        <f t="shared" si="231"/>
        <v>8.2940496401020276</v>
      </c>
      <c r="Z504" s="4">
        <f t="shared" si="232"/>
        <v>5.9080829381689313</v>
      </c>
      <c r="AA504" s="4">
        <f t="shared" si="233"/>
        <v>48.8</v>
      </c>
      <c r="AB504" s="4">
        <f t="shared" si="234"/>
        <v>0</v>
      </c>
      <c r="AC504" s="4">
        <f t="shared" si="235"/>
        <v>0</v>
      </c>
      <c r="AD504" s="4">
        <f t="shared" si="236"/>
        <v>0</v>
      </c>
      <c r="AE504" s="4">
        <f t="shared" si="237"/>
        <v>0</v>
      </c>
      <c r="AF504" s="4">
        <f t="shared" si="238"/>
        <v>0</v>
      </c>
      <c r="AG504" s="4">
        <f t="shared" si="239"/>
        <v>8.2940496401020276</v>
      </c>
      <c r="AH504" s="4">
        <f t="shared" si="240"/>
        <v>0</v>
      </c>
      <c r="AI504" s="4">
        <f t="shared" si="241"/>
        <v>0</v>
      </c>
      <c r="AJ504" s="4">
        <f t="shared" si="242"/>
        <v>8.2940496401020276</v>
      </c>
      <c r="AK504" s="4">
        <f t="shared" si="243"/>
        <v>5.9080829381689313</v>
      </c>
      <c r="AL504" s="4">
        <f t="shared" si="244"/>
        <v>0</v>
      </c>
      <c r="AM504" s="4">
        <f>CER!$C$7+CER!$C$8*J504+CER!$C$9*K504+CER!$C$10*L504+CER!$C$11*M504</f>
        <v>3.3232471376155317</v>
      </c>
      <c r="AN504" s="4">
        <f t="shared" si="245"/>
        <v>27.750313505261595</v>
      </c>
      <c r="AO504" s="4">
        <f t="shared" si="246"/>
        <v>-9.9180806760347906E-2</v>
      </c>
      <c r="AP504" s="4">
        <f>Alternatives!$F$25+Alternatives!$F$26*J504+Alternatives!$F$27*K504+Alternatives!$F$28*G504+Alternatives!$F$29*O504</f>
        <v>3.3069576871543926</v>
      </c>
      <c r="AQ504" s="4">
        <f t="shared" si="247"/>
        <v>-8.2891356299208852E-2</v>
      </c>
    </row>
    <row r="505" spans="1:43" x14ac:dyDescent="0.35">
      <c r="A505" s="2" t="s">
        <v>415</v>
      </c>
      <c r="B505" s="2" t="s">
        <v>387</v>
      </c>
      <c r="C505" s="2" t="s">
        <v>67</v>
      </c>
      <c r="D505" s="2">
        <v>29.257999999999999</v>
      </c>
      <c r="E505" s="2">
        <v>4000</v>
      </c>
      <c r="F505" s="2">
        <v>300</v>
      </c>
      <c r="G505" s="2">
        <v>48.8</v>
      </c>
      <c r="H505" s="2" t="s">
        <v>68</v>
      </c>
      <c r="I505" s="4">
        <f t="shared" si="217"/>
        <v>3.3761530405558942</v>
      </c>
      <c r="J505" s="4">
        <f t="shared" si="218"/>
        <v>8.2940496401020276</v>
      </c>
      <c r="K505" s="4">
        <f t="shared" si="219"/>
        <v>5.7037824746562009</v>
      </c>
      <c r="L505" s="2">
        <v>0</v>
      </c>
      <c r="M505" s="2">
        <v>0</v>
      </c>
      <c r="N505" s="4">
        <f t="shared" si="220"/>
        <v>48.8</v>
      </c>
      <c r="O505" s="4">
        <f t="shared" si="221"/>
        <v>0</v>
      </c>
      <c r="P505" s="4">
        <f t="shared" si="222"/>
        <v>0</v>
      </c>
      <c r="Q505" s="4">
        <f t="shared" si="223"/>
        <v>8.2940496401020276</v>
      </c>
      <c r="R505" s="4">
        <f t="shared" si="224"/>
        <v>5.7037824746562009</v>
      </c>
      <c r="S505" s="4">
        <f t="shared" si="225"/>
        <v>48.8</v>
      </c>
      <c r="T505" s="4">
        <f t="shared" si="226"/>
        <v>0</v>
      </c>
      <c r="U505" s="4">
        <f t="shared" si="227"/>
        <v>8.2940496401020276</v>
      </c>
      <c r="V505" s="4">
        <f t="shared" si="228"/>
        <v>5.7037824746562009</v>
      </c>
      <c r="W505" s="4">
        <f t="shared" si="229"/>
        <v>48.8</v>
      </c>
      <c r="X505" s="4">
        <f t="shared" si="230"/>
        <v>0</v>
      </c>
      <c r="Y505" s="4">
        <f t="shared" si="231"/>
        <v>8.2940496401020276</v>
      </c>
      <c r="Z505" s="4">
        <f t="shared" si="232"/>
        <v>5.7037824746562009</v>
      </c>
      <c r="AA505" s="4">
        <f t="shared" si="233"/>
        <v>48.8</v>
      </c>
      <c r="AB505" s="4">
        <f t="shared" si="234"/>
        <v>0</v>
      </c>
      <c r="AC505" s="4">
        <f t="shared" si="235"/>
        <v>0</v>
      </c>
      <c r="AD505" s="4">
        <f t="shared" si="236"/>
        <v>0</v>
      </c>
      <c r="AE505" s="4">
        <f t="shared" si="237"/>
        <v>0</v>
      </c>
      <c r="AF505" s="4">
        <f t="shared" si="238"/>
        <v>0</v>
      </c>
      <c r="AG505" s="4">
        <f t="shared" si="239"/>
        <v>8.2940496401020276</v>
      </c>
      <c r="AH505" s="4">
        <f t="shared" si="240"/>
        <v>0</v>
      </c>
      <c r="AI505" s="4">
        <f t="shared" si="241"/>
        <v>0</v>
      </c>
      <c r="AJ505" s="4">
        <f t="shared" si="242"/>
        <v>8.2940496401020276</v>
      </c>
      <c r="AK505" s="4">
        <f t="shared" si="243"/>
        <v>5.7037824746562009</v>
      </c>
      <c r="AL505" s="4">
        <f t="shared" si="244"/>
        <v>0</v>
      </c>
      <c r="AM505" s="4">
        <f>CER!$C$7+CER!$C$8*J505+CER!$C$9*K505+CER!$C$10*L505+CER!$C$11*M505</f>
        <v>3.3986225093687485</v>
      </c>
      <c r="AN505" s="4">
        <f t="shared" si="245"/>
        <v>29.922853195406027</v>
      </c>
      <c r="AO505" s="4">
        <f t="shared" si="246"/>
        <v>-2.2469468812854387E-2</v>
      </c>
      <c r="AP505" s="4">
        <f>Alternatives!$F$25+Alternatives!$F$26*J505+Alternatives!$F$27*K505+Alternatives!$F$28*G505+Alternatives!$F$29*O505</f>
        <v>3.3613240769437112</v>
      </c>
      <c r="AQ505" s="4">
        <f t="shared" si="247"/>
        <v>1.4828963612182999E-2</v>
      </c>
    </row>
    <row r="506" spans="1:43" x14ac:dyDescent="0.35">
      <c r="A506" s="2" t="s">
        <v>416</v>
      </c>
      <c r="B506" s="2" t="s">
        <v>387</v>
      </c>
      <c r="C506" s="2" t="s">
        <v>67</v>
      </c>
      <c r="D506" s="2">
        <v>25.595800000000001</v>
      </c>
      <c r="E506" s="2">
        <v>4000</v>
      </c>
      <c r="F506" s="2">
        <v>368</v>
      </c>
      <c r="G506" s="2">
        <v>48.8</v>
      </c>
      <c r="H506" s="2" t="s">
        <v>68</v>
      </c>
      <c r="I506" s="4">
        <f t="shared" si="217"/>
        <v>3.2424282755257927</v>
      </c>
      <c r="J506" s="4">
        <f t="shared" si="218"/>
        <v>8.2940496401020276</v>
      </c>
      <c r="K506" s="4">
        <f t="shared" si="219"/>
        <v>5.9080829381689313</v>
      </c>
      <c r="L506" s="2">
        <v>0</v>
      </c>
      <c r="M506" s="2">
        <v>0</v>
      </c>
      <c r="N506" s="4">
        <f t="shared" si="220"/>
        <v>48.8</v>
      </c>
      <c r="O506" s="4">
        <f t="shared" si="221"/>
        <v>0</v>
      </c>
      <c r="P506" s="4">
        <f t="shared" si="222"/>
        <v>0</v>
      </c>
      <c r="Q506" s="4">
        <f t="shared" si="223"/>
        <v>8.2940496401020276</v>
      </c>
      <c r="R506" s="4">
        <f t="shared" si="224"/>
        <v>5.9080829381689313</v>
      </c>
      <c r="S506" s="4">
        <f t="shared" si="225"/>
        <v>48.8</v>
      </c>
      <c r="T506" s="4">
        <f t="shared" si="226"/>
        <v>0</v>
      </c>
      <c r="U506" s="4">
        <f t="shared" si="227"/>
        <v>8.2940496401020276</v>
      </c>
      <c r="V506" s="4">
        <f t="shared" si="228"/>
        <v>5.9080829381689313</v>
      </c>
      <c r="W506" s="4">
        <f t="shared" si="229"/>
        <v>48.8</v>
      </c>
      <c r="X506" s="4">
        <f t="shared" si="230"/>
        <v>0</v>
      </c>
      <c r="Y506" s="4">
        <f t="shared" si="231"/>
        <v>8.2940496401020276</v>
      </c>
      <c r="Z506" s="4">
        <f t="shared" si="232"/>
        <v>5.9080829381689313</v>
      </c>
      <c r="AA506" s="4">
        <f t="shared" si="233"/>
        <v>48.8</v>
      </c>
      <c r="AB506" s="4">
        <f t="shared" si="234"/>
        <v>0</v>
      </c>
      <c r="AC506" s="4">
        <f t="shared" si="235"/>
        <v>0</v>
      </c>
      <c r="AD506" s="4">
        <f t="shared" si="236"/>
        <v>0</v>
      </c>
      <c r="AE506" s="4">
        <f t="shared" si="237"/>
        <v>0</v>
      </c>
      <c r="AF506" s="4">
        <f t="shared" si="238"/>
        <v>0</v>
      </c>
      <c r="AG506" s="4">
        <f t="shared" si="239"/>
        <v>8.2940496401020276</v>
      </c>
      <c r="AH506" s="4">
        <f t="shared" si="240"/>
        <v>0</v>
      </c>
      <c r="AI506" s="4">
        <f t="shared" si="241"/>
        <v>0</v>
      </c>
      <c r="AJ506" s="4">
        <f t="shared" si="242"/>
        <v>8.2940496401020276</v>
      </c>
      <c r="AK506" s="4">
        <f t="shared" si="243"/>
        <v>5.9080829381689313</v>
      </c>
      <c r="AL506" s="4">
        <f t="shared" si="244"/>
        <v>0</v>
      </c>
      <c r="AM506" s="4">
        <f>CER!$C$7+CER!$C$8*J506+CER!$C$9*K506+CER!$C$10*L506+CER!$C$11*M506</f>
        <v>3.3232471376155317</v>
      </c>
      <c r="AN506" s="4">
        <f t="shared" si="245"/>
        <v>27.750313505261595</v>
      </c>
      <c r="AO506" s="4">
        <f t="shared" si="246"/>
        <v>-8.0818862089738985E-2</v>
      </c>
      <c r="AP506" s="4">
        <f>Alternatives!$F$25+Alternatives!$F$26*J506+Alternatives!$F$27*K506+Alternatives!$F$28*G506+Alternatives!$F$29*O506</f>
        <v>3.3069576871543926</v>
      </c>
      <c r="AQ506" s="4">
        <f t="shared" si="247"/>
        <v>-6.4529411628599931E-2</v>
      </c>
    </row>
    <row r="507" spans="1:43" x14ac:dyDescent="0.35">
      <c r="A507" s="2" t="s">
        <v>416</v>
      </c>
      <c r="B507" s="2" t="s">
        <v>387</v>
      </c>
      <c r="C507" s="2" t="s">
        <v>67</v>
      </c>
      <c r="D507" s="2">
        <v>30.487100000000002</v>
      </c>
      <c r="E507" s="2">
        <v>4000</v>
      </c>
      <c r="F507" s="2">
        <v>300</v>
      </c>
      <c r="G507" s="2">
        <v>48.8</v>
      </c>
      <c r="H507" s="2" t="s">
        <v>68</v>
      </c>
      <c r="I507" s="4">
        <f t="shared" si="217"/>
        <v>3.4173036433247677</v>
      </c>
      <c r="J507" s="4">
        <f t="shared" si="218"/>
        <v>8.2940496401020276</v>
      </c>
      <c r="K507" s="4">
        <f t="shared" si="219"/>
        <v>5.7037824746562009</v>
      </c>
      <c r="L507" s="2">
        <v>0</v>
      </c>
      <c r="M507" s="2">
        <v>0</v>
      </c>
      <c r="N507" s="4">
        <f t="shared" si="220"/>
        <v>48.8</v>
      </c>
      <c r="O507" s="4">
        <f t="shared" si="221"/>
        <v>0</v>
      </c>
      <c r="P507" s="4">
        <f t="shared" si="222"/>
        <v>0</v>
      </c>
      <c r="Q507" s="4">
        <f t="shared" si="223"/>
        <v>8.2940496401020276</v>
      </c>
      <c r="R507" s="4">
        <f t="shared" si="224"/>
        <v>5.7037824746562009</v>
      </c>
      <c r="S507" s="4">
        <f t="shared" si="225"/>
        <v>48.8</v>
      </c>
      <c r="T507" s="4">
        <f t="shared" si="226"/>
        <v>0</v>
      </c>
      <c r="U507" s="4">
        <f t="shared" si="227"/>
        <v>8.2940496401020276</v>
      </c>
      <c r="V507" s="4">
        <f t="shared" si="228"/>
        <v>5.7037824746562009</v>
      </c>
      <c r="W507" s="4">
        <f t="shared" si="229"/>
        <v>48.8</v>
      </c>
      <c r="X507" s="4">
        <f t="shared" si="230"/>
        <v>0</v>
      </c>
      <c r="Y507" s="4">
        <f t="shared" si="231"/>
        <v>8.2940496401020276</v>
      </c>
      <c r="Z507" s="4">
        <f t="shared" si="232"/>
        <v>5.7037824746562009</v>
      </c>
      <c r="AA507" s="4">
        <f t="shared" si="233"/>
        <v>48.8</v>
      </c>
      <c r="AB507" s="4">
        <f t="shared" si="234"/>
        <v>0</v>
      </c>
      <c r="AC507" s="4">
        <f t="shared" si="235"/>
        <v>0</v>
      </c>
      <c r="AD507" s="4">
        <f t="shared" si="236"/>
        <v>0</v>
      </c>
      <c r="AE507" s="4">
        <f t="shared" si="237"/>
        <v>0</v>
      </c>
      <c r="AF507" s="4">
        <f t="shared" si="238"/>
        <v>0</v>
      </c>
      <c r="AG507" s="4">
        <f t="shared" si="239"/>
        <v>8.2940496401020276</v>
      </c>
      <c r="AH507" s="4">
        <f t="shared" si="240"/>
        <v>0</v>
      </c>
      <c r="AI507" s="4">
        <f t="shared" si="241"/>
        <v>0</v>
      </c>
      <c r="AJ507" s="4">
        <f t="shared" si="242"/>
        <v>8.2940496401020276</v>
      </c>
      <c r="AK507" s="4">
        <f t="shared" si="243"/>
        <v>5.7037824746562009</v>
      </c>
      <c r="AL507" s="4">
        <f t="shared" si="244"/>
        <v>0</v>
      </c>
      <c r="AM507" s="4">
        <f>CER!$C$7+CER!$C$8*J507+CER!$C$9*K507+CER!$C$10*L507+CER!$C$11*M507</f>
        <v>3.3986225093687485</v>
      </c>
      <c r="AN507" s="4">
        <f t="shared" si="245"/>
        <v>29.922853195406027</v>
      </c>
      <c r="AO507" s="4">
        <f t="shared" si="246"/>
        <v>1.8681133956019114E-2</v>
      </c>
      <c r="AP507" s="4">
        <f>Alternatives!$F$25+Alternatives!$F$26*J507+Alternatives!$F$27*K507+Alternatives!$F$28*G507+Alternatives!$F$29*O507</f>
        <v>3.3613240769437112</v>
      </c>
      <c r="AQ507" s="4">
        <f t="shared" si="247"/>
        <v>5.59795663810565E-2</v>
      </c>
    </row>
    <row r="508" spans="1:43" x14ac:dyDescent="0.35">
      <c r="A508" s="2" t="s">
        <v>417</v>
      </c>
      <c r="B508" s="2" t="s">
        <v>387</v>
      </c>
      <c r="C508" s="2" t="s">
        <v>67</v>
      </c>
      <c r="D508" s="2">
        <v>28.669799999999999</v>
      </c>
      <c r="E508" s="2">
        <v>4500</v>
      </c>
      <c r="F508" s="2">
        <v>300</v>
      </c>
      <c r="G508" s="2">
        <v>51</v>
      </c>
      <c r="H508" s="2" t="s">
        <v>68</v>
      </c>
      <c r="I508" s="4">
        <f t="shared" si="217"/>
        <v>3.3558443039379156</v>
      </c>
      <c r="J508" s="4">
        <f t="shared" si="218"/>
        <v>8.4118326757584114</v>
      </c>
      <c r="K508" s="4">
        <f t="shared" si="219"/>
        <v>5.7037824746562009</v>
      </c>
      <c r="L508" s="2">
        <v>0</v>
      </c>
      <c r="M508" s="2">
        <v>0</v>
      </c>
      <c r="N508" s="4">
        <f t="shared" si="220"/>
        <v>51</v>
      </c>
      <c r="O508" s="4">
        <f t="shared" si="221"/>
        <v>0</v>
      </c>
      <c r="P508" s="4">
        <f t="shared" si="222"/>
        <v>0</v>
      </c>
      <c r="Q508" s="4">
        <f t="shared" si="223"/>
        <v>8.4118326757584114</v>
      </c>
      <c r="R508" s="4">
        <f t="shared" si="224"/>
        <v>5.7037824746562009</v>
      </c>
      <c r="S508" s="4">
        <f t="shared" si="225"/>
        <v>51</v>
      </c>
      <c r="T508" s="4">
        <f t="shared" si="226"/>
        <v>0</v>
      </c>
      <c r="U508" s="4">
        <f t="shared" si="227"/>
        <v>8.4118326757584114</v>
      </c>
      <c r="V508" s="4">
        <f t="shared" si="228"/>
        <v>5.7037824746562009</v>
      </c>
      <c r="W508" s="4">
        <f t="shared" si="229"/>
        <v>51</v>
      </c>
      <c r="X508" s="4">
        <f t="shared" si="230"/>
        <v>0</v>
      </c>
      <c r="Y508" s="4">
        <f t="shared" si="231"/>
        <v>8.4118326757584114</v>
      </c>
      <c r="Z508" s="4">
        <f t="shared" si="232"/>
        <v>5.7037824746562009</v>
      </c>
      <c r="AA508" s="4">
        <f t="shared" si="233"/>
        <v>51</v>
      </c>
      <c r="AB508" s="4">
        <f t="shared" si="234"/>
        <v>0</v>
      </c>
      <c r="AC508" s="4">
        <f t="shared" si="235"/>
        <v>0</v>
      </c>
      <c r="AD508" s="4">
        <f t="shared" si="236"/>
        <v>0</v>
      </c>
      <c r="AE508" s="4">
        <f t="shared" si="237"/>
        <v>0</v>
      </c>
      <c r="AF508" s="4">
        <f t="shared" si="238"/>
        <v>0</v>
      </c>
      <c r="AG508" s="4">
        <f t="shared" si="239"/>
        <v>8.4118326757584114</v>
      </c>
      <c r="AH508" s="4">
        <f t="shared" si="240"/>
        <v>0</v>
      </c>
      <c r="AI508" s="4">
        <f t="shared" si="241"/>
        <v>0</v>
      </c>
      <c r="AJ508" s="4">
        <f t="shared" si="242"/>
        <v>8.4118326757584114</v>
      </c>
      <c r="AK508" s="4">
        <f t="shared" si="243"/>
        <v>5.7037824746562009</v>
      </c>
      <c r="AL508" s="4">
        <f t="shared" si="244"/>
        <v>0</v>
      </c>
      <c r="AM508" s="4">
        <f>CER!$C$7+CER!$C$8*J508+CER!$C$9*K508+CER!$C$10*L508+CER!$C$11*M508</f>
        <v>3.3453010549899487</v>
      </c>
      <c r="AN508" s="4">
        <f t="shared" si="245"/>
        <v>28.369115044822525</v>
      </c>
      <c r="AO508" s="4">
        <f t="shared" si="246"/>
        <v>1.0543248947966877E-2</v>
      </c>
      <c r="AP508" s="4">
        <f>Alternatives!$F$25+Alternatives!$F$26*J508+Alternatives!$F$27*K508+Alternatives!$F$28*G508+Alternatives!$F$29*O508</f>
        <v>3.3762978349046007</v>
      </c>
      <c r="AQ508" s="4">
        <f t="shared" si="247"/>
        <v>-2.0453530966685118E-2</v>
      </c>
    </row>
    <row r="509" spans="1:43" x14ac:dyDescent="0.35">
      <c r="A509" s="2" t="s">
        <v>417</v>
      </c>
      <c r="B509" s="2" t="s">
        <v>387</v>
      </c>
      <c r="C509" s="2" t="s">
        <v>67</v>
      </c>
      <c r="D509" s="2">
        <v>32.267000000000003</v>
      </c>
      <c r="E509" s="2">
        <v>4500</v>
      </c>
      <c r="F509" s="2">
        <v>300</v>
      </c>
      <c r="G509" s="2">
        <v>51</v>
      </c>
      <c r="H509" s="2" t="s">
        <v>68</v>
      </c>
      <c r="I509" s="4">
        <f t="shared" si="217"/>
        <v>3.4740450361395743</v>
      </c>
      <c r="J509" s="4">
        <f t="shared" si="218"/>
        <v>8.4118326757584114</v>
      </c>
      <c r="K509" s="4">
        <f t="shared" si="219"/>
        <v>5.7037824746562009</v>
      </c>
      <c r="L509" s="2">
        <v>0</v>
      </c>
      <c r="M509" s="2">
        <v>0</v>
      </c>
      <c r="N509" s="4">
        <f t="shared" si="220"/>
        <v>51</v>
      </c>
      <c r="O509" s="4">
        <f t="shared" si="221"/>
        <v>0</v>
      </c>
      <c r="P509" s="4">
        <f t="shared" si="222"/>
        <v>0</v>
      </c>
      <c r="Q509" s="4">
        <f t="shared" si="223"/>
        <v>8.4118326757584114</v>
      </c>
      <c r="R509" s="4">
        <f t="shared" si="224"/>
        <v>5.7037824746562009</v>
      </c>
      <c r="S509" s="4">
        <f t="shared" si="225"/>
        <v>51</v>
      </c>
      <c r="T509" s="4">
        <f t="shared" si="226"/>
        <v>0</v>
      </c>
      <c r="U509" s="4">
        <f t="shared" si="227"/>
        <v>8.4118326757584114</v>
      </c>
      <c r="V509" s="4">
        <f t="shared" si="228"/>
        <v>5.7037824746562009</v>
      </c>
      <c r="W509" s="4">
        <f t="shared" si="229"/>
        <v>51</v>
      </c>
      <c r="X509" s="4">
        <f t="shared" si="230"/>
        <v>0</v>
      </c>
      <c r="Y509" s="4">
        <f t="shared" si="231"/>
        <v>8.4118326757584114</v>
      </c>
      <c r="Z509" s="4">
        <f t="shared" si="232"/>
        <v>5.7037824746562009</v>
      </c>
      <c r="AA509" s="4">
        <f t="shared" si="233"/>
        <v>51</v>
      </c>
      <c r="AB509" s="4">
        <f t="shared" si="234"/>
        <v>0</v>
      </c>
      <c r="AC509" s="4">
        <f t="shared" si="235"/>
        <v>0</v>
      </c>
      <c r="AD509" s="4">
        <f t="shared" si="236"/>
        <v>0</v>
      </c>
      <c r="AE509" s="4">
        <f t="shared" si="237"/>
        <v>0</v>
      </c>
      <c r="AF509" s="4">
        <f t="shared" si="238"/>
        <v>0</v>
      </c>
      <c r="AG509" s="4">
        <f t="shared" si="239"/>
        <v>8.4118326757584114</v>
      </c>
      <c r="AH509" s="4">
        <f t="shared" si="240"/>
        <v>0</v>
      </c>
      <c r="AI509" s="4">
        <f t="shared" si="241"/>
        <v>0</v>
      </c>
      <c r="AJ509" s="4">
        <f t="shared" si="242"/>
        <v>8.4118326757584114</v>
      </c>
      <c r="AK509" s="4">
        <f t="shared" si="243"/>
        <v>5.7037824746562009</v>
      </c>
      <c r="AL509" s="4">
        <f t="shared" si="244"/>
        <v>0</v>
      </c>
      <c r="AM509" s="4">
        <f>CER!$C$7+CER!$C$8*J509+CER!$C$9*K509+CER!$C$10*L509+CER!$C$11*M509</f>
        <v>3.3453010549899487</v>
      </c>
      <c r="AN509" s="4">
        <f t="shared" si="245"/>
        <v>28.369115044822525</v>
      </c>
      <c r="AO509" s="4">
        <f t="shared" si="246"/>
        <v>0.1287439811496256</v>
      </c>
      <c r="AP509" s="4">
        <f>Alternatives!$F$25+Alternatives!$F$26*J509+Alternatives!$F$27*K509+Alternatives!$F$28*G509+Alternatives!$F$29*O509</f>
        <v>3.3762978349046007</v>
      </c>
      <c r="AQ509" s="4">
        <f t="shared" si="247"/>
        <v>9.7747201234973602E-2</v>
      </c>
    </row>
    <row r="510" spans="1:43" x14ac:dyDescent="0.35">
      <c r="A510" s="2" t="s">
        <v>417</v>
      </c>
      <c r="B510" s="2" t="s">
        <v>387</v>
      </c>
      <c r="C510" s="2" t="s">
        <v>67</v>
      </c>
      <c r="D510" s="2">
        <v>26.565200000000001</v>
      </c>
      <c r="E510" s="2">
        <v>4500</v>
      </c>
      <c r="F510" s="2">
        <v>375</v>
      </c>
      <c r="G510" s="2">
        <v>51</v>
      </c>
      <c r="H510" s="2" t="s">
        <v>68</v>
      </c>
      <c r="I510" s="4">
        <f t="shared" si="217"/>
        <v>3.279602088577747</v>
      </c>
      <c r="J510" s="4">
        <f t="shared" si="218"/>
        <v>8.4118326757584114</v>
      </c>
      <c r="K510" s="4">
        <f t="shared" si="219"/>
        <v>5.9269260259704106</v>
      </c>
      <c r="L510" s="2">
        <v>0</v>
      </c>
      <c r="M510" s="2">
        <v>0</v>
      </c>
      <c r="N510" s="4">
        <f t="shared" si="220"/>
        <v>51</v>
      </c>
      <c r="O510" s="4">
        <f t="shared" si="221"/>
        <v>0</v>
      </c>
      <c r="P510" s="4">
        <f t="shared" si="222"/>
        <v>0</v>
      </c>
      <c r="Q510" s="4">
        <f t="shared" si="223"/>
        <v>8.4118326757584114</v>
      </c>
      <c r="R510" s="4">
        <f t="shared" si="224"/>
        <v>5.9269260259704106</v>
      </c>
      <c r="S510" s="4">
        <f t="shared" si="225"/>
        <v>51</v>
      </c>
      <c r="T510" s="4">
        <f t="shared" si="226"/>
        <v>0</v>
      </c>
      <c r="U510" s="4">
        <f t="shared" si="227"/>
        <v>8.4118326757584114</v>
      </c>
      <c r="V510" s="4">
        <f t="shared" si="228"/>
        <v>5.9269260259704106</v>
      </c>
      <c r="W510" s="4">
        <f t="shared" si="229"/>
        <v>51</v>
      </c>
      <c r="X510" s="4">
        <f t="shared" si="230"/>
        <v>0</v>
      </c>
      <c r="Y510" s="4">
        <f t="shared" si="231"/>
        <v>8.4118326757584114</v>
      </c>
      <c r="Z510" s="4">
        <f t="shared" si="232"/>
        <v>5.9269260259704106</v>
      </c>
      <c r="AA510" s="4">
        <f t="shared" si="233"/>
        <v>51</v>
      </c>
      <c r="AB510" s="4">
        <f t="shared" si="234"/>
        <v>0</v>
      </c>
      <c r="AC510" s="4">
        <f t="shared" si="235"/>
        <v>0</v>
      </c>
      <c r="AD510" s="4">
        <f t="shared" si="236"/>
        <v>0</v>
      </c>
      <c r="AE510" s="4">
        <f t="shared" si="237"/>
        <v>0</v>
      </c>
      <c r="AF510" s="4">
        <f t="shared" si="238"/>
        <v>0</v>
      </c>
      <c r="AG510" s="4">
        <f t="shared" si="239"/>
        <v>8.4118326757584114</v>
      </c>
      <c r="AH510" s="4">
        <f t="shared" si="240"/>
        <v>0</v>
      </c>
      <c r="AI510" s="4">
        <f t="shared" si="241"/>
        <v>0</v>
      </c>
      <c r="AJ510" s="4">
        <f t="shared" si="242"/>
        <v>8.4118326757584114</v>
      </c>
      <c r="AK510" s="4">
        <f t="shared" si="243"/>
        <v>5.9269260259704106</v>
      </c>
      <c r="AL510" s="4">
        <f t="shared" si="244"/>
        <v>0</v>
      </c>
      <c r="AM510" s="4">
        <f>CER!$C$7+CER!$C$8*J510+CER!$C$9*K510+CER!$C$10*L510+CER!$C$11*M510</f>
        <v>3.2629736444425244</v>
      </c>
      <c r="AN510" s="4">
        <f t="shared" si="245"/>
        <v>26.127114490432071</v>
      </c>
      <c r="AO510" s="4">
        <f t="shared" si="246"/>
        <v>1.6628444135222686E-2</v>
      </c>
      <c r="AP510" s="4">
        <f>Alternatives!$F$25+Alternatives!$F$26*J510+Alternatives!$F$27*K510+Alternatives!$F$28*G510+Alternatives!$F$29*O510</f>
        <v>3.3169171116251102</v>
      </c>
      <c r="AQ510" s="4">
        <f t="shared" si="247"/>
        <v>-3.7315023047363116E-2</v>
      </c>
    </row>
    <row r="511" spans="1:43" x14ac:dyDescent="0.35">
      <c r="A511" s="2" t="s">
        <v>418</v>
      </c>
      <c r="B511" s="2" t="s">
        <v>419</v>
      </c>
      <c r="C511" s="2" t="s">
        <v>67</v>
      </c>
      <c r="D511" s="2">
        <v>20.220600000000001</v>
      </c>
      <c r="E511" s="2">
        <v>6000</v>
      </c>
      <c r="F511" s="2">
        <v>286</v>
      </c>
      <c r="G511" s="2">
        <v>51.8</v>
      </c>
      <c r="H511" s="2" t="s">
        <v>68</v>
      </c>
      <c r="I511" s="4">
        <f t="shared" si="217"/>
        <v>3.0067018867425777</v>
      </c>
      <c r="J511" s="4">
        <f t="shared" si="218"/>
        <v>8.6995147482101913</v>
      </c>
      <c r="K511" s="4">
        <f t="shared" si="219"/>
        <v>5.6559918108198524</v>
      </c>
      <c r="L511" s="2">
        <v>0</v>
      </c>
      <c r="M511" s="2">
        <v>0</v>
      </c>
      <c r="N511" s="4">
        <f t="shared" si="220"/>
        <v>51.8</v>
      </c>
      <c r="O511" s="4">
        <f t="shared" si="221"/>
        <v>0</v>
      </c>
      <c r="P511" s="4">
        <f t="shared" si="222"/>
        <v>0</v>
      </c>
      <c r="Q511" s="4">
        <f t="shared" si="223"/>
        <v>8.6995147482101913</v>
      </c>
      <c r="R511" s="4">
        <f t="shared" si="224"/>
        <v>5.6559918108198524</v>
      </c>
      <c r="S511" s="4">
        <f t="shared" si="225"/>
        <v>51.8</v>
      </c>
      <c r="T511" s="4">
        <f t="shared" si="226"/>
        <v>0</v>
      </c>
      <c r="U511" s="4">
        <f t="shared" si="227"/>
        <v>8.6995147482101913</v>
      </c>
      <c r="V511" s="4">
        <f t="shared" si="228"/>
        <v>5.6559918108198524</v>
      </c>
      <c r="W511" s="4">
        <f t="shared" si="229"/>
        <v>51.8</v>
      </c>
      <c r="X511" s="4">
        <f t="shared" si="230"/>
        <v>0</v>
      </c>
      <c r="Y511" s="4">
        <f t="shared" si="231"/>
        <v>8.6995147482101913</v>
      </c>
      <c r="Z511" s="4">
        <f t="shared" si="232"/>
        <v>5.6559918108198524</v>
      </c>
      <c r="AA511" s="4">
        <f t="shared" si="233"/>
        <v>51.8</v>
      </c>
      <c r="AB511" s="4">
        <f t="shared" si="234"/>
        <v>0</v>
      </c>
      <c r="AC511" s="4">
        <f t="shared" si="235"/>
        <v>0</v>
      </c>
      <c r="AD511" s="4">
        <f t="shared" si="236"/>
        <v>0</v>
      </c>
      <c r="AE511" s="4">
        <f t="shared" si="237"/>
        <v>0</v>
      </c>
      <c r="AF511" s="4">
        <f t="shared" si="238"/>
        <v>0</v>
      </c>
      <c r="AG511" s="4">
        <f t="shared" si="239"/>
        <v>8.6995147482101913</v>
      </c>
      <c r="AH511" s="4">
        <f t="shared" si="240"/>
        <v>0</v>
      </c>
      <c r="AI511" s="4">
        <f t="shared" si="241"/>
        <v>0</v>
      </c>
      <c r="AJ511" s="4">
        <f t="shared" si="242"/>
        <v>8.6995147482101913</v>
      </c>
      <c r="AK511" s="4">
        <f t="shared" si="243"/>
        <v>5.6559918108198524</v>
      </c>
      <c r="AL511" s="4">
        <f t="shared" si="244"/>
        <v>0</v>
      </c>
      <c r="AM511" s="4">
        <f>CER!$C$7+CER!$C$8*J511+CER!$C$9*K511+CER!$C$10*L511+CER!$C$11*M511</f>
        <v>3.232696822242286</v>
      </c>
      <c r="AN511" s="4">
        <f t="shared" si="245"/>
        <v>25.34792372243195</v>
      </c>
      <c r="AO511" s="4">
        <f t="shared" si="246"/>
        <v>-0.22599493549970839</v>
      </c>
      <c r="AP511" s="4">
        <f>Alternatives!$F$25+Alternatives!$F$26*J511+Alternatives!$F$27*K511+Alternatives!$F$28*G511+Alternatives!$F$29*O511</f>
        <v>3.4850766564541642</v>
      </c>
      <c r="AQ511" s="4">
        <f t="shared" si="247"/>
        <v>-0.47837476971158654</v>
      </c>
    </row>
    <row r="512" spans="1:43" x14ac:dyDescent="0.35">
      <c r="A512" s="2" t="s">
        <v>420</v>
      </c>
      <c r="B512" s="2" t="s">
        <v>419</v>
      </c>
      <c r="C512" s="2" t="s">
        <v>67</v>
      </c>
      <c r="D512" s="2">
        <v>20.220600000000001</v>
      </c>
      <c r="E512" s="2">
        <v>6000</v>
      </c>
      <c r="F512" s="2">
        <v>286</v>
      </c>
      <c r="G512" s="2">
        <v>51.8</v>
      </c>
      <c r="H512" s="2" t="s">
        <v>68</v>
      </c>
      <c r="I512" s="4">
        <f t="shared" si="217"/>
        <v>3.0067018867425777</v>
      </c>
      <c r="J512" s="4">
        <f t="shared" si="218"/>
        <v>8.6995147482101913</v>
      </c>
      <c r="K512" s="4">
        <f t="shared" si="219"/>
        <v>5.6559918108198524</v>
      </c>
      <c r="L512" s="2">
        <v>0</v>
      </c>
      <c r="M512" s="2">
        <v>0</v>
      </c>
      <c r="N512" s="4">
        <f t="shared" si="220"/>
        <v>51.8</v>
      </c>
      <c r="O512" s="4">
        <f t="shared" si="221"/>
        <v>0</v>
      </c>
      <c r="P512" s="4">
        <f t="shared" si="222"/>
        <v>0</v>
      </c>
      <c r="Q512" s="4">
        <f t="shared" si="223"/>
        <v>8.6995147482101913</v>
      </c>
      <c r="R512" s="4">
        <f t="shared" si="224"/>
        <v>5.6559918108198524</v>
      </c>
      <c r="S512" s="4">
        <f t="shared" si="225"/>
        <v>51.8</v>
      </c>
      <c r="T512" s="4">
        <f t="shared" si="226"/>
        <v>0</v>
      </c>
      <c r="U512" s="4">
        <f t="shared" si="227"/>
        <v>8.6995147482101913</v>
      </c>
      <c r="V512" s="4">
        <f t="shared" si="228"/>
        <v>5.6559918108198524</v>
      </c>
      <c r="W512" s="4">
        <f t="shared" si="229"/>
        <v>51.8</v>
      </c>
      <c r="X512" s="4">
        <f t="shared" si="230"/>
        <v>0</v>
      </c>
      <c r="Y512" s="4">
        <f t="shared" si="231"/>
        <v>8.6995147482101913</v>
      </c>
      <c r="Z512" s="4">
        <f t="shared" si="232"/>
        <v>5.6559918108198524</v>
      </c>
      <c r="AA512" s="4">
        <f t="shared" si="233"/>
        <v>51.8</v>
      </c>
      <c r="AB512" s="4">
        <f t="shared" si="234"/>
        <v>0</v>
      </c>
      <c r="AC512" s="4">
        <f t="shared" si="235"/>
        <v>0</v>
      </c>
      <c r="AD512" s="4">
        <f t="shared" si="236"/>
        <v>0</v>
      </c>
      <c r="AE512" s="4">
        <f t="shared" si="237"/>
        <v>0</v>
      </c>
      <c r="AF512" s="4">
        <f t="shared" si="238"/>
        <v>0</v>
      </c>
      <c r="AG512" s="4">
        <f t="shared" si="239"/>
        <v>8.6995147482101913</v>
      </c>
      <c r="AH512" s="4">
        <f t="shared" si="240"/>
        <v>0</v>
      </c>
      <c r="AI512" s="4">
        <f t="shared" si="241"/>
        <v>0</v>
      </c>
      <c r="AJ512" s="4">
        <f t="shared" si="242"/>
        <v>8.6995147482101913</v>
      </c>
      <c r="AK512" s="4">
        <f t="shared" si="243"/>
        <v>5.6559918108198524</v>
      </c>
      <c r="AL512" s="4">
        <f t="shared" si="244"/>
        <v>0</v>
      </c>
      <c r="AM512" s="4">
        <f>CER!$C$7+CER!$C$8*J512+CER!$C$9*K512+CER!$C$10*L512+CER!$C$11*M512</f>
        <v>3.232696822242286</v>
      </c>
      <c r="AN512" s="4">
        <f t="shared" si="245"/>
        <v>25.34792372243195</v>
      </c>
      <c r="AO512" s="4">
        <f t="shared" si="246"/>
        <v>-0.22599493549970839</v>
      </c>
      <c r="AP512" s="4">
        <f>Alternatives!$F$25+Alternatives!$F$26*J512+Alternatives!$F$27*K512+Alternatives!$F$28*G512+Alternatives!$F$29*O512</f>
        <v>3.4850766564541642</v>
      </c>
      <c r="AQ512" s="4">
        <f t="shared" si="247"/>
        <v>-0.47837476971158654</v>
      </c>
    </row>
    <row r="513" spans="1:43" x14ac:dyDescent="0.35">
      <c r="A513" s="2" t="s">
        <v>421</v>
      </c>
      <c r="B513" s="2" t="s">
        <v>419</v>
      </c>
      <c r="C513" s="2" t="s">
        <v>67</v>
      </c>
      <c r="D513" s="2">
        <v>18.869</v>
      </c>
      <c r="E513" s="2">
        <v>6500</v>
      </c>
      <c r="F513" s="2">
        <v>286</v>
      </c>
      <c r="G513" s="2">
        <v>51.8</v>
      </c>
      <c r="H513" s="2" t="s">
        <v>68</v>
      </c>
      <c r="I513" s="4">
        <f t="shared" si="217"/>
        <v>2.9375203638055769</v>
      </c>
      <c r="J513" s="4">
        <f t="shared" si="218"/>
        <v>8.7795574558837277</v>
      </c>
      <c r="K513" s="4">
        <f t="shared" si="219"/>
        <v>5.6559918108198524</v>
      </c>
      <c r="L513" s="2">
        <v>0</v>
      </c>
      <c r="M513" s="2">
        <v>0</v>
      </c>
      <c r="N513" s="4">
        <f t="shared" si="220"/>
        <v>51.8</v>
      </c>
      <c r="O513" s="4">
        <f t="shared" si="221"/>
        <v>0</v>
      </c>
      <c r="P513" s="4">
        <f t="shared" si="222"/>
        <v>0</v>
      </c>
      <c r="Q513" s="4">
        <f t="shared" si="223"/>
        <v>8.7795574558837277</v>
      </c>
      <c r="R513" s="4">
        <f t="shared" si="224"/>
        <v>5.6559918108198524</v>
      </c>
      <c r="S513" s="4">
        <f t="shared" si="225"/>
        <v>51.8</v>
      </c>
      <c r="T513" s="4">
        <f t="shared" si="226"/>
        <v>0</v>
      </c>
      <c r="U513" s="4">
        <f t="shared" si="227"/>
        <v>8.7795574558837277</v>
      </c>
      <c r="V513" s="4">
        <f t="shared" si="228"/>
        <v>5.6559918108198524</v>
      </c>
      <c r="W513" s="4">
        <f t="shared" si="229"/>
        <v>51.8</v>
      </c>
      <c r="X513" s="4">
        <f t="shared" si="230"/>
        <v>0</v>
      </c>
      <c r="Y513" s="4">
        <f t="shared" si="231"/>
        <v>8.7795574558837277</v>
      </c>
      <c r="Z513" s="4">
        <f t="shared" si="232"/>
        <v>5.6559918108198524</v>
      </c>
      <c r="AA513" s="4">
        <f t="shared" si="233"/>
        <v>51.8</v>
      </c>
      <c r="AB513" s="4">
        <f t="shared" si="234"/>
        <v>0</v>
      </c>
      <c r="AC513" s="4">
        <f t="shared" si="235"/>
        <v>0</v>
      </c>
      <c r="AD513" s="4">
        <f t="shared" si="236"/>
        <v>0</v>
      </c>
      <c r="AE513" s="4">
        <f t="shared" si="237"/>
        <v>0</v>
      </c>
      <c r="AF513" s="4">
        <f t="shared" si="238"/>
        <v>0</v>
      </c>
      <c r="AG513" s="4">
        <f t="shared" si="239"/>
        <v>8.7795574558837277</v>
      </c>
      <c r="AH513" s="4">
        <f t="shared" si="240"/>
        <v>0</v>
      </c>
      <c r="AI513" s="4">
        <f t="shared" si="241"/>
        <v>0</v>
      </c>
      <c r="AJ513" s="4">
        <f t="shared" si="242"/>
        <v>8.7795574558837277</v>
      </c>
      <c r="AK513" s="4">
        <f t="shared" si="243"/>
        <v>5.6559918108198524</v>
      </c>
      <c r="AL513" s="4">
        <f t="shared" si="244"/>
        <v>0</v>
      </c>
      <c r="AM513" s="4">
        <f>CER!$C$7+CER!$C$8*J513+CER!$C$9*K513+CER!$C$10*L513+CER!$C$11*M513</f>
        <v>3.1964607585189726</v>
      </c>
      <c r="AN513" s="4">
        <f t="shared" si="245"/>
        <v>24.445857117554301</v>
      </c>
      <c r="AO513" s="4">
        <f t="shared" si="246"/>
        <v>-0.25894039471339569</v>
      </c>
      <c r="AP513" s="4">
        <f>Alternatives!$F$25+Alternatives!$F$26*J513+Alternatives!$F$27*K513+Alternatives!$F$28*G513+Alternatives!$F$29*O513</f>
        <v>3.5146993402128297</v>
      </c>
      <c r="AQ513" s="4">
        <f t="shared" si="247"/>
        <v>-0.5771789764072528</v>
      </c>
    </row>
    <row r="514" spans="1:43" x14ac:dyDescent="0.35">
      <c r="A514" s="2" t="s">
        <v>422</v>
      </c>
      <c r="B514" s="2" t="s">
        <v>419</v>
      </c>
      <c r="C514" s="2" t="s">
        <v>67</v>
      </c>
      <c r="D514" s="2">
        <v>18.869</v>
      </c>
      <c r="E514" s="2">
        <v>6500</v>
      </c>
      <c r="F514" s="2">
        <v>286</v>
      </c>
      <c r="G514" s="2">
        <v>57.2</v>
      </c>
      <c r="H514" s="2" t="s">
        <v>68</v>
      </c>
      <c r="I514" s="4">
        <f t="shared" ref="I514:I577" si="248">LN(D514)</f>
        <v>2.9375203638055769</v>
      </c>
      <c r="J514" s="4">
        <f t="shared" ref="J514:J577" si="249">LN(E514)</f>
        <v>8.7795574558837277</v>
      </c>
      <c r="K514" s="4">
        <f t="shared" ref="K514:K577" si="250">LN(F514)</f>
        <v>5.6559918108198524</v>
      </c>
      <c r="L514" s="2">
        <v>0</v>
      </c>
      <c r="M514" s="2">
        <v>0</v>
      </c>
      <c r="N514" s="4">
        <f t="shared" ref="N514:N577" si="251">G514</f>
        <v>57.2</v>
      </c>
      <c r="O514" s="4">
        <f t="shared" ref="O514:O577" si="252">L514+M514</f>
        <v>0</v>
      </c>
      <c r="P514" s="4">
        <f t="shared" ref="P514:P577" si="253">L514+2*M514</f>
        <v>0</v>
      </c>
      <c r="Q514" s="4">
        <f t="shared" ref="Q514:Q577" si="254">J514</f>
        <v>8.7795574558837277</v>
      </c>
      <c r="R514" s="4">
        <f t="shared" ref="R514:R577" si="255">K514</f>
        <v>5.6559918108198524</v>
      </c>
      <c r="S514" s="4">
        <f t="shared" ref="S514:S577" si="256">G514</f>
        <v>57.2</v>
      </c>
      <c r="T514" s="4">
        <f t="shared" ref="T514:T577" si="257">O514</f>
        <v>0</v>
      </c>
      <c r="U514" s="4">
        <f t="shared" ref="U514:U577" si="258">J514</f>
        <v>8.7795574558837277</v>
      </c>
      <c r="V514" s="4">
        <f t="shared" ref="V514:V577" si="259">K514</f>
        <v>5.6559918108198524</v>
      </c>
      <c r="W514" s="4">
        <f t="shared" ref="W514:W577" si="260">G514</f>
        <v>57.2</v>
      </c>
      <c r="X514" s="4">
        <f t="shared" ref="X514:X577" si="261">P514</f>
        <v>0</v>
      </c>
      <c r="Y514" s="4">
        <f t="shared" ref="Y514:Y577" si="262">J514</f>
        <v>8.7795574558837277</v>
      </c>
      <c r="Z514" s="4">
        <f t="shared" ref="Z514:Z577" si="263">K514</f>
        <v>5.6559918108198524</v>
      </c>
      <c r="AA514" s="4">
        <f t="shared" ref="AA514:AA577" si="264">G514</f>
        <v>57.2</v>
      </c>
      <c r="AB514" s="4">
        <f t="shared" ref="AB514:AB577" si="265">L514</f>
        <v>0</v>
      </c>
      <c r="AC514" s="4">
        <f t="shared" ref="AC514:AC577" si="266">M514</f>
        <v>0</v>
      </c>
      <c r="AD514" s="4">
        <f t="shared" ref="AD514:AD577" si="267">M514*J514</f>
        <v>0</v>
      </c>
      <c r="AE514" s="4">
        <f t="shared" ref="AE514:AE577" si="268">M514*K514</f>
        <v>0</v>
      </c>
      <c r="AF514" s="4">
        <f t="shared" ref="AF514:AF577" si="269">M514*G514</f>
        <v>0</v>
      </c>
      <c r="AG514" s="4">
        <f t="shared" ref="AG514:AG577" si="270">J514</f>
        <v>8.7795574558837277</v>
      </c>
      <c r="AH514" s="4">
        <f t="shared" ref="AH514:AH577" si="271">L514</f>
        <v>0</v>
      </c>
      <c r="AI514" s="4">
        <f t="shared" ref="AI514:AI577" si="272">M514</f>
        <v>0</v>
      </c>
      <c r="AJ514" s="4">
        <f t="shared" ref="AJ514:AJ577" si="273">J514</f>
        <v>8.7795574558837277</v>
      </c>
      <c r="AK514" s="4">
        <f t="shared" ref="AK514:AK577" si="274">K514</f>
        <v>5.6559918108198524</v>
      </c>
      <c r="AL514" s="4">
        <f t="shared" ref="AL514:AL577" si="275">M514</f>
        <v>0</v>
      </c>
      <c r="AM514" s="4">
        <f>CER!$C$7+CER!$C$8*J514+CER!$C$9*K514+CER!$C$10*L514+CER!$C$11*M514</f>
        <v>3.1964607585189726</v>
      </c>
      <c r="AN514" s="4">
        <f t="shared" ref="AN514:AN577" si="276">EXP(AM514)</f>
        <v>24.445857117554301</v>
      </c>
      <c r="AO514" s="4">
        <f t="shared" ref="AO514:AO577" si="277">I514-AM514</f>
        <v>-0.25894039471339569</v>
      </c>
      <c r="AP514" s="4">
        <f>Alternatives!$F$25+Alternatives!$F$26*J514+Alternatives!$F$27*K514+Alternatives!$F$28*G514+Alternatives!$F$29*O514</f>
        <v>3.4444598416847967</v>
      </c>
      <c r="AQ514" s="4">
        <f t="shared" ref="AQ514:AQ577" si="278">I514-AP514</f>
        <v>-0.50693947787921978</v>
      </c>
    </row>
    <row r="515" spans="1:43" x14ac:dyDescent="0.35">
      <c r="A515" s="2" t="s">
        <v>423</v>
      </c>
      <c r="B515" s="2" t="s">
        <v>424</v>
      </c>
      <c r="C515" s="2" t="s">
        <v>67</v>
      </c>
      <c r="D515" s="2">
        <v>31.071100000000001</v>
      </c>
      <c r="E515" s="2">
        <v>4500</v>
      </c>
      <c r="F515" s="2">
        <v>250</v>
      </c>
      <c r="G515" s="2">
        <v>51.1</v>
      </c>
      <c r="H515" s="2" t="s">
        <v>68</v>
      </c>
      <c r="I515" s="4">
        <f t="shared" si="248"/>
        <v>3.436278126704869</v>
      </c>
      <c r="J515" s="4">
        <f t="shared" si="249"/>
        <v>8.4118326757584114</v>
      </c>
      <c r="K515" s="4">
        <f t="shared" si="250"/>
        <v>5.521460917862246</v>
      </c>
      <c r="L515" s="2">
        <v>0</v>
      </c>
      <c r="M515" s="2">
        <v>0</v>
      </c>
      <c r="N515" s="4">
        <f t="shared" si="251"/>
        <v>51.1</v>
      </c>
      <c r="O515" s="4">
        <f t="shared" si="252"/>
        <v>0</v>
      </c>
      <c r="P515" s="4">
        <f t="shared" si="253"/>
        <v>0</v>
      </c>
      <c r="Q515" s="4">
        <f t="shared" si="254"/>
        <v>8.4118326757584114</v>
      </c>
      <c r="R515" s="4">
        <f t="shared" si="255"/>
        <v>5.521460917862246</v>
      </c>
      <c r="S515" s="4">
        <f t="shared" si="256"/>
        <v>51.1</v>
      </c>
      <c r="T515" s="4">
        <f t="shared" si="257"/>
        <v>0</v>
      </c>
      <c r="U515" s="4">
        <f t="shared" si="258"/>
        <v>8.4118326757584114</v>
      </c>
      <c r="V515" s="4">
        <f t="shared" si="259"/>
        <v>5.521460917862246</v>
      </c>
      <c r="W515" s="4">
        <f t="shared" si="260"/>
        <v>51.1</v>
      </c>
      <c r="X515" s="4">
        <f t="shared" si="261"/>
        <v>0</v>
      </c>
      <c r="Y515" s="4">
        <f t="shared" si="262"/>
        <v>8.4118326757584114</v>
      </c>
      <c r="Z515" s="4">
        <f t="shared" si="263"/>
        <v>5.521460917862246</v>
      </c>
      <c r="AA515" s="4">
        <f t="shared" si="264"/>
        <v>51.1</v>
      </c>
      <c r="AB515" s="4">
        <f t="shared" si="265"/>
        <v>0</v>
      </c>
      <c r="AC515" s="4">
        <f t="shared" si="266"/>
        <v>0</v>
      </c>
      <c r="AD515" s="4">
        <f t="shared" si="267"/>
        <v>0</v>
      </c>
      <c r="AE515" s="4">
        <f t="shared" si="268"/>
        <v>0</v>
      </c>
      <c r="AF515" s="4">
        <f t="shared" si="269"/>
        <v>0</v>
      </c>
      <c r="AG515" s="4">
        <f t="shared" si="270"/>
        <v>8.4118326757584114</v>
      </c>
      <c r="AH515" s="4">
        <f t="shared" si="271"/>
        <v>0</v>
      </c>
      <c r="AI515" s="4">
        <f t="shared" si="272"/>
        <v>0</v>
      </c>
      <c r="AJ515" s="4">
        <f t="shared" si="273"/>
        <v>8.4118326757584114</v>
      </c>
      <c r="AK515" s="4">
        <f t="shared" si="274"/>
        <v>5.521460917862246</v>
      </c>
      <c r="AL515" s="4">
        <f t="shared" si="275"/>
        <v>0</v>
      </c>
      <c r="AM515" s="4">
        <f>CER!$C$7+CER!$C$8*J515+CER!$C$9*K515+CER!$C$10*L515+CER!$C$11*M515</f>
        <v>3.4125674472715954</v>
      </c>
      <c r="AN515" s="4">
        <f t="shared" si="276"/>
        <v>30.343048514620364</v>
      </c>
      <c r="AO515" s="4">
        <f t="shared" si="277"/>
        <v>2.371067943327354E-2</v>
      </c>
      <c r="AP515" s="4">
        <f>Alternatives!$F$25+Alternatives!$F$26*J515+Alternatives!$F$27*K515+Alternatives!$F$28*G515+Alternatives!$F$29*O515</f>
        <v>3.4235146870780717</v>
      </c>
      <c r="AQ515" s="4">
        <f t="shared" si="278"/>
        <v>1.2763439626797268E-2</v>
      </c>
    </row>
    <row r="516" spans="1:43" x14ac:dyDescent="0.35">
      <c r="A516" s="2" t="s">
        <v>425</v>
      </c>
      <c r="B516" s="2" t="s">
        <v>424</v>
      </c>
      <c r="C516" s="2" t="s">
        <v>33</v>
      </c>
      <c r="D516" s="2">
        <v>27.639399999999998</v>
      </c>
      <c r="E516" s="2">
        <v>5000</v>
      </c>
      <c r="F516" s="2">
        <v>400</v>
      </c>
      <c r="G516" s="2">
        <v>51.1</v>
      </c>
      <c r="H516" s="2" t="s">
        <v>68</v>
      </c>
      <c r="I516" s="4">
        <f t="shared" si="248"/>
        <v>3.3192422909938109</v>
      </c>
      <c r="J516" s="4">
        <f t="shared" si="249"/>
        <v>8.5171931914162382</v>
      </c>
      <c r="K516" s="4">
        <f t="shared" si="250"/>
        <v>5.9914645471079817</v>
      </c>
      <c r="L516" s="2">
        <v>1</v>
      </c>
      <c r="M516" s="2">
        <v>0</v>
      </c>
      <c r="N516" s="4">
        <f t="shared" si="251"/>
        <v>51.1</v>
      </c>
      <c r="O516" s="4">
        <f t="shared" si="252"/>
        <v>1</v>
      </c>
      <c r="P516" s="4">
        <f t="shared" si="253"/>
        <v>1</v>
      </c>
      <c r="Q516" s="4">
        <f t="shared" si="254"/>
        <v>8.5171931914162382</v>
      </c>
      <c r="R516" s="4">
        <f t="shared" si="255"/>
        <v>5.9914645471079817</v>
      </c>
      <c r="S516" s="4">
        <f t="shared" si="256"/>
        <v>51.1</v>
      </c>
      <c r="T516" s="4">
        <f t="shared" si="257"/>
        <v>1</v>
      </c>
      <c r="U516" s="4">
        <f t="shared" si="258"/>
        <v>8.5171931914162382</v>
      </c>
      <c r="V516" s="4">
        <f t="shared" si="259"/>
        <v>5.9914645471079817</v>
      </c>
      <c r="W516" s="4">
        <f t="shared" si="260"/>
        <v>51.1</v>
      </c>
      <c r="X516" s="4">
        <f t="shared" si="261"/>
        <v>1</v>
      </c>
      <c r="Y516" s="4">
        <f t="shared" si="262"/>
        <v>8.5171931914162382</v>
      </c>
      <c r="Z516" s="4">
        <f t="shared" si="263"/>
        <v>5.9914645471079817</v>
      </c>
      <c r="AA516" s="4">
        <f t="shared" si="264"/>
        <v>51.1</v>
      </c>
      <c r="AB516" s="4">
        <f t="shared" si="265"/>
        <v>1</v>
      </c>
      <c r="AC516" s="4">
        <f t="shared" si="266"/>
        <v>0</v>
      </c>
      <c r="AD516" s="4">
        <f t="shared" si="267"/>
        <v>0</v>
      </c>
      <c r="AE516" s="4">
        <f t="shared" si="268"/>
        <v>0</v>
      </c>
      <c r="AF516" s="4">
        <f t="shared" si="269"/>
        <v>0</v>
      </c>
      <c r="AG516" s="4">
        <f t="shared" si="270"/>
        <v>8.5171931914162382</v>
      </c>
      <c r="AH516" s="4">
        <f t="shared" si="271"/>
        <v>1</v>
      </c>
      <c r="AI516" s="4">
        <f t="shared" si="272"/>
        <v>0</v>
      </c>
      <c r="AJ516" s="4">
        <f t="shared" si="273"/>
        <v>8.5171931914162382</v>
      </c>
      <c r="AK516" s="4">
        <f t="shared" si="274"/>
        <v>5.9914645471079817</v>
      </c>
      <c r="AL516" s="4">
        <f t="shared" si="275"/>
        <v>0</v>
      </c>
      <c r="AM516" s="4">
        <f>CER!$C$7+CER!$C$8*J516+CER!$C$9*K516+CER!$C$10*L516+CER!$C$11*M516</f>
        <v>3.4152184664490206</v>
      </c>
      <c r="AN516" s="4">
        <f t="shared" si="276"/>
        <v>30.423595236413369</v>
      </c>
      <c r="AO516" s="4">
        <f t="shared" si="277"/>
        <v>-9.5976175455209756E-2</v>
      </c>
      <c r="AP516" s="4">
        <f>Alternatives!$F$25+Alternatives!$F$26*J516+Alternatives!$F$27*K516+Alternatives!$F$28*G516+Alternatives!$F$29*O516</f>
        <v>4.1821744147802526</v>
      </c>
      <c r="AQ516" s="4">
        <f t="shared" si="278"/>
        <v>-0.8629321237864418</v>
      </c>
    </row>
    <row r="517" spans="1:43" x14ac:dyDescent="0.35">
      <c r="A517" s="2" t="s">
        <v>426</v>
      </c>
      <c r="B517" s="2" t="s">
        <v>424</v>
      </c>
      <c r="C517" s="2" t="s">
        <v>67</v>
      </c>
      <c r="D517" s="2">
        <v>28.318300000000001</v>
      </c>
      <c r="E517" s="2">
        <v>5500</v>
      </c>
      <c r="F517" s="2">
        <v>400</v>
      </c>
      <c r="G517" s="2">
        <v>53.3</v>
      </c>
      <c r="H517" s="2" t="s">
        <v>68</v>
      </c>
      <c r="I517" s="4">
        <f t="shared" si="248"/>
        <v>3.343508238775164</v>
      </c>
      <c r="J517" s="4">
        <f t="shared" si="249"/>
        <v>8.6125033712205621</v>
      </c>
      <c r="K517" s="4">
        <f t="shared" si="250"/>
        <v>5.9914645471079817</v>
      </c>
      <c r="L517" s="2">
        <v>0</v>
      </c>
      <c r="M517" s="2">
        <v>0</v>
      </c>
      <c r="N517" s="4">
        <f t="shared" si="251"/>
        <v>53.3</v>
      </c>
      <c r="O517" s="4">
        <f t="shared" si="252"/>
        <v>0</v>
      </c>
      <c r="P517" s="4">
        <f t="shared" si="253"/>
        <v>0</v>
      </c>
      <c r="Q517" s="4">
        <f t="shared" si="254"/>
        <v>8.6125033712205621</v>
      </c>
      <c r="R517" s="4">
        <f t="shared" si="255"/>
        <v>5.9914645471079817</v>
      </c>
      <c r="S517" s="4">
        <f t="shared" si="256"/>
        <v>53.3</v>
      </c>
      <c r="T517" s="4">
        <f t="shared" si="257"/>
        <v>0</v>
      </c>
      <c r="U517" s="4">
        <f t="shared" si="258"/>
        <v>8.6125033712205621</v>
      </c>
      <c r="V517" s="4">
        <f t="shared" si="259"/>
        <v>5.9914645471079817</v>
      </c>
      <c r="W517" s="4">
        <f t="shared" si="260"/>
        <v>53.3</v>
      </c>
      <c r="X517" s="4">
        <f t="shared" si="261"/>
        <v>0</v>
      </c>
      <c r="Y517" s="4">
        <f t="shared" si="262"/>
        <v>8.6125033712205621</v>
      </c>
      <c r="Z517" s="4">
        <f t="shared" si="263"/>
        <v>5.9914645471079817</v>
      </c>
      <c r="AA517" s="4">
        <f t="shared" si="264"/>
        <v>53.3</v>
      </c>
      <c r="AB517" s="4">
        <f t="shared" si="265"/>
        <v>0</v>
      </c>
      <c r="AC517" s="4">
        <f t="shared" si="266"/>
        <v>0</v>
      </c>
      <c r="AD517" s="4">
        <f t="shared" si="267"/>
        <v>0</v>
      </c>
      <c r="AE517" s="4">
        <f t="shared" si="268"/>
        <v>0</v>
      </c>
      <c r="AF517" s="4">
        <f t="shared" si="269"/>
        <v>0</v>
      </c>
      <c r="AG517" s="4">
        <f t="shared" si="270"/>
        <v>8.6125033712205621</v>
      </c>
      <c r="AH517" s="4">
        <f t="shared" si="271"/>
        <v>0</v>
      </c>
      <c r="AI517" s="4">
        <f t="shared" si="272"/>
        <v>0</v>
      </c>
      <c r="AJ517" s="4">
        <f t="shared" si="273"/>
        <v>8.6125033712205621</v>
      </c>
      <c r="AK517" s="4">
        <f t="shared" si="274"/>
        <v>5.9914645471079817</v>
      </c>
      <c r="AL517" s="4">
        <f t="shared" si="275"/>
        <v>0</v>
      </c>
      <c r="AM517" s="4">
        <f>CER!$C$7+CER!$C$8*J517+CER!$C$9*K517+CER!$C$10*L517+CER!$C$11*M517</f>
        <v>3.1483171088892488</v>
      </c>
      <c r="AN517" s="4">
        <f t="shared" si="276"/>
        <v>23.296825552066785</v>
      </c>
      <c r="AO517" s="4">
        <f t="shared" si="277"/>
        <v>0.19519112988591525</v>
      </c>
      <c r="AP517" s="4">
        <f>Alternatives!$F$25+Alternatives!$F$26*J517+Alternatives!$F$27*K517+Alternatives!$F$28*G517+Alternatives!$F$29*O517</f>
        <v>3.3440913549940681</v>
      </c>
      <c r="AQ517" s="4">
        <f t="shared" si="278"/>
        <v>-5.8311621890405618E-4</v>
      </c>
    </row>
    <row r="518" spans="1:43" x14ac:dyDescent="0.35">
      <c r="A518" s="2" t="s">
        <v>427</v>
      </c>
      <c r="B518" s="2" t="s">
        <v>424</v>
      </c>
      <c r="C518" s="2" t="s">
        <v>33</v>
      </c>
      <c r="D518" s="2">
        <v>26.921299999999999</v>
      </c>
      <c r="E518" s="2">
        <v>6000</v>
      </c>
      <c r="F518" s="2">
        <v>360</v>
      </c>
      <c r="G518" s="2">
        <v>53.3</v>
      </c>
      <c r="H518" s="2" t="s">
        <v>68</v>
      </c>
      <c r="I518" s="4">
        <f t="shared" si="248"/>
        <v>3.2929177948438269</v>
      </c>
      <c r="J518" s="4">
        <f t="shared" si="249"/>
        <v>8.6995147482101913</v>
      </c>
      <c r="K518" s="4">
        <f t="shared" si="250"/>
        <v>5.8861040314501558</v>
      </c>
      <c r="L518" s="2">
        <v>1</v>
      </c>
      <c r="M518" s="2">
        <v>0</v>
      </c>
      <c r="N518" s="4">
        <f t="shared" si="251"/>
        <v>53.3</v>
      </c>
      <c r="O518" s="4">
        <f t="shared" si="252"/>
        <v>1</v>
      </c>
      <c r="P518" s="4">
        <f t="shared" si="253"/>
        <v>1</v>
      </c>
      <c r="Q518" s="4">
        <f t="shared" si="254"/>
        <v>8.6995147482101913</v>
      </c>
      <c r="R518" s="4">
        <f t="shared" si="255"/>
        <v>5.8861040314501558</v>
      </c>
      <c r="S518" s="4">
        <f t="shared" si="256"/>
        <v>53.3</v>
      </c>
      <c r="T518" s="4">
        <f t="shared" si="257"/>
        <v>1</v>
      </c>
      <c r="U518" s="4">
        <f t="shared" si="258"/>
        <v>8.6995147482101913</v>
      </c>
      <c r="V518" s="4">
        <f t="shared" si="259"/>
        <v>5.8861040314501558</v>
      </c>
      <c r="W518" s="4">
        <f t="shared" si="260"/>
        <v>53.3</v>
      </c>
      <c r="X518" s="4">
        <f t="shared" si="261"/>
        <v>1</v>
      </c>
      <c r="Y518" s="4">
        <f t="shared" si="262"/>
        <v>8.6995147482101913</v>
      </c>
      <c r="Z518" s="4">
        <f t="shared" si="263"/>
        <v>5.8861040314501558</v>
      </c>
      <c r="AA518" s="4">
        <f t="shared" si="264"/>
        <v>53.3</v>
      </c>
      <c r="AB518" s="4">
        <f t="shared" si="265"/>
        <v>1</v>
      </c>
      <c r="AC518" s="4">
        <f t="shared" si="266"/>
        <v>0</v>
      </c>
      <c r="AD518" s="4">
        <f t="shared" si="267"/>
        <v>0</v>
      </c>
      <c r="AE518" s="4">
        <f t="shared" si="268"/>
        <v>0</v>
      </c>
      <c r="AF518" s="4">
        <f t="shared" si="269"/>
        <v>0</v>
      </c>
      <c r="AG518" s="4">
        <f t="shared" si="270"/>
        <v>8.6995147482101913</v>
      </c>
      <c r="AH518" s="4">
        <f t="shared" si="271"/>
        <v>1</v>
      </c>
      <c r="AI518" s="4">
        <f t="shared" si="272"/>
        <v>0</v>
      </c>
      <c r="AJ518" s="4">
        <f t="shared" si="273"/>
        <v>8.6995147482101913</v>
      </c>
      <c r="AK518" s="4">
        <f t="shared" si="274"/>
        <v>5.8861040314501558</v>
      </c>
      <c r="AL518" s="4">
        <f t="shared" si="275"/>
        <v>0</v>
      </c>
      <c r="AM518" s="4">
        <f>CER!$C$7+CER!$C$8*J518+CER!$C$9*K518+CER!$C$10*L518+CER!$C$11*M518</f>
        <v>3.3715519349258947</v>
      </c>
      <c r="AN518" s="4">
        <f t="shared" si="276"/>
        <v>29.123690075499308</v>
      </c>
      <c r="AO518" s="4">
        <f t="shared" si="277"/>
        <v>-7.8634140082067816E-2</v>
      </c>
      <c r="AP518" s="4">
        <f>Alternatives!$F$25+Alternatives!$F$26*J518+Alternatives!$F$27*K518+Alternatives!$F$28*G518+Alternatives!$F$29*O518</f>
        <v>4.2490704579017482</v>
      </c>
      <c r="AQ518" s="4">
        <f t="shared" si="278"/>
        <v>-0.95615266305792135</v>
      </c>
    </row>
    <row r="519" spans="1:43" x14ac:dyDescent="0.35">
      <c r="A519" s="2" t="s">
        <v>428</v>
      </c>
      <c r="B519" s="2" t="s">
        <v>424</v>
      </c>
      <c r="C519" s="2" t="s">
        <v>67</v>
      </c>
      <c r="D519" s="2">
        <v>27.1707</v>
      </c>
      <c r="E519" s="2">
        <v>4500</v>
      </c>
      <c r="F519" s="2">
        <v>249</v>
      </c>
      <c r="G519" s="2">
        <v>48.1</v>
      </c>
      <c r="H519" s="2" t="s">
        <v>68</v>
      </c>
      <c r="I519" s="4">
        <f t="shared" si="248"/>
        <v>3.3021391868163521</v>
      </c>
      <c r="J519" s="4">
        <f t="shared" si="249"/>
        <v>8.4118326757584114</v>
      </c>
      <c r="K519" s="4">
        <f t="shared" si="250"/>
        <v>5.5174528964647074</v>
      </c>
      <c r="L519" s="2">
        <v>0</v>
      </c>
      <c r="M519" s="2">
        <v>0</v>
      </c>
      <c r="N519" s="4">
        <f t="shared" si="251"/>
        <v>48.1</v>
      </c>
      <c r="O519" s="4">
        <f t="shared" si="252"/>
        <v>0</v>
      </c>
      <c r="P519" s="4">
        <f t="shared" si="253"/>
        <v>0</v>
      </c>
      <c r="Q519" s="4">
        <f t="shared" si="254"/>
        <v>8.4118326757584114</v>
      </c>
      <c r="R519" s="4">
        <f t="shared" si="255"/>
        <v>5.5174528964647074</v>
      </c>
      <c r="S519" s="4">
        <f t="shared" si="256"/>
        <v>48.1</v>
      </c>
      <c r="T519" s="4">
        <f t="shared" si="257"/>
        <v>0</v>
      </c>
      <c r="U519" s="4">
        <f t="shared" si="258"/>
        <v>8.4118326757584114</v>
      </c>
      <c r="V519" s="4">
        <f t="shared" si="259"/>
        <v>5.5174528964647074</v>
      </c>
      <c r="W519" s="4">
        <f t="shared" si="260"/>
        <v>48.1</v>
      </c>
      <c r="X519" s="4">
        <f t="shared" si="261"/>
        <v>0</v>
      </c>
      <c r="Y519" s="4">
        <f t="shared" si="262"/>
        <v>8.4118326757584114</v>
      </c>
      <c r="Z519" s="4">
        <f t="shared" si="263"/>
        <v>5.5174528964647074</v>
      </c>
      <c r="AA519" s="4">
        <f t="shared" si="264"/>
        <v>48.1</v>
      </c>
      <c r="AB519" s="4">
        <f t="shared" si="265"/>
        <v>0</v>
      </c>
      <c r="AC519" s="4">
        <f t="shared" si="266"/>
        <v>0</v>
      </c>
      <c r="AD519" s="4">
        <f t="shared" si="267"/>
        <v>0</v>
      </c>
      <c r="AE519" s="4">
        <f t="shared" si="268"/>
        <v>0</v>
      </c>
      <c r="AF519" s="4">
        <f t="shared" si="269"/>
        <v>0</v>
      </c>
      <c r="AG519" s="4">
        <f t="shared" si="270"/>
        <v>8.4118326757584114</v>
      </c>
      <c r="AH519" s="4">
        <f t="shared" si="271"/>
        <v>0</v>
      </c>
      <c r="AI519" s="4">
        <f t="shared" si="272"/>
        <v>0</v>
      </c>
      <c r="AJ519" s="4">
        <f t="shared" si="273"/>
        <v>8.4118326757584114</v>
      </c>
      <c r="AK519" s="4">
        <f t="shared" si="274"/>
        <v>5.5174528964647074</v>
      </c>
      <c r="AL519" s="4">
        <f t="shared" si="275"/>
        <v>0</v>
      </c>
      <c r="AM519" s="4">
        <f>CER!$C$7+CER!$C$8*J519+CER!$C$9*K519+CER!$C$10*L519+CER!$C$11*M519</f>
        <v>3.4140461815712633</v>
      </c>
      <c r="AN519" s="4">
        <f t="shared" si="276"/>
        <v>30.387951012465081</v>
      </c>
      <c r="AO519" s="4">
        <f t="shared" si="277"/>
        <v>-0.11190699475491117</v>
      </c>
      <c r="AP519" s="4">
        <f>Alternatives!$F$25+Alternatives!$F$26*J519+Alternatives!$F$27*K519+Alternatives!$F$28*G519+Alternatives!$F$29*O519</f>
        <v>3.4636032051502368</v>
      </c>
      <c r="AQ519" s="4">
        <f t="shared" si="278"/>
        <v>-0.16146401833388468</v>
      </c>
    </row>
    <row r="520" spans="1:43" x14ac:dyDescent="0.35">
      <c r="A520" s="2" t="s">
        <v>429</v>
      </c>
      <c r="B520" s="2" t="s">
        <v>424</v>
      </c>
      <c r="C520" s="2" t="s">
        <v>67</v>
      </c>
      <c r="D520" s="2">
        <v>29.704599999999999</v>
      </c>
      <c r="E520" s="2">
        <v>4500</v>
      </c>
      <c r="F520" s="2">
        <v>249</v>
      </c>
      <c r="G520" s="2">
        <v>47.1</v>
      </c>
      <c r="H520" s="2" t="s">
        <v>68</v>
      </c>
      <c r="I520" s="4">
        <f t="shared" si="248"/>
        <v>3.3913019159705335</v>
      </c>
      <c r="J520" s="4">
        <f t="shared" si="249"/>
        <v>8.4118326757584114</v>
      </c>
      <c r="K520" s="4">
        <f t="shared" si="250"/>
        <v>5.5174528964647074</v>
      </c>
      <c r="L520" s="2">
        <v>0</v>
      </c>
      <c r="M520" s="2">
        <v>0</v>
      </c>
      <c r="N520" s="4">
        <f t="shared" si="251"/>
        <v>47.1</v>
      </c>
      <c r="O520" s="4">
        <f t="shared" si="252"/>
        <v>0</v>
      </c>
      <c r="P520" s="4">
        <f t="shared" si="253"/>
        <v>0</v>
      </c>
      <c r="Q520" s="4">
        <f t="shared" si="254"/>
        <v>8.4118326757584114</v>
      </c>
      <c r="R520" s="4">
        <f t="shared" si="255"/>
        <v>5.5174528964647074</v>
      </c>
      <c r="S520" s="4">
        <f t="shared" si="256"/>
        <v>47.1</v>
      </c>
      <c r="T520" s="4">
        <f t="shared" si="257"/>
        <v>0</v>
      </c>
      <c r="U520" s="4">
        <f t="shared" si="258"/>
        <v>8.4118326757584114</v>
      </c>
      <c r="V520" s="4">
        <f t="shared" si="259"/>
        <v>5.5174528964647074</v>
      </c>
      <c r="W520" s="4">
        <f t="shared" si="260"/>
        <v>47.1</v>
      </c>
      <c r="X520" s="4">
        <f t="shared" si="261"/>
        <v>0</v>
      </c>
      <c r="Y520" s="4">
        <f t="shared" si="262"/>
        <v>8.4118326757584114</v>
      </c>
      <c r="Z520" s="4">
        <f t="shared" si="263"/>
        <v>5.5174528964647074</v>
      </c>
      <c r="AA520" s="4">
        <f t="shared" si="264"/>
        <v>47.1</v>
      </c>
      <c r="AB520" s="4">
        <f t="shared" si="265"/>
        <v>0</v>
      </c>
      <c r="AC520" s="4">
        <f t="shared" si="266"/>
        <v>0</v>
      </c>
      <c r="AD520" s="4">
        <f t="shared" si="267"/>
        <v>0</v>
      </c>
      <c r="AE520" s="4">
        <f t="shared" si="268"/>
        <v>0</v>
      </c>
      <c r="AF520" s="4">
        <f t="shared" si="269"/>
        <v>0</v>
      </c>
      <c r="AG520" s="4">
        <f t="shared" si="270"/>
        <v>8.4118326757584114</v>
      </c>
      <c r="AH520" s="4">
        <f t="shared" si="271"/>
        <v>0</v>
      </c>
      <c r="AI520" s="4">
        <f t="shared" si="272"/>
        <v>0</v>
      </c>
      <c r="AJ520" s="4">
        <f t="shared" si="273"/>
        <v>8.4118326757584114</v>
      </c>
      <c r="AK520" s="4">
        <f t="shared" si="274"/>
        <v>5.5174528964647074</v>
      </c>
      <c r="AL520" s="4">
        <f t="shared" si="275"/>
        <v>0</v>
      </c>
      <c r="AM520" s="4">
        <f>CER!$C$7+CER!$C$8*J520+CER!$C$9*K520+CER!$C$10*L520+CER!$C$11*M520</f>
        <v>3.4140461815712633</v>
      </c>
      <c r="AN520" s="4">
        <f t="shared" si="276"/>
        <v>30.387951012465081</v>
      </c>
      <c r="AO520" s="4">
        <f t="shared" si="277"/>
        <v>-2.2744265600729729E-2</v>
      </c>
      <c r="AP520" s="4">
        <f>Alternatives!$F$25+Alternatives!$F$26*J520+Alternatives!$F$27*K520+Alternatives!$F$28*G520+Alternatives!$F$29*O520</f>
        <v>3.476610519692465</v>
      </c>
      <c r="AQ520" s="4">
        <f t="shared" si="278"/>
        <v>-8.5308603721931497E-2</v>
      </c>
    </row>
    <row r="521" spans="1:43" x14ac:dyDescent="0.35">
      <c r="A521" s="2" t="s">
        <v>430</v>
      </c>
      <c r="B521" s="2" t="s">
        <v>424</v>
      </c>
      <c r="C521" s="2" t="s">
        <v>33</v>
      </c>
      <c r="D521" s="2">
        <v>28.394200000000001</v>
      </c>
      <c r="E521" s="2">
        <v>5500</v>
      </c>
      <c r="F521" s="2">
        <v>360</v>
      </c>
      <c r="G521" s="2">
        <v>54.9</v>
      </c>
      <c r="H521" s="2" t="s">
        <v>68</v>
      </c>
      <c r="I521" s="4">
        <f t="shared" si="248"/>
        <v>3.3461848989582106</v>
      </c>
      <c r="J521" s="4">
        <f t="shared" si="249"/>
        <v>8.6125033712205621</v>
      </c>
      <c r="K521" s="4">
        <f t="shared" si="250"/>
        <v>5.8861040314501558</v>
      </c>
      <c r="L521" s="2">
        <v>1</v>
      </c>
      <c r="M521" s="2">
        <v>0</v>
      </c>
      <c r="N521" s="4">
        <f t="shared" si="251"/>
        <v>54.9</v>
      </c>
      <c r="O521" s="4">
        <f t="shared" si="252"/>
        <v>1</v>
      </c>
      <c r="P521" s="4">
        <f t="shared" si="253"/>
        <v>1</v>
      </c>
      <c r="Q521" s="4">
        <f t="shared" si="254"/>
        <v>8.6125033712205621</v>
      </c>
      <c r="R521" s="4">
        <f t="shared" si="255"/>
        <v>5.8861040314501558</v>
      </c>
      <c r="S521" s="4">
        <f t="shared" si="256"/>
        <v>54.9</v>
      </c>
      <c r="T521" s="4">
        <f t="shared" si="257"/>
        <v>1</v>
      </c>
      <c r="U521" s="4">
        <f t="shared" si="258"/>
        <v>8.6125033712205621</v>
      </c>
      <c r="V521" s="4">
        <f t="shared" si="259"/>
        <v>5.8861040314501558</v>
      </c>
      <c r="W521" s="4">
        <f t="shared" si="260"/>
        <v>54.9</v>
      </c>
      <c r="X521" s="4">
        <f t="shared" si="261"/>
        <v>1</v>
      </c>
      <c r="Y521" s="4">
        <f t="shared" si="262"/>
        <v>8.6125033712205621</v>
      </c>
      <c r="Z521" s="4">
        <f t="shared" si="263"/>
        <v>5.8861040314501558</v>
      </c>
      <c r="AA521" s="4">
        <f t="shared" si="264"/>
        <v>54.9</v>
      </c>
      <c r="AB521" s="4">
        <f t="shared" si="265"/>
        <v>1</v>
      </c>
      <c r="AC521" s="4">
        <f t="shared" si="266"/>
        <v>0</v>
      </c>
      <c r="AD521" s="4">
        <f t="shared" si="267"/>
        <v>0</v>
      </c>
      <c r="AE521" s="4">
        <f t="shared" si="268"/>
        <v>0</v>
      </c>
      <c r="AF521" s="4">
        <f t="shared" si="269"/>
        <v>0</v>
      </c>
      <c r="AG521" s="4">
        <f t="shared" si="270"/>
        <v>8.6125033712205621</v>
      </c>
      <c r="AH521" s="4">
        <f t="shared" si="271"/>
        <v>1</v>
      </c>
      <c r="AI521" s="4">
        <f t="shared" si="272"/>
        <v>0</v>
      </c>
      <c r="AJ521" s="4">
        <f t="shared" si="273"/>
        <v>8.6125033712205621</v>
      </c>
      <c r="AK521" s="4">
        <f t="shared" si="274"/>
        <v>5.8861040314501558</v>
      </c>
      <c r="AL521" s="4">
        <f t="shared" si="275"/>
        <v>0</v>
      </c>
      <c r="AM521" s="4">
        <f>CER!$C$7+CER!$C$8*J521+CER!$C$9*K521+CER!$C$10*L521+CER!$C$11*M521</f>
        <v>3.4109427788002571</v>
      </c>
      <c r="AN521" s="4">
        <f t="shared" si="276"/>
        <v>30.293791144657114</v>
      </c>
      <c r="AO521" s="4">
        <f t="shared" si="277"/>
        <v>-6.4757879842046506E-2</v>
      </c>
      <c r="AP521" s="4">
        <f>Alternatives!$F$25+Alternatives!$F$26*J521+Alternatives!$F$27*K521+Alternatives!$F$28*G521+Alternatives!$F$29*O521</f>
        <v>4.1960570640756565</v>
      </c>
      <c r="AQ521" s="4">
        <f t="shared" si="278"/>
        <v>-0.8498721651174459</v>
      </c>
    </row>
    <row r="522" spans="1:43" x14ac:dyDescent="0.35">
      <c r="A522" s="2" t="s">
        <v>431</v>
      </c>
      <c r="B522" s="2" t="s">
        <v>424</v>
      </c>
      <c r="C522" s="2" t="s">
        <v>33</v>
      </c>
      <c r="D522" s="2">
        <v>29.279499999999999</v>
      </c>
      <c r="E522" s="2">
        <v>5500</v>
      </c>
      <c r="F522" s="2">
        <v>400</v>
      </c>
      <c r="G522" s="2">
        <v>54.9</v>
      </c>
      <c r="H522" s="2" t="s">
        <v>68</v>
      </c>
      <c r="I522" s="4">
        <f t="shared" si="248"/>
        <v>3.3768876124445733</v>
      </c>
      <c r="J522" s="4">
        <f t="shared" si="249"/>
        <v>8.6125033712205621</v>
      </c>
      <c r="K522" s="4">
        <f t="shared" si="250"/>
        <v>5.9914645471079817</v>
      </c>
      <c r="L522" s="2">
        <v>1</v>
      </c>
      <c r="M522" s="2">
        <v>0</v>
      </c>
      <c r="N522" s="4">
        <f t="shared" si="251"/>
        <v>54.9</v>
      </c>
      <c r="O522" s="4">
        <f t="shared" si="252"/>
        <v>1</v>
      </c>
      <c r="P522" s="4">
        <f t="shared" si="253"/>
        <v>1</v>
      </c>
      <c r="Q522" s="4">
        <f t="shared" si="254"/>
        <v>8.6125033712205621</v>
      </c>
      <c r="R522" s="4">
        <f t="shared" si="255"/>
        <v>5.9914645471079817</v>
      </c>
      <c r="S522" s="4">
        <f t="shared" si="256"/>
        <v>54.9</v>
      </c>
      <c r="T522" s="4">
        <f t="shared" si="257"/>
        <v>1</v>
      </c>
      <c r="U522" s="4">
        <f t="shared" si="258"/>
        <v>8.6125033712205621</v>
      </c>
      <c r="V522" s="4">
        <f t="shared" si="259"/>
        <v>5.9914645471079817</v>
      </c>
      <c r="W522" s="4">
        <f t="shared" si="260"/>
        <v>54.9</v>
      </c>
      <c r="X522" s="4">
        <f t="shared" si="261"/>
        <v>1</v>
      </c>
      <c r="Y522" s="4">
        <f t="shared" si="262"/>
        <v>8.6125033712205621</v>
      </c>
      <c r="Z522" s="4">
        <f t="shared" si="263"/>
        <v>5.9914645471079817</v>
      </c>
      <c r="AA522" s="4">
        <f t="shared" si="264"/>
        <v>54.9</v>
      </c>
      <c r="AB522" s="4">
        <f t="shared" si="265"/>
        <v>1</v>
      </c>
      <c r="AC522" s="4">
        <f t="shared" si="266"/>
        <v>0</v>
      </c>
      <c r="AD522" s="4">
        <f t="shared" si="267"/>
        <v>0</v>
      </c>
      <c r="AE522" s="4">
        <f t="shared" si="268"/>
        <v>0</v>
      </c>
      <c r="AF522" s="4">
        <f t="shared" si="269"/>
        <v>0</v>
      </c>
      <c r="AG522" s="4">
        <f t="shared" si="270"/>
        <v>8.6125033712205621</v>
      </c>
      <c r="AH522" s="4">
        <f t="shared" si="271"/>
        <v>1</v>
      </c>
      <c r="AI522" s="4">
        <f t="shared" si="272"/>
        <v>0</v>
      </c>
      <c r="AJ522" s="4">
        <f t="shared" si="273"/>
        <v>8.6125033712205621</v>
      </c>
      <c r="AK522" s="4">
        <f t="shared" si="274"/>
        <v>5.9914645471079817</v>
      </c>
      <c r="AL522" s="4">
        <f t="shared" si="275"/>
        <v>0</v>
      </c>
      <c r="AM522" s="4">
        <f>CER!$C$7+CER!$C$8*J522+CER!$C$9*K522+CER!$C$10*L522+CER!$C$11*M522</f>
        <v>3.3720706788584747</v>
      </c>
      <c r="AN522" s="4">
        <f t="shared" si="276"/>
        <v>29.138801732221555</v>
      </c>
      <c r="AO522" s="4">
        <f t="shared" si="277"/>
        <v>4.8169335860985818E-3</v>
      </c>
      <c r="AP522" s="4">
        <f>Alternatives!$F$25+Alternatives!$F$26*J522+Alternatives!$F$27*K522+Alternatives!$F$28*G522+Alternatives!$F$29*O522</f>
        <v>4.1680195806349989</v>
      </c>
      <c r="AQ522" s="4">
        <f t="shared" si="278"/>
        <v>-0.79113196819042564</v>
      </c>
    </row>
    <row r="523" spans="1:43" x14ac:dyDescent="0.35">
      <c r="A523" s="2" t="s">
        <v>432</v>
      </c>
      <c r="B523" s="2" t="s">
        <v>424</v>
      </c>
      <c r="C523" s="2" t="s">
        <v>33</v>
      </c>
      <c r="D523" s="2">
        <v>29.4405</v>
      </c>
      <c r="E523" s="2">
        <v>6500</v>
      </c>
      <c r="F523" s="2">
        <v>510</v>
      </c>
      <c r="G523" s="2">
        <v>54.9</v>
      </c>
      <c r="H523" s="2" t="s">
        <v>68</v>
      </c>
      <c r="I523" s="4">
        <f t="shared" si="248"/>
        <v>3.3823712774121062</v>
      </c>
      <c r="J523" s="4">
        <f t="shared" si="249"/>
        <v>8.7795574558837277</v>
      </c>
      <c r="K523" s="4">
        <f t="shared" si="250"/>
        <v>6.2344107257183712</v>
      </c>
      <c r="L523" s="2">
        <v>1</v>
      </c>
      <c r="M523" s="2">
        <v>0</v>
      </c>
      <c r="N523" s="4">
        <f t="shared" si="251"/>
        <v>54.9</v>
      </c>
      <c r="O523" s="4">
        <f t="shared" si="252"/>
        <v>1</v>
      </c>
      <c r="P523" s="4">
        <f t="shared" si="253"/>
        <v>1</v>
      </c>
      <c r="Q523" s="4">
        <f t="shared" si="254"/>
        <v>8.7795574558837277</v>
      </c>
      <c r="R523" s="4">
        <f t="shared" si="255"/>
        <v>6.2344107257183712</v>
      </c>
      <c r="S523" s="4">
        <f t="shared" si="256"/>
        <v>54.9</v>
      </c>
      <c r="T523" s="4">
        <f t="shared" si="257"/>
        <v>1</v>
      </c>
      <c r="U523" s="4">
        <f t="shared" si="258"/>
        <v>8.7795574558837277</v>
      </c>
      <c r="V523" s="4">
        <f t="shared" si="259"/>
        <v>6.2344107257183712</v>
      </c>
      <c r="W523" s="4">
        <f t="shared" si="260"/>
        <v>54.9</v>
      </c>
      <c r="X523" s="4">
        <f t="shared" si="261"/>
        <v>1</v>
      </c>
      <c r="Y523" s="4">
        <f t="shared" si="262"/>
        <v>8.7795574558837277</v>
      </c>
      <c r="Z523" s="4">
        <f t="shared" si="263"/>
        <v>6.2344107257183712</v>
      </c>
      <c r="AA523" s="4">
        <f t="shared" si="264"/>
        <v>54.9</v>
      </c>
      <c r="AB523" s="4">
        <f t="shared" si="265"/>
        <v>1</v>
      </c>
      <c r="AC523" s="4">
        <f t="shared" si="266"/>
        <v>0</v>
      </c>
      <c r="AD523" s="4">
        <f t="shared" si="267"/>
        <v>0</v>
      </c>
      <c r="AE523" s="4">
        <f t="shared" si="268"/>
        <v>0</v>
      </c>
      <c r="AF523" s="4">
        <f t="shared" si="269"/>
        <v>0</v>
      </c>
      <c r="AG523" s="4">
        <f t="shared" si="270"/>
        <v>8.7795574558837277</v>
      </c>
      <c r="AH523" s="4">
        <f t="shared" si="271"/>
        <v>1</v>
      </c>
      <c r="AI523" s="4">
        <f t="shared" si="272"/>
        <v>0</v>
      </c>
      <c r="AJ523" s="4">
        <f t="shared" si="273"/>
        <v>8.7795574558837277</v>
      </c>
      <c r="AK523" s="4">
        <f t="shared" si="274"/>
        <v>6.2344107257183712</v>
      </c>
      <c r="AL523" s="4">
        <f t="shared" si="275"/>
        <v>0</v>
      </c>
      <c r="AM523" s="4">
        <f>CER!$C$7+CER!$C$8*J523+CER!$C$9*K523+CER!$C$10*L523+CER!$C$11*M523</f>
        <v>3.2068103058543906</v>
      </c>
      <c r="AN523" s="4">
        <f t="shared" si="276"/>
        <v>24.700174437461296</v>
      </c>
      <c r="AO523" s="4">
        <f t="shared" si="277"/>
        <v>0.17556097155771555</v>
      </c>
      <c r="AP523" s="4">
        <f>Alternatives!$F$25+Alternatives!$F$26*J523+Alternatives!$F$27*K523+Alternatives!$F$28*G523+Alternatives!$F$29*O523</f>
        <v>4.1651935551583836</v>
      </c>
      <c r="AQ523" s="4">
        <f t="shared" si="278"/>
        <v>-0.78282227774627744</v>
      </c>
    </row>
    <row r="524" spans="1:43" x14ac:dyDescent="0.35">
      <c r="A524" s="2" t="s">
        <v>433</v>
      </c>
      <c r="B524" s="2" t="s">
        <v>424</v>
      </c>
      <c r="C524" s="2" t="s">
        <v>33</v>
      </c>
      <c r="D524" s="2">
        <v>24.231200000000001</v>
      </c>
      <c r="E524" s="2">
        <v>6000</v>
      </c>
      <c r="F524" s="2">
        <v>530</v>
      </c>
      <c r="G524" s="2">
        <v>54.9</v>
      </c>
      <c r="H524" s="2" t="s">
        <v>68</v>
      </c>
      <c r="I524" s="4">
        <f t="shared" si="248"/>
        <v>3.1876410589838513</v>
      </c>
      <c r="J524" s="4">
        <f t="shared" si="249"/>
        <v>8.6995147482101913</v>
      </c>
      <c r="K524" s="4">
        <f t="shared" si="250"/>
        <v>6.2728770065461674</v>
      </c>
      <c r="L524" s="2">
        <v>1</v>
      </c>
      <c r="M524" s="2">
        <v>0</v>
      </c>
      <c r="N524" s="4">
        <f t="shared" si="251"/>
        <v>54.9</v>
      </c>
      <c r="O524" s="4">
        <f t="shared" si="252"/>
        <v>1</v>
      </c>
      <c r="P524" s="4">
        <f t="shared" si="253"/>
        <v>1</v>
      </c>
      <c r="Q524" s="4">
        <f t="shared" si="254"/>
        <v>8.6995147482101913</v>
      </c>
      <c r="R524" s="4">
        <f t="shared" si="255"/>
        <v>6.2728770065461674</v>
      </c>
      <c r="S524" s="4">
        <f t="shared" si="256"/>
        <v>54.9</v>
      </c>
      <c r="T524" s="4">
        <f t="shared" si="257"/>
        <v>1</v>
      </c>
      <c r="U524" s="4">
        <f t="shared" si="258"/>
        <v>8.6995147482101913</v>
      </c>
      <c r="V524" s="4">
        <f t="shared" si="259"/>
        <v>6.2728770065461674</v>
      </c>
      <c r="W524" s="4">
        <f t="shared" si="260"/>
        <v>54.9</v>
      </c>
      <c r="X524" s="4">
        <f t="shared" si="261"/>
        <v>1</v>
      </c>
      <c r="Y524" s="4">
        <f t="shared" si="262"/>
        <v>8.6995147482101913</v>
      </c>
      <c r="Z524" s="4">
        <f t="shared" si="263"/>
        <v>6.2728770065461674</v>
      </c>
      <c r="AA524" s="4">
        <f t="shared" si="264"/>
        <v>54.9</v>
      </c>
      <c r="AB524" s="4">
        <f t="shared" si="265"/>
        <v>1</v>
      </c>
      <c r="AC524" s="4">
        <f t="shared" si="266"/>
        <v>0</v>
      </c>
      <c r="AD524" s="4">
        <f t="shared" si="267"/>
        <v>0</v>
      </c>
      <c r="AE524" s="4">
        <f t="shared" si="268"/>
        <v>0</v>
      </c>
      <c r="AF524" s="4">
        <f t="shared" si="269"/>
        <v>0</v>
      </c>
      <c r="AG524" s="4">
        <f t="shared" si="270"/>
        <v>8.6995147482101913</v>
      </c>
      <c r="AH524" s="4">
        <f t="shared" si="271"/>
        <v>1</v>
      </c>
      <c r="AI524" s="4">
        <f t="shared" si="272"/>
        <v>0</v>
      </c>
      <c r="AJ524" s="4">
        <f t="shared" si="273"/>
        <v>8.6995147482101913</v>
      </c>
      <c r="AK524" s="4">
        <f t="shared" si="274"/>
        <v>6.2728770065461674</v>
      </c>
      <c r="AL524" s="4">
        <f t="shared" si="275"/>
        <v>0</v>
      </c>
      <c r="AM524" s="4">
        <f>CER!$C$7+CER!$C$8*J524+CER!$C$9*K524+CER!$C$10*L524+CER!$C$11*M524</f>
        <v>3.2288544770704308</v>
      </c>
      <c r="AN524" s="4">
        <f t="shared" si="276"/>
        <v>25.250715124190407</v>
      </c>
      <c r="AO524" s="4">
        <f t="shared" si="277"/>
        <v>-4.1213418086579523E-2</v>
      </c>
      <c r="AP524" s="4">
        <f>Alternatives!$F$25+Alternatives!$F$26*J524+Alternatives!$F$27*K524+Alternatives!$F$28*G524+Alternatives!$F$29*O524</f>
        <v>4.1253346106430273</v>
      </c>
      <c r="AQ524" s="4">
        <f t="shared" si="278"/>
        <v>-0.93769355165917601</v>
      </c>
    </row>
    <row r="525" spans="1:43" x14ac:dyDescent="0.35">
      <c r="A525" s="2" t="s">
        <v>434</v>
      </c>
      <c r="B525" s="2" t="s">
        <v>424</v>
      </c>
      <c r="C525" s="2" t="s">
        <v>33</v>
      </c>
      <c r="D525" s="2">
        <v>22.995999999999999</v>
      </c>
      <c r="E525" s="2">
        <v>6500</v>
      </c>
      <c r="F525" s="2">
        <v>530</v>
      </c>
      <c r="G525" s="2">
        <v>58.6</v>
      </c>
      <c r="H525" s="2" t="s">
        <v>68</v>
      </c>
      <c r="I525" s="4">
        <f t="shared" si="248"/>
        <v>3.1353202877610444</v>
      </c>
      <c r="J525" s="4">
        <f t="shared" si="249"/>
        <v>8.7795574558837277</v>
      </c>
      <c r="K525" s="4">
        <f t="shared" si="250"/>
        <v>6.2728770065461674</v>
      </c>
      <c r="L525" s="2">
        <v>1</v>
      </c>
      <c r="M525" s="2">
        <v>0</v>
      </c>
      <c r="N525" s="4">
        <f t="shared" si="251"/>
        <v>58.6</v>
      </c>
      <c r="O525" s="4">
        <f t="shared" si="252"/>
        <v>1</v>
      </c>
      <c r="P525" s="4">
        <f t="shared" si="253"/>
        <v>1</v>
      </c>
      <c r="Q525" s="4">
        <f t="shared" si="254"/>
        <v>8.7795574558837277</v>
      </c>
      <c r="R525" s="4">
        <f t="shared" si="255"/>
        <v>6.2728770065461674</v>
      </c>
      <c r="S525" s="4">
        <f t="shared" si="256"/>
        <v>58.6</v>
      </c>
      <c r="T525" s="4">
        <f t="shared" si="257"/>
        <v>1</v>
      </c>
      <c r="U525" s="4">
        <f t="shared" si="258"/>
        <v>8.7795574558837277</v>
      </c>
      <c r="V525" s="4">
        <f t="shared" si="259"/>
        <v>6.2728770065461674</v>
      </c>
      <c r="W525" s="4">
        <f t="shared" si="260"/>
        <v>58.6</v>
      </c>
      <c r="X525" s="4">
        <f t="shared" si="261"/>
        <v>1</v>
      </c>
      <c r="Y525" s="4">
        <f t="shared" si="262"/>
        <v>8.7795574558837277</v>
      </c>
      <c r="Z525" s="4">
        <f t="shared" si="263"/>
        <v>6.2728770065461674</v>
      </c>
      <c r="AA525" s="4">
        <f t="shared" si="264"/>
        <v>58.6</v>
      </c>
      <c r="AB525" s="4">
        <f t="shared" si="265"/>
        <v>1</v>
      </c>
      <c r="AC525" s="4">
        <f t="shared" si="266"/>
        <v>0</v>
      </c>
      <c r="AD525" s="4">
        <f t="shared" si="267"/>
        <v>0</v>
      </c>
      <c r="AE525" s="4">
        <f t="shared" si="268"/>
        <v>0</v>
      </c>
      <c r="AF525" s="4">
        <f t="shared" si="269"/>
        <v>0</v>
      </c>
      <c r="AG525" s="4">
        <f t="shared" si="270"/>
        <v>8.7795574558837277</v>
      </c>
      <c r="AH525" s="4">
        <f t="shared" si="271"/>
        <v>1</v>
      </c>
      <c r="AI525" s="4">
        <f t="shared" si="272"/>
        <v>0</v>
      </c>
      <c r="AJ525" s="4">
        <f t="shared" si="273"/>
        <v>8.7795574558837277</v>
      </c>
      <c r="AK525" s="4">
        <f t="shared" si="274"/>
        <v>6.2728770065461674</v>
      </c>
      <c r="AL525" s="4">
        <f t="shared" si="275"/>
        <v>0</v>
      </c>
      <c r="AM525" s="4">
        <f>CER!$C$7+CER!$C$8*J525+CER!$C$9*K525+CER!$C$10*L525+CER!$C$11*M525</f>
        <v>3.1926184133471174</v>
      </c>
      <c r="AN525" s="4">
        <f t="shared" si="276"/>
        <v>24.352107920214422</v>
      </c>
      <c r="AO525" s="4">
        <f t="shared" si="277"/>
        <v>-5.7298125586072945E-2</v>
      </c>
      <c r="AP525" s="4">
        <f>Alternatives!$F$25+Alternatives!$F$26*J525+Alternatives!$F$27*K525+Alternatives!$F$28*G525+Alternatives!$F$29*O525</f>
        <v>4.1068302305954472</v>
      </c>
      <c r="AQ525" s="4">
        <f t="shared" si="278"/>
        <v>-0.97150994283440273</v>
      </c>
    </row>
    <row r="526" spans="1:43" x14ac:dyDescent="0.35">
      <c r="A526" s="2" t="s">
        <v>435</v>
      </c>
      <c r="B526" s="2" t="s">
        <v>424</v>
      </c>
      <c r="C526" s="2" t="s">
        <v>33</v>
      </c>
      <c r="D526" s="2">
        <v>23.194800000000001</v>
      </c>
      <c r="E526" s="2">
        <v>6000</v>
      </c>
      <c r="F526" s="2">
        <v>625</v>
      </c>
      <c r="G526" s="2">
        <v>54.9</v>
      </c>
      <c r="H526" s="2" t="s">
        <v>68</v>
      </c>
      <c r="I526" s="4">
        <f t="shared" si="248"/>
        <v>3.1439281156185697</v>
      </c>
      <c r="J526" s="4">
        <f t="shared" si="249"/>
        <v>8.6995147482101913</v>
      </c>
      <c r="K526" s="4">
        <f t="shared" si="250"/>
        <v>6.4377516497364011</v>
      </c>
      <c r="L526" s="2">
        <v>1</v>
      </c>
      <c r="M526" s="2">
        <v>0</v>
      </c>
      <c r="N526" s="4">
        <f t="shared" si="251"/>
        <v>54.9</v>
      </c>
      <c r="O526" s="4">
        <f t="shared" si="252"/>
        <v>1</v>
      </c>
      <c r="P526" s="4">
        <f t="shared" si="253"/>
        <v>1</v>
      </c>
      <c r="Q526" s="4">
        <f t="shared" si="254"/>
        <v>8.6995147482101913</v>
      </c>
      <c r="R526" s="4">
        <f t="shared" si="255"/>
        <v>6.4377516497364011</v>
      </c>
      <c r="S526" s="4">
        <f t="shared" si="256"/>
        <v>54.9</v>
      </c>
      <c r="T526" s="4">
        <f t="shared" si="257"/>
        <v>1</v>
      </c>
      <c r="U526" s="4">
        <f t="shared" si="258"/>
        <v>8.6995147482101913</v>
      </c>
      <c r="V526" s="4">
        <f t="shared" si="259"/>
        <v>6.4377516497364011</v>
      </c>
      <c r="W526" s="4">
        <f t="shared" si="260"/>
        <v>54.9</v>
      </c>
      <c r="X526" s="4">
        <f t="shared" si="261"/>
        <v>1</v>
      </c>
      <c r="Y526" s="4">
        <f t="shared" si="262"/>
        <v>8.6995147482101913</v>
      </c>
      <c r="Z526" s="4">
        <f t="shared" si="263"/>
        <v>6.4377516497364011</v>
      </c>
      <c r="AA526" s="4">
        <f t="shared" si="264"/>
        <v>54.9</v>
      </c>
      <c r="AB526" s="4">
        <f t="shared" si="265"/>
        <v>1</v>
      </c>
      <c r="AC526" s="4">
        <f t="shared" si="266"/>
        <v>0</v>
      </c>
      <c r="AD526" s="4">
        <f t="shared" si="267"/>
        <v>0</v>
      </c>
      <c r="AE526" s="4">
        <f t="shared" si="268"/>
        <v>0</v>
      </c>
      <c r="AF526" s="4">
        <f t="shared" si="269"/>
        <v>0</v>
      </c>
      <c r="AG526" s="4">
        <f t="shared" si="270"/>
        <v>8.6995147482101913</v>
      </c>
      <c r="AH526" s="4">
        <f t="shared" si="271"/>
        <v>1</v>
      </c>
      <c r="AI526" s="4">
        <f t="shared" si="272"/>
        <v>0</v>
      </c>
      <c r="AJ526" s="4">
        <f t="shared" si="273"/>
        <v>8.6995147482101913</v>
      </c>
      <c r="AK526" s="4">
        <f t="shared" si="274"/>
        <v>6.4377516497364011</v>
      </c>
      <c r="AL526" s="4">
        <f t="shared" si="275"/>
        <v>0</v>
      </c>
      <c r="AM526" s="4">
        <f>CER!$C$7+CER!$C$8*J526+CER!$C$9*K526+CER!$C$10*L526+CER!$C$11*M526</f>
        <v>3.1680250138892645</v>
      </c>
      <c r="AN526" s="4">
        <f t="shared" si="276"/>
        <v>23.760511306322414</v>
      </c>
      <c r="AO526" s="4">
        <f t="shared" si="277"/>
        <v>-2.4096898270694833E-2</v>
      </c>
      <c r="AP526" s="4">
        <f>Alternatives!$F$25+Alternatives!$F$26*J526+Alternatives!$F$27*K526+Alternatives!$F$28*G526+Alternatives!$F$29*O526</f>
        <v>4.0814598246345444</v>
      </c>
      <c r="AQ526" s="4">
        <f t="shared" si="278"/>
        <v>-0.93753170901597471</v>
      </c>
    </row>
    <row r="527" spans="1:43" x14ac:dyDescent="0.35">
      <c r="A527" s="2" t="s">
        <v>436</v>
      </c>
      <c r="B527" s="2" t="s">
        <v>424</v>
      </c>
      <c r="C527" s="2" t="s">
        <v>33</v>
      </c>
      <c r="D527" s="2">
        <v>22.995999999999999</v>
      </c>
      <c r="E527" s="2">
        <v>6500</v>
      </c>
      <c r="F527" s="2">
        <v>625</v>
      </c>
      <c r="G527" s="2">
        <v>54.9</v>
      </c>
      <c r="H527" s="2" t="s">
        <v>68</v>
      </c>
      <c r="I527" s="4">
        <f t="shared" si="248"/>
        <v>3.1353202877610444</v>
      </c>
      <c r="J527" s="4">
        <f t="shared" si="249"/>
        <v>8.7795574558837277</v>
      </c>
      <c r="K527" s="4">
        <f t="shared" si="250"/>
        <v>6.4377516497364011</v>
      </c>
      <c r="L527" s="2">
        <v>1</v>
      </c>
      <c r="M527" s="2">
        <v>0</v>
      </c>
      <c r="N527" s="4">
        <f t="shared" si="251"/>
        <v>54.9</v>
      </c>
      <c r="O527" s="4">
        <f t="shared" si="252"/>
        <v>1</v>
      </c>
      <c r="P527" s="4">
        <f t="shared" si="253"/>
        <v>1</v>
      </c>
      <c r="Q527" s="4">
        <f t="shared" si="254"/>
        <v>8.7795574558837277</v>
      </c>
      <c r="R527" s="4">
        <f t="shared" si="255"/>
        <v>6.4377516497364011</v>
      </c>
      <c r="S527" s="4">
        <f t="shared" si="256"/>
        <v>54.9</v>
      </c>
      <c r="T527" s="4">
        <f t="shared" si="257"/>
        <v>1</v>
      </c>
      <c r="U527" s="4">
        <f t="shared" si="258"/>
        <v>8.7795574558837277</v>
      </c>
      <c r="V527" s="4">
        <f t="shared" si="259"/>
        <v>6.4377516497364011</v>
      </c>
      <c r="W527" s="4">
        <f t="shared" si="260"/>
        <v>54.9</v>
      </c>
      <c r="X527" s="4">
        <f t="shared" si="261"/>
        <v>1</v>
      </c>
      <c r="Y527" s="4">
        <f t="shared" si="262"/>
        <v>8.7795574558837277</v>
      </c>
      <c r="Z527" s="4">
        <f t="shared" si="263"/>
        <v>6.4377516497364011</v>
      </c>
      <c r="AA527" s="4">
        <f t="shared" si="264"/>
        <v>54.9</v>
      </c>
      <c r="AB527" s="4">
        <f t="shared" si="265"/>
        <v>1</v>
      </c>
      <c r="AC527" s="4">
        <f t="shared" si="266"/>
        <v>0</v>
      </c>
      <c r="AD527" s="4">
        <f t="shared" si="267"/>
        <v>0</v>
      </c>
      <c r="AE527" s="4">
        <f t="shared" si="268"/>
        <v>0</v>
      </c>
      <c r="AF527" s="4">
        <f t="shared" si="269"/>
        <v>0</v>
      </c>
      <c r="AG527" s="4">
        <f t="shared" si="270"/>
        <v>8.7795574558837277</v>
      </c>
      <c r="AH527" s="4">
        <f t="shared" si="271"/>
        <v>1</v>
      </c>
      <c r="AI527" s="4">
        <f t="shared" si="272"/>
        <v>0</v>
      </c>
      <c r="AJ527" s="4">
        <f t="shared" si="273"/>
        <v>8.7795574558837277</v>
      </c>
      <c r="AK527" s="4">
        <f t="shared" si="274"/>
        <v>6.4377516497364011</v>
      </c>
      <c r="AL527" s="4">
        <f t="shared" si="275"/>
        <v>0</v>
      </c>
      <c r="AM527" s="4">
        <f>CER!$C$7+CER!$C$8*J527+CER!$C$9*K527+CER!$C$10*L527+CER!$C$11*M527</f>
        <v>3.131788950165951</v>
      </c>
      <c r="AN527" s="4">
        <f t="shared" si="276"/>
        <v>22.914936576062225</v>
      </c>
      <c r="AO527" s="4">
        <f t="shared" si="277"/>
        <v>3.5313375950933867E-3</v>
      </c>
      <c r="AP527" s="4">
        <f>Alternatives!$F$25+Alternatives!$F$26*J527+Alternatives!$F$27*K527+Alternatives!$F$28*G527+Alternatives!$F$29*O527</f>
        <v>4.111082508393209</v>
      </c>
      <c r="AQ527" s="4">
        <f t="shared" si="278"/>
        <v>-0.97576222063216456</v>
      </c>
    </row>
    <row r="528" spans="1:43" x14ac:dyDescent="0.35">
      <c r="A528" s="2" t="s">
        <v>437</v>
      </c>
      <c r="B528" s="2" t="s">
        <v>424</v>
      </c>
      <c r="C528" s="2" t="s">
        <v>33</v>
      </c>
      <c r="D528" s="2">
        <v>22.995999999999999</v>
      </c>
      <c r="E528" s="2">
        <v>6500</v>
      </c>
      <c r="F528" s="2">
        <v>625</v>
      </c>
      <c r="G528" s="2">
        <v>58.6</v>
      </c>
      <c r="H528" s="2" t="s">
        <v>68</v>
      </c>
      <c r="I528" s="4">
        <f t="shared" si="248"/>
        <v>3.1353202877610444</v>
      </c>
      <c r="J528" s="4">
        <f t="shared" si="249"/>
        <v>8.7795574558837277</v>
      </c>
      <c r="K528" s="4">
        <f t="shared" si="250"/>
        <v>6.4377516497364011</v>
      </c>
      <c r="L528" s="2">
        <v>1</v>
      </c>
      <c r="M528" s="2">
        <v>0</v>
      </c>
      <c r="N528" s="4">
        <f t="shared" si="251"/>
        <v>58.6</v>
      </c>
      <c r="O528" s="4">
        <f t="shared" si="252"/>
        <v>1</v>
      </c>
      <c r="P528" s="4">
        <f t="shared" si="253"/>
        <v>1</v>
      </c>
      <c r="Q528" s="4">
        <f t="shared" si="254"/>
        <v>8.7795574558837277</v>
      </c>
      <c r="R528" s="4">
        <f t="shared" si="255"/>
        <v>6.4377516497364011</v>
      </c>
      <c r="S528" s="4">
        <f t="shared" si="256"/>
        <v>58.6</v>
      </c>
      <c r="T528" s="4">
        <f t="shared" si="257"/>
        <v>1</v>
      </c>
      <c r="U528" s="4">
        <f t="shared" si="258"/>
        <v>8.7795574558837277</v>
      </c>
      <c r="V528" s="4">
        <f t="shared" si="259"/>
        <v>6.4377516497364011</v>
      </c>
      <c r="W528" s="4">
        <f t="shared" si="260"/>
        <v>58.6</v>
      </c>
      <c r="X528" s="4">
        <f t="shared" si="261"/>
        <v>1</v>
      </c>
      <c r="Y528" s="4">
        <f t="shared" si="262"/>
        <v>8.7795574558837277</v>
      </c>
      <c r="Z528" s="4">
        <f t="shared" si="263"/>
        <v>6.4377516497364011</v>
      </c>
      <c r="AA528" s="4">
        <f t="shared" si="264"/>
        <v>58.6</v>
      </c>
      <c r="AB528" s="4">
        <f t="shared" si="265"/>
        <v>1</v>
      </c>
      <c r="AC528" s="4">
        <f t="shared" si="266"/>
        <v>0</v>
      </c>
      <c r="AD528" s="4">
        <f t="shared" si="267"/>
        <v>0</v>
      </c>
      <c r="AE528" s="4">
        <f t="shared" si="268"/>
        <v>0</v>
      </c>
      <c r="AF528" s="4">
        <f t="shared" si="269"/>
        <v>0</v>
      </c>
      <c r="AG528" s="4">
        <f t="shared" si="270"/>
        <v>8.7795574558837277</v>
      </c>
      <c r="AH528" s="4">
        <f t="shared" si="271"/>
        <v>1</v>
      </c>
      <c r="AI528" s="4">
        <f t="shared" si="272"/>
        <v>0</v>
      </c>
      <c r="AJ528" s="4">
        <f t="shared" si="273"/>
        <v>8.7795574558837277</v>
      </c>
      <c r="AK528" s="4">
        <f t="shared" si="274"/>
        <v>6.4377516497364011</v>
      </c>
      <c r="AL528" s="4">
        <f t="shared" si="275"/>
        <v>0</v>
      </c>
      <c r="AM528" s="4">
        <f>CER!$C$7+CER!$C$8*J528+CER!$C$9*K528+CER!$C$10*L528+CER!$C$11*M528</f>
        <v>3.131788950165951</v>
      </c>
      <c r="AN528" s="4">
        <f t="shared" si="276"/>
        <v>22.914936576062225</v>
      </c>
      <c r="AO528" s="4">
        <f t="shared" si="277"/>
        <v>3.5313375950933867E-3</v>
      </c>
      <c r="AP528" s="4">
        <f>Alternatives!$F$25+Alternatives!$F$26*J528+Alternatives!$F$27*K528+Alternatives!$F$28*G528+Alternatives!$F$29*O528</f>
        <v>4.0629554445869642</v>
      </c>
      <c r="AQ528" s="4">
        <f t="shared" si="278"/>
        <v>-0.92763515682591979</v>
      </c>
    </row>
    <row r="529" spans="1:43" x14ac:dyDescent="0.35">
      <c r="A529" s="2" t="s">
        <v>438</v>
      </c>
      <c r="B529" s="2" t="s">
        <v>424</v>
      </c>
      <c r="C529" s="2" t="s">
        <v>33</v>
      </c>
      <c r="D529" s="2">
        <v>25.739899999999999</v>
      </c>
      <c r="E529" s="2">
        <v>6000</v>
      </c>
      <c r="F529" s="2">
        <v>400</v>
      </c>
      <c r="G529" s="2">
        <v>55.5</v>
      </c>
      <c r="H529" s="2" t="s">
        <v>68</v>
      </c>
      <c r="I529" s="4">
        <f t="shared" si="248"/>
        <v>3.2480423171565489</v>
      </c>
      <c r="J529" s="4">
        <f t="shared" si="249"/>
        <v>8.6995147482101913</v>
      </c>
      <c r="K529" s="4">
        <f t="shared" si="250"/>
        <v>5.9914645471079817</v>
      </c>
      <c r="L529" s="2">
        <v>1</v>
      </c>
      <c r="M529" s="2">
        <v>0</v>
      </c>
      <c r="N529" s="4">
        <f t="shared" si="251"/>
        <v>55.5</v>
      </c>
      <c r="O529" s="4">
        <f t="shared" si="252"/>
        <v>1</v>
      </c>
      <c r="P529" s="4">
        <f t="shared" si="253"/>
        <v>1</v>
      </c>
      <c r="Q529" s="4">
        <f t="shared" si="254"/>
        <v>8.6995147482101913</v>
      </c>
      <c r="R529" s="4">
        <f t="shared" si="255"/>
        <v>5.9914645471079817</v>
      </c>
      <c r="S529" s="4">
        <f t="shared" si="256"/>
        <v>55.5</v>
      </c>
      <c r="T529" s="4">
        <f t="shared" si="257"/>
        <v>1</v>
      </c>
      <c r="U529" s="4">
        <f t="shared" si="258"/>
        <v>8.6995147482101913</v>
      </c>
      <c r="V529" s="4">
        <f t="shared" si="259"/>
        <v>5.9914645471079817</v>
      </c>
      <c r="W529" s="4">
        <f t="shared" si="260"/>
        <v>55.5</v>
      </c>
      <c r="X529" s="4">
        <f t="shared" si="261"/>
        <v>1</v>
      </c>
      <c r="Y529" s="4">
        <f t="shared" si="262"/>
        <v>8.6995147482101913</v>
      </c>
      <c r="Z529" s="4">
        <f t="shared" si="263"/>
        <v>5.9914645471079817</v>
      </c>
      <c r="AA529" s="4">
        <f t="shared" si="264"/>
        <v>55.5</v>
      </c>
      <c r="AB529" s="4">
        <f t="shared" si="265"/>
        <v>1</v>
      </c>
      <c r="AC529" s="4">
        <f t="shared" si="266"/>
        <v>0</v>
      </c>
      <c r="AD529" s="4">
        <f t="shared" si="267"/>
        <v>0</v>
      </c>
      <c r="AE529" s="4">
        <f t="shared" si="268"/>
        <v>0</v>
      </c>
      <c r="AF529" s="4">
        <f t="shared" si="269"/>
        <v>0</v>
      </c>
      <c r="AG529" s="4">
        <f t="shared" si="270"/>
        <v>8.6995147482101913</v>
      </c>
      <c r="AH529" s="4">
        <f t="shared" si="271"/>
        <v>1</v>
      </c>
      <c r="AI529" s="4">
        <f t="shared" si="272"/>
        <v>0</v>
      </c>
      <c r="AJ529" s="4">
        <f t="shared" si="273"/>
        <v>8.6995147482101913</v>
      </c>
      <c r="AK529" s="4">
        <f t="shared" si="274"/>
        <v>5.9914645471079817</v>
      </c>
      <c r="AL529" s="4">
        <f t="shared" si="275"/>
        <v>0</v>
      </c>
      <c r="AM529" s="4">
        <f>CER!$C$7+CER!$C$8*J529+CER!$C$9*K529+CER!$C$10*L529+CER!$C$11*M529</f>
        <v>3.3326798349841122</v>
      </c>
      <c r="AN529" s="4">
        <f t="shared" si="276"/>
        <v>28.01331225822209</v>
      </c>
      <c r="AO529" s="4">
        <f t="shared" si="277"/>
        <v>-8.4637517827563347E-2</v>
      </c>
      <c r="AP529" s="4">
        <f>Alternatives!$F$25+Alternatives!$F$26*J529+Alternatives!$F$27*K529+Alternatives!$F$28*G529+Alternatives!$F$29*O529</f>
        <v>4.1924168824681889</v>
      </c>
      <c r="AQ529" s="4">
        <f t="shared" si="278"/>
        <v>-0.94437456531163999</v>
      </c>
    </row>
    <row r="530" spans="1:43" x14ac:dyDescent="0.35">
      <c r="A530" s="2" t="s">
        <v>439</v>
      </c>
      <c r="B530" s="2" t="s">
        <v>424</v>
      </c>
      <c r="C530" s="2" t="s">
        <v>33</v>
      </c>
      <c r="D530" s="2">
        <v>26.437999999999999</v>
      </c>
      <c r="E530" s="2">
        <v>5500</v>
      </c>
      <c r="F530" s="2">
        <v>400</v>
      </c>
      <c r="G530" s="2">
        <v>47.4</v>
      </c>
      <c r="H530" s="2" t="s">
        <v>68</v>
      </c>
      <c r="I530" s="4">
        <f t="shared" si="248"/>
        <v>3.2748023691572077</v>
      </c>
      <c r="J530" s="4">
        <f t="shared" si="249"/>
        <v>8.6125033712205621</v>
      </c>
      <c r="K530" s="4">
        <f t="shared" si="250"/>
        <v>5.9914645471079817</v>
      </c>
      <c r="L530" s="2">
        <v>1</v>
      </c>
      <c r="M530" s="2">
        <v>0</v>
      </c>
      <c r="N530" s="4">
        <f t="shared" si="251"/>
        <v>47.4</v>
      </c>
      <c r="O530" s="4">
        <f t="shared" si="252"/>
        <v>1</v>
      </c>
      <c r="P530" s="4">
        <f t="shared" si="253"/>
        <v>1</v>
      </c>
      <c r="Q530" s="4">
        <f t="shared" si="254"/>
        <v>8.6125033712205621</v>
      </c>
      <c r="R530" s="4">
        <f t="shared" si="255"/>
        <v>5.9914645471079817</v>
      </c>
      <c r="S530" s="4">
        <f t="shared" si="256"/>
        <v>47.4</v>
      </c>
      <c r="T530" s="4">
        <f t="shared" si="257"/>
        <v>1</v>
      </c>
      <c r="U530" s="4">
        <f t="shared" si="258"/>
        <v>8.6125033712205621</v>
      </c>
      <c r="V530" s="4">
        <f t="shared" si="259"/>
        <v>5.9914645471079817</v>
      </c>
      <c r="W530" s="4">
        <f t="shared" si="260"/>
        <v>47.4</v>
      </c>
      <c r="X530" s="4">
        <f t="shared" si="261"/>
        <v>1</v>
      </c>
      <c r="Y530" s="4">
        <f t="shared" si="262"/>
        <v>8.6125033712205621</v>
      </c>
      <c r="Z530" s="4">
        <f t="shared" si="263"/>
        <v>5.9914645471079817</v>
      </c>
      <c r="AA530" s="4">
        <f t="shared" si="264"/>
        <v>47.4</v>
      </c>
      <c r="AB530" s="4">
        <f t="shared" si="265"/>
        <v>1</v>
      </c>
      <c r="AC530" s="4">
        <f t="shared" si="266"/>
        <v>0</v>
      </c>
      <c r="AD530" s="4">
        <f t="shared" si="267"/>
        <v>0</v>
      </c>
      <c r="AE530" s="4">
        <f t="shared" si="268"/>
        <v>0</v>
      </c>
      <c r="AF530" s="4">
        <f t="shared" si="269"/>
        <v>0</v>
      </c>
      <c r="AG530" s="4">
        <f t="shared" si="270"/>
        <v>8.6125033712205621</v>
      </c>
      <c r="AH530" s="4">
        <f t="shared" si="271"/>
        <v>1</v>
      </c>
      <c r="AI530" s="4">
        <f t="shared" si="272"/>
        <v>0</v>
      </c>
      <c r="AJ530" s="4">
        <f t="shared" si="273"/>
        <v>8.6125033712205621</v>
      </c>
      <c r="AK530" s="4">
        <f t="shared" si="274"/>
        <v>5.9914645471079817</v>
      </c>
      <c r="AL530" s="4">
        <f t="shared" si="275"/>
        <v>0</v>
      </c>
      <c r="AM530" s="4">
        <f>CER!$C$7+CER!$C$8*J530+CER!$C$9*K530+CER!$C$10*L530+CER!$C$11*M530</f>
        <v>3.3720706788584747</v>
      </c>
      <c r="AN530" s="4">
        <f t="shared" si="276"/>
        <v>29.138801732221555</v>
      </c>
      <c r="AO530" s="4">
        <f t="shared" si="277"/>
        <v>-9.7268309701266986E-2</v>
      </c>
      <c r="AP530" s="4">
        <f>Alternatives!$F$25+Alternatives!$F$26*J530+Alternatives!$F$27*K530+Alternatives!$F$28*G530+Alternatives!$F$29*O530</f>
        <v>4.2655744397017106</v>
      </c>
      <c r="AQ530" s="4">
        <f t="shared" si="278"/>
        <v>-0.99077207054450289</v>
      </c>
    </row>
    <row r="531" spans="1:43" x14ac:dyDescent="0.35">
      <c r="A531" s="2" t="s">
        <v>440</v>
      </c>
      <c r="B531" s="2" t="s">
        <v>424</v>
      </c>
      <c r="C531" s="2" t="s">
        <v>67</v>
      </c>
      <c r="D531" s="2">
        <v>25.965199999999999</v>
      </c>
      <c r="E531" s="2">
        <v>5000</v>
      </c>
      <c r="F531" s="2">
        <v>400</v>
      </c>
      <c r="G531" s="2">
        <v>47.4</v>
      </c>
      <c r="H531" s="2" t="s">
        <v>68</v>
      </c>
      <c r="I531" s="4">
        <f t="shared" si="248"/>
        <v>3.2567571799432971</v>
      </c>
      <c r="J531" s="4">
        <f t="shared" si="249"/>
        <v>8.5171931914162382</v>
      </c>
      <c r="K531" s="4">
        <f t="shared" si="250"/>
        <v>5.9914645471079817</v>
      </c>
      <c r="L531" s="2">
        <v>0</v>
      </c>
      <c r="M531" s="2">
        <v>0</v>
      </c>
      <c r="N531" s="4">
        <f t="shared" si="251"/>
        <v>47.4</v>
      </c>
      <c r="O531" s="4">
        <f t="shared" si="252"/>
        <v>0</v>
      </c>
      <c r="P531" s="4">
        <f t="shared" si="253"/>
        <v>0</v>
      </c>
      <c r="Q531" s="4">
        <f t="shared" si="254"/>
        <v>8.5171931914162382</v>
      </c>
      <c r="R531" s="4">
        <f t="shared" si="255"/>
        <v>5.9914645471079817</v>
      </c>
      <c r="S531" s="4">
        <f t="shared" si="256"/>
        <v>47.4</v>
      </c>
      <c r="T531" s="4">
        <f t="shared" si="257"/>
        <v>0</v>
      </c>
      <c r="U531" s="4">
        <f t="shared" si="258"/>
        <v>8.5171931914162382</v>
      </c>
      <c r="V531" s="4">
        <f t="shared" si="259"/>
        <v>5.9914645471079817</v>
      </c>
      <c r="W531" s="4">
        <f t="shared" si="260"/>
        <v>47.4</v>
      </c>
      <c r="X531" s="4">
        <f t="shared" si="261"/>
        <v>0</v>
      </c>
      <c r="Y531" s="4">
        <f t="shared" si="262"/>
        <v>8.5171931914162382</v>
      </c>
      <c r="Z531" s="4">
        <f t="shared" si="263"/>
        <v>5.9914645471079817</v>
      </c>
      <c r="AA531" s="4">
        <f t="shared" si="264"/>
        <v>47.4</v>
      </c>
      <c r="AB531" s="4">
        <f t="shared" si="265"/>
        <v>0</v>
      </c>
      <c r="AC531" s="4">
        <f t="shared" si="266"/>
        <v>0</v>
      </c>
      <c r="AD531" s="4">
        <f t="shared" si="267"/>
        <v>0</v>
      </c>
      <c r="AE531" s="4">
        <f t="shared" si="268"/>
        <v>0</v>
      </c>
      <c r="AF531" s="4">
        <f t="shared" si="269"/>
        <v>0</v>
      </c>
      <c r="AG531" s="4">
        <f t="shared" si="270"/>
        <v>8.5171931914162382</v>
      </c>
      <c r="AH531" s="4">
        <f t="shared" si="271"/>
        <v>0</v>
      </c>
      <c r="AI531" s="4">
        <f t="shared" si="272"/>
        <v>0</v>
      </c>
      <c r="AJ531" s="4">
        <f t="shared" si="273"/>
        <v>8.5171931914162382</v>
      </c>
      <c r="AK531" s="4">
        <f t="shared" si="274"/>
        <v>5.9914645471079817</v>
      </c>
      <c r="AL531" s="4">
        <f t="shared" si="275"/>
        <v>0</v>
      </c>
      <c r="AM531" s="4">
        <f>CER!$C$7+CER!$C$8*J531+CER!$C$9*K531+CER!$C$10*L531+CER!$C$11*M531</f>
        <v>3.1914648964797947</v>
      </c>
      <c r="AN531" s="4">
        <f t="shared" si="276"/>
        <v>24.324033548217393</v>
      </c>
      <c r="AO531" s="4">
        <f t="shared" si="277"/>
        <v>6.5292283463502354E-2</v>
      </c>
      <c r="AP531" s="4">
        <f>Alternatives!$F$25+Alternatives!$F$26*J531+Alternatives!$F$27*K531+Alternatives!$F$28*G531+Alternatives!$F$29*O531</f>
        <v>3.3855615496780018</v>
      </c>
      <c r="AQ531" s="4">
        <f t="shared" si="278"/>
        <v>-0.12880436973470477</v>
      </c>
    </row>
    <row r="532" spans="1:43" x14ac:dyDescent="0.35">
      <c r="A532" s="2" t="s">
        <v>440</v>
      </c>
      <c r="B532" s="2" t="s">
        <v>424</v>
      </c>
      <c r="C532" s="2" t="s">
        <v>67</v>
      </c>
      <c r="D532" s="2">
        <v>21.216000000000001</v>
      </c>
      <c r="E532" s="2">
        <v>5500</v>
      </c>
      <c r="F532" s="2">
        <v>525</v>
      </c>
      <c r="G532" s="2">
        <v>47.4</v>
      </c>
      <c r="H532" s="2" t="s">
        <v>68</v>
      </c>
      <c r="I532" s="4">
        <f t="shared" si="248"/>
        <v>3.0547556140034522</v>
      </c>
      <c r="J532" s="4">
        <f t="shared" si="249"/>
        <v>8.6125033712205621</v>
      </c>
      <c r="K532" s="4">
        <f t="shared" si="250"/>
        <v>6.2633982625916236</v>
      </c>
      <c r="L532" s="2">
        <v>0</v>
      </c>
      <c r="M532" s="2">
        <v>0</v>
      </c>
      <c r="N532" s="4">
        <f t="shared" si="251"/>
        <v>47.4</v>
      </c>
      <c r="O532" s="4">
        <f t="shared" si="252"/>
        <v>0</v>
      </c>
      <c r="P532" s="4">
        <f t="shared" si="253"/>
        <v>0</v>
      </c>
      <c r="Q532" s="4">
        <f t="shared" si="254"/>
        <v>8.6125033712205621</v>
      </c>
      <c r="R532" s="4">
        <f t="shared" si="255"/>
        <v>6.2633982625916236</v>
      </c>
      <c r="S532" s="4">
        <f t="shared" si="256"/>
        <v>47.4</v>
      </c>
      <c r="T532" s="4">
        <f t="shared" si="257"/>
        <v>0</v>
      </c>
      <c r="U532" s="4">
        <f t="shared" si="258"/>
        <v>8.6125033712205621</v>
      </c>
      <c r="V532" s="4">
        <f t="shared" si="259"/>
        <v>6.2633982625916236</v>
      </c>
      <c r="W532" s="4">
        <f t="shared" si="260"/>
        <v>47.4</v>
      </c>
      <c r="X532" s="4">
        <f t="shared" si="261"/>
        <v>0</v>
      </c>
      <c r="Y532" s="4">
        <f t="shared" si="262"/>
        <v>8.6125033712205621</v>
      </c>
      <c r="Z532" s="4">
        <f t="shared" si="263"/>
        <v>6.2633982625916236</v>
      </c>
      <c r="AA532" s="4">
        <f t="shared" si="264"/>
        <v>47.4</v>
      </c>
      <c r="AB532" s="4">
        <f t="shared" si="265"/>
        <v>0</v>
      </c>
      <c r="AC532" s="4">
        <f t="shared" si="266"/>
        <v>0</v>
      </c>
      <c r="AD532" s="4">
        <f t="shared" si="267"/>
        <v>0</v>
      </c>
      <c r="AE532" s="4">
        <f t="shared" si="268"/>
        <v>0</v>
      </c>
      <c r="AF532" s="4">
        <f t="shared" si="269"/>
        <v>0</v>
      </c>
      <c r="AG532" s="4">
        <f t="shared" si="270"/>
        <v>8.6125033712205621</v>
      </c>
      <c r="AH532" s="4">
        <f t="shared" si="271"/>
        <v>0</v>
      </c>
      <c r="AI532" s="4">
        <f t="shared" si="272"/>
        <v>0</v>
      </c>
      <c r="AJ532" s="4">
        <f t="shared" si="273"/>
        <v>8.6125033712205621</v>
      </c>
      <c r="AK532" s="4">
        <f t="shared" si="274"/>
        <v>6.2633982625916236</v>
      </c>
      <c r="AL532" s="4">
        <f t="shared" si="275"/>
        <v>0</v>
      </c>
      <c r="AM532" s="4">
        <f>CER!$C$7+CER!$C$8*J532+CER!$C$9*K532+CER!$C$10*L532+CER!$C$11*M532</f>
        <v>3.0479888739729546</v>
      </c>
      <c r="AN532" s="4">
        <f t="shared" si="276"/>
        <v>21.072921477046076</v>
      </c>
      <c r="AO532" s="4">
        <f t="shared" si="277"/>
        <v>6.7667400304975978E-3</v>
      </c>
      <c r="AP532" s="4">
        <f>Alternatives!$F$25+Alternatives!$F$26*J532+Alternatives!$F$27*K532+Alternatives!$F$28*G532+Alternatives!$F$29*O532</f>
        <v>3.3484702384922853</v>
      </c>
      <c r="AQ532" s="4">
        <f t="shared" si="278"/>
        <v>-0.29371462448883312</v>
      </c>
    </row>
    <row r="533" spans="1:43" x14ac:dyDescent="0.35">
      <c r="A533" s="2" t="s">
        <v>441</v>
      </c>
      <c r="B533" s="2" t="s">
        <v>424</v>
      </c>
      <c r="C533" s="2" t="s">
        <v>67</v>
      </c>
      <c r="D533" s="2">
        <v>25.482299999999999</v>
      </c>
      <c r="E533" s="2">
        <v>5500</v>
      </c>
      <c r="F533" s="2">
        <v>400</v>
      </c>
      <c r="G533" s="2">
        <v>55.5</v>
      </c>
      <c r="H533" s="2" t="s">
        <v>68</v>
      </c>
      <c r="I533" s="4">
        <f t="shared" si="248"/>
        <v>3.2379840935061344</v>
      </c>
      <c r="J533" s="4">
        <f t="shared" si="249"/>
        <v>8.6125033712205621</v>
      </c>
      <c r="K533" s="4">
        <f t="shared" si="250"/>
        <v>5.9914645471079817</v>
      </c>
      <c r="L533" s="2">
        <v>0</v>
      </c>
      <c r="M533" s="2">
        <v>0</v>
      </c>
      <c r="N533" s="4">
        <f t="shared" si="251"/>
        <v>55.5</v>
      </c>
      <c r="O533" s="4">
        <f t="shared" si="252"/>
        <v>0</v>
      </c>
      <c r="P533" s="4">
        <f t="shared" si="253"/>
        <v>0</v>
      </c>
      <c r="Q533" s="4">
        <f t="shared" si="254"/>
        <v>8.6125033712205621</v>
      </c>
      <c r="R533" s="4">
        <f t="shared" si="255"/>
        <v>5.9914645471079817</v>
      </c>
      <c r="S533" s="4">
        <f t="shared" si="256"/>
        <v>55.5</v>
      </c>
      <c r="T533" s="4">
        <f t="shared" si="257"/>
        <v>0</v>
      </c>
      <c r="U533" s="4">
        <f t="shared" si="258"/>
        <v>8.6125033712205621</v>
      </c>
      <c r="V533" s="4">
        <f t="shared" si="259"/>
        <v>5.9914645471079817</v>
      </c>
      <c r="W533" s="4">
        <f t="shared" si="260"/>
        <v>55.5</v>
      </c>
      <c r="X533" s="4">
        <f t="shared" si="261"/>
        <v>0</v>
      </c>
      <c r="Y533" s="4">
        <f t="shared" si="262"/>
        <v>8.6125033712205621</v>
      </c>
      <c r="Z533" s="4">
        <f t="shared" si="263"/>
        <v>5.9914645471079817</v>
      </c>
      <c r="AA533" s="4">
        <f t="shared" si="264"/>
        <v>55.5</v>
      </c>
      <c r="AB533" s="4">
        <f t="shared" si="265"/>
        <v>0</v>
      </c>
      <c r="AC533" s="4">
        <f t="shared" si="266"/>
        <v>0</v>
      </c>
      <c r="AD533" s="4">
        <f t="shared" si="267"/>
        <v>0</v>
      </c>
      <c r="AE533" s="4">
        <f t="shared" si="268"/>
        <v>0</v>
      </c>
      <c r="AF533" s="4">
        <f t="shared" si="269"/>
        <v>0</v>
      </c>
      <c r="AG533" s="4">
        <f t="shared" si="270"/>
        <v>8.6125033712205621</v>
      </c>
      <c r="AH533" s="4">
        <f t="shared" si="271"/>
        <v>0</v>
      </c>
      <c r="AI533" s="4">
        <f t="shared" si="272"/>
        <v>0</v>
      </c>
      <c r="AJ533" s="4">
        <f t="shared" si="273"/>
        <v>8.6125033712205621</v>
      </c>
      <c r="AK533" s="4">
        <f t="shared" si="274"/>
        <v>5.9914645471079817</v>
      </c>
      <c r="AL533" s="4">
        <f t="shared" si="275"/>
        <v>0</v>
      </c>
      <c r="AM533" s="4">
        <f>CER!$C$7+CER!$C$8*J533+CER!$C$9*K533+CER!$C$10*L533+CER!$C$11*M533</f>
        <v>3.1483171088892488</v>
      </c>
      <c r="AN533" s="4">
        <f t="shared" si="276"/>
        <v>23.296825552066785</v>
      </c>
      <c r="AO533" s="4">
        <f t="shared" si="277"/>
        <v>8.9666984616885603E-2</v>
      </c>
      <c r="AP533" s="4">
        <f>Alternatives!$F$25+Alternatives!$F$26*J533+Alternatives!$F$27*K533+Alternatives!$F$28*G533+Alternatives!$F$29*O533</f>
        <v>3.3154752630011659</v>
      </c>
      <c r="AQ533" s="4">
        <f t="shared" si="278"/>
        <v>-7.7491169495031542E-2</v>
      </c>
    </row>
    <row r="534" spans="1:43" x14ac:dyDescent="0.35">
      <c r="A534" s="2" t="s">
        <v>441</v>
      </c>
      <c r="B534" s="2" t="s">
        <v>424</v>
      </c>
      <c r="C534" s="2" t="s">
        <v>67</v>
      </c>
      <c r="D534" s="2">
        <v>20.4861</v>
      </c>
      <c r="E534" s="2">
        <v>6000</v>
      </c>
      <c r="F534" s="2">
        <v>525</v>
      </c>
      <c r="G534" s="2">
        <v>55.5</v>
      </c>
      <c r="H534" s="2" t="s">
        <v>68</v>
      </c>
      <c r="I534" s="4">
        <f t="shared" si="248"/>
        <v>3.0197466073848367</v>
      </c>
      <c r="J534" s="4">
        <f t="shared" si="249"/>
        <v>8.6995147482101913</v>
      </c>
      <c r="K534" s="4">
        <f t="shared" si="250"/>
        <v>6.2633982625916236</v>
      </c>
      <c r="L534" s="2">
        <v>0</v>
      </c>
      <c r="M534" s="2">
        <v>0</v>
      </c>
      <c r="N534" s="4">
        <f t="shared" si="251"/>
        <v>55.5</v>
      </c>
      <c r="O534" s="4">
        <f t="shared" si="252"/>
        <v>0</v>
      </c>
      <c r="P534" s="4">
        <f t="shared" si="253"/>
        <v>0</v>
      </c>
      <c r="Q534" s="4">
        <f t="shared" si="254"/>
        <v>8.6995147482101913</v>
      </c>
      <c r="R534" s="4">
        <f t="shared" si="255"/>
        <v>6.2633982625916236</v>
      </c>
      <c r="S534" s="4">
        <f t="shared" si="256"/>
        <v>55.5</v>
      </c>
      <c r="T534" s="4">
        <f t="shared" si="257"/>
        <v>0</v>
      </c>
      <c r="U534" s="4">
        <f t="shared" si="258"/>
        <v>8.6995147482101913</v>
      </c>
      <c r="V534" s="4">
        <f t="shared" si="259"/>
        <v>6.2633982625916236</v>
      </c>
      <c r="W534" s="4">
        <f t="shared" si="260"/>
        <v>55.5</v>
      </c>
      <c r="X534" s="4">
        <f t="shared" si="261"/>
        <v>0</v>
      </c>
      <c r="Y534" s="4">
        <f t="shared" si="262"/>
        <v>8.6995147482101913</v>
      </c>
      <c r="Z534" s="4">
        <f t="shared" si="263"/>
        <v>6.2633982625916236</v>
      </c>
      <c r="AA534" s="4">
        <f t="shared" si="264"/>
        <v>55.5</v>
      </c>
      <c r="AB534" s="4">
        <f t="shared" si="265"/>
        <v>0</v>
      </c>
      <c r="AC534" s="4">
        <f t="shared" si="266"/>
        <v>0</v>
      </c>
      <c r="AD534" s="4">
        <f t="shared" si="267"/>
        <v>0</v>
      </c>
      <c r="AE534" s="4">
        <f t="shared" si="268"/>
        <v>0</v>
      </c>
      <c r="AF534" s="4">
        <f t="shared" si="269"/>
        <v>0</v>
      </c>
      <c r="AG534" s="4">
        <f t="shared" si="270"/>
        <v>8.6995147482101913</v>
      </c>
      <c r="AH534" s="4">
        <f t="shared" si="271"/>
        <v>0</v>
      </c>
      <c r="AI534" s="4">
        <f t="shared" si="272"/>
        <v>0</v>
      </c>
      <c r="AJ534" s="4">
        <f t="shared" si="273"/>
        <v>8.6995147482101913</v>
      </c>
      <c r="AK534" s="4">
        <f t="shared" si="274"/>
        <v>6.2633982625916236</v>
      </c>
      <c r="AL534" s="4">
        <f t="shared" si="275"/>
        <v>0</v>
      </c>
      <c r="AM534" s="4">
        <f>CER!$C$7+CER!$C$8*J534+CER!$C$9*K534+CER!$C$10*L534+CER!$C$11*M534</f>
        <v>3.0085980300985922</v>
      </c>
      <c r="AN534" s="4">
        <f t="shared" si="276"/>
        <v>20.258977529494999</v>
      </c>
      <c r="AO534" s="4">
        <f t="shared" si="277"/>
        <v>1.1148577286244521E-2</v>
      </c>
      <c r="AP534" s="4">
        <f>Alternatives!$F$25+Alternatives!$F$26*J534+Alternatives!$F$27*K534+Alternatives!$F$28*G534+Alternatives!$F$29*O534</f>
        <v>3.2753126812587627</v>
      </c>
      <c r="AQ534" s="4">
        <f t="shared" si="278"/>
        <v>-0.25556607387392605</v>
      </c>
    </row>
    <row r="535" spans="1:43" x14ac:dyDescent="0.35">
      <c r="A535" s="2" t="s">
        <v>442</v>
      </c>
      <c r="B535" s="2" t="s">
        <v>424</v>
      </c>
      <c r="C535" s="2" t="s">
        <v>67</v>
      </c>
      <c r="D535" s="2">
        <v>20.163799999999998</v>
      </c>
      <c r="E535" s="2">
        <v>6500</v>
      </c>
      <c r="F535" s="2">
        <v>500</v>
      </c>
      <c r="G535" s="2">
        <v>55.5</v>
      </c>
      <c r="H535" s="2" t="s">
        <v>68</v>
      </c>
      <c r="I535" s="4">
        <f t="shared" si="248"/>
        <v>3.0038889175042627</v>
      </c>
      <c r="J535" s="4">
        <f t="shared" si="249"/>
        <v>8.7795574558837277</v>
      </c>
      <c r="K535" s="4">
        <f t="shared" si="250"/>
        <v>6.2146080984221914</v>
      </c>
      <c r="L535" s="2">
        <v>0</v>
      </c>
      <c r="M535" s="2">
        <v>0</v>
      </c>
      <c r="N535" s="4">
        <f t="shared" si="251"/>
        <v>55.5</v>
      </c>
      <c r="O535" s="4">
        <f t="shared" si="252"/>
        <v>0</v>
      </c>
      <c r="P535" s="4">
        <f t="shared" si="253"/>
        <v>0</v>
      </c>
      <c r="Q535" s="4">
        <f t="shared" si="254"/>
        <v>8.7795574558837277</v>
      </c>
      <c r="R535" s="4">
        <f t="shared" si="255"/>
        <v>6.2146080984221914</v>
      </c>
      <c r="S535" s="4">
        <f t="shared" si="256"/>
        <v>55.5</v>
      </c>
      <c r="T535" s="4">
        <f t="shared" si="257"/>
        <v>0</v>
      </c>
      <c r="U535" s="4">
        <f t="shared" si="258"/>
        <v>8.7795574558837277</v>
      </c>
      <c r="V535" s="4">
        <f t="shared" si="259"/>
        <v>6.2146080984221914</v>
      </c>
      <c r="W535" s="4">
        <f t="shared" si="260"/>
        <v>55.5</v>
      </c>
      <c r="X535" s="4">
        <f t="shared" si="261"/>
        <v>0</v>
      </c>
      <c r="Y535" s="4">
        <f t="shared" si="262"/>
        <v>8.7795574558837277</v>
      </c>
      <c r="Z535" s="4">
        <f t="shared" si="263"/>
        <v>6.2146080984221914</v>
      </c>
      <c r="AA535" s="4">
        <f t="shared" si="264"/>
        <v>55.5</v>
      </c>
      <c r="AB535" s="4">
        <f t="shared" si="265"/>
        <v>0</v>
      </c>
      <c r="AC535" s="4">
        <f t="shared" si="266"/>
        <v>0</v>
      </c>
      <c r="AD535" s="4">
        <f t="shared" si="267"/>
        <v>0</v>
      </c>
      <c r="AE535" s="4">
        <f t="shared" si="268"/>
        <v>0</v>
      </c>
      <c r="AF535" s="4">
        <f t="shared" si="269"/>
        <v>0</v>
      </c>
      <c r="AG535" s="4">
        <f t="shared" si="270"/>
        <v>8.7795574558837277</v>
      </c>
      <c r="AH535" s="4">
        <f t="shared" si="271"/>
        <v>0</v>
      </c>
      <c r="AI535" s="4">
        <f t="shared" si="272"/>
        <v>0</v>
      </c>
      <c r="AJ535" s="4">
        <f t="shared" si="273"/>
        <v>8.7795574558837277</v>
      </c>
      <c r="AK535" s="4">
        <f t="shared" si="274"/>
        <v>6.2146080984221914</v>
      </c>
      <c r="AL535" s="4">
        <f t="shared" si="275"/>
        <v>0</v>
      </c>
      <c r="AM535" s="4">
        <f>CER!$C$7+CER!$C$8*J535+CER!$C$9*K535+CER!$C$10*L535+CER!$C$11*M535</f>
        <v>2.990362790744149</v>
      </c>
      <c r="AN535" s="4">
        <f t="shared" si="276"/>
        <v>19.892898141920192</v>
      </c>
      <c r="AO535" s="4">
        <f t="shared" si="277"/>
        <v>1.3526126760113666E-2</v>
      </c>
      <c r="AP535" s="4">
        <f>Alternatives!$F$25+Alternatives!$F$26*J535+Alternatives!$F$27*K535+Alternatives!$F$28*G535+Alternatives!$F$29*O535</f>
        <v>3.3179189140388665</v>
      </c>
      <c r="AQ535" s="4">
        <f t="shared" si="278"/>
        <v>-0.31402999653460384</v>
      </c>
    </row>
    <row r="536" spans="1:43" x14ac:dyDescent="0.35">
      <c r="A536" s="2" t="s">
        <v>443</v>
      </c>
      <c r="B536" s="2" t="s">
        <v>424</v>
      </c>
      <c r="C536" s="2" t="s">
        <v>33</v>
      </c>
      <c r="D536" s="2">
        <v>28.032399999999999</v>
      </c>
      <c r="E536" s="2">
        <v>6000</v>
      </c>
      <c r="F536" s="2">
        <v>400</v>
      </c>
      <c r="G536" s="2">
        <v>54.9</v>
      </c>
      <c r="H536" s="2" t="s">
        <v>68</v>
      </c>
      <c r="I536" s="4">
        <f t="shared" si="248"/>
        <v>3.3333609840585665</v>
      </c>
      <c r="J536" s="4">
        <f t="shared" si="249"/>
        <v>8.6995147482101913</v>
      </c>
      <c r="K536" s="4">
        <f t="shared" si="250"/>
        <v>5.9914645471079817</v>
      </c>
      <c r="L536" s="2">
        <v>1</v>
      </c>
      <c r="M536" s="2">
        <v>0</v>
      </c>
      <c r="N536" s="4">
        <f t="shared" si="251"/>
        <v>54.9</v>
      </c>
      <c r="O536" s="4">
        <f t="shared" si="252"/>
        <v>1</v>
      </c>
      <c r="P536" s="4">
        <f t="shared" si="253"/>
        <v>1</v>
      </c>
      <c r="Q536" s="4">
        <f t="shared" si="254"/>
        <v>8.6995147482101913</v>
      </c>
      <c r="R536" s="4">
        <f t="shared" si="255"/>
        <v>5.9914645471079817</v>
      </c>
      <c r="S536" s="4">
        <f t="shared" si="256"/>
        <v>54.9</v>
      </c>
      <c r="T536" s="4">
        <f t="shared" si="257"/>
        <v>1</v>
      </c>
      <c r="U536" s="4">
        <f t="shared" si="258"/>
        <v>8.6995147482101913</v>
      </c>
      <c r="V536" s="4">
        <f t="shared" si="259"/>
        <v>5.9914645471079817</v>
      </c>
      <c r="W536" s="4">
        <f t="shared" si="260"/>
        <v>54.9</v>
      </c>
      <c r="X536" s="4">
        <f t="shared" si="261"/>
        <v>1</v>
      </c>
      <c r="Y536" s="4">
        <f t="shared" si="262"/>
        <v>8.6995147482101913</v>
      </c>
      <c r="Z536" s="4">
        <f t="shared" si="263"/>
        <v>5.9914645471079817</v>
      </c>
      <c r="AA536" s="4">
        <f t="shared" si="264"/>
        <v>54.9</v>
      </c>
      <c r="AB536" s="4">
        <f t="shared" si="265"/>
        <v>1</v>
      </c>
      <c r="AC536" s="4">
        <f t="shared" si="266"/>
        <v>0</v>
      </c>
      <c r="AD536" s="4">
        <f t="shared" si="267"/>
        <v>0</v>
      </c>
      <c r="AE536" s="4">
        <f t="shared" si="268"/>
        <v>0</v>
      </c>
      <c r="AF536" s="4">
        <f t="shared" si="269"/>
        <v>0</v>
      </c>
      <c r="AG536" s="4">
        <f t="shared" si="270"/>
        <v>8.6995147482101913</v>
      </c>
      <c r="AH536" s="4">
        <f t="shared" si="271"/>
        <v>1</v>
      </c>
      <c r="AI536" s="4">
        <f t="shared" si="272"/>
        <v>0</v>
      </c>
      <c r="AJ536" s="4">
        <f t="shared" si="273"/>
        <v>8.6995147482101913</v>
      </c>
      <c r="AK536" s="4">
        <f t="shared" si="274"/>
        <v>5.9914645471079817</v>
      </c>
      <c r="AL536" s="4">
        <f t="shared" si="275"/>
        <v>0</v>
      </c>
      <c r="AM536" s="4">
        <f>CER!$C$7+CER!$C$8*J536+CER!$C$9*K536+CER!$C$10*L536+CER!$C$11*M536</f>
        <v>3.3326798349841122</v>
      </c>
      <c r="AN536" s="4">
        <f t="shared" si="276"/>
        <v>28.01331225822209</v>
      </c>
      <c r="AO536" s="4">
        <f t="shared" si="277"/>
        <v>6.8114907445426809E-4</v>
      </c>
      <c r="AP536" s="4">
        <f>Alternatives!$F$25+Alternatives!$F$26*J536+Alternatives!$F$27*K536+Alternatives!$F$28*G536+Alternatives!$F$29*O536</f>
        <v>4.2002212711935254</v>
      </c>
      <c r="AQ536" s="4">
        <f t="shared" si="278"/>
        <v>-0.86686028713495888</v>
      </c>
    </row>
    <row r="537" spans="1:43" x14ac:dyDescent="0.35">
      <c r="A537" s="2" t="s">
        <v>444</v>
      </c>
      <c r="B537" s="2" t="s">
        <v>424</v>
      </c>
      <c r="C537" s="2" t="s">
        <v>33</v>
      </c>
      <c r="D537" s="2">
        <v>28.032399999999999</v>
      </c>
      <c r="E537" s="2">
        <v>6000</v>
      </c>
      <c r="F537" s="2">
        <v>400</v>
      </c>
      <c r="G537" s="2">
        <v>58.6</v>
      </c>
      <c r="H537" s="2" t="s">
        <v>68</v>
      </c>
      <c r="I537" s="4">
        <f t="shared" si="248"/>
        <v>3.3333609840585665</v>
      </c>
      <c r="J537" s="4">
        <f t="shared" si="249"/>
        <v>8.6995147482101913</v>
      </c>
      <c r="K537" s="4">
        <f t="shared" si="250"/>
        <v>5.9914645471079817</v>
      </c>
      <c r="L537" s="2">
        <v>1</v>
      </c>
      <c r="M537" s="2">
        <v>0</v>
      </c>
      <c r="N537" s="4">
        <f t="shared" si="251"/>
        <v>58.6</v>
      </c>
      <c r="O537" s="4">
        <f t="shared" si="252"/>
        <v>1</v>
      </c>
      <c r="P537" s="4">
        <f t="shared" si="253"/>
        <v>1</v>
      </c>
      <c r="Q537" s="4">
        <f t="shared" si="254"/>
        <v>8.6995147482101913</v>
      </c>
      <c r="R537" s="4">
        <f t="shared" si="255"/>
        <v>5.9914645471079817</v>
      </c>
      <c r="S537" s="4">
        <f t="shared" si="256"/>
        <v>58.6</v>
      </c>
      <c r="T537" s="4">
        <f t="shared" si="257"/>
        <v>1</v>
      </c>
      <c r="U537" s="4">
        <f t="shared" si="258"/>
        <v>8.6995147482101913</v>
      </c>
      <c r="V537" s="4">
        <f t="shared" si="259"/>
        <v>5.9914645471079817</v>
      </c>
      <c r="W537" s="4">
        <f t="shared" si="260"/>
        <v>58.6</v>
      </c>
      <c r="X537" s="4">
        <f t="shared" si="261"/>
        <v>1</v>
      </c>
      <c r="Y537" s="4">
        <f t="shared" si="262"/>
        <v>8.6995147482101913</v>
      </c>
      <c r="Z537" s="4">
        <f t="shared" si="263"/>
        <v>5.9914645471079817</v>
      </c>
      <c r="AA537" s="4">
        <f t="shared" si="264"/>
        <v>58.6</v>
      </c>
      <c r="AB537" s="4">
        <f t="shared" si="265"/>
        <v>1</v>
      </c>
      <c r="AC537" s="4">
        <f t="shared" si="266"/>
        <v>0</v>
      </c>
      <c r="AD537" s="4">
        <f t="shared" si="267"/>
        <v>0</v>
      </c>
      <c r="AE537" s="4">
        <f t="shared" si="268"/>
        <v>0</v>
      </c>
      <c r="AF537" s="4">
        <f t="shared" si="269"/>
        <v>0</v>
      </c>
      <c r="AG537" s="4">
        <f t="shared" si="270"/>
        <v>8.6995147482101913</v>
      </c>
      <c r="AH537" s="4">
        <f t="shared" si="271"/>
        <v>1</v>
      </c>
      <c r="AI537" s="4">
        <f t="shared" si="272"/>
        <v>0</v>
      </c>
      <c r="AJ537" s="4">
        <f t="shared" si="273"/>
        <v>8.6995147482101913</v>
      </c>
      <c r="AK537" s="4">
        <f t="shared" si="274"/>
        <v>5.9914645471079817</v>
      </c>
      <c r="AL537" s="4">
        <f t="shared" si="275"/>
        <v>0</v>
      </c>
      <c r="AM537" s="4">
        <f>CER!$C$7+CER!$C$8*J537+CER!$C$9*K537+CER!$C$10*L537+CER!$C$11*M537</f>
        <v>3.3326798349841122</v>
      </c>
      <c r="AN537" s="4">
        <f t="shared" si="276"/>
        <v>28.01331225822209</v>
      </c>
      <c r="AO537" s="4">
        <f t="shared" si="277"/>
        <v>6.8114907445426809E-4</v>
      </c>
      <c r="AP537" s="4">
        <f>Alternatives!$F$25+Alternatives!$F$26*J537+Alternatives!$F$27*K537+Alternatives!$F$28*G537+Alternatives!$F$29*O537</f>
        <v>4.1520942073872806</v>
      </c>
      <c r="AQ537" s="4">
        <f t="shared" si="278"/>
        <v>-0.81873322332871412</v>
      </c>
    </row>
    <row r="538" spans="1:43" x14ac:dyDescent="0.35">
      <c r="A538" s="2" t="s">
        <v>445</v>
      </c>
      <c r="B538" s="2" t="s">
        <v>424</v>
      </c>
      <c r="C538" s="2" t="s">
        <v>33</v>
      </c>
      <c r="D538" s="2">
        <v>29.4405</v>
      </c>
      <c r="E538" s="2">
        <v>6500</v>
      </c>
      <c r="F538" s="2">
        <v>510</v>
      </c>
      <c r="G538" s="2">
        <v>54.9</v>
      </c>
      <c r="H538" s="2" t="s">
        <v>68</v>
      </c>
      <c r="I538" s="4">
        <f t="shared" si="248"/>
        <v>3.3823712774121062</v>
      </c>
      <c r="J538" s="4">
        <f t="shared" si="249"/>
        <v>8.7795574558837277</v>
      </c>
      <c r="K538" s="4">
        <f t="shared" si="250"/>
        <v>6.2344107257183712</v>
      </c>
      <c r="L538" s="2">
        <v>1</v>
      </c>
      <c r="M538" s="2">
        <v>0</v>
      </c>
      <c r="N538" s="4">
        <f t="shared" si="251"/>
        <v>54.9</v>
      </c>
      <c r="O538" s="4">
        <f t="shared" si="252"/>
        <v>1</v>
      </c>
      <c r="P538" s="4">
        <f t="shared" si="253"/>
        <v>1</v>
      </c>
      <c r="Q538" s="4">
        <f t="shared" si="254"/>
        <v>8.7795574558837277</v>
      </c>
      <c r="R538" s="4">
        <f t="shared" si="255"/>
        <v>6.2344107257183712</v>
      </c>
      <c r="S538" s="4">
        <f t="shared" si="256"/>
        <v>54.9</v>
      </c>
      <c r="T538" s="4">
        <f t="shared" si="257"/>
        <v>1</v>
      </c>
      <c r="U538" s="4">
        <f t="shared" si="258"/>
        <v>8.7795574558837277</v>
      </c>
      <c r="V538" s="4">
        <f t="shared" si="259"/>
        <v>6.2344107257183712</v>
      </c>
      <c r="W538" s="4">
        <f t="shared" si="260"/>
        <v>54.9</v>
      </c>
      <c r="X538" s="4">
        <f t="shared" si="261"/>
        <v>1</v>
      </c>
      <c r="Y538" s="4">
        <f t="shared" si="262"/>
        <v>8.7795574558837277</v>
      </c>
      <c r="Z538" s="4">
        <f t="shared" si="263"/>
        <v>6.2344107257183712</v>
      </c>
      <c r="AA538" s="4">
        <f t="shared" si="264"/>
        <v>54.9</v>
      </c>
      <c r="AB538" s="4">
        <f t="shared" si="265"/>
        <v>1</v>
      </c>
      <c r="AC538" s="4">
        <f t="shared" si="266"/>
        <v>0</v>
      </c>
      <c r="AD538" s="4">
        <f t="shared" si="267"/>
        <v>0</v>
      </c>
      <c r="AE538" s="4">
        <f t="shared" si="268"/>
        <v>0</v>
      </c>
      <c r="AF538" s="4">
        <f t="shared" si="269"/>
        <v>0</v>
      </c>
      <c r="AG538" s="4">
        <f t="shared" si="270"/>
        <v>8.7795574558837277</v>
      </c>
      <c r="AH538" s="4">
        <f t="shared" si="271"/>
        <v>1</v>
      </c>
      <c r="AI538" s="4">
        <f t="shared" si="272"/>
        <v>0</v>
      </c>
      <c r="AJ538" s="4">
        <f t="shared" si="273"/>
        <v>8.7795574558837277</v>
      </c>
      <c r="AK538" s="4">
        <f t="shared" si="274"/>
        <v>6.2344107257183712</v>
      </c>
      <c r="AL538" s="4">
        <f t="shared" si="275"/>
        <v>0</v>
      </c>
      <c r="AM538" s="4">
        <f>CER!$C$7+CER!$C$8*J538+CER!$C$9*K538+CER!$C$10*L538+CER!$C$11*M538</f>
        <v>3.2068103058543906</v>
      </c>
      <c r="AN538" s="4">
        <f t="shared" si="276"/>
        <v>24.700174437461296</v>
      </c>
      <c r="AO538" s="4">
        <f t="shared" si="277"/>
        <v>0.17556097155771555</v>
      </c>
      <c r="AP538" s="4">
        <f>Alternatives!$F$25+Alternatives!$F$26*J538+Alternatives!$F$27*K538+Alternatives!$F$28*G538+Alternatives!$F$29*O538</f>
        <v>4.1651935551583836</v>
      </c>
      <c r="AQ538" s="4">
        <f t="shared" si="278"/>
        <v>-0.78282227774627744</v>
      </c>
    </row>
    <row r="539" spans="1:43" x14ac:dyDescent="0.35">
      <c r="A539" s="2" t="s">
        <v>446</v>
      </c>
      <c r="B539" s="2" t="s">
        <v>424</v>
      </c>
      <c r="C539" s="2" t="s">
        <v>33</v>
      </c>
      <c r="D539" s="2">
        <v>25.657</v>
      </c>
      <c r="E539" s="2">
        <v>6000</v>
      </c>
      <c r="F539" s="2">
        <v>300</v>
      </c>
      <c r="G539" s="2">
        <v>55.5</v>
      </c>
      <c r="H539" s="2" t="s">
        <v>68</v>
      </c>
      <c r="I539" s="4">
        <f t="shared" si="248"/>
        <v>3.2448164388685545</v>
      </c>
      <c r="J539" s="4">
        <f t="shared" si="249"/>
        <v>8.6995147482101913</v>
      </c>
      <c r="K539" s="4">
        <f t="shared" si="250"/>
        <v>5.7037824746562009</v>
      </c>
      <c r="L539" s="2">
        <v>1</v>
      </c>
      <c r="M539" s="2">
        <v>0</v>
      </c>
      <c r="N539" s="4">
        <f t="shared" si="251"/>
        <v>55.5</v>
      </c>
      <c r="O539" s="4">
        <f t="shared" si="252"/>
        <v>1</v>
      </c>
      <c r="P539" s="4">
        <f t="shared" si="253"/>
        <v>1</v>
      </c>
      <c r="Q539" s="4">
        <f t="shared" si="254"/>
        <v>8.6995147482101913</v>
      </c>
      <c r="R539" s="4">
        <f t="shared" si="255"/>
        <v>5.7037824746562009</v>
      </c>
      <c r="S539" s="4">
        <f t="shared" si="256"/>
        <v>55.5</v>
      </c>
      <c r="T539" s="4">
        <f t="shared" si="257"/>
        <v>1</v>
      </c>
      <c r="U539" s="4">
        <f t="shared" si="258"/>
        <v>8.6995147482101913</v>
      </c>
      <c r="V539" s="4">
        <f t="shared" si="259"/>
        <v>5.7037824746562009</v>
      </c>
      <c r="W539" s="4">
        <f t="shared" si="260"/>
        <v>55.5</v>
      </c>
      <c r="X539" s="4">
        <f t="shared" si="261"/>
        <v>1</v>
      </c>
      <c r="Y539" s="4">
        <f t="shared" si="262"/>
        <v>8.6995147482101913</v>
      </c>
      <c r="Z539" s="4">
        <f t="shared" si="263"/>
        <v>5.7037824746562009</v>
      </c>
      <c r="AA539" s="4">
        <f t="shared" si="264"/>
        <v>55.5</v>
      </c>
      <c r="AB539" s="4">
        <f t="shared" si="265"/>
        <v>1</v>
      </c>
      <c r="AC539" s="4">
        <f t="shared" si="266"/>
        <v>0</v>
      </c>
      <c r="AD539" s="4">
        <f t="shared" si="267"/>
        <v>0</v>
      </c>
      <c r="AE539" s="4">
        <f t="shared" si="268"/>
        <v>0</v>
      </c>
      <c r="AF539" s="4">
        <f t="shared" si="269"/>
        <v>0</v>
      </c>
      <c r="AG539" s="4">
        <f t="shared" si="270"/>
        <v>8.6995147482101913</v>
      </c>
      <c r="AH539" s="4">
        <f t="shared" si="271"/>
        <v>1</v>
      </c>
      <c r="AI539" s="4">
        <f t="shared" si="272"/>
        <v>0</v>
      </c>
      <c r="AJ539" s="4">
        <f t="shared" si="273"/>
        <v>8.6995147482101913</v>
      </c>
      <c r="AK539" s="4">
        <f t="shared" si="274"/>
        <v>5.7037824746562009</v>
      </c>
      <c r="AL539" s="4">
        <f t="shared" si="275"/>
        <v>0</v>
      </c>
      <c r="AM539" s="4">
        <f>CER!$C$7+CER!$C$8*J539+CER!$C$9*K539+CER!$C$10*L539+CER!$C$11*M539</f>
        <v>3.4388183272075414</v>
      </c>
      <c r="AN539" s="4">
        <f t="shared" si="276"/>
        <v>31.150127153752088</v>
      </c>
      <c r="AO539" s="4">
        <f t="shared" si="277"/>
        <v>-0.19400188833898691</v>
      </c>
      <c r="AP539" s="4">
        <f>Alternatives!$F$25+Alternatives!$F$26*J539+Alternatives!$F$27*K539+Alternatives!$F$28*G539+Alternatives!$F$29*O539</f>
        <v>4.2689719495365406</v>
      </c>
      <c r="AQ539" s="4">
        <f t="shared" si="278"/>
        <v>-1.024155510667986</v>
      </c>
    </row>
    <row r="540" spans="1:43" x14ac:dyDescent="0.35">
      <c r="A540" s="2" t="s">
        <v>447</v>
      </c>
      <c r="B540" s="2" t="s">
        <v>424</v>
      </c>
      <c r="C540" s="2" t="s">
        <v>33</v>
      </c>
      <c r="D540" s="2">
        <v>25.6248</v>
      </c>
      <c r="E540" s="2">
        <v>6000</v>
      </c>
      <c r="F540" s="2">
        <v>400</v>
      </c>
      <c r="G540" s="2">
        <v>55.5</v>
      </c>
      <c r="H540" s="2" t="s">
        <v>68</v>
      </c>
      <c r="I540" s="4">
        <f t="shared" si="248"/>
        <v>3.2435606325500652</v>
      </c>
      <c r="J540" s="4">
        <f t="shared" si="249"/>
        <v>8.6995147482101913</v>
      </c>
      <c r="K540" s="4">
        <f t="shared" si="250"/>
        <v>5.9914645471079817</v>
      </c>
      <c r="L540" s="2">
        <v>1</v>
      </c>
      <c r="M540" s="2">
        <v>0</v>
      </c>
      <c r="N540" s="4">
        <f t="shared" si="251"/>
        <v>55.5</v>
      </c>
      <c r="O540" s="4">
        <f t="shared" si="252"/>
        <v>1</v>
      </c>
      <c r="P540" s="4">
        <f t="shared" si="253"/>
        <v>1</v>
      </c>
      <c r="Q540" s="4">
        <f t="shared" si="254"/>
        <v>8.6995147482101913</v>
      </c>
      <c r="R540" s="4">
        <f t="shared" si="255"/>
        <v>5.9914645471079817</v>
      </c>
      <c r="S540" s="4">
        <f t="shared" si="256"/>
        <v>55.5</v>
      </c>
      <c r="T540" s="4">
        <f t="shared" si="257"/>
        <v>1</v>
      </c>
      <c r="U540" s="4">
        <f t="shared" si="258"/>
        <v>8.6995147482101913</v>
      </c>
      <c r="V540" s="4">
        <f t="shared" si="259"/>
        <v>5.9914645471079817</v>
      </c>
      <c r="W540" s="4">
        <f t="shared" si="260"/>
        <v>55.5</v>
      </c>
      <c r="X540" s="4">
        <f t="shared" si="261"/>
        <v>1</v>
      </c>
      <c r="Y540" s="4">
        <f t="shared" si="262"/>
        <v>8.6995147482101913</v>
      </c>
      <c r="Z540" s="4">
        <f t="shared" si="263"/>
        <v>5.9914645471079817</v>
      </c>
      <c r="AA540" s="4">
        <f t="shared" si="264"/>
        <v>55.5</v>
      </c>
      <c r="AB540" s="4">
        <f t="shared" si="265"/>
        <v>1</v>
      </c>
      <c r="AC540" s="4">
        <f t="shared" si="266"/>
        <v>0</v>
      </c>
      <c r="AD540" s="4">
        <f t="shared" si="267"/>
        <v>0</v>
      </c>
      <c r="AE540" s="4">
        <f t="shared" si="268"/>
        <v>0</v>
      </c>
      <c r="AF540" s="4">
        <f t="shared" si="269"/>
        <v>0</v>
      </c>
      <c r="AG540" s="4">
        <f t="shared" si="270"/>
        <v>8.6995147482101913</v>
      </c>
      <c r="AH540" s="4">
        <f t="shared" si="271"/>
        <v>1</v>
      </c>
      <c r="AI540" s="4">
        <f t="shared" si="272"/>
        <v>0</v>
      </c>
      <c r="AJ540" s="4">
        <f t="shared" si="273"/>
        <v>8.6995147482101913</v>
      </c>
      <c r="AK540" s="4">
        <f t="shared" si="274"/>
        <v>5.9914645471079817</v>
      </c>
      <c r="AL540" s="4">
        <f t="shared" si="275"/>
        <v>0</v>
      </c>
      <c r="AM540" s="4">
        <f>CER!$C$7+CER!$C$8*J540+CER!$C$9*K540+CER!$C$10*L540+CER!$C$11*M540</f>
        <v>3.3326798349841122</v>
      </c>
      <c r="AN540" s="4">
        <f t="shared" si="276"/>
        <v>28.01331225822209</v>
      </c>
      <c r="AO540" s="4">
        <f t="shared" si="277"/>
        <v>-8.9119202434047029E-2</v>
      </c>
      <c r="AP540" s="4">
        <f>Alternatives!$F$25+Alternatives!$F$26*J540+Alternatives!$F$27*K540+Alternatives!$F$28*G540+Alternatives!$F$29*O540</f>
        <v>4.1924168824681889</v>
      </c>
      <c r="AQ540" s="4">
        <f t="shared" si="278"/>
        <v>-0.94885624991812367</v>
      </c>
    </row>
    <row r="541" spans="1:43" x14ac:dyDescent="0.35">
      <c r="A541" s="2" t="s">
        <v>448</v>
      </c>
      <c r="B541" s="2" t="s">
        <v>424</v>
      </c>
      <c r="C541" s="2" t="s">
        <v>33</v>
      </c>
      <c r="D541" s="2">
        <v>23.600999999999999</v>
      </c>
      <c r="E541" s="2">
        <v>6000</v>
      </c>
      <c r="F541" s="2">
        <v>400</v>
      </c>
      <c r="G541" s="2">
        <v>55.5</v>
      </c>
      <c r="H541" s="2" t="s">
        <v>68</v>
      </c>
      <c r="I541" s="4">
        <f t="shared" si="248"/>
        <v>3.1612890840152152</v>
      </c>
      <c r="J541" s="4">
        <f t="shared" si="249"/>
        <v>8.6995147482101913</v>
      </c>
      <c r="K541" s="4">
        <f t="shared" si="250"/>
        <v>5.9914645471079817</v>
      </c>
      <c r="L541" s="2">
        <v>1</v>
      </c>
      <c r="M541" s="2">
        <v>0</v>
      </c>
      <c r="N541" s="4">
        <f t="shared" si="251"/>
        <v>55.5</v>
      </c>
      <c r="O541" s="4">
        <f t="shared" si="252"/>
        <v>1</v>
      </c>
      <c r="P541" s="4">
        <f t="shared" si="253"/>
        <v>1</v>
      </c>
      <c r="Q541" s="4">
        <f t="shared" si="254"/>
        <v>8.6995147482101913</v>
      </c>
      <c r="R541" s="4">
        <f t="shared" si="255"/>
        <v>5.9914645471079817</v>
      </c>
      <c r="S541" s="4">
        <f t="shared" si="256"/>
        <v>55.5</v>
      </c>
      <c r="T541" s="4">
        <f t="shared" si="257"/>
        <v>1</v>
      </c>
      <c r="U541" s="4">
        <f t="shared" si="258"/>
        <v>8.6995147482101913</v>
      </c>
      <c r="V541" s="4">
        <f t="shared" si="259"/>
        <v>5.9914645471079817</v>
      </c>
      <c r="W541" s="4">
        <f t="shared" si="260"/>
        <v>55.5</v>
      </c>
      <c r="X541" s="4">
        <f t="shared" si="261"/>
        <v>1</v>
      </c>
      <c r="Y541" s="4">
        <f t="shared" si="262"/>
        <v>8.6995147482101913</v>
      </c>
      <c r="Z541" s="4">
        <f t="shared" si="263"/>
        <v>5.9914645471079817</v>
      </c>
      <c r="AA541" s="4">
        <f t="shared" si="264"/>
        <v>55.5</v>
      </c>
      <c r="AB541" s="4">
        <f t="shared" si="265"/>
        <v>1</v>
      </c>
      <c r="AC541" s="4">
        <f t="shared" si="266"/>
        <v>0</v>
      </c>
      <c r="AD541" s="4">
        <f t="shared" si="267"/>
        <v>0</v>
      </c>
      <c r="AE541" s="4">
        <f t="shared" si="268"/>
        <v>0</v>
      </c>
      <c r="AF541" s="4">
        <f t="shared" si="269"/>
        <v>0</v>
      </c>
      <c r="AG541" s="4">
        <f t="shared" si="270"/>
        <v>8.6995147482101913</v>
      </c>
      <c r="AH541" s="4">
        <f t="shared" si="271"/>
        <v>1</v>
      </c>
      <c r="AI541" s="4">
        <f t="shared" si="272"/>
        <v>0</v>
      </c>
      <c r="AJ541" s="4">
        <f t="shared" si="273"/>
        <v>8.6995147482101913</v>
      </c>
      <c r="AK541" s="4">
        <f t="shared" si="274"/>
        <v>5.9914645471079817</v>
      </c>
      <c r="AL541" s="4">
        <f t="shared" si="275"/>
        <v>0</v>
      </c>
      <c r="AM541" s="4">
        <f>CER!$C$7+CER!$C$8*J541+CER!$C$9*K541+CER!$C$10*L541+CER!$C$11*M541</f>
        <v>3.3326798349841122</v>
      </c>
      <c r="AN541" s="4">
        <f t="shared" si="276"/>
        <v>28.01331225822209</v>
      </c>
      <c r="AO541" s="4">
        <f t="shared" si="277"/>
        <v>-0.171390750968897</v>
      </c>
      <c r="AP541" s="4">
        <f>Alternatives!$F$25+Alternatives!$F$26*J541+Alternatives!$F$27*K541+Alternatives!$F$28*G541+Alternatives!$F$29*O541</f>
        <v>4.1924168824681889</v>
      </c>
      <c r="AQ541" s="4">
        <f t="shared" si="278"/>
        <v>-1.0311277984529736</v>
      </c>
    </row>
    <row r="542" spans="1:43" x14ac:dyDescent="0.35">
      <c r="A542" s="2" t="s">
        <v>449</v>
      </c>
      <c r="B542" s="2" t="s">
        <v>424</v>
      </c>
      <c r="C542" s="2" t="s">
        <v>67</v>
      </c>
      <c r="D542" s="2">
        <v>23.840900000000001</v>
      </c>
      <c r="E542" s="2">
        <v>4500</v>
      </c>
      <c r="F542" s="2">
        <v>575</v>
      </c>
      <c r="G542" s="2">
        <v>45.2</v>
      </c>
      <c r="H542" s="2" t="s">
        <v>68</v>
      </c>
      <c r="I542" s="4">
        <f t="shared" si="248"/>
        <v>3.1714025931624246</v>
      </c>
      <c r="J542" s="4">
        <f t="shared" si="249"/>
        <v>8.4118326757584114</v>
      </c>
      <c r="K542" s="4">
        <f t="shared" si="250"/>
        <v>6.3543700407973507</v>
      </c>
      <c r="L542" s="2">
        <v>0</v>
      </c>
      <c r="M542" s="2">
        <v>0</v>
      </c>
      <c r="N542" s="4">
        <f t="shared" si="251"/>
        <v>45.2</v>
      </c>
      <c r="O542" s="4">
        <f t="shared" si="252"/>
        <v>0</v>
      </c>
      <c r="P542" s="4">
        <f t="shared" si="253"/>
        <v>0</v>
      </c>
      <c r="Q542" s="4">
        <f t="shared" si="254"/>
        <v>8.4118326757584114</v>
      </c>
      <c r="R542" s="4">
        <f t="shared" si="255"/>
        <v>6.3543700407973507</v>
      </c>
      <c r="S542" s="4">
        <f t="shared" si="256"/>
        <v>45.2</v>
      </c>
      <c r="T542" s="4">
        <f t="shared" si="257"/>
        <v>0</v>
      </c>
      <c r="U542" s="4">
        <f t="shared" si="258"/>
        <v>8.4118326757584114</v>
      </c>
      <c r="V542" s="4">
        <f t="shared" si="259"/>
        <v>6.3543700407973507</v>
      </c>
      <c r="W542" s="4">
        <f t="shared" si="260"/>
        <v>45.2</v>
      </c>
      <c r="X542" s="4">
        <f t="shared" si="261"/>
        <v>0</v>
      </c>
      <c r="Y542" s="4">
        <f t="shared" si="262"/>
        <v>8.4118326757584114</v>
      </c>
      <c r="Z542" s="4">
        <f t="shared" si="263"/>
        <v>6.3543700407973507</v>
      </c>
      <c r="AA542" s="4">
        <f t="shared" si="264"/>
        <v>45.2</v>
      </c>
      <c r="AB542" s="4">
        <f t="shared" si="265"/>
        <v>0</v>
      </c>
      <c r="AC542" s="4">
        <f t="shared" si="266"/>
        <v>0</v>
      </c>
      <c r="AD542" s="4">
        <f t="shared" si="267"/>
        <v>0</v>
      </c>
      <c r="AE542" s="4">
        <f t="shared" si="268"/>
        <v>0</v>
      </c>
      <c r="AF542" s="4">
        <f t="shared" si="269"/>
        <v>0</v>
      </c>
      <c r="AG542" s="4">
        <f t="shared" si="270"/>
        <v>8.4118326757584114</v>
      </c>
      <c r="AH542" s="4">
        <f t="shared" si="271"/>
        <v>0</v>
      </c>
      <c r="AI542" s="4">
        <f t="shared" si="272"/>
        <v>0</v>
      </c>
      <c r="AJ542" s="4">
        <f t="shared" si="273"/>
        <v>8.4118326757584114</v>
      </c>
      <c r="AK542" s="4">
        <f t="shared" si="274"/>
        <v>6.3543700407973507</v>
      </c>
      <c r="AL542" s="4">
        <f t="shared" si="275"/>
        <v>0</v>
      </c>
      <c r="AM542" s="4">
        <f>CER!$C$7+CER!$C$8*J542+CER!$C$9*K542+CER!$C$10*L542+CER!$C$11*M542</f>
        <v>3.1052708621418836</v>
      </c>
      <c r="AN542" s="4">
        <f t="shared" si="276"/>
        <v>22.315262516557542</v>
      </c>
      <c r="AO542" s="4">
        <f t="shared" si="277"/>
        <v>6.6131731020540929E-2</v>
      </c>
      <c r="AP542" s="4">
        <f>Alternatives!$F$25+Alternatives!$F$26*J542+Alternatives!$F$27*K542+Alternatives!$F$28*G542+Alternatives!$F$29*O542</f>
        <v>3.278612422901225</v>
      </c>
      <c r="AQ542" s="4">
        <f t="shared" si="278"/>
        <v>-0.10720982973880044</v>
      </c>
    </row>
    <row r="543" spans="1:43" x14ac:dyDescent="0.35">
      <c r="A543" s="2" t="s">
        <v>450</v>
      </c>
      <c r="B543" s="2" t="s">
        <v>424</v>
      </c>
      <c r="C543" s="2" t="s">
        <v>67</v>
      </c>
      <c r="D543" s="2">
        <v>23.840900000000001</v>
      </c>
      <c r="E543" s="2">
        <v>4500</v>
      </c>
      <c r="F543" s="2">
        <v>575</v>
      </c>
      <c r="G543" s="2">
        <v>45.2</v>
      </c>
      <c r="H543" s="2" t="s">
        <v>68</v>
      </c>
      <c r="I543" s="4">
        <f t="shared" si="248"/>
        <v>3.1714025931624246</v>
      </c>
      <c r="J543" s="4">
        <f t="shared" si="249"/>
        <v>8.4118326757584114</v>
      </c>
      <c r="K543" s="4">
        <f t="shared" si="250"/>
        <v>6.3543700407973507</v>
      </c>
      <c r="L543" s="2">
        <v>0</v>
      </c>
      <c r="M543" s="2">
        <v>0</v>
      </c>
      <c r="N543" s="4">
        <f t="shared" si="251"/>
        <v>45.2</v>
      </c>
      <c r="O543" s="4">
        <f t="shared" si="252"/>
        <v>0</v>
      </c>
      <c r="P543" s="4">
        <f t="shared" si="253"/>
        <v>0</v>
      </c>
      <c r="Q543" s="4">
        <f t="shared" si="254"/>
        <v>8.4118326757584114</v>
      </c>
      <c r="R543" s="4">
        <f t="shared" si="255"/>
        <v>6.3543700407973507</v>
      </c>
      <c r="S543" s="4">
        <f t="shared" si="256"/>
        <v>45.2</v>
      </c>
      <c r="T543" s="4">
        <f t="shared" si="257"/>
        <v>0</v>
      </c>
      <c r="U543" s="4">
        <f t="shared" si="258"/>
        <v>8.4118326757584114</v>
      </c>
      <c r="V543" s="4">
        <f t="shared" si="259"/>
        <v>6.3543700407973507</v>
      </c>
      <c r="W543" s="4">
        <f t="shared" si="260"/>
        <v>45.2</v>
      </c>
      <c r="X543" s="4">
        <f t="shared" si="261"/>
        <v>0</v>
      </c>
      <c r="Y543" s="4">
        <f t="shared" si="262"/>
        <v>8.4118326757584114</v>
      </c>
      <c r="Z543" s="4">
        <f t="shared" si="263"/>
        <v>6.3543700407973507</v>
      </c>
      <c r="AA543" s="4">
        <f t="shared" si="264"/>
        <v>45.2</v>
      </c>
      <c r="AB543" s="4">
        <f t="shared" si="265"/>
        <v>0</v>
      </c>
      <c r="AC543" s="4">
        <f t="shared" si="266"/>
        <v>0</v>
      </c>
      <c r="AD543" s="4">
        <f t="shared" si="267"/>
        <v>0</v>
      </c>
      <c r="AE543" s="4">
        <f t="shared" si="268"/>
        <v>0</v>
      </c>
      <c r="AF543" s="4">
        <f t="shared" si="269"/>
        <v>0</v>
      </c>
      <c r="AG543" s="4">
        <f t="shared" si="270"/>
        <v>8.4118326757584114</v>
      </c>
      <c r="AH543" s="4">
        <f t="shared" si="271"/>
        <v>0</v>
      </c>
      <c r="AI543" s="4">
        <f t="shared" si="272"/>
        <v>0</v>
      </c>
      <c r="AJ543" s="4">
        <f t="shared" si="273"/>
        <v>8.4118326757584114</v>
      </c>
      <c r="AK543" s="4">
        <f t="shared" si="274"/>
        <v>6.3543700407973507</v>
      </c>
      <c r="AL543" s="4">
        <f t="shared" si="275"/>
        <v>0</v>
      </c>
      <c r="AM543" s="4">
        <f>CER!$C$7+CER!$C$8*J543+CER!$C$9*K543+CER!$C$10*L543+CER!$C$11*M543</f>
        <v>3.1052708621418836</v>
      </c>
      <c r="AN543" s="4">
        <f t="shared" si="276"/>
        <v>22.315262516557542</v>
      </c>
      <c r="AO543" s="4">
        <f t="shared" si="277"/>
        <v>6.6131731020540929E-2</v>
      </c>
      <c r="AP543" s="4">
        <f>Alternatives!$F$25+Alternatives!$F$26*J543+Alternatives!$F$27*K543+Alternatives!$F$28*G543+Alternatives!$F$29*O543</f>
        <v>3.278612422901225</v>
      </c>
      <c r="AQ543" s="4">
        <f t="shared" si="278"/>
        <v>-0.10720982973880044</v>
      </c>
    </row>
    <row r="544" spans="1:43" x14ac:dyDescent="0.35">
      <c r="A544" s="2" t="s">
        <v>451</v>
      </c>
      <c r="B544" s="2" t="s">
        <v>424</v>
      </c>
      <c r="C544" s="2" t="s">
        <v>67</v>
      </c>
      <c r="D544" s="2">
        <v>25.173300000000001</v>
      </c>
      <c r="E544" s="2">
        <v>4000</v>
      </c>
      <c r="F544" s="2">
        <v>450</v>
      </c>
      <c r="G544" s="2">
        <v>45.3</v>
      </c>
      <c r="H544" s="2" t="s">
        <v>68</v>
      </c>
      <c r="I544" s="4">
        <f t="shared" si="248"/>
        <v>3.2257839090157163</v>
      </c>
      <c r="J544" s="4">
        <f t="shared" si="249"/>
        <v>8.2940496401020276</v>
      </c>
      <c r="K544" s="4">
        <f t="shared" si="250"/>
        <v>6.1092475827643655</v>
      </c>
      <c r="L544" s="2">
        <v>0</v>
      </c>
      <c r="M544" s="2">
        <v>0</v>
      </c>
      <c r="N544" s="4">
        <f t="shared" si="251"/>
        <v>45.3</v>
      </c>
      <c r="O544" s="4">
        <f t="shared" si="252"/>
        <v>0</v>
      </c>
      <c r="P544" s="4">
        <f t="shared" si="253"/>
        <v>0</v>
      </c>
      <c r="Q544" s="4">
        <f t="shared" si="254"/>
        <v>8.2940496401020276</v>
      </c>
      <c r="R544" s="4">
        <f t="shared" si="255"/>
        <v>6.1092475827643655</v>
      </c>
      <c r="S544" s="4">
        <f t="shared" si="256"/>
        <v>45.3</v>
      </c>
      <c r="T544" s="4">
        <f t="shared" si="257"/>
        <v>0</v>
      </c>
      <c r="U544" s="4">
        <f t="shared" si="258"/>
        <v>8.2940496401020276</v>
      </c>
      <c r="V544" s="4">
        <f t="shared" si="259"/>
        <v>6.1092475827643655</v>
      </c>
      <c r="W544" s="4">
        <f t="shared" si="260"/>
        <v>45.3</v>
      </c>
      <c r="X544" s="4">
        <f t="shared" si="261"/>
        <v>0</v>
      </c>
      <c r="Y544" s="4">
        <f t="shared" si="262"/>
        <v>8.2940496401020276</v>
      </c>
      <c r="Z544" s="4">
        <f t="shared" si="263"/>
        <v>6.1092475827643655</v>
      </c>
      <c r="AA544" s="4">
        <f t="shared" si="264"/>
        <v>45.3</v>
      </c>
      <c r="AB544" s="4">
        <f t="shared" si="265"/>
        <v>0</v>
      </c>
      <c r="AC544" s="4">
        <f t="shared" si="266"/>
        <v>0</v>
      </c>
      <c r="AD544" s="4">
        <f t="shared" si="267"/>
        <v>0</v>
      </c>
      <c r="AE544" s="4">
        <f t="shared" si="268"/>
        <v>0</v>
      </c>
      <c r="AF544" s="4">
        <f t="shared" si="269"/>
        <v>0</v>
      </c>
      <c r="AG544" s="4">
        <f t="shared" si="270"/>
        <v>8.2940496401020276</v>
      </c>
      <c r="AH544" s="4">
        <f t="shared" si="271"/>
        <v>0</v>
      </c>
      <c r="AI544" s="4">
        <f t="shared" si="272"/>
        <v>0</v>
      </c>
      <c r="AJ544" s="4">
        <f t="shared" si="273"/>
        <v>8.2940496401020276</v>
      </c>
      <c r="AK544" s="4">
        <f t="shared" si="274"/>
        <v>6.1092475827643655</v>
      </c>
      <c r="AL544" s="4">
        <f t="shared" si="275"/>
        <v>0</v>
      </c>
      <c r="AM544" s="4">
        <f>CER!$C$7+CER!$C$8*J544+CER!$C$9*K544+CER!$C$10*L544+CER!$C$11*M544</f>
        <v>3.2490287065396775</v>
      </c>
      <c r="AN544" s="4">
        <f t="shared" si="276"/>
        <v>25.765302090199221</v>
      </c>
      <c r="AO544" s="4">
        <f t="shared" si="277"/>
        <v>-2.3244797523961136E-2</v>
      </c>
      <c r="AP544" s="4">
        <f>Alternatives!$F$25+Alternatives!$F$26*J544+Alternatives!$F$27*K544+Alternatives!$F$28*G544+Alternatives!$F$29*O544</f>
        <v>3.2989513709343252</v>
      </c>
      <c r="AQ544" s="4">
        <f t="shared" si="278"/>
        <v>-7.31674619186089E-2</v>
      </c>
    </row>
    <row r="545" spans="1:43" x14ac:dyDescent="0.35">
      <c r="A545" s="2" t="s">
        <v>452</v>
      </c>
      <c r="B545" s="2" t="s">
        <v>424</v>
      </c>
      <c r="C545" s="2" t="s">
        <v>67</v>
      </c>
      <c r="D545" s="2">
        <v>25.173300000000001</v>
      </c>
      <c r="E545" s="2">
        <v>4000</v>
      </c>
      <c r="F545" s="2">
        <v>450</v>
      </c>
      <c r="G545" s="2">
        <v>45.3</v>
      </c>
      <c r="H545" s="2" t="s">
        <v>68</v>
      </c>
      <c r="I545" s="4">
        <f t="shared" si="248"/>
        <v>3.2257839090157163</v>
      </c>
      <c r="J545" s="4">
        <f t="shared" si="249"/>
        <v>8.2940496401020276</v>
      </c>
      <c r="K545" s="4">
        <f t="shared" si="250"/>
        <v>6.1092475827643655</v>
      </c>
      <c r="L545" s="2">
        <v>0</v>
      </c>
      <c r="M545" s="2">
        <v>0</v>
      </c>
      <c r="N545" s="4">
        <f t="shared" si="251"/>
        <v>45.3</v>
      </c>
      <c r="O545" s="4">
        <f t="shared" si="252"/>
        <v>0</v>
      </c>
      <c r="P545" s="4">
        <f t="shared" si="253"/>
        <v>0</v>
      </c>
      <c r="Q545" s="4">
        <f t="shared" si="254"/>
        <v>8.2940496401020276</v>
      </c>
      <c r="R545" s="4">
        <f t="shared" si="255"/>
        <v>6.1092475827643655</v>
      </c>
      <c r="S545" s="4">
        <f t="shared" si="256"/>
        <v>45.3</v>
      </c>
      <c r="T545" s="4">
        <f t="shared" si="257"/>
        <v>0</v>
      </c>
      <c r="U545" s="4">
        <f t="shared" si="258"/>
        <v>8.2940496401020276</v>
      </c>
      <c r="V545" s="4">
        <f t="shared" si="259"/>
        <v>6.1092475827643655</v>
      </c>
      <c r="W545" s="4">
        <f t="shared" si="260"/>
        <v>45.3</v>
      </c>
      <c r="X545" s="4">
        <f t="shared" si="261"/>
        <v>0</v>
      </c>
      <c r="Y545" s="4">
        <f t="shared" si="262"/>
        <v>8.2940496401020276</v>
      </c>
      <c r="Z545" s="4">
        <f t="shared" si="263"/>
        <v>6.1092475827643655</v>
      </c>
      <c r="AA545" s="4">
        <f t="shared" si="264"/>
        <v>45.3</v>
      </c>
      <c r="AB545" s="4">
        <f t="shared" si="265"/>
        <v>0</v>
      </c>
      <c r="AC545" s="4">
        <f t="shared" si="266"/>
        <v>0</v>
      </c>
      <c r="AD545" s="4">
        <f t="shared" si="267"/>
        <v>0</v>
      </c>
      <c r="AE545" s="4">
        <f t="shared" si="268"/>
        <v>0</v>
      </c>
      <c r="AF545" s="4">
        <f t="shared" si="269"/>
        <v>0</v>
      </c>
      <c r="AG545" s="4">
        <f t="shared" si="270"/>
        <v>8.2940496401020276</v>
      </c>
      <c r="AH545" s="4">
        <f t="shared" si="271"/>
        <v>0</v>
      </c>
      <c r="AI545" s="4">
        <f t="shared" si="272"/>
        <v>0</v>
      </c>
      <c r="AJ545" s="4">
        <f t="shared" si="273"/>
        <v>8.2940496401020276</v>
      </c>
      <c r="AK545" s="4">
        <f t="shared" si="274"/>
        <v>6.1092475827643655</v>
      </c>
      <c r="AL545" s="4">
        <f t="shared" si="275"/>
        <v>0</v>
      </c>
      <c r="AM545" s="4">
        <f>CER!$C$7+CER!$C$8*J545+CER!$C$9*K545+CER!$C$10*L545+CER!$C$11*M545</f>
        <v>3.2490287065396775</v>
      </c>
      <c r="AN545" s="4">
        <f t="shared" si="276"/>
        <v>25.765302090199221</v>
      </c>
      <c r="AO545" s="4">
        <f t="shared" si="277"/>
        <v>-2.3244797523961136E-2</v>
      </c>
      <c r="AP545" s="4">
        <f>Alternatives!$F$25+Alternatives!$F$26*J545+Alternatives!$F$27*K545+Alternatives!$F$28*G545+Alternatives!$F$29*O545</f>
        <v>3.2989513709343252</v>
      </c>
      <c r="AQ545" s="4">
        <f t="shared" si="278"/>
        <v>-7.31674619186089E-2</v>
      </c>
    </row>
    <row r="546" spans="1:43" x14ac:dyDescent="0.35">
      <c r="A546" s="2" t="s">
        <v>453</v>
      </c>
      <c r="B546" s="2" t="s">
        <v>424</v>
      </c>
      <c r="C546" s="2" t="s">
        <v>67</v>
      </c>
      <c r="D546" s="2">
        <v>23.840900000000001</v>
      </c>
      <c r="E546" s="2">
        <v>4500</v>
      </c>
      <c r="F546" s="2">
        <v>450</v>
      </c>
      <c r="G546" s="2">
        <v>45.3</v>
      </c>
      <c r="H546" s="2" t="s">
        <v>68</v>
      </c>
      <c r="I546" s="4">
        <f t="shared" si="248"/>
        <v>3.1714025931624246</v>
      </c>
      <c r="J546" s="4">
        <f t="shared" si="249"/>
        <v>8.4118326757584114</v>
      </c>
      <c r="K546" s="4">
        <f t="shared" si="250"/>
        <v>6.1092475827643655</v>
      </c>
      <c r="L546" s="2">
        <v>0</v>
      </c>
      <c r="M546" s="2">
        <v>0</v>
      </c>
      <c r="N546" s="4">
        <f t="shared" si="251"/>
        <v>45.3</v>
      </c>
      <c r="O546" s="4">
        <f t="shared" si="252"/>
        <v>0</v>
      </c>
      <c r="P546" s="4">
        <f t="shared" si="253"/>
        <v>0</v>
      </c>
      <c r="Q546" s="4">
        <f t="shared" si="254"/>
        <v>8.4118326757584114</v>
      </c>
      <c r="R546" s="4">
        <f t="shared" si="255"/>
        <v>6.1092475827643655</v>
      </c>
      <c r="S546" s="4">
        <f t="shared" si="256"/>
        <v>45.3</v>
      </c>
      <c r="T546" s="4">
        <f t="shared" si="257"/>
        <v>0</v>
      </c>
      <c r="U546" s="4">
        <f t="shared" si="258"/>
        <v>8.4118326757584114</v>
      </c>
      <c r="V546" s="4">
        <f t="shared" si="259"/>
        <v>6.1092475827643655</v>
      </c>
      <c r="W546" s="4">
        <f t="shared" si="260"/>
        <v>45.3</v>
      </c>
      <c r="X546" s="4">
        <f t="shared" si="261"/>
        <v>0</v>
      </c>
      <c r="Y546" s="4">
        <f t="shared" si="262"/>
        <v>8.4118326757584114</v>
      </c>
      <c r="Z546" s="4">
        <f t="shared" si="263"/>
        <v>6.1092475827643655</v>
      </c>
      <c r="AA546" s="4">
        <f t="shared" si="264"/>
        <v>45.3</v>
      </c>
      <c r="AB546" s="4">
        <f t="shared" si="265"/>
        <v>0</v>
      </c>
      <c r="AC546" s="4">
        <f t="shared" si="266"/>
        <v>0</v>
      </c>
      <c r="AD546" s="4">
        <f t="shared" si="267"/>
        <v>0</v>
      </c>
      <c r="AE546" s="4">
        <f t="shared" si="268"/>
        <v>0</v>
      </c>
      <c r="AF546" s="4">
        <f t="shared" si="269"/>
        <v>0</v>
      </c>
      <c r="AG546" s="4">
        <f t="shared" si="270"/>
        <v>8.4118326757584114</v>
      </c>
      <c r="AH546" s="4">
        <f t="shared" si="271"/>
        <v>0</v>
      </c>
      <c r="AI546" s="4">
        <f t="shared" si="272"/>
        <v>0</v>
      </c>
      <c r="AJ546" s="4">
        <f t="shared" si="273"/>
        <v>8.4118326757584114</v>
      </c>
      <c r="AK546" s="4">
        <f t="shared" si="274"/>
        <v>6.1092475827643655</v>
      </c>
      <c r="AL546" s="4">
        <f t="shared" si="275"/>
        <v>0</v>
      </c>
      <c r="AM546" s="4">
        <f>CER!$C$7+CER!$C$8*J546+CER!$C$9*K546+CER!$C$10*L546+CER!$C$11*M546</f>
        <v>3.1957072521608776</v>
      </c>
      <c r="AN546" s="4">
        <f t="shared" si="276"/>
        <v>24.427443946878935</v>
      </c>
      <c r="AO546" s="4">
        <f t="shared" si="277"/>
        <v>-2.4304658998453021E-2</v>
      </c>
      <c r="AP546" s="4">
        <f>Alternatives!$F$25+Alternatives!$F$26*J546+Alternatives!$F$27*K546+Alternatives!$F$28*G546+Alternatives!$F$29*O546</f>
        <v>3.3425412208881169</v>
      </c>
      <c r="AQ546" s="4">
        <f t="shared" si="278"/>
        <v>-0.17113862772569233</v>
      </c>
    </row>
    <row r="547" spans="1:43" x14ac:dyDescent="0.35">
      <c r="A547" s="2" t="s">
        <v>454</v>
      </c>
      <c r="B547" s="2" t="s">
        <v>424</v>
      </c>
      <c r="C547" s="2" t="s">
        <v>67</v>
      </c>
      <c r="D547" s="2">
        <v>23.840900000000001</v>
      </c>
      <c r="E547" s="2">
        <v>4500</v>
      </c>
      <c r="F547" s="2">
        <v>450</v>
      </c>
      <c r="G547" s="2">
        <v>45.3</v>
      </c>
      <c r="H547" s="2" t="s">
        <v>68</v>
      </c>
      <c r="I547" s="4">
        <f t="shared" si="248"/>
        <v>3.1714025931624246</v>
      </c>
      <c r="J547" s="4">
        <f t="shared" si="249"/>
        <v>8.4118326757584114</v>
      </c>
      <c r="K547" s="4">
        <f t="shared" si="250"/>
        <v>6.1092475827643655</v>
      </c>
      <c r="L547" s="2">
        <v>0</v>
      </c>
      <c r="M547" s="2">
        <v>0</v>
      </c>
      <c r="N547" s="4">
        <f t="shared" si="251"/>
        <v>45.3</v>
      </c>
      <c r="O547" s="4">
        <f t="shared" si="252"/>
        <v>0</v>
      </c>
      <c r="P547" s="4">
        <f t="shared" si="253"/>
        <v>0</v>
      </c>
      <c r="Q547" s="4">
        <f t="shared" si="254"/>
        <v>8.4118326757584114</v>
      </c>
      <c r="R547" s="4">
        <f t="shared" si="255"/>
        <v>6.1092475827643655</v>
      </c>
      <c r="S547" s="4">
        <f t="shared" si="256"/>
        <v>45.3</v>
      </c>
      <c r="T547" s="4">
        <f t="shared" si="257"/>
        <v>0</v>
      </c>
      <c r="U547" s="4">
        <f t="shared" si="258"/>
        <v>8.4118326757584114</v>
      </c>
      <c r="V547" s="4">
        <f t="shared" si="259"/>
        <v>6.1092475827643655</v>
      </c>
      <c r="W547" s="4">
        <f t="shared" si="260"/>
        <v>45.3</v>
      </c>
      <c r="X547" s="4">
        <f t="shared" si="261"/>
        <v>0</v>
      </c>
      <c r="Y547" s="4">
        <f t="shared" si="262"/>
        <v>8.4118326757584114</v>
      </c>
      <c r="Z547" s="4">
        <f t="shared" si="263"/>
        <v>6.1092475827643655</v>
      </c>
      <c r="AA547" s="4">
        <f t="shared" si="264"/>
        <v>45.3</v>
      </c>
      <c r="AB547" s="4">
        <f t="shared" si="265"/>
        <v>0</v>
      </c>
      <c r="AC547" s="4">
        <f t="shared" si="266"/>
        <v>0</v>
      </c>
      <c r="AD547" s="4">
        <f t="shared" si="267"/>
        <v>0</v>
      </c>
      <c r="AE547" s="4">
        <f t="shared" si="268"/>
        <v>0</v>
      </c>
      <c r="AF547" s="4">
        <f t="shared" si="269"/>
        <v>0</v>
      </c>
      <c r="AG547" s="4">
        <f t="shared" si="270"/>
        <v>8.4118326757584114</v>
      </c>
      <c r="AH547" s="4">
        <f t="shared" si="271"/>
        <v>0</v>
      </c>
      <c r="AI547" s="4">
        <f t="shared" si="272"/>
        <v>0</v>
      </c>
      <c r="AJ547" s="4">
        <f t="shared" si="273"/>
        <v>8.4118326757584114</v>
      </c>
      <c r="AK547" s="4">
        <f t="shared" si="274"/>
        <v>6.1092475827643655</v>
      </c>
      <c r="AL547" s="4">
        <f t="shared" si="275"/>
        <v>0</v>
      </c>
      <c r="AM547" s="4">
        <f>CER!$C$7+CER!$C$8*J547+CER!$C$9*K547+CER!$C$10*L547+CER!$C$11*M547</f>
        <v>3.1957072521608776</v>
      </c>
      <c r="AN547" s="4">
        <f t="shared" si="276"/>
        <v>24.427443946878935</v>
      </c>
      <c r="AO547" s="4">
        <f t="shared" si="277"/>
        <v>-2.4304658998453021E-2</v>
      </c>
      <c r="AP547" s="4">
        <f>Alternatives!$F$25+Alternatives!$F$26*J547+Alternatives!$F$27*K547+Alternatives!$F$28*G547+Alternatives!$F$29*O547</f>
        <v>3.3425412208881169</v>
      </c>
      <c r="AQ547" s="4">
        <f t="shared" si="278"/>
        <v>-0.17113862772569233</v>
      </c>
    </row>
    <row r="548" spans="1:43" x14ac:dyDescent="0.35">
      <c r="A548" s="2" t="s">
        <v>455</v>
      </c>
      <c r="B548" s="2" t="s">
        <v>424</v>
      </c>
      <c r="C548" s="2" t="s">
        <v>67</v>
      </c>
      <c r="D548" s="2">
        <v>34.456000000000003</v>
      </c>
      <c r="E548" s="2">
        <v>4000</v>
      </c>
      <c r="F548" s="2">
        <v>250</v>
      </c>
      <c r="G548" s="2">
        <v>51.1</v>
      </c>
      <c r="H548" s="2" t="s">
        <v>68</v>
      </c>
      <c r="I548" s="4">
        <f t="shared" si="248"/>
        <v>3.5396831477518096</v>
      </c>
      <c r="J548" s="4">
        <f t="shared" si="249"/>
        <v>8.2940496401020276</v>
      </c>
      <c r="K548" s="4">
        <f t="shared" si="250"/>
        <v>5.521460917862246</v>
      </c>
      <c r="L548" s="2">
        <v>0</v>
      </c>
      <c r="M548" s="2">
        <v>0</v>
      </c>
      <c r="N548" s="4">
        <f t="shared" si="251"/>
        <v>51.1</v>
      </c>
      <c r="O548" s="4">
        <f t="shared" si="252"/>
        <v>0</v>
      </c>
      <c r="P548" s="4">
        <f t="shared" si="253"/>
        <v>0</v>
      </c>
      <c r="Q548" s="4">
        <f t="shared" si="254"/>
        <v>8.2940496401020276</v>
      </c>
      <c r="R548" s="4">
        <f t="shared" si="255"/>
        <v>5.521460917862246</v>
      </c>
      <c r="S548" s="4">
        <f t="shared" si="256"/>
        <v>51.1</v>
      </c>
      <c r="T548" s="4">
        <f t="shared" si="257"/>
        <v>0</v>
      </c>
      <c r="U548" s="4">
        <f t="shared" si="258"/>
        <v>8.2940496401020276</v>
      </c>
      <c r="V548" s="4">
        <f t="shared" si="259"/>
        <v>5.521460917862246</v>
      </c>
      <c r="W548" s="4">
        <f t="shared" si="260"/>
        <v>51.1</v>
      </c>
      <c r="X548" s="4">
        <f t="shared" si="261"/>
        <v>0</v>
      </c>
      <c r="Y548" s="4">
        <f t="shared" si="262"/>
        <v>8.2940496401020276</v>
      </c>
      <c r="Z548" s="4">
        <f t="shared" si="263"/>
        <v>5.521460917862246</v>
      </c>
      <c r="AA548" s="4">
        <f t="shared" si="264"/>
        <v>51.1</v>
      </c>
      <c r="AB548" s="4">
        <f t="shared" si="265"/>
        <v>0</v>
      </c>
      <c r="AC548" s="4">
        <f t="shared" si="266"/>
        <v>0</v>
      </c>
      <c r="AD548" s="4">
        <f t="shared" si="267"/>
        <v>0</v>
      </c>
      <c r="AE548" s="4">
        <f t="shared" si="268"/>
        <v>0</v>
      </c>
      <c r="AF548" s="4">
        <f t="shared" si="269"/>
        <v>0</v>
      </c>
      <c r="AG548" s="4">
        <f t="shared" si="270"/>
        <v>8.2940496401020276</v>
      </c>
      <c r="AH548" s="4">
        <f t="shared" si="271"/>
        <v>0</v>
      </c>
      <c r="AI548" s="4">
        <f t="shared" si="272"/>
        <v>0</v>
      </c>
      <c r="AJ548" s="4">
        <f t="shared" si="273"/>
        <v>8.2940496401020276</v>
      </c>
      <c r="AK548" s="4">
        <f t="shared" si="274"/>
        <v>5.521460917862246</v>
      </c>
      <c r="AL548" s="4">
        <f t="shared" si="275"/>
        <v>0</v>
      </c>
      <c r="AM548" s="4">
        <f>CER!$C$7+CER!$C$8*J548+CER!$C$9*K548+CER!$C$10*L548+CER!$C$11*M548</f>
        <v>3.4658889016503953</v>
      </c>
      <c r="AN548" s="4">
        <f t="shared" si="276"/>
        <v>32.004896337778874</v>
      </c>
      <c r="AO548" s="4">
        <f t="shared" si="277"/>
        <v>7.3794246101414274E-2</v>
      </c>
      <c r="AP548" s="4">
        <f>Alternatives!$F$25+Alternatives!$F$26*J548+Alternatives!$F$27*K548+Alternatives!$F$28*G548+Alternatives!$F$29*O548</f>
        <v>3.37992483712428</v>
      </c>
      <c r="AQ548" s="4">
        <f t="shared" si="278"/>
        <v>0.15975831062752954</v>
      </c>
    </row>
    <row r="549" spans="1:43" x14ac:dyDescent="0.35">
      <c r="A549" s="2" t="s">
        <v>456</v>
      </c>
      <c r="B549" s="2" t="s">
        <v>424</v>
      </c>
      <c r="C549" s="2" t="s">
        <v>67</v>
      </c>
      <c r="D549" s="2">
        <v>31.797599999999999</v>
      </c>
      <c r="E549" s="2">
        <v>4500</v>
      </c>
      <c r="F549" s="2">
        <v>300</v>
      </c>
      <c r="G549" s="2">
        <v>51.1</v>
      </c>
      <c r="H549" s="2" t="s">
        <v>68</v>
      </c>
      <c r="I549" s="4">
        <f t="shared" si="248"/>
        <v>3.4593908152398858</v>
      </c>
      <c r="J549" s="4">
        <f t="shared" si="249"/>
        <v>8.4118326757584114</v>
      </c>
      <c r="K549" s="4">
        <f t="shared" si="250"/>
        <v>5.7037824746562009</v>
      </c>
      <c r="L549" s="2">
        <v>0</v>
      </c>
      <c r="M549" s="2">
        <v>0</v>
      </c>
      <c r="N549" s="4">
        <f t="shared" si="251"/>
        <v>51.1</v>
      </c>
      <c r="O549" s="4">
        <f t="shared" si="252"/>
        <v>0</v>
      </c>
      <c r="P549" s="4">
        <f t="shared" si="253"/>
        <v>0</v>
      </c>
      <c r="Q549" s="4">
        <f t="shared" si="254"/>
        <v>8.4118326757584114</v>
      </c>
      <c r="R549" s="4">
        <f t="shared" si="255"/>
        <v>5.7037824746562009</v>
      </c>
      <c r="S549" s="4">
        <f t="shared" si="256"/>
        <v>51.1</v>
      </c>
      <c r="T549" s="4">
        <f t="shared" si="257"/>
        <v>0</v>
      </c>
      <c r="U549" s="4">
        <f t="shared" si="258"/>
        <v>8.4118326757584114</v>
      </c>
      <c r="V549" s="4">
        <f t="shared" si="259"/>
        <v>5.7037824746562009</v>
      </c>
      <c r="W549" s="4">
        <f t="shared" si="260"/>
        <v>51.1</v>
      </c>
      <c r="X549" s="4">
        <f t="shared" si="261"/>
        <v>0</v>
      </c>
      <c r="Y549" s="4">
        <f t="shared" si="262"/>
        <v>8.4118326757584114</v>
      </c>
      <c r="Z549" s="4">
        <f t="shared" si="263"/>
        <v>5.7037824746562009</v>
      </c>
      <c r="AA549" s="4">
        <f t="shared" si="264"/>
        <v>51.1</v>
      </c>
      <c r="AB549" s="4">
        <f t="shared" si="265"/>
        <v>0</v>
      </c>
      <c r="AC549" s="4">
        <f t="shared" si="266"/>
        <v>0</v>
      </c>
      <c r="AD549" s="4">
        <f t="shared" si="267"/>
        <v>0</v>
      </c>
      <c r="AE549" s="4">
        <f t="shared" si="268"/>
        <v>0</v>
      </c>
      <c r="AF549" s="4">
        <f t="shared" si="269"/>
        <v>0</v>
      </c>
      <c r="AG549" s="4">
        <f t="shared" si="270"/>
        <v>8.4118326757584114</v>
      </c>
      <c r="AH549" s="4">
        <f t="shared" si="271"/>
        <v>0</v>
      </c>
      <c r="AI549" s="4">
        <f t="shared" si="272"/>
        <v>0</v>
      </c>
      <c r="AJ549" s="4">
        <f t="shared" si="273"/>
        <v>8.4118326757584114</v>
      </c>
      <c r="AK549" s="4">
        <f t="shared" si="274"/>
        <v>5.7037824746562009</v>
      </c>
      <c r="AL549" s="4">
        <f t="shared" si="275"/>
        <v>0</v>
      </c>
      <c r="AM549" s="4">
        <f>CER!$C$7+CER!$C$8*J549+CER!$C$9*K549+CER!$C$10*L549+CER!$C$11*M549</f>
        <v>3.3453010549899487</v>
      </c>
      <c r="AN549" s="4">
        <f t="shared" si="276"/>
        <v>28.369115044822525</v>
      </c>
      <c r="AO549" s="4">
        <f t="shared" si="277"/>
        <v>0.11408976024993711</v>
      </c>
      <c r="AP549" s="4">
        <f>Alternatives!$F$25+Alternatives!$F$26*J549+Alternatives!$F$27*K549+Alternatives!$F$28*G549+Alternatives!$F$29*O549</f>
        <v>3.3749971034503776</v>
      </c>
      <c r="AQ549" s="4">
        <f t="shared" si="278"/>
        <v>8.4393711789508163E-2</v>
      </c>
    </row>
    <row r="550" spans="1:43" x14ac:dyDescent="0.35">
      <c r="A550" s="2" t="s">
        <v>457</v>
      </c>
      <c r="B550" s="2" t="s">
        <v>424</v>
      </c>
      <c r="C550" s="2" t="s">
        <v>67</v>
      </c>
      <c r="D550" s="2">
        <v>31.5137</v>
      </c>
      <c r="E550" s="2">
        <v>4500</v>
      </c>
      <c r="F550" s="2">
        <v>250</v>
      </c>
      <c r="G550" s="2">
        <v>51</v>
      </c>
      <c r="H550" s="2" t="s">
        <v>68</v>
      </c>
      <c r="I550" s="4">
        <f t="shared" si="248"/>
        <v>3.4504223719159421</v>
      </c>
      <c r="J550" s="4">
        <f t="shared" si="249"/>
        <v>8.4118326757584114</v>
      </c>
      <c r="K550" s="4">
        <f t="shared" si="250"/>
        <v>5.521460917862246</v>
      </c>
      <c r="L550" s="2">
        <v>0</v>
      </c>
      <c r="M550" s="2">
        <v>0</v>
      </c>
      <c r="N550" s="4">
        <f t="shared" si="251"/>
        <v>51</v>
      </c>
      <c r="O550" s="4">
        <f t="shared" si="252"/>
        <v>0</v>
      </c>
      <c r="P550" s="4">
        <f t="shared" si="253"/>
        <v>0</v>
      </c>
      <c r="Q550" s="4">
        <f t="shared" si="254"/>
        <v>8.4118326757584114</v>
      </c>
      <c r="R550" s="4">
        <f t="shared" si="255"/>
        <v>5.521460917862246</v>
      </c>
      <c r="S550" s="4">
        <f t="shared" si="256"/>
        <v>51</v>
      </c>
      <c r="T550" s="4">
        <f t="shared" si="257"/>
        <v>0</v>
      </c>
      <c r="U550" s="4">
        <f t="shared" si="258"/>
        <v>8.4118326757584114</v>
      </c>
      <c r="V550" s="4">
        <f t="shared" si="259"/>
        <v>5.521460917862246</v>
      </c>
      <c r="W550" s="4">
        <f t="shared" si="260"/>
        <v>51</v>
      </c>
      <c r="X550" s="4">
        <f t="shared" si="261"/>
        <v>0</v>
      </c>
      <c r="Y550" s="4">
        <f t="shared" si="262"/>
        <v>8.4118326757584114</v>
      </c>
      <c r="Z550" s="4">
        <f t="shared" si="263"/>
        <v>5.521460917862246</v>
      </c>
      <c r="AA550" s="4">
        <f t="shared" si="264"/>
        <v>51</v>
      </c>
      <c r="AB550" s="4">
        <f t="shared" si="265"/>
        <v>0</v>
      </c>
      <c r="AC550" s="4">
        <f t="shared" si="266"/>
        <v>0</v>
      </c>
      <c r="AD550" s="4">
        <f t="shared" si="267"/>
        <v>0</v>
      </c>
      <c r="AE550" s="4">
        <f t="shared" si="268"/>
        <v>0</v>
      </c>
      <c r="AF550" s="4">
        <f t="shared" si="269"/>
        <v>0</v>
      </c>
      <c r="AG550" s="4">
        <f t="shared" si="270"/>
        <v>8.4118326757584114</v>
      </c>
      <c r="AH550" s="4">
        <f t="shared" si="271"/>
        <v>0</v>
      </c>
      <c r="AI550" s="4">
        <f t="shared" si="272"/>
        <v>0</v>
      </c>
      <c r="AJ550" s="4">
        <f t="shared" si="273"/>
        <v>8.4118326757584114</v>
      </c>
      <c r="AK550" s="4">
        <f t="shared" si="274"/>
        <v>5.521460917862246</v>
      </c>
      <c r="AL550" s="4">
        <f t="shared" si="275"/>
        <v>0</v>
      </c>
      <c r="AM550" s="4">
        <f>CER!$C$7+CER!$C$8*J550+CER!$C$9*K550+CER!$C$10*L550+CER!$C$11*M550</f>
        <v>3.4125674472715954</v>
      </c>
      <c r="AN550" s="4">
        <f t="shared" si="276"/>
        <v>30.343048514620364</v>
      </c>
      <c r="AO550" s="4">
        <f t="shared" si="277"/>
        <v>3.7854924644346699E-2</v>
      </c>
      <c r="AP550" s="4">
        <f>Alternatives!$F$25+Alternatives!$F$26*J550+Alternatives!$F$27*K550+Alternatives!$F$28*G550+Alternatives!$F$29*O550</f>
        <v>3.4248154185322948</v>
      </c>
      <c r="AQ550" s="4">
        <f t="shared" si="278"/>
        <v>2.5606953383647379E-2</v>
      </c>
    </row>
    <row r="551" spans="1:43" x14ac:dyDescent="0.35">
      <c r="A551" s="2" t="s">
        <v>458</v>
      </c>
      <c r="B551" s="2" t="s">
        <v>424</v>
      </c>
      <c r="C551" s="2" t="s">
        <v>67</v>
      </c>
      <c r="D551" s="2">
        <v>22.03</v>
      </c>
      <c r="E551" s="2">
        <v>5000</v>
      </c>
      <c r="F551" s="2">
        <v>550</v>
      </c>
      <c r="G551" s="2">
        <v>51.3</v>
      </c>
      <c r="H551" s="2" t="s">
        <v>68</v>
      </c>
      <c r="I551" s="4">
        <f t="shared" si="248"/>
        <v>3.092405160814252</v>
      </c>
      <c r="J551" s="4">
        <f t="shared" si="249"/>
        <v>8.5171931914162382</v>
      </c>
      <c r="K551" s="4">
        <f t="shared" si="250"/>
        <v>6.3099182782265162</v>
      </c>
      <c r="L551" s="2">
        <v>0</v>
      </c>
      <c r="M551" s="2">
        <v>0</v>
      </c>
      <c r="N551" s="4">
        <f t="shared" si="251"/>
        <v>51.3</v>
      </c>
      <c r="O551" s="4">
        <f t="shared" si="252"/>
        <v>0</v>
      </c>
      <c r="P551" s="4">
        <f t="shared" si="253"/>
        <v>0</v>
      </c>
      <c r="Q551" s="4">
        <f t="shared" si="254"/>
        <v>8.5171931914162382</v>
      </c>
      <c r="R551" s="4">
        <f t="shared" si="255"/>
        <v>6.3099182782265162</v>
      </c>
      <c r="S551" s="4">
        <f t="shared" si="256"/>
        <v>51.3</v>
      </c>
      <c r="T551" s="4">
        <f t="shared" si="257"/>
        <v>0</v>
      </c>
      <c r="U551" s="4">
        <f t="shared" si="258"/>
        <v>8.5171931914162382</v>
      </c>
      <c r="V551" s="4">
        <f t="shared" si="259"/>
        <v>6.3099182782265162</v>
      </c>
      <c r="W551" s="4">
        <f t="shared" si="260"/>
        <v>51.3</v>
      </c>
      <c r="X551" s="4">
        <f t="shared" si="261"/>
        <v>0</v>
      </c>
      <c r="Y551" s="4">
        <f t="shared" si="262"/>
        <v>8.5171931914162382</v>
      </c>
      <c r="Z551" s="4">
        <f t="shared" si="263"/>
        <v>6.3099182782265162</v>
      </c>
      <c r="AA551" s="4">
        <f t="shared" si="264"/>
        <v>51.3</v>
      </c>
      <c r="AB551" s="4">
        <f t="shared" si="265"/>
        <v>0</v>
      </c>
      <c r="AC551" s="4">
        <f t="shared" si="266"/>
        <v>0</v>
      </c>
      <c r="AD551" s="4">
        <f t="shared" si="267"/>
        <v>0</v>
      </c>
      <c r="AE551" s="4">
        <f t="shared" si="268"/>
        <v>0</v>
      </c>
      <c r="AF551" s="4">
        <f t="shared" si="269"/>
        <v>0</v>
      </c>
      <c r="AG551" s="4">
        <f t="shared" si="270"/>
        <v>8.5171931914162382</v>
      </c>
      <c r="AH551" s="4">
        <f t="shared" si="271"/>
        <v>0</v>
      </c>
      <c r="AI551" s="4">
        <f t="shared" si="272"/>
        <v>0</v>
      </c>
      <c r="AJ551" s="4">
        <f t="shared" si="273"/>
        <v>8.5171931914162382</v>
      </c>
      <c r="AK551" s="4">
        <f t="shared" si="274"/>
        <v>6.3099182782265162</v>
      </c>
      <c r="AL551" s="4">
        <f t="shared" si="275"/>
        <v>0</v>
      </c>
      <c r="AM551" s="4">
        <f>CER!$C$7+CER!$C$8*J551+CER!$C$9*K551+CER!$C$10*L551+CER!$C$11*M551</f>
        <v>3.0739733942259941</v>
      </c>
      <c r="AN551" s="4">
        <f t="shared" si="276"/>
        <v>21.627667422447544</v>
      </c>
      <c r="AO551" s="4">
        <f t="shared" si="277"/>
        <v>1.8431766588257847E-2</v>
      </c>
      <c r="AP551" s="4">
        <f>Alternatives!$F$25+Alternatives!$F$26*J551+Alternatives!$F$27*K551+Alternatives!$F$28*G551+Alternatives!$F$29*O551</f>
        <v>3.2500893107946198</v>
      </c>
      <c r="AQ551" s="4">
        <f t="shared" si="278"/>
        <v>-0.15768414998036784</v>
      </c>
    </row>
    <row r="552" spans="1:43" x14ac:dyDescent="0.35">
      <c r="A552" s="2" t="s">
        <v>459</v>
      </c>
      <c r="B552" s="2" t="s">
        <v>424</v>
      </c>
      <c r="C552" s="2" t="s">
        <v>33</v>
      </c>
      <c r="D552" s="2">
        <v>27.639399999999998</v>
      </c>
      <c r="E552" s="2">
        <v>5000</v>
      </c>
      <c r="F552" s="2">
        <v>400</v>
      </c>
      <c r="G552" s="2">
        <v>51</v>
      </c>
      <c r="H552" s="2" t="s">
        <v>68</v>
      </c>
      <c r="I552" s="4">
        <f t="shared" si="248"/>
        <v>3.3192422909938109</v>
      </c>
      <c r="J552" s="4">
        <f t="shared" si="249"/>
        <v>8.5171931914162382</v>
      </c>
      <c r="K552" s="4">
        <f t="shared" si="250"/>
        <v>5.9914645471079817</v>
      </c>
      <c r="L552" s="2">
        <v>1</v>
      </c>
      <c r="M552" s="2">
        <v>0</v>
      </c>
      <c r="N552" s="4">
        <f t="shared" si="251"/>
        <v>51</v>
      </c>
      <c r="O552" s="4">
        <f t="shared" si="252"/>
        <v>1</v>
      </c>
      <c r="P552" s="4">
        <f t="shared" si="253"/>
        <v>1</v>
      </c>
      <c r="Q552" s="4">
        <f t="shared" si="254"/>
        <v>8.5171931914162382</v>
      </c>
      <c r="R552" s="4">
        <f t="shared" si="255"/>
        <v>5.9914645471079817</v>
      </c>
      <c r="S552" s="4">
        <f t="shared" si="256"/>
        <v>51</v>
      </c>
      <c r="T552" s="4">
        <f t="shared" si="257"/>
        <v>1</v>
      </c>
      <c r="U552" s="4">
        <f t="shared" si="258"/>
        <v>8.5171931914162382</v>
      </c>
      <c r="V552" s="4">
        <f t="shared" si="259"/>
        <v>5.9914645471079817</v>
      </c>
      <c r="W552" s="4">
        <f t="shared" si="260"/>
        <v>51</v>
      </c>
      <c r="X552" s="4">
        <f t="shared" si="261"/>
        <v>1</v>
      </c>
      <c r="Y552" s="4">
        <f t="shared" si="262"/>
        <v>8.5171931914162382</v>
      </c>
      <c r="Z552" s="4">
        <f t="shared" si="263"/>
        <v>5.9914645471079817</v>
      </c>
      <c r="AA552" s="4">
        <f t="shared" si="264"/>
        <v>51</v>
      </c>
      <c r="AB552" s="4">
        <f t="shared" si="265"/>
        <v>1</v>
      </c>
      <c r="AC552" s="4">
        <f t="shared" si="266"/>
        <v>0</v>
      </c>
      <c r="AD552" s="4">
        <f t="shared" si="267"/>
        <v>0</v>
      </c>
      <c r="AE552" s="4">
        <f t="shared" si="268"/>
        <v>0</v>
      </c>
      <c r="AF552" s="4">
        <f t="shared" si="269"/>
        <v>0</v>
      </c>
      <c r="AG552" s="4">
        <f t="shared" si="270"/>
        <v>8.5171931914162382</v>
      </c>
      <c r="AH552" s="4">
        <f t="shared" si="271"/>
        <v>1</v>
      </c>
      <c r="AI552" s="4">
        <f t="shared" si="272"/>
        <v>0</v>
      </c>
      <c r="AJ552" s="4">
        <f t="shared" si="273"/>
        <v>8.5171931914162382</v>
      </c>
      <c r="AK552" s="4">
        <f t="shared" si="274"/>
        <v>5.9914645471079817</v>
      </c>
      <c r="AL552" s="4">
        <f t="shared" si="275"/>
        <v>0</v>
      </c>
      <c r="AM552" s="4">
        <f>CER!$C$7+CER!$C$8*J552+CER!$C$9*K552+CER!$C$10*L552+CER!$C$11*M552</f>
        <v>3.4152184664490206</v>
      </c>
      <c r="AN552" s="4">
        <f t="shared" si="276"/>
        <v>30.423595236413369</v>
      </c>
      <c r="AO552" s="4">
        <f t="shared" si="277"/>
        <v>-9.5976175455209756E-2</v>
      </c>
      <c r="AP552" s="4">
        <f>Alternatives!$F$25+Alternatives!$F$26*J552+Alternatives!$F$27*K552+Alternatives!$F$28*G552+Alternatives!$F$29*O552</f>
        <v>4.1834751462344766</v>
      </c>
      <c r="AQ552" s="4">
        <f t="shared" si="278"/>
        <v>-0.86423285524066573</v>
      </c>
    </row>
    <row r="553" spans="1:43" x14ac:dyDescent="0.35">
      <c r="A553" s="2" t="s">
        <v>460</v>
      </c>
      <c r="B553" s="2" t="s">
        <v>424</v>
      </c>
      <c r="C553" s="2" t="s">
        <v>67</v>
      </c>
      <c r="D553" s="2">
        <v>30.090499999999999</v>
      </c>
      <c r="E553" s="2">
        <v>4500</v>
      </c>
      <c r="F553" s="2">
        <v>249</v>
      </c>
      <c r="G553" s="2">
        <v>47.2</v>
      </c>
      <c r="H553" s="2" t="s">
        <v>68</v>
      </c>
      <c r="I553" s="4">
        <f t="shared" si="248"/>
        <v>3.4042095073201142</v>
      </c>
      <c r="J553" s="4">
        <f t="shared" si="249"/>
        <v>8.4118326757584114</v>
      </c>
      <c r="K553" s="4">
        <f t="shared" si="250"/>
        <v>5.5174528964647074</v>
      </c>
      <c r="L553" s="2">
        <v>0</v>
      </c>
      <c r="M553" s="2">
        <v>0</v>
      </c>
      <c r="N553" s="4">
        <f t="shared" si="251"/>
        <v>47.2</v>
      </c>
      <c r="O553" s="4">
        <f t="shared" si="252"/>
        <v>0</v>
      </c>
      <c r="P553" s="4">
        <f t="shared" si="253"/>
        <v>0</v>
      </c>
      <c r="Q553" s="4">
        <f t="shared" si="254"/>
        <v>8.4118326757584114</v>
      </c>
      <c r="R553" s="4">
        <f t="shared" si="255"/>
        <v>5.5174528964647074</v>
      </c>
      <c r="S553" s="4">
        <f t="shared" si="256"/>
        <v>47.2</v>
      </c>
      <c r="T553" s="4">
        <f t="shared" si="257"/>
        <v>0</v>
      </c>
      <c r="U553" s="4">
        <f t="shared" si="258"/>
        <v>8.4118326757584114</v>
      </c>
      <c r="V553" s="4">
        <f t="shared" si="259"/>
        <v>5.5174528964647074</v>
      </c>
      <c r="W553" s="4">
        <f t="shared" si="260"/>
        <v>47.2</v>
      </c>
      <c r="X553" s="4">
        <f t="shared" si="261"/>
        <v>0</v>
      </c>
      <c r="Y553" s="4">
        <f t="shared" si="262"/>
        <v>8.4118326757584114</v>
      </c>
      <c r="Z553" s="4">
        <f t="shared" si="263"/>
        <v>5.5174528964647074</v>
      </c>
      <c r="AA553" s="4">
        <f t="shared" si="264"/>
        <v>47.2</v>
      </c>
      <c r="AB553" s="4">
        <f t="shared" si="265"/>
        <v>0</v>
      </c>
      <c r="AC553" s="4">
        <f t="shared" si="266"/>
        <v>0</v>
      </c>
      <c r="AD553" s="4">
        <f t="shared" si="267"/>
        <v>0</v>
      </c>
      <c r="AE553" s="4">
        <f t="shared" si="268"/>
        <v>0</v>
      </c>
      <c r="AF553" s="4">
        <f t="shared" si="269"/>
        <v>0</v>
      </c>
      <c r="AG553" s="4">
        <f t="shared" si="270"/>
        <v>8.4118326757584114</v>
      </c>
      <c r="AH553" s="4">
        <f t="shared" si="271"/>
        <v>0</v>
      </c>
      <c r="AI553" s="4">
        <f t="shared" si="272"/>
        <v>0</v>
      </c>
      <c r="AJ553" s="4">
        <f t="shared" si="273"/>
        <v>8.4118326757584114</v>
      </c>
      <c r="AK553" s="4">
        <f t="shared" si="274"/>
        <v>5.5174528964647074</v>
      </c>
      <c r="AL553" s="4">
        <f t="shared" si="275"/>
        <v>0</v>
      </c>
      <c r="AM553" s="4">
        <f>CER!$C$7+CER!$C$8*J553+CER!$C$9*K553+CER!$C$10*L553+CER!$C$11*M553</f>
        <v>3.4140461815712633</v>
      </c>
      <c r="AN553" s="4">
        <f t="shared" si="276"/>
        <v>30.387951012465081</v>
      </c>
      <c r="AO553" s="4">
        <f t="shared" si="277"/>
        <v>-9.8366742511490912E-3</v>
      </c>
      <c r="AP553" s="4">
        <f>Alternatives!$F$25+Alternatives!$F$26*J553+Alternatives!$F$27*K553+Alternatives!$F$28*G553+Alternatives!$F$29*O553</f>
        <v>3.4753097882382424</v>
      </c>
      <c r="AQ553" s="4">
        <f t="shared" si="278"/>
        <v>-7.1100280918128256E-2</v>
      </c>
    </row>
    <row r="554" spans="1:43" x14ac:dyDescent="0.35">
      <c r="A554" s="2" t="s">
        <v>461</v>
      </c>
      <c r="B554" s="2" t="s">
        <v>462</v>
      </c>
      <c r="C554" s="2" t="s">
        <v>67</v>
      </c>
      <c r="D554" s="2">
        <v>26.277100000000001</v>
      </c>
      <c r="E554" s="2">
        <v>4500</v>
      </c>
      <c r="F554" s="2">
        <v>291</v>
      </c>
      <c r="G554" s="2">
        <v>53.5</v>
      </c>
      <c r="H554" s="2" t="s">
        <v>68</v>
      </c>
      <c r="I554" s="4">
        <f t="shared" si="248"/>
        <v>3.2686978374512887</v>
      </c>
      <c r="J554" s="4">
        <f t="shared" si="249"/>
        <v>8.4118326757584114</v>
      </c>
      <c r="K554" s="4">
        <f t="shared" si="250"/>
        <v>5.6733232671714928</v>
      </c>
      <c r="L554" s="2">
        <v>0</v>
      </c>
      <c r="M554" s="2">
        <v>0</v>
      </c>
      <c r="N554" s="4">
        <f t="shared" si="251"/>
        <v>53.5</v>
      </c>
      <c r="O554" s="4">
        <f t="shared" si="252"/>
        <v>0</v>
      </c>
      <c r="P554" s="4">
        <f t="shared" si="253"/>
        <v>0</v>
      </c>
      <c r="Q554" s="4">
        <f t="shared" si="254"/>
        <v>8.4118326757584114</v>
      </c>
      <c r="R554" s="4">
        <f t="shared" si="255"/>
        <v>5.6733232671714928</v>
      </c>
      <c r="S554" s="4">
        <f t="shared" si="256"/>
        <v>53.5</v>
      </c>
      <c r="T554" s="4">
        <f t="shared" si="257"/>
        <v>0</v>
      </c>
      <c r="U554" s="4">
        <f t="shared" si="258"/>
        <v>8.4118326757584114</v>
      </c>
      <c r="V554" s="4">
        <f t="shared" si="259"/>
        <v>5.6733232671714928</v>
      </c>
      <c r="W554" s="4">
        <f t="shared" si="260"/>
        <v>53.5</v>
      </c>
      <c r="X554" s="4">
        <f t="shared" si="261"/>
        <v>0</v>
      </c>
      <c r="Y554" s="4">
        <f t="shared" si="262"/>
        <v>8.4118326757584114</v>
      </c>
      <c r="Z554" s="4">
        <f t="shared" si="263"/>
        <v>5.6733232671714928</v>
      </c>
      <c r="AA554" s="4">
        <f t="shared" si="264"/>
        <v>53.5</v>
      </c>
      <c r="AB554" s="4">
        <f t="shared" si="265"/>
        <v>0</v>
      </c>
      <c r="AC554" s="4">
        <f t="shared" si="266"/>
        <v>0</v>
      </c>
      <c r="AD554" s="4">
        <f t="shared" si="267"/>
        <v>0</v>
      </c>
      <c r="AE554" s="4">
        <f t="shared" si="268"/>
        <v>0</v>
      </c>
      <c r="AF554" s="4">
        <f t="shared" si="269"/>
        <v>0</v>
      </c>
      <c r="AG554" s="4">
        <f t="shared" si="270"/>
        <v>8.4118326757584114</v>
      </c>
      <c r="AH554" s="4">
        <f t="shared" si="271"/>
        <v>0</v>
      </c>
      <c r="AI554" s="4">
        <f t="shared" si="272"/>
        <v>0</v>
      </c>
      <c r="AJ554" s="4">
        <f t="shared" si="273"/>
        <v>8.4118326757584114</v>
      </c>
      <c r="AK554" s="4">
        <f t="shared" si="274"/>
        <v>5.6733232671714928</v>
      </c>
      <c r="AL554" s="4">
        <f t="shared" si="275"/>
        <v>0</v>
      </c>
      <c r="AM554" s="4">
        <f>CER!$C$7+CER!$C$8*J554+CER!$C$9*K554+CER!$C$10*L554+CER!$C$11*M554</f>
        <v>3.3565387881208144</v>
      </c>
      <c r="AN554" s="4">
        <f t="shared" si="276"/>
        <v>28.68971763806864</v>
      </c>
      <c r="AO554" s="4">
        <f t="shared" si="277"/>
        <v>-8.7840950669525686E-2</v>
      </c>
      <c r="AP554" s="4">
        <f>Alternatives!$F$25+Alternatives!$F$26*J554+Alternatives!$F$27*K554+Alternatives!$F$28*G554+Alternatives!$F$29*O554</f>
        <v>3.3518850472753412</v>
      </c>
      <c r="AQ554" s="4">
        <f t="shared" si="278"/>
        <v>-8.3187209824052477E-2</v>
      </c>
    </row>
    <row r="555" spans="1:43" x14ac:dyDescent="0.35">
      <c r="A555" s="2" t="s">
        <v>463</v>
      </c>
      <c r="B555" s="2" t="s">
        <v>462</v>
      </c>
      <c r="C555" s="2" t="s">
        <v>67</v>
      </c>
      <c r="D555" s="2">
        <v>29.479199999999999</v>
      </c>
      <c r="E555" s="2">
        <v>4500</v>
      </c>
      <c r="F555" s="2">
        <v>291</v>
      </c>
      <c r="G555" s="2">
        <v>53.5</v>
      </c>
      <c r="H555" s="2" t="s">
        <v>68</v>
      </c>
      <c r="I555" s="4">
        <f t="shared" si="248"/>
        <v>3.3836849299108573</v>
      </c>
      <c r="J555" s="4">
        <f t="shared" si="249"/>
        <v>8.4118326757584114</v>
      </c>
      <c r="K555" s="4">
        <f t="shared" si="250"/>
        <v>5.6733232671714928</v>
      </c>
      <c r="L555" s="2">
        <v>0</v>
      </c>
      <c r="M555" s="2">
        <v>0</v>
      </c>
      <c r="N555" s="4">
        <f t="shared" si="251"/>
        <v>53.5</v>
      </c>
      <c r="O555" s="4">
        <f t="shared" si="252"/>
        <v>0</v>
      </c>
      <c r="P555" s="4">
        <f t="shared" si="253"/>
        <v>0</v>
      </c>
      <c r="Q555" s="4">
        <f t="shared" si="254"/>
        <v>8.4118326757584114</v>
      </c>
      <c r="R555" s="4">
        <f t="shared" si="255"/>
        <v>5.6733232671714928</v>
      </c>
      <c r="S555" s="4">
        <f t="shared" si="256"/>
        <v>53.5</v>
      </c>
      <c r="T555" s="4">
        <f t="shared" si="257"/>
        <v>0</v>
      </c>
      <c r="U555" s="4">
        <f t="shared" si="258"/>
        <v>8.4118326757584114</v>
      </c>
      <c r="V555" s="4">
        <f t="shared" si="259"/>
        <v>5.6733232671714928</v>
      </c>
      <c r="W555" s="4">
        <f t="shared" si="260"/>
        <v>53.5</v>
      </c>
      <c r="X555" s="4">
        <f t="shared" si="261"/>
        <v>0</v>
      </c>
      <c r="Y555" s="4">
        <f t="shared" si="262"/>
        <v>8.4118326757584114</v>
      </c>
      <c r="Z555" s="4">
        <f t="shared" si="263"/>
        <v>5.6733232671714928</v>
      </c>
      <c r="AA555" s="4">
        <f t="shared" si="264"/>
        <v>53.5</v>
      </c>
      <c r="AB555" s="4">
        <f t="shared" si="265"/>
        <v>0</v>
      </c>
      <c r="AC555" s="4">
        <f t="shared" si="266"/>
        <v>0</v>
      </c>
      <c r="AD555" s="4">
        <f t="shared" si="267"/>
        <v>0</v>
      </c>
      <c r="AE555" s="4">
        <f t="shared" si="268"/>
        <v>0</v>
      </c>
      <c r="AF555" s="4">
        <f t="shared" si="269"/>
        <v>0</v>
      </c>
      <c r="AG555" s="4">
        <f t="shared" si="270"/>
        <v>8.4118326757584114</v>
      </c>
      <c r="AH555" s="4">
        <f t="shared" si="271"/>
        <v>0</v>
      </c>
      <c r="AI555" s="4">
        <f t="shared" si="272"/>
        <v>0</v>
      </c>
      <c r="AJ555" s="4">
        <f t="shared" si="273"/>
        <v>8.4118326757584114</v>
      </c>
      <c r="AK555" s="4">
        <f t="shared" si="274"/>
        <v>5.6733232671714928</v>
      </c>
      <c r="AL555" s="4">
        <f t="shared" si="275"/>
        <v>0</v>
      </c>
      <c r="AM555" s="4">
        <f>CER!$C$7+CER!$C$8*J555+CER!$C$9*K555+CER!$C$10*L555+CER!$C$11*M555</f>
        <v>3.3565387881208144</v>
      </c>
      <c r="AN555" s="4">
        <f t="shared" si="276"/>
        <v>28.68971763806864</v>
      </c>
      <c r="AO555" s="4">
        <f t="shared" si="277"/>
        <v>2.7146141790042932E-2</v>
      </c>
      <c r="AP555" s="4">
        <f>Alternatives!$F$25+Alternatives!$F$26*J555+Alternatives!$F$27*K555+Alternatives!$F$28*G555+Alternatives!$F$29*O555</f>
        <v>3.3518850472753412</v>
      </c>
      <c r="AQ555" s="4">
        <f t="shared" si="278"/>
        <v>3.1799882635516141E-2</v>
      </c>
    </row>
    <row r="556" spans="1:43" x14ac:dyDescent="0.35">
      <c r="A556" s="2" t="s">
        <v>464</v>
      </c>
      <c r="B556" s="2" t="s">
        <v>462</v>
      </c>
      <c r="C556" s="2" t="s">
        <v>33</v>
      </c>
      <c r="D556" s="2">
        <v>65.511399999999995</v>
      </c>
      <c r="E556" s="2">
        <v>3500</v>
      </c>
      <c r="F556" s="2">
        <v>104</v>
      </c>
      <c r="G556" s="2">
        <v>46.3</v>
      </c>
      <c r="H556" s="2" t="s">
        <v>68</v>
      </c>
      <c r="I556" s="4">
        <f t="shared" si="248"/>
        <v>4.1822241732985193</v>
      </c>
      <c r="J556" s="4">
        <f t="shared" si="249"/>
        <v>8.1605182474775049</v>
      </c>
      <c r="K556" s="4">
        <f t="shared" si="250"/>
        <v>4.6443908991413725</v>
      </c>
      <c r="L556" s="2">
        <v>1</v>
      </c>
      <c r="M556" s="2">
        <v>0</v>
      </c>
      <c r="N556" s="4">
        <f t="shared" si="251"/>
        <v>46.3</v>
      </c>
      <c r="O556" s="4">
        <f t="shared" si="252"/>
        <v>1</v>
      </c>
      <c r="P556" s="4">
        <f t="shared" si="253"/>
        <v>1</v>
      </c>
      <c r="Q556" s="4">
        <f t="shared" si="254"/>
        <v>8.1605182474775049</v>
      </c>
      <c r="R556" s="4">
        <f t="shared" si="255"/>
        <v>4.6443908991413725</v>
      </c>
      <c r="S556" s="4">
        <f t="shared" si="256"/>
        <v>46.3</v>
      </c>
      <c r="T556" s="4">
        <f t="shared" si="257"/>
        <v>1</v>
      </c>
      <c r="U556" s="4">
        <f t="shared" si="258"/>
        <v>8.1605182474775049</v>
      </c>
      <c r="V556" s="4">
        <f t="shared" si="259"/>
        <v>4.6443908991413725</v>
      </c>
      <c r="W556" s="4">
        <f t="shared" si="260"/>
        <v>46.3</v>
      </c>
      <c r="X556" s="4">
        <f t="shared" si="261"/>
        <v>1</v>
      </c>
      <c r="Y556" s="4">
        <f t="shared" si="262"/>
        <v>8.1605182474775049</v>
      </c>
      <c r="Z556" s="4">
        <f t="shared" si="263"/>
        <v>4.6443908991413725</v>
      </c>
      <c r="AA556" s="4">
        <f t="shared" si="264"/>
        <v>46.3</v>
      </c>
      <c r="AB556" s="4">
        <f t="shared" si="265"/>
        <v>1</v>
      </c>
      <c r="AC556" s="4">
        <f t="shared" si="266"/>
        <v>0</v>
      </c>
      <c r="AD556" s="4">
        <f t="shared" si="267"/>
        <v>0</v>
      </c>
      <c r="AE556" s="4">
        <f t="shared" si="268"/>
        <v>0</v>
      </c>
      <c r="AF556" s="4">
        <f t="shared" si="269"/>
        <v>0</v>
      </c>
      <c r="AG556" s="4">
        <f t="shared" si="270"/>
        <v>8.1605182474775049</v>
      </c>
      <c r="AH556" s="4">
        <f t="shared" si="271"/>
        <v>1</v>
      </c>
      <c r="AI556" s="4">
        <f t="shared" si="272"/>
        <v>0</v>
      </c>
      <c r="AJ556" s="4">
        <f t="shared" si="273"/>
        <v>8.1605182474775049</v>
      </c>
      <c r="AK556" s="4">
        <f t="shared" si="274"/>
        <v>4.6443908991413725</v>
      </c>
      <c r="AL556" s="4">
        <f t="shared" si="275"/>
        <v>0</v>
      </c>
      <c r="AM556" s="4">
        <f>CER!$C$7+CER!$C$8*J556+CER!$C$9*K556+CER!$C$10*L556+CER!$C$11*M556</f>
        <v>4.0736828208456348</v>
      </c>
      <c r="AN556" s="4">
        <f t="shared" si="276"/>
        <v>58.773014991326818</v>
      </c>
      <c r="AO556" s="4">
        <f t="shared" si="277"/>
        <v>0.10854135245288443</v>
      </c>
      <c r="AP556" s="4">
        <f>Alternatives!$F$25+Alternatives!$F$26*J556+Alternatives!$F$27*K556+Alternatives!$F$28*G556+Alternatives!$F$29*O556</f>
        <v>4.4710788543261586</v>
      </c>
      <c r="AQ556" s="4">
        <f t="shared" si="278"/>
        <v>-0.28885468102763934</v>
      </c>
    </row>
    <row r="557" spans="1:43" x14ac:dyDescent="0.35">
      <c r="A557" s="2" t="s">
        <v>465</v>
      </c>
      <c r="B557" s="2" t="s">
        <v>462</v>
      </c>
      <c r="C557" s="2" t="s">
        <v>33</v>
      </c>
      <c r="D557" s="2">
        <v>68.685400000000001</v>
      </c>
      <c r="E557" s="2">
        <v>3500</v>
      </c>
      <c r="F557" s="2">
        <v>104</v>
      </c>
      <c r="G557" s="2">
        <v>46.6</v>
      </c>
      <c r="H557" s="2" t="s">
        <v>68</v>
      </c>
      <c r="I557" s="4">
        <f t="shared" si="248"/>
        <v>4.2295366584480609</v>
      </c>
      <c r="J557" s="4">
        <f t="shared" si="249"/>
        <v>8.1605182474775049</v>
      </c>
      <c r="K557" s="4">
        <f t="shared" si="250"/>
        <v>4.6443908991413725</v>
      </c>
      <c r="L557" s="2">
        <v>1</v>
      </c>
      <c r="M557" s="2">
        <v>0</v>
      </c>
      <c r="N557" s="4">
        <f t="shared" si="251"/>
        <v>46.6</v>
      </c>
      <c r="O557" s="4">
        <f t="shared" si="252"/>
        <v>1</v>
      </c>
      <c r="P557" s="4">
        <f t="shared" si="253"/>
        <v>1</v>
      </c>
      <c r="Q557" s="4">
        <f t="shared" si="254"/>
        <v>8.1605182474775049</v>
      </c>
      <c r="R557" s="4">
        <f t="shared" si="255"/>
        <v>4.6443908991413725</v>
      </c>
      <c r="S557" s="4">
        <f t="shared" si="256"/>
        <v>46.6</v>
      </c>
      <c r="T557" s="4">
        <f t="shared" si="257"/>
        <v>1</v>
      </c>
      <c r="U557" s="4">
        <f t="shared" si="258"/>
        <v>8.1605182474775049</v>
      </c>
      <c r="V557" s="4">
        <f t="shared" si="259"/>
        <v>4.6443908991413725</v>
      </c>
      <c r="W557" s="4">
        <f t="shared" si="260"/>
        <v>46.6</v>
      </c>
      <c r="X557" s="4">
        <f t="shared" si="261"/>
        <v>1</v>
      </c>
      <c r="Y557" s="4">
        <f t="shared" si="262"/>
        <v>8.1605182474775049</v>
      </c>
      <c r="Z557" s="4">
        <f t="shared" si="263"/>
        <v>4.6443908991413725</v>
      </c>
      <c r="AA557" s="4">
        <f t="shared" si="264"/>
        <v>46.6</v>
      </c>
      <c r="AB557" s="4">
        <f t="shared" si="265"/>
        <v>1</v>
      </c>
      <c r="AC557" s="4">
        <f t="shared" si="266"/>
        <v>0</v>
      </c>
      <c r="AD557" s="4">
        <f t="shared" si="267"/>
        <v>0</v>
      </c>
      <c r="AE557" s="4">
        <f t="shared" si="268"/>
        <v>0</v>
      </c>
      <c r="AF557" s="4">
        <f t="shared" si="269"/>
        <v>0</v>
      </c>
      <c r="AG557" s="4">
        <f t="shared" si="270"/>
        <v>8.1605182474775049</v>
      </c>
      <c r="AH557" s="4">
        <f t="shared" si="271"/>
        <v>1</v>
      </c>
      <c r="AI557" s="4">
        <f t="shared" si="272"/>
        <v>0</v>
      </c>
      <c r="AJ557" s="4">
        <f t="shared" si="273"/>
        <v>8.1605182474775049</v>
      </c>
      <c r="AK557" s="4">
        <f t="shared" si="274"/>
        <v>4.6443908991413725</v>
      </c>
      <c r="AL557" s="4">
        <f t="shared" si="275"/>
        <v>0</v>
      </c>
      <c r="AM557" s="4">
        <f>CER!$C$7+CER!$C$8*J557+CER!$C$9*K557+CER!$C$10*L557+CER!$C$11*M557</f>
        <v>4.0736828208456348</v>
      </c>
      <c r="AN557" s="4">
        <f t="shared" si="276"/>
        <v>58.773014991326818</v>
      </c>
      <c r="AO557" s="4">
        <f t="shared" si="277"/>
        <v>0.1558538376024261</v>
      </c>
      <c r="AP557" s="4">
        <f>Alternatives!$F$25+Alternatives!$F$26*J557+Alternatives!$F$27*K557+Alternatives!$F$28*G557+Alternatives!$F$29*O557</f>
        <v>4.4671766599634903</v>
      </c>
      <c r="AQ557" s="4">
        <f t="shared" si="278"/>
        <v>-0.23764000151542941</v>
      </c>
    </row>
    <row r="558" spans="1:43" x14ac:dyDescent="0.35">
      <c r="A558" s="2" t="s">
        <v>466</v>
      </c>
      <c r="B558" s="2" t="s">
        <v>462</v>
      </c>
      <c r="C558" s="2" t="s">
        <v>33</v>
      </c>
      <c r="D558" s="2">
        <v>67.032499999999999</v>
      </c>
      <c r="E558" s="2">
        <v>3500</v>
      </c>
      <c r="F558" s="2">
        <v>104</v>
      </c>
      <c r="G558" s="2">
        <v>46.6</v>
      </c>
      <c r="H558" s="2" t="s">
        <v>68</v>
      </c>
      <c r="I558" s="4">
        <f t="shared" si="248"/>
        <v>4.2051775764071664</v>
      </c>
      <c r="J558" s="4">
        <f t="shared" si="249"/>
        <v>8.1605182474775049</v>
      </c>
      <c r="K558" s="4">
        <f t="shared" si="250"/>
        <v>4.6443908991413725</v>
      </c>
      <c r="L558" s="2">
        <v>1</v>
      </c>
      <c r="M558" s="2">
        <v>0</v>
      </c>
      <c r="N558" s="4">
        <f t="shared" si="251"/>
        <v>46.6</v>
      </c>
      <c r="O558" s="4">
        <f t="shared" si="252"/>
        <v>1</v>
      </c>
      <c r="P558" s="4">
        <f t="shared" si="253"/>
        <v>1</v>
      </c>
      <c r="Q558" s="4">
        <f t="shared" si="254"/>
        <v>8.1605182474775049</v>
      </c>
      <c r="R558" s="4">
        <f t="shared" si="255"/>
        <v>4.6443908991413725</v>
      </c>
      <c r="S558" s="4">
        <f t="shared" si="256"/>
        <v>46.6</v>
      </c>
      <c r="T558" s="4">
        <f t="shared" si="257"/>
        <v>1</v>
      </c>
      <c r="U558" s="4">
        <f t="shared" si="258"/>
        <v>8.1605182474775049</v>
      </c>
      <c r="V558" s="4">
        <f t="shared" si="259"/>
        <v>4.6443908991413725</v>
      </c>
      <c r="W558" s="4">
        <f t="shared" si="260"/>
        <v>46.6</v>
      </c>
      <c r="X558" s="4">
        <f t="shared" si="261"/>
        <v>1</v>
      </c>
      <c r="Y558" s="4">
        <f t="shared" si="262"/>
        <v>8.1605182474775049</v>
      </c>
      <c r="Z558" s="4">
        <f t="shared" si="263"/>
        <v>4.6443908991413725</v>
      </c>
      <c r="AA558" s="4">
        <f t="shared" si="264"/>
        <v>46.6</v>
      </c>
      <c r="AB558" s="4">
        <f t="shared" si="265"/>
        <v>1</v>
      </c>
      <c r="AC558" s="4">
        <f t="shared" si="266"/>
        <v>0</v>
      </c>
      <c r="AD558" s="4">
        <f t="shared" si="267"/>
        <v>0</v>
      </c>
      <c r="AE558" s="4">
        <f t="shared" si="268"/>
        <v>0</v>
      </c>
      <c r="AF558" s="4">
        <f t="shared" si="269"/>
        <v>0</v>
      </c>
      <c r="AG558" s="4">
        <f t="shared" si="270"/>
        <v>8.1605182474775049</v>
      </c>
      <c r="AH558" s="4">
        <f t="shared" si="271"/>
        <v>1</v>
      </c>
      <c r="AI558" s="4">
        <f t="shared" si="272"/>
        <v>0</v>
      </c>
      <c r="AJ558" s="4">
        <f t="shared" si="273"/>
        <v>8.1605182474775049</v>
      </c>
      <c r="AK558" s="4">
        <f t="shared" si="274"/>
        <v>4.6443908991413725</v>
      </c>
      <c r="AL558" s="4">
        <f t="shared" si="275"/>
        <v>0</v>
      </c>
      <c r="AM558" s="4">
        <f>CER!$C$7+CER!$C$8*J558+CER!$C$9*K558+CER!$C$10*L558+CER!$C$11*M558</f>
        <v>4.0736828208456348</v>
      </c>
      <c r="AN558" s="4">
        <f t="shared" si="276"/>
        <v>58.773014991326818</v>
      </c>
      <c r="AO558" s="4">
        <f t="shared" si="277"/>
        <v>0.13149475556153156</v>
      </c>
      <c r="AP558" s="4">
        <f>Alternatives!$F$25+Alternatives!$F$26*J558+Alternatives!$F$27*K558+Alternatives!$F$28*G558+Alternatives!$F$29*O558</f>
        <v>4.4671766599634903</v>
      </c>
      <c r="AQ558" s="4">
        <f t="shared" si="278"/>
        <v>-0.26199908355632395</v>
      </c>
    </row>
    <row r="559" spans="1:43" x14ac:dyDescent="0.35">
      <c r="A559" s="2" t="s">
        <v>467</v>
      </c>
      <c r="B559" s="2" t="s">
        <v>462</v>
      </c>
      <c r="C559" s="2" t="s">
        <v>67</v>
      </c>
      <c r="D559" s="2">
        <v>40.534700000000001</v>
      </c>
      <c r="E559" s="2">
        <v>3000</v>
      </c>
      <c r="F559" s="2">
        <v>147</v>
      </c>
      <c r="G559" s="2">
        <v>44.2</v>
      </c>
      <c r="H559" s="2" t="s">
        <v>68</v>
      </c>
      <c r="I559" s="4">
        <f t="shared" si="248"/>
        <v>3.7021583974008112</v>
      </c>
      <c r="J559" s="4">
        <f t="shared" si="249"/>
        <v>8.0063675676502459</v>
      </c>
      <c r="K559" s="4">
        <f t="shared" si="250"/>
        <v>4.990432586778736</v>
      </c>
      <c r="L559" s="2">
        <v>0</v>
      </c>
      <c r="M559" s="2">
        <v>0</v>
      </c>
      <c r="N559" s="4">
        <f t="shared" si="251"/>
        <v>44.2</v>
      </c>
      <c r="O559" s="4">
        <f t="shared" si="252"/>
        <v>0</v>
      </c>
      <c r="P559" s="4">
        <f t="shared" si="253"/>
        <v>0</v>
      </c>
      <c r="Q559" s="4">
        <f t="shared" si="254"/>
        <v>8.0063675676502459</v>
      </c>
      <c r="R559" s="4">
        <f t="shared" si="255"/>
        <v>4.990432586778736</v>
      </c>
      <c r="S559" s="4">
        <f t="shared" si="256"/>
        <v>44.2</v>
      </c>
      <c r="T559" s="4">
        <f t="shared" si="257"/>
        <v>0</v>
      </c>
      <c r="U559" s="4">
        <f t="shared" si="258"/>
        <v>8.0063675676502459</v>
      </c>
      <c r="V559" s="4">
        <f t="shared" si="259"/>
        <v>4.990432586778736</v>
      </c>
      <c r="W559" s="4">
        <f t="shared" si="260"/>
        <v>44.2</v>
      </c>
      <c r="X559" s="4">
        <f t="shared" si="261"/>
        <v>0</v>
      </c>
      <c r="Y559" s="4">
        <f t="shared" si="262"/>
        <v>8.0063675676502459</v>
      </c>
      <c r="Z559" s="4">
        <f t="shared" si="263"/>
        <v>4.990432586778736</v>
      </c>
      <c r="AA559" s="4">
        <f t="shared" si="264"/>
        <v>44.2</v>
      </c>
      <c r="AB559" s="4">
        <f t="shared" si="265"/>
        <v>0</v>
      </c>
      <c r="AC559" s="4">
        <f t="shared" si="266"/>
        <v>0</v>
      </c>
      <c r="AD559" s="4">
        <f t="shared" si="267"/>
        <v>0</v>
      </c>
      <c r="AE559" s="4">
        <f t="shared" si="268"/>
        <v>0</v>
      </c>
      <c r="AF559" s="4">
        <f t="shared" si="269"/>
        <v>0</v>
      </c>
      <c r="AG559" s="4">
        <f t="shared" si="270"/>
        <v>8.0063675676502459</v>
      </c>
      <c r="AH559" s="4">
        <f t="shared" si="271"/>
        <v>0</v>
      </c>
      <c r="AI559" s="4">
        <f t="shared" si="272"/>
        <v>0</v>
      </c>
      <c r="AJ559" s="4">
        <f t="shared" si="273"/>
        <v>8.0063675676502459</v>
      </c>
      <c r="AK559" s="4">
        <f t="shared" si="274"/>
        <v>4.990432586778736</v>
      </c>
      <c r="AL559" s="4">
        <f t="shared" si="275"/>
        <v>0</v>
      </c>
      <c r="AM559" s="4">
        <f>CER!$C$7+CER!$C$8*J559+CER!$C$9*K559+CER!$C$10*L559+CER!$C$11*M559</f>
        <v>3.7920447640407828</v>
      </c>
      <c r="AN559" s="4">
        <f t="shared" si="276"/>
        <v>44.346986754266588</v>
      </c>
      <c r="AO559" s="4">
        <f t="shared" si="277"/>
        <v>-8.9886366639971627E-2</v>
      </c>
      <c r="AP559" s="4">
        <f>Alternatives!$F$25+Alternatives!$F$26*J559+Alternatives!$F$27*K559+Alternatives!$F$28*G559+Alternatives!$F$29*O559</f>
        <v>3.5045201384459803</v>
      </c>
      <c r="AQ559" s="4">
        <f t="shared" si="278"/>
        <v>0.19763825895483089</v>
      </c>
    </row>
    <row r="560" spans="1:43" x14ac:dyDescent="0.35">
      <c r="A560" s="2" t="s">
        <v>468</v>
      </c>
      <c r="B560" s="2" t="s">
        <v>462</v>
      </c>
      <c r="C560" s="2" t="s">
        <v>67</v>
      </c>
      <c r="D560" s="2">
        <v>42.916699999999999</v>
      </c>
      <c r="E560" s="2">
        <v>3000</v>
      </c>
      <c r="F560" s="2">
        <v>147</v>
      </c>
      <c r="G560" s="2">
        <v>43.9</v>
      </c>
      <c r="H560" s="2" t="s">
        <v>68</v>
      </c>
      <c r="I560" s="4">
        <f t="shared" si="248"/>
        <v>3.7592610275744631</v>
      </c>
      <c r="J560" s="4">
        <f t="shared" si="249"/>
        <v>8.0063675676502459</v>
      </c>
      <c r="K560" s="4">
        <f t="shared" si="250"/>
        <v>4.990432586778736</v>
      </c>
      <c r="L560" s="2">
        <v>0</v>
      </c>
      <c r="M560" s="2">
        <v>0</v>
      </c>
      <c r="N560" s="4">
        <f t="shared" si="251"/>
        <v>43.9</v>
      </c>
      <c r="O560" s="4">
        <f t="shared" si="252"/>
        <v>0</v>
      </c>
      <c r="P560" s="4">
        <f t="shared" si="253"/>
        <v>0</v>
      </c>
      <c r="Q560" s="4">
        <f t="shared" si="254"/>
        <v>8.0063675676502459</v>
      </c>
      <c r="R560" s="4">
        <f t="shared" si="255"/>
        <v>4.990432586778736</v>
      </c>
      <c r="S560" s="4">
        <f t="shared" si="256"/>
        <v>43.9</v>
      </c>
      <c r="T560" s="4">
        <f t="shared" si="257"/>
        <v>0</v>
      </c>
      <c r="U560" s="4">
        <f t="shared" si="258"/>
        <v>8.0063675676502459</v>
      </c>
      <c r="V560" s="4">
        <f t="shared" si="259"/>
        <v>4.990432586778736</v>
      </c>
      <c r="W560" s="4">
        <f t="shared" si="260"/>
        <v>43.9</v>
      </c>
      <c r="X560" s="4">
        <f t="shared" si="261"/>
        <v>0</v>
      </c>
      <c r="Y560" s="4">
        <f t="shared" si="262"/>
        <v>8.0063675676502459</v>
      </c>
      <c r="Z560" s="4">
        <f t="shared" si="263"/>
        <v>4.990432586778736</v>
      </c>
      <c r="AA560" s="4">
        <f t="shared" si="264"/>
        <v>43.9</v>
      </c>
      <c r="AB560" s="4">
        <f t="shared" si="265"/>
        <v>0</v>
      </c>
      <c r="AC560" s="4">
        <f t="shared" si="266"/>
        <v>0</v>
      </c>
      <c r="AD560" s="4">
        <f t="shared" si="267"/>
        <v>0</v>
      </c>
      <c r="AE560" s="4">
        <f t="shared" si="268"/>
        <v>0</v>
      </c>
      <c r="AF560" s="4">
        <f t="shared" si="269"/>
        <v>0</v>
      </c>
      <c r="AG560" s="4">
        <f t="shared" si="270"/>
        <v>8.0063675676502459</v>
      </c>
      <c r="AH560" s="4">
        <f t="shared" si="271"/>
        <v>0</v>
      </c>
      <c r="AI560" s="4">
        <f t="shared" si="272"/>
        <v>0</v>
      </c>
      <c r="AJ560" s="4">
        <f t="shared" si="273"/>
        <v>8.0063675676502459</v>
      </c>
      <c r="AK560" s="4">
        <f t="shared" si="274"/>
        <v>4.990432586778736</v>
      </c>
      <c r="AL560" s="4">
        <f t="shared" si="275"/>
        <v>0</v>
      </c>
      <c r="AM560" s="4">
        <f>CER!$C$7+CER!$C$8*J560+CER!$C$9*K560+CER!$C$10*L560+CER!$C$11*M560</f>
        <v>3.7920447640407828</v>
      </c>
      <c r="AN560" s="4">
        <f t="shared" si="276"/>
        <v>44.346986754266588</v>
      </c>
      <c r="AO560" s="4">
        <f t="shared" si="277"/>
        <v>-3.2783736466319713E-2</v>
      </c>
      <c r="AP560" s="4">
        <f>Alternatives!$F$25+Alternatives!$F$26*J560+Alternatives!$F$27*K560+Alternatives!$F$28*G560+Alternatives!$F$29*O560</f>
        <v>3.5084223328086486</v>
      </c>
      <c r="AQ560" s="4">
        <f t="shared" si="278"/>
        <v>0.25083869476581455</v>
      </c>
    </row>
    <row r="561" spans="1:43" x14ac:dyDescent="0.35">
      <c r="A561" s="2" t="s">
        <v>469</v>
      </c>
      <c r="B561" s="2" t="s">
        <v>462</v>
      </c>
      <c r="C561" s="2" t="s">
        <v>67</v>
      </c>
      <c r="D561" s="2">
        <v>41.5413</v>
      </c>
      <c r="E561" s="2">
        <v>3500</v>
      </c>
      <c r="F561" s="2">
        <v>180</v>
      </c>
      <c r="G561" s="2">
        <v>50.2</v>
      </c>
      <c r="H561" s="2" t="s">
        <v>68</v>
      </c>
      <c r="I561" s="4">
        <f t="shared" si="248"/>
        <v>3.7266881130955007</v>
      </c>
      <c r="J561" s="4">
        <f t="shared" si="249"/>
        <v>8.1605182474775049</v>
      </c>
      <c r="K561" s="4">
        <f t="shared" si="250"/>
        <v>5.1929568508902104</v>
      </c>
      <c r="L561" s="2">
        <v>0</v>
      </c>
      <c r="M561" s="2">
        <v>0</v>
      </c>
      <c r="N561" s="4">
        <f t="shared" si="251"/>
        <v>50.2</v>
      </c>
      <c r="O561" s="4">
        <f t="shared" si="252"/>
        <v>0</v>
      </c>
      <c r="P561" s="4">
        <f t="shared" si="253"/>
        <v>0</v>
      </c>
      <c r="Q561" s="4">
        <f t="shared" si="254"/>
        <v>8.1605182474775049</v>
      </c>
      <c r="R561" s="4">
        <f t="shared" si="255"/>
        <v>5.1929568508902104</v>
      </c>
      <c r="S561" s="4">
        <f t="shared" si="256"/>
        <v>50.2</v>
      </c>
      <c r="T561" s="4">
        <f t="shared" si="257"/>
        <v>0</v>
      </c>
      <c r="U561" s="4">
        <f t="shared" si="258"/>
        <v>8.1605182474775049</v>
      </c>
      <c r="V561" s="4">
        <f t="shared" si="259"/>
        <v>5.1929568508902104</v>
      </c>
      <c r="W561" s="4">
        <f t="shared" si="260"/>
        <v>50.2</v>
      </c>
      <c r="X561" s="4">
        <f t="shared" si="261"/>
        <v>0</v>
      </c>
      <c r="Y561" s="4">
        <f t="shared" si="262"/>
        <v>8.1605182474775049</v>
      </c>
      <c r="Z561" s="4">
        <f t="shared" si="263"/>
        <v>5.1929568508902104</v>
      </c>
      <c r="AA561" s="4">
        <f t="shared" si="264"/>
        <v>50.2</v>
      </c>
      <c r="AB561" s="4">
        <f t="shared" si="265"/>
        <v>0</v>
      </c>
      <c r="AC561" s="4">
        <f t="shared" si="266"/>
        <v>0</v>
      </c>
      <c r="AD561" s="4">
        <f t="shared" si="267"/>
        <v>0</v>
      </c>
      <c r="AE561" s="4">
        <f t="shared" si="268"/>
        <v>0</v>
      </c>
      <c r="AF561" s="4">
        <f t="shared" si="269"/>
        <v>0</v>
      </c>
      <c r="AG561" s="4">
        <f t="shared" si="270"/>
        <v>8.1605182474775049</v>
      </c>
      <c r="AH561" s="4">
        <f t="shared" si="271"/>
        <v>0</v>
      </c>
      <c r="AI561" s="4">
        <f t="shared" si="272"/>
        <v>0</v>
      </c>
      <c r="AJ561" s="4">
        <f t="shared" si="273"/>
        <v>8.1605182474775049</v>
      </c>
      <c r="AK561" s="4">
        <f t="shared" si="274"/>
        <v>5.1929568508902104</v>
      </c>
      <c r="AL561" s="4">
        <f t="shared" si="275"/>
        <v>0</v>
      </c>
      <c r="AM561" s="4">
        <f>CER!$C$7+CER!$C$8*J561+CER!$C$9*K561+CER!$C$10*L561+CER!$C$11*M561</f>
        <v>3.6475392913369911</v>
      </c>
      <c r="AN561" s="4">
        <f t="shared" si="276"/>
        <v>38.380107493220969</v>
      </c>
      <c r="AO561" s="4">
        <f t="shared" si="277"/>
        <v>7.914882175850968E-2</v>
      </c>
      <c r="AP561" s="4">
        <f>Alternatives!$F$25+Alternatives!$F$26*J561+Alternatives!$F$27*K561+Alternatives!$F$28*G561+Alternatives!$F$29*O561</f>
        <v>3.429631530886712</v>
      </c>
      <c r="AQ561" s="4">
        <f t="shared" si="278"/>
        <v>0.29705658220878872</v>
      </c>
    </row>
    <row r="562" spans="1:43" x14ac:dyDescent="0.35">
      <c r="A562" s="2" t="s">
        <v>469</v>
      </c>
      <c r="B562" s="2" t="s">
        <v>462</v>
      </c>
      <c r="C562" s="2" t="s">
        <v>67</v>
      </c>
      <c r="D562" s="2">
        <v>35.341000000000001</v>
      </c>
      <c r="E562" s="2">
        <v>4000</v>
      </c>
      <c r="F562" s="2">
        <v>290</v>
      </c>
      <c r="G562" s="2">
        <v>50.2</v>
      </c>
      <c r="H562" s="2" t="s">
        <v>68</v>
      </c>
      <c r="I562" s="4">
        <f t="shared" si="248"/>
        <v>3.5650437630390317</v>
      </c>
      <c r="J562" s="4">
        <f t="shared" si="249"/>
        <v>8.2940496401020276</v>
      </c>
      <c r="K562" s="4">
        <f t="shared" si="250"/>
        <v>5.6698809229805196</v>
      </c>
      <c r="L562" s="2">
        <v>0</v>
      </c>
      <c r="M562" s="2">
        <v>0</v>
      </c>
      <c r="N562" s="4">
        <f t="shared" si="251"/>
        <v>50.2</v>
      </c>
      <c r="O562" s="4">
        <f t="shared" si="252"/>
        <v>0</v>
      </c>
      <c r="P562" s="4">
        <f t="shared" si="253"/>
        <v>0</v>
      </c>
      <c r="Q562" s="4">
        <f t="shared" si="254"/>
        <v>8.2940496401020276</v>
      </c>
      <c r="R562" s="4">
        <f t="shared" si="255"/>
        <v>5.6698809229805196</v>
      </c>
      <c r="S562" s="4">
        <f t="shared" si="256"/>
        <v>50.2</v>
      </c>
      <c r="T562" s="4">
        <f t="shared" si="257"/>
        <v>0</v>
      </c>
      <c r="U562" s="4">
        <f t="shared" si="258"/>
        <v>8.2940496401020276</v>
      </c>
      <c r="V562" s="4">
        <f t="shared" si="259"/>
        <v>5.6698809229805196</v>
      </c>
      <c r="W562" s="4">
        <f t="shared" si="260"/>
        <v>50.2</v>
      </c>
      <c r="X562" s="4">
        <f t="shared" si="261"/>
        <v>0</v>
      </c>
      <c r="Y562" s="4">
        <f t="shared" si="262"/>
        <v>8.2940496401020276</v>
      </c>
      <c r="Z562" s="4">
        <f t="shared" si="263"/>
        <v>5.6698809229805196</v>
      </c>
      <c r="AA562" s="4">
        <f t="shared" si="264"/>
        <v>50.2</v>
      </c>
      <c r="AB562" s="4">
        <f t="shared" si="265"/>
        <v>0</v>
      </c>
      <c r="AC562" s="4">
        <f t="shared" si="266"/>
        <v>0</v>
      </c>
      <c r="AD562" s="4">
        <f t="shared" si="267"/>
        <v>0</v>
      </c>
      <c r="AE562" s="4">
        <f t="shared" si="268"/>
        <v>0</v>
      </c>
      <c r="AF562" s="4">
        <f t="shared" si="269"/>
        <v>0</v>
      </c>
      <c r="AG562" s="4">
        <f t="shared" si="270"/>
        <v>8.2940496401020276</v>
      </c>
      <c r="AH562" s="4">
        <f t="shared" si="271"/>
        <v>0</v>
      </c>
      <c r="AI562" s="4">
        <f t="shared" si="272"/>
        <v>0</v>
      </c>
      <c r="AJ562" s="4">
        <f t="shared" si="273"/>
        <v>8.2940496401020276</v>
      </c>
      <c r="AK562" s="4">
        <f t="shared" si="274"/>
        <v>5.6698809229805196</v>
      </c>
      <c r="AL562" s="4">
        <f t="shared" si="275"/>
        <v>0</v>
      </c>
      <c r="AM562" s="4">
        <f>CER!$C$7+CER!$C$8*J562+CER!$C$9*K562+CER!$C$10*L562+CER!$C$11*M562</f>
        <v>3.4111302737498415</v>
      </c>
      <c r="AN562" s="4">
        <f t="shared" si="276"/>
        <v>30.299471610013143</v>
      </c>
      <c r="AO562" s="4">
        <f t="shared" si="277"/>
        <v>0.15391348928919024</v>
      </c>
      <c r="AP562" s="4">
        <f>Alternatives!$F$25+Alternatives!$F$26*J562+Alternatives!$F$27*K562+Alternatives!$F$28*G562+Alternatives!$F$29*O562</f>
        <v>3.3521353774130977</v>
      </c>
      <c r="AQ562" s="4">
        <f t="shared" si="278"/>
        <v>0.21290838562593395</v>
      </c>
    </row>
    <row r="563" spans="1:43" x14ac:dyDescent="0.35">
      <c r="A563" s="2" t="s">
        <v>470</v>
      </c>
      <c r="B563" s="2" t="s">
        <v>462</v>
      </c>
      <c r="C563" s="2" t="s">
        <v>67</v>
      </c>
      <c r="D563" s="2">
        <v>38.232599999999998</v>
      </c>
      <c r="E563" s="2">
        <v>3500</v>
      </c>
      <c r="F563" s="2">
        <v>180</v>
      </c>
      <c r="G563" s="2">
        <v>49.7</v>
      </c>
      <c r="H563" s="2" t="s">
        <v>68</v>
      </c>
      <c r="I563" s="4">
        <f t="shared" si="248"/>
        <v>3.6436885548124742</v>
      </c>
      <c r="J563" s="4">
        <f t="shared" si="249"/>
        <v>8.1605182474775049</v>
      </c>
      <c r="K563" s="4">
        <f t="shared" si="250"/>
        <v>5.1929568508902104</v>
      </c>
      <c r="L563" s="2">
        <v>0</v>
      </c>
      <c r="M563" s="2">
        <v>0</v>
      </c>
      <c r="N563" s="4">
        <f t="shared" si="251"/>
        <v>49.7</v>
      </c>
      <c r="O563" s="4">
        <f t="shared" si="252"/>
        <v>0</v>
      </c>
      <c r="P563" s="4">
        <f t="shared" si="253"/>
        <v>0</v>
      </c>
      <c r="Q563" s="4">
        <f t="shared" si="254"/>
        <v>8.1605182474775049</v>
      </c>
      <c r="R563" s="4">
        <f t="shared" si="255"/>
        <v>5.1929568508902104</v>
      </c>
      <c r="S563" s="4">
        <f t="shared" si="256"/>
        <v>49.7</v>
      </c>
      <c r="T563" s="4">
        <f t="shared" si="257"/>
        <v>0</v>
      </c>
      <c r="U563" s="4">
        <f t="shared" si="258"/>
        <v>8.1605182474775049</v>
      </c>
      <c r="V563" s="4">
        <f t="shared" si="259"/>
        <v>5.1929568508902104</v>
      </c>
      <c r="W563" s="4">
        <f t="shared" si="260"/>
        <v>49.7</v>
      </c>
      <c r="X563" s="4">
        <f t="shared" si="261"/>
        <v>0</v>
      </c>
      <c r="Y563" s="4">
        <f t="shared" si="262"/>
        <v>8.1605182474775049</v>
      </c>
      <c r="Z563" s="4">
        <f t="shared" si="263"/>
        <v>5.1929568508902104</v>
      </c>
      <c r="AA563" s="4">
        <f t="shared" si="264"/>
        <v>49.7</v>
      </c>
      <c r="AB563" s="4">
        <f t="shared" si="265"/>
        <v>0</v>
      </c>
      <c r="AC563" s="4">
        <f t="shared" si="266"/>
        <v>0</v>
      </c>
      <c r="AD563" s="4">
        <f t="shared" si="267"/>
        <v>0</v>
      </c>
      <c r="AE563" s="4">
        <f t="shared" si="268"/>
        <v>0</v>
      </c>
      <c r="AF563" s="4">
        <f t="shared" si="269"/>
        <v>0</v>
      </c>
      <c r="AG563" s="4">
        <f t="shared" si="270"/>
        <v>8.1605182474775049</v>
      </c>
      <c r="AH563" s="4">
        <f t="shared" si="271"/>
        <v>0</v>
      </c>
      <c r="AI563" s="4">
        <f t="shared" si="272"/>
        <v>0</v>
      </c>
      <c r="AJ563" s="4">
        <f t="shared" si="273"/>
        <v>8.1605182474775049</v>
      </c>
      <c r="AK563" s="4">
        <f t="shared" si="274"/>
        <v>5.1929568508902104</v>
      </c>
      <c r="AL563" s="4">
        <f t="shared" si="275"/>
        <v>0</v>
      </c>
      <c r="AM563" s="4">
        <f>CER!$C$7+CER!$C$8*J563+CER!$C$9*K563+CER!$C$10*L563+CER!$C$11*M563</f>
        <v>3.6475392913369911</v>
      </c>
      <c r="AN563" s="4">
        <f t="shared" si="276"/>
        <v>38.380107493220969</v>
      </c>
      <c r="AO563" s="4">
        <f t="shared" si="277"/>
        <v>-3.8507365245168401E-3</v>
      </c>
      <c r="AP563" s="4">
        <f>Alternatives!$F$25+Alternatives!$F$26*J563+Alternatives!$F$27*K563+Alternatives!$F$28*G563+Alternatives!$F$29*O563</f>
        <v>3.4361351881578259</v>
      </c>
      <c r="AQ563" s="4">
        <f t="shared" si="278"/>
        <v>0.2075533666546483</v>
      </c>
    </row>
    <row r="564" spans="1:43" x14ac:dyDescent="0.35">
      <c r="A564" s="2" t="s">
        <v>471</v>
      </c>
      <c r="B564" s="2" t="s">
        <v>462</v>
      </c>
      <c r="C564" s="2" t="s">
        <v>67</v>
      </c>
      <c r="D564" s="2">
        <v>47.416600000000003</v>
      </c>
      <c r="E564" s="2">
        <v>3000</v>
      </c>
      <c r="F564" s="2">
        <v>147</v>
      </c>
      <c r="G564" s="2">
        <v>45.5</v>
      </c>
      <c r="H564" s="2" t="s">
        <v>68</v>
      </c>
      <c r="I564" s="4">
        <f t="shared" si="248"/>
        <v>3.8589723783619467</v>
      </c>
      <c r="J564" s="4">
        <f t="shared" si="249"/>
        <v>8.0063675676502459</v>
      </c>
      <c r="K564" s="4">
        <f t="shared" si="250"/>
        <v>4.990432586778736</v>
      </c>
      <c r="L564" s="2">
        <v>0</v>
      </c>
      <c r="M564" s="2">
        <v>0</v>
      </c>
      <c r="N564" s="4">
        <f t="shared" si="251"/>
        <v>45.5</v>
      </c>
      <c r="O564" s="4">
        <f t="shared" si="252"/>
        <v>0</v>
      </c>
      <c r="P564" s="4">
        <f t="shared" si="253"/>
        <v>0</v>
      </c>
      <c r="Q564" s="4">
        <f t="shared" si="254"/>
        <v>8.0063675676502459</v>
      </c>
      <c r="R564" s="4">
        <f t="shared" si="255"/>
        <v>4.990432586778736</v>
      </c>
      <c r="S564" s="4">
        <f t="shared" si="256"/>
        <v>45.5</v>
      </c>
      <c r="T564" s="4">
        <f t="shared" si="257"/>
        <v>0</v>
      </c>
      <c r="U564" s="4">
        <f t="shared" si="258"/>
        <v>8.0063675676502459</v>
      </c>
      <c r="V564" s="4">
        <f t="shared" si="259"/>
        <v>4.990432586778736</v>
      </c>
      <c r="W564" s="4">
        <f t="shared" si="260"/>
        <v>45.5</v>
      </c>
      <c r="X564" s="4">
        <f t="shared" si="261"/>
        <v>0</v>
      </c>
      <c r="Y564" s="4">
        <f t="shared" si="262"/>
        <v>8.0063675676502459</v>
      </c>
      <c r="Z564" s="4">
        <f t="shared" si="263"/>
        <v>4.990432586778736</v>
      </c>
      <c r="AA564" s="4">
        <f t="shared" si="264"/>
        <v>45.5</v>
      </c>
      <c r="AB564" s="4">
        <f t="shared" si="265"/>
        <v>0</v>
      </c>
      <c r="AC564" s="4">
        <f t="shared" si="266"/>
        <v>0</v>
      </c>
      <c r="AD564" s="4">
        <f t="shared" si="267"/>
        <v>0</v>
      </c>
      <c r="AE564" s="4">
        <f t="shared" si="268"/>
        <v>0</v>
      </c>
      <c r="AF564" s="4">
        <f t="shared" si="269"/>
        <v>0</v>
      </c>
      <c r="AG564" s="4">
        <f t="shared" si="270"/>
        <v>8.0063675676502459</v>
      </c>
      <c r="AH564" s="4">
        <f t="shared" si="271"/>
        <v>0</v>
      </c>
      <c r="AI564" s="4">
        <f t="shared" si="272"/>
        <v>0</v>
      </c>
      <c r="AJ564" s="4">
        <f t="shared" si="273"/>
        <v>8.0063675676502459</v>
      </c>
      <c r="AK564" s="4">
        <f t="shared" si="274"/>
        <v>4.990432586778736</v>
      </c>
      <c r="AL564" s="4">
        <f t="shared" si="275"/>
        <v>0</v>
      </c>
      <c r="AM564" s="4">
        <f>CER!$C$7+CER!$C$8*J564+CER!$C$9*K564+CER!$C$10*L564+CER!$C$11*M564</f>
        <v>3.7920447640407828</v>
      </c>
      <c r="AN564" s="4">
        <f t="shared" si="276"/>
        <v>44.346986754266588</v>
      </c>
      <c r="AO564" s="4">
        <f t="shared" si="277"/>
        <v>6.6927614321163897E-2</v>
      </c>
      <c r="AP564" s="4">
        <f>Alternatives!$F$25+Alternatives!$F$26*J564+Alternatives!$F$27*K564+Alternatives!$F$28*G564+Alternatives!$F$29*O564</f>
        <v>3.4876106295410834</v>
      </c>
      <c r="AQ564" s="4">
        <f t="shared" si="278"/>
        <v>0.37136174882086337</v>
      </c>
    </row>
    <row r="565" spans="1:43" x14ac:dyDescent="0.35">
      <c r="A565" s="2" t="s">
        <v>472</v>
      </c>
      <c r="B565" s="2" t="s">
        <v>462</v>
      </c>
      <c r="C565" s="2" t="s">
        <v>67</v>
      </c>
      <c r="D565" s="2">
        <v>34.053400000000003</v>
      </c>
      <c r="E565" s="2">
        <v>3000</v>
      </c>
      <c r="F565" s="2">
        <v>201</v>
      </c>
      <c r="G565" s="2">
        <v>45.3</v>
      </c>
      <c r="H565" s="2" t="s">
        <v>68</v>
      </c>
      <c r="I565" s="4">
        <f t="shared" si="248"/>
        <v>3.5279298807676489</v>
      </c>
      <c r="J565" s="4">
        <f t="shared" si="249"/>
        <v>8.0063675676502459</v>
      </c>
      <c r="K565" s="4">
        <f t="shared" si="250"/>
        <v>5.3033049080590757</v>
      </c>
      <c r="L565" s="2">
        <v>0</v>
      </c>
      <c r="M565" s="2">
        <v>0</v>
      </c>
      <c r="N565" s="4">
        <f t="shared" si="251"/>
        <v>45.3</v>
      </c>
      <c r="O565" s="4">
        <f t="shared" si="252"/>
        <v>0</v>
      </c>
      <c r="P565" s="4">
        <f t="shared" si="253"/>
        <v>0</v>
      </c>
      <c r="Q565" s="4">
        <f t="shared" si="254"/>
        <v>8.0063675676502459</v>
      </c>
      <c r="R565" s="4">
        <f t="shared" si="255"/>
        <v>5.3033049080590757</v>
      </c>
      <c r="S565" s="4">
        <f t="shared" si="256"/>
        <v>45.3</v>
      </c>
      <c r="T565" s="4">
        <f t="shared" si="257"/>
        <v>0</v>
      </c>
      <c r="U565" s="4">
        <f t="shared" si="258"/>
        <v>8.0063675676502459</v>
      </c>
      <c r="V565" s="4">
        <f t="shared" si="259"/>
        <v>5.3033049080590757</v>
      </c>
      <c r="W565" s="4">
        <f t="shared" si="260"/>
        <v>45.3</v>
      </c>
      <c r="X565" s="4">
        <f t="shared" si="261"/>
        <v>0</v>
      </c>
      <c r="Y565" s="4">
        <f t="shared" si="262"/>
        <v>8.0063675676502459</v>
      </c>
      <c r="Z565" s="4">
        <f t="shared" si="263"/>
        <v>5.3033049080590757</v>
      </c>
      <c r="AA565" s="4">
        <f t="shared" si="264"/>
        <v>45.3</v>
      </c>
      <c r="AB565" s="4">
        <f t="shared" si="265"/>
        <v>0</v>
      </c>
      <c r="AC565" s="4">
        <f t="shared" si="266"/>
        <v>0</v>
      </c>
      <c r="AD565" s="4">
        <f t="shared" si="267"/>
        <v>0</v>
      </c>
      <c r="AE565" s="4">
        <f t="shared" si="268"/>
        <v>0</v>
      </c>
      <c r="AF565" s="4">
        <f t="shared" si="269"/>
        <v>0</v>
      </c>
      <c r="AG565" s="4">
        <f t="shared" si="270"/>
        <v>8.0063675676502459</v>
      </c>
      <c r="AH565" s="4">
        <f t="shared" si="271"/>
        <v>0</v>
      </c>
      <c r="AI565" s="4">
        <f t="shared" si="272"/>
        <v>0</v>
      </c>
      <c r="AJ565" s="4">
        <f t="shared" si="273"/>
        <v>8.0063675676502459</v>
      </c>
      <c r="AK565" s="4">
        <f t="shared" si="274"/>
        <v>5.3033049080590757</v>
      </c>
      <c r="AL565" s="4">
        <f t="shared" si="275"/>
        <v>0</v>
      </c>
      <c r="AM565" s="4">
        <f>CER!$C$7+CER!$C$8*J565+CER!$C$9*K565+CER!$C$10*L565+CER!$C$11*M565</f>
        <v>3.6766124878613016</v>
      </c>
      <c r="AN565" s="4">
        <f t="shared" si="276"/>
        <v>39.512318650668</v>
      </c>
      <c r="AO565" s="4">
        <f t="shared" si="277"/>
        <v>-0.14868260709365266</v>
      </c>
      <c r="AP565" s="4">
        <f>Alternatives!$F$25+Alternatives!$F$26*J565+Alternatives!$F$27*K565+Alternatives!$F$28*G565+Alternatives!$F$29*O565</f>
        <v>3.4069536490737709</v>
      </c>
      <c r="AQ565" s="4">
        <f t="shared" si="278"/>
        <v>0.12097623169387806</v>
      </c>
    </row>
    <row r="566" spans="1:43" x14ac:dyDescent="0.35">
      <c r="A566" s="2" t="s">
        <v>472</v>
      </c>
      <c r="B566" s="2" t="s">
        <v>462</v>
      </c>
      <c r="C566" s="2" t="s">
        <v>67</v>
      </c>
      <c r="D566" s="2">
        <v>39.667299999999997</v>
      </c>
      <c r="E566" s="2">
        <v>3500</v>
      </c>
      <c r="F566" s="2">
        <v>201</v>
      </c>
      <c r="G566" s="2">
        <v>45.3</v>
      </c>
      <c r="H566" s="2" t="s">
        <v>68</v>
      </c>
      <c r="I566" s="4">
        <f t="shared" si="248"/>
        <v>3.6805271707025127</v>
      </c>
      <c r="J566" s="4">
        <f t="shared" si="249"/>
        <v>8.1605182474775049</v>
      </c>
      <c r="K566" s="4">
        <f t="shared" si="250"/>
        <v>5.3033049080590757</v>
      </c>
      <c r="L566" s="2">
        <v>0</v>
      </c>
      <c r="M566" s="2">
        <v>0</v>
      </c>
      <c r="N566" s="4">
        <f t="shared" si="251"/>
        <v>45.3</v>
      </c>
      <c r="O566" s="4">
        <f t="shared" si="252"/>
        <v>0</v>
      </c>
      <c r="P566" s="4">
        <f t="shared" si="253"/>
        <v>0</v>
      </c>
      <c r="Q566" s="4">
        <f t="shared" si="254"/>
        <v>8.1605182474775049</v>
      </c>
      <c r="R566" s="4">
        <f t="shared" si="255"/>
        <v>5.3033049080590757</v>
      </c>
      <c r="S566" s="4">
        <f t="shared" si="256"/>
        <v>45.3</v>
      </c>
      <c r="T566" s="4">
        <f t="shared" si="257"/>
        <v>0</v>
      </c>
      <c r="U566" s="4">
        <f t="shared" si="258"/>
        <v>8.1605182474775049</v>
      </c>
      <c r="V566" s="4">
        <f t="shared" si="259"/>
        <v>5.3033049080590757</v>
      </c>
      <c r="W566" s="4">
        <f t="shared" si="260"/>
        <v>45.3</v>
      </c>
      <c r="X566" s="4">
        <f t="shared" si="261"/>
        <v>0</v>
      </c>
      <c r="Y566" s="4">
        <f t="shared" si="262"/>
        <v>8.1605182474775049</v>
      </c>
      <c r="Z566" s="4">
        <f t="shared" si="263"/>
        <v>5.3033049080590757</v>
      </c>
      <c r="AA566" s="4">
        <f t="shared" si="264"/>
        <v>45.3</v>
      </c>
      <c r="AB566" s="4">
        <f t="shared" si="265"/>
        <v>0</v>
      </c>
      <c r="AC566" s="4">
        <f t="shared" si="266"/>
        <v>0</v>
      </c>
      <c r="AD566" s="4">
        <f t="shared" si="267"/>
        <v>0</v>
      </c>
      <c r="AE566" s="4">
        <f t="shared" si="268"/>
        <v>0</v>
      </c>
      <c r="AF566" s="4">
        <f t="shared" si="269"/>
        <v>0</v>
      </c>
      <c r="AG566" s="4">
        <f t="shared" si="270"/>
        <v>8.1605182474775049</v>
      </c>
      <c r="AH566" s="4">
        <f t="shared" si="271"/>
        <v>0</v>
      </c>
      <c r="AI566" s="4">
        <f t="shared" si="272"/>
        <v>0</v>
      </c>
      <c r="AJ566" s="4">
        <f t="shared" si="273"/>
        <v>8.1605182474775049</v>
      </c>
      <c r="AK566" s="4">
        <f t="shared" si="274"/>
        <v>5.3033049080590757</v>
      </c>
      <c r="AL566" s="4">
        <f t="shared" si="275"/>
        <v>0</v>
      </c>
      <c r="AM566" s="4">
        <f>CER!$C$7+CER!$C$8*J566+CER!$C$9*K566+CER!$C$10*L566+CER!$C$11*M566</f>
        <v>3.6068270693070583</v>
      </c>
      <c r="AN566" s="4">
        <f t="shared" si="276"/>
        <v>36.848947972270025</v>
      </c>
      <c r="AO566" s="4">
        <f t="shared" si="277"/>
        <v>7.3700101395454354E-2</v>
      </c>
      <c r="AP566" s="4">
        <f>Alternatives!$F$25+Alternatives!$F$26*J566+Alternatives!$F$27*K566+Alternatives!$F$28*G566+Alternatives!$F$29*O566</f>
        <v>3.4640026541915208</v>
      </c>
      <c r="AQ566" s="4">
        <f t="shared" si="278"/>
        <v>0.21652451651099192</v>
      </c>
    </row>
    <row r="567" spans="1:43" x14ac:dyDescent="0.35">
      <c r="A567" s="2" t="s">
        <v>472</v>
      </c>
      <c r="B567" s="2" t="s">
        <v>462</v>
      </c>
      <c r="C567" s="2" t="s">
        <v>67</v>
      </c>
      <c r="D567" s="2">
        <v>44.300600000000003</v>
      </c>
      <c r="E567" s="2">
        <v>3000</v>
      </c>
      <c r="F567" s="2">
        <v>147</v>
      </c>
      <c r="G567" s="2">
        <v>45.3</v>
      </c>
      <c r="H567" s="2" t="s">
        <v>68</v>
      </c>
      <c r="I567" s="4">
        <f t="shared" si="248"/>
        <v>3.7909982209774293</v>
      </c>
      <c r="J567" s="4">
        <f t="shared" si="249"/>
        <v>8.0063675676502459</v>
      </c>
      <c r="K567" s="4">
        <f t="shared" si="250"/>
        <v>4.990432586778736</v>
      </c>
      <c r="L567" s="2">
        <v>0</v>
      </c>
      <c r="M567" s="2">
        <v>0</v>
      </c>
      <c r="N567" s="4">
        <f t="shared" si="251"/>
        <v>45.3</v>
      </c>
      <c r="O567" s="4">
        <f t="shared" si="252"/>
        <v>0</v>
      </c>
      <c r="P567" s="4">
        <f t="shared" si="253"/>
        <v>0</v>
      </c>
      <c r="Q567" s="4">
        <f t="shared" si="254"/>
        <v>8.0063675676502459</v>
      </c>
      <c r="R567" s="4">
        <f t="shared" si="255"/>
        <v>4.990432586778736</v>
      </c>
      <c r="S567" s="4">
        <f t="shared" si="256"/>
        <v>45.3</v>
      </c>
      <c r="T567" s="4">
        <f t="shared" si="257"/>
        <v>0</v>
      </c>
      <c r="U567" s="4">
        <f t="shared" si="258"/>
        <v>8.0063675676502459</v>
      </c>
      <c r="V567" s="4">
        <f t="shared" si="259"/>
        <v>4.990432586778736</v>
      </c>
      <c r="W567" s="4">
        <f t="shared" si="260"/>
        <v>45.3</v>
      </c>
      <c r="X567" s="4">
        <f t="shared" si="261"/>
        <v>0</v>
      </c>
      <c r="Y567" s="4">
        <f t="shared" si="262"/>
        <v>8.0063675676502459</v>
      </c>
      <c r="Z567" s="4">
        <f t="shared" si="263"/>
        <v>4.990432586778736</v>
      </c>
      <c r="AA567" s="4">
        <f t="shared" si="264"/>
        <v>45.3</v>
      </c>
      <c r="AB567" s="4">
        <f t="shared" si="265"/>
        <v>0</v>
      </c>
      <c r="AC567" s="4">
        <f t="shared" si="266"/>
        <v>0</v>
      </c>
      <c r="AD567" s="4">
        <f t="shared" si="267"/>
        <v>0</v>
      </c>
      <c r="AE567" s="4">
        <f t="shared" si="268"/>
        <v>0</v>
      </c>
      <c r="AF567" s="4">
        <f t="shared" si="269"/>
        <v>0</v>
      </c>
      <c r="AG567" s="4">
        <f t="shared" si="270"/>
        <v>8.0063675676502459</v>
      </c>
      <c r="AH567" s="4">
        <f t="shared" si="271"/>
        <v>0</v>
      </c>
      <c r="AI567" s="4">
        <f t="shared" si="272"/>
        <v>0</v>
      </c>
      <c r="AJ567" s="4">
        <f t="shared" si="273"/>
        <v>8.0063675676502459</v>
      </c>
      <c r="AK567" s="4">
        <f t="shared" si="274"/>
        <v>4.990432586778736</v>
      </c>
      <c r="AL567" s="4">
        <f t="shared" si="275"/>
        <v>0</v>
      </c>
      <c r="AM567" s="4">
        <f>CER!$C$7+CER!$C$8*J567+CER!$C$9*K567+CER!$C$10*L567+CER!$C$11*M567</f>
        <v>3.7920447640407828</v>
      </c>
      <c r="AN567" s="4">
        <f t="shared" si="276"/>
        <v>44.346986754266588</v>
      </c>
      <c r="AO567" s="4">
        <f t="shared" si="277"/>
        <v>-1.0465430633535E-3</v>
      </c>
      <c r="AP567" s="4">
        <f>Alternatives!$F$25+Alternatives!$F$26*J567+Alternatives!$F$27*K567+Alternatives!$F$28*G567+Alternatives!$F$29*O567</f>
        <v>3.490212092449529</v>
      </c>
      <c r="AQ567" s="4">
        <f t="shared" si="278"/>
        <v>0.30078612852790032</v>
      </c>
    </row>
    <row r="568" spans="1:43" x14ac:dyDescent="0.35">
      <c r="A568" s="2" t="s">
        <v>473</v>
      </c>
      <c r="B568" s="2" t="s">
        <v>462</v>
      </c>
      <c r="C568" s="2" t="s">
        <v>67</v>
      </c>
      <c r="D568" s="2">
        <v>28.845099999999999</v>
      </c>
      <c r="E568" s="2">
        <v>4500</v>
      </c>
      <c r="F568" s="2">
        <v>290</v>
      </c>
      <c r="G568" s="2">
        <v>57.9</v>
      </c>
      <c r="H568" s="2" t="s">
        <v>68</v>
      </c>
      <c r="I568" s="4">
        <f t="shared" si="248"/>
        <v>3.3619401345081821</v>
      </c>
      <c r="J568" s="4">
        <f t="shared" si="249"/>
        <v>8.4118326757584114</v>
      </c>
      <c r="K568" s="4">
        <f t="shared" si="250"/>
        <v>5.6698809229805196</v>
      </c>
      <c r="L568" s="2">
        <v>0</v>
      </c>
      <c r="M568" s="2">
        <v>0</v>
      </c>
      <c r="N568" s="4">
        <f t="shared" si="251"/>
        <v>57.9</v>
      </c>
      <c r="O568" s="4">
        <f t="shared" si="252"/>
        <v>0</v>
      </c>
      <c r="P568" s="4">
        <f t="shared" si="253"/>
        <v>0</v>
      </c>
      <c r="Q568" s="4">
        <f t="shared" si="254"/>
        <v>8.4118326757584114</v>
      </c>
      <c r="R568" s="4">
        <f t="shared" si="255"/>
        <v>5.6698809229805196</v>
      </c>
      <c r="S568" s="4">
        <f t="shared" si="256"/>
        <v>57.9</v>
      </c>
      <c r="T568" s="4">
        <f t="shared" si="257"/>
        <v>0</v>
      </c>
      <c r="U568" s="4">
        <f t="shared" si="258"/>
        <v>8.4118326757584114</v>
      </c>
      <c r="V568" s="4">
        <f t="shared" si="259"/>
        <v>5.6698809229805196</v>
      </c>
      <c r="W568" s="4">
        <f t="shared" si="260"/>
        <v>57.9</v>
      </c>
      <c r="X568" s="4">
        <f t="shared" si="261"/>
        <v>0</v>
      </c>
      <c r="Y568" s="4">
        <f t="shared" si="262"/>
        <v>8.4118326757584114</v>
      </c>
      <c r="Z568" s="4">
        <f t="shared" si="263"/>
        <v>5.6698809229805196</v>
      </c>
      <c r="AA568" s="4">
        <f t="shared" si="264"/>
        <v>57.9</v>
      </c>
      <c r="AB568" s="4">
        <f t="shared" si="265"/>
        <v>0</v>
      </c>
      <c r="AC568" s="4">
        <f t="shared" si="266"/>
        <v>0</v>
      </c>
      <c r="AD568" s="4">
        <f t="shared" si="267"/>
        <v>0</v>
      </c>
      <c r="AE568" s="4">
        <f t="shared" si="268"/>
        <v>0</v>
      </c>
      <c r="AF568" s="4">
        <f t="shared" si="269"/>
        <v>0</v>
      </c>
      <c r="AG568" s="4">
        <f t="shared" si="270"/>
        <v>8.4118326757584114</v>
      </c>
      <c r="AH568" s="4">
        <f t="shared" si="271"/>
        <v>0</v>
      </c>
      <c r="AI568" s="4">
        <f t="shared" si="272"/>
        <v>0</v>
      </c>
      <c r="AJ568" s="4">
        <f t="shared" si="273"/>
        <v>8.4118326757584114</v>
      </c>
      <c r="AK568" s="4">
        <f t="shared" si="274"/>
        <v>5.6698809229805196</v>
      </c>
      <c r="AL568" s="4">
        <f t="shared" si="275"/>
        <v>0</v>
      </c>
      <c r="AM568" s="4">
        <f>CER!$C$7+CER!$C$8*J568+CER!$C$9*K568+CER!$C$10*L568+CER!$C$11*M568</f>
        <v>3.3578088193710416</v>
      </c>
      <c r="AN568" s="4">
        <f t="shared" si="276"/>
        <v>28.726177623789034</v>
      </c>
      <c r="AO568" s="4">
        <f t="shared" si="277"/>
        <v>4.1313151371404899E-3</v>
      </c>
      <c r="AP568" s="4">
        <f>Alternatives!$F$25+Alternatives!$F$26*J568+Alternatives!$F$27*K568+Alternatives!$F$28*G568+Alternatives!$F$29*O568</f>
        <v>3.2955689053917316</v>
      </c>
      <c r="AQ568" s="4">
        <f t="shared" si="278"/>
        <v>6.6371229116450436E-2</v>
      </c>
    </row>
    <row r="569" spans="1:43" x14ac:dyDescent="0.35">
      <c r="A569" s="2" t="s">
        <v>474</v>
      </c>
      <c r="B569" s="2" t="s">
        <v>462</v>
      </c>
      <c r="C569" s="2" t="s">
        <v>67</v>
      </c>
      <c r="D569" s="2">
        <v>32.7866</v>
      </c>
      <c r="E569" s="2">
        <v>4000</v>
      </c>
      <c r="F569" s="2">
        <v>188</v>
      </c>
      <c r="G569" s="2">
        <v>48.2</v>
      </c>
      <c r="H569" s="2" t="s">
        <v>68</v>
      </c>
      <c r="I569" s="4">
        <f t="shared" si="248"/>
        <v>3.490019895330926</v>
      </c>
      <c r="J569" s="4">
        <f t="shared" si="249"/>
        <v>8.2940496401020276</v>
      </c>
      <c r="K569" s="4">
        <f t="shared" si="250"/>
        <v>5.2364419628299492</v>
      </c>
      <c r="L569" s="2">
        <v>0</v>
      </c>
      <c r="M569" s="2">
        <v>0</v>
      </c>
      <c r="N569" s="4">
        <f t="shared" si="251"/>
        <v>48.2</v>
      </c>
      <c r="O569" s="4">
        <f t="shared" si="252"/>
        <v>0</v>
      </c>
      <c r="P569" s="4">
        <f t="shared" si="253"/>
        <v>0</v>
      </c>
      <c r="Q569" s="4">
        <f t="shared" si="254"/>
        <v>8.2940496401020276</v>
      </c>
      <c r="R569" s="4">
        <f t="shared" si="255"/>
        <v>5.2364419628299492</v>
      </c>
      <c r="S569" s="4">
        <f t="shared" si="256"/>
        <v>48.2</v>
      </c>
      <c r="T569" s="4">
        <f t="shared" si="257"/>
        <v>0</v>
      </c>
      <c r="U569" s="4">
        <f t="shared" si="258"/>
        <v>8.2940496401020276</v>
      </c>
      <c r="V569" s="4">
        <f t="shared" si="259"/>
        <v>5.2364419628299492</v>
      </c>
      <c r="W569" s="4">
        <f t="shared" si="260"/>
        <v>48.2</v>
      </c>
      <c r="X569" s="4">
        <f t="shared" si="261"/>
        <v>0</v>
      </c>
      <c r="Y569" s="4">
        <f t="shared" si="262"/>
        <v>8.2940496401020276</v>
      </c>
      <c r="Z569" s="4">
        <f t="shared" si="263"/>
        <v>5.2364419628299492</v>
      </c>
      <c r="AA569" s="4">
        <f t="shared" si="264"/>
        <v>48.2</v>
      </c>
      <c r="AB569" s="4">
        <f t="shared" si="265"/>
        <v>0</v>
      </c>
      <c r="AC569" s="4">
        <f t="shared" si="266"/>
        <v>0</v>
      </c>
      <c r="AD569" s="4">
        <f t="shared" si="267"/>
        <v>0</v>
      </c>
      <c r="AE569" s="4">
        <f t="shared" si="268"/>
        <v>0</v>
      </c>
      <c r="AF569" s="4">
        <f t="shared" si="269"/>
        <v>0</v>
      </c>
      <c r="AG569" s="4">
        <f t="shared" si="270"/>
        <v>8.2940496401020276</v>
      </c>
      <c r="AH569" s="4">
        <f t="shared" si="271"/>
        <v>0</v>
      </c>
      <c r="AI569" s="4">
        <f t="shared" si="272"/>
        <v>0</v>
      </c>
      <c r="AJ569" s="4">
        <f t="shared" si="273"/>
        <v>8.2940496401020276</v>
      </c>
      <c r="AK569" s="4">
        <f t="shared" si="274"/>
        <v>5.2364419628299492</v>
      </c>
      <c r="AL569" s="4">
        <f t="shared" si="275"/>
        <v>0</v>
      </c>
      <c r="AM569" s="4">
        <f>CER!$C$7+CER!$C$8*J569+CER!$C$9*K569+CER!$C$10*L569+CER!$C$11*M569</f>
        <v>3.5710448534426149</v>
      </c>
      <c r="AN569" s="4">
        <f t="shared" si="276"/>
        <v>35.553722180071631</v>
      </c>
      <c r="AO569" s="4">
        <f t="shared" si="277"/>
        <v>-8.1024958111688861E-2</v>
      </c>
      <c r="AP569" s="4">
        <f>Alternatives!$F$25+Alternatives!$F$26*J569+Alternatives!$F$27*K569+Alternatives!$F$28*G569+Alternatives!$F$29*O569</f>
        <v>3.4934924342740548</v>
      </c>
      <c r="AQ569" s="4">
        <f t="shared" si="278"/>
        <v>-3.4725389431287113E-3</v>
      </c>
    </row>
    <row r="570" spans="1:43" x14ac:dyDescent="0.35">
      <c r="A570" s="2" t="s">
        <v>475</v>
      </c>
      <c r="B570" s="2" t="s">
        <v>462</v>
      </c>
      <c r="C570" s="2" t="s">
        <v>67</v>
      </c>
      <c r="D570" s="2">
        <v>38.023800000000001</v>
      </c>
      <c r="E570" s="2">
        <v>3500</v>
      </c>
      <c r="F570" s="2">
        <v>188</v>
      </c>
      <c r="G570" s="2">
        <v>48.2</v>
      </c>
      <c r="H570" s="2" t="s">
        <v>68</v>
      </c>
      <c r="I570" s="4">
        <f t="shared" si="248"/>
        <v>3.6382122794619822</v>
      </c>
      <c r="J570" s="4">
        <f t="shared" si="249"/>
        <v>8.1605182474775049</v>
      </c>
      <c r="K570" s="4">
        <f t="shared" si="250"/>
        <v>5.2364419628299492</v>
      </c>
      <c r="L570" s="2">
        <v>0</v>
      </c>
      <c r="M570" s="2">
        <v>0</v>
      </c>
      <c r="N570" s="4">
        <f t="shared" si="251"/>
        <v>48.2</v>
      </c>
      <c r="O570" s="4">
        <f t="shared" si="252"/>
        <v>0</v>
      </c>
      <c r="P570" s="4">
        <f t="shared" si="253"/>
        <v>0</v>
      </c>
      <c r="Q570" s="4">
        <f t="shared" si="254"/>
        <v>8.1605182474775049</v>
      </c>
      <c r="R570" s="4">
        <f t="shared" si="255"/>
        <v>5.2364419628299492</v>
      </c>
      <c r="S570" s="4">
        <f t="shared" si="256"/>
        <v>48.2</v>
      </c>
      <c r="T570" s="4">
        <f t="shared" si="257"/>
        <v>0</v>
      </c>
      <c r="U570" s="4">
        <f t="shared" si="258"/>
        <v>8.1605182474775049</v>
      </c>
      <c r="V570" s="4">
        <f t="shared" si="259"/>
        <v>5.2364419628299492</v>
      </c>
      <c r="W570" s="4">
        <f t="shared" si="260"/>
        <v>48.2</v>
      </c>
      <c r="X570" s="4">
        <f t="shared" si="261"/>
        <v>0</v>
      </c>
      <c r="Y570" s="4">
        <f t="shared" si="262"/>
        <v>8.1605182474775049</v>
      </c>
      <c r="Z570" s="4">
        <f t="shared" si="263"/>
        <v>5.2364419628299492</v>
      </c>
      <c r="AA570" s="4">
        <f t="shared" si="264"/>
        <v>48.2</v>
      </c>
      <c r="AB570" s="4">
        <f t="shared" si="265"/>
        <v>0</v>
      </c>
      <c r="AC570" s="4">
        <f t="shared" si="266"/>
        <v>0</v>
      </c>
      <c r="AD570" s="4">
        <f t="shared" si="267"/>
        <v>0</v>
      </c>
      <c r="AE570" s="4">
        <f t="shared" si="268"/>
        <v>0</v>
      </c>
      <c r="AF570" s="4">
        <f t="shared" si="269"/>
        <v>0</v>
      </c>
      <c r="AG570" s="4">
        <f t="shared" si="270"/>
        <v>8.1605182474775049</v>
      </c>
      <c r="AH570" s="4">
        <f t="shared" si="271"/>
        <v>0</v>
      </c>
      <c r="AI570" s="4">
        <f t="shared" si="272"/>
        <v>0</v>
      </c>
      <c r="AJ570" s="4">
        <f t="shared" si="273"/>
        <v>8.1605182474775049</v>
      </c>
      <c r="AK570" s="4">
        <f t="shared" si="274"/>
        <v>5.2364419628299492</v>
      </c>
      <c r="AL570" s="4">
        <f t="shared" si="275"/>
        <v>0</v>
      </c>
      <c r="AM570" s="4">
        <f>CER!$C$7+CER!$C$8*J570+CER!$C$9*K570+CER!$C$10*L570+CER!$C$11*M570</f>
        <v>3.6314957326400048</v>
      </c>
      <c r="AN570" s="4">
        <f t="shared" si="276"/>
        <v>37.769267114844205</v>
      </c>
      <c r="AO570" s="4">
        <f t="shared" si="277"/>
        <v>6.7165468219774205E-3</v>
      </c>
      <c r="AP570" s="4">
        <f>Alternatives!$F$25+Alternatives!$F$26*J570+Alternatives!$F$27*K570+Alternatives!$F$28*G570+Alternatives!$F$29*O570</f>
        <v>3.444074338228333</v>
      </c>
      <c r="AQ570" s="4">
        <f t="shared" si="278"/>
        <v>0.19413794123364925</v>
      </c>
    </row>
    <row r="571" spans="1:43" x14ac:dyDescent="0.35">
      <c r="A571" s="2" t="s">
        <v>476</v>
      </c>
      <c r="B571" s="2" t="s">
        <v>462</v>
      </c>
      <c r="C571" s="2" t="s">
        <v>33</v>
      </c>
      <c r="D571" s="2">
        <v>50.726399999999998</v>
      </c>
      <c r="E571" s="2">
        <v>4000</v>
      </c>
      <c r="F571" s="2">
        <v>177</v>
      </c>
      <c r="G571" s="2">
        <v>48.2</v>
      </c>
      <c r="H571" s="2" t="s">
        <v>68</v>
      </c>
      <c r="I571" s="4">
        <f t="shared" si="248"/>
        <v>3.9264464851338694</v>
      </c>
      <c r="J571" s="4">
        <f t="shared" si="249"/>
        <v>8.2940496401020276</v>
      </c>
      <c r="K571" s="4">
        <f t="shared" si="250"/>
        <v>5.1761497325738288</v>
      </c>
      <c r="L571" s="2">
        <v>1</v>
      </c>
      <c r="M571" s="2">
        <v>0</v>
      </c>
      <c r="N571" s="4">
        <f t="shared" si="251"/>
        <v>48.2</v>
      </c>
      <c r="O571" s="4">
        <f t="shared" si="252"/>
        <v>1</v>
      </c>
      <c r="P571" s="4">
        <f t="shared" si="253"/>
        <v>1</v>
      </c>
      <c r="Q571" s="4">
        <f t="shared" si="254"/>
        <v>8.2940496401020276</v>
      </c>
      <c r="R571" s="4">
        <f t="shared" si="255"/>
        <v>5.1761497325738288</v>
      </c>
      <c r="S571" s="4">
        <f t="shared" si="256"/>
        <v>48.2</v>
      </c>
      <c r="T571" s="4">
        <f t="shared" si="257"/>
        <v>1</v>
      </c>
      <c r="U571" s="4">
        <f t="shared" si="258"/>
        <v>8.2940496401020276</v>
      </c>
      <c r="V571" s="4">
        <f t="shared" si="259"/>
        <v>5.1761497325738288</v>
      </c>
      <c r="W571" s="4">
        <f t="shared" si="260"/>
        <v>48.2</v>
      </c>
      <c r="X571" s="4">
        <f t="shared" si="261"/>
        <v>1</v>
      </c>
      <c r="Y571" s="4">
        <f t="shared" si="262"/>
        <v>8.2940496401020276</v>
      </c>
      <c r="Z571" s="4">
        <f t="shared" si="263"/>
        <v>5.1761497325738288</v>
      </c>
      <c r="AA571" s="4">
        <f t="shared" si="264"/>
        <v>48.2</v>
      </c>
      <c r="AB571" s="4">
        <f t="shared" si="265"/>
        <v>1</v>
      </c>
      <c r="AC571" s="4">
        <f t="shared" si="266"/>
        <v>0</v>
      </c>
      <c r="AD571" s="4">
        <f t="shared" si="267"/>
        <v>0</v>
      </c>
      <c r="AE571" s="4">
        <f t="shared" si="268"/>
        <v>0</v>
      </c>
      <c r="AF571" s="4">
        <f t="shared" si="269"/>
        <v>0</v>
      </c>
      <c r="AG571" s="4">
        <f t="shared" si="270"/>
        <v>8.2940496401020276</v>
      </c>
      <c r="AH571" s="4">
        <f t="shared" si="271"/>
        <v>1</v>
      </c>
      <c r="AI571" s="4">
        <f t="shared" si="272"/>
        <v>0</v>
      </c>
      <c r="AJ571" s="4">
        <f t="shared" si="273"/>
        <v>8.2940496401020276</v>
      </c>
      <c r="AK571" s="4">
        <f t="shared" si="274"/>
        <v>5.1761497325738288</v>
      </c>
      <c r="AL571" s="4">
        <f t="shared" si="275"/>
        <v>0</v>
      </c>
      <c r="AM571" s="4">
        <f>CER!$C$7+CER!$C$8*J571+CER!$C$9*K571+CER!$C$10*L571+CER!$C$11*M571</f>
        <v>3.817042862759882</v>
      </c>
      <c r="AN571" s="4">
        <f t="shared" si="276"/>
        <v>45.469549618377656</v>
      </c>
      <c r="AO571" s="4">
        <f t="shared" si="277"/>
        <v>0.10940362237398737</v>
      </c>
      <c r="AP571" s="4">
        <f>Alternatives!$F$25+Alternatives!$F$26*J571+Alternatives!$F$27*K571+Alternatives!$F$28*G571+Alternatives!$F$29*O571</f>
        <v>4.3542767266412135</v>
      </c>
      <c r="AQ571" s="4">
        <f t="shared" si="278"/>
        <v>-0.42783024150734406</v>
      </c>
    </row>
    <row r="572" spans="1:43" x14ac:dyDescent="0.35">
      <c r="A572" s="2" t="s">
        <v>477</v>
      </c>
      <c r="B572" s="2" t="s">
        <v>462</v>
      </c>
      <c r="C572" s="2" t="s">
        <v>33</v>
      </c>
      <c r="D572" s="2">
        <v>56.735700000000001</v>
      </c>
      <c r="E572" s="2">
        <v>4000</v>
      </c>
      <c r="F572" s="2">
        <v>177</v>
      </c>
      <c r="G572" s="2">
        <v>48.2</v>
      </c>
      <c r="H572" s="2" t="s">
        <v>68</v>
      </c>
      <c r="I572" s="4">
        <f t="shared" si="248"/>
        <v>4.0384036422297633</v>
      </c>
      <c r="J572" s="4">
        <f t="shared" si="249"/>
        <v>8.2940496401020276</v>
      </c>
      <c r="K572" s="4">
        <f t="shared" si="250"/>
        <v>5.1761497325738288</v>
      </c>
      <c r="L572" s="2">
        <v>1</v>
      </c>
      <c r="M572" s="2">
        <v>0</v>
      </c>
      <c r="N572" s="4">
        <f t="shared" si="251"/>
        <v>48.2</v>
      </c>
      <c r="O572" s="4">
        <f t="shared" si="252"/>
        <v>1</v>
      </c>
      <c r="P572" s="4">
        <f t="shared" si="253"/>
        <v>1</v>
      </c>
      <c r="Q572" s="4">
        <f t="shared" si="254"/>
        <v>8.2940496401020276</v>
      </c>
      <c r="R572" s="4">
        <f t="shared" si="255"/>
        <v>5.1761497325738288</v>
      </c>
      <c r="S572" s="4">
        <f t="shared" si="256"/>
        <v>48.2</v>
      </c>
      <c r="T572" s="4">
        <f t="shared" si="257"/>
        <v>1</v>
      </c>
      <c r="U572" s="4">
        <f t="shared" si="258"/>
        <v>8.2940496401020276</v>
      </c>
      <c r="V572" s="4">
        <f t="shared" si="259"/>
        <v>5.1761497325738288</v>
      </c>
      <c r="W572" s="4">
        <f t="shared" si="260"/>
        <v>48.2</v>
      </c>
      <c r="X572" s="4">
        <f t="shared" si="261"/>
        <v>1</v>
      </c>
      <c r="Y572" s="4">
        <f t="shared" si="262"/>
        <v>8.2940496401020276</v>
      </c>
      <c r="Z572" s="4">
        <f t="shared" si="263"/>
        <v>5.1761497325738288</v>
      </c>
      <c r="AA572" s="4">
        <f t="shared" si="264"/>
        <v>48.2</v>
      </c>
      <c r="AB572" s="4">
        <f t="shared" si="265"/>
        <v>1</v>
      </c>
      <c r="AC572" s="4">
        <f t="shared" si="266"/>
        <v>0</v>
      </c>
      <c r="AD572" s="4">
        <f t="shared" si="267"/>
        <v>0</v>
      </c>
      <c r="AE572" s="4">
        <f t="shared" si="268"/>
        <v>0</v>
      </c>
      <c r="AF572" s="4">
        <f t="shared" si="269"/>
        <v>0</v>
      </c>
      <c r="AG572" s="4">
        <f t="shared" si="270"/>
        <v>8.2940496401020276</v>
      </c>
      <c r="AH572" s="4">
        <f t="shared" si="271"/>
        <v>1</v>
      </c>
      <c r="AI572" s="4">
        <f t="shared" si="272"/>
        <v>0</v>
      </c>
      <c r="AJ572" s="4">
        <f t="shared" si="273"/>
        <v>8.2940496401020276</v>
      </c>
      <c r="AK572" s="4">
        <f t="shared" si="274"/>
        <v>5.1761497325738288</v>
      </c>
      <c r="AL572" s="4">
        <f t="shared" si="275"/>
        <v>0</v>
      </c>
      <c r="AM572" s="4">
        <f>CER!$C$7+CER!$C$8*J572+CER!$C$9*K572+CER!$C$10*L572+CER!$C$11*M572</f>
        <v>3.817042862759882</v>
      </c>
      <c r="AN572" s="4">
        <f t="shared" si="276"/>
        <v>45.469549618377656</v>
      </c>
      <c r="AO572" s="4">
        <f t="shared" si="277"/>
        <v>0.22136077946988131</v>
      </c>
      <c r="AP572" s="4">
        <f>Alternatives!$F$25+Alternatives!$F$26*J572+Alternatives!$F$27*K572+Alternatives!$F$28*G572+Alternatives!$F$29*O572</f>
        <v>4.3542767266412135</v>
      </c>
      <c r="AQ572" s="4">
        <f t="shared" si="278"/>
        <v>-0.31587308441145012</v>
      </c>
    </row>
    <row r="573" spans="1:43" x14ac:dyDescent="0.35">
      <c r="A573" s="2" t="s">
        <v>478</v>
      </c>
      <c r="B573" s="2" t="s">
        <v>462</v>
      </c>
      <c r="C573" s="2" t="s">
        <v>33</v>
      </c>
      <c r="D573" s="2">
        <v>47.4373</v>
      </c>
      <c r="E573" s="2">
        <v>4500</v>
      </c>
      <c r="F573" s="2">
        <v>177</v>
      </c>
      <c r="G573" s="2">
        <v>48.1</v>
      </c>
      <c r="H573" s="2" t="s">
        <v>68</v>
      </c>
      <c r="I573" s="4">
        <f t="shared" si="248"/>
        <v>3.8594088390731796</v>
      </c>
      <c r="J573" s="4">
        <f t="shared" si="249"/>
        <v>8.4118326757584114</v>
      </c>
      <c r="K573" s="4">
        <f t="shared" si="250"/>
        <v>5.1761497325738288</v>
      </c>
      <c r="L573" s="2">
        <v>1</v>
      </c>
      <c r="M573" s="2">
        <v>0</v>
      </c>
      <c r="N573" s="4">
        <f t="shared" si="251"/>
        <v>48.1</v>
      </c>
      <c r="O573" s="4">
        <f t="shared" si="252"/>
        <v>1</v>
      </c>
      <c r="P573" s="4">
        <f t="shared" si="253"/>
        <v>1</v>
      </c>
      <c r="Q573" s="4">
        <f t="shared" si="254"/>
        <v>8.4118326757584114</v>
      </c>
      <c r="R573" s="4">
        <f t="shared" si="255"/>
        <v>5.1761497325738288</v>
      </c>
      <c r="S573" s="4">
        <f t="shared" si="256"/>
        <v>48.1</v>
      </c>
      <c r="T573" s="4">
        <f t="shared" si="257"/>
        <v>1</v>
      </c>
      <c r="U573" s="4">
        <f t="shared" si="258"/>
        <v>8.4118326757584114</v>
      </c>
      <c r="V573" s="4">
        <f t="shared" si="259"/>
        <v>5.1761497325738288</v>
      </c>
      <c r="W573" s="4">
        <f t="shared" si="260"/>
        <v>48.1</v>
      </c>
      <c r="X573" s="4">
        <f t="shared" si="261"/>
        <v>1</v>
      </c>
      <c r="Y573" s="4">
        <f t="shared" si="262"/>
        <v>8.4118326757584114</v>
      </c>
      <c r="Z573" s="4">
        <f t="shared" si="263"/>
        <v>5.1761497325738288</v>
      </c>
      <c r="AA573" s="4">
        <f t="shared" si="264"/>
        <v>48.1</v>
      </c>
      <c r="AB573" s="4">
        <f t="shared" si="265"/>
        <v>1</v>
      </c>
      <c r="AC573" s="4">
        <f t="shared" si="266"/>
        <v>0</v>
      </c>
      <c r="AD573" s="4">
        <f t="shared" si="267"/>
        <v>0</v>
      </c>
      <c r="AE573" s="4">
        <f t="shared" si="268"/>
        <v>0</v>
      </c>
      <c r="AF573" s="4">
        <f t="shared" si="269"/>
        <v>0</v>
      </c>
      <c r="AG573" s="4">
        <f t="shared" si="270"/>
        <v>8.4118326757584114</v>
      </c>
      <c r="AH573" s="4">
        <f t="shared" si="271"/>
        <v>1</v>
      </c>
      <c r="AI573" s="4">
        <f t="shared" si="272"/>
        <v>0</v>
      </c>
      <c r="AJ573" s="4">
        <f t="shared" si="273"/>
        <v>8.4118326757584114</v>
      </c>
      <c r="AK573" s="4">
        <f t="shared" si="274"/>
        <v>5.1761497325738288</v>
      </c>
      <c r="AL573" s="4">
        <f t="shared" si="275"/>
        <v>0</v>
      </c>
      <c r="AM573" s="4">
        <f>CER!$C$7+CER!$C$8*J573+CER!$C$9*K573+CER!$C$10*L573+CER!$C$11*M573</f>
        <v>3.7637214083810822</v>
      </c>
      <c r="AN573" s="4">
        <f t="shared" si="276"/>
        <v>43.108552374212145</v>
      </c>
      <c r="AO573" s="4">
        <f t="shared" si="277"/>
        <v>9.5687430692097397E-2</v>
      </c>
      <c r="AP573" s="4">
        <f>Alternatives!$F$25+Alternatives!$F$26*J573+Alternatives!$F$27*K573+Alternatives!$F$28*G573+Alternatives!$F$29*O573</f>
        <v>4.3991673080492282</v>
      </c>
      <c r="AQ573" s="4">
        <f t="shared" si="278"/>
        <v>-0.53975846897604862</v>
      </c>
    </row>
    <row r="574" spans="1:43" x14ac:dyDescent="0.35">
      <c r="A574" s="2" t="s">
        <v>479</v>
      </c>
      <c r="B574" s="2" t="s">
        <v>462</v>
      </c>
      <c r="C574" s="2" t="s">
        <v>67</v>
      </c>
      <c r="D574" s="2">
        <v>34.571100000000001</v>
      </c>
      <c r="E574" s="2">
        <v>4000</v>
      </c>
      <c r="F574" s="2">
        <v>188</v>
      </c>
      <c r="G574" s="2">
        <v>48.2</v>
      </c>
      <c r="H574" s="2" t="s">
        <v>68</v>
      </c>
      <c r="I574" s="4">
        <f t="shared" si="248"/>
        <v>3.5430180729239771</v>
      </c>
      <c r="J574" s="4">
        <f t="shared" si="249"/>
        <v>8.2940496401020276</v>
      </c>
      <c r="K574" s="4">
        <f t="shared" si="250"/>
        <v>5.2364419628299492</v>
      </c>
      <c r="L574" s="2">
        <v>0</v>
      </c>
      <c r="M574" s="2">
        <v>0</v>
      </c>
      <c r="N574" s="4">
        <f t="shared" si="251"/>
        <v>48.2</v>
      </c>
      <c r="O574" s="4">
        <f t="shared" si="252"/>
        <v>0</v>
      </c>
      <c r="P574" s="4">
        <f t="shared" si="253"/>
        <v>0</v>
      </c>
      <c r="Q574" s="4">
        <f t="shared" si="254"/>
        <v>8.2940496401020276</v>
      </c>
      <c r="R574" s="4">
        <f t="shared" si="255"/>
        <v>5.2364419628299492</v>
      </c>
      <c r="S574" s="4">
        <f t="shared" si="256"/>
        <v>48.2</v>
      </c>
      <c r="T574" s="4">
        <f t="shared" si="257"/>
        <v>0</v>
      </c>
      <c r="U574" s="4">
        <f t="shared" si="258"/>
        <v>8.2940496401020276</v>
      </c>
      <c r="V574" s="4">
        <f t="shared" si="259"/>
        <v>5.2364419628299492</v>
      </c>
      <c r="W574" s="4">
        <f t="shared" si="260"/>
        <v>48.2</v>
      </c>
      <c r="X574" s="4">
        <f t="shared" si="261"/>
        <v>0</v>
      </c>
      <c r="Y574" s="4">
        <f t="shared" si="262"/>
        <v>8.2940496401020276</v>
      </c>
      <c r="Z574" s="4">
        <f t="shared" si="263"/>
        <v>5.2364419628299492</v>
      </c>
      <c r="AA574" s="4">
        <f t="shared" si="264"/>
        <v>48.2</v>
      </c>
      <c r="AB574" s="4">
        <f t="shared" si="265"/>
        <v>0</v>
      </c>
      <c r="AC574" s="4">
        <f t="shared" si="266"/>
        <v>0</v>
      </c>
      <c r="AD574" s="4">
        <f t="shared" si="267"/>
        <v>0</v>
      </c>
      <c r="AE574" s="4">
        <f t="shared" si="268"/>
        <v>0</v>
      </c>
      <c r="AF574" s="4">
        <f t="shared" si="269"/>
        <v>0</v>
      </c>
      <c r="AG574" s="4">
        <f t="shared" si="270"/>
        <v>8.2940496401020276</v>
      </c>
      <c r="AH574" s="4">
        <f t="shared" si="271"/>
        <v>0</v>
      </c>
      <c r="AI574" s="4">
        <f t="shared" si="272"/>
        <v>0</v>
      </c>
      <c r="AJ574" s="4">
        <f t="shared" si="273"/>
        <v>8.2940496401020276</v>
      </c>
      <c r="AK574" s="4">
        <f t="shared" si="274"/>
        <v>5.2364419628299492</v>
      </c>
      <c r="AL574" s="4">
        <f t="shared" si="275"/>
        <v>0</v>
      </c>
      <c r="AM574" s="4">
        <f>CER!$C$7+CER!$C$8*J574+CER!$C$9*K574+CER!$C$10*L574+CER!$C$11*M574</f>
        <v>3.5710448534426149</v>
      </c>
      <c r="AN574" s="4">
        <f t="shared" si="276"/>
        <v>35.553722180071631</v>
      </c>
      <c r="AO574" s="4">
        <f t="shared" si="277"/>
        <v>-2.8026780518637828E-2</v>
      </c>
      <c r="AP574" s="4">
        <f>Alternatives!$F$25+Alternatives!$F$26*J574+Alternatives!$F$27*K574+Alternatives!$F$28*G574+Alternatives!$F$29*O574</f>
        <v>3.4934924342740548</v>
      </c>
      <c r="AQ574" s="4">
        <f t="shared" si="278"/>
        <v>4.9525638649922321E-2</v>
      </c>
    </row>
    <row r="575" spans="1:43" x14ac:dyDescent="0.35">
      <c r="A575" s="2" t="s">
        <v>480</v>
      </c>
      <c r="B575" s="2" t="s">
        <v>462</v>
      </c>
      <c r="C575" s="2" t="s">
        <v>67</v>
      </c>
      <c r="D575" s="2">
        <v>36.047899999999998</v>
      </c>
      <c r="E575" s="2">
        <v>3500</v>
      </c>
      <c r="F575" s="2">
        <v>195</v>
      </c>
      <c r="G575" s="2">
        <v>44.3</v>
      </c>
      <c r="H575" s="2" t="s">
        <v>68</v>
      </c>
      <c r="I575" s="4">
        <f t="shared" si="248"/>
        <v>3.5848486096070351</v>
      </c>
      <c r="J575" s="4">
        <f t="shared" si="249"/>
        <v>8.1605182474775049</v>
      </c>
      <c r="K575" s="4">
        <f t="shared" si="250"/>
        <v>5.2729995585637468</v>
      </c>
      <c r="L575" s="2">
        <v>0</v>
      </c>
      <c r="M575" s="2">
        <v>0</v>
      </c>
      <c r="N575" s="4">
        <f t="shared" si="251"/>
        <v>44.3</v>
      </c>
      <c r="O575" s="4">
        <f t="shared" si="252"/>
        <v>0</v>
      </c>
      <c r="P575" s="4">
        <f t="shared" si="253"/>
        <v>0</v>
      </c>
      <c r="Q575" s="4">
        <f t="shared" si="254"/>
        <v>8.1605182474775049</v>
      </c>
      <c r="R575" s="4">
        <f t="shared" si="255"/>
        <v>5.2729995585637468</v>
      </c>
      <c r="S575" s="4">
        <f t="shared" si="256"/>
        <v>44.3</v>
      </c>
      <c r="T575" s="4">
        <f t="shared" si="257"/>
        <v>0</v>
      </c>
      <c r="U575" s="4">
        <f t="shared" si="258"/>
        <v>8.1605182474775049</v>
      </c>
      <c r="V575" s="4">
        <f t="shared" si="259"/>
        <v>5.2729995585637468</v>
      </c>
      <c r="W575" s="4">
        <f t="shared" si="260"/>
        <v>44.3</v>
      </c>
      <c r="X575" s="4">
        <f t="shared" si="261"/>
        <v>0</v>
      </c>
      <c r="Y575" s="4">
        <f t="shared" si="262"/>
        <v>8.1605182474775049</v>
      </c>
      <c r="Z575" s="4">
        <f t="shared" si="263"/>
        <v>5.2729995585637468</v>
      </c>
      <c r="AA575" s="4">
        <f t="shared" si="264"/>
        <v>44.3</v>
      </c>
      <c r="AB575" s="4">
        <f t="shared" si="265"/>
        <v>0</v>
      </c>
      <c r="AC575" s="4">
        <f t="shared" si="266"/>
        <v>0</v>
      </c>
      <c r="AD575" s="4">
        <f t="shared" si="267"/>
        <v>0</v>
      </c>
      <c r="AE575" s="4">
        <f t="shared" si="268"/>
        <v>0</v>
      </c>
      <c r="AF575" s="4">
        <f t="shared" si="269"/>
        <v>0</v>
      </c>
      <c r="AG575" s="4">
        <f t="shared" si="270"/>
        <v>8.1605182474775049</v>
      </c>
      <c r="AH575" s="4">
        <f t="shared" si="271"/>
        <v>0</v>
      </c>
      <c r="AI575" s="4">
        <f t="shared" si="272"/>
        <v>0</v>
      </c>
      <c r="AJ575" s="4">
        <f t="shared" si="273"/>
        <v>8.1605182474775049</v>
      </c>
      <c r="AK575" s="4">
        <f t="shared" si="274"/>
        <v>5.2729995585637468</v>
      </c>
      <c r="AL575" s="4">
        <f t="shared" si="275"/>
        <v>0</v>
      </c>
      <c r="AM575" s="4">
        <f>CER!$C$7+CER!$C$8*J575+CER!$C$9*K575+CER!$C$10*L575+CER!$C$11*M575</f>
        <v>3.6180080374999144</v>
      </c>
      <c r="AN575" s="4">
        <f t="shared" si="276"/>
        <v>37.263266814086847</v>
      </c>
      <c r="AO575" s="4">
        <f t="shared" si="277"/>
        <v>-3.315942789287929E-2</v>
      </c>
      <c r="AP575" s="4">
        <f>Alternatives!$F$25+Alternatives!$F$26*J575+Alternatives!$F$27*K575+Alternatives!$F$28*G575+Alternatives!$F$29*O575</f>
        <v>3.4850745243154444</v>
      </c>
      <c r="AQ575" s="4">
        <f t="shared" si="278"/>
        <v>9.9774085291590708E-2</v>
      </c>
    </row>
    <row r="576" spans="1:43" x14ac:dyDescent="0.35">
      <c r="A576" s="2" t="s">
        <v>480</v>
      </c>
      <c r="B576" s="2" t="s">
        <v>462</v>
      </c>
      <c r="C576" s="2" t="s">
        <v>67</v>
      </c>
      <c r="D576" s="2">
        <v>38.920999999999999</v>
      </c>
      <c r="E576" s="2">
        <v>3500</v>
      </c>
      <c r="F576" s="2">
        <v>147</v>
      </c>
      <c r="G576" s="2">
        <v>44.3</v>
      </c>
      <c r="H576" s="2" t="s">
        <v>68</v>
      </c>
      <c r="I576" s="4">
        <f t="shared" si="248"/>
        <v>3.6615339507184559</v>
      </c>
      <c r="J576" s="4">
        <f t="shared" si="249"/>
        <v>8.1605182474775049</v>
      </c>
      <c r="K576" s="4">
        <f t="shared" si="250"/>
        <v>4.990432586778736</v>
      </c>
      <c r="L576" s="2">
        <v>0</v>
      </c>
      <c r="M576" s="2">
        <v>0</v>
      </c>
      <c r="N576" s="4">
        <f t="shared" si="251"/>
        <v>44.3</v>
      </c>
      <c r="O576" s="4">
        <f t="shared" si="252"/>
        <v>0</v>
      </c>
      <c r="P576" s="4">
        <f t="shared" si="253"/>
        <v>0</v>
      </c>
      <c r="Q576" s="4">
        <f t="shared" si="254"/>
        <v>8.1605182474775049</v>
      </c>
      <c r="R576" s="4">
        <f t="shared" si="255"/>
        <v>4.990432586778736</v>
      </c>
      <c r="S576" s="4">
        <f t="shared" si="256"/>
        <v>44.3</v>
      </c>
      <c r="T576" s="4">
        <f t="shared" si="257"/>
        <v>0</v>
      </c>
      <c r="U576" s="4">
        <f t="shared" si="258"/>
        <v>8.1605182474775049</v>
      </c>
      <c r="V576" s="4">
        <f t="shared" si="259"/>
        <v>4.990432586778736</v>
      </c>
      <c r="W576" s="4">
        <f t="shared" si="260"/>
        <v>44.3</v>
      </c>
      <c r="X576" s="4">
        <f t="shared" si="261"/>
        <v>0</v>
      </c>
      <c r="Y576" s="4">
        <f t="shared" si="262"/>
        <v>8.1605182474775049</v>
      </c>
      <c r="Z576" s="4">
        <f t="shared" si="263"/>
        <v>4.990432586778736</v>
      </c>
      <c r="AA576" s="4">
        <f t="shared" si="264"/>
        <v>44.3</v>
      </c>
      <c r="AB576" s="4">
        <f t="shared" si="265"/>
        <v>0</v>
      </c>
      <c r="AC576" s="4">
        <f t="shared" si="266"/>
        <v>0</v>
      </c>
      <c r="AD576" s="4">
        <f t="shared" si="267"/>
        <v>0</v>
      </c>
      <c r="AE576" s="4">
        <f t="shared" si="268"/>
        <v>0</v>
      </c>
      <c r="AF576" s="4">
        <f t="shared" si="269"/>
        <v>0</v>
      </c>
      <c r="AG576" s="4">
        <f t="shared" si="270"/>
        <v>8.1605182474775049</v>
      </c>
      <c r="AH576" s="4">
        <f t="shared" si="271"/>
        <v>0</v>
      </c>
      <c r="AI576" s="4">
        <f t="shared" si="272"/>
        <v>0</v>
      </c>
      <c r="AJ576" s="4">
        <f t="shared" si="273"/>
        <v>8.1605182474775049</v>
      </c>
      <c r="AK576" s="4">
        <f t="shared" si="274"/>
        <v>4.990432586778736</v>
      </c>
      <c r="AL576" s="4">
        <f t="shared" si="275"/>
        <v>0</v>
      </c>
      <c r="AM576" s="4">
        <f>CER!$C$7+CER!$C$8*J576+CER!$C$9*K576+CER!$C$10*L576+CER!$C$11*M576</f>
        <v>3.7222593454865396</v>
      </c>
      <c r="AN576" s="4">
        <f t="shared" si="276"/>
        <v>41.357730030537972</v>
      </c>
      <c r="AO576" s="4">
        <f t="shared" si="277"/>
        <v>-6.0725394768083696E-2</v>
      </c>
      <c r="AP576" s="4">
        <f>Alternatives!$F$25+Alternatives!$F$26*J576+Alternatives!$F$27*K576+Alternatives!$F$28*G576+Alternatives!$F$29*O576</f>
        <v>3.5602684121095072</v>
      </c>
      <c r="AQ576" s="4">
        <f t="shared" si="278"/>
        <v>0.10126553860894871</v>
      </c>
    </row>
    <row r="577" spans="1:43" x14ac:dyDescent="0.35">
      <c r="A577" s="2" t="s">
        <v>481</v>
      </c>
      <c r="B577" s="2" t="s">
        <v>462</v>
      </c>
      <c r="C577" s="2" t="s">
        <v>67</v>
      </c>
      <c r="D577" s="2">
        <v>42.215600000000002</v>
      </c>
      <c r="E577" s="2">
        <v>3000</v>
      </c>
      <c r="F577" s="2">
        <v>147</v>
      </c>
      <c r="G577" s="2">
        <v>44.3</v>
      </c>
      <c r="H577" s="2" t="s">
        <v>68</v>
      </c>
      <c r="I577" s="4">
        <f t="shared" si="248"/>
        <v>3.7427898209779396</v>
      </c>
      <c r="J577" s="4">
        <f t="shared" si="249"/>
        <v>8.0063675676502459</v>
      </c>
      <c r="K577" s="4">
        <f t="shared" si="250"/>
        <v>4.990432586778736</v>
      </c>
      <c r="L577" s="2">
        <v>0</v>
      </c>
      <c r="M577" s="2">
        <v>0</v>
      </c>
      <c r="N577" s="4">
        <f t="shared" si="251"/>
        <v>44.3</v>
      </c>
      <c r="O577" s="4">
        <f t="shared" si="252"/>
        <v>0</v>
      </c>
      <c r="P577" s="4">
        <f t="shared" si="253"/>
        <v>0</v>
      </c>
      <c r="Q577" s="4">
        <f t="shared" si="254"/>
        <v>8.0063675676502459</v>
      </c>
      <c r="R577" s="4">
        <f t="shared" si="255"/>
        <v>4.990432586778736</v>
      </c>
      <c r="S577" s="4">
        <f t="shared" si="256"/>
        <v>44.3</v>
      </c>
      <c r="T577" s="4">
        <f t="shared" si="257"/>
        <v>0</v>
      </c>
      <c r="U577" s="4">
        <f t="shared" si="258"/>
        <v>8.0063675676502459</v>
      </c>
      <c r="V577" s="4">
        <f t="shared" si="259"/>
        <v>4.990432586778736</v>
      </c>
      <c r="W577" s="4">
        <f t="shared" si="260"/>
        <v>44.3</v>
      </c>
      <c r="X577" s="4">
        <f t="shared" si="261"/>
        <v>0</v>
      </c>
      <c r="Y577" s="4">
        <f t="shared" si="262"/>
        <v>8.0063675676502459</v>
      </c>
      <c r="Z577" s="4">
        <f t="shared" si="263"/>
        <v>4.990432586778736</v>
      </c>
      <c r="AA577" s="4">
        <f t="shared" si="264"/>
        <v>44.3</v>
      </c>
      <c r="AB577" s="4">
        <f t="shared" si="265"/>
        <v>0</v>
      </c>
      <c r="AC577" s="4">
        <f t="shared" si="266"/>
        <v>0</v>
      </c>
      <c r="AD577" s="4">
        <f t="shared" si="267"/>
        <v>0</v>
      </c>
      <c r="AE577" s="4">
        <f t="shared" si="268"/>
        <v>0</v>
      </c>
      <c r="AF577" s="4">
        <f t="shared" si="269"/>
        <v>0</v>
      </c>
      <c r="AG577" s="4">
        <f t="shared" si="270"/>
        <v>8.0063675676502459</v>
      </c>
      <c r="AH577" s="4">
        <f t="shared" si="271"/>
        <v>0</v>
      </c>
      <c r="AI577" s="4">
        <f t="shared" si="272"/>
        <v>0</v>
      </c>
      <c r="AJ577" s="4">
        <f t="shared" si="273"/>
        <v>8.0063675676502459</v>
      </c>
      <c r="AK577" s="4">
        <f t="shared" si="274"/>
        <v>4.990432586778736</v>
      </c>
      <c r="AL577" s="4">
        <f t="shared" si="275"/>
        <v>0</v>
      </c>
      <c r="AM577" s="4">
        <f>CER!$C$7+CER!$C$8*J577+CER!$C$9*K577+CER!$C$10*L577+CER!$C$11*M577</f>
        <v>3.7920447640407828</v>
      </c>
      <c r="AN577" s="4">
        <f t="shared" si="276"/>
        <v>44.346986754266588</v>
      </c>
      <c r="AO577" s="4">
        <f t="shared" si="277"/>
        <v>-4.9254943062843282E-2</v>
      </c>
      <c r="AP577" s="4">
        <f>Alternatives!$F$25+Alternatives!$F$26*J577+Alternatives!$F$27*K577+Alternatives!$F$28*G577+Alternatives!$F$29*O577</f>
        <v>3.5032194069917573</v>
      </c>
      <c r="AQ577" s="4">
        <f t="shared" si="278"/>
        <v>0.23957041398618228</v>
      </c>
    </row>
    <row r="578" spans="1:43" x14ac:dyDescent="0.35">
      <c r="A578" s="2" t="s">
        <v>482</v>
      </c>
      <c r="B578" s="2" t="s">
        <v>462</v>
      </c>
      <c r="C578" s="2" t="s">
        <v>67</v>
      </c>
      <c r="D578" s="2">
        <v>33.260800000000003</v>
      </c>
      <c r="E578" s="2">
        <v>4000</v>
      </c>
      <c r="F578" s="2">
        <v>191</v>
      </c>
      <c r="G578" s="2">
        <v>50</v>
      </c>
      <c r="H578" s="2" t="s">
        <v>68</v>
      </c>
      <c r="I578" s="4">
        <f t="shared" ref="I578:I641" si="279">LN(D578)</f>
        <v>3.5043795263919311</v>
      </c>
      <c r="J578" s="4">
        <f t="shared" ref="J578:J641" si="280">LN(E578)</f>
        <v>8.2940496401020276</v>
      </c>
      <c r="K578" s="4">
        <f t="shared" ref="K578:K641" si="281">LN(F578)</f>
        <v>5.2522734280466299</v>
      </c>
      <c r="L578" s="2">
        <v>0</v>
      </c>
      <c r="M578" s="2">
        <v>0</v>
      </c>
      <c r="N578" s="4">
        <f t="shared" ref="N578:N641" si="282">G578</f>
        <v>50</v>
      </c>
      <c r="O578" s="4">
        <f t="shared" ref="O578:O641" si="283">L578+M578</f>
        <v>0</v>
      </c>
      <c r="P578" s="4">
        <f t="shared" ref="P578:P641" si="284">L578+2*M578</f>
        <v>0</v>
      </c>
      <c r="Q578" s="4">
        <f t="shared" ref="Q578:Q641" si="285">J578</f>
        <v>8.2940496401020276</v>
      </c>
      <c r="R578" s="4">
        <f t="shared" ref="R578:R641" si="286">K578</f>
        <v>5.2522734280466299</v>
      </c>
      <c r="S578" s="4">
        <f t="shared" ref="S578:S641" si="287">G578</f>
        <v>50</v>
      </c>
      <c r="T578" s="4">
        <f t="shared" ref="T578:T641" si="288">O578</f>
        <v>0</v>
      </c>
      <c r="U578" s="4">
        <f t="shared" ref="U578:U641" si="289">J578</f>
        <v>8.2940496401020276</v>
      </c>
      <c r="V578" s="4">
        <f t="shared" ref="V578:V641" si="290">K578</f>
        <v>5.2522734280466299</v>
      </c>
      <c r="W578" s="4">
        <f t="shared" ref="W578:W641" si="291">G578</f>
        <v>50</v>
      </c>
      <c r="X578" s="4">
        <f t="shared" ref="X578:X641" si="292">P578</f>
        <v>0</v>
      </c>
      <c r="Y578" s="4">
        <f t="shared" ref="Y578:Y641" si="293">J578</f>
        <v>8.2940496401020276</v>
      </c>
      <c r="Z578" s="4">
        <f t="shared" ref="Z578:Z641" si="294">K578</f>
        <v>5.2522734280466299</v>
      </c>
      <c r="AA578" s="4">
        <f t="shared" ref="AA578:AA641" si="295">G578</f>
        <v>50</v>
      </c>
      <c r="AB578" s="4">
        <f t="shared" ref="AB578:AB641" si="296">L578</f>
        <v>0</v>
      </c>
      <c r="AC578" s="4">
        <f t="shared" ref="AC578:AC641" si="297">M578</f>
        <v>0</v>
      </c>
      <c r="AD578" s="4">
        <f t="shared" ref="AD578:AD641" si="298">M578*J578</f>
        <v>0</v>
      </c>
      <c r="AE578" s="4">
        <f t="shared" ref="AE578:AE641" si="299">M578*K578</f>
        <v>0</v>
      </c>
      <c r="AF578" s="4">
        <f t="shared" ref="AF578:AF641" si="300">M578*G578</f>
        <v>0</v>
      </c>
      <c r="AG578" s="4">
        <f t="shared" ref="AG578:AG641" si="301">J578</f>
        <v>8.2940496401020276</v>
      </c>
      <c r="AH578" s="4">
        <f t="shared" ref="AH578:AH641" si="302">L578</f>
        <v>0</v>
      </c>
      <c r="AI578" s="4">
        <f t="shared" ref="AI578:AI641" si="303">M578</f>
        <v>0</v>
      </c>
      <c r="AJ578" s="4">
        <f t="shared" ref="AJ578:AJ641" si="304">J578</f>
        <v>8.2940496401020276</v>
      </c>
      <c r="AK578" s="4">
        <f t="shared" ref="AK578:AK641" si="305">K578</f>
        <v>5.2522734280466299</v>
      </c>
      <c r="AL578" s="4">
        <f t="shared" ref="AL578:AL641" si="306">M578</f>
        <v>0</v>
      </c>
      <c r="AM578" s="4">
        <f>CER!$C$7+CER!$C$8*J578+CER!$C$9*K578+CER!$C$10*L578+CER!$C$11*M578</f>
        <v>3.56520393386961</v>
      </c>
      <c r="AN578" s="4">
        <f t="shared" ref="AN578:AN641" si="307">EXP(AM578)</f>
        <v>35.346661050678961</v>
      </c>
      <c r="AO578" s="4">
        <f t="shared" ref="AO578:AO641" si="308">I578-AM578</f>
        <v>-6.0824407477678921E-2</v>
      </c>
      <c r="AP578" s="4">
        <f>Alternatives!$F$25+Alternatives!$F$26*J578+Alternatives!$F$27*K578+Alternatives!$F$28*G578+Alternatives!$F$29*O578</f>
        <v>3.4658663573972688</v>
      </c>
      <c r="AQ578" s="4">
        <f t="shared" ref="AQ578:AQ641" si="309">I578-AP578</f>
        <v>3.8513168994662283E-2</v>
      </c>
    </row>
    <row r="579" spans="1:43" x14ac:dyDescent="0.35">
      <c r="A579" s="2" t="s">
        <v>482</v>
      </c>
      <c r="B579" s="2" t="s">
        <v>462</v>
      </c>
      <c r="C579" s="2" t="s">
        <v>67</v>
      </c>
      <c r="D579" s="2">
        <v>30.229900000000001</v>
      </c>
      <c r="E579" s="2">
        <v>4500</v>
      </c>
      <c r="F579" s="2">
        <v>281</v>
      </c>
      <c r="G579" s="2">
        <v>50</v>
      </c>
      <c r="H579" s="2" t="s">
        <v>68</v>
      </c>
      <c r="I579" s="4">
        <f t="shared" si="279"/>
        <v>3.4088315008136822</v>
      </c>
      <c r="J579" s="4">
        <f t="shared" si="280"/>
        <v>8.4118326757584114</v>
      </c>
      <c r="K579" s="4">
        <f t="shared" si="281"/>
        <v>5.6383546693337454</v>
      </c>
      <c r="L579" s="2">
        <v>0</v>
      </c>
      <c r="M579" s="2">
        <v>0</v>
      </c>
      <c r="N579" s="4">
        <f t="shared" si="282"/>
        <v>50</v>
      </c>
      <c r="O579" s="4">
        <f t="shared" si="283"/>
        <v>0</v>
      </c>
      <c r="P579" s="4">
        <f t="shared" si="284"/>
        <v>0</v>
      </c>
      <c r="Q579" s="4">
        <f t="shared" si="285"/>
        <v>8.4118326757584114</v>
      </c>
      <c r="R579" s="4">
        <f t="shared" si="286"/>
        <v>5.6383546693337454</v>
      </c>
      <c r="S579" s="4">
        <f t="shared" si="287"/>
        <v>50</v>
      </c>
      <c r="T579" s="4">
        <f t="shared" si="288"/>
        <v>0</v>
      </c>
      <c r="U579" s="4">
        <f t="shared" si="289"/>
        <v>8.4118326757584114</v>
      </c>
      <c r="V579" s="4">
        <f t="shared" si="290"/>
        <v>5.6383546693337454</v>
      </c>
      <c r="W579" s="4">
        <f t="shared" si="291"/>
        <v>50</v>
      </c>
      <c r="X579" s="4">
        <f t="shared" si="292"/>
        <v>0</v>
      </c>
      <c r="Y579" s="4">
        <f t="shared" si="293"/>
        <v>8.4118326757584114</v>
      </c>
      <c r="Z579" s="4">
        <f t="shared" si="294"/>
        <v>5.6383546693337454</v>
      </c>
      <c r="AA579" s="4">
        <f t="shared" si="295"/>
        <v>50</v>
      </c>
      <c r="AB579" s="4">
        <f t="shared" si="296"/>
        <v>0</v>
      </c>
      <c r="AC579" s="4">
        <f t="shared" si="297"/>
        <v>0</v>
      </c>
      <c r="AD579" s="4">
        <f t="shared" si="298"/>
        <v>0</v>
      </c>
      <c r="AE579" s="4">
        <f t="shared" si="299"/>
        <v>0</v>
      </c>
      <c r="AF579" s="4">
        <f t="shared" si="300"/>
        <v>0</v>
      </c>
      <c r="AG579" s="4">
        <f t="shared" si="301"/>
        <v>8.4118326757584114</v>
      </c>
      <c r="AH579" s="4">
        <f t="shared" si="302"/>
        <v>0</v>
      </c>
      <c r="AI579" s="4">
        <f t="shared" si="303"/>
        <v>0</v>
      </c>
      <c r="AJ579" s="4">
        <f t="shared" si="304"/>
        <v>8.4118326757584114</v>
      </c>
      <c r="AK579" s="4">
        <f t="shared" si="305"/>
        <v>5.6383546693337454</v>
      </c>
      <c r="AL579" s="4">
        <f t="shared" si="306"/>
        <v>0</v>
      </c>
      <c r="AM579" s="4">
        <f>CER!$C$7+CER!$C$8*J579+CER!$C$9*K579+CER!$C$10*L579+CER!$C$11*M579</f>
        <v>3.3694402324758079</v>
      </c>
      <c r="AN579" s="4">
        <f t="shared" si="307"/>
        <v>29.062254397577046</v>
      </c>
      <c r="AO579" s="4">
        <f t="shared" si="308"/>
        <v>3.9391268337874319E-2</v>
      </c>
      <c r="AP579" s="4">
        <f>Alternatives!$F$25+Alternatives!$F$26*J579+Alternatives!$F$27*K579+Alternatives!$F$28*G579+Alternatives!$F$29*O579</f>
        <v>3.4067161406215924</v>
      </c>
      <c r="AQ579" s="4">
        <f t="shared" si="309"/>
        <v>2.1153601920897991E-3</v>
      </c>
    </row>
    <row r="580" spans="1:43" x14ac:dyDescent="0.35">
      <c r="A580" s="2" t="s">
        <v>483</v>
      </c>
      <c r="B580" s="2" t="s">
        <v>462</v>
      </c>
      <c r="C580" s="2" t="s">
        <v>67</v>
      </c>
      <c r="D580" s="2">
        <v>35.201900000000002</v>
      </c>
      <c r="E580" s="2">
        <v>4000</v>
      </c>
      <c r="F580" s="2">
        <v>191</v>
      </c>
      <c r="G580" s="2">
        <v>50.2</v>
      </c>
      <c r="H580" s="2" t="s">
        <v>68</v>
      </c>
      <c r="I580" s="4">
        <f t="shared" si="279"/>
        <v>3.5611000584200583</v>
      </c>
      <c r="J580" s="4">
        <f t="shared" si="280"/>
        <v>8.2940496401020276</v>
      </c>
      <c r="K580" s="4">
        <f t="shared" si="281"/>
        <v>5.2522734280466299</v>
      </c>
      <c r="L580" s="2">
        <v>0</v>
      </c>
      <c r="M580" s="2">
        <v>0</v>
      </c>
      <c r="N580" s="4">
        <f t="shared" si="282"/>
        <v>50.2</v>
      </c>
      <c r="O580" s="4">
        <f t="shared" si="283"/>
        <v>0</v>
      </c>
      <c r="P580" s="4">
        <f t="shared" si="284"/>
        <v>0</v>
      </c>
      <c r="Q580" s="4">
        <f t="shared" si="285"/>
        <v>8.2940496401020276</v>
      </c>
      <c r="R580" s="4">
        <f t="shared" si="286"/>
        <v>5.2522734280466299</v>
      </c>
      <c r="S580" s="4">
        <f t="shared" si="287"/>
        <v>50.2</v>
      </c>
      <c r="T580" s="4">
        <f t="shared" si="288"/>
        <v>0</v>
      </c>
      <c r="U580" s="4">
        <f t="shared" si="289"/>
        <v>8.2940496401020276</v>
      </c>
      <c r="V580" s="4">
        <f t="shared" si="290"/>
        <v>5.2522734280466299</v>
      </c>
      <c r="W580" s="4">
        <f t="shared" si="291"/>
        <v>50.2</v>
      </c>
      <c r="X580" s="4">
        <f t="shared" si="292"/>
        <v>0</v>
      </c>
      <c r="Y580" s="4">
        <f t="shared" si="293"/>
        <v>8.2940496401020276</v>
      </c>
      <c r="Z580" s="4">
        <f t="shared" si="294"/>
        <v>5.2522734280466299</v>
      </c>
      <c r="AA580" s="4">
        <f t="shared" si="295"/>
        <v>50.2</v>
      </c>
      <c r="AB580" s="4">
        <f t="shared" si="296"/>
        <v>0</v>
      </c>
      <c r="AC580" s="4">
        <f t="shared" si="297"/>
        <v>0</v>
      </c>
      <c r="AD580" s="4">
        <f t="shared" si="298"/>
        <v>0</v>
      </c>
      <c r="AE580" s="4">
        <f t="shared" si="299"/>
        <v>0</v>
      </c>
      <c r="AF580" s="4">
        <f t="shared" si="300"/>
        <v>0</v>
      </c>
      <c r="AG580" s="4">
        <f t="shared" si="301"/>
        <v>8.2940496401020276</v>
      </c>
      <c r="AH580" s="4">
        <f t="shared" si="302"/>
        <v>0</v>
      </c>
      <c r="AI580" s="4">
        <f t="shared" si="303"/>
        <v>0</v>
      </c>
      <c r="AJ580" s="4">
        <f t="shared" si="304"/>
        <v>8.2940496401020276</v>
      </c>
      <c r="AK580" s="4">
        <f t="shared" si="305"/>
        <v>5.2522734280466299</v>
      </c>
      <c r="AL580" s="4">
        <f t="shared" si="306"/>
        <v>0</v>
      </c>
      <c r="AM580" s="4">
        <f>CER!$C$7+CER!$C$8*J580+CER!$C$9*K580+CER!$C$10*L580+CER!$C$11*M580</f>
        <v>3.56520393386961</v>
      </c>
      <c r="AN580" s="4">
        <f t="shared" si="307"/>
        <v>35.346661050678961</v>
      </c>
      <c r="AO580" s="4">
        <f t="shared" si="308"/>
        <v>-4.1038754495517082E-3</v>
      </c>
      <c r="AP580" s="4">
        <f>Alternatives!$F$25+Alternatives!$F$26*J580+Alternatives!$F$27*K580+Alternatives!$F$28*G580+Alternatives!$F$29*O580</f>
        <v>3.4632648944888231</v>
      </c>
      <c r="AQ580" s="4">
        <f t="shared" si="309"/>
        <v>9.7835163931235147E-2</v>
      </c>
    </row>
    <row r="581" spans="1:43" x14ac:dyDescent="0.35">
      <c r="A581" s="2" t="s">
        <v>483</v>
      </c>
      <c r="B581" s="2" t="s">
        <v>462</v>
      </c>
      <c r="C581" s="2" t="s">
        <v>67</v>
      </c>
      <c r="D581" s="2">
        <v>30.702100000000002</v>
      </c>
      <c r="E581" s="2">
        <v>4500</v>
      </c>
      <c r="F581" s="2">
        <v>281</v>
      </c>
      <c r="G581" s="2">
        <v>50.2</v>
      </c>
      <c r="H581" s="2" t="s">
        <v>68</v>
      </c>
      <c r="I581" s="4">
        <f t="shared" si="279"/>
        <v>3.4243310561625058</v>
      </c>
      <c r="J581" s="4">
        <f t="shared" si="280"/>
        <v>8.4118326757584114</v>
      </c>
      <c r="K581" s="4">
        <f t="shared" si="281"/>
        <v>5.6383546693337454</v>
      </c>
      <c r="L581" s="2">
        <v>0</v>
      </c>
      <c r="M581" s="2">
        <v>0</v>
      </c>
      <c r="N581" s="4">
        <f t="shared" si="282"/>
        <v>50.2</v>
      </c>
      <c r="O581" s="4">
        <f t="shared" si="283"/>
        <v>0</v>
      </c>
      <c r="P581" s="4">
        <f t="shared" si="284"/>
        <v>0</v>
      </c>
      <c r="Q581" s="4">
        <f t="shared" si="285"/>
        <v>8.4118326757584114</v>
      </c>
      <c r="R581" s="4">
        <f t="shared" si="286"/>
        <v>5.6383546693337454</v>
      </c>
      <c r="S581" s="4">
        <f t="shared" si="287"/>
        <v>50.2</v>
      </c>
      <c r="T581" s="4">
        <f t="shared" si="288"/>
        <v>0</v>
      </c>
      <c r="U581" s="4">
        <f t="shared" si="289"/>
        <v>8.4118326757584114</v>
      </c>
      <c r="V581" s="4">
        <f t="shared" si="290"/>
        <v>5.6383546693337454</v>
      </c>
      <c r="W581" s="4">
        <f t="shared" si="291"/>
        <v>50.2</v>
      </c>
      <c r="X581" s="4">
        <f t="shared" si="292"/>
        <v>0</v>
      </c>
      <c r="Y581" s="4">
        <f t="shared" si="293"/>
        <v>8.4118326757584114</v>
      </c>
      <c r="Z581" s="4">
        <f t="shared" si="294"/>
        <v>5.6383546693337454</v>
      </c>
      <c r="AA581" s="4">
        <f t="shared" si="295"/>
        <v>50.2</v>
      </c>
      <c r="AB581" s="4">
        <f t="shared" si="296"/>
        <v>0</v>
      </c>
      <c r="AC581" s="4">
        <f t="shared" si="297"/>
        <v>0</v>
      </c>
      <c r="AD581" s="4">
        <f t="shared" si="298"/>
        <v>0</v>
      </c>
      <c r="AE581" s="4">
        <f t="shared" si="299"/>
        <v>0</v>
      </c>
      <c r="AF581" s="4">
        <f t="shared" si="300"/>
        <v>0</v>
      </c>
      <c r="AG581" s="4">
        <f t="shared" si="301"/>
        <v>8.4118326757584114</v>
      </c>
      <c r="AH581" s="4">
        <f t="shared" si="302"/>
        <v>0</v>
      </c>
      <c r="AI581" s="4">
        <f t="shared" si="303"/>
        <v>0</v>
      </c>
      <c r="AJ581" s="4">
        <f t="shared" si="304"/>
        <v>8.4118326757584114</v>
      </c>
      <c r="AK581" s="4">
        <f t="shared" si="305"/>
        <v>5.6383546693337454</v>
      </c>
      <c r="AL581" s="4">
        <f t="shared" si="306"/>
        <v>0</v>
      </c>
      <c r="AM581" s="4">
        <f>CER!$C$7+CER!$C$8*J581+CER!$C$9*K581+CER!$C$10*L581+CER!$C$11*M581</f>
        <v>3.3694402324758079</v>
      </c>
      <c r="AN581" s="4">
        <f t="shared" si="307"/>
        <v>29.062254397577046</v>
      </c>
      <c r="AO581" s="4">
        <f t="shared" si="308"/>
        <v>5.4890823686697843E-2</v>
      </c>
      <c r="AP581" s="4">
        <f>Alternatives!$F$25+Alternatives!$F$26*J581+Alternatives!$F$27*K581+Alternatives!$F$28*G581+Alternatives!$F$29*O581</f>
        <v>3.4041146777131468</v>
      </c>
      <c r="AQ581" s="4">
        <f t="shared" si="309"/>
        <v>2.0216378449358974E-2</v>
      </c>
    </row>
    <row r="582" spans="1:43" x14ac:dyDescent="0.35">
      <c r="A582" s="2" t="s">
        <v>484</v>
      </c>
      <c r="B582" s="2" t="s">
        <v>462</v>
      </c>
      <c r="C582" s="2" t="s">
        <v>33</v>
      </c>
      <c r="D582" s="2">
        <v>52.025500000000001</v>
      </c>
      <c r="E582" s="2">
        <v>4000</v>
      </c>
      <c r="F582" s="2">
        <v>177</v>
      </c>
      <c r="G582" s="2">
        <v>50.2</v>
      </c>
      <c r="H582" s="2" t="s">
        <v>68</v>
      </c>
      <c r="I582" s="4">
        <f t="shared" si="279"/>
        <v>3.9517339829975708</v>
      </c>
      <c r="J582" s="4">
        <f t="shared" si="280"/>
        <v>8.2940496401020276</v>
      </c>
      <c r="K582" s="4">
        <f t="shared" si="281"/>
        <v>5.1761497325738288</v>
      </c>
      <c r="L582" s="2">
        <v>1</v>
      </c>
      <c r="M582" s="2">
        <v>0</v>
      </c>
      <c r="N582" s="4">
        <f t="shared" si="282"/>
        <v>50.2</v>
      </c>
      <c r="O582" s="4">
        <f t="shared" si="283"/>
        <v>1</v>
      </c>
      <c r="P582" s="4">
        <f t="shared" si="284"/>
        <v>1</v>
      </c>
      <c r="Q582" s="4">
        <f t="shared" si="285"/>
        <v>8.2940496401020276</v>
      </c>
      <c r="R582" s="4">
        <f t="shared" si="286"/>
        <v>5.1761497325738288</v>
      </c>
      <c r="S582" s="4">
        <f t="shared" si="287"/>
        <v>50.2</v>
      </c>
      <c r="T582" s="4">
        <f t="shared" si="288"/>
        <v>1</v>
      </c>
      <c r="U582" s="4">
        <f t="shared" si="289"/>
        <v>8.2940496401020276</v>
      </c>
      <c r="V582" s="4">
        <f t="shared" si="290"/>
        <v>5.1761497325738288</v>
      </c>
      <c r="W582" s="4">
        <f t="shared" si="291"/>
        <v>50.2</v>
      </c>
      <c r="X582" s="4">
        <f t="shared" si="292"/>
        <v>1</v>
      </c>
      <c r="Y582" s="4">
        <f t="shared" si="293"/>
        <v>8.2940496401020276</v>
      </c>
      <c r="Z582" s="4">
        <f t="shared" si="294"/>
        <v>5.1761497325738288</v>
      </c>
      <c r="AA582" s="4">
        <f t="shared" si="295"/>
        <v>50.2</v>
      </c>
      <c r="AB582" s="4">
        <f t="shared" si="296"/>
        <v>1</v>
      </c>
      <c r="AC582" s="4">
        <f t="shared" si="297"/>
        <v>0</v>
      </c>
      <c r="AD582" s="4">
        <f t="shared" si="298"/>
        <v>0</v>
      </c>
      <c r="AE582" s="4">
        <f t="shared" si="299"/>
        <v>0</v>
      </c>
      <c r="AF582" s="4">
        <f t="shared" si="300"/>
        <v>0</v>
      </c>
      <c r="AG582" s="4">
        <f t="shared" si="301"/>
        <v>8.2940496401020276</v>
      </c>
      <c r="AH582" s="4">
        <f t="shared" si="302"/>
        <v>1</v>
      </c>
      <c r="AI582" s="4">
        <f t="shared" si="303"/>
        <v>0</v>
      </c>
      <c r="AJ582" s="4">
        <f t="shared" si="304"/>
        <v>8.2940496401020276</v>
      </c>
      <c r="AK582" s="4">
        <f t="shared" si="305"/>
        <v>5.1761497325738288</v>
      </c>
      <c r="AL582" s="4">
        <f t="shared" si="306"/>
        <v>0</v>
      </c>
      <c r="AM582" s="4">
        <f>CER!$C$7+CER!$C$8*J582+CER!$C$9*K582+CER!$C$10*L582+CER!$C$11*M582</f>
        <v>3.817042862759882</v>
      </c>
      <c r="AN582" s="4">
        <f t="shared" si="307"/>
        <v>45.469549618377656</v>
      </c>
      <c r="AO582" s="4">
        <f t="shared" si="308"/>
        <v>0.13469112023768881</v>
      </c>
      <c r="AP582" s="4">
        <f>Alternatives!$F$25+Alternatives!$F$26*J582+Alternatives!$F$27*K582+Alternatives!$F$28*G582+Alternatives!$F$29*O582</f>
        <v>4.3282620975567578</v>
      </c>
      <c r="AQ582" s="4">
        <f t="shared" si="309"/>
        <v>-0.376528114559187</v>
      </c>
    </row>
    <row r="583" spans="1:43" x14ac:dyDescent="0.35">
      <c r="A583" s="2" t="s">
        <v>485</v>
      </c>
      <c r="B583" s="2" t="s">
        <v>462</v>
      </c>
      <c r="C583" s="2" t="s">
        <v>33</v>
      </c>
      <c r="D583" s="2">
        <v>46.336599999999997</v>
      </c>
      <c r="E583" s="2">
        <v>4500</v>
      </c>
      <c r="F583" s="2">
        <v>177</v>
      </c>
      <c r="G583" s="2">
        <v>50</v>
      </c>
      <c r="H583" s="2" t="s">
        <v>68</v>
      </c>
      <c r="I583" s="4">
        <f t="shared" si="279"/>
        <v>3.8359321455744424</v>
      </c>
      <c r="J583" s="4">
        <f t="shared" si="280"/>
        <v>8.4118326757584114</v>
      </c>
      <c r="K583" s="4">
        <f t="shared" si="281"/>
        <v>5.1761497325738288</v>
      </c>
      <c r="L583" s="2">
        <v>1</v>
      </c>
      <c r="M583" s="2">
        <v>0</v>
      </c>
      <c r="N583" s="4">
        <f t="shared" si="282"/>
        <v>50</v>
      </c>
      <c r="O583" s="4">
        <f t="shared" si="283"/>
        <v>1</v>
      </c>
      <c r="P583" s="4">
        <f t="shared" si="284"/>
        <v>1</v>
      </c>
      <c r="Q583" s="4">
        <f t="shared" si="285"/>
        <v>8.4118326757584114</v>
      </c>
      <c r="R583" s="4">
        <f t="shared" si="286"/>
        <v>5.1761497325738288</v>
      </c>
      <c r="S583" s="4">
        <f t="shared" si="287"/>
        <v>50</v>
      </c>
      <c r="T583" s="4">
        <f t="shared" si="288"/>
        <v>1</v>
      </c>
      <c r="U583" s="4">
        <f t="shared" si="289"/>
        <v>8.4118326757584114</v>
      </c>
      <c r="V583" s="4">
        <f t="shared" si="290"/>
        <v>5.1761497325738288</v>
      </c>
      <c r="W583" s="4">
        <f t="shared" si="291"/>
        <v>50</v>
      </c>
      <c r="X583" s="4">
        <f t="shared" si="292"/>
        <v>1</v>
      </c>
      <c r="Y583" s="4">
        <f t="shared" si="293"/>
        <v>8.4118326757584114</v>
      </c>
      <c r="Z583" s="4">
        <f t="shared" si="294"/>
        <v>5.1761497325738288</v>
      </c>
      <c r="AA583" s="4">
        <f t="shared" si="295"/>
        <v>50</v>
      </c>
      <c r="AB583" s="4">
        <f t="shared" si="296"/>
        <v>1</v>
      </c>
      <c r="AC583" s="4">
        <f t="shared" si="297"/>
        <v>0</v>
      </c>
      <c r="AD583" s="4">
        <f t="shared" si="298"/>
        <v>0</v>
      </c>
      <c r="AE583" s="4">
        <f t="shared" si="299"/>
        <v>0</v>
      </c>
      <c r="AF583" s="4">
        <f t="shared" si="300"/>
        <v>0</v>
      </c>
      <c r="AG583" s="4">
        <f t="shared" si="301"/>
        <v>8.4118326757584114</v>
      </c>
      <c r="AH583" s="4">
        <f t="shared" si="302"/>
        <v>1</v>
      </c>
      <c r="AI583" s="4">
        <f t="shared" si="303"/>
        <v>0</v>
      </c>
      <c r="AJ583" s="4">
        <f t="shared" si="304"/>
        <v>8.4118326757584114</v>
      </c>
      <c r="AK583" s="4">
        <f t="shared" si="305"/>
        <v>5.1761497325738288</v>
      </c>
      <c r="AL583" s="4">
        <f t="shared" si="306"/>
        <v>0</v>
      </c>
      <c r="AM583" s="4">
        <f>CER!$C$7+CER!$C$8*J583+CER!$C$9*K583+CER!$C$10*L583+CER!$C$11*M583</f>
        <v>3.7637214083810822</v>
      </c>
      <c r="AN583" s="4">
        <f t="shared" si="307"/>
        <v>43.108552374212145</v>
      </c>
      <c r="AO583" s="4">
        <f t="shared" si="308"/>
        <v>7.2210737193360242E-2</v>
      </c>
      <c r="AP583" s="4">
        <f>Alternatives!$F$25+Alternatives!$F$26*J583+Alternatives!$F$27*K583+Alternatives!$F$28*G583+Alternatives!$F$29*O583</f>
        <v>4.3744534104189947</v>
      </c>
      <c r="AQ583" s="4">
        <f t="shared" si="309"/>
        <v>-0.53852126484455232</v>
      </c>
    </row>
    <row r="584" spans="1:43" x14ac:dyDescent="0.35">
      <c r="A584" s="2" t="s">
        <v>486</v>
      </c>
      <c r="B584" s="2" t="s">
        <v>462</v>
      </c>
      <c r="C584" s="2" t="s">
        <v>33</v>
      </c>
      <c r="D584" s="2">
        <v>47.108899999999998</v>
      </c>
      <c r="E584" s="2">
        <v>4500</v>
      </c>
      <c r="F584" s="2">
        <v>177</v>
      </c>
      <c r="G584" s="2">
        <v>50</v>
      </c>
      <c r="H584" s="2" t="s">
        <v>68</v>
      </c>
      <c r="I584" s="4">
        <f t="shared" si="279"/>
        <v>3.8524619428320412</v>
      </c>
      <c r="J584" s="4">
        <f t="shared" si="280"/>
        <v>8.4118326757584114</v>
      </c>
      <c r="K584" s="4">
        <f t="shared" si="281"/>
        <v>5.1761497325738288</v>
      </c>
      <c r="L584" s="2">
        <v>1</v>
      </c>
      <c r="M584" s="2">
        <v>0</v>
      </c>
      <c r="N584" s="4">
        <f t="shared" si="282"/>
        <v>50</v>
      </c>
      <c r="O584" s="4">
        <f t="shared" si="283"/>
        <v>1</v>
      </c>
      <c r="P584" s="4">
        <f t="shared" si="284"/>
        <v>1</v>
      </c>
      <c r="Q584" s="4">
        <f t="shared" si="285"/>
        <v>8.4118326757584114</v>
      </c>
      <c r="R584" s="4">
        <f t="shared" si="286"/>
        <v>5.1761497325738288</v>
      </c>
      <c r="S584" s="4">
        <f t="shared" si="287"/>
        <v>50</v>
      </c>
      <c r="T584" s="4">
        <f t="shared" si="288"/>
        <v>1</v>
      </c>
      <c r="U584" s="4">
        <f t="shared" si="289"/>
        <v>8.4118326757584114</v>
      </c>
      <c r="V584" s="4">
        <f t="shared" si="290"/>
        <v>5.1761497325738288</v>
      </c>
      <c r="W584" s="4">
        <f t="shared" si="291"/>
        <v>50</v>
      </c>
      <c r="X584" s="4">
        <f t="shared" si="292"/>
        <v>1</v>
      </c>
      <c r="Y584" s="4">
        <f t="shared" si="293"/>
        <v>8.4118326757584114</v>
      </c>
      <c r="Z584" s="4">
        <f t="shared" si="294"/>
        <v>5.1761497325738288</v>
      </c>
      <c r="AA584" s="4">
        <f t="shared" si="295"/>
        <v>50</v>
      </c>
      <c r="AB584" s="4">
        <f t="shared" si="296"/>
        <v>1</v>
      </c>
      <c r="AC584" s="4">
        <f t="shared" si="297"/>
        <v>0</v>
      </c>
      <c r="AD584" s="4">
        <f t="shared" si="298"/>
        <v>0</v>
      </c>
      <c r="AE584" s="4">
        <f t="shared" si="299"/>
        <v>0</v>
      </c>
      <c r="AF584" s="4">
        <f t="shared" si="300"/>
        <v>0</v>
      </c>
      <c r="AG584" s="4">
        <f t="shared" si="301"/>
        <v>8.4118326757584114</v>
      </c>
      <c r="AH584" s="4">
        <f t="shared" si="302"/>
        <v>1</v>
      </c>
      <c r="AI584" s="4">
        <f t="shared" si="303"/>
        <v>0</v>
      </c>
      <c r="AJ584" s="4">
        <f t="shared" si="304"/>
        <v>8.4118326757584114</v>
      </c>
      <c r="AK584" s="4">
        <f t="shared" si="305"/>
        <v>5.1761497325738288</v>
      </c>
      <c r="AL584" s="4">
        <f t="shared" si="306"/>
        <v>0</v>
      </c>
      <c r="AM584" s="4">
        <f>CER!$C$7+CER!$C$8*J584+CER!$C$9*K584+CER!$C$10*L584+CER!$C$11*M584</f>
        <v>3.7637214083810822</v>
      </c>
      <c r="AN584" s="4">
        <f t="shared" si="307"/>
        <v>43.108552374212145</v>
      </c>
      <c r="AO584" s="4">
        <f t="shared" si="308"/>
        <v>8.8740534450959085E-2</v>
      </c>
      <c r="AP584" s="4">
        <f>Alternatives!$F$25+Alternatives!$F$26*J584+Alternatives!$F$27*K584+Alternatives!$F$28*G584+Alternatives!$F$29*O584</f>
        <v>4.3744534104189947</v>
      </c>
      <c r="AQ584" s="4">
        <f t="shared" si="309"/>
        <v>-0.52199146758695347</v>
      </c>
    </row>
    <row r="585" spans="1:43" x14ac:dyDescent="0.35">
      <c r="A585" s="2" t="s">
        <v>487</v>
      </c>
      <c r="B585" s="2" t="s">
        <v>488</v>
      </c>
      <c r="C585" s="2" t="s">
        <v>67</v>
      </c>
      <c r="D585" s="2">
        <v>23.770099999999999</v>
      </c>
      <c r="E585" s="2">
        <v>3500</v>
      </c>
      <c r="F585" s="2">
        <v>400</v>
      </c>
      <c r="G585" s="2">
        <v>44.7</v>
      </c>
      <c r="H585" s="2" t="s">
        <v>68</v>
      </c>
      <c r="I585" s="4">
        <f t="shared" si="279"/>
        <v>3.1684284883468461</v>
      </c>
      <c r="J585" s="4">
        <f t="shared" si="280"/>
        <v>8.1605182474775049</v>
      </c>
      <c r="K585" s="4">
        <f t="shared" si="281"/>
        <v>5.9914645471079817</v>
      </c>
      <c r="L585" s="2">
        <v>0</v>
      </c>
      <c r="M585" s="2">
        <v>0</v>
      </c>
      <c r="N585" s="4">
        <f t="shared" si="282"/>
        <v>44.7</v>
      </c>
      <c r="O585" s="4">
        <f t="shared" si="283"/>
        <v>0</v>
      </c>
      <c r="P585" s="4">
        <f t="shared" si="284"/>
        <v>0</v>
      </c>
      <c r="Q585" s="4">
        <f t="shared" si="285"/>
        <v>8.1605182474775049</v>
      </c>
      <c r="R585" s="4">
        <f t="shared" si="286"/>
        <v>5.9914645471079817</v>
      </c>
      <c r="S585" s="4">
        <f t="shared" si="287"/>
        <v>44.7</v>
      </c>
      <c r="T585" s="4">
        <f t="shared" si="288"/>
        <v>0</v>
      </c>
      <c r="U585" s="4">
        <f t="shared" si="289"/>
        <v>8.1605182474775049</v>
      </c>
      <c r="V585" s="4">
        <f t="shared" si="290"/>
        <v>5.9914645471079817</v>
      </c>
      <c r="W585" s="4">
        <f t="shared" si="291"/>
        <v>44.7</v>
      </c>
      <c r="X585" s="4">
        <f t="shared" si="292"/>
        <v>0</v>
      </c>
      <c r="Y585" s="4">
        <f t="shared" si="293"/>
        <v>8.1605182474775049</v>
      </c>
      <c r="Z585" s="4">
        <f t="shared" si="294"/>
        <v>5.9914645471079817</v>
      </c>
      <c r="AA585" s="4">
        <f t="shared" si="295"/>
        <v>44.7</v>
      </c>
      <c r="AB585" s="4">
        <f t="shared" si="296"/>
        <v>0</v>
      </c>
      <c r="AC585" s="4">
        <f t="shared" si="297"/>
        <v>0</v>
      </c>
      <c r="AD585" s="4">
        <f t="shared" si="298"/>
        <v>0</v>
      </c>
      <c r="AE585" s="4">
        <f t="shared" si="299"/>
        <v>0</v>
      </c>
      <c r="AF585" s="4">
        <f t="shared" si="300"/>
        <v>0</v>
      </c>
      <c r="AG585" s="4">
        <f t="shared" si="301"/>
        <v>8.1605182474775049</v>
      </c>
      <c r="AH585" s="4">
        <f t="shared" si="302"/>
        <v>0</v>
      </c>
      <c r="AI585" s="4">
        <f t="shared" si="303"/>
        <v>0</v>
      </c>
      <c r="AJ585" s="4">
        <f t="shared" si="304"/>
        <v>8.1605182474775049</v>
      </c>
      <c r="AK585" s="4">
        <f t="shared" si="305"/>
        <v>5.9914645471079817</v>
      </c>
      <c r="AL585" s="4">
        <f t="shared" si="306"/>
        <v>0</v>
      </c>
      <c r="AM585" s="4">
        <f>CER!$C$7+CER!$C$8*J585+CER!$C$9*K585+CER!$C$10*L585+CER!$C$11*M585</f>
        <v>3.3529348963427092</v>
      </c>
      <c r="AN585" s="4">
        <f t="shared" si="307"/>
        <v>28.586509088484622</v>
      </c>
      <c r="AO585" s="4">
        <f t="shared" si="308"/>
        <v>-0.18450640799586315</v>
      </c>
      <c r="AP585" s="4">
        <f>Alternatives!$F$25+Alternatives!$F$26*J585+Alternatives!$F$27*K585+Alternatives!$F$28*G585+Alternatives!$F$29*O585</f>
        <v>3.2886809034527733</v>
      </c>
      <c r="AQ585" s="4">
        <f t="shared" si="309"/>
        <v>-0.12025241510592721</v>
      </c>
    </row>
    <row r="586" spans="1:43" x14ac:dyDescent="0.35">
      <c r="A586" s="2" t="s">
        <v>487</v>
      </c>
      <c r="B586" s="2" t="s">
        <v>488</v>
      </c>
      <c r="C586" s="2" t="s">
        <v>67</v>
      </c>
      <c r="D586" s="2">
        <v>26.779499999999999</v>
      </c>
      <c r="E586" s="2">
        <v>3500</v>
      </c>
      <c r="F586" s="2">
        <v>400</v>
      </c>
      <c r="G586" s="2">
        <v>44.7</v>
      </c>
      <c r="H586" s="2" t="s">
        <v>68</v>
      </c>
      <c r="I586" s="4">
        <f t="shared" si="279"/>
        <v>3.2876366694389891</v>
      </c>
      <c r="J586" s="4">
        <f t="shared" si="280"/>
        <v>8.1605182474775049</v>
      </c>
      <c r="K586" s="4">
        <f t="shared" si="281"/>
        <v>5.9914645471079817</v>
      </c>
      <c r="L586" s="2">
        <v>0</v>
      </c>
      <c r="M586" s="2">
        <v>0</v>
      </c>
      <c r="N586" s="4">
        <f t="shared" si="282"/>
        <v>44.7</v>
      </c>
      <c r="O586" s="4">
        <f t="shared" si="283"/>
        <v>0</v>
      </c>
      <c r="P586" s="4">
        <f t="shared" si="284"/>
        <v>0</v>
      </c>
      <c r="Q586" s="4">
        <f t="shared" si="285"/>
        <v>8.1605182474775049</v>
      </c>
      <c r="R586" s="4">
        <f t="shared" si="286"/>
        <v>5.9914645471079817</v>
      </c>
      <c r="S586" s="4">
        <f t="shared" si="287"/>
        <v>44.7</v>
      </c>
      <c r="T586" s="4">
        <f t="shared" si="288"/>
        <v>0</v>
      </c>
      <c r="U586" s="4">
        <f t="shared" si="289"/>
        <v>8.1605182474775049</v>
      </c>
      <c r="V586" s="4">
        <f t="shared" si="290"/>
        <v>5.9914645471079817</v>
      </c>
      <c r="W586" s="4">
        <f t="shared" si="291"/>
        <v>44.7</v>
      </c>
      <c r="X586" s="4">
        <f t="shared" si="292"/>
        <v>0</v>
      </c>
      <c r="Y586" s="4">
        <f t="shared" si="293"/>
        <v>8.1605182474775049</v>
      </c>
      <c r="Z586" s="4">
        <f t="shared" si="294"/>
        <v>5.9914645471079817</v>
      </c>
      <c r="AA586" s="4">
        <f t="shared" si="295"/>
        <v>44.7</v>
      </c>
      <c r="AB586" s="4">
        <f t="shared" si="296"/>
        <v>0</v>
      </c>
      <c r="AC586" s="4">
        <f t="shared" si="297"/>
        <v>0</v>
      </c>
      <c r="AD586" s="4">
        <f t="shared" si="298"/>
        <v>0</v>
      </c>
      <c r="AE586" s="4">
        <f t="shared" si="299"/>
        <v>0</v>
      </c>
      <c r="AF586" s="4">
        <f t="shared" si="300"/>
        <v>0</v>
      </c>
      <c r="AG586" s="4">
        <f t="shared" si="301"/>
        <v>8.1605182474775049</v>
      </c>
      <c r="AH586" s="4">
        <f t="shared" si="302"/>
        <v>0</v>
      </c>
      <c r="AI586" s="4">
        <f t="shared" si="303"/>
        <v>0</v>
      </c>
      <c r="AJ586" s="4">
        <f t="shared" si="304"/>
        <v>8.1605182474775049</v>
      </c>
      <c r="AK586" s="4">
        <f t="shared" si="305"/>
        <v>5.9914645471079817</v>
      </c>
      <c r="AL586" s="4">
        <f t="shared" si="306"/>
        <v>0</v>
      </c>
      <c r="AM586" s="4">
        <f>CER!$C$7+CER!$C$8*J586+CER!$C$9*K586+CER!$C$10*L586+CER!$C$11*M586</f>
        <v>3.3529348963427092</v>
      </c>
      <c r="AN586" s="4">
        <f t="shared" si="307"/>
        <v>28.586509088484622</v>
      </c>
      <c r="AO586" s="4">
        <f t="shared" si="308"/>
        <v>-6.5298226903720114E-2</v>
      </c>
      <c r="AP586" s="4">
        <f>Alternatives!$F$25+Alternatives!$F$26*J586+Alternatives!$F$27*K586+Alternatives!$F$28*G586+Alternatives!$F$29*O586</f>
        <v>3.2886809034527733</v>
      </c>
      <c r="AQ586" s="4">
        <f t="shared" si="309"/>
        <v>-1.0442340137841732E-3</v>
      </c>
    </row>
    <row r="587" spans="1:43" x14ac:dyDescent="0.35">
      <c r="A587" s="2" t="s">
        <v>487</v>
      </c>
      <c r="B587" s="2" t="s">
        <v>488</v>
      </c>
      <c r="C587" s="2" t="s">
        <v>67</v>
      </c>
      <c r="D587" s="2">
        <v>31.138000000000002</v>
      </c>
      <c r="E587" s="2">
        <v>3500</v>
      </c>
      <c r="F587" s="2">
        <v>400</v>
      </c>
      <c r="G587" s="2">
        <v>44.7</v>
      </c>
      <c r="H587" s="2" t="s">
        <v>68</v>
      </c>
      <c r="I587" s="4">
        <f t="shared" si="279"/>
        <v>3.4384289382674829</v>
      </c>
      <c r="J587" s="4">
        <f t="shared" si="280"/>
        <v>8.1605182474775049</v>
      </c>
      <c r="K587" s="4">
        <f t="shared" si="281"/>
        <v>5.9914645471079817</v>
      </c>
      <c r="L587" s="2">
        <v>0</v>
      </c>
      <c r="M587" s="2">
        <v>0</v>
      </c>
      <c r="N587" s="4">
        <f t="shared" si="282"/>
        <v>44.7</v>
      </c>
      <c r="O587" s="4">
        <f t="shared" si="283"/>
        <v>0</v>
      </c>
      <c r="P587" s="4">
        <f t="shared" si="284"/>
        <v>0</v>
      </c>
      <c r="Q587" s="4">
        <f t="shared" si="285"/>
        <v>8.1605182474775049</v>
      </c>
      <c r="R587" s="4">
        <f t="shared" si="286"/>
        <v>5.9914645471079817</v>
      </c>
      <c r="S587" s="4">
        <f t="shared" si="287"/>
        <v>44.7</v>
      </c>
      <c r="T587" s="4">
        <f t="shared" si="288"/>
        <v>0</v>
      </c>
      <c r="U587" s="4">
        <f t="shared" si="289"/>
        <v>8.1605182474775049</v>
      </c>
      <c r="V587" s="4">
        <f t="shared" si="290"/>
        <v>5.9914645471079817</v>
      </c>
      <c r="W587" s="4">
        <f t="shared" si="291"/>
        <v>44.7</v>
      </c>
      <c r="X587" s="4">
        <f t="shared" si="292"/>
        <v>0</v>
      </c>
      <c r="Y587" s="4">
        <f t="shared" si="293"/>
        <v>8.1605182474775049</v>
      </c>
      <c r="Z587" s="4">
        <f t="shared" si="294"/>
        <v>5.9914645471079817</v>
      </c>
      <c r="AA587" s="4">
        <f t="shared" si="295"/>
        <v>44.7</v>
      </c>
      <c r="AB587" s="4">
        <f t="shared" si="296"/>
        <v>0</v>
      </c>
      <c r="AC587" s="4">
        <f t="shared" si="297"/>
        <v>0</v>
      </c>
      <c r="AD587" s="4">
        <f t="shared" si="298"/>
        <v>0</v>
      </c>
      <c r="AE587" s="4">
        <f t="shared" si="299"/>
        <v>0</v>
      </c>
      <c r="AF587" s="4">
        <f t="shared" si="300"/>
        <v>0</v>
      </c>
      <c r="AG587" s="4">
        <f t="shared" si="301"/>
        <v>8.1605182474775049</v>
      </c>
      <c r="AH587" s="4">
        <f t="shared" si="302"/>
        <v>0</v>
      </c>
      <c r="AI587" s="4">
        <f t="shared" si="303"/>
        <v>0</v>
      </c>
      <c r="AJ587" s="4">
        <f t="shared" si="304"/>
        <v>8.1605182474775049</v>
      </c>
      <c r="AK587" s="4">
        <f t="shared" si="305"/>
        <v>5.9914645471079817</v>
      </c>
      <c r="AL587" s="4">
        <f t="shared" si="306"/>
        <v>0</v>
      </c>
      <c r="AM587" s="4">
        <f>CER!$C$7+CER!$C$8*J587+CER!$C$9*K587+CER!$C$10*L587+CER!$C$11*M587</f>
        <v>3.3529348963427092</v>
      </c>
      <c r="AN587" s="4">
        <f t="shared" si="307"/>
        <v>28.586509088484622</v>
      </c>
      <c r="AO587" s="4">
        <f t="shared" si="308"/>
        <v>8.5494041924773612E-2</v>
      </c>
      <c r="AP587" s="4">
        <f>Alternatives!$F$25+Alternatives!$F$26*J587+Alternatives!$F$27*K587+Alternatives!$F$28*G587+Alternatives!$F$29*O587</f>
        <v>3.2886809034527733</v>
      </c>
      <c r="AQ587" s="4">
        <f t="shared" si="309"/>
        <v>0.14974803481470955</v>
      </c>
    </row>
    <row r="588" spans="1:43" x14ac:dyDescent="0.35">
      <c r="A588" s="2" t="s">
        <v>489</v>
      </c>
      <c r="B588" s="2" t="s">
        <v>490</v>
      </c>
      <c r="C588" s="2" t="s">
        <v>67</v>
      </c>
      <c r="D588" s="2">
        <v>20.14</v>
      </c>
      <c r="E588" s="2">
        <v>5000</v>
      </c>
      <c r="F588" s="2">
        <v>572</v>
      </c>
      <c r="G588" s="2">
        <v>53.1</v>
      </c>
      <c r="H588" s="2" t="s">
        <v>68</v>
      </c>
      <c r="I588" s="4">
        <f t="shared" si="279"/>
        <v>3.0027078872904163</v>
      </c>
      <c r="J588" s="4">
        <f t="shared" si="280"/>
        <v>8.5171931914162382</v>
      </c>
      <c r="K588" s="4">
        <f t="shared" si="281"/>
        <v>6.3491389913797978</v>
      </c>
      <c r="L588" s="2">
        <v>0</v>
      </c>
      <c r="M588" s="2">
        <v>0</v>
      </c>
      <c r="N588" s="4">
        <f t="shared" si="282"/>
        <v>53.1</v>
      </c>
      <c r="O588" s="4">
        <f t="shared" si="283"/>
        <v>0</v>
      </c>
      <c r="P588" s="4">
        <f t="shared" si="284"/>
        <v>0</v>
      </c>
      <c r="Q588" s="4">
        <f t="shared" si="285"/>
        <v>8.5171931914162382</v>
      </c>
      <c r="R588" s="4">
        <f t="shared" si="286"/>
        <v>6.3491389913797978</v>
      </c>
      <c r="S588" s="4">
        <f t="shared" si="287"/>
        <v>53.1</v>
      </c>
      <c r="T588" s="4">
        <f t="shared" si="288"/>
        <v>0</v>
      </c>
      <c r="U588" s="4">
        <f t="shared" si="289"/>
        <v>8.5171931914162382</v>
      </c>
      <c r="V588" s="4">
        <f t="shared" si="290"/>
        <v>6.3491389913797978</v>
      </c>
      <c r="W588" s="4">
        <f t="shared" si="291"/>
        <v>53.1</v>
      </c>
      <c r="X588" s="4">
        <f t="shared" si="292"/>
        <v>0</v>
      </c>
      <c r="Y588" s="4">
        <f t="shared" si="293"/>
        <v>8.5171931914162382</v>
      </c>
      <c r="Z588" s="4">
        <f t="shared" si="294"/>
        <v>6.3491389913797978</v>
      </c>
      <c r="AA588" s="4">
        <f t="shared" si="295"/>
        <v>53.1</v>
      </c>
      <c r="AB588" s="4">
        <f t="shared" si="296"/>
        <v>0</v>
      </c>
      <c r="AC588" s="4">
        <f t="shared" si="297"/>
        <v>0</v>
      </c>
      <c r="AD588" s="4">
        <f t="shared" si="298"/>
        <v>0</v>
      </c>
      <c r="AE588" s="4">
        <f t="shared" si="299"/>
        <v>0</v>
      </c>
      <c r="AF588" s="4">
        <f t="shared" si="300"/>
        <v>0</v>
      </c>
      <c r="AG588" s="4">
        <f t="shared" si="301"/>
        <v>8.5171931914162382</v>
      </c>
      <c r="AH588" s="4">
        <f t="shared" si="302"/>
        <v>0</v>
      </c>
      <c r="AI588" s="4">
        <f t="shared" si="303"/>
        <v>0</v>
      </c>
      <c r="AJ588" s="4">
        <f t="shared" si="304"/>
        <v>8.5171931914162382</v>
      </c>
      <c r="AK588" s="4">
        <f t="shared" si="305"/>
        <v>6.3491389913797978</v>
      </c>
      <c r="AL588" s="4">
        <f t="shared" si="306"/>
        <v>0</v>
      </c>
      <c r="AM588" s="4">
        <f>CER!$C$7+CER!$C$8*J588+CER!$C$9*K588+CER!$C$10*L588+CER!$C$11*M588</f>
        <v>3.0595031586546946</v>
      </c>
      <c r="AN588" s="4">
        <f t="shared" si="307"/>
        <v>21.316963381766385</v>
      </c>
      <c r="AO588" s="4">
        <f t="shared" si="308"/>
        <v>-5.679527136427831E-2</v>
      </c>
      <c r="AP588" s="4">
        <f>Alternatives!$F$25+Alternatives!$F$26*J588+Alternatives!$F$27*K588+Alternatives!$F$28*G588+Alternatives!$F$29*O588</f>
        <v>3.2162391218999922</v>
      </c>
      <c r="AQ588" s="4">
        <f t="shared" si="309"/>
        <v>-0.2135312346095759</v>
      </c>
    </row>
    <row r="589" spans="1:43" x14ac:dyDescent="0.35">
      <c r="A589" s="2" t="s">
        <v>491</v>
      </c>
      <c r="B589" s="2" t="s">
        <v>490</v>
      </c>
      <c r="C589" s="2" t="s">
        <v>67</v>
      </c>
      <c r="D589" s="2">
        <v>24.8066</v>
      </c>
      <c r="E589" s="2">
        <v>5000</v>
      </c>
      <c r="F589" s="2">
        <v>424</v>
      </c>
      <c r="G589" s="2">
        <v>56</v>
      </c>
      <c r="H589" s="2" t="s">
        <v>68</v>
      </c>
      <c r="I589" s="4">
        <f t="shared" si="279"/>
        <v>3.211109746797145</v>
      </c>
      <c r="J589" s="4">
        <f t="shared" si="280"/>
        <v>8.5171931914162382</v>
      </c>
      <c r="K589" s="4">
        <f t="shared" si="281"/>
        <v>6.0497334552319577</v>
      </c>
      <c r="L589" s="2">
        <v>0</v>
      </c>
      <c r="M589" s="2">
        <v>0</v>
      </c>
      <c r="N589" s="4">
        <f t="shared" si="282"/>
        <v>56</v>
      </c>
      <c r="O589" s="4">
        <f t="shared" si="283"/>
        <v>0</v>
      </c>
      <c r="P589" s="4">
        <f t="shared" si="284"/>
        <v>0</v>
      </c>
      <c r="Q589" s="4">
        <f t="shared" si="285"/>
        <v>8.5171931914162382</v>
      </c>
      <c r="R589" s="4">
        <f t="shared" si="286"/>
        <v>6.0497334552319577</v>
      </c>
      <c r="S589" s="4">
        <f t="shared" si="287"/>
        <v>56</v>
      </c>
      <c r="T589" s="4">
        <f t="shared" si="288"/>
        <v>0</v>
      </c>
      <c r="U589" s="4">
        <f t="shared" si="289"/>
        <v>8.5171931914162382</v>
      </c>
      <c r="V589" s="4">
        <f t="shared" si="290"/>
        <v>6.0497334552319577</v>
      </c>
      <c r="W589" s="4">
        <f t="shared" si="291"/>
        <v>56</v>
      </c>
      <c r="X589" s="4">
        <f t="shared" si="292"/>
        <v>0</v>
      </c>
      <c r="Y589" s="4">
        <f t="shared" si="293"/>
        <v>8.5171931914162382</v>
      </c>
      <c r="Z589" s="4">
        <f t="shared" si="294"/>
        <v>6.0497334552319577</v>
      </c>
      <c r="AA589" s="4">
        <f t="shared" si="295"/>
        <v>56</v>
      </c>
      <c r="AB589" s="4">
        <f t="shared" si="296"/>
        <v>0</v>
      </c>
      <c r="AC589" s="4">
        <f t="shared" si="297"/>
        <v>0</v>
      </c>
      <c r="AD589" s="4">
        <f t="shared" si="298"/>
        <v>0</v>
      </c>
      <c r="AE589" s="4">
        <f t="shared" si="299"/>
        <v>0</v>
      </c>
      <c r="AF589" s="4">
        <f t="shared" si="300"/>
        <v>0</v>
      </c>
      <c r="AG589" s="4">
        <f t="shared" si="301"/>
        <v>8.5171931914162382</v>
      </c>
      <c r="AH589" s="4">
        <f t="shared" si="302"/>
        <v>0</v>
      </c>
      <c r="AI589" s="4">
        <f t="shared" si="303"/>
        <v>0</v>
      </c>
      <c r="AJ589" s="4">
        <f t="shared" si="304"/>
        <v>8.5171931914162382</v>
      </c>
      <c r="AK589" s="4">
        <f t="shared" si="305"/>
        <v>6.0497334552319577</v>
      </c>
      <c r="AL589" s="4">
        <f t="shared" si="306"/>
        <v>0</v>
      </c>
      <c r="AM589" s="4">
        <f>CER!$C$7+CER!$C$8*J589+CER!$C$9*K589+CER!$C$10*L589+CER!$C$11*M589</f>
        <v>3.1699669491135372</v>
      </c>
      <c r="AN589" s="4">
        <f t="shared" si="307"/>
        <v>23.806697510969283</v>
      </c>
      <c r="AO589" s="4">
        <f t="shared" si="308"/>
        <v>4.1142797683607846E-2</v>
      </c>
      <c r="AP589" s="4">
        <f>Alternatives!$F$25+Alternatives!$F$26*J589+Alternatives!$F$27*K589+Alternatives!$F$28*G589+Alternatives!$F$29*O589</f>
        <v>3.2581927073438308</v>
      </c>
      <c r="AQ589" s="4">
        <f t="shared" si="309"/>
        <v>-4.7082960546685815E-2</v>
      </c>
    </row>
    <row r="590" spans="1:43" x14ac:dyDescent="0.35">
      <c r="A590" s="2" t="s">
        <v>492</v>
      </c>
      <c r="B590" s="2" t="s">
        <v>490</v>
      </c>
      <c r="C590" s="2" t="s">
        <v>67</v>
      </c>
      <c r="D590" s="2">
        <v>24.8066</v>
      </c>
      <c r="E590" s="2">
        <v>5000</v>
      </c>
      <c r="F590" s="2">
        <v>424</v>
      </c>
      <c r="G590" s="2">
        <v>53.1</v>
      </c>
      <c r="H590" s="2" t="s">
        <v>68</v>
      </c>
      <c r="I590" s="4">
        <f t="shared" si="279"/>
        <v>3.211109746797145</v>
      </c>
      <c r="J590" s="4">
        <f t="shared" si="280"/>
        <v>8.5171931914162382</v>
      </c>
      <c r="K590" s="4">
        <f t="shared" si="281"/>
        <v>6.0497334552319577</v>
      </c>
      <c r="L590" s="2">
        <v>0</v>
      </c>
      <c r="M590" s="2">
        <v>0</v>
      </c>
      <c r="N590" s="4">
        <f t="shared" si="282"/>
        <v>53.1</v>
      </c>
      <c r="O590" s="4">
        <f t="shared" si="283"/>
        <v>0</v>
      </c>
      <c r="P590" s="4">
        <f t="shared" si="284"/>
        <v>0</v>
      </c>
      <c r="Q590" s="4">
        <f t="shared" si="285"/>
        <v>8.5171931914162382</v>
      </c>
      <c r="R590" s="4">
        <f t="shared" si="286"/>
        <v>6.0497334552319577</v>
      </c>
      <c r="S590" s="4">
        <f t="shared" si="287"/>
        <v>53.1</v>
      </c>
      <c r="T590" s="4">
        <f t="shared" si="288"/>
        <v>0</v>
      </c>
      <c r="U590" s="4">
        <f t="shared" si="289"/>
        <v>8.5171931914162382</v>
      </c>
      <c r="V590" s="4">
        <f t="shared" si="290"/>
        <v>6.0497334552319577</v>
      </c>
      <c r="W590" s="4">
        <f t="shared" si="291"/>
        <v>53.1</v>
      </c>
      <c r="X590" s="4">
        <f t="shared" si="292"/>
        <v>0</v>
      </c>
      <c r="Y590" s="4">
        <f t="shared" si="293"/>
        <v>8.5171931914162382</v>
      </c>
      <c r="Z590" s="4">
        <f t="shared" si="294"/>
        <v>6.0497334552319577</v>
      </c>
      <c r="AA590" s="4">
        <f t="shared" si="295"/>
        <v>53.1</v>
      </c>
      <c r="AB590" s="4">
        <f t="shared" si="296"/>
        <v>0</v>
      </c>
      <c r="AC590" s="4">
        <f t="shared" si="297"/>
        <v>0</v>
      </c>
      <c r="AD590" s="4">
        <f t="shared" si="298"/>
        <v>0</v>
      </c>
      <c r="AE590" s="4">
        <f t="shared" si="299"/>
        <v>0</v>
      </c>
      <c r="AF590" s="4">
        <f t="shared" si="300"/>
        <v>0</v>
      </c>
      <c r="AG590" s="4">
        <f t="shared" si="301"/>
        <v>8.5171931914162382</v>
      </c>
      <c r="AH590" s="4">
        <f t="shared" si="302"/>
        <v>0</v>
      </c>
      <c r="AI590" s="4">
        <f t="shared" si="303"/>
        <v>0</v>
      </c>
      <c r="AJ590" s="4">
        <f t="shared" si="304"/>
        <v>8.5171931914162382</v>
      </c>
      <c r="AK590" s="4">
        <f t="shared" si="305"/>
        <v>6.0497334552319577</v>
      </c>
      <c r="AL590" s="4">
        <f t="shared" si="306"/>
        <v>0</v>
      </c>
      <c r="AM590" s="4">
        <f>CER!$C$7+CER!$C$8*J590+CER!$C$9*K590+CER!$C$10*L590+CER!$C$11*M590</f>
        <v>3.1699669491135372</v>
      </c>
      <c r="AN590" s="4">
        <f t="shared" si="307"/>
        <v>23.806697510969283</v>
      </c>
      <c r="AO590" s="4">
        <f t="shared" si="308"/>
        <v>4.1142797683607846E-2</v>
      </c>
      <c r="AP590" s="4">
        <f>Alternatives!$F$25+Alternatives!$F$26*J590+Alternatives!$F$27*K590+Alternatives!$F$28*G590+Alternatives!$F$29*O590</f>
        <v>3.295913919516293</v>
      </c>
      <c r="AQ590" s="4">
        <f t="shared" si="309"/>
        <v>-8.4804172719147974E-2</v>
      </c>
    </row>
    <row r="591" spans="1:43" x14ac:dyDescent="0.35">
      <c r="A591" s="2" t="s">
        <v>493</v>
      </c>
      <c r="B591" s="2" t="s">
        <v>490</v>
      </c>
      <c r="C591" s="2" t="s">
        <v>67</v>
      </c>
      <c r="D591" s="2">
        <v>22.992699999999999</v>
      </c>
      <c r="E591" s="2">
        <v>5000</v>
      </c>
      <c r="F591" s="2">
        <v>424</v>
      </c>
      <c r="G591" s="2">
        <v>53.4</v>
      </c>
      <c r="H591" s="2" t="s">
        <v>68</v>
      </c>
      <c r="I591" s="4">
        <f t="shared" si="279"/>
        <v>3.1351767742455214</v>
      </c>
      <c r="J591" s="4">
        <f t="shared" si="280"/>
        <v>8.5171931914162382</v>
      </c>
      <c r="K591" s="4">
        <f t="shared" si="281"/>
        <v>6.0497334552319577</v>
      </c>
      <c r="L591" s="2">
        <v>0</v>
      </c>
      <c r="M591" s="2">
        <v>0</v>
      </c>
      <c r="N591" s="4">
        <f t="shared" si="282"/>
        <v>53.4</v>
      </c>
      <c r="O591" s="4">
        <f t="shared" si="283"/>
        <v>0</v>
      </c>
      <c r="P591" s="4">
        <f t="shared" si="284"/>
        <v>0</v>
      </c>
      <c r="Q591" s="4">
        <f t="shared" si="285"/>
        <v>8.5171931914162382</v>
      </c>
      <c r="R591" s="4">
        <f t="shared" si="286"/>
        <v>6.0497334552319577</v>
      </c>
      <c r="S591" s="4">
        <f t="shared" si="287"/>
        <v>53.4</v>
      </c>
      <c r="T591" s="4">
        <f t="shared" si="288"/>
        <v>0</v>
      </c>
      <c r="U591" s="4">
        <f t="shared" si="289"/>
        <v>8.5171931914162382</v>
      </c>
      <c r="V591" s="4">
        <f t="shared" si="290"/>
        <v>6.0497334552319577</v>
      </c>
      <c r="W591" s="4">
        <f t="shared" si="291"/>
        <v>53.4</v>
      </c>
      <c r="X591" s="4">
        <f t="shared" si="292"/>
        <v>0</v>
      </c>
      <c r="Y591" s="4">
        <f t="shared" si="293"/>
        <v>8.5171931914162382</v>
      </c>
      <c r="Z591" s="4">
        <f t="shared" si="294"/>
        <v>6.0497334552319577</v>
      </c>
      <c r="AA591" s="4">
        <f t="shared" si="295"/>
        <v>53.4</v>
      </c>
      <c r="AB591" s="4">
        <f t="shared" si="296"/>
        <v>0</v>
      </c>
      <c r="AC591" s="4">
        <f t="shared" si="297"/>
        <v>0</v>
      </c>
      <c r="AD591" s="4">
        <f t="shared" si="298"/>
        <v>0</v>
      </c>
      <c r="AE591" s="4">
        <f t="shared" si="299"/>
        <v>0</v>
      </c>
      <c r="AF591" s="4">
        <f t="shared" si="300"/>
        <v>0</v>
      </c>
      <c r="AG591" s="4">
        <f t="shared" si="301"/>
        <v>8.5171931914162382</v>
      </c>
      <c r="AH591" s="4">
        <f t="shared" si="302"/>
        <v>0</v>
      </c>
      <c r="AI591" s="4">
        <f t="shared" si="303"/>
        <v>0</v>
      </c>
      <c r="AJ591" s="4">
        <f t="shared" si="304"/>
        <v>8.5171931914162382</v>
      </c>
      <c r="AK591" s="4">
        <f t="shared" si="305"/>
        <v>6.0497334552319577</v>
      </c>
      <c r="AL591" s="4">
        <f t="shared" si="306"/>
        <v>0</v>
      </c>
      <c r="AM591" s="4">
        <f>CER!$C$7+CER!$C$8*J591+CER!$C$9*K591+CER!$C$10*L591+CER!$C$11*M591</f>
        <v>3.1699669491135372</v>
      </c>
      <c r="AN591" s="4">
        <f t="shared" si="307"/>
        <v>23.806697510969283</v>
      </c>
      <c r="AO591" s="4">
        <f t="shared" si="308"/>
        <v>-3.4790174868015722E-2</v>
      </c>
      <c r="AP591" s="4">
        <f>Alternatives!$F$25+Alternatives!$F$26*J591+Alternatives!$F$27*K591+Alternatives!$F$28*G591+Alternatives!$F$29*O591</f>
        <v>3.2920117251536247</v>
      </c>
      <c r="AQ591" s="4">
        <f t="shared" si="309"/>
        <v>-0.15683495090810329</v>
      </c>
    </row>
    <row r="592" spans="1:43" x14ac:dyDescent="0.35">
      <c r="A592" s="2" t="s">
        <v>494</v>
      </c>
      <c r="B592" s="2" t="s">
        <v>490</v>
      </c>
      <c r="C592" s="2" t="s">
        <v>67</v>
      </c>
      <c r="D592" s="2">
        <v>22.992699999999999</v>
      </c>
      <c r="E592" s="2">
        <v>5000</v>
      </c>
      <c r="F592" s="2">
        <v>345</v>
      </c>
      <c r="G592" s="2">
        <v>53.4</v>
      </c>
      <c r="H592" s="2" t="s">
        <v>68</v>
      </c>
      <c r="I592" s="4">
        <f t="shared" si="279"/>
        <v>3.1351767742455214</v>
      </c>
      <c r="J592" s="4">
        <f t="shared" si="280"/>
        <v>8.5171931914162382</v>
      </c>
      <c r="K592" s="4">
        <f t="shared" si="281"/>
        <v>5.8435444170313602</v>
      </c>
      <c r="L592" s="2">
        <v>0</v>
      </c>
      <c r="M592" s="2">
        <v>0</v>
      </c>
      <c r="N592" s="4">
        <f t="shared" si="282"/>
        <v>53.4</v>
      </c>
      <c r="O592" s="4">
        <f t="shared" si="283"/>
        <v>0</v>
      </c>
      <c r="P592" s="4">
        <f t="shared" si="284"/>
        <v>0</v>
      </c>
      <c r="Q592" s="4">
        <f t="shared" si="285"/>
        <v>8.5171931914162382</v>
      </c>
      <c r="R592" s="4">
        <f t="shared" si="286"/>
        <v>5.8435444170313602</v>
      </c>
      <c r="S592" s="4">
        <f t="shared" si="287"/>
        <v>53.4</v>
      </c>
      <c r="T592" s="4">
        <f t="shared" si="288"/>
        <v>0</v>
      </c>
      <c r="U592" s="4">
        <f t="shared" si="289"/>
        <v>8.5171931914162382</v>
      </c>
      <c r="V592" s="4">
        <f t="shared" si="290"/>
        <v>5.8435444170313602</v>
      </c>
      <c r="W592" s="4">
        <f t="shared" si="291"/>
        <v>53.4</v>
      </c>
      <c r="X592" s="4">
        <f t="shared" si="292"/>
        <v>0</v>
      </c>
      <c r="Y592" s="4">
        <f t="shared" si="293"/>
        <v>8.5171931914162382</v>
      </c>
      <c r="Z592" s="4">
        <f t="shared" si="294"/>
        <v>5.8435444170313602</v>
      </c>
      <c r="AA592" s="4">
        <f t="shared" si="295"/>
        <v>53.4</v>
      </c>
      <c r="AB592" s="4">
        <f t="shared" si="296"/>
        <v>0</v>
      </c>
      <c r="AC592" s="4">
        <f t="shared" si="297"/>
        <v>0</v>
      </c>
      <c r="AD592" s="4">
        <f t="shared" si="298"/>
        <v>0</v>
      </c>
      <c r="AE592" s="4">
        <f t="shared" si="299"/>
        <v>0</v>
      </c>
      <c r="AF592" s="4">
        <f t="shared" si="300"/>
        <v>0</v>
      </c>
      <c r="AG592" s="4">
        <f t="shared" si="301"/>
        <v>8.5171931914162382</v>
      </c>
      <c r="AH592" s="4">
        <f t="shared" si="302"/>
        <v>0</v>
      </c>
      <c r="AI592" s="4">
        <f t="shared" si="303"/>
        <v>0</v>
      </c>
      <c r="AJ592" s="4">
        <f t="shared" si="304"/>
        <v>8.5171931914162382</v>
      </c>
      <c r="AK592" s="4">
        <f t="shared" si="305"/>
        <v>5.8435444170313602</v>
      </c>
      <c r="AL592" s="4">
        <f t="shared" si="306"/>
        <v>0</v>
      </c>
      <c r="AM592" s="4">
        <f>CER!$C$7+CER!$C$8*J592+CER!$C$9*K592+CER!$C$10*L592+CER!$C$11*M592</f>
        <v>3.2460390986260119</v>
      </c>
      <c r="AN592" s="4">
        <f t="shared" si="307"/>
        <v>25.688388966499897</v>
      </c>
      <c r="AO592" s="4">
        <f t="shared" si="308"/>
        <v>-0.11086232438049048</v>
      </c>
      <c r="AP592" s="4">
        <f>Alternatives!$F$25+Alternatives!$F$26*J592+Alternatives!$F$27*K592+Alternatives!$F$28*G592+Alternatives!$F$29*O592</f>
        <v>3.3468806834925271</v>
      </c>
      <c r="AQ592" s="4">
        <f t="shared" si="309"/>
        <v>-0.21170390924700566</v>
      </c>
    </row>
    <row r="593" spans="1:43" x14ac:dyDescent="0.35">
      <c r="A593" s="2" t="s">
        <v>495</v>
      </c>
      <c r="B593" s="2" t="s">
        <v>490</v>
      </c>
      <c r="C593" s="2" t="s">
        <v>67</v>
      </c>
      <c r="D593" s="2">
        <v>19.895</v>
      </c>
      <c r="E593" s="2">
        <v>5000</v>
      </c>
      <c r="F593" s="2">
        <v>572</v>
      </c>
      <c r="G593" s="2">
        <v>53.4</v>
      </c>
      <c r="H593" s="2" t="s">
        <v>68</v>
      </c>
      <c r="I593" s="4">
        <f t="shared" si="279"/>
        <v>2.9904684438788918</v>
      </c>
      <c r="J593" s="4">
        <f t="shared" si="280"/>
        <v>8.5171931914162382</v>
      </c>
      <c r="K593" s="4">
        <f t="shared" si="281"/>
        <v>6.3491389913797978</v>
      </c>
      <c r="L593" s="2">
        <v>0</v>
      </c>
      <c r="M593" s="2">
        <v>0</v>
      </c>
      <c r="N593" s="4">
        <f t="shared" si="282"/>
        <v>53.4</v>
      </c>
      <c r="O593" s="4">
        <f t="shared" si="283"/>
        <v>0</v>
      </c>
      <c r="P593" s="4">
        <f t="shared" si="284"/>
        <v>0</v>
      </c>
      <c r="Q593" s="4">
        <f t="shared" si="285"/>
        <v>8.5171931914162382</v>
      </c>
      <c r="R593" s="4">
        <f t="shared" si="286"/>
        <v>6.3491389913797978</v>
      </c>
      <c r="S593" s="4">
        <f t="shared" si="287"/>
        <v>53.4</v>
      </c>
      <c r="T593" s="4">
        <f t="shared" si="288"/>
        <v>0</v>
      </c>
      <c r="U593" s="4">
        <f t="shared" si="289"/>
        <v>8.5171931914162382</v>
      </c>
      <c r="V593" s="4">
        <f t="shared" si="290"/>
        <v>6.3491389913797978</v>
      </c>
      <c r="W593" s="4">
        <f t="shared" si="291"/>
        <v>53.4</v>
      </c>
      <c r="X593" s="4">
        <f t="shared" si="292"/>
        <v>0</v>
      </c>
      <c r="Y593" s="4">
        <f t="shared" si="293"/>
        <v>8.5171931914162382</v>
      </c>
      <c r="Z593" s="4">
        <f t="shared" si="294"/>
        <v>6.3491389913797978</v>
      </c>
      <c r="AA593" s="4">
        <f t="shared" si="295"/>
        <v>53.4</v>
      </c>
      <c r="AB593" s="4">
        <f t="shared" si="296"/>
        <v>0</v>
      </c>
      <c r="AC593" s="4">
        <f t="shared" si="297"/>
        <v>0</v>
      </c>
      <c r="AD593" s="4">
        <f t="shared" si="298"/>
        <v>0</v>
      </c>
      <c r="AE593" s="4">
        <f t="shared" si="299"/>
        <v>0</v>
      </c>
      <c r="AF593" s="4">
        <f t="shared" si="300"/>
        <v>0</v>
      </c>
      <c r="AG593" s="4">
        <f t="shared" si="301"/>
        <v>8.5171931914162382</v>
      </c>
      <c r="AH593" s="4">
        <f t="shared" si="302"/>
        <v>0</v>
      </c>
      <c r="AI593" s="4">
        <f t="shared" si="303"/>
        <v>0</v>
      </c>
      <c r="AJ593" s="4">
        <f t="shared" si="304"/>
        <v>8.5171931914162382</v>
      </c>
      <c r="AK593" s="4">
        <f t="shared" si="305"/>
        <v>6.3491389913797978</v>
      </c>
      <c r="AL593" s="4">
        <f t="shared" si="306"/>
        <v>0</v>
      </c>
      <c r="AM593" s="4">
        <f>CER!$C$7+CER!$C$8*J593+CER!$C$9*K593+CER!$C$10*L593+CER!$C$11*M593</f>
        <v>3.0595031586546946</v>
      </c>
      <c r="AN593" s="4">
        <f t="shared" si="307"/>
        <v>21.316963381766385</v>
      </c>
      <c r="AO593" s="4">
        <f t="shared" si="308"/>
        <v>-6.9034714775802808E-2</v>
      </c>
      <c r="AP593" s="4">
        <f>Alternatives!$F$25+Alternatives!$F$26*J593+Alternatives!$F$27*K593+Alternatives!$F$28*G593+Alternatives!$F$29*O593</f>
        <v>3.2123369275373239</v>
      </c>
      <c r="AQ593" s="4">
        <f t="shared" si="309"/>
        <v>-0.22186848365843215</v>
      </c>
    </row>
    <row r="594" spans="1:43" x14ac:dyDescent="0.35">
      <c r="A594" s="2" t="s">
        <v>496</v>
      </c>
      <c r="B594" s="2" t="s">
        <v>490</v>
      </c>
      <c r="C594" s="2" t="s">
        <v>67</v>
      </c>
      <c r="D594" s="2">
        <v>22.659400000000002</v>
      </c>
      <c r="E594" s="2">
        <v>4000</v>
      </c>
      <c r="F594" s="2">
        <v>621</v>
      </c>
      <c r="G594" s="2">
        <v>48.4</v>
      </c>
      <c r="H594" s="2" t="s">
        <v>68</v>
      </c>
      <c r="I594" s="4">
        <f t="shared" si="279"/>
        <v>3.1205747768733092</v>
      </c>
      <c r="J594" s="4">
        <f t="shared" si="280"/>
        <v>8.2940496401020276</v>
      </c>
      <c r="K594" s="4">
        <f t="shared" si="281"/>
        <v>6.4313310819334788</v>
      </c>
      <c r="L594" s="2">
        <v>0</v>
      </c>
      <c r="M594" s="2">
        <v>0</v>
      </c>
      <c r="N594" s="4">
        <f t="shared" si="282"/>
        <v>48.4</v>
      </c>
      <c r="O594" s="4">
        <f t="shared" si="283"/>
        <v>0</v>
      </c>
      <c r="P594" s="4">
        <f t="shared" si="284"/>
        <v>0</v>
      </c>
      <c r="Q594" s="4">
        <f t="shared" si="285"/>
        <v>8.2940496401020276</v>
      </c>
      <c r="R594" s="4">
        <f t="shared" si="286"/>
        <v>6.4313310819334788</v>
      </c>
      <c r="S594" s="4">
        <f t="shared" si="287"/>
        <v>48.4</v>
      </c>
      <c r="T594" s="4">
        <f t="shared" si="288"/>
        <v>0</v>
      </c>
      <c r="U594" s="4">
        <f t="shared" si="289"/>
        <v>8.2940496401020276</v>
      </c>
      <c r="V594" s="4">
        <f t="shared" si="290"/>
        <v>6.4313310819334788</v>
      </c>
      <c r="W594" s="4">
        <f t="shared" si="291"/>
        <v>48.4</v>
      </c>
      <c r="X594" s="4">
        <f t="shared" si="292"/>
        <v>0</v>
      </c>
      <c r="Y594" s="4">
        <f t="shared" si="293"/>
        <v>8.2940496401020276</v>
      </c>
      <c r="Z594" s="4">
        <f t="shared" si="294"/>
        <v>6.4313310819334788</v>
      </c>
      <c r="AA594" s="4">
        <f t="shared" si="295"/>
        <v>48.4</v>
      </c>
      <c r="AB594" s="4">
        <f t="shared" si="296"/>
        <v>0</v>
      </c>
      <c r="AC594" s="4">
        <f t="shared" si="297"/>
        <v>0</v>
      </c>
      <c r="AD594" s="4">
        <f t="shared" si="298"/>
        <v>0</v>
      </c>
      <c r="AE594" s="4">
        <f t="shared" si="299"/>
        <v>0</v>
      </c>
      <c r="AF594" s="4">
        <f t="shared" si="300"/>
        <v>0</v>
      </c>
      <c r="AG594" s="4">
        <f t="shared" si="301"/>
        <v>8.2940496401020276</v>
      </c>
      <c r="AH594" s="4">
        <f t="shared" si="302"/>
        <v>0</v>
      </c>
      <c r="AI594" s="4">
        <f t="shared" si="303"/>
        <v>0</v>
      </c>
      <c r="AJ594" s="4">
        <f t="shared" si="304"/>
        <v>8.2940496401020276</v>
      </c>
      <c r="AK594" s="4">
        <f t="shared" si="305"/>
        <v>6.4313310819334788</v>
      </c>
      <c r="AL594" s="4">
        <f t="shared" si="306"/>
        <v>0</v>
      </c>
      <c r="AM594" s="4">
        <f>CER!$C$7+CER!$C$8*J594+CER!$C$9*K594+CER!$C$10*L594+CER!$C$11*M594</f>
        <v>3.1301980241808192</v>
      </c>
      <c r="AN594" s="4">
        <f t="shared" si="307"/>
        <v>22.878509592016652</v>
      </c>
      <c r="AO594" s="4">
        <f t="shared" si="308"/>
        <v>-9.6232473075099634E-3</v>
      </c>
      <c r="AP594" s="4">
        <f>Alternatives!$F$25+Alternatives!$F$26*J594+Alternatives!$F$27*K594+Alternatives!$F$28*G594+Alternatives!$F$29*O594</f>
        <v>3.1729190662252673</v>
      </c>
      <c r="AQ594" s="4">
        <f t="shared" si="309"/>
        <v>-5.2344289351958118E-2</v>
      </c>
    </row>
    <row r="595" spans="1:43" x14ac:dyDescent="0.35">
      <c r="A595" s="2" t="s">
        <v>497</v>
      </c>
      <c r="B595" s="2" t="s">
        <v>490</v>
      </c>
      <c r="C595" s="2" t="s">
        <v>67</v>
      </c>
      <c r="D595" s="2">
        <v>22.534400000000002</v>
      </c>
      <c r="E595" s="2">
        <v>4000</v>
      </c>
      <c r="F595" s="2">
        <v>621</v>
      </c>
      <c r="G595" s="2">
        <v>48.4</v>
      </c>
      <c r="H595" s="2" t="s">
        <v>68</v>
      </c>
      <c r="I595" s="4">
        <f t="shared" si="279"/>
        <v>3.1150430305385415</v>
      </c>
      <c r="J595" s="4">
        <f t="shared" si="280"/>
        <v>8.2940496401020276</v>
      </c>
      <c r="K595" s="4">
        <f t="shared" si="281"/>
        <v>6.4313310819334788</v>
      </c>
      <c r="L595" s="2">
        <v>0</v>
      </c>
      <c r="M595" s="2">
        <v>0</v>
      </c>
      <c r="N595" s="4">
        <f t="shared" si="282"/>
        <v>48.4</v>
      </c>
      <c r="O595" s="4">
        <f t="shared" si="283"/>
        <v>0</v>
      </c>
      <c r="P595" s="4">
        <f t="shared" si="284"/>
        <v>0</v>
      </c>
      <c r="Q595" s="4">
        <f t="shared" si="285"/>
        <v>8.2940496401020276</v>
      </c>
      <c r="R595" s="4">
        <f t="shared" si="286"/>
        <v>6.4313310819334788</v>
      </c>
      <c r="S595" s="4">
        <f t="shared" si="287"/>
        <v>48.4</v>
      </c>
      <c r="T595" s="4">
        <f t="shared" si="288"/>
        <v>0</v>
      </c>
      <c r="U595" s="4">
        <f t="shared" si="289"/>
        <v>8.2940496401020276</v>
      </c>
      <c r="V595" s="4">
        <f t="shared" si="290"/>
        <v>6.4313310819334788</v>
      </c>
      <c r="W595" s="4">
        <f t="shared" si="291"/>
        <v>48.4</v>
      </c>
      <c r="X595" s="4">
        <f t="shared" si="292"/>
        <v>0</v>
      </c>
      <c r="Y595" s="4">
        <f t="shared" si="293"/>
        <v>8.2940496401020276</v>
      </c>
      <c r="Z595" s="4">
        <f t="shared" si="294"/>
        <v>6.4313310819334788</v>
      </c>
      <c r="AA595" s="4">
        <f t="shared" si="295"/>
        <v>48.4</v>
      </c>
      <c r="AB595" s="4">
        <f t="shared" si="296"/>
        <v>0</v>
      </c>
      <c r="AC595" s="4">
        <f t="shared" si="297"/>
        <v>0</v>
      </c>
      <c r="AD595" s="4">
        <f t="shared" si="298"/>
        <v>0</v>
      </c>
      <c r="AE595" s="4">
        <f t="shared" si="299"/>
        <v>0</v>
      </c>
      <c r="AF595" s="4">
        <f t="shared" si="300"/>
        <v>0</v>
      </c>
      <c r="AG595" s="4">
        <f t="shared" si="301"/>
        <v>8.2940496401020276</v>
      </c>
      <c r="AH595" s="4">
        <f t="shared" si="302"/>
        <v>0</v>
      </c>
      <c r="AI595" s="4">
        <f t="shared" si="303"/>
        <v>0</v>
      </c>
      <c r="AJ595" s="4">
        <f t="shared" si="304"/>
        <v>8.2940496401020276</v>
      </c>
      <c r="AK595" s="4">
        <f t="shared" si="305"/>
        <v>6.4313310819334788</v>
      </c>
      <c r="AL595" s="4">
        <f t="shared" si="306"/>
        <v>0</v>
      </c>
      <c r="AM595" s="4">
        <f>CER!$C$7+CER!$C$8*J595+CER!$C$9*K595+CER!$C$10*L595+CER!$C$11*M595</f>
        <v>3.1301980241808192</v>
      </c>
      <c r="AN595" s="4">
        <f t="shared" si="307"/>
        <v>22.878509592016652</v>
      </c>
      <c r="AO595" s="4">
        <f t="shared" si="308"/>
        <v>-1.5154993642277681E-2</v>
      </c>
      <c r="AP595" s="4">
        <f>Alternatives!$F$25+Alternatives!$F$26*J595+Alternatives!$F$27*K595+Alternatives!$F$28*G595+Alternatives!$F$29*O595</f>
        <v>3.1729190662252673</v>
      </c>
      <c r="AQ595" s="4">
        <f t="shared" si="309"/>
        <v>-5.7876035686725835E-2</v>
      </c>
    </row>
    <row r="596" spans="1:43" x14ac:dyDescent="0.35">
      <c r="A596" s="2" t="s">
        <v>498</v>
      </c>
      <c r="B596" s="2" t="s">
        <v>490</v>
      </c>
      <c r="C596" s="2" t="s">
        <v>67</v>
      </c>
      <c r="D596" s="2">
        <v>26.407800000000002</v>
      </c>
      <c r="E596" s="2">
        <v>5000</v>
      </c>
      <c r="F596" s="2">
        <v>523</v>
      </c>
      <c r="G596" s="2">
        <v>51.4</v>
      </c>
      <c r="H596" s="2" t="s">
        <v>68</v>
      </c>
      <c r="I596" s="4">
        <f t="shared" si="279"/>
        <v>3.2736594210596262</v>
      </c>
      <c r="J596" s="4">
        <f t="shared" si="280"/>
        <v>8.5171931914162382</v>
      </c>
      <c r="K596" s="4">
        <f t="shared" si="281"/>
        <v>6.2595814640649232</v>
      </c>
      <c r="L596" s="2">
        <v>0</v>
      </c>
      <c r="M596" s="2">
        <v>0</v>
      </c>
      <c r="N596" s="4">
        <f t="shared" si="282"/>
        <v>51.4</v>
      </c>
      <c r="O596" s="4">
        <f t="shared" si="283"/>
        <v>0</v>
      </c>
      <c r="P596" s="4">
        <f t="shared" si="284"/>
        <v>0</v>
      </c>
      <c r="Q596" s="4">
        <f t="shared" si="285"/>
        <v>8.5171931914162382</v>
      </c>
      <c r="R596" s="4">
        <f t="shared" si="286"/>
        <v>6.2595814640649232</v>
      </c>
      <c r="S596" s="4">
        <f t="shared" si="287"/>
        <v>51.4</v>
      </c>
      <c r="T596" s="4">
        <f t="shared" si="288"/>
        <v>0</v>
      </c>
      <c r="U596" s="4">
        <f t="shared" si="289"/>
        <v>8.5171931914162382</v>
      </c>
      <c r="V596" s="4">
        <f t="shared" si="290"/>
        <v>6.2595814640649232</v>
      </c>
      <c r="W596" s="4">
        <f t="shared" si="291"/>
        <v>51.4</v>
      </c>
      <c r="X596" s="4">
        <f t="shared" si="292"/>
        <v>0</v>
      </c>
      <c r="Y596" s="4">
        <f t="shared" si="293"/>
        <v>8.5171931914162382</v>
      </c>
      <c r="Z596" s="4">
        <f t="shared" si="294"/>
        <v>6.2595814640649232</v>
      </c>
      <c r="AA596" s="4">
        <f t="shared" si="295"/>
        <v>51.4</v>
      </c>
      <c r="AB596" s="4">
        <f t="shared" si="296"/>
        <v>0</v>
      </c>
      <c r="AC596" s="4">
        <f t="shared" si="297"/>
        <v>0</v>
      </c>
      <c r="AD596" s="4">
        <f t="shared" si="298"/>
        <v>0</v>
      </c>
      <c r="AE596" s="4">
        <f t="shared" si="299"/>
        <v>0</v>
      </c>
      <c r="AF596" s="4">
        <f t="shared" si="300"/>
        <v>0</v>
      </c>
      <c r="AG596" s="4">
        <f t="shared" si="301"/>
        <v>8.5171931914162382</v>
      </c>
      <c r="AH596" s="4">
        <f t="shared" si="302"/>
        <v>0</v>
      </c>
      <c r="AI596" s="4">
        <f t="shared" si="303"/>
        <v>0</v>
      </c>
      <c r="AJ596" s="4">
        <f t="shared" si="304"/>
        <v>8.5171931914162382</v>
      </c>
      <c r="AK596" s="4">
        <f t="shared" si="305"/>
        <v>6.2595814640649232</v>
      </c>
      <c r="AL596" s="4">
        <f t="shared" si="306"/>
        <v>0</v>
      </c>
      <c r="AM596" s="4">
        <f>CER!$C$7+CER!$C$8*J596+CER!$C$9*K596+CER!$C$10*L596+CER!$C$11*M596</f>
        <v>3.092544845387025</v>
      </c>
      <c r="AN596" s="4">
        <f t="shared" si="307"/>
        <v>22.033077466070459</v>
      </c>
      <c r="AO596" s="4">
        <f t="shared" si="308"/>
        <v>0.18111457567260114</v>
      </c>
      <c r="AP596" s="4">
        <f>Alternatives!$F$25+Alternatives!$F$26*J596+Alternatives!$F$27*K596+Alternatives!$F$28*G596+Alternatives!$F$29*O596</f>
        <v>3.2621837073416176</v>
      </c>
      <c r="AQ596" s="4">
        <f t="shared" si="309"/>
        <v>1.1475713718008596E-2</v>
      </c>
    </row>
    <row r="597" spans="1:43" x14ac:dyDescent="0.35">
      <c r="A597" s="2" t="s">
        <v>499</v>
      </c>
      <c r="B597" s="2" t="s">
        <v>490</v>
      </c>
      <c r="C597" s="2" t="s">
        <v>33</v>
      </c>
      <c r="D597" s="2">
        <v>33.191400000000002</v>
      </c>
      <c r="E597" s="2">
        <v>4500</v>
      </c>
      <c r="F597" s="2">
        <v>325</v>
      </c>
      <c r="G597" s="2">
        <v>51.4</v>
      </c>
      <c r="H597" s="2" t="s">
        <v>68</v>
      </c>
      <c r="I597" s="4">
        <f t="shared" si="279"/>
        <v>3.5022908062222076</v>
      </c>
      <c r="J597" s="4">
        <f t="shared" si="280"/>
        <v>8.4118326757584114</v>
      </c>
      <c r="K597" s="4">
        <f t="shared" si="281"/>
        <v>5.7838251823297373</v>
      </c>
      <c r="L597" s="2">
        <v>1</v>
      </c>
      <c r="M597" s="2">
        <v>0</v>
      </c>
      <c r="N597" s="4">
        <f t="shared" si="282"/>
        <v>51.4</v>
      </c>
      <c r="O597" s="4">
        <f t="shared" si="283"/>
        <v>1</v>
      </c>
      <c r="P597" s="4">
        <f t="shared" si="284"/>
        <v>1</v>
      </c>
      <c r="Q597" s="4">
        <f t="shared" si="285"/>
        <v>8.4118326757584114</v>
      </c>
      <c r="R597" s="4">
        <f t="shared" si="286"/>
        <v>5.7838251823297373</v>
      </c>
      <c r="S597" s="4">
        <f t="shared" si="287"/>
        <v>51.4</v>
      </c>
      <c r="T597" s="4">
        <f t="shared" si="288"/>
        <v>1</v>
      </c>
      <c r="U597" s="4">
        <f t="shared" si="289"/>
        <v>8.4118326757584114</v>
      </c>
      <c r="V597" s="4">
        <f t="shared" si="290"/>
        <v>5.7838251823297373</v>
      </c>
      <c r="W597" s="4">
        <f t="shared" si="291"/>
        <v>51.4</v>
      </c>
      <c r="X597" s="4">
        <f t="shared" si="292"/>
        <v>1</v>
      </c>
      <c r="Y597" s="4">
        <f t="shared" si="293"/>
        <v>8.4118326757584114</v>
      </c>
      <c r="Z597" s="4">
        <f t="shared" si="294"/>
        <v>5.7838251823297373</v>
      </c>
      <c r="AA597" s="4">
        <f t="shared" si="295"/>
        <v>51.4</v>
      </c>
      <c r="AB597" s="4">
        <f t="shared" si="296"/>
        <v>1</v>
      </c>
      <c r="AC597" s="4">
        <f t="shared" si="297"/>
        <v>0</v>
      </c>
      <c r="AD597" s="4">
        <f t="shared" si="298"/>
        <v>0</v>
      </c>
      <c r="AE597" s="4">
        <f t="shared" si="299"/>
        <v>0</v>
      </c>
      <c r="AF597" s="4">
        <f t="shared" si="300"/>
        <v>0</v>
      </c>
      <c r="AG597" s="4">
        <f t="shared" si="301"/>
        <v>8.4118326757584114</v>
      </c>
      <c r="AH597" s="4">
        <f t="shared" si="302"/>
        <v>1</v>
      </c>
      <c r="AI597" s="4">
        <f t="shared" si="303"/>
        <v>0</v>
      </c>
      <c r="AJ597" s="4">
        <f t="shared" si="304"/>
        <v>8.4118326757584114</v>
      </c>
      <c r="AK597" s="4">
        <f t="shared" si="305"/>
        <v>5.7838251823297373</v>
      </c>
      <c r="AL597" s="4">
        <f t="shared" si="306"/>
        <v>0</v>
      </c>
      <c r="AM597" s="4">
        <f>CER!$C$7+CER!$C$8*J597+CER!$C$9*K597+CER!$C$10*L597+CER!$C$11*M597</f>
        <v>3.5395233711220979</v>
      </c>
      <c r="AN597" s="4">
        <f t="shared" si="307"/>
        <v>34.450495176229467</v>
      </c>
      <c r="AO597" s="4">
        <f t="shared" si="308"/>
        <v>-3.7232564899890352E-2</v>
      </c>
      <c r="AP597" s="4">
        <f>Alternatives!$F$25+Alternatives!$F$26*J597+Alternatives!$F$27*K597+Alternatives!$F$28*G597+Alternatives!$F$29*O597</f>
        <v>4.1945346756257909</v>
      </c>
      <c r="AQ597" s="4">
        <f t="shared" si="309"/>
        <v>-0.69224386940358329</v>
      </c>
    </row>
    <row r="598" spans="1:43" x14ac:dyDescent="0.35">
      <c r="A598" s="2" t="s">
        <v>500</v>
      </c>
      <c r="B598" s="2" t="s">
        <v>490</v>
      </c>
      <c r="C598" s="2" t="s">
        <v>33</v>
      </c>
      <c r="D598" s="2">
        <v>33.191400000000002</v>
      </c>
      <c r="E598" s="2">
        <v>4500</v>
      </c>
      <c r="F598" s="2">
        <v>296</v>
      </c>
      <c r="G598" s="2">
        <v>51.4</v>
      </c>
      <c r="H598" s="2" t="s">
        <v>68</v>
      </c>
      <c r="I598" s="4">
        <f t="shared" si="279"/>
        <v>3.5022908062222076</v>
      </c>
      <c r="J598" s="4">
        <f t="shared" si="280"/>
        <v>8.4118326757584114</v>
      </c>
      <c r="K598" s="4">
        <f t="shared" si="281"/>
        <v>5.6903594543240601</v>
      </c>
      <c r="L598" s="2">
        <v>1</v>
      </c>
      <c r="M598" s="2">
        <v>0</v>
      </c>
      <c r="N598" s="4">
        <f t="shared" si="282"/>
        <v>51.4</v>
      </c>
      <c r="O598" s="4">
        <f t="shared" si="283"/>
        <v>1</v>
      </c>
      <c r="P598" s="4">
        <f t="shared" si="284"/>
        <v>1</v>
      </c>
      <c r="Q598" s="4">
        <f t="shared" si="285"/>
        <v>8.4118326757584114</v>
      </c>
      <c r="R598" s="4">
        <f t="shared" si="286"/>
        <v>5.6903594543240601</v>
      </c>
      <c r="S598" s="4">
        <f t="shared" si="287"/>
        <v>51.4</v>
      </c>
      <c r="T598" s="4">
        <f t="shared" si="288"/>
        <v>1</v>
      </c>
      <c r="U598" s="4">
        <f t="shared" si="289"/>
        <v>8.4118326757584114</v>
      </c>
      <c r="V598" s="4">
        <f t="shared" si="290"/>
        <v>5.6903594543240601</v>
      </c>
      <c r="W598" s="4">
        <f t="shared" si="291"/>
        <v>51.4</v>
      </c>
      <c r="X598" s="4">
        <f t="shared" si="292"/>
        <v>1</v>
      </c>
      <c r="Y598" s="4">
        <f t="shared" si="293"/>
        <v>8.4118326757584114</v>
      </c>
      <c r="Z598" s="4">
        <f t="shared" si="294"/>
        <v>5.6903594543240601</v>
      </c>
      <c r="AA598" s="4">
        <f t="shared" si="295"/>
        <v>51.4</v>
      </c>
      <c r="AB598" s="4">
        <f t="shared" si="296"/>
        <v>1</v>
      </c>
      <c r="AC598" s="4">
        <f t="shared" si="297"/>
        <v>0</v>
      </c>
      <c r="AD598" s="4">
        <f t="shared" si="298"/>
        <v>0</v>
      </c>
      <c r="AE598" s="4">
        <f t="shared" si="299"/>
        <v>0</v>
      </c>
      <c r="AF598" s="4">
        <f t="shared" si="300"/>
        <v>0</v>
      </c>
      <c r="AG598" s="4">
        <f t="shared" si="301"/>
        <v>8.4118326757584114</v>
      </c>
      <c r="AH598" s="4">
        <f t="shared" si="302"/>
        <v>1</v>
      </c>
      <c r="AI598" s="4">
        <f t="shared" si="303"/>
        <v>0</v>
      </c>
      <c r="AJ598" s="4">
        <f t="shared" si="304"/>
        <v>8.4118326757584114</v>
      </c>
      <c r="AK598" s="4">
        <f t="shared" si="305"/>
        <v>5.6903594543240601</v>
      </c>
      <c r="AL598" s="4">
        <f t="shared" si="306"/>
        <v>0</v>
      </c>
      <c r="AM598" s="4">
        <f>CER!$C$7+CER!$C$8*J598+CER!$C$9*K598+CER!$C$10*L598+CER!$C$11*M598</f>
        <v>3.5740069639318319</v>
      </c>
      <c r="AN598" s="4">
        <f t="shared" si="307"/>
        <v>35.65919236352314</v>
      </c>
      <c r="AO598" s="4">
        <f t="shared" si="308"/>
        <v>-7.1716157709624362E-2</v>
      </c>
      <c r="AP598" s="4">
        <f>Alternatives!$F$25+Alternatives!$F$26*J598+Alternatives!$F$27*K598+Alternatives!$F$28*G598+Alternatives!$F$29*O598</f>
        <v>4.2194068375060425</v>
      </c>
      <c r="AQ598" s="4">
        <f t="shared" si="309"/>
        <v>-0.71711603128383494</v>
      </c>
    </row>
    <row r="599" spans="1:43" x14ac:dyDescent="0.35">
      <c r="A599" s="2" t="s">
        <v>501</v>
      </c>
      <c r="B599" s="2" t="s">
        <v>490</v>
      </c>
      <c r="C599" s="2" t="s">
        <v>67</v>
      </c>
      <c r="D599" s="2">
        <v>27.102799999999998</v>
      </c>
      <c r="E599" s="2">
        <v>4000</v>
      </c>
      <c r="F599" s="2">
        <v>542</v>
      </c>
      <c r="G599" s="2">
        <v>52.1</v>
      </c>
      <c r="H599" s="2" t="s">
        <v>68</v>
      </c>
      <c r="I599" s="4">
        <f t="shared" si="279"/>
        <v>3.2996370435816154</v>
      </c>
      <c r="J599" s="4">
        <f t="shared" si="280"/>
        <v>8.2940496401020276</v>
      </c>
      <c r="K599" s="4">
        <f t="shared" si="281"/>
        <v>6.2952660014396464</v>
      </c>
      <c r="L599" s="2">
        <v>0</v>
      </c>
      <c r="M599" s="2">
        <v>0</v>
      </c>
      <c r="N599" s="4">
        <f t="shared" si="282"/>
        <v>52.1</v>
      </c>
      <c r="O599" s="4">
        <f t="shared" si="283"/>
        <v>0</v>
      </c>
      <c r="P599" s="4">
        <f t="shared" si="284"/>
        <v>0</v>
      </c>
      <c r="Q599" s="4">
        <f t="shared" si="285"/>
        <v>8.2940496401020276</v>
      </c>
      <c r="R599" s="4">
        <f t="shared" si="286"/>
        <v>6.2952660014396464</v>
      </c>
      <c r="S599" s="4">
        <f t="shared" si="287"/>
        <v>52.1</v>
      </c>
      <c r="T599" s="4">
        <f t="shared" si="288"/>
        <v>0</v>
      </c>
      <c r="U599" s="4">
        <f t="shared" si="289"/>
        <v>8.2940496401020276</v>
      </c>
      <c r="V599" s="4">
        <f t="shared" si="290"/>
        <v>6.2952660014396464</v>
      </c>
      <c r="W599" s="4">
        <f t="shared" si="291"/>
        <v>52.1</v>
      </c>
      <c r="X599" s="4">
        <f t="shared" si="292"/>
        <v>0</v>
      </c>
      <c r="Y599" s="4">
        <f t="shared" si="293"/>
        <v>8.2940496401020276</v>
      </c>
      <c r="Z599" s="4">
        <f t="shared" si="294"/>
        <v>6.2952660014396464</v>
      </c>
      <c r="AA599" s="4">
        <f t="shared" si="295"/>
        <v>52.1</v>
      </c>
      <c r="AB599" s="4">
        <f t="shared" si="296"/>
        <v>0</v>
      </c>
      <c r="AC599" s="4">
        <f t="shared" si="297"/>
        <v>0</v>
      </c>
      <c r="AD599" s="4">
        <f t="shared" si="298"/>
        <v>0</v>
      </c>
      <c r="AE599" s="4">
        <f t="shared" si="299"/>
        <v>0</v>
      </c>
      <c r="AF599" s="4">
        <f t="shared" si="300"/>
        <v>0</v>
      </c>
      <c r="AG599" s="4">
        <f t="shared" si="301"/>
        <v>8.2940496401020276</v>
      </c>
      <c r="AH599" s="4">
        <f t="shared" si="302"/>
        <v>0</v>
      </c>
      <c r="AI599" s="4">
        <f t="shared" si="303"/>
        <v>0</v>
      </c>
      <c r="AJ599" s="4">
        <f t="shared" si="304"/>
        <v>8.2940496401020276</v>
      </c>
      <c r="AK599" s="4">
        <f t="shared" si="305"/>
        <v>6.2952660014396464</v>
      </c>
      <c r="AL599" s="4">
        <f t="shared" si="306"/>
        <v>0</v>
      </c>
      <c r="AM599" s="4">
        <f>CER!$C$7+CER!$C$8*J599+CER!$C$9*K599+CER!$C$10*L599+CER!$C$11*M599</f>
        <v>3.1803983803058795</v>
      </c>
      <c r="AN599" s="4">
        <f t="shared" si="307"/>
        <v>24.056335213545868</v>
      </c>
      <c r="AO599" s="4">
        <f t="shared" si="308"/>
        <v>0.11923866327573585</v>
      </c>
      <c r="AP599" s="4">
        <f>Alternatives!$F$25+Alternatives!$F$26*J599+Alternatives!$F$27*K599+Alternatives!$F$28*G599+Alternatives!$F$29*O599</f>
        <v>3.1610002766228731</v>
      </c>
      <c r="AQ599" s="4">
        <f t="shared" si="309"/>
        <v>0.13863676695874227</v>
      </c>
    </row>
    <row r="600" spans="1:43" x14ac:dyDescent="0.35">
      <c r="A600" s="2" t="s">
        <v>502</v>
      </c>
      <c r="B600" s="2" t="s">
        <v>490</v>
      </c>
      <c r="C600" s="2" t="s">
        <v>67</v>
      </c>
      <c r="D600" s="2">
        <v>27.102799999999998</v>
      </c>
      <c r="E600" s="2">
        <v>4000</v>
      </c>
      <c r="F600" s="2">
        <v>483</v>
      </c>
      <c r="G600" s="2">
        <v>52.1</v>
      </c>
      <c r="H600" s="2" t="s">
        <v>68</v>
      </c>
      <c r="I600" s="4">
        <f t="shared" si="279"/>
        <v>3.2996370435816154</v>
      </c>
      <c r="J600" s="4">
        <f t="shared" si="280"/>
        <v>8.2940496401020276</v>
      </c>
      <c r="K600" s="4">
        <f t="shared" si="281"/>
        <v>6.1800166536525722</v>
      </c>
      <c r="L600" s="2">
        <v>0</v>
      </c>
      <c r="M600" s="2">
        <v>0</v>
      </c>
      <c r="N600" s="4">
        <f t="shared" si="282"/>
        <v>52.1</v>
      </c>
      <c r="O600" s="4">
        <f t="shared" si="283"/>
        <v>0</v>
      </c>
      <c r="P600" s="4">
        <f t="shared" si="284"/>
        <v>0</v>
      </c>
      <c r="Q600" s="4">
        <f t="shared" si="285"/>
        <v>8.2940496401020276</v>
      </c>
      <c r="R600" s="4">
        <f t="shared" si="286"/>
        <v>6.1800166536525722</v>
      </c>
      <c r="S600" s="4">
        <f t="shared" si="287"/>
        <v>52.1</v>
      </c>
      <c r="T600" s="4">
        <f t="shared" si="288"/>
        <v>0</v>
      </c>
      <c r="U600" s="4">
        <f t="shared" si="289"/>
        <v>8.2940496401020276</v>
      </c>
      <c r="V600" s="4">
        <f t="shared" si="290"/>
        <v>6.1800166536525722</v>
      </c>
      <c r="W600" s="4">
        <f t="shared" si="291"/>
        <v>52.1</v>
      </c>
      <c r="X600" s="4">
        <f t="shared" si="292"/>
        <v>0</v>
      </c>
      <c r="Y600" s="4">
        <f t="shared" si="293"/>
        <v>8.2940496401020276</v>
      </c>
      <c r="Z600" s="4">
        <f t="shared" si="294"/>
        <v>6.1800166536525722</v>
      </c>
      <c r="AA600" s="4">
        <f t="shared" si="295"/>
        <v>52.1</v>
      </c>
      <c r="AB600" s="4">
        <f t="shared" si="296"/>
        <v>0</v>
      </c>
      <c r="AC600" s="4">
        <f t="shared" si="297"/>
        <v>0</v>
      </c>
      <c r="AD600" s="4">
        <f t="shared" si="298"/>
        <v>0</v>
      </c>
      <c r="AE600" s="4">
        <f t="shared" si="299"/>
        <v>0</v>
      </c>
      <c r="AF600" s="4">
        <f t="shared" si="300"/>
        <v>0</v>
      </c>
      <c r="AG600" s="4">
        <f t="shared" si="301"/>
        <v>8.2940496401020276</v>
      </c>
      <c r="AH600" s="4">
        <f t="shared" si="302"/>
        <v>0</v>
      </c>
      <c r="AI600" s="4">
        <f t="shared" si="303"/>
        <v>0</v>
      </c>
      <c r="AJ600" s="4">
        <f t="shared" si="304"/>
        <v>8.2940496401020276</v>
      </c>
      <c r="AK600" s="4">
        <f t="shared" si="305"/>
        <v>6.1800166536525722</v>
      </c>
      <c r="AL600" s="4">
        <f t="shared" si="306"/>
        <v>0</v>
      </c>
      <c r="AM600" s="4">
        <f>CER!$C$7+CER!$C$8*J600+CER!$C$9*K600+CER!$C$10*L600+CER!$C$11*M600</f>
        <v>3.2229189026992375</v>
      </c>
      <c r="AN600" s="4">
        <f t="shared" si="307"/>
        <v>25.101281552409183</v>
      </c>
      <c r="AO600" s="4">
        <f t="shared" si="308"/>
        <v>7.6718140882377828E-2</v>
      </c>
      <c r="AP600" s="4">
        <f>Alternatives!$F$25+Alternatives!$F$26*J600+Alternatives!$F$27*K600+Alternatives!$F$28*G600+Alternatives!$F$29*O600</f>
        <v>3.1916692768641099</v>
      </c>
      <c r="AQ600" s="4">
        <f t="shared" si="309"/>
        <v>0.10796776671750541</v>
      </c>
    </row>
    <row r="601" spans="1:43" x14ac:dyDescent="0.35">
      <c r="A601" s="2" t="s">
        <v>503</v>
      </c>
      <c r="B601" s="2" t="s">
        <v>490</v>
      </c>
      <c r="C601" s="2" t="s">
        <v>67</v>
      </c>
      <c r="D601" s="2">
        <v>25.902899999999999</v>
      </c>
      <c r="E601" s="2">
        <v>4500</v>
      </c>
      <c r="F601" s="2">
        <v>542</v>
      </c>
      <c r="G601" s="2">
        <v>52.1</v>
      </c>
      <c r="H601" s="2" t="s">
        <v>68</v>
      </c>
      <c r="I601" s="4">
        <f t="shared" si="279"/>
        <v>3.254354931549388</v>
      </c>
      <c r="J601" s="4">
        <f t="shared" si="280"/>
        <v>8.4118326757584114</v>
      </c>
      <c r="K601" s="4">
        <f t="shared" si="281"/>
        <v>6.2952660014396464</v>
      </c>
      <c r="L601" s="2">
        <v>0</v>
      </c>
      <c r="M601" s="2">
        <v>0</v>
      </c>
      <c r="N601" s="4">
        <f t="shared" si="282"/>
        <v>52.1</v>
      </c>
      <c r="O601" s="4">
        <f t="shared" si="283"/>
        <v>0</v>
      </c>
      <c r="P601" s="4">
        <f t="shared" si="284"/>
        <v>0</v>
      </c>
      <c r="Q601" s="4">
        <f t="shared" si="285"/>
        <v>8.4118326757584114</v>
      </c>
      <c r="R601" s="4">
        <f t="shared" si="286"/>
        <v>6.2952660014396464</v>
      </c>
      <c r="S601" s="4">
        <f t="shared" si="287"/>
        <v>52.1</v>
      </c>
      <c r="T601" s="4">
        <f t="shared" si="288"/>
        <v>0</v>
      </c>
      <c r="U601" s="4">
        <f t="shared" si="289"/>
        <v>8.4118326757584114</v>
      </c>
      <c r="V601" s="4">
        <f t="shared" si="290"/>
        <v>6.2952660014396464</v>
      </c>
      <c r="W601" s="4">
        <f t="shared" si="291"/>
        <v>52.1</v>
      </c>
      <c r="X601" s="4">
        <f t="shared" si="292"/>
        <v>0</v>
      </c>
      <c r="Y601" s="4">
        <f t="shared" si="293"/>
        <v>8.4118326757584114</v>
      </c>
      <c r="Z601" s="4">
        <f t="shared" si="294"/>
        <v>6.2952660014396464</v>
      </c>
      <c r="AA601" s="4">
        <f t="shared" si="295"/>
        <v>52.1</v>
      </c>
      <c r="AB601" s="4">
        <f t="shared" si="296"/>
        <v>0</v>
      </c>
      <c r="AC601" s="4">
        <f t="shared" si="297"/>
        <v>0</v>
      </c>
      <c r="AD601" s="4">
        <f t="shared" si="298"/>
        <v>0</v>
      </c>
      <c r="AE601" s="4">
        <f t="shared" si="299"/>
        <v>0</v>
      </c>
      <c r="AF601" s="4">
        <f t="shared" si="300"/>
        <v>0</v>
      </c>
      <c r="AG601" s="4">
        <f t="shared" si="301"/>
        <v>8.4118326757584114</v>
      </c>
      <c r="AH601" s="4">
        <f t="shared" si="302"/>
        <v>0</v>
      </c>
      <c r="AI601" s="4">
        <f t="shared" si="303"/>
        <v>0</v>
      </c>
      <c r="AJ601" s="4">
        <f t="shared" si="304"/>
        <v>8.4118326757584114</v>
      </c>
      <c r="AK601" s="4">
        <f t="shared" si="305"/>
        <v>6.2952660014396464</v>
      </c>
      <c r="AL601" s="4">
        <f t="shared" si="306"/>
        <v>0</v>
      </c>
      <c r="AM601" s="4">
        <f>CER!$C$7+CER!$C$8*J601+CER!$C$9*K601+CER!$C$10*L601+CER!$C$11*M601</f>
        <v>3.1270769259270796</v>
      </c>
      <c r="AN601" s="4">
        <f t="shared" si="307"/>
        <v>22.807214832530533</v>
      </c>
      <c r="AO601" s="4">
        <f t="shared" si="308"/>
        <v>0.1272780056223084</v>
      </c>
      <c r="AP601" s="4">
        <f>Alternatives!$F$25+Alternatives!$F$26*J601+Alternatives!$F$27*K601+Alternatives!$F$28*G601+Alternatives!$F$29*O601</f>
        <v>3.2045901265766648</v>
      </c>
      <c r="AQ601" s="4">
        <f t="shared" si="309"/>
        <v>4.9764804972723287E-2</v>
      </c>
    </row>
    <row r="602" spans="1:43" x14ac:dyDescent="0.35">
      <c r="A602" s="2" t="s">
        <v>504</v>
      </c>
      <c r="B602" s="2" t="s">
        <v>505</v>
      </c>
      <c r="C602" s="2" t="s">
        <v>33</v>
      </c>
      <c r="D602" s="2">
        <v>36.642000000000003</v>
      </c>
      <c r="E602" s="2">
        <v>4500</v>
      </c>
      <c r="F602" s="2">
        <v>255</v>
      </c>
      <c r="G602" s="2">
        <v>50.6</v>
      </c>
      <c r="H602" s="2" t="s">
        <v>68</v>
      </c>
      <c r="I602" s="4">
        <f t="shared" si="279"/>
        <v>3.6011951234690529</v>
      </c>
      <c r="J602" s="4">
        <f t="shared" si="280"/>
        <v>8.4118326757584114</v>
      </c>
      <c r="K602" s="4">
        <f t="shared" si="281"/>
        <v>5.5412635451584258</v>
      </c>
      <c r="L602" s="2">
        <v>1</v>
      </c>
      <c r="M602" s="2">
        <v>0</v>
      </c>
      <c r="N602" s="4">
        <f t="shared" si="282"/>
        <v>50.6</v>
      </c>
      <c r="O602" s="4">
        <f t="shared" si="283"/>
        <v>1</v>
      </c>
      <c r="P602" s="4">
        <f t="shared" si="284"/>
        <v>1</v>
      </c>
      <c r="Q602" s="4">
        <f t="shared" si="285"/>
        <v>8.4118326757584114</v>
      </c>
      <c r="R602" s="4">
        <f t="shared" si="286"/>
        <v>5.5412635451584258</v>
      </c>
      <c r="S602" s="4">
        <f t="shared" si="287"/>
        <v>50.6</v>
      </c>
      <c r="T602" s="4">
        <f t="shared" si="288"/>
        <v>1</v>
      </c>
      <c r="U602" s="4">
        <f t="shared" si="289"/>
        <v>8.4118326757584114</v>
      </c>
      <c r="V602" s="4">
        <f t="shared" si="290"/>
        <v>5.5412635451584258</v>
      </c>
      <c r="W602" s="4">
        <f t="shared" si="291"/>
        <v>50.6</v>
      </c>
      <c r="X602" s="4">
        <f t="shared" si="292"/>
        <v>1</v>
      </c>
      <c r="Y602" s="4">
        <f t="shared" si="293"/>
        <v>8.4118326757584114</v>
      </c>
      <c r="Z602" s="4">
        <f t="shared" si="294"/>
        <v>5.5412635451584258</v>
      </c>
      <c r="AA602" s="4">
        <f t="shared" si="295"/>
        <v>50.6</v>
      </c>
      <c r="AB602" s="4">
        <f t="shared" si="296"/>
        <v>1</v>
      </c>
      <c r="AC602" s="4">
        <f t="shared" si="297"/>
        <v>0</v>
      </c>
      <c r="AD602" s="4">
        <f t="shared" si="298"/>
        <v>0</v>
      </c>
      <c r="AE602" s="4">
        <f t="shared" si="299"/>
        <v>0</v>
      </c>
      <c r="AF602" s="4">
        <f t="shared" si="300"/>
        <v>0</v>
      </c>
      <c r="AG602" s="4">
        <f t="shared" si="301"/>
        <v>8.4118326757584114</v>
      </c>
      <c r="AH602" s="4">
        <f t="shared" si="302"/>
        <v>1</v>
      </c>
      <c r="AI602" s="4">
        <f t="shared" si="303"/>
        <v>0</v>
      </c>
      <c r="AJ602" s="4">
        <f t="shared" si="304"/>
        <v>8.4118326757584114</v>
      </c>
      <c r="AK602" s="4">
        <f t="shared" si="305"/>
        <v>5.5412635451584258</v>
      </c>
      <c r="AL602" s="4">
        <f t="shared" si="306"/>
        <v>0</v>
      </c>
      <c r="AM602" s="4">
        <f>CER!$C$7+CER!$C$8*J602+CER!$C$9*K602+CER!$C$10*L602+CER!$C$11*M602</f>
        <v>3.6290149623818366</v>
      </c>
      <c r="AN602" s="4">
        <f t="shared" si="307"/>
        <v>37.675686364477059</v>
      </c>
      <c r="AO602" s="4">
        <f t="shared" si="308"/>
        <v>-2.7819838912783723E-2</v>
      </c>
      <c r="AP602" s="4">
        <f>Alternatives!$F$25+Alternatives!$F$26*J602+Alternatives!$F$27*K602+Alternatives!$F$28*G602+Alternatives!$F$29*O602</f>
        <v>4.2694885967433667</v>
      </c>
      <c r="AQ602" s="4">
        <f t="shared" si="309"/>
        <v>-0.66829347327431377</v>
      </c>
    </row>
    <row r="603" spans="1:43" x14ac:dyDescent="0.35">
      <c r="A603" s="2" t="s">
        <v>506</v>
      </c>
      <c r="B603" s="2" t="s">
        <v>505</v>
      </c>
      <c r="C603" s="2" t="s">
        <v>33</v>
      </c>
      <c r="D603" s="2">
        <v>36.067799999999998</v>
      </c>
      <c r="E603" s="2">
        <v>4500</v>
      </c>
      <c r="F603" s="2">
        <v>255</v>
      </c>
      <c r="G603" s="2">
        <v>50.6</v>
      </c>
      <c r="H603" s="2" t="s">
        <v>68</v>
      </c>
      <c r="I603" s="4">
        <f t="shared" si="279"/>
        <v>3.5854005005407736</v>
      </c>
      <c r="J603" s="4">
        <f t="shared" si="280"/>
        <v>8.4118326757584114</v>
      </c>
      <c r="K603" s="4">
        <f t="shared" si="281"/>
        <v>5.5412635451584258</v>
      </c>
      <c r="L603" s="2">
        <v>1</v>
      </c>
      <c r="M603" s="2">
        <v>0</v>
      </c>
      <c r="N603" s="4">
        <f t="shared" si="282"/>
        <v>50.6</v>
      </c>
      <c r="O603" s="4">
        <f t="shared" si="283"/>
        <v>1</v>
      </c>
      <c r="P603" s="4">
        <f t="shared" si="284"/>
        <v>1</v>
      </c>
      <c r="Q603" s="4">
        <f t="shared" si="285"/>
        <v>8.4118326757584114</v>
      </c>
      <c r="R603" s="4">
        <f t="shared" si="286"/>
        <v>5.5412635451584258</v>
      </c>
      <c r="S603" s="4">
        <f t="shared" si="287"/>
        <v>50.6</v>
      </c>
      <c r="T603" s="4">
        <f t="shared" si="288"/>
        <v>1</v>
      </c>
      <c r="U603" s="4">
        <f t="shared" si="289"/>
        <v>8.4118326757584114</v>
      </c>
      <c r="V603" s="4">
        <f t="shared" si="290"/>
        <v>5.5412635451584258</v>
      </c>
      <c r="W603" s="4">
        <f t="shared" si="291"/>
        <v>50.6</v>
      </c>
      <c r="X603" s="4">
        <f t="shared" si="292"/>
        <v>1</v>
      </c>
      <c r="Y603" s="4">
        <f t="shared" si="293"/>
        <v>8.4118326757584114</v>
      </c>
      <c r="Z603" s="4">
        <f t="shared" si="294"/>
        <v>5.5412635451584258</v>
      </c>
      <c r="AA603" s="4">
        <f t="shared" si="295"/>
        <v>50.6</v>
      </c>
      <c r="AB603" s="4">
        <f t="shared" si="296"/>
        <v>1</v>
      </c>
      <c r="AC603" s="4">
        <f t="shared" si="297"/>
        <v>0</v>
      </c>
      <c r="AD603" s="4">
        <f t="shared" si="298"/>
        <v>0</v>
      </c>
      <c r="AE603" s="4">
        <f t="shared" si="299"/>
        <v>0</v>
      </c>
      <c r="AF603" s="4">
        <f t="shared" si="300"/>
        <v>0</v>
      </c>
      <c r="AG603" s="4">
        <f t="shared" si="301"/>
        <v>8.4118326757584114</v>
      </c>
      <c r="AH603" s="4">
        <f t="shared" si="302"/>
        <v>1</v>
      </c>
      <c r="AI603" s="4">
        <f t="shared" si="303"/>
        <v>0</v>
      </c>
      <c r="AJ603" s="4">
        <f t="shared" si="304"/>
        <v>8.4118326757584114</v>
      </c>
      <c r="AK603" s="4">
        <f t="shared" si="305"/>
        <v>5.5412635451584258</v>
      </c>
      <c r="AL603" s="4">
        <f t="shared" si="306"/>
        <v>0</v>
      </c>
      <c r="AM603" s="4">
        <f>CER!$C$7+CER!$C$8*J603+CER!$C$9*K603+CER!$C$10*L603+CER!$C$11*M603</f>
        <v>3.6290149623818366</v>
      </c>
      <c r="AN603" s="4">
        <f t="shared" si="307"/>
        <v>37.675686364477059</v>
      </c>
      <c r="AO603" s="4">
        <f t="shared" si="308"/>
        <v>-4.361446184106299E-2</v>
      </c>
      <c r="AP603" s="4">
        <f>Alternatives!$F$25+Alternatives!$F$26*J603+Alternatives!$F$27*K603+Alternatives!$F$28*G603+Alternatives!$F$29*O603</f>
        <v>4.2694885967433667</v>
      </c>
      <c r="AQ603" s="4">
        <f t="shared" si="309"/>
        <v>-0.68408809620259303</v>
      </c>
    </row>
    <row r="604" spans="1:43" x14ac:dyDescent="0.35">
      <c r="A604" s="2" t="s">
        <v>507</v>
      </c>
      <c r="B604" s="2" t="s">
        <v>505</v>
      </c>
      <c r="C604" s="2" t="s">
        <v>33</v>
      </c>
      <c r="D604" s="2">
        <v>27.506399999999999</v>
      </c>
      <c r="E604" s="2">
        <v>5000</v>
      </c>
      <c r="F604" s="2">
        <v>469</v>
      </c>
      <c r="G604" s="2">
        <v>49.7</v>
      </c>
      <c r="H604" s="2" t="s">
        <v>68</v>
      </c>
      <c r="I604" s="4">
        <f t="shared" si="279"/>
        <v>3.3144187048684621</v>
      </c>
      <c r="J604" s="4">
        <f t="shared" si="280"/>
        <v>8.5171931914162382</v>
      </c>
      <c r="K604" s="4">
        <f t="shared" si="281"/>
        <v>6.1506027684462792</v>
      </c>
      <c r="L604" s="2">
        <v>1</v>
      </c>
      <c r="M604" s="2">
        <v>0</v>
      </c>
      <c r="N604" s="4">
        <f t="shared" si="282"/>
        <v>49.7</v>
      </c>
      <c r="O604" s="4">
        <f t="shared" si="283"/>
        <v>1</v>
      </c>
      <c r="P604" s="4">
        <f t="shared" si="284"/>
        <v>1</v>
      </c>
      <c r="Q604" s="4">
        <f t="shared" si="285"/>
        <v>8.5171931914162382</v>
      </c>
      <c r="R604" s="4">
        <f t="shared" si="286"/>
        <v>6.1506027684462792</v>
      </c>
      <c r="S604" s="4">
        <f t="shared" si="287"/>
        <v>49.7</v>
      </c>
      <c r="T604" s="4">
        <f t="shared" si="288"/>
        <v>1</v>
      </c>
      <c r="U604" s="4">
        <f t="shared" si="289"/>
        <v>8.5171931914162382</v>
      </c>
      <c r="V604" s="4">
        <f t="shared" si="290"/>
        <v>6.1506027684462792</v>
      </c>
      <c r="W604" s="4">
        <f t="shared" si="291"/>
        <v>49.7</v>
      </c>
      <c r="X604" s="4">
        <f t="shared" si="292"/>
        <v>1</v>
      </c>
      <c r="Y604" s="4">
        <f t="shared" si="293"/>
        <v>8.5171931914162382</v>
      </c>
      <c r="Z604" s="4">
        <f t="shared" si="294"/>
        <v>6.1506027684462792</v>
      </c>
      <c r="AA604" s="4">
        <f t="shared" si="295"/>
        <v>49.7</v>
      </c>
      <c r="AB604" s="4">
        <f t="shared" si="296"/>
        <v>1</v>
      </c>
      <c r="AC604" s="4">
        <f t="shared" si="297"/>
        <v>0</v>
      </c>
      <c r="AD604" s="4">
        <f t="shared" si="298"/>
        <v>0</v>
      </c>
      <c r="AE604" s="4">
        <f t="shared" si="299"/>
        <v>0</v>
      </c>
      <c r="AF604" s="4">
        <f t="shared" si="300"/>
        <v>0</v>
      </c>
      <c r="AG604" s="4">
        <f t="shared" si="301"/>
        <v>8.5171931914162382</v>
      </c>
      <c r="AH604" s="4">
        <f t="shared" si="302"/>
        <v>1</v>
      </c>
      <c r="AI604" s="4">
        <f t="shared" si="303"/>
        <v>0</v>
      </c>
      <c r="AJ604" s="4">
        <f t="shared" si="304"/>
        <v>8.5171931914162382</v>
      </c>
      <c r="AK604" s="4">
        <f t="shared" si="305"/>
        <v>6.1506027684462792</v>
      </c>
      <c r="AL604" s="4">
        <f t="shared" si="306"/>
        <v>0</v>
      </c>
      <c r="AM604" s="4">
        <f>CER!$C$7+CER!$C$8*J604+CER!$C$9*K604+CER!$C$10*L604+CER!$C$11*M604</f>
        <v>3.356505420050218</v>
      </c>
      <c r="AN604" s="4">
        <f t="shared" si="307"/>
        <v>28.688760333516893</v>
      </c>
      <c r="AO604" s="4">
        <f t="shared" si="308"/>
        <v>-4.2086715181755885E-2</v>
      </c>
      <c r="AP604" s="4">
        <f>Alternatives!$F$25+Alternatives!$F$26*J604+Alternatives!$F$27*K604+Alternatives!$F$28*G604+Alternatives!$F$29*O604</f>
        <v>4.158036388165824</v>
      </c>
      <c r="AQ604" s="4">
        <f t="shared" si="309"/>
        <v>-0.84361768329736186</v>
      </c>
    </row>
    <row r="605" spans="1:43" x14ac:dyDescent="0.35">
      <c r="A605" s="2" t="s">
        <v>508</v>
      </c>
      <c r="B605" s="2" t="s">
        <v>505</v>
      </c>
      <c r="C605" s="2" t="s">
        <v>33</v>
      </c>
      <c r="D605" s="2">
        <v>34.988799999999998</v>
      </c>
      <c r="E605" s="2">
        <v>4500</v>
      </c>
      <c r="F605" s="2">
        <v>255</v>
      </c>
      <c r="G605" s="2">
        <v>50.6</v>
      </c>
      <c r="H605" s="2" t="s">
        <v>68</v>
      </c>
      <c r="I605" s="4">
        <f t="shared" si="279"/>
        <v>3.5550280102784884</v>
      </c>
      <c r="J605" s="4">
        <f t="shared" si="280"/>
        <v>8.4118326757584114</v>
      </c>
      <c r="K605" s="4">
        <f t="shared" si="281"/>
        <v>5.5412635451584258</v>
      </c>
      <c r="L605" s="2">
        <v>1</v>
      </c>
      <c r="M605" s="2">
        <v>0</v>
      </c>
      <c r="N605" s="4">
        <f t="shared" si="282"/>
        <v>50.6</v>
      </c>
      <c r="O605" s="4">
        <f t="shared" si="283"/>
        <v>1</v>
      </c>
      <c r="P605" s="4">
        <f t="shared" si="284"/>
        <v>1</v>
      </c>
      <c r="Q605" s="4">
        <f t="shared" si="285"/>
        <v>8.4118326757584114</v>
      </c>
      <c r="R605" s="4">
        <f t="shared" si="286"/>
        <v>5.5412635451584258</v>
      </c>
      <c r="S605" s="4">
        <f t="shared" si="287"/>
        <v>50.6</v>
      </c>
      <c r="T605" s="4">
        <f t="shared" si="288"/>
        <v>1</v>
      </c>
      <c r="U605" s="4">
        <f t="shared" si="289"/>
        <v>8.4118326757584114</v>
      </c>
      <c r="V605" s="4">
        <f t="shared" si="290"/>
        <v>5.5412635451584258</v>
      </c>
      <c r="W605" s="4">
        <f t="shared" si="291"/>
        <v>50.6</v>
      </c>
      <c r="X605" s="4">
        <f t="shared" si="292"/>
        <v>1</v>
      </c>
      <c r="Y605" s="4">
        <f t="shared" si="293"/>
        <v>8.4118326757584114</v>
      </c>
      <c r="Z605" s="4">
        <f t="shared" si="294"/>
        <v>5.5412635451584258</v>
      </c>
      <c r="AA605" s="4">
        <f t="shared" si="295"/>
        <v>50.6</v>
      </c>
      <c r="AB605" s="4">
        <f t="shared" si="296"/>
        <v>1</v>
      </c>
      <c r="AC605" s="4">
        <f t="shared" si="297"/>
        <v>0</v>
      </c>
      <c r="AD605" s="4">
        <f t="shared" si="298"/>
        <v>0</v>
      </c>
      <c r="AE605" s="4">
        <f t="shared" si="299"/>
        <v>0</v>
      </c>
      <c r="AF605" s="4">
        <f t="shared" si="300"/>
        <v>0</v>
      </c>
      <c r="AG605" s="4">
        <f t="shared" si="301"/>
        <v>8.4118326757584114</v>
      </c>
      <c r="AH605" s="4">
        <f t="shared" si="302"/>
        <v>1</v>
      </c>
      <c r="AI605" s="4">
        <f t="shared" si="303"/>
        <v>0</v>
      </c>
      <c r="AJ605" s="4">
        <f t="shared" si="304"/>
        <v>8.4118326757584114</v>
      </c>
      <c r="AK605" s="4">
        <f t="shared" si="305"/>
        <v>5.5412635451584258</v>
      </c>
      <c r="AL605" s="4">
        <f t="shared" si="306"/>
        <v>0</v>
      </c>
      <c r="AM605" s="4">
        <f>CER!$C$7+CER!$C$8*J605+CER!$C$9*K605+CER!$C$10*L605+CER!$C$11*M605</f>
        <v>3.6290149623818366</v>
      </c>
      <c r="AN605" s="4">
        <f t="shared" si="307"/>
        <v>37.675686364477059</v>
      </c>
      <c r="AO605" s="4">
        <f t="shared" si="308"/>
        <v>-7.3986952103348269E-2</v>
      </c>
      <c r="AP605" s="4">
        <f>Alternatives!$F$25+Alternatives!$F$26*J605+Alternatives!$F$27*K605+Alternatives!$F$28*G605+Alternatives!$F$29*O605</f>
        <v>4.2694885967433667</v>
      </c>
      <c r="AQ605" s="4">
        <f t="shared" si="309"/>
        <v>-0.71446058646487831</v>
      </c>
    </row>
    <row r="606" spans="1:43" x14ac:dyDescent="0.35">
      <c r="A606" s="2" t="s">
        <v>509</v>
      </c>
      <c r="B606" s="2" t="s">
        <v>505</v>
      </c>
      <c r="C606" s="2" t="s">
        <v>33</v>
      </c>
      <c r="D606" s="2">
        <v>40.069200000000002</v>
      </c>
      <c r="E606" s="2">
        <v>4000</v>
      </c>
      <c r="F606" s="2">
        <v>255</v>
      </c>
      <c r="G606" s="2">
        <v>48.9</v>
      </c>
      <c r="H606" s="2" t="s">
        <v>68</v>
      </c>
      <c r="I606" s="4">
        <f t="shared" si="279"/>
        <v>3.6906079593876058</v>
      </c>
      <c r="J606" s="4">
        <f t="shared" si="280"/>
        <v>8.2940496401020276</v>
      </c>
      <c r="K606" s="4">
        <f t="shared" si="281"/>
        <v>5.5412635451584258</v>
      </c>
      <c r="L606" s="2">
        <v>1</v>
      </c>
      <c r="M606" s="2">
        <v>0</v>
      </c>
      <c r="N606" s="4">
        <f t="shared" si="282"/>
        <v>48.9</v>
      </c>
      <c r="O606" s="4">
        <f t="shared" si="283"/>
        <v>1</v>
      </c>
      <c r="P606" s="4">
        <f t="shared" si="284"/>
        <v>1</v>
      </c>
      <c r="Q606" s="4">
        <f t="shared" si="285"/>
        <v>8.2940496401020276</v>
      </c>
      <c r="R606" s="4">
        <f t="shared" si="286"/>
        <v>5.5412635451584258</v>
      </c>
      <c r="S606" s="4">
        <f t="shared" si="287"/>
        <v>48.9</v>
      </c>
      <c r="T606" s="4">
        <f t="shared" si="288"/>
        <v>1</v>
      </c>
      <c r="U606" s="4">
        <f t="shared" si="289"/>
        <v>8.2940496401020276</v>
      </c>
      <c r="V606" s="4">
        <f t="shared" si="290"/>
        <v>5.5412635451584258</v>
      </c>
      <c r="W606" s="4">
        <f t="shared" si="291"/>
        <v>48.9</v>
      </c>
      <c r="X606" s="4">
        <f t="shared" si="292"/>
        <v>1</v>
      </c>
      <c r="Y606" s="4">
        <f t="shared" si="293"/>
        <v>8.2940496401020276</v>
      </c>
      <c r="Z606" s="4">
        <f t="shared" si="294"/>
        <v>5.5412635451584258</v>
      </c>
      <c r="AA606" s="4">
        <f t="shared" si="295"/>
        <v>48.9</v>
      </c>
      <c r="AB606" s="4">
        <f t="shared" si="296"/>
        <v>1</v>
      </c>
      <c r="AC606" s="4">
        <f t="shared" si="297"/>
        <v>0</v>
      </c>
      <c r="AD606" s="4">
        <f t="shared" si="298"/>
        <v>0</v>
      </c>
      <c r="AE606" s="4">
        <f t="shared" si="299"/>
        <v>0</v>
      </c>
      <c r="AF606" s="4">
        <f t="shared" si="300"/>
        <v>0</v>
      </c>
      <c r="AG606" s="4">
        <f t="shared" si="301"/>
        <v>8.2940496401020276</v>
      </c>
      <c r="AH606" s="4">
        <f t="shared" si="302"/>
        <v>1</v>
      </c>
      <c r="AI606" s="4">
        <f t="shared" si="303"/>
        <v>0</v>
      </c>
      <c r="AJ606" s="4">
        <f t="shared" si="304"/>
        <v>8.2940496401020276</v>
      </c>
      <c r="AK606" s="4">
        <f t="shared" si="305"/>
        <v>5.5412635451584258</v>
      </c>
      <c r="AL606" s="4">
        <f t="shared" si="306"/>
        <v>0</v>
      </c>
      <c r="AM606" s="4">
        <f>CER!$C$7+CER!$C$8*J606+CER!$C$9*K606+CER!$C$10*L606+CER!$C$11*M606</f>
        <v>3.6823364167606365</v>
      </c>
      <c r="AN606" s="4">
        <f t="shared" si="307"/>
        <v>39.739132868233618</v>
      </c>
      <c r="AO606" s="4">
        <f t="shared" si="308"/>
        <v>8.2715426269692749E-3</v>
      </c>
      <c r="AP606" s="4">
        <f>Alternatives!$F$25+Alternatives!$F$26*J606+Alternatives!$F$27*K606+Alternatives!$F$28*G606+Alternatives!$F$29*O606</f>
        <v>4.2480111815113633</v>
      </c>
      <c r="AQ606" s="4">
        <f t="shared" si="309"/>
        <v>-0.55740322212375748</v>
      </c>
    </row>
    <row r="607" spans="1:43" x14ac:dyDescent="0.35">
      <c r="A607" s="2" t="s">
        <v>510</v>
      </c>
      <c r="B607" s="2" t="s">
        <v>505</v>
      </c>
      <c r="C607" s="2" t="s">
        <v>33</v>
      </c>
      <c r="D607" s="2">
        <v>35.9054</v>
      </c>
      <c r="E607" s="2">
        <v>4000</v>
      </c>
      <c r="F607" s="2">
        <v>255</v>
      </c>
      <c r="G607" s="2">
        <v>48.9</v>
      </c>
      <c r="H607" s="2" t="s">
        <v>68</v>
      </c>
      <c r="I607" s="4">
        <f t="shared" si="279"/>
        <v>3.5808877020099041</v>
      </c>
      <c r="J607" s="4">
        <f t="shared" si="280"/>
        <v>8.2940496401020276</v>
      </c>
      <c r="K607" s="4">
        <f t="shared" si="281"/>
        <v>5.5412635451584258</v>
      </c>
      <c r="L607" s="2">
        <v>1</v>
      </c>
      <c r="M607" s="2">
        <v>0</v>
      </c>
      <c r="N607" s="4">
        <f t="shared" si="282"/>
        <v>48.9</v>
      </c>
      <c r="O607" s="4">
        <f t="shared" si="283"/>
        <v>1</v>
      </c>
      <c r="P607" s="4">
        <f t="shared" si="284"/>
        <v>1</v>
      </c>
      <c r="Q607" s="4">
        <f t="shared" si="285"/>
        <v>8.2940496401020276</v>
      </c>
      <c r="R607" s="4">
        <f t="shared" si="286"/>
        <v>5.5412635451584258</v>
      </c>
      <c r="S607" s="4">
        <f t="shared" si="287"/>
        <v>48.9</v>
      </c>
      <c r="T607" s="4">
        <f t="shared" si="288"/>
        <v>1</v>
      </c>
      <c r="U607" s="4">
        <f t="shared" si="289"/>
        <v>8.2940496401020276</v>
      </c>
      <c r="V607" s="4">
        <f t="shared" si="290"/>
        <v>5.5412635451584258</v>
      </c>
      <c r="W607" s="4">
        <f t="shared" si="291"/>
        <v>48.9</v>
      </c>
      <c r="X607" s="4">
        <f t="shared" si="292"/>
        <v>1</v>
      </c>
      <c r="Y607" s="4">
        <f t="shared" si="293"/>
        <v>8.2940496401020276</v>
      </c>
      <c r="Z607" s="4">
        <f t="shared" si="294"/>
        <v>5.5412635451584258</v>
      </c>
      <c r="AA607" s="4">
        <f t="shared" si="295"/>
        <v>48.9</v>
      </c>
      <c r="AB607" s="4">
        <f t="shared" si="296"/>
        <v>1</v>
      </c>
      <c r="AC607" s="4">
        <f t="shared" si="297"/>
        <v>0</v>
      </c>
      <c r="AD607" s="4">
        <f t="shared" si="298"/>
        <v>0</v>
      </c>
      <c r="AE607" s="4">
        <f t="shared" si="299"/>
        <v>0</v>
      </c>
      <c r="AF607" s="4">
        <f t="shared" si="300"/>
        <v>0</v>
      </c>
      <c r="AG607" s="4">
        <f t="shared" si="301"/>
        <v>8.2940496401020276</v>
      </c>
      <c r="AH607" s="4">
        <f t="shared" si="302"/>
        <v>1</v>
      </c>
      <c r="AI607" s="4">
        <f t="shared" si="303"/>
        <v>0</v>
      </c>
      <c r="AJ607" s="4">
        <f t="shared" si="304"/>
        <v>8.2940496401020276</v>
      </c>
      <c r="AK607" s="4">
        <f t="shared" si="305"/>
        <v>5.5412635451584258</v>
      </c>
      <c r="AL607" s="4">
        <f t="shared" si="306"/>
        <v>0</v>
      </c>
      <c r="AM607" s="4">
        <f>CER!$C$7+CER!$C$8*J607+CER!$C$9*K607+CER!$C$10*L607+CER!$C$11*M607</f>
        <v>3.6823364167606365</v>
      </c>
      <c r="AN607" s="4">
        <f t="shared" si="307"/>
        <v>39.739132868233618</v>
      </c>
      <c r="AO607" s="4">
        <f t="shared" si="308"/>
        <v>-0.10144871475073236</v>
      </c>
      <c r="AP607" s="4">
        <f>Alternatives!$F$25+Alternatives!$F$26*J607+Alternatives!$F$27*K607+Alternatives!$F$28*G607+Alternatives!$F$29*O607</f>
        <v>4.2480111815113633</v>
      </c>
      <c r="AQ607" s="4">
        <f t="shared" si="309"/>
        <v>-0.66712347950145912</v>
      </c>
    </row>
    <row r="608" spans="1:43" x14ac:dyDescent="0.35">
      <c r="A608" s="2" t="s">
        <v>511</v>
      </c>
      <c r="B608" s="2" t="s">
        <v>505</v>
      </c>
      <c r="C608" s="2" t="s">
        <v>33</v>
      </c>
      <c r="D608" s="2">
        <v>32.657200000000003</v>
      </c>
      <c r="E608" s="2">
        <v>4000</v>
      </c>
      <c r="F608" s="2">
        <v>302</v>
      </c>
      <c r="G608" s="2">
        <v>47.3</v>
      </c>
      <c r="H608" s="2" t="s">
        <v>68</v>
      </c>
      <c r="I608" s="4">
        <f t="shared" si="279"/>
        <v>3.4860653520851437</v>
      </c>
      <c r="J608" s="4">
        <f t="shared" si="280"/>
        <v>8.2940496401020276</v>
      </c>
      <c r="K608" s="4">
        <f t="shared" si="281"/>
        <v>5.7104270173748697</v>
      </c>
      <c r="L608" s="2">
        <v>1</v>
      </c>
      <c r="M608" s="2">
        <v>0</v>
      </c>
      <c r="N608" s="4">
        <f t="shared" si="282"/>
        <v>47.3</v>
      </c>
      <c r="O608" s="4">
        <f t="shared" si="283"/>
        <v>1</v>
      </c>
      <c r="P608" s="4">
        <f t="shared" si="284"/>
        <v>1</v>
      </c>
      <c r="Q608" s="4">
        <f t="shared" si="285"/>
        <v>8.2940496401020276</v>
      </c>
      <c r="R608" s="4">
        <f t="shared" si="286"/>
        <v>5.7104270173748697</v>
      </c>
      <c r="S608" s="4">
        <f t="shared" si="287"/>
        <v>47.3</v>
      </c>
      <c r="T608" s="4">
        <f t="shared" si="288"/>
        <v>1</v>
      </c>
      <c r="U608" s="4">
        <f t="shared" si="289"/>
        <v>8.2940496401020276</v>
      </c>
      <c r="V608" s="4">
        <f t="shared" si="290"/>
        <v>5.7104270173748697</v>
      </c>
      <c r="W608" s="4">
        <f t="shared" si="291"/>
        <v>47.3</v>
      </c>
      <c r="X608" s="4">
        <f t="shared" si="292"/>
        <v>1</v>
      </c>
      <c r="Y608" s="4">
        <f t="shared" si="293"/>
        <v>8.2940496401020276</v>
      </c>
      <c r="Z608" s="4">
        <f t="shared" si="294"/>
        <v>5.7104270173748697</v>
      </c>
      <c r="AA608" s="4">
        <f t="shared" si="295"/>
        <v>47.3</v>
      </c>
      <c r="AB608" s="4">
        <f t="shared" si="296"/>
        <v>1</v>
      </c>
      <c r="AC608" s="4">
        <f t="shared" si="297"/>
        <v>0</v>
      </c>
      <c r="AD608" s="4">
        <f t="shared" si="298"/>
        <v>0</v>
      </c>
      <c r="AE608" s="4">
        <f t="shared" si="299"/>
        <v>0</v>
      </c>
      <c r="AF608" s="4">
        <f t="shared" si="300"/>
        <v>0</v>
      </c>
      <c r="AG608" s="4">
        <f t="shared" si="301"/>
        <v>8.2940496401020276</v>
      </c>
      <c r="AH608" s="4">
        <f t="shared" si="302"/>
        <v>1</v>
      </c>
      <c r="AI608" s="4">
        <f t="shared" si="303"/>
        <v>0</v>
      </c>
      <c r="AJ608" s="4">
        <f t="shared" si="304"/>
        <v>8.2940496401020276</v>
      </c>
      <c r="AK608" s="4">
        <f t="shared" si="305"/>
        <v>5.7104270173748697</v>
      </c>
      <c r="AL608" s="4">
        <f t="shared" si="306"/>
        <v>0</v>
      </c>
      <c r="AM608" s="4">
        <f>CER!$C$7+CER!$C$8*J608+CER!$C$9*K608+CER!$C$10*L608+CER!$C$11*M608</f>
        <v>3.619924617070398</v>
      </c>
      <c r="AN608" s="4">
        <f t="shared" si="307"/>
        <v>37.334753312891323</v>
      </c>
      <c r="AO608" s="4">
        <f t="shared" si="308"/>
        <v>-0.13385926498525436</v>
      </c>
      <c r="AP608" s="4">
        <f>Alternatives!$F$25+Alternatives!$F$26*J608+Alternatives!$F$27*K608+Alternatives!$F$28*G608+Alternatives!$F$29*O608</f>
        <v>4.2238067986159091</v>
      </c>
      <c r="AQ608" s="4">
        <f t="shared" si="309"/>
        <v>-0.73774144653076545</v>
      </c>
    </row>
    <row r="609" spans="1:43" x14ac:dyDescent="0.35">
      <c r="A609" s="2" t="s">
        <v>512</v>
      </c>
      <c r="B609" s="2" t="s">
        <v>505</v>
      </c>
      <c r="C609" s="2" t="s">
        <v>33</v>
      </c>
      <c r="D609" s="2">
        <v>31.8841</v>
      </c>
      <c r="E609" s="2">
        <v>4000</v>
      </c>
      <c r="F609" s="2">
        <v>302</v>
      </c>
      <c r="G609" s="2">
        <v>47.1</v>
      </c>
      <c r="H609" s="2" t="s">
        <v>68</v>
      </c>
      <c r="I609" s="4">
        <f t="shared" si="279"/>
        <v>3.462107452930097</v>
      </c>
      <c r="J609" s="4">
        <f t="shared" si="280"/>
        <v>8.2940496401020276</v>
      </c>
      <c r="K609" s="4">
        <f t="shared" si="281"/>
        <v>5.7104270173748697</v>
      </c>
      <c r="L609" s="2">
        <v>1</v>
      </c>
      <c r="M609" s="2">
        <v>0</v>
      </c>
      <c r="N609" s="4">
        <f t="shared" si="282"/>
        <v>47.1</v>
      </c>
      <c r="O609" s="4">
        <f t="shared" si="283"/>
        <v>1</v>
      </c>
      <c r="P609" s="4">
        <f t="shared" si="284"/>
        <v>1</v>
      </c>
      <c r="Q609" s="4">
        <f t="shared" si="285"/>
        <v>8.2940496401020276</v>
      </c>
      <c r="R609" s="4">
        <f t="shared" si="286"/>
        <v>5.7104270173748697</v>
      </c>
      <c r="S609" s="4">
        <f t="shared" si="287"/>
        <v>47.1</v>
      </c>
      <c r="T609" s="4">
        <f t="shared" si="288"/>
        <v>1</v>
      </c>
      <c r="U609" s="4">
        <f t="shared" si="289"/>
        <v>8.2940496401020276</v>
      </c>
      <c r="V609" s="4">
        <f t="shared" si="290"/>
        <v>5.7104270173748697</v>
      </c>
      <c r="W609" s="4">
        <f t="shared" si="291"/>
        <v>47.1</v>
      </c>
      <c r="X609" s="4">
        <f t="shared" si="292"/>
        <v>1</v>
      </c>
      <c r="Y609" s="4">
        <f t="shared" si="293"/>
        <v>8.2940496401020276</v>
      </c>
      <c r="Z609" s="4">
        <f t="shared" si="294"/>
        <v>5.7104270173748697</v>
      </c>
      <c r="AA609" s="4">
        <f t="shared" si="295"/>
        <v>47.1</v>
      </c>
      <c r="AB609" s="4">
        <f t="shared" si="296"/>
        <v>1</v>
      </c>
      <c r="AC609" s="4">
        <f t="shared" si="297"/>
        <v>0</v>
      </c>
      <c r="AD609" s="4">
        <f t="shared" si="298"/>
        <v>0</v>
      </c>
      <c r="AE609" s="4">
        <f t="shared" si="299"/>
        <v>0</v>
      </c>
      <c r="AF609" s="4">
        <f t="shared" si="300"/>
        <v>0</v>
      </c>
      <c r="AG609" s="4">
        <f t="shared" si="301"/>
        <v>8.2940496401020276</v>
      </c>
      <c r="AH609" s="4">
        <f t="shared" si="302"/>
        <v>1</v>
      </c>
      <c r="AI609" s="4">
        <f t="shared" si="303"/>
        <v>0</v>
      </c>
      <c r="AJ609" s="4">
        <f t="shared" si="304"/>
        <v>8.2940496401020276</v>
      </c>
      <c r="AK609" s="4">
        <f t="shared" si="305"/>
        <v>5.7104270173748697</v>
      </c>
      <c r="AL609" s="4">
        <f t="shared" si="306"/>
        <v>0</v>
      </c>
      <c r="AM609" s="4">
        <f>CER!$C$7+CER!$C$8*J609+CER!$C$9*K609+CER!$C$10*L609+CER!$C$11*M609</f>
        <v>3.619924617070398</v>
      </c>
      <c r="AN609" s="4">
        <f t="shared" si="307"/>
        <v>37.334753312891323</v>
      </c>
      <c r="AO609" s="4">
        <f t="shared" si="308"/>
        <v>-0.157817164140301</v>
      </c>
      <c r="AP609" s="4">
        <f>Alternatives!$F$25+Alternatives!$F$26*J609+Alternatives!$F$27*K609+Alternatives!$F$28*G609+Alternatives!$F$29*O609</f>
        <v>4.2264082615243552</v>
      </c>
      <c r="AQ609" s="4">
        <f t="shared" si="309"/>
        <v>-0.7643008085942582</v>
      </c>
    </row>
    <row r="610" spans="1:43" x14ac:dyDescent="0.35">
      <c r="A610" s="2" t="s">
        <v>513</v>
      </c>
      <c r="B610" s="2" t="s">
        <v>505</v>
      </c>
      <c r="C610" s="2" t="s">
        <v>33</v>
      </c>
      <c r="D610" s="2">
        <v>30.133299999999998</v>
      </c>
      <c r="E610" s="2">
        <v>4500</v>
      </c>
      <c r="F610" s="2">
        <v>302</v>
      </c>
      <c r="G610" s="2">
        <v>48.9</v>
      </c>
      <c r="H610" s="2" t="s">
        <v>68</v>
      </c>
      <c r="I610" s="4">
        <f t="shared" si="279"/>
        <v>3.4056308725347191</v>
      </c>
      <c r="J610" s="4">
        <f t="shared" si="280"/>
        <v>8.4118326757584114</v>
      </c>
      <c r="K610" s="4">
        <f t="shared" si="281"/>
        <v>5.7104270173748697</v>
      </c>
      <c r="L610" s="2">
        <v>1</v>
      </c>
      <c r="M610" s="2">
        <v>0</v>
      </c>
      <c r="N610" s="4">
        <f t="shared" si="282"/>
        <v>48.9</v>
      </c>
      <c r="O610" s="4">
        <f t="shared" si="283"/>
        <v>1</v>
      </c>
      <c r="P610" s="4">
        <f t="shared" si="284"/>
        <v>1</v>
      </c>
      <c r="Q610" s="4">
        <f t="shared" si="285"/>
        <v>8.4118326757584114</v>
      </c>
      <c r="R610" s="4">
        <f t="shared" si="286"/>
        <v>5.7104270173748697</v>
      </c>
      <c r="S610" s="4">
        <f t="shared" si="287"/>
        <v>48.9</v>
      </c>
      <c r="T610" s="4">
        <f t="shared" si="288"/>
        <v>1</v>
      </c>
      <c r="U610" s="4">
        <f t="shared" si="289"/>
        <v>8.4118326757584114</v>
      </c>
      <c r="V610" s="4">
        <f t="shared" si="290"/>
        <v>5.7104270173748697</v>
      </c>
      <c r="W610" s="4">
        <f t="shared" si="291"/>
        <v>48.9</v>
      </c>
      <c r="X610" s="4">
        <f t="shared" si="292"/>
        <v>1</v>
      </c>
      <c r="Y610" s="4">
        <f t="shared" si="293"/>
        <v>8.4118326757584114</v>
      </c>
      <c r="Z610" s="4">
        <f t="shared" si="294"/>
        <v>5.7104270173748697</v>
      </c>
      <c r="AA610" s="4">
        <f t="shared" si="295"/>
        <v>48.9</v>
      </c>
      <c r="AB610" s="4">
        <f t="shared" si="296"/>
        <v>1</v>
      </c>
      <c r="AC610" s="4">
        <f t="shared" si="297"/>
        <v>0</v>
      </c>
      <c r="AD610" s="4">
        <f t="shared" si="298"/>
        <v>0</v>
      </c>
      <c r="AE610" s="4">
        <f t="shared" si="299"/>
        <v>0</v>
      </c>
      <c r="AF610" s="4">
        <f t="shared" si="300"/>
        <v>0</v>
      </c>
      <c r="AG610" s="4">
        <f t="shared" si="301"/>
        <v>8.4118326757584114</v>
      </c>
      <c r="AH610" s="4">
        <f t="shared" si="302"/>
        <v>1</v>
      </c>
      <c r="AI610" s="4">
        <f t="shared" si="303"/>
        <v>0</v>
      </c>
      <c r="AJ610" s="4">
        <f t="shared" si="304"/>
        <v>8.4118326757584114</v>
      </c>
      <c r="AK610" s="4">
        <f t="shared" si="305"/>
        <v>5.7104270173748697</v>
      </c>
      <c r="AL610" s="4">
        <f t="shared" si="306"/>
        <v>0</v>
      </c>
      <c r="AM610" s="4">
        <f>CER!$C$7+CER!$C$8*J610+CER!$C$9*K610+CER!$C$10*L610+CER!$C$11*M610</f>
        <v>3.5666031626915982</v>
      </c>
      <c r="AN610" s="4">
        <f t="shared" si="307"/>
        <v>35.396153735302612</v>
      </c>
      <c r="AO610" s="4">
        <f t="shared" si="308"/>
        <v>-0.16097229015687908</v>
      </c>
      <c r="AP610" s="4">
        <f>Alternatives!$F$25+Alternatives!$F$26*J610+Alternatives!$F$27*K610+Alternatives!$F$28*G610+Alternatives!$F$29*O610</f>
        <v>4.2465849453021356</v>
      </c>
      <c r="AQ610" s="4">
        <f t="shared" si="309"/>
        <v>-0.84095407276741652</v>
      </c>
    </row>
    <row r="611" spans="1:43" x14ac:dyDescent="0.35">
      <c r="A611" s="2" t="s">
        <v>514</v>
      </c>
      <c r="B611" s="2" t="s">
        <v>505</v>
      </c>
      <c r="C611" s="2" t="s">
        <v>33</v>
      </c>
      <c r="D611" s="2">
        <v>23.230799999999999</v>
      </c>
      <c r="E611" s="2">
        <v>6500</v>
      </c>
      <c r="F611" s="2">
        <v>603</v>
      </c>
      <c r="G611" s="2">
        <v>57.3</v>
      </c>
      <c r="H611" s="2" t="s">
        <v>68</v>
      </c>
      <c r="I611" s="4">
        <f t="shared" si="279"/>
        <v>3.1454789844157669</v>
      </c>
      <c r="J611" s="4">
        <f t="shared" si="280"/>
        <v>8.7795574558837277</v>
      </c>
      <c r="K611" s="4">
        <f t="shared" si="281"/>
        <v>6.4019171967271857</v>
      </c>
      <c r="L611" s="2">
        <v>1</v>
      </c>
      <c r="M611" s="2">
        <v>0</v>
      </c>
      <c r="N611" s="4">
        <f t="shared" si="282"/>
        <v>57.3</v>
      </c>
      <c r="O611" s="4">
        <f t="shared" si="283"/>
        <v>1</v>
      </c>
      <c r="P611" s="4">
        <f t="shared" si="284"/>
        <v>1</v>
      </c>
      <c r="Q611" s="4">
        <f t="shared" si="285"/>
        <v>8.7795574558837277</v>
      </c>
      <c r="R611" s="4">
        <f t="shared" si="286"/>
        <v>6.4019171967271857</v>
      </c>
      <c r="S611" s="4">
        <f t="shared" si="287"/>
        <v>57.3</v>
      </c>
      <c r="T611" s="4">
        <f t="shared" si="288"/>
        <v>1</v>
      </c>
      <c r="U611" s="4">
        <f t="shared" si="289"/>
        <v>8.7795574558837277</v>
      </c>
      <c r="V611" s="4">
        <f t="shared" si="290"/>
        <v>6.4019171967271857</v>
      </c>
      <c r="W611" s="4">
        <f t="shared" si="291"/>
        <v>57.3</v>
      </c>
      <c r="X611" s="4">
        <f t="shared" si="292"/>
        <v>1</v>
      </c>
      <c r="Y611" s="4">
        <f t="shared" si="293"/>
        <v>8.7795574558837277</v>
      </c>
      <c r="Z611" s="4">
        <f t="shared" si="294"/>
        <v>6.4019171967271857</v>
      </c>
      <c r="AA611" s="4">
        <f t="shared" si="295"/>
        <v>57.3</v>
      </c>
      <c r="AB611" s="4">
        <f t="shared" si="296"/>
        <v>1</v>
      </c>
      <c r="AC611" s="4">
        <f t="shared" si="297"/>
        <v>0</v>
      </c>
      <c r="AD611" s="4">
        <f t="shared" si="298"/>
        <v>0</v>
      </c>
      <c r="AE611" s="4">
        <f t="shared" si="299"/>
        <v>0</v>
      </c>
      <c r="AF611" s="4">
        <f t="shared" si="300"/>
        <v>0</v>
      </c>
      <c r="AG611" s="4">
        <f t="shared" si="301"/>
        <v>8.7795574558837277</v>
      </c>
      <c r="AH611" s="4">
        <f t="shared" si="302"/>
        <v>1</v>
      </c>
      <c r="AI611" s="4">
        <f t="shared" si="303"/>
        <v>0</v>
      </c>
      <c r="AJ611" s="4">
        <f t="shared" si="304"/>
        <v>8.7795574558837277</v>
      </c>
      <c r="AK611" s="4">
        <f t="shared" si="305"/>
        <v>6.4019171967271857</v>
      </c>
      <c r="AL611" s="4">
        <f t="shared" si="306"/>
        <v>0</v>
      </c>
      <c r="AM611" s="4">
        <f>CER!$C$7+CER!$C$8*J611+CER!$C$9*K611+CER!$C$10*L611+CER!$C$11*M611</f>
        <v>3.1450098463435774</v>
      </c>
      <c r="AN611" s="4">
        <f t="shared" si="307"/>
        <v>23.219904103312402</v>
      </c>
      <c r="AO611" s="4">
        <f t="shared" si="308"/>
        <v>4.691380721895122E-4</v>
      </c>
      <c r="AP611" s="4">
        <f>Alternatives!$F$25+Alternatives!$F$26*J611+Alternatives!$F$27*K611+Alternatives!$F$28*G611+Alternatives!$F$29*O611</f>
        <v>4.0894008586322066</v>
      </c>
      <c r="AQ611" s="4">
        <f t="shared" si="309"/>
        <v>-0.94392187421643969</v>
      </c>
    </row>
    <row r="612" spans="1:43" x14ac:dyDescent="0.35">
      <c r="A612" s="2" t="s">
        <v>515</v>
      </c>
      <c r="B612" s="2" t="s">
        <v>505</v>
      </c>
      <c r="C612" s="2" t="s">
        <v>67</v>
      </c>
      <c r="D612" s="2">
        <v>30.1006</v>
      </c>
      <c r="E612" s="2">
        <v>4000</v>
      </c>
      <c r="F612" s="2">
        <v>416</v>
      </c>
      <c r="G612" s="2">
        <v>46.8</v>
      </c>
      <c r="H612" s="2" t="s">
        <v>68</v>
      </c>
      <c r="I612" s="4">
        <f t="shared" si="279"/>
        <v>3.4045451051109765</v>
      </c>
      <c r="J612" s="4">
        <f t="shared" si="280"/>
        <v>8.2940496401020276</v>
      </c>
      <c r="K612" s="4">
        <f t="shared" si="281"/>
        <v>6.0306852602612633</v>
      </c>
      <c r="L612" s="2">
        <v>0</v>
      </c>
      <c r="M612" s="2">
        <v>0</v>
      </c>
      <c r="N612" s="4">
        <f t="shared" si="282"/>
        <v>46.8</v>
      </c>
      <c r="O612" s="4">
        <f t="shared" si="283"/>
        <v>0</v>
      </c>
      <c r="P612" s="4">
        <f t="shared" si="284"/>
        <v>0</v>
      </c>
      <c r="Q612" s="4">
        <f t="shared" si="285"/>
        <v>8.2940496401020276</v>
      </c>
      <c r="R612" s="4">
        <f t="shared" si="286"/>
        <v>6.0306852602612633</v>
      </c>
      <c r="S612" s="4">
        <f t="shared" si="287"/>
        <v>46.8</v>
      </c>
      <c r="T612" s="4">
        <f t="shared" si="288"/>
        <v>0</v>
      </c>
      <c r="U612" s="4">
        <f t="shared" si="289"/>
        <v>8.2940496401020276</v>
      </c>
      <c r="V612" s="4">
        <f t="shared" si="290"/>
        <v>6.0306852602612633</v>
      </c>
      <c r="W612" s="4">
        <f t="shared" si="291"/>
        <v>46.8</v>
      </c>
      <c r="X612" s="4">
        <f t="shared" si="292"/>
        <v>0</v>
      </c>
      <c r="Y612" s="4">
        <f t="shared" si="293"/>
        <v>8.2940496401020276</v>
      </c>
      <c r="Z612" s="4">
        <f t="shared" si="294"/>
        <v>6.0306852602612633</v>
      </c>
      <c r="AA612" s="4">
        <f t="shared" si="295"/>
        <v>46.8</v>
      </c>
      <c r="AB612" s="4">
        <f t="shared" si="296"/>
        <v>0</v>
      </c>
      <c r="AC612" s="4">
        <f t="shared" si="297"/>
        <v>0</v>
      </c>
      <c r="AD612" s="4">
        <f t="shared" si="298"/>
        <v>0</v>
      </c>
      <c r="AE612" s="4">
        <f t="shared" si="299"/>
        <v>0</v>
      </c>
      <c r="AF612" s="4">
        <f t="shared" si="300"/>
        <v>0</v>
      </c>
      <c r="AG612" s="4">
        <f t="shared" si="301"/>
        <v>8.2940496401020276</v>
      </c>
      <c r="AH612" s="4">
        <f t="shared" si="302"/>
        <v>0</v>
      </c>
      <c r="AI612" s="4">
        <f t="shared" si="303"/>
        <v>0</v>
      </c>
      <c r="AJ612" s="4">
        <f t="shared" si="304"/>
        <v>8.2940496401020276</v>
      </c>
      <c r="AK612" s="4">
        <f t="shared" si="305"/>
        <v>6.0306852602612633</v>
      </c>
      <c r="AL612" s="4">
        <f t="shared" si="306"/>
        <v>0</v>
      </c>
      <c r="AM612" s="4">
        <f>CER!$C$7+CER!$C$8*J612+CER!$C$9*K612+CER!$C$10*L612+CER!$C$11*M612</f>
        <v>3.2780137815740202</v>
      </c>
      <c r="AN612" s="4">
        <f t="shared" si="307"/>
        <v>26.523039797320394</v>
      </c>
      <c r="AO612" s="4">
        <f t="shared" si="308"/>
        <v>0.12653132353695629</v>
      </c>
      <c r="AP612" s="4">
        <f>Alternatives!$F$25+Alternatives!$F$26*J612+Alternatives!$F$27*K612+Alternatives!$F$28*G612+Alternatives!$F$29*O612</f>
        <v>3.3003466162411987</v>
      </c>
      <c r="AQ612" s="4">
        <f t="shared" si="309"/>
        <v>0.10419848886977778</v>
      </c>
    </row>
    <row r="613" spans="1:43" x14ac:dyDescent="0.35">
      <c r="A613" s="2" t="s">
        <v>516</v>
      </c>
      <c r="B613" s="2" t="s">
        <v>505</v>
      </c>
      <c r="C613" s="2" t="s">
        <v>33</v>
      </c>
      <c r="D613" s="2">
        <v>38.342399999999998</v>
      </c>
      <c r="E613" s="2">
        <v>4000</v>
      </c>
      <c r="F613" s="2">
        <v>221</v>
      </c>
      <c r="G613" s="2">
        <v>47</v>
      </c>
      <c r="H613" s="2" t="s">
        <v>68</v>
      </c>
      <c r="I613" s="4">
        <f t="shared" si="279"/>
        <v>3.646556333467414</v>
      </c>
      <c r="J613" s="4">
        <f t="shared" si="280"/>
        <v>8.2940496401020276</v>
      </c>
      <c r="K613" s="4">
        <f t="shared" si="281"/>
        <v>5.3981627015177525</v>
      </c>
      <c r="L613" s="2">
        <v>1</v>
      </c>
      <c r="M613" s="2">
        <v>0</v>
      </c>
      <c r="N613" s="4">
        <f t="shared" si="282"/>
        <v>47</v>
      </c>
      <c r="O613" s="4">
        <f t="shared" si="283"/>
        <v>1</v>
      </c>
      <c r="P613" s="4">
        <f t="shared" si="284"/>
        <v>1</v>
      </c>
      <c r="Q613" s="4">
        <f t="shared" si="285"/>
        <v>8.2940496401020276</v>
      </c>
      <c r="R613" s="4">
        <f t="shared" si="286"/>
        <v>5.3981627015177525</v>
      </c>
      <c r="S613" s="4">
        <f t="shared" si="287"/>
        <v>47</v>
      </c>
      <c r="T613" s="4">
        <f t="shared" si="288"/>
        <v>1</v>
      </c>
      <c r="U613" s="4">
        <f t="shared" si="289"/>
        <v>8.2940496401020276</v>
      </c>
      <c r="V613" s="4">
        <f t="shared" si="290"/>
        <v>5.3981627015177525</v>
      </c>
      <c r="W613" s="4">
        <f t="shared" si="291"/>
        <v>47</v>
      </c>
      <c r="X613" s="4">
        <f t="shared" si="292"/>
        <v>1</v>
      </c>
      <c r="Y613" s="4">
        <f t="shared" si="293"/>
        <v>8.2940496401020276</v>
      </c>
      <c r="Z613" s="4">
        <f t="shared" si="294"/>
        <v>5.3981627015177525</v>
      </c>
      <c r="AA613" s="4">
        <f t="shared" si="295"/>
        <v>47</v>
      </c>
      <c r="AB613" s="4">
        <f t="shared" si="296"/>
        <v>1</v>
      </c>
      <c r="AC613" s="4">
        <f t="shared" si="297"/>
        <v>0</v>
      </c>
      <c r="AD613" s="4">
        <f t="shared" si="298"/>
        <v>0</v>
      </c>
      <c r="AE613" s="4">
        <f t="shared" si="299"/>
        <v>0</v>
      </c>
      <c r="AF613" s="4">
        <f t="shared" si="300"/>
        <v>0</v>
      </c>
      <c r="AG613" s="4">
        <f t="shared" si="301"/>
        <v>8.2940496401020276</v>
      </c>
      <c r="AH613" s="4">
        <f t="shared" si="302"/>
        <v>1</v>
      </c>
      <c r="AI613" s="4">
        <f t="shared" si="303"/>
        <v>0</v>
      </c>
      <c r="AJ613" s="4">
        <f t="shared" si="304"/>
        <v>8.2940496401020276</v>
      </c>
      <c r="AK613" s="4">
        <f t="shared" si="305"/>
        <v>5.3981627015177525</v>
      </c>
      <c r="AL613" s="4">
        <f t="shared" si="306"/>
        <v>0</v>
      </c>
      <c r="AM613" s="4">
        <f>CER!$C$7+CER!$C$8*J613+CER!$C$9*K613+CER!$C$10*L613+CER!$C$11*M613</f>
        <v>3.7351325734709837</v>
      </c>
      <c r="AN613" s="4">
        <f t="shared" si="307"/>
        <v>41.89357917216676</v>
      </c>
      <c r="AO613" s="4">
        <f t="shared" si="308"/>
        <v>-8.8576240003569673E-2</v>
      </c>
      <c r="AP613" s="4">
        <f>Alternatives!$F$25+Alternatives!$F$26*J613+Alternatives!$F$27*K613+Alternatives!$F$28*G613+Alternatives!$F$29*O613</f>
        <v>4.310805640050674</v>
      </c>
      <c r="AQ613" s="4">
        <f t="shared" si="309"/>
        <v>-0.66424930658325998</v>
      </c>
    </row>
    <row r="614" spans="1:43" x14ac:dyDescent="0.35">
      <c r="A614" s="2" t="s">
        <v>517</v>
      </c>
      <c r="B614" s="2" t="s">
        <v>505</v>
      </c>
      <c r="C614" s="2" t="s">
        <v>33</v>
      </c>
      <c r="D614" s="2">
        <v>29.475300000000001</v>
      </c>
      <c r="E614" s="2">
        <v>4000</v>
      </c>
      <c r="F614" s="2">
        <v>416</v>
      </c>
      <c r="G614" s="2">
        <v>47.8</v>
      </c>
      <c r="H614" s="2" t="s">
        <v>68</v>
      </c>
      <c r="I614" s="4">
        <f t="shared" si="279"/>
        <v>3.3835526244886864</v>
      </c>
      <c r="J614" s="4">
        <f t="shared" si="280"/>
        <v>8.2940496401020276</v>
      </c>
      <c r="K614" s="4">
        <f t="shared" si="281"/>
        <v>6.0306852602612633</v>
      </c>
      <c r="L614" s="2">
        <v>1</v>
      </c>
      <c r="M614" s="2">
        <v>0</v>
      </c>
      <c r="N614" s="4">
        <f t="shared" si="282"/>
        <v>47.8</v>
      </c>
      <c r="O614" s="4">
        <f t="shared" si="283"/>
        <v>1</v>
      </c>
      <c r="P614" s="4">
        <f t="shared" si="284"/>
        <v>1</v>
      </c>
      <c r="Q614" s="4">
        <f t="shared" si="285"/>
        <v>8.2940496401020276</v>
      </c>
      <c r="R614" s="4">
        <f t="shared" si="286"/>
        <v>6.0306852602612633</v>
      </c>
      <c r="S614" s="4">
        <f t="shared" si="287"/>
        <v>47.8</v>
      </c>
      <c r="T614" s="4">
        <f t="shared" si="288"/>
        <v>1</v>
      </c>
      <c r="U614" s="4">
        <f t="shared" si="289"/>
        <v>8.2940496401020276</v>
      </c>
      <c r="V614" s="4">
        <f t="shared" si="290"/>
        <v>6.0306852602612633</v>
      </c>
      <c r="W614" s="4">
        <f t="shared" si="291"/>
        <v>47.8</v>
      </c>
      <c r="X614" s="4">
        <f t="shared" si="292"/>
        <v>1</v>
      </c>
      <c r="Y614" s="4">
        <f t="shared" si="293"/>
        <v>8.2940496401020276</v>
      </c>
      <c r="Z614" s="4">
        <f t="shared" si="294"/>
        <v>6.0306852602612633</v>
      </c>
      <c r="AA614" s="4">
        <f t="shared" si="295"/>
        <v>47.8</v>
      </c>
      <c r="AB614" s="4">
        <f t="shared" si="296"/>
        <v>1</v>
      </c>
      <c r="AC614" s="4">
        <f t="shared" si="297"/>
        <v>0</v>
      </c>
      <c r="AD614" s="4">
        <f t="shared" si="298"/>
        <v>0</v>
      </c>
      <c r="AE614" s="4">
        <f t="shared" si="299"/>
        <v>0</v>
      </c>
      <c r="AF614" s="4">
        <f t="shared" si="300"/>
        <v>0</v>
      </c>
      <c r="AG614" s="4">
        <f t="shared" si="301"/>
        <v>8.2940496401020276</v>
      </c>
      <c r="AH614" s="4">
        <f t="shared" si="302"/>
        <v>1</v>
      </c>
      <c r="AI614" s="4">
        <f t="shared" si="303"/>
        <v>0</v>
      </c>
      <c r="AJ614" s="4">
        <f t="shared" si="304"/>
        <v>8.2940496401020276</v>
      </c>
      <c r="AK614" s="4">
        <f t="shared" si="305"/>
        <v>6.0306852602612633</v>
      </c>
      <c r="AL614" s="4">
        <f t="shared" si="306"/>
        <v>0</v>
      </c>
      <c r="AM614" s="4">
        <f>CER!$C$7+CER!$C$8*J614+CER!$C$9*K614+CER!$C$10*L614+CER!$C$11*M614</f>
        <v>3.5017673515432461</v>
      </c>
      <c r="AN614" s="4">
        <f t="shared" si="307"/>
        <v>33.174030352876862</v>
      </c>
      <c r="AO614" s="4">
        <f t="shared" si="308"/>
        <v>-0.11821472705455971</v>
      </c>
      <c r="AP614" s="4">
        <f>Alternatives!$F$25+Alternatives!$F$26*J614+Alternatives!$F$27*K614+Alternatives!$F$28*G614+Alternatives!$F$29*O614</f>
        <v>4.1320792306074665</v>
      </c>
      <c r="AQ614" s="4">
        <f t="shared" si="309"/>
        <v>-0.74852660611878008</v>
      </c>
    </row>
    <row r="615" spans="1:43" x14ac:dyDescent="0.35">
      <c r="A615" s="2" t="s">
        <v>518</v>
      </c>
      <c r="B615" s="2" t="s">
        <v>505</v>
      </c>
      <c r="C615" s="2" t="s">
        <v>67</v>
      </c>
      <c r="D615" s="2">
        <v>20.8429</v>
      </c>
      <c r="E615" s="2">
        <v>4500</v>
      </c>
      <c r="F615" s="2">
        <v>577</v>
      </c>
      <c r="G615" s="2">
        <v>47.8</v>
      </c>
      <c r="H615" s="2" t="s">
        <v>68</v>
      </c>
      <c r="I615" s="4">
        <f t="shared" si="279"/>
        <v>3.0370133626741915</v>
      </c>
      <c r="J615" s="4">
        <f t="shared" si="280"/>
        <v>8.4118326757584114</v>
      </c>
      <c r="K615" s="4">
        <f t="shared" si="281"/>
        <v>6.3578422665080998</v>
      </c>
      <c r="L615" s="2">
        <v>0</v>
      </c>
      <c r="M615" s="2">
        <v>0</v>
      </c>
      <c r="N615" s="4">
        <f t="shared" si="282"/>
        <v>47.8</v>
      </c>
      <c r="O615" s="4">
        <f t="shared" si="283"/>
        <v>0</v>
      </c>
      <c r="P615" s="4">
        <f t="shared" si="284"/>
        <v>0</v>
      </c>
      <c r="Q615" s="4">
        <f t="shared" si="285"/>
        <v>8.4118326757584114</v>
      </c>
      <c r="R615" s="4">
        <f t="shared" si="286"/>
        <v>6.3578422665080998</v>
      </c>
      <c r="S615" s="4">
        <f t="shared" si="287"/>
        <v>47.8</v>
      </c>
      <c r="T615" s="4">
        <f t="shared" si="288"/>
        <v>0</v>
      </c>
      <c r="U615" s="4">
        <f t="shared" si="289"/>
        <v>8.4118326757584114</v>
      </c>
      <c r="V615" s="4">
        <f t="shared" si="290"/>
        <v>6.3578422665080998</v>
      </c>
      <c r="W615" s="4">
        <f t="shared" si="291"/>
        <v>47.8</v>
      </c>
      <c r="X615" s="4">
        <f t="shared" si="292"/>
        <v>0</v>
      </c>
      <c r="Y615" s="4">
        <f t="shared" si="293"/>
        <v>8.4118326757584114</v>
      </c>
      <c r="Z615" s="4">
        <f t="shared" si="294"/>
        <v>6.3578422665080998</v>
      </c>
      <c r="AA615" s="4">
        <f t="shared" si="295"/>
        <v>47.8</v>
      </c>
      <c r="AB615" s="4">
        <f t="shared" si="296"/>
        <v>0</v>
      </c>
      <c r="AC615" s="4">
        <f t="shared" si="297"/>
        <v>0</v>
      </c>
      <c r="AD615" s="4">
        <f t="shared" si="298"/>
        <v>0</v>
      </c>
      <c r="AE615" s="4">
        <f t="shared" si="299"/>
        <v>0</v>
      </c>
      <c r="AF615" s="4">
        <f t="shared" si="300"/>
        <v>0</v>
      </c>
      <c r="AG615" s="4">
        <f t="shared" si="301"/>
        <v>8.4118326757584114</v>
      </c>
      <c r="AH615" s="4">
        <f t="shared" si="302"/>
        <v>0</v>
      </c>
      <c r="AI615" s="4">
        <f t="shared" si="303"/>
        <v>0</v>
      </c>
      <c r="AJ615" s="4">
        <f t="shared" si="304"/>
        <v>8.4118326757584114</v>
      </c>
      <c r="AK615" s="4">
        <f t="shared" si="305"/>
        <v>6.3578422665080998</v>
      </c>
      <c r="AL615" s="4">
        <f t="shared" si="306"/>
        <v>0</v>
      </c>
      <c r="AM615" s="4">
        <f>CER!$C$7+CER!$C$8*J615+CER!$C$9*K615+CER!$C$10*L615+CER!$C$11*M615</f>
        <v>3.1039898062927742</v>
      </c>
      <c r="AN615" s="4">
        <f t="shared" si="307"/>
        <v>22.286693722004006</v>
      </c>
      <c r="AO615" s="4">
        <f t="shared" si="308"/>
        <v>-6.6976443618582682E-2</v>
      </c>
      <c r="AP615" s="4">
        <f>Alternatives!$F$25+Alternatives!$F$26*J615+Alternatives!$F$27*K615+Alternatives!$F$28*G615+Alternatives!$F$29*O615</f>
        <v>3.2438694112189688</v>
      </c>
      <c r="AQ615" s="4">
        <f t="shared" si="309"/>
        <v>-0.20685604854477724</v>
      </c>
    </row>
    <row r="616" spans="1:43" x14ac:dyDescent="0.35">
      <c r="A616" s="2" t="s">
        <v>519</v>
      </c>
      <c r="B616" s="2" t="s">
        <v>505</v>
      </c>
      <c r="C616" s="2" t="s">
        <v>67</v>
      </c>
      <c r="D616" s="2">
        <v>20.8429</v>
      </c>
      <c r="E616" s="2">
        <v>4500</v>
      </c>
      <c r="F616" s="2">
        <v>469</v>
      </c>
      <c r="G616" s="2">
        <v>47.7</v>
      </c>
      <c r="H616" s="2" t="s">
        <v>68</v>
      </c>
      <c r="I616" s="4">
        <f t="shared" si="279"/>
        <v>3.0370133626741915</v>
      </c>
      <c r="J616" s="4">
        <f t="shared" si="280"/>
        <v>8.4118326757584114</v>
      </c>
      <c r="K616" s="4">
        <f t="shared" si="281"/>
        <v>6.1506027684462792</v>
      </c>
      <c r="L616" s="2">
        <v>0</v>
      </c>
      <c r="M616" s="2">
        <v>0</v>
      </c>
      <c r="N616" s="4">
        <f t="shared" si="282"/>
        <v>47.7</v>
      </c>
      <c r="O616" s="4">
        <f t="shared" si="283"/>
        <v>0</v>
      </c>
      <c r="P616" s="4">
        <f t="shared" si="284"/>
        <v>0</v>
      </c>
      <c r="Q616" s="4">
        <f t="shared" si="285"/>
        <v>8.4118326757584114</v>
      </c>
      <c r="R616" s="4">
        <f t="shared" si="286"/>
        <v>6.1506027684462792</v>
      </c>
      <c r="S616" s="4">
        <f t="shared" si="287"/>
        <v>47.7</v>
      </c>
      <c r="T616" s="4">
        <f t="shared" si="288"/>
        <v>0</v>
      </c>
      <c r="U616" s="4">
        <f t="shared" si="289"/>
        <v>8.4118326757584114</v>
      </c>
      <c r="V616" s="4">
        <f t="shared" si="290"/>
        <v>6.1506027684462792</v>
      </c>
      <c r="W616" s="4">
        <f t="shared" si="291"/>
        <v>47.7</v>
      </c>
      <c r="X616" s="4">
        <f t="shared" si="292"/>
        <v>0</v>
      </c>
      <c r="Y616" s="4">
        <f t="shared" si="293"/>
        <v>8.4118326757584114</v>
      </c>
      <c r="Z616" s="4">
        <f t="shared" si="294"/>
        <v>6.1506027684462792</v>
      </c>
      <c r="AA616" s="4">
        <f t="shared" si="295"/>
        <v>47.7</v>
      </c>
      <c r="AB616" s="4">
        <f t="shared" si="296"/>
        <v>0</v>
      </c>
      <c r="AC616" s="4">
        <f t="shared" si="297"/>
        <v>0</v>
      </c>
      <c r="AD616" s="4">
        <f t="shared" si="298"/>
        <v>0</v>
      </c>
      <c r="AE616" s="4">
        <f t="shared" si="299"/>
        <v>0</v>
      </c>
      <c r="AF616" s="4">
        <f t="shared" si="300"/>
        <v>0</v>
      </c>
      <c r="AG616" s="4">
        <f t="shared" si="301"/>
        <v>8.4118326757584114</v>
      </c>
      <c r="AH616" s="4">
        <f t="shared" si="302"/>
        <v>0</v>
      </c>
      <c r="AI616" s="4">
        <f t="shared" si="303"/>
        <v>0</v>
      </c>
      <c r="AJ616" s="4">
        <f t="shared" si="304"/>
        <v>8.4118326757584114</v>
      </c>
      <c r="AK616" s="4">
        <f t="shared" si="305"/>
        <v>6.1506027684462792</v>
      </c>
      <c r="AL616" s="4">
        <f t="shared" si="306"/>
        <v>0</v>
      </c>
      <c r="AM616" s="4">
        <f>CER!$C$7+CER!$C$8*J616+CER!$C$9*K616+CER!$C$10*L616+CER!$C$11*M616</f>
        <v>3.1804495163677169</v>
      </c>
      <c r="AN616" s="4">
        <f t="shared" si="307"/>
        <v>24.057565391243884</v>
      </c>
      <c r="AO616" s="4">
        <f t="shared" si="308"/>
        <v>-0.14343615369352536</v>
      </c>
      <c r="AP616" s="4">
        <f>Alternatives!$F$25+Alternatives!$F$26*J616+Alternatives!$F$27*K616+Alternatives!$F$28*G616+Alternatives!$F$29*O616</f>
        <v>3.3003186388520538</v>
      </c>
      <c r="AQ616" s="4">
        <f t="shared" si="309"/>
        <v>-0.26330527617786226</v>
      </c>
    </row>
    <row r="617" spans="1:43" x14ac:dyDescent="0.35">
      <c r="A617" s="2" t="s">
        <v>520</v>
      </c>
      <c r="B617" s="2" t="s">
        <v>505</v>
      </c>
      <c r="C617" s="2" t="s">
        <v>33</v>
      </c>
      <c r="D617" s="2">
        <v>24.176100000000002</v>
      </c>
      <c r="E617" s="2">
        <v>5000</v>
      </c>
      <c r="F617" s="2">
        <v>603</v>
      </c>
      <c r="G617" s="2">
        <v>47.5</v>
      </c>
      <c r="H617" s="2" t="s">
        <v>68</v>
      </c>
      <c r="I617" s="4">
        <f t="shared" si="279"/>
        <v>3.1853645418553831</v>
      </c>
      <c r="J617" s="4">
        <f t="shared" si="280"/>
        <v>8.5171931914162382</v>
      </c>
      <c r="K617" s="4">
        <f t="shared" si="281"/>
        <v>6.4019171967271857</v>
      </c>
      <c r="L617" s="2">
        <v>1</v>
      </c>
      <c r="M617" s="2">
        <v>0</v>
      </c>
      <c r="N617" s="4">
        <f t="shared" si="282"/>
        <v>47.5</v>
      </c>
      <c r="O617" s="4">
        <f t="shared" si="283"/>
        <v>1</v>
      </c>
      <c r="P617" s="4">
        <f t="shared" si="284"/>
        <v>1</v>
      </c>
      <c r="Q617" s="4">
        <f t="shared" si="285"/>
        <v>8.5171931914162382</v>
      </c>
      <c r="R617" s="4">
        <f t="shared" si="286"/>
        <v>6.4019171967271857</v>
      </c>
      <c r="S617" s="4">
        <f t="shared" si="287"/>
        <v>47.5</v>
      </c>
      <c r="T617" s="4">
        <f t="shared" si="288"/>
        <v>1</v>
      </c>
      <c r="U617" s="4">
        <f t="shared" si="289"/>
        <v>8.5171931914162382</v>
      </c>
      <c r="V617" s="4">
        <f t="shared" si="290"/>
        <v>6.4019171967271857</v>
      </c>
      <c r="W617" s="4">
        <f t="shared" si="291"/>
        <v>47.5</v>
      </c>
      <c r="X617" s="4">
        <f t="shared" si="292"/>
        <v>1</v>
      </c>
      <c r="Y617" s="4">
        <f t="shared" si="293"/>
        <v>8.5171931914162382</v>
      </c>
      <c r="Z617" s="4">
        <f t="shared" si="294"/>
        <v>6.4019171967271857</v>
      </c>
      <c r="AA617" s="4">
        <f t="shared" si="295"/>
        <v>47.5</v>
      </c>
      <c r="AB617" s="4">
        <f t="shared" si="296"/>
        <v>1</v>
      </c>
      <c r="AC617" s="4">
        <f t="shared" si="297"/>
        <v>0</v>
      </c>
      <c r="AD617" s="4">
        <f t="shared" si="298"/>
        <v>0</v>
      </c>
      <c r="AE617" s="4">
        <f t="shared" si="299"/>
        <v>0</v>
      </c>
      <c r="AF617" s="4">
        <f t="shared" si="300"/>
        <v>0</v>
      </c>
      <c r="AG617" s="4">
        <f t="shared" si="301"/>
        <v>8.5171931914162382</v>
      </c>
      <c r="AH617" s="4">
        <f t="shared" si="302"/>
        <v>1</v>
      </c>
      <c r="AI617" s="4">
        <f t="shared" si="303"/>
        <v>0</v>
      </c>
      <c r="AJ617" s="4">
        <f t="shared" si="304"/>
        <v>8.5171931914162382</v>
      </c>
      <c r="AK617" s="4">
        <f t="shared" si="305"/>
        <v>6.4019171967271857</v>
      </c>
      <c r="AL617" s="4">
        <f t="shared" si="306"/>
        <v>0</v>
      </c>
      <c r="AM617" s="4">
        <f>CER!$C$7+CER!$C$8*J617+CER!$C$9*K617+CER!$C$10*L617+CER!$C$11*M617</f>
        <v>3.2637845415317992</v>
      </c>
      <c r="AN617" s="4">
        <f t="shared" si="307"/>
        <v>26.148309483841341</v>
      </c>
      <c r="AO617" s="4">
        <f t="shared" si="308"/>
        <v>-7.8419999676416108E-2</v>
      </c>
      <c r="AP617" s="4">
        <f>Alternatives!$F$25+Alternatives!$F$26*J617+Alternatives!$F$27*K617+Alternatives!$F$28*G617+Alternatives!$F$29*O617</f>
        <v>4.1197752057136388</v>
      </c>
      <c r="AQ617" s="4">
        <f t="shared" si="309"/>
        <v>-0.93441066385825566</v>
      </c>
    </row>
    <row r="618" spans="1:43" x14ac:dyDescent="0.35">
      <c r="A618" s="2" t="s">
        <v>521</v>
      </c>
      <c r="B618" s="2" t="s">
        <v>505</v>
      </c>
      <c r="C618" s="2" t="s">
        <v>33</v>
      </c>
      <c r="D618" s="2">
        <v>40.801600000000001</v>
      </c>
      <c r="E618" s="2">
        <v>4000</v>
      </c>
      <c r="F618" s="2">
        <v>221</v>
      </c>
      <c r="G618" s="2">
        <v>47</v>
      </c>
      <c r="H618" s="2" t="s">
        <v>68</v>
      </c>
      <c r="I618" s="4">
        <f t="shared" si="279"/>
        <v>3.7087212963274756</v>
      </c>
      <c r="J618" s="4">
        <f t="shared" si="280"/>
        <v>8.2940496401020276</v>
      </c>
      <c r="K618" s="4">
        <f t="shared" si="281"/>
        <v>5.3981627015177525</v>
      </c>
      <c r="L618" s="2">
        <v>1</v>
      </c>
      <c r="M618" s="2">
        <v>0</v>
      </c>
      <c r="N618" s="4">
        <f t="shared" si="282"/>
        <v>47</v>
      </c>
      <c r="O618" s="4">
        <f t="shared" si="283"/>
        <v>1</v>
      </c>
      <c r="P618" s="4">
        <f t="shared" si="284"/>
        <v>1</v>
      </c>
      <c r="Q618" s="4">
        <f t="shared" si="285"/>
        <v>8.2940496401020276</v>
      </c>
      <c r="R618" s="4">
        <f t="shared" si="286"/>
        <v>5.3981627015177525</v>
      </c>
      <c r="S618" s="4">
        <f t="shared" si="287"/>
        <v>47</v>
      </c>
      <c r="T618" s="4">
        <f t="shared" si="288"/>
        <v>1</v>
      </c>
      <c r="U618" s="4">
        <f t="shared" si="289"/>
        <v>8.2940496401020276</v>
      </c>
      <c r="V618" s="4">
        <f t="shared" si="290"/>
        <v>5.3981627015177525</v>
      </c>
      <c r="W618" s="4">
        <f t="shared" si="291"/>
        <v>47</v>
      </c>
      <c r="X618" s="4">
        <f t="shared" si="292"/>
        <v>1</v>
      </c>
      <c r="Y618" s="4">
        <f t="shared" si="293"/>
        <v>8.2940496401020276</v>
      </c>
      <c r="Z618" s="4">
        <f t="shared" si="294"/>
        <v>5.3981627015177525</v>
      </c>
      <c r="AA618" s="4">
        <f t="shared" si="295"/>
        <v>47</v>
      </c>
      <c r="AB618" s="4">
        <f t="shared" si="296"/>
        <v>1</v>
      </c>
      <c r="AC618" s="4">
        <f t="shared" si="297"/>
        <v>0</v>
      </c>
      <c r="AD618" s="4">
        <f t="shared" si="298"/>
        <v>0</v>
      </c>
      <c r="AE618" s="4">
        <f t="shared" si="299"/>
        <v>0</v>
      </c>
      <c r="AF618" s="4">
        <f t="shared" si="300"/>
        <v>0</v>
      </c>
      <c r="AG618" s="4">
        <f t="shared" si="301"/>
        <v>8.2940496401020276</v>
      </c>
      <c r="AH618" s="4">
        <f t="shared" si="302"/>
        <v>1</v>
      </c>
      <c r="AI618" s="4">
        <f t="shared" si="303"/>
        <v>0</v>
      </c>
      <c r="AJ618" s="4">
        <f t="shared" si="304"/>
        <v>8.2940496401020276</v>
      </c>
      <c r="AK618" s="4">
        <f t="shared" si="305"/>
        <v>5.3981627015177525</v>
      </c>
      <c r="AL618" s="4">
        <f t="shared" si="306"/>
        <v>0</v>
      </c>
      <c r="AM618" s="4">
        <f>CER!$C$7+CER!$C$8*J618+CER!$C$9*K618+CER!$C$10*L618+CER!$C$11*M618</f>
        <v>3.7351325734709837</v>
      </c>
      <c r="AN618" s="4">
        <f t="shared" si="307"/>
        <v>41.89357917216676</v>
      </c>
      <c r="AO618" s="4">
        <f t="shared" si="308"/>
        <v>-2.6411277143508105E-2</v>
      </c>
      <c r="AP618" s="4">
        <f>Alternatives!$F$25+Alternatives!$F$26*J618+Alternatives!$F$27*K618+Alternatives!$F$28*G618+Alternatives!$F$29*O618</f>
        <v>4.310805640050674</v>
      </c>
      <c r="AQ618" s="4">
        <f t="shared" si="309"/>
        <v>-0.60208434372319841</v>
      </c>
    </row>
    <row r="619" spans="1:43" x14ac:dyDescent="0.35">
      <c r="A619" s="2" t="s">
        <v>522</v>
      </c>
      <c r="B619" s="2" t="s">
        <v>505</v>
      </c>
      <c r="C619" s="2" t="s">
        <v>33</v>
      </c>
      <c r="D619" s="2">
        <v>33.267200000000003</v>
      </c>
      <c r="E619" s="2">
        <v>4500</v>
      </c>
      <c r="F619" s="2">
        <v>375</v>
      </c>
      <c r="G619" s="2">
        <v>52.1</v>
      </c>
      <c r="H619" s="2" t="s">
        <v>68</v>
      </c>
      <c r="I619" s="4">
        <f t="shared" si="279"/>
        <v>3.5045719265849247</v>
      </c>
      <c r="J619" s="4">
        <f t="shared" si="280"/>
        <v>8.4118326757584114</v>
      </c>
      <c r="K619" s="4">
        <f t="shared" si="281"/>
        <v>5.9269260259704106</v>
      </c>
      <c r="L619" s="2">
        <v>1</v>
      </c>
      <c r="M619" s="2">
        <v>0</v>
      </c>
      <c r="N619" s="4">
        <f t="shared" si="282"/>
        <v>52.1</v>
      </c>
      <c r="O619" s="4">
        <f t="shared" si="283"/>
        <v>1</v>
      </c>
      <c r="P619" s="4">
        <f t="shared" si="284"/>
        <v>1</v>
      </c>
      <c r="Q619" s="4">
        <f t="shared" si="285"/>
        <v>8.4118326757584114</v>
      </c>
      <c r="R619" s="4">
        <f t="shared" si="286"/>
        <v>5.9269260259704106</v>
      </c>
      <c r="S619" s="4">
        <f t="shared" si="287"/>
        <v>52.1</v>
      </c>
      <c r="T619" s="4">
        <f t="shared" si="288"/>
        <v>1</v>
      </c>
      <c r="U619" s="4">
        <f t="shared" si="289"/>
        <v>8.4118326757584114</v>
      </c>
      <c r="V619" s="4">
        <f t="shared" si="290"/>
        <v>5.9269260259704106</v>
      </c>
      <c r="W619" s="4">
        <f t="shared" si="291"/>
        <v>52.1</v>
      </c>
      <c r="X619" s="4">
        <f t="shared" si="292"/>
        <v>1</v>
      </c>
      <c r="Y619" s="4">
        <f t="shared" si="293"/>
        <v>8.4118326757584114</v>
      </c>
      <c r="Z619" s="4">
        <f t="shared" si="294"/>
        <v>5.9269260259704106</v>
      </c>
      <c r="AA619" s="4">
        <f t="shared" si="295"/>
        <v>52.1</v>
      </c>
      <c r="AB619" s="4">
        <f t="shared" si="296"/>
        <v>1</v>
      </c>
      <c r="AC619" s="4">
        <f t="shared" si="297"/>
        <v>0</v>
      </c>
      <c r="AD619" s="4">
        <f t="shared" si="298"/>
        <v>0</v>
      </c>
      <c r="AE619" s="4">
        <f t="shared" si="299"/>
        <v>0</v>
      </c>
      <c r="AF619" s="4">
        <f t="shared" si="300"/>
        <v>0</v>
      </c>
      <c r="AG619" s="4">
        <f t="shared" si="301"/>
        <v>8.4118326757584114</v>
      </c>
      <c r="AH619" s="4">
        <f t="shared" si="302"/>
        <v>1</v>
      </c>
      <c r="AI619" s="4">
        <f t="shared" si="303"/>
        <v>0</v>
      </c>
      <c r="AJ619" s="4">
        <f t="shared" si="304"/>
        <v>8.4118326757584114</v>
      </c>
      <c r="AK619" s="4">
        <f t="shared" si="305"/>
        <v>5.9269260259704106</v>
      </c>
      <c r="AL619" s="4">
        <f t="shared" si="306"/>
        <v>0</v>
      </c>
      <c r="AM619" s="4">
        <f>CER!$C$7+CER!$C$8*J619+CER!$C$9*K619+CER!$C$10*L619+CER!$C$11*M619</f>
        <v>3.4867272144117503</v>
      </c>
      <c r="AN619" s="4">
        <f t="shared" si="307"/>
        <v>32.678821724885729</v>
      </c>
      <c r="AO619" s="4">
        <f t="shared" si="308"/>
        <v>1.7844712173174404E-2</v>
      </c>
      <c r="AP619" s="4">
        <f>Alternatives!$F$25+Alternatives!$F$26*J619+Alternatives!$F$27*K619+Alternatives!$F$28*G619+Alternatives!$F$29*O619</f>
        <v>4.1473489945371549</v>
      </c>
      <c r="AQ619" s="4">
        <f t="shared" si="309"/>
        <v>-0.64277706795223022</v>
      </c>
    </row>
    <row r="620" spans="1:43" x14ac:dyDescent="0.35">
      <c r="A620" s="2" t="s">
        <v>523</v>
      </c>
      <c r="B620" s="2" t="s">
        <v>505</v>
      </c>
      <c r="C620" s="2" t="s">
        <v>33</v>
      </c>
      <c r="D620" s="2">
        <v>33.687600000000003</v>
      </c>
      <c r="E620" s="2">
        <v>5000</v>
      </c>
      <c r="F620" s="2">
        <v>375</v>
      </c>
      <c r="G620" s="2">
        <v>52.2</v>
      </c>
      <c r="H620" s="2" t="s">
        <v>68</v>
      </c>
      <c r="I620" s="4">
        <f t="shared" si="279"/>
        <v>3.5171298171249217</v>
      </c>
      <c r="J620" s="4">
        <f t="shared" si="280"/>
        <v>8.5171931914162382</v>
      </c>
      <c r="K620" s="4">
        <f t="shared" si="281"/>
        <v>5.9269260259704106</v>
      </c>
      <c r="L620" s="2">
        <v>1</v>
      </c>
      <c r="M620" s="2">
        <v>0</v>
      </c>
      <c r="N620" s="4">
        <f t="shared" si="282"/>
        <v>52.2</v>
      </c>
      <c r="O620" s="4">
        <f t="shared" si="283"/>
        <v>1</v>
      </c>
      <c r="P620" s="4">
        <f t="shared" si="284"/>
        <v>1</v>
      </c>
      <c r="Q620" s="4">
        <f t="shared" si="285"/>
        <v>8.5171931914162382</v>
      </c>
      <c r="R620" s="4">
        <f t="shared" si="286"/>
        <v>5.9269260259704106</v>
      </c>
      <c r="S620" s="4">
        <f t="shared" si="287"/>
        <v>52.2</v>
      </c>
      <c r="T620" s="4">
        <f t="shared" si="288"/>
        <v>1</v>
      </c>
      <c r="U620" s="4">
        <f t="shared" si="289"/>
        <v>8.5171931914162382</v>
      </c>
      <c r="V620" s="4">
        <f t="shared" si="290"/>
        <v>5.9269260259704106</v>
      </c>
      <c r="W620" s="4">
        <f t="shared" si="291"/>
        <v>52.2</v>
      </c>
      <c r="X620" s="4">
        <f t="shared" si="292"/>
        <v>1</v>
      </c>
      <c r="Y620" s="4">
        <f t="shared" si="293"/>
        <v>8.5171931914162382</v>
      </c>
      <c r="Z620" s="4">
        <f t="shared" si="294"/>
        <v>5.9269260259704106</v>
      </c>
      <c r="AA620" s="4">
        <f t="shared" si="295"/>
        <v>52.2</v>
      </c>
      <c r="AB620" s="4">
        <f t="shared" si="296"/>
        <v>1</v>
      </c>
      <c r="AC620" s="4">
        <f t="shared" si="297"/>
        <v>0</v>
      </c>
      <c r="AD620" s="4">
        <f t="shared" si="298"/>
        <v>0</v>
      </c>
      <c r="AE620" s="4">
        <f t="shared" si="299"/>
        <v>0</v>
      </c>
      <c r="AF620" s="4">
        <f t="shared" si="300"/>
        <v>0</v>
      </c>
      <c r="AG620" s="4">
        <f t="shared" si="301"/>
        <v>8.5171931914162382</v>
      </c>
      <c r="AH620" s="4">
        <f t="shared" si="302"/>
        <v>1</v>
      </c>
      <c r="AI620" s="4">
        <f t="shared" si="303"/>
        <v>0</v>
      </c>
      <c r="AJ620" s="4">
        <f t="shared" si="304"/>
        <v>8.5171931914162382</v>
      </c>
      <c r="AK620" s="4">
        <f t="shared" si="305"/>
        <v>5.9269260259704106</v>
      </c>
      <c r="AL620" s="4">
        <f t="shared" si="306"/>
        <v>0</v>
      </c>
      <c r="AM620" s="4">
        <f>CER!$C$7+CER!$C$8*J620+CER!$C$9*K620+CER!$C$10*L620+CER!$C$11*M620</f>
        <v>3.4390295481250255</v>
      </c>
      <c r="AN620" s="4">
        <f t="shared" si="307"/>
        <v>31.15670740710836</v>
      </c>
      <c r="AO620" s="4">
        <f t="shared" si="308"/>
        <v>7.8100268999896194E-2</v>
      </c>
      <c r="AP620" s="4">
        <f>Alternatives!$F$25+Alternatives!$F$26*J620+Alternatives!$F$27*K620+Alternatives!$F$28*G620+Alternatives!$F$29*O620</f>
        <v>4.185040712572663</v>
      </c>
      <c r="AQ620" s="4">
        <f t="shared" si="309"/>
        <v>-0.66791089544774129</v>
      </c>
    </row>
    <row r="621" spans="1:43" x14ac:dyDescent="0.35">
      <c r="A621" s="2" t="s">
        <v>524</v>
      </c>
      <c r="B621" s="2" t="s">
        <v>505</v>
      </c>
      <c r="C621" s="2" t="s">
        <v>33</v>
      </c>
      <c r="D621" s="2">
        <v>36.538499999999999</v>
      </c>
      <c r="E621" s="2">
        <v>4500</v>
      </c>
      <c r="F621" s="2">
        <v>255</v>
      </c>
      <c r="G621" s="2">
        <v>52.1</v>
      </c>
      <c r="H621" s="2" t="s">
        <v>68</v>
      </c>
      <c r="I621" s="4">
        <f t="shared" si="279"/>
        <v>3.5983664992041295</v>
      </c>
      <c r="J621" s="4">
        <f t="shared" si="280"/>
        <v>8.4118326757584114</v>
      </c>
      <c r="K621" s="4">
        <f t="shared" si="281"/>
        <v>5.5412635451584258</v>
      </c>
      <c r="L621" s="2">
        <v>1</v>
      </c>
      <c r="M621" s="2">
        <v>0</v>
      </c>
      <c r="N621" s="4">
        <f t="shared" si="282"/>
        <v>52.1</v>
      </c>
      <c r="O621" s="4">
        <f t="shared" si="283"/>
        <v>1</v>
      </c>
      <c r="P621" s="4">
        <f t="shared" si="284"/>
        <v>1</v>
      </c>
      <c r="Q621" s="4">
        <f t="shared" si="285"/>
        <v>8.4118326757584114</v>
      </c>
      <c r="R621" s="4">
        <f t="shared" si="286"/>
        <v>5.5412635451584258</v>
      </c>
      <c r="S621" s="4">
        <f t="shared" si="287"/>
        <v>52.1</v>
      </c>
      <c r="T621" s="4">
        <f t="shared" si="288"/>
        <v>1</v>
      </c>
      <c r="U621" s="4">
        <f t="shared" si="289"/>
        <v>8.4118326757584114</v>
      </c>
      <c r="V621" s="4">
        <f t="shared" si="290"/>
        <v>5.5412635451584258</v>
      </c>
      <c r="W621" s="4">
        <f t="shared" si="291"/>
        <v>52.1</v>
      </c>
      <c r="X621" s="4">
        <f t="shared" si="292"/>
        <v>1</v>
      </c>
      <c r="Y621" s="4">
        <f t="shared" si="293"/>
        <v>8.4118326757584114</v>
      </c>
      <c r="Z621" s="4">
        <f t="shared" si="294"/>
        <v>5.5412635451584258</v>
      </c>
      <c r="AA621" s="4">
        <f t="shared" si="295"/>
        <v>52.1</v>
      </c>
      <c r="AB621" s="4">
        <f t="shared" si="296"/>
        <v>1</v>
      </c>
      <c r="AC621" s="4">
        <f t="shared" si="297"/>
        <v>0</v>
      </c>
      <c r="AD621" s="4">
        <f t="shared" si="298"/>
        <v>0</v>
      </c>
      <c r="AE621" s="4">
        <f t="shared" si="299"/>
        <v>0</v>
      </c>
      <c r="AF621" s="4">
        <f t="shared" si="300"/>
        <v>0</v>
      </c>
      <c r="AG621" s="4">
        <f t="shared" si="301"/>
        <v>8.4118326757584114</v>
      </c>
      <c r="AH621" s="4">
        <f t="shared" si="302"/>
        <v>1</v>
      </c>
      <c r="AI621" s="4">
        <f t="shared" si="303"/>
        <v>0</v>
      </c>
      <c r="AJ621" s="4">
        <f t="shared" si="304"/>
        <v>8.4118326757584114</v>
      </c>
      <c r="AK621" s="4">
        <f t="shared" si="305"/>
        <v>5.5412635451584258</v>
      </c>
      <c r="AL621" s="4">
        <f t="shared" si="306"/>
        <v>0</v>
      </c>
      <c r="AM621" s="4">
        <f>CER!$C$7+CER!$C$8*J621+CER!$C$9*K621+CER!$C$10*L621+CER!$C$11*M621</f>
        <v>3.6290149623818366</v>
      </c>
      <c r="AN621" s="4">
        <f t="shared" si="307"/>
        <v>37.675686364477059</v>
      </c>
      <c r="AO621" s="4">
        <f t="shared" si="308"/>
        <v>-3.0648463177707086E-2</v>
      </c>
      <c r="AP621" s="4">
        <f>Alternatives!$F$25+Alternatives!$F$26*J621+Alternatives!$F$27*K621+Alternatives!$F$28*G621+Alternatives!$F$29*O621</f>
        <v>4.2499776249300245</v>
      </c>
      <c r="AQ621" s="4">
        <f t="shared" si="309"/>
        <v>-0.65161112572589497</v>
      </c>
    </row>
    <row r="622" spans="1:43" x14ac:dyDescent="0.35">
      <c r="A622" s="2" t="s">
        <v>525</v>
      </c>
      <c r="B622" s="2" t="s">
        <v>505</v>
      </c>
      <c r="C622" s="2" t="s">
        <v>33</v>
      </c>
      <c r="D622" s="2">
        <v>27.605399999999999</v>
      </c>
      <c r="E622" s="2">
        <v>5000</v>
      </c>
      <c r="F622" s="2">
        <v>416</v>
      </c>
      <c r="G622" s="2">
        <v>51.2</v>
      </c>
      <c r="H622" s="2" t="s">
        <v>68</v>
      </c>
      <c r="I622" s="4">
        <f t="shared" si="279"/>
        <v>3.3180114057596271</v>
      </c>
      <c r="J622" s="4">
        <f t="shared" si="280"/>
        <v>8.5171931914162382</v>
      </c>
      <c r="K622" s="4">
        <f t="shared" si="281"/>
        <v>6.0306852602612633</v>
      </c>
      <c r="L622" s="2">
        <v>1</v>
      </c>
      <c r="M622" s="2">
        <v>0</v>
      </c>
      <c r="N622" s="4">
        <f t="shared" si="282"/>
        <v>51.2</v>
      </c>
      <c r="O622" s="4">
        <f t="shared" si="283"/>
        <v>1</v>
      </c>
      <c r="P622" s="4">
        <f t="shared" si="284"/>
        <v>1</v>
      </c>
      <c r="Q622" s="4">
        <f t="shared" si="285"/>
        <v>8.5171931914162382</v>
      </c>
      <c r="R622" s="4">
        <f t="shared" si="286"/>
        <v>6.0306852602612633</v>
      </c>
      <c r="S622" s="4">
        <f t="shared" si="287"/>
        <v>51.2</v>
      </c>
      <c r="T622" s="4">
        <f t="shared" si="288"/>
        <v>1</v>
      </c>
      <c r="U622" s="4">
        <f t="shared" si="289"/>
        <v>8.5171931914162382</v>
      </c>
      <c r="V622" s="4">
        <f t="shared" si="290"/>
        <v>6.0306852602612633</v>
      </c>
      <c r="W622" s="4">
        <f t="shared" si="291"/>
        <v>51.2</v>
      </c>
      <c r="X622" s="4">
        <f t="shared" si="292"/>
        <v>1</v>
      </c>
      <c r="Y622" s="4">
        <f t="shared" si="293"/>
        <v>8.5171931914162382</v>
      </c>
      <c r="Z622" s="4">
        <f t="shared" si="294"/>
        <v>6.0306852602612633</v>
      </c>
      <c r="AA622" s="4">
        <f t="shared" si="295"/>
        <v>51.2</v>
      </c>
      <c r="AB622" s="4">
        <f t="shared" si="296"/>
        <v>1</v>
      </c>
      <c r="AC622" s="4">
        <f t="shared" si="297"/>
        <v>0</v>
      </c>
      <c r="AD622" s="4">
        <f t="shared" si="298"/>
        <v>0</v>
      </c>
      <c r="AE622" s="4">
        <f t="shared" si="299"/>
        <v>0</v>
      </c>
      <c r="AF622" s="4">
        <f t="shared" si="300"/>
        <v>0</v>
      </c>
      <c r="AG622" s="4">
        <f t="shared" si="301"/>
        <v>8.5171931914162382</v>
      </c>
      <c r="AH622" s="4">
        <f t="shared" si="302"/>
        <v>1</v>
      </c>
      <c r="AI622" s="4">
        <f t="shared" si="303"/>
        <v>0</v>
      </c>
      <c r="AJ622" s="4">
        <f t="shared" si="304"/>
        <v>8.5171931914162382</v>
      </c>
      <c r="AK622" s="4">
        <f t="shared" si="305"/>
        <v>6.0306852602612633</v>
      </c>
      <c r="AL622" s="4">
        <f t="shared" si="306"/>
        <v>0</v>
      </c>
      <c r="AM622" s="4">
        <f>CER!$C$7+CER!$C$8*J622+CER!$C$9*K622+CER!$C$10*L622+CER!$C$11*M622</f>
        <v>3.4007482308777215</v>
      </c>
      <c r="AN622" s="4">
        <f t="shared" si="307"/>
        <v>29.986528502060391</v>
      </c>
      <c r="AO622" s="4">
        <f t="shared" si="308"/>
        <v>-8.2736825118094437E-2</v>
      </c>
      <c r="AP622" s="4">
        <f>Alternatives!$F$25+Alternatives!$F$26*J622+Alternatives!$F$27*K622+Alternatives!$F$28*G622+Alternatives!$F$29*O622</f>
        <v>4.1704366606074128</v>
      </c>
      <c r="AQ622" s="4">
        <f t="shared" si="309"/>
        <v>-0.85242525484778575</v>
      </c>
    </row>
    <row r="623" spans="1:43" x14ac:dyDescent="0.35">
      <c r="A623" s="2" t="s">
        <v>526</v>
      </c>
      <c r="B623" s="2" t="s">
        <v>505</v>
      </c>
      <c r="C623" s="2" t="s">
        <v>33</v>
      </c>
      <c r="D623" s="2">
        <v>26.9544</v>
      </c>
      <c r="E623" s="2">
        <v>5000</v>
      </c>
      <c r="F623" s="2">
        <v>416</v>
      </c>
      <c r="G623" s="2">
        <v>51.2</v>
      </c>
      <c r="H623" s="2" t="s">
        <v>68</v>
      </c>
      <c r="I623" s="4">
        <f t="shared" si="279"/>
        <v>3.294146549334799</v>
      </c>
      <c r="J623" s="4">
        <f t="shared" si="280"/>
        <v>8.5171931914162382</v>
      </c>
      <c r="K623" s="4">
        <f t="shared" si="281"/>
        <v>6.0306852602612633</v>
      </c>
      <c r="L623" s="2">
        <v>1</v>
      </c>
      <c r="M623" s="2">
        <v>0</v>
      </c>
      <c r="N623" s="4">
        <f t="shared" si="282"/>
        <v>51.2</v>
      </c>
      <c r="O623" s="4">
        <f t="shared" si="283"/>
        <v>1</v>
      </c>
      <c r="P623" s="4">
        <f t="shared" si="284"/>
        <v>1</v>
      </c>
      <c r="Q623" s="4">
        <f t="shared" si="285"/>
        <v>8.5171931914162382</v>
      </c>
      <c r="R623" s="4">
        <f t="shared" si="286"/>
        <v>6.0306852602612633</v>
      </c>
      <c r="S623" s="4">
        <f t="shared" si="287"/>
        <v>51.2</v>
      </c>
      <c r="T623" s="4">
        <f t="shared" si="288"/>
        <v>1</v>
      </c>
      <c r="U623" s="4">
        <f t="shared" si="289"/>
        <v>8.5171931914162382</v>
      </c>
      <c r="V623" s="4">
        <f t="shared" si="290"/>
        <v>6.0306852602612633</v>
      </c>
      <c r="W623" s="4">
        <f t="shared" si="291"/>
        <v>51.2</v>
      </c>
      <c r="X623" s="4">
        <f t="shared" si="292"/>
        <v>1</v>
      </c>
      <c r="Y623" s="4">
        <f t="shared" si="293"/>
        <v>8.5171931914162382</v>
      </c>
      <c r="Z623" s="4">
        <f t="shared" si="294"/>
        <v>6.0306852602612633</v>
      </c>
      <c r="AA623" s="4">
        <f t="shared" si="295"/>
        <v>51.2</v>
      </c>
      <c r="AB623" s="4">
        <f t="shared" si="296"/>
        <v>1</v>
      </c>
      <c r="AC623" s="4">
        <f t="shared" si="297"/>
        <v>0</v>
      </c>
      <c r="AD623" s="4">
        <f t="shared" si="298"/>
        <v>0</v>
      </c>
      <c r="AE623" s="4">
        <f t="shared" si="299"/>
        <v>0</v>
      </c>
      <c r="AF623" s="4">
        <f t="shared" si="300"/>
        <v>0</v>
      </c>
      <c r="AG623" s="4">
        <f t="shared" si="301"/>
        <v>8.5171931914162382</v>
      </c>
      <c r="AH623" s="4">
        <f t="shared" si="302"/>
        <v>1</v>
      </c>
      <c r="AI623" s="4">
        <f t="shared" si="303"/>
        <v>0</v>
      </c>
      <c r="AJ623" s="4">
        <f t="shared" si="304"/>
        <v>8.5171931914162382</v>
      </c>
      <c r="AK623" s="4">
        <f t="shared" si="305"/>
        <v>6.0306852602612633</v>
      </c>
      <c r="AL623" s="4">
        <f t="shared" si="306"/>
        <v>0</v>
      </c>
      <c r="AM623" s="4">
        <f>CER!$C$7+CER!$C$8*J623+CER!$C$9*K623+CER!$C$10*L623+CER!$C$11*M623</f>
        <v>3.4007482308777215</v>
      </c>
      <c r="AN623" s="4">
        <f t="shared" si="307"/>
        <v>29.986528502060391</v>
      </c>
      <c r="AO623" s="4">
        <f t="shared" si="308"/>
        <v>-0.10660168154292249</v>
      </c>
      <c r="AP623" s="4">
        <f>Alternatives!$F$25+Alternatives!$F$26*J623+Alternatives!$F$27*K623+Alternatives!$F$28*G623+Alternatives!$F$29*O623</f>
        <v>4.1704366606074128</v>
      </c>
      <c r="AQ623" s="4">
        <f t="shared" si="309"/>
        <v>-0.8762901112726138</v>
      </c>
    </row>
    <row r="624" spans="1:43" x14ac:dyDescent="0.35">
      <c r="A624" s="2" t="s">
        <v>527</v>
      </c>
      <c r="B624" s="2" t="s">
        <v>505</v>
      </c>
      <c r="C624" s="2" t="s">
        <v>33</v>
      </c>
      <c r="D624" s="2">
        <v>30.130400000000002</v>
      </c>
      <c r="E624" s="2">
        <v>4500</v>
      </c>
      <c r="F624" s="2">
        <v>416</v>
      </c>
      <c r="G624" s="2">
        <v>49.2</v>
      </c>
      <c r="H624" s="2" t="s">
        <v>68</v>
      </c>
      <c r="I624" s="4">
        <f t="shared" si="279"/>
        <v>3.4055346288589328</v>
      </c>
      <c r="J624" s="4">
        <f t="shared" si="280"/>
        <v>8.4118326757584114</v>
      </c>
      <c r="K624" s="4">
        <f t="shared" si="281"/>
        <v>6.0306852602612633</v>
      </c>
      <c r="L624" s="2">
        <v>1</v>
      </c>
      <c r="M624" s="2">
        <v>0</v>
      </c>
      <c r="N624" s="4">
        <f t="shared" si="282"/>
        <v>49.2</v>
      </c>
      <c r="O624" s="4">
        <f t="shared" si="283"/>
        <v>1</v>
      </c>
      <c r="P624" s="4">
        <f t="shared" si="284"/>
        <v>1</v>
      </c>
      <c r="Q624" s="4">
        <f t="shared" si="285"/>
        <v>8.4118326757584114</v>
      </c>
      <c r="R624" s="4">
        <f t="shared" si="286"/>
        <v>6.0306852602612633</v>
      </c>
      <c r="S624" s="4">
        <f t="shared" si="287"/>
        <v>49.2</v>
      </c>
      <c r="T624" s="4">
        <f t="shared" si="288"/>
        <v>1</v>
      </c>
      <c r="U624" s="4">
        <f t="shared" si="289"/>
        <v>8.4118326757584114</v>
      </c>
      <c r="V624" s="4">
        <f t="shared" si="290"/>
        <v>6.0306852602612633</v>
      </c>
      <c r="W624" s="4">
        <f t="shared" si="291"/>
        <v>49.2</v>
      </c>
      <c r="X624" s="4">
        <f t="shared" si="292"/>
        <v>1</v>
      </c>
      <c r="Y624" s="4">
        <f t="shared" si="293"/>
        <v>8.4118326757584114</v>
      </c>
      <c r="Z624" s="4">
        <f t="shared" si="294"/>
        <v>6.0306852602612633</v>
      </c>
      <c r="AA624" s="4">
        <f t="shared" si="295"/>
        <v>49.2</v>
      </c>
      <c r="AB624" s="4">
        <f t="shared" si="296"/>
        <v>1</v>
      </c>
      <c r="AC624" s="4">
        <f t="shared" si="297"/>
        <v>0</v>
      </c>
      <c r="AD624" s="4">
        <f t="shared" si="298"/>
        <v>0</v>
      </c>
      <c r="AE624" s="4">
        <f t="shared" si="299"/>
        <v>0</v>
      </c>
      <c r="AF624" s="4">
        <f t="shared" si="300"/>
        <v>0</v>
      </c>
      <c r="AG624" s="4">
        <f t="shared" si="301"/>
        <v>8.4118326757584114</v>
      </c>
      <c r="AH624" s="4">
        <f t="shared" si="302"/>
        <v>1</v>
      </c>
      <c r="AI624" s="4">
        <f t="shared" si="303"/>
        <v>0</v>
      </c>
      <c r="AJ624" s="4">
        <f t="shared" si="304"/>
        <v>8.4118326757584114</v>
      </c>
      <c r="AK624" s="4">
        <f t="shared" si="305"/>
        <v>6.0306852602612633</v>
      </c>
      <c r="AL624" s="4">
        <f t="shared" si="306"/>
        <v>0</v>
      </c>
      <c r="AM624" s="4">
        <f>CER!$C$7+CER!$C$8*J624+CER!$C$9*K624+CER!$C$10*L624+CER!$C$11*M624</f>
        <v>3.4484458971644463</v>
      </c>
      <c r="AN624" s="4">
        <f t="shared" si="307"/>
        <v>31.451475480476084</v>
      </c>
      <c r="AO624" s="4">
        <f t="shared" si="308"/>
        <v>-4.2911268305513506E-2</v>
      </c>
      <c r="AP624" s="4">
        <f>Alternatives!$F$25+Alternatives!$F$26*J624+Alternatives!$F$27*K624+Alternatives!$F$28*G624+Alternatives!$F$29*O624</f>
        <v>4.1574588402021391</v>
      </c>
      <c r="AQ624" s="4">
        <f t="shared" si="309"/>
        <v>-0.75192421134320631</v>
      </c>
    </row>
    <row r="625" spans="1:43" x14ac:dyDescent="0.35">
      <c r="A625" s="2" t="s">
        <v>528</v>
      </c>
      <c r="B625" s="2" t="s">
        <v>505</v>
      </c>
      <c r="C625" s="2" t="s">
        <v>33</v>
      </c>
      <c r="D625" s="2">
        <v>35.413600000000002</v>
      </c>
      <c r="E625" s="2">
        <v>4500</v>
      </c>
      <c r="F625" s="2">
        <v>255</v>
      </c>
      <c r="G625" s="2">
        <v>49.7</v>
      </c>
      <c r="H625" s="2" t="s">
        <v>68</v>
      </c>
      <c r="I625" s="4">
        <f t="shared" si="279"/>
        <v>3.567095927152145</v>
      </c>
      <c r="J625" s="4">
        <f t="shared" si="280"/>
        <v>8.4118326757584114</v>
      </c>
      <c r="K625" s="4">
        <f t="shared" si="281"/>
        <v>5.5412635451584258</v>
      </c>
      <c r="L625" s="2">
        <v>1</v>
      </c>
      <c r="M625" s="2">
        <v>0</v>
      </c>
      <c r="N625" s="4">
        <f t="shared" si="282"/>
        <v>49.7</v>
      </c>
      <c r="O625" s="4">
        <f t="shared" si="283"/>
        <v>1</v>
      </c>
      <c r="P625" s="4">
        <f t="shared" si="284"/>
        <v>1</v>
      </c>
      <c r="Q625" s="4">
        <f t="shared" si="285"/>
        <v>8.4118326757584114</v>
      </c>
      <c r="R625" s="4">
        <f t="shared" si="286"/>
        <v>5.5412635451584258</v>
      </c>
      <c r="S625" s="4">
        <f t="shared" si="287"/>
        <v>49.7</v>
      </c>
      <c r="T625" s="4">
        <f t="shared" si="288"/>
        <v>1</v>
      </c>
      <c r="U625" s="4">
        <f t="shared" si="289"/>
        <v>8.4118326757584114</v>
      </c>
      <c r="V625" s="4">
        <f t="shared" si="290"/>
        <v>5.5412635451584258</v>
      </c>
      <c r="W625" s="4">
        <f t="shared" si="291"/>
        <v>49.7</v>
      </c>
      <c r="X625" s="4">
        <f t="shared" si="292"/>
        <v>1</v>
      </c>
      <c r="Y625" s="4">
        <f t="shared" si="293"/>
        <v>8.4118326757584114</v>
      </c>
      <c r="Z625" s="4">
        <f t="shared" si="294"/>
        <v>5.5412635451584258</v>
      </c>
      <c r="AA625" s="4">
        <f t="shared" si="295"/>
        <v>49.7</v>
      </c>
      <c r="AB625" s="4">
        <f t="shared" si="296"/>
        <v>1</v>
      </c>
      <c r="AC625" s="4">
        <f t="shared" si="297"/>
        <v>0</v>
      </c>
      <c r="AD625" s="4">
        <f t="shared" si="298"/>
        <v>0</v>
      </c>
      <c r="AE625" s="4">
        <f t="shared" si="299"/>
        <v>0</v>
      </c>
      <c r="AF625" s="4">
        <f t="shared" si="300"/>
        <v>0</v>
      </c>
      <c r="AG625" s="4">
        <f t="shared" si="301"/>
        <v>8.4118326757584114</v>
      </c>
      <c r="AH625" s="4">
        <f t="shared" si="302"/>
        <v>1</v>
      </c>
      <c r="AI625" s="4">
        <f t="shared" si="303"/>
        <v>0</v>
      </c>
      <c r="AJ625" s="4">
        <f t="shared" si="304"/>
        <v>8.4118326757584114</v>
      </c>
      <c r="AK625" s="4">
        <f t="shared" si="305"/>
        <v>5.5412635451584258</v>
      </c>
      <c r="AL625" s="4">
        <f t="shared" si="306"/>
        <v>0</v>
      </c>
      <c r="AM625" s="4">
        <f>CER!$C$7+CER!$C$8*J625+CER!$C$9*K625+CER!$C$10*L625+CER!$C$11*M625</f>
        <v>3.6290149623818366</v>
      </c>
      <c r="AN625" s="4">
        <f t="shared" si="307"/>
        <v>37.675686364477059</v>
      </c>
      <c r="AO625" s="4">
        <f t="shared" si="308"/>
        <v>-6.1919035229691666E-2</v>
      </c>
      <c r="AP625" s="4">
        <f>Alternatives!$F$25+Alternatives!$F$26*J625+Alternatives!$F$27*K625+Alternatives!$F$28*G625+Alternatives!$F$29*O625</f>
        <v>4.2811951798313723</v>
      </c>
      <c r="AQ625" s="4">
        <f t="shared" si="309"/>
        <v>-0.71409925267922736</v>
      </c>
    </row>
    <row r="626" spans="1:43" x14ac:dyDescent="0.35">
      <c r="A626" s="2" t="s">
        <v>529</v>
      </c>
      <c r="B626" s="2" t="s">
        <v>505</v>
      </c>
      <c r="C626" s="2" t="s">
        <v>33</v>
      </c>
      <c r="D626" s="2">
        <v>36.901800000000001</v>
      </c>
      <c r="E626" s="2">
        <v>4500</v>
      </c>
      <c r="F626" s="2">
        <v>255</v>
      </c>
      <c r="G626" s="2">
        <v>49.7</v>
      </c>
      <c r="H626" s="2" t="s">
        <v>68</v>
      </c>
      <c r="I626" s="4">
        <f t="shared" si="279"/>
        <v>3.6082603303445571</v>
      </c>
      <c r="J626" s="4">
        <f t="shared" si="280"/>
        <v>8.4118326757584114</v>
      </c>
      <c r="K626" s="4">
        <f t="shared" si="281"/>
        <v>5.5412635451584258</v>
      </c>
      <c r="L626" s="2">
        <v>1</v>
      </c>
      <c r="M626" s="2">
        <v>0</v>
      </c>
      <c r="N626" s="4">
        <f t="shared" si="282"/>
        <v>49.7</v>
      </c>
      <c r="O626" s="4">
        <f t="shared" si="283"/>
        <v>1</v>
      </c>
      <c r="P626" s="4">
        <f t="shared" si="284"/>
        <v>1</v>
      </c>
      <c r="Q626" s="4">
        <f t="shared" si="285"/>
        <v>8.4118326757584114</v>
      </c>
      <c r="R626" s="4">
        <f t="shared" si="286"/>
        <v>5.5412635451584258</v>
      </c>
      <c r="S626" s="4">
        <f t="shared" si="287"/>
        <v>49.7</v>
      </c>
      <c r="T626" s="4">
        <f t="shared" si="288"/>
        <v>1</v>
      </c>
      <c r="U626" s="4">
        <f t="shared" si="289"/>
        <v>8.4118326757584114</v>
      </c>
      <c r="V626" s="4">
        <f t="shared" si="290"/>
        <v>5.5412635451584258</v>
      </c>
      <c r="W626" s="4">
        <f t="shared" si="291"/>
        <v>49.7</v>
      </c>
      <c r="X626" s="4">
        <f t="shared" si="292"/>
        <v>1</v>
      </c>
      <c r="Y626" s="4">
        <f t="shared" si="293"/>
        <v>8.4118326757584114</v>
      </c>
      <c r="Z626" s="4">
        <f t="shared" si="294"/>
        <v>5.5412635451584258</v>
      </c>
      <c r="AA626" s="4">
        <f t="shared" si="295"/>
        <v>49.7</v>
      </c>
      <c r="AB626" s="4">
        <f t="shared" si="296"/>
        <v>1</v>
      </c>
      <c r="AC626" s="4">
        <f t="shared" si="297"/>
        <v>0</v>
      </c>
      <c r="AD626" s="4">
        <f t="shared" si="298"/>
        <v>0</v>
      </c>
      <c r="AE626" s="4">
        <f t="shared" si="299"/>
        <v>0</v>
      </c>
      <c r="AF626" s="4">
        <f t="shared" si="300"/>
        <v>0</v>
      </c>
      <c r="AG626" s="4">
        <f t="shared" si="301"/>
        <v>8.4118326757584114</v>
      </c>
      <c r="AH626" s="4">
        <f t="shared" si="302"/>
        <v>1</v>
      </c>
      <c r="AI626" s="4">
        <f t="shared" si="303"/>
        <v>0</v>
      </c>
      <c r="AJ626" s="4">
        <f t="shared" si="304"/>
        <v>8.4118326757584114</v>
      </c>
      <c r="AK626" s="4">
        <f t="shared" si="305"/>
        <v>5.5412635451584258</v>
      </c>
      <c r="AL626" s="4">
        <f t="shared" si="306"/>
        <v>0</v>
      </c>
      <c r="AM626" s="4">
        <f>CER!$C$7+CER!$C$8*J626+CER!$C$9*K626+CER!$C$10*L626+CER!$C$11*M626</f>
        <v>3.6290149623818366</v>
      </c>
      <c r="AN626" s="4">
        <f t="shared" si="307"/>
        <v>37.675686364477059</v>
      </c>
      <c r="AO626" s="4">
        <f t="shared" si="308"/>
        <v>-2.0754632037279563E-2</v>
      </c>
      <c r="AP626" s="4">
        <f>Alternatives!$F$25+Alternatives!$F$26*J626+Alternatives!$F$27*K626+Alternatives!$F$28*G626+Alternatives!$F$29*O626</f>
        <v>4.2811951798313723</v>
      </c>
      <c r="AQ626" s="4">
        <f t="shared" si="309"/>
        <v>-0.67293484948681526</v>
      </c>
    </row>
    <row r="627" spans="1:43" x14ac:dyDescent="0.35">
      <c r="A627" s="2" t="s">
        <v>530</v>
      </c>
      <c r="B627" s="2" t="s">
        <v>505</v>
      </c>
      <c r="C627" s="2" t="s">
        <v>33</v>
      </c>
      <c r="D627" s="2">
        <v>35.256300000000003</v>
      </c>
      <c r="E627" s="2">
        <v>4500</v>
      </c>
      <c r="F627" s="2">
        <v>375</v>
      </c>
      <c r="G627" s="2">
        <v>49.2</v>
      </c>
      <c r="H627" s="2" t="s">
        <v>68</v>
      </c>
      <c r="I627" s="4">
        <f t="shared" si="279"/>
        <v>3.5626442366934081</v>
      </c>
      <c r="J627" s="4">
        <f t="shared" si="280"/>
        <v>8.4118326757584114</v>
      </c>
      <c r="K627" s="4">
        <f t="shared" si="281"/>
        <v>5.9269260259704106</v>
      </c>
      <c r="L627" s="2">
        <v>1</v>
      </c>
      <c r="M627" s="2">
        <v>0</v>
      </c>
      <c r="N627" s="4">
        <f t="shared" si="282"/>
        <v>49.2</v>
      </c>
      <c r="O627" s="4">
        <f t="shared" si="283"/>
        <v>1</v>
      </c>
      <c r="P627" s="4">
        <f t="shared" si="284"/>
        <v>1</v>
      </c>
      <c r="Q627" s="4">
        <f t="shared" si="285"/>
        <v>8.4118326757584114</v>
      </c>
      <c r="R627" s="4">
        <f t="shared" si="286"/>
        <v>5.9269260259704106</v>
      </c>
      <c r="S627" s="4">
        <f t="shared" si="287"/>
        <v>49.2</v>
      </c>
      <c r="T627" s="4">
        <f t="shared" si="288"/>
        <v>1</v>
      </c>
      <c r="U627" s="4">
        <f t="shared" si="289"/>
        <v>8.4118326757584114</v>
      </c>
      <c r="V627" s="4">
        <f t="shared" si="290"/>
        <v>5.9269260259704106</v>
      </c>
      <c r="W627" s="4">
        <f t="shared" si="291"/>
        <v>49.2</v>
      </c>
      <c r="X627" s="4">
        <f t="shared" si="292"/>
        <v>1</v>
      </c>
      <c r="Y627" s="4">
        <f t="shared" si="293"/>
        <v>8.4118326757584114</v>
      </c>
      <c r="Z627" s="4">
        <f t="shared" si="294"/>
        <v>5.9269260259704106</v>
      </c>
      <c r="AA627" s="4">
        <f t="shared" si="295"/>
        <v>49.2</v>
      </c>
      <c r="AB627" s="4">
        <f t="shared" si="296"/>
        <v>1</v>
      </c>
      <c r="AC627" s="4">
        <f t="shared" si="297"/>
        <v>0</v>
      </c>
      <c r="AD627" s="4">
        <f t="shared" si="298"/>
        <v>0</v>
      </c>
      <c r="AE627" s="4">
        <f t="shared" si="299"/>
        <v>0</v>
      </c>
      <c r="AF627" s="4">
        <f t="shared" si="300"/>
        <v>0</v>
      </c>
      <c r="AG627" s="4">
        <f t="shared" si="301"/>
        <v>8.4118326757584114</v>
      </c>
      <c r="AH627" s="4">
        <f t="shared" si="302"/>
        <v>1</v>
      </c>
      <c r="AI627" s="4">
        <f t="shared" si="303"/>
        <v>0</v>
      </c>
      <c r="AJ627" s="4">
        <f t="shared" si="304"/>
        <v>8.4118326757584114</v>
      </c>
      <c r="AK627" s="4">
        <f t="shared" si="305"/>
        <v>5.9269260259704106</v>
      </c>
      <c r="AL627" s="4">
        <f t="shared" si="306"/>
        <v>0</v>
      </c>
      <c r="AM627" s="4">
        <f>CER!$C$7+CER!$C$8*J627+CER!$C$9*K627+CER!$C$10*L627+CER!$C$11*M627</f>
        <v>3.4867272144117503</v>
      </c>
      <c r="AN627" s="4">
        <f t="shared" si="307"/>
        <v>32.678821724885729</v>
      </c>
      <c r="AO627" s="4">
        <f t="shared" si="308"/>
        <v>7.5917022281657864E-2</v>
      </c>
      <c r="AP627" s="4">
        <f>Alternatives!$F$25+Alternatives!$F$26*J627+Alternatives!$F$27*K627+Alternatives!$F$28*G627+Alternatives!$F$29*O627</f>
        <v>4.1850702067096162</v>
      </c>
      <c r="AQ627" s="4">
        <f t="shared" si="309"/>
        <v>-0.62242597001620803</v>
      </c>
    </row>
    <row r="628" spans="1:43" x14ac:dyDescent="0.35">
      <c r="A628" s="2" t="s">
        <v>531</v>
      </c>
      <c r="B628" s="2" t="s">
        <v>505</v>
      </c>
      <c r="C628" s="2" t="s">
        <v>33</v>
      </c>
      <c r="D628" s="2">
        <v>35.019799999999996</v>
      </c>
      <c r="E628" s="2">
        <v>4500</v>
      </c>
      <c r="F628" s="2">
        <v>375</v>
      </c>
      <c r="G628" s="2">
        <v>49.2</v>
      </c>
      <c r="H628" s="2" t="s">
        <v>68</v>
      </c>
      <c r="I628" s="4">
        <f t="shared" si="279"/>
        <v>3.5559136158191249</v>
      </c>
      <c r="J628" s="4">
        <f t="shared" si="280"/>
        <v>8.4118326757584114</v>
      </c>
      <c r="K628" s="4">
        <f t="shared" si="281"/>
        <v>5.9269260259704106</v>
      </c>
      <c r="L628" s="2">
        <v>1</v>
      </c>
      <c r="M628" s="2">
        <v>0</v>
      </c>
      <c r="N628" s="4">
        <f t="shared" si="282"/>
        <v>49.2</v>
      </c>
      <c r="O628" s="4">
        <f t="shared" si="283"/>
        <v>1</v>
      </c>
      <c r="P628" s="4">
        <f t="shared" si="284"/>
        <v>1</v>
      </c>
      <c r="Q628" s="4">
        <f t="shared" si="285"/>
        <v>8.4118326757584114</v>
      </c>
      <c r="R628" s="4">
        <f t="shared" si="286"/>
        <v>5.9269260259704106</v>
      </c>
      <c r="S628" s="4">
        <f t="shared" si="287"/>
        <v>49.2</v>
      </c>
      <c r="T628" s="4">
        <f t="shared" si="288"/>
        <v>1</v>
      </c>
      <c r="U628" s="4">
        <f t="shared" si="289"/>
        <v>8.4118326757584114</v>
      </c>
      <c r="V628" s="4">
        <f t="shared" si="290"/>
        <v>5.9269260259704106</v>
      </c>
      <c r="W628" s="4">
        <f t="shared" si="291"/>
        <v>49.2</v>
      </c>
      <c r="X628" s="4">
        <f t="shared" si="292"/>
        <v>1</v>
      </c>
      <c r="Y628" s="4">
        <f t="shared" si="293"/>
        <v>8.4118326757584114</v>
      </c>
      <c r="Z628" s="4">
        <f t="shared" si="294"/>
        <v>5.9269260259704106</v>
      </c>
      <c r="AA628" s="4">
        <f t="shared" si="295"/>
        <v>49.2</v>
      </c>
      <c r="AB628" s="4">
        <f t="shared" si="296"/>
        <v>1</v>
      </c>
      <c r="AC628" s="4">
        <f t="shared" si="297"/>
        <v>0</v>
      </c>
      <c r="AD628" s="4">
        <f t="shared" si="298"/>
        <v>0</v>
      </c>
      <c r="AE628" s="4">
        <f t="shared" si="299"/>
        <v>0</v>
      </c>
      <c r="AF628" s="4">
        <f t="shared" si="300"/>
        <v>0</v>
      </c>
      <c r="AG628" s="4">
        <f t="shared" si="301"/>
        <v>8.4118326757584114</v>
      </c>
      <c r="AH628" s="4">
        <f t="shared" si="302"/>
        <v>1</v>
      </c>
      <c r="AI628" s="4">
        <f t="shared" si="303"/>
        <v>0</v>
      </c>
      <c r="AJ628" s="4">
        <f t="shared" si="304"/>
        <v>8.4118326757584114</v>
      </c>
      <c r="AK628" s="4">
        <f t="shared" si="305"/>
        <v>5.9269260259704106</v>
      </c>
      <c r="AL628" s="4">
        <f t="shared" si="306"/>
        <v>0</v>
      </c>
      <c r="AM628" s="4">
        <f>CER!$C$7+CER!$C$8*J628+CER!$C$9*K628+CER!$C$10*L628+CER!$C$11*M628</f>
        <v>3.4867272144117503</v>
      </c>
      <c r="AN628" s="4">
        <f t="shared" si="307"/>
        <v>32.678821724885729</v>
      </c>
      <c r="AO628" s="4">
        <f t="shared" si="308"/>
        <v>6.9186401407374643E-2</v>
      </c>
      <c r="AP628" s="4">
        <f>Alternatives!$F$25+Alternatives!$F$26*J628+Alternatives!$F$27*K628+Alternatives!$F$28*G628+Alternatives!$F$29*O628</f>
        <v>4.1850702067096162</v>
      </c>
      <c r="AQ628" s="4">
        <f t="shared" si="309"/>
        <v>-0.62915659089049125</v>
      </c>
    </row>
    <row r="629" spans="1:43" x14ac:dyDescent="0.35">
      <c r="A629" s="2" t="s">
        <v>532</v>
      </c>
      <c r="B629" s="2" t="s">
        <v>505</v>
      </c>
      <c r="C629" s="2" t="s">
        <v>33</v>
      </c>
      <c r="D629" s="2">
        <v>29.888300000000001</v>
      </c>
      <c r="E629" s="2">
        <v>4500</v>
      </c>
      <c r="F629" s="2">
        <v>443</v>
      </c>
      <c r="G629" s="2">
        <v>51.2</v>
      </c>
      <c r="H629" s="2" t="s">
        <v>68</v>
      </c>
      <c r="I629" s="4">
        <f t="shared" si="279"/>
        <v>3.3974670994692904</v>
      </c>
      <c r="J629" s="4">
        <f t="shared" si="280"/>
        <v>8.4118326757584114</v>
      </c>
      <c r="K629" s="4">
        <f t="shared" si="281"/>
        <v>6.0935697700451357</v>
      </c>
      <c r="L629" s="2">
        <v>1</v>
      </c>
      <c r="M629" s="2">
        <v>0</v>
      </c>
      <c r="N629" s="4">
        <f t="shared" si="282"/>
        <v>51.2</v>
      </c>
      <c r="O629" s="4">
        <f t="shared" si="283"/>
        <v>1</v>
      </c>
      <c r="P629" s="4">
        <f t="shared" si="284"/>
        <v>1</v>
      </c>
      <c r="Q629" s="4">
        <f t="shared" si="285"/>
        <v>8.4118326757584114</v>
      </c>
      <c r="R629" s="4">
        <f t="shared" si="286"/>
        <v>6.0935697700451357</v>
      </c>
      <c r="S629" s="4">
        <f t="shared" si="287"/>
        <v>51.2</v>
      </c>
      <c r="T629" s="4">
        <f t="shared" si="288"/>
        <v>1</v>
      </c>
      <c r="U629" s="4">
        <f t="shared" si="289"/>
        <v>8.4118326757584114</v>
      </c>
      <c r="V629" s="4">
        <f t="shared" si="290"/>
        <v>6.0935697700451357</v>
      </c>
      <c r="W629" s="4">
        <f t="shared" si="291"/>
        <v>51.2</v>
      </c>
      <c r="X629" s="4">
        <f t="shared" si="292"/>
        <v>1</v>
      </c>
      <c r="Y629" s="4">
        <f t="shared" si="293"/>
        <v>8.4118326757584114</v>
      </c>
      <c r="Z629" s="4">
        <f t="shared" si="294"/>
        <v>6.0935697700451357</v>
      </c>
      <c r="AA629" s="4">
        <f t="shared" si="295"/>
        <v>51.2</v>
      </c>
      <c r="AB629" s="4">
        <f t="shared" si="296"/>
        <v>1</v>
      </c>
      <c r="AC629" s="4">
        <f t="shared" si="297"/>
        <v>0</v>
      </c>
      <c r="AD629" s="4">
        <f t="shared" si="298"/>
        <v>0</v>
      </c>
      <c r="AE629" s="4">
        <f t="shared" si="299"/>
        <v>0</v>
      </c>
      <c r="AF629" s="4">
        <f t="shared" si="300"/>
        <v>0</v>
      </c>
      <c r="AG629" s="4">
        <f t="shared" si="301"/>
        <v>8.4118326757584114</v>
      </c>
      <c r="AH629" s="4">
        <f t="shared" si="302"/>
        <v>1</v>
      </c>
      <c r="AI629" s="4">
        <f t="shared" si="303"/>
        <v>0</v>
      </c>
      <c r="AJ629" s="4">
        <f t="shared" si="304"/>
        <v>8.4118326757584114</v>
      </c>
      <c r="AK629" s="4">
        <f t="shared" si="305"/>
        <v>6.0935697700451357</v>
      </c>
      <c r="AL629" s="4">
        <f t="shared" si="306"/>
        <v>0</v>
      </c>
      <c r="AM629" s="4">
        <f>CER!$C$7+CER!$C$8*J629+CER!$C$9*K629+CER!$C$10*L629+CER!$C$11*M629</f>
        <v>3.425245052580054</v>
      </c>
      <c r="AN629" s="4">
        <f t="shared" si="307"/>
        <v>30.730174437424402</v>
      </c>
      <c r="AO629" s="4">
        <f t="shared" si="308"/>
        <v>-2.7777953110763587E-2</v>
      </c>
      <c r="AP629" s="4">
        <f>Alternatives!$F$25+Alternatives!$F$26*J629+Alternatives!$F$27*K629+Alternatives!$F$28*G629+Alternatives!$F$29*O629</f>
        <v>4.1147100162370762</v>
      </c>
      <c r="AQ629" s="4">
        <f t="shared" si="309"/>
        <v>-0.71724291676778584</v>
      </c>
    </row>
    <row r="630" spans="1:43" x14ac:dyDescent="0.35">
      <c r="A630" s="2" t="s">
        <v>533</v>
      </c>
      <c r="B630" s="2" t="s">
        <v>505</v>
      </c>
      <c r="C630" s="2" t="s">
        <v>33</v>
      </c>
      <c r="D630" s="2">
        <v>21.0928</v>
      </c>
      <c r="E630" s="2">
        <v>6000</v>
      </c>
      <c r="F630" s="2">
        <v>603</v>
      </c>
      <c r="G630" s="2">
        <v>53.8</v>
      </c>
      <c r="H630" s="2" t="s">
        <v>68</v>
      </c>
      <c r="I630" s="4">
        <f t="shared" si="279"/>
        <v>3.0489317500215685</v>
      </c>
      <c r="J630" s="4">
        <f t="shared" si="280"/>
        <v>8.6995147482101913</v>
      </c>
      <c r="K630" s="4">
        <f t="shared" si="281"/>
        <v>6.4019171967271857</v>
      </c>
      <c r="L630" s="2">
        <v>1</v>
      </c>
      <c r="M630" s="2">
        <v>0</v>
      </c>
      <c r="N630" s="4">
        <f t="shared" si="282"/>
        <v>53.8</v>
      </c>
      <c r="O630" s="4">
        <f t="shared" si="283"/>
        <v>1</v>
      </c>
      <c r="P630" s="4">
        <f t="shared" si="284"/>
        <v>1</v>
      </c>
      <c r="Q630" s="4">
        <f t="shared" si="285"/>
        <v>8.6995147482101913</v>
      </c>
      <c r="R630" s="4">
        <f t="shared" si="286"/>
        <v>6.4019171967271857</v>
      </c>
      <c r="S630" s="4">
        <f t="shared" si="287"/>
        <v>53.8</v>
      </c>
      <c r="T630" s="4">
        <f t="shared" si="288"/>
        <v>1</v>
      </c>
      <c r="U630" s="4">
        <f t="shared" si="289"/>
        <v>8.6995147482101913</v>
      </c>
      <c r="V630" s="4">
        <f t="shared" si="290"/>
        <v>6.4019171967271857</v>
      </c>
      <c r="W630" s="4">
        <f t="shared" si="291"/>
        <v>53.8</v>
      </c>
      <c r="X630" s="4">
        <f t="shared" si="292"/>
        <v>1</v>
      </c>
      <c r="Y630" s="4">
        <f t="shared" si="293"/>
        <v>8.6995147482101913</v>
      </c>
      <c r="Z630" s="4">
        <f t="shared" si="294"/>
        <v>6.4019171967271857</v>
      </c>
      <c r="AA630" s="4">
        <f t="shared" si="295"/>
        <v>53.8</v>
      </c>
      <c r="AB630" s="4">
        <f t="shared" si="296"/>
        <v>1</v>
      </c>
      <c r="AC630" s="4">
        <f t="shared" si="297"/>
        <v>0</v>
      </c>
      <c r="AD630" s="4">
        <f t="shared" si="298"/>
        <v>0</v>
      </c>
      <c r="AE630" s="4">
        <f t="shared" si="299"/>
        <v>0</v>
      </c>
      <c r="AF630" s="4">
        <f t="shared" si="300"/>
        <v>0</v>
      </c>
      <c r="AG630" s="4">
        <f t="shared" si="301"/>
        <v>8.6995147482101913</v>
      </c>
      <c r="AH630" s="4">
        <f t="shared" si="302"/>
        <v>1</v>
      </c>
      <c r="AI630" s="4">
        <f t="shared" si="303"/>
        <v>0</v>
      </c>
      <c r="AJ630" s="4">
        <f t="shared" si="304"/>
        <v>8.6995147482101913</v>
      </c>
      <c r="AK630" s="4">
        <f t="shared" si="305"/>
        <v>6.4019171967271857</v>
      </c>
      <c r="AL630" s="4">
        <f t="shared" si="306"/>
        <v>0</v>
      </c>
      <c r="AM630" s="4">
        <f>CER!$C$7+CER!$C$8*J630+CER!$C$9*K630+CER!$C$10*L630+CER!$C$11*M630</f>
        <v>3.1812459100668908</v>
      </c>
      <c r="AN630" s="4">
        <f t="shared" si="307"/>
        <v>24.076732315934922</v>
      </c>
      <c r="AO630" s="4">
        <f t="shared" si="308"/>
        <v>-0.13231416004532237</v>
      </c>
      <c r="AP630" s="4">
        <f>Alternatives!$F$25+Alternatives!$F$26*J630+Alternatives!$F$27*K630+Alternatives!$F$28*G630+Alternatives!$F$29*O630</f>
        <v>4.1053037757713415</v>
      </c>
      <c r="AQ630" s="4">
        <f t="shared" si="309"/>
        <v>-1.0563720257497731</v>
      </c>
    </row>
    <row r="631" spans="1:43" x14ac:dyDescent="0.35">
      <c r="A631" s="2" t="s">
        <v>534</v>
      </c>
      <c r="B631" s="2" t="s">
        <v>505</v>
      </c>
      <c r="C631" s="2" t="s">
        <v>33</v>
      </c>
      <c r="D631" s="2">
        <v>21.0928</v>
      </c>
      <c r="E631" s="2">
        <v>6000</v>
      </c>
      <c r="F631" s="2">
        <v>603</v>
      </c>
      <c r="G631" s="2">
        <v>54.9</v>
      </c>
      <c r="H631" s="2" t="s">
        <v>68</v>
      </c>
      <c r="I631" s="4">
        <f t="shared" si="279"/>
        <v>3.0489317500215685</v>
      </c>
      <c r="J631" s="4">
        <f t="shared" si="280"/>
        <v>8.6995147482101913</v>
      </c>
      <c r="K631" s="4">
        <f t="shared" si="281"/>
        <v>6.4019171967271857</v>
      </c>
      <c r="L631" s="2">
        <v>1</v>
      </c>
      <c r="M631" s="2">
        <v>0</v>
      </c>
      <c r="N631" s="4">
        <f t="shared" si="282"/>
        <v>54.9</v>
      </c>
      <c r="O631" s="4">
        <f t="shared" si="283"/>
        <v>1</v>
      </c>
      <c r="P631" s="4">
        <f t="shared" si="284"/>
        <v>1</v>
      </c>
      <c r="Q631" s="4">
        <f t="shared" si="285"/>
        <v>8.6995147482101913</v>
      </c>
      <c r="R631" s="4">
        <f t="shared" si="286"/>
        <v>6.4019171967271857</v>
      </c>
      <c r="S631" s="4">
        <f t="shared" si="287"/>
        <v>54.9</v>
      </c>
      <c r="T631" s="4">
        <f t="shared" si="288"/>
        <v>1</v>
      </c>
      <c r="U631" s="4">
        <f t="shared" si="289"/>
        <v>8.6995147482101913</v>
      </c>
      <c r="V631" s="4">
        <f t="shared" si="290"/>
        <v>6.4019171967271857</v>
      </c>
      <c r="W631" s="4">
        <f t="shared" si="291"/>
        <v>54.9</v>
      </c>
      <c r="X631" s="4">
        <f t="shared" si="292"/>
        <v>1</v>
      </c>
      <c r="Y631" s="4">
        <f t="shared" si="293"/>
        <v>8.6995147482101913</v>
      </c>
      <c r="Z631" s="4">
        <f t="shared" si="294"/>
        <v>6.4019171967271857</v>
      </c>
      <c r="AA631" s="4">
        <f t="shared" si="295"/>
        <v>54.9</v>
      </c>
      <c r="AB631" s="4">
        <f t="shared" si="296"/>
        <v>1</v>
      </c>
      <c r="AC631" s="4">
        <f t="shared" si="297"/>
        <v>0</v>
      </c>
      <c r="AD631" s="4">
        <f t="shared" si="298"/>
        <v>0</v>
      </c>
      <c r="AE631" s="4">
        <f t="shared" si="299"/>
        <v>0</v>
      </c>
      <c r="AF631" s="4">
        <f t="shared" si="300"/>
        <v>0</v>
      </c>
      <c r="AG631" s="4">
        <f t="shared" si="301"/>
        <v>8.6995147482101913</v>
      </c>
      <c r="AH631" s="4">
        <f t="shared" si="302"/>
        <v>1</v>
      </c>
      <c r="AI631" s="4">
        <f t="shared" si="303"/>
        <v>0</v>
      </c>
      <c r="AJ631" s="4">
        <f t="shared" si="304"/>
        <v>8.6995147482101913</v>
      </c>
      <c r="AK631" s="4">
        <f t="shared" si="305"/>
        <v>6.4019171967271857</v>
      </c>
      <c r="AL631" s="4">
        <f t="shared" si="306"/>
        <v>0</v>
      </c>
      <c r="AM631" s="4">
        <f>CER!$C$7+CER!$C$8*J631+CER!$C$9*K631+CER!$C$10*L631+CER!$C$11*M631</f>
        <v>3.1812459100668908</v>
      </c>
      <c r="AN631" s="4">
        <f t="shared" si="307"/>
        <v>24.076732315934922</v>
      </c>
      <c r="AO631" s="4">
        <f t="shared" si="308"/>
        <v>-0.13231416004532237</v>
      </c>
      <c r="AP631" s="4">
        <f>Alternatives!$F$25+Alternatives!$F$26*J631+Alternatives!$F$27*K631+Alternatives!$F$28*G631+Alternatives!$F$29*O631</f>
        <v>4.0909957297748898</v>
      </c>
      <c r="AQ631" s="4">
        <f t="shared" si="309"/>
        <v>-1.0420639797533213</v>
      </c>
    </row>
    <row r="632" spans="1:43" x14ac:dyDescent="0.35">
      <c r="A632" s="2" t="s">
        <v>535</v>
      </c>
      <c r="B632" s="2" t="s">
        <v>505</v>
      </c>
      <c r="C632" s="2" t="s">
        <v>33</v>
      </c>
      <c r="D632" s="2">
        <v>20.244700000000002</v>
      </c>
      <c r="E632" s="2">
        <v>6500</v>
      </c>
      <c r="F632" s="2">
        <v>603</v>
      </c>
      <c r="G632" s="2">
        <v>58.1</v>
      </c>
      <c r="H632" s="2" t="s">
        <v>68</v>
      </c>
      <c r="I632" s="4">
        <f t="shared" si="279"/>
        <v>3.0078930309006329</v>
      </c>
      <c r="J632" s="4">
        <f t="shared" si="280"/>
        <v>8.7795574558837277</v>
      </c>
      <c r="K632" s="4">
        <f t="shared" si="281"/>
        <v>6.4019171967271857</v>
      </c>
      <c r="L632" s="2">
        <v>1</v>
      </c>
      <c r="M632" s="2">
        <v>0</v>
      </c>
      <c r="N632" s="4">
        <f t="shared" si="282"/>
        <v>58.1</v>
      </c>
      <c r="O632" s="4">
        <f t="shared" si="283"/>
        <v>1</v>
      </c>
      <c r="P632" s="4">
        <f t="shared" si="284"/>
        <v>1</v>
      </c>
      <c r="Q632" s="4">
        <f t="shared" si="285"/>
        <v>8.7795574558837277</v>
      </c>
      <c r="R632" s="4">
        <f t="shared" si="286"/>
        <v>6.4019171967271857</v>
      </c>
      <c r="S632" s="4">
        <f t="shared" si="287"/>
        <v>58.1</v>
      </c>
      <c r="T632" s="4">
        <f t="shared" si="288"/>
        <v>1</v>
      </c>
      <c r="U632" s="4">
        <f t="shared" si="289"/>
        <v>8.7795574558837277</v>
      </c>
      <c r="V632" s="4">
        <f t="shared" si="290"/>
        <v>6.4019171967271857</v>
      </c>
      <c r="W632" s="4">
        <f t="shared" si="291"/>
        <v>58.1</v>
      </c>
      <c r="X632" s="4">
        <f t="shared" si="292"/>
        <v>1</v>
      </c>
      <c r="Y632" s="4">
        <f t="shared" si="293"/>
        <v>8.7795574558837277</v>
      </c>
      <c r="Z632" s="4">
        <f t="shared" si="294"/>
        <v>6.4019171967271857</v>
      </c>
      <c r="AA632" s="4">
        <f t="shared" si="295"/>
        <v>58.1</v>
      </c>
      <c r="AB632" s="4">
        <f t="shared" si="296"/>
        <v>1</v>
      </c>
      <c r="AC632" s="4">
        <f t="shared" si="297"/>
        <v>0</v>
      </c>
      <c r="AD632" s="4">
        <f t="shared" si="298"/>
        <v>0</v>
      </c>
      <c r="AE632" s="4">
        <f t="shared" si="299"/>
        <v>0</v>
      </c>
      <c r="AF632" s="4">
        <f t="shared" si="300"/>
        <v>0</v>
      </c>
      <c r="AG632" s="4">
        <f t="shared" si="301"/>
        <v>8.7795574558837277</v>
      </c>
      <c r="AH632" s="4">
        <f t="shared" si="302"/>
        <v>1</v>
      </c>
      <c r="AI632" s="4">
        <f t="shared" si="303"/>
        <v>0</v>
      </c>
      <c r="AJ632" s="4">
        <f t="shared" si="304"/>
        <v>8.7795574558837277</v>
      </c>
      <c r="AK632" s="4">
        <f t="shared" si="305"/>
        <v>6.4019171967271857</v>
      </c>
      <c r="AL632" s="4">
        <f t="shared" si="306"/>
        <v>0</v>
      </c>
      <c r="AM632" s="4">
        <f>CER!$C$7+CER!$C$8*J632+CER!$C$9*K632+CER!$C$10*L632+CER!$C$11*M632</f>
        <v>3.1450098463435774</v>
      </c>
      <c r="AN632" s="4">
        <f t="shared" si="307"/>
        <v>23.219904103312402</v>
      </c>
      <c r="AO632" s="4">
        <f t="shared" si="308"/>
        <v>-0.13711681544294452</v>
      </c>
      <c r="AP632" s="4">
        <f>Alternatives!$F$25+Alternatives!$F$26*J632+Alternatives!$F$27*K632+Alternatives!$F$28*G632+Alternatives!$F$29*O632</f>
        <v>4.078995006998424</v>
      </c>
      <c r="AQ632" s="4">
        <f t="shared" si="309"/>
        <v>-1.0711019760977911</v>
      </c>
    </row>
    <row r="633" spans="1:43" x14ac:dyDescent="0.35">
      <c r="A633" s="2" t="s">
        <v>536</v>
      </c>
      <c r="B633" s="2" t="s">
        <v>505</v>
      </c>
      <c r="C633" s="2" t="s">
        <v>33</v>
      </c>
      <c r="D633" s="2">
        <v>19.851500000000001</v>
      </c>
      <c r="E633" s="2">
        <v>7000</v>
      </c>
      <c r="F633" s="2">
        <v>603</v>
      </c>
      <c r="G633" s="2">
        <v>57.8</v>
      </c>
      <c r="H633" s="2" t="s">
        <v>68</v>
      </c>
      <c r="I633" s="4">
        <f t="shared" si="279"/>
        <v>2.9882795710288059</v>
      </c>
      <c r="J633" s="4">
        <f t="shared" si="280"/>
        <v>8.8536654280374503</v>
      </c>
      <c r="K633" s="4">
        <f t="shared" si="281"/>
        <v>6.4019171967271857</v>
      </c>
      <c r="L633" s="2">
        <v>1</v>
      </c>
      <c r="M633" s="2">
        <v>0</v>
      </c>
      <c r="N633" s="4">
        <f t="shared" si="282"/>
        <v>57.8</v>
      </c>
      <c r="O633" s="4">
        <f t="shared" si="283"/>
        <v>1</v>
      </c>
      <c r="P633" s="4">
        <f t="shared" si="284"/>
        <v>1</v>
      </c>
      <c r="Q633" s="4">
        <f t="shared" si="285"/>
        <v>8.8536654280374503</v>
      </c>
      <c r="R633" s="4">
        <f t="shared" si="286"/>
        <v>6.4019171967271857</v>
      </c>
      <c r="S633" s="4">
        <f t="shared" si="287"/>
        <v>57.8</v>
      </c>
      <c r="T633" s="4">
        <f t="shared" si="288"/>
        <v>1</v>
      </c>
      <c r="U633" s="4">
        <f t="shared" si="289"/>
        <v>8.8536654280374503</v>
      </c>
      <c r="V633" s="4">
        <f t="shared" si="290"/>
        <v>6.4019171967271857</v>
      </c>
      <c r="W633" s="4">
        <f t="shared" si="291"/>
        <v>57.8</v>
      </c>
      <c r="X633" s="4">
        <f t="shared" si="292"/>
        <v>1</v>
      </c>
      <c r="Y633" s="4">
        <f t="shared" si="293"/>
        <v>8.8536654280374503</v>
      </c>
      <c r="Z633" s="4">
        <f t="shared" si="294"/>
        <v>6.4019171967271857</v>
      </c>
      <c r="AA633" s="4">
        <f t="shared" si="295"/>
        <v>57.8</v>
      </c>
      <c r="AB633" s="4">
        <f t="shared" si="296"/>
        <v>1</v>
      </c>
      <c r="AC633" s="4">
        <f t="shared" si="297"/>
        <v>0</v>
      </c>
      <c r="AD633" s="4">
        <f t="shared" si="298"/>
        <v>0</v>
      </c>
      <c r="AE633" s="4">
        <f t="shared" si="299"/>
        <v>0</v>
      </c>
      <c r="AF633" s="4">
        <f t="shared" si="300"/>
        <v>0</v>
      </c>
      <c r="AG633" s="4">
        <f t="shared" si="301"/>
        <v>8.8536654280374503</v>
      </c>
      <c r="AH633" s="4">
        <f t="shared" si="302"/>
        <v>1</v>
      </c>
      <c r="AI633" s="4">
        <f t="shared" si="303"/>
        <v>0</v>
      </c>
      <c r="AJ633" s="4">
        <f t="shared" si="304"/>
        <v>8.8536654280374503</v>
      </c>
      <c r="AK633" s="4">
        <f t="shared" si="305"/>
        <v>6.4019171967271857</v>
      </c>
      <c r="AL633" s="4">
        <f t="shared" si="306"/>
        <v>0</v>
      </c>
      <c r="AM633" s="4">
        <f>CER!$C$7+CER!$C$8*J633+CER!$C$9*K633+CER!$C$10*L633+CER!$C$11*M633</f>
        <v>3.1114604915126476</v>
      </c>
      <c r="AN633" s="4">
        <f t="shared" si="307"/>
        <v>22.453814069885247</v>
      </c>
      <c r="AO633" s="4">
        <f t="shared" si="308"/>
        <v>-0.12318092048384166</v>
      </c>
      <c r="AP633" s="4">
        <f>Alternatives!$F$25+Alternatives!$F$26*J633+Alternatives!$F$27*K633+Alternatives!$F$28*G633+Alternatives!$F$29*O633</f>
        <v>4.1103235227201775</v>
      </c>
      <c r="AQ633" s="4">
        <f t="shared" si="309"/>
        <v>-1.1220439516913716</v>
      </c>
    </row>
    <row r="634" spans="1:43" x14ac:dyDescent="0.35">
      <c r="A634" s="2" t="s">
        <v>537</v>
      </c>
      <c r="B634" s="2" t="s">
        <v>505</v>
      </c>
      <c r="C634" s="2" t="s">
        <v>33</v>
      </c>
      <c r="D634" s="2">
        <v>21.417400000000001</v>
      </c>
      <c r="E634" s="2">
        <v>6000</v>
      </c>
      <c r="F634" s="2">
        <v>603</v>
      </c>
      <c r="G634" s="2">
        <v>54.9</v>
      </c>
      <c r="H634" s="2" t="s">
        <v>68</v>
      </c>
      <c r="I634" s="4">
        <f t="shared" si="279"/>
        <v>3.0642036757661377</v>
      </c>
      <c r="J634" s="4">
        <f t="shared" si="280"/>
        <v>8.6995147482101913</v>
      </c>
      <c r="K634" s="4">
        <f t="shared" si="281"/>
        <v>6.4019171967271857</v>
      </c>
      <c r="L634" s="2">
        <v>1</v>
      </c>
      <c r="M634" s="2">
        <v>0</v>
      </c>
      <c r="N634" s="4">
        <f t="shared" si="282"/>
        <v>54.9</v>
      </c>
      <c r="O634" s="4">
        <f t="shared" si="283"/>
        <v>1</v>
      </c>
      <c r="P634" s="4">
        <f t="shared" si="284"/>
        <v>1</v>
      </c>
      <c r="Q634" s="4">
        <f t="shared" si="285"/>
        <v>8.6995147482101913</v>
      </c>
      <c r="R634" s="4">
        <f t="shared" si="286"/>
        <v>6.4019171967271857</v>
      </c>
      <c r="S634" s="4">
        <f t="shared" si="287"/>
        <v>54.9</v>
      </c>
      <c r="T634" s="4">
        <f t="shared" si="288"/>
        <v>1</v>
      </c>
      <c r="U634" s="4">
        <f t="shared" si="289"/>
        <v>8.6995147482101913</v>
      </c>
      <c r="V634" s="4">
        <f t="shared" si="290"/>
        <v>6.4019171967271857</v>
      </c>
      <c r="W634" s="4">
        <f t="shared" si="291"/>
        <v>54.9</v>
      </c>
      <c r="X634" s="4">
        <f t="shared" si="292"/>
        <v>1</v>
      </c>
      <c r="Y634" s="4">
        <f t="shared" si="293"/>
        <v>8.6995147482101913</v>
      </c>
      <c r="Z634" s="4">
        <f t="shared" si="294"/>
        <v>6.4019171967271857</v>
      </c>
      <c r="AA634" s="4">
        <f t="shared" si="295"/>
        <v>54.9</v>
      </c>
      <c r="AB634" s="4">
        <f t="shared" si="296"/>
        <v>1</v>
      </c>
      <c r="AC634" s="4">
        <f t="shared" si="297"/>
        <v>0</v>
      </c>
      <c r="AD634" s="4">
        <f t="shared" si="298"/>
        <v>0</v>
      </c>
      <c r="AE634" s="4">
        <f t="shared" si="299"/>
        <v>0</v>
      </c>
      <c r="AF634" s="4">
        <f t="shared" si="300"/>
        <v>0</v>
      </c>
      <c r="AG634" s="4">
        <f t="shared" si="301"/>
        <v>8.6995147482101913</v>
      </c>
      <c r="AH634" s="4">
        <f t="shared" si="302"/>
        <v>1</v>
      </c>
      <c r="AI634" s="4">
        <f t="shared" si="303"/>
        <v>0</v>
      </c>
      <c r="AJ634" s="4">
        <f t="shared" si="304"/>
        <v>8.6995147482101913</v>
      </c>
      <c r="AK634" s="4">
        <f t="shared" si="305"/>
        <v>6.4019171967271857</v>
      </c>
      <c r="AL634" s="4">
        <f t="shared" si="306"/>
        <v>0</v>
      </c>
      <c r="AM634" s="4">
        <f>CER!$C$7+CER!$C$8*J634+CER!$C$9*K634+CER!$C$10*L634+CER!$C$11*M634</f>
        <v>3.1812459100668908</v>
      </c>
      <c r="AN634" s="4">
        <f t="shared" si="307"/>
        <v>24.076732315934922</v>
      </c>
      <c r="AO634" s="4">
        <f t="shared" si="308"/>
        <v>-0.11704223430075311</v>
      </c>
      <c r="AP634" s="4">
        <f>Alternatives!$F$25+Alternatives!$F$26*J634+Alternatives!$F$27*K634+Alternatives!$F$28*G634+Alternatives!$F$29*O634</f>
        <v>4.0909957297748898</v>
      </c>
      <c r="AQ634" s="4">
        <f t="shared" si="309"/>
        <v>-1.0267920540087521</v>
      </c>
    </row>
    <row r="635" spans="1:43" x14ac:dyDescent="0.35">
      <c r="A635" s="2" t="s">
        <v>538</v>
      </c>
      <c r="B635" s="2" t="s">
        <v>505</v>
      </c>
      <c r="C635" s="2" t="s">
        <v>33</v>
      </c>
      <c r="D635" s="2">
        <v>20.6097</v>
      </c>
      <c r="E635" s="2">
        <v>6500</v>
      </c>
      <c r="F635" s="2">
        <v>603</v>
      </c>
      <c r="G635" s="2">
        <v>57.8</v>
      </c>
      <c r="H635" s="2" t="s">
        <v>68</v>
      </c>
      <c r="I635" s="4">
        <f t="shared" si="279"/>
        <v>3.0257618387556704</v>
      </c>
      <c r="J635" s="4">
        <f t="shared" si="280"/>
        <v>8.7795574558837277</v>
      </c>
      <c r="K635" s="4">
        <f t="shared" si="281"/>
        <v>6.4019171967271857</v>
      </c>
      <c r="L635" s="2">
        <v>1</v>
      </c>
      <c r="M635" s="2">
        <v>0</v>
      </c>
      <c r="N635" s="4">
        <f t="shared" si="282"/>
        <v>57.8</v>
      </c>
      <c r="O635" s="4">
        <f t="shared" si="283"/>
        <v>1</v>
      </c>
      <c r="P635" s="4">
        <f t="shared" si="284"/>
        <v>1</v>
      </c>
      <c r="Q635" s="4">
        <f t="shared" si="285"/>
        <v>8.7795574558837277</v>
      </c>
      <c r="R635" s="4">
        <f t="shared" si="286"/>
        <v>6.4019171967271857</v>
      </c>
      <c r="S635" s="4">
        <f t="shared" si="287"/>
        <v>57.8</v>
      </c>
      <c r="T635" s="4">
        <f t="shared" si="288"/>
        <v>1</v>
      </c>
      <c r="U635" s="4">
        <f t="shared" si="289"/>
        <v>8.7795574558837277</v>
      </c>
      <c r="V635" s="4">
        <f t="shared" si="290"/>
        <v>6.4019171967271857</v>
      </c>
      <c r="W635" s="4">
        <f t="shared" si="291"/>
        <v>57.8</v>
      </c>
      <c r="X635" s="4">
        <f t="shared" si="292"/>
        <v>1</v>
      </c>
      <c r="Y635" s="4">
        <f t="shared" si="293"/>
        <v>8.7795574558837277</v>
      </c>
      <c r="Z635" s="4">
        <f t="shared" si="294"/>
        <v>6.4019171967271857</v>
      </c>
      <c r="AA635" s="4">
        <f t="shared" si="295"/>
        <v>57.8</v>
      </c>
      <c r="AB635" s="4">
        <f t="shared" si="296"/>
        <v>1</v>
      </c>
      <c r="AC635" s="4">
        <f t="shared" si="297"/>
        <v>0</v>
      </c>
      <c r="AD635" s="4">
        <f t="shared" si="298"/>
        <v>0</v>
      </c>
      <c r="AE635" s="4">
        <f t="shared" si="299"/>
        <v>0</v>
      </c>
      <c r="AF635" s="4">
        <f t="shared" si="300"/>
        <v>0</v>
      </c>
      <c r="AG635" s="4">
        <f t="shared" si="301"/>
        <v>8.7795574558837277</v>
      </c>
      <c r="AH635" s="4">
        <f t="shared" si="302"/>
        <v>1</v>
      </c>
      <c r="AI635" s="4">
        <f t="shared" si="303"/>
        <v>0</v>
      </c>
      <c r="AJ635" s="4">
        <f t="shared" si="304"/>
        <v>8.7795574558837277</v>
      </c>
      <c r="AK635" s="4">
        <f t="shared" si="305"/>
        <v>6.4019171967271857</v>
      </c>
      <c r="AL635" s="4">
        <f t="shared" si="306"/>
        <v>0</v>
      </c>
      <c r="AM635" s="4">
        <f>CER!$C$7+CER!$C$8*J635+CER!$C$9*K635+CER!$C$10*L635+CER!$C$11*M635</f>
        <v>3.1450098463435774</v>
      </c>
      <c r="AN635" s="4">
        <f t="shared" si="307"/>
        <v>23.219904103312402</v>
      </c>
      <c r="AO635" s="4">
        <f t="shared" si="308"/>
        <v>-0.11924800758790699</v>
      </c>
      <c r="AP635" s="4">
        <f>Alternatives!$F$25+Alternatives!$F$26*J635+Alternatives!$F$27*K635+Alternatives!$F$28*G635+Alternatives!$F$29*O635</f>
        <v>4.0828972013610922</v>
      </c>
      <c r="AQ635" s="4">
        <f t="shared" si="309"/>
        <v>-1.0571353626054218</v>
      </c>
    </row>
    <row r="636" spans="1:43" x14ac:dyDescent="0.35">
      <c r="A636" s="2" t="s">
        <v>539</v>
      </c>
      <c r="B636" s="2" t="s">
        <v>505</v>
      </c>
      <c r="C636" s="2" t="s">
        <v>33</v>
      </c>
      <c r="D636" s="2">
        <v>31.618500000000001</v>
      </c>
      <c r="E636" s="2">
        <v>6000</v>
      </c>
      <c r="F636" s="2">
        <v>248</v>
      </c>
      <c r="G636" s="2">
        <v>53.7</v>
      </c>
      <c r="H636" s="2" t="s">
        <v>68</v>
      </c>
      <c r="I636" s="4">
        <f t="shared" si="279"/>
        <v>3.4537423923259221</v>
      </c>
      <c r="J636" s="4">
        <f t="shared" si="280"/>
        <v>8.6995147482101913</v>
      </c>
      <c r="K636" s="4">
        <f t="shared" si="281"/>
        <v>5.5134287461649825</v>
      </c>
      <c r="L636" s="2">
        <v>1</v>
      </c>
      <c r="M636" s="2">
        <v>0</v>
      </c>
      <c r="N636" s="4">
        <f t="shared" si="282"/>
        <v>53.7</v>
      </c>
      <c r="O636" s="4">
        <f t="shared" si="283"/>
        <v>1</v>
      </c>
      <c r="P636" s="4">
        <f t="shared" si="284"/>
        <v>1</v>
      </c>
      <c r="Q636" s="4">
        <f t="shared" si="285"/>
        <v>8.6995147482101913</v>
      </c>
      <c r="R636" s="4">
        <f t="shared" si="286"/>
        <v>5.5134287461649825</v>
      </c>
      <c r="S636" s="4">
        <f t="shared" si="287"/>
        <v>53.7</v>
      </c>
      <c r="T636" s="4">
        <f t="shared" si="288"/>
        <v>1</v>
      </c>
      <c r="U636" s="4">
        <f t="shared" si="289"/>
        <v>8.6995147482101913</v>
      </c>
      <c r="V636" s="4">
        <f t="shared" si="290"/>
        <v>5.5134287461649825</v>
      </c>
      <c r="W636" s="4">
        <f t="shared" si="291"/>
        <v>53.7</v>
      </c>
      <c r="X636" s="4">
        <f t="shared" si="292"/>
        <v>1</v>
      </c>
      <c r="Y636" s="4">
        <f t="shared" si="293"/>
        <v>8.6995147482101913</v>
      </c>
      <c r="Z636" s="4">
        <f t="shared" si="294"/>
        <v>5.5134287461649825</v>
      </c>
      <c r="AA636" s="4">
        <f t="shared" si="295"/>
        <v>53.7</v>
      </c>
      <c r="AB636" s="4">
        <f t="shared" si="296"/>
        <v>1</v>
      </c>
      <c r="AC636" s="4">
        <f t="shared" si="297"/>
        <v>0</v>
      </c>
      <c r="AD636" s="4">
        <f t="shared" si="298"/>
        <v>0</v>
      </c>
      <c r="AE636" s="4">
        <f t="shared" si="299"/>
        <v>0</v>
      </c>
      <c r="AF636" s="4">
        <f t="shared" si="300"/>
        <v>0</v>
      </c>
      <c r="AG636" s="4">
        <f t="shared" si="301"/>
        <v>8.6995147482101913</v>
      </c>
      <c r="AH636" s="4">
        <f t="shared" si="302"/>
        <v>1</v>
      </c>
      <c r="AI636" s="4">
        <f t="shared" si="303"/>
        <v>0</v>
      </c>
      <c r="AJ636" s="4">
        <f t="shared" si="304"/>
        <v>8.6995147482101913</v>
      </c>
      <c r="AK636" s="4">
        <f t="shared" si="305"/>
        <v>5.5134287461649825</v>
      </c>
      <c r="AL636" s="4">
        <f t="shared" si="306"/>
        <v>0</v>
      </c>
      <c r="AM636" s="4">
        <f>CER!$C$7+CER!$C$8*J636+CER!$C$9*K636+CER!$C$10*L636+CER!$C$11*M636</f>
        <v>3.5090481387455972</v>
      </c>
      <c r="AN636" s="4">
        <f t="shared" si="307"/>
        <v>33.416444821739589</v>
      </c>
      <c r="AO636" s="4">
        <f t="shared" si="308"/>
        <v>-5.5305746419675117E-2</v>
      </c>
      <c r="AP636" s="4">
        <f>Alternatives!$F$25+Alternatives!$F$26*J636+Alternatives!$F$27*K636+Alternatives!$F$28*G636+Alternatives!$F$29*O636</f>
        <v>4.3430401402928487</v>
      </c>
      <c r="AQ636" s="4">
        <f t="shared" si="309"/>
        <v>-0.88929774796692662</v>
      </c>
    </row>
    <row r="637" spans="1:43" x14ac:dyDescent="0.35">
      <c r="A637" s="2" t="s">
        <v>540</v>
      </c>
      <c r="B637" s="2" t="s">
        <v>505</v>
      </c>
      <c r="C637" s="2" t="s">
        <v>33</v>
      </c>
      <c r="D637" s="2">
        <v>28.5944</v>
      </c>
      <c r="E637" s="2">
        <v>5500</v>
      </c>
      <c r="F637" s="2">
        <v>362</v>
      </c>
      <c r="G637" s="2">
        <v>54.7</v>
      </c>
      <c r="H637" s="2" t="s">
        <v>68</v>
      </c>
      <c r="I637" s="4">
        <f t="shared" si="279"/>
        <v>3.3532108944578587</v>
      </c>
      <c r="J637" s="4">
        <f t="shared" si="280"/>
        <v>8.6125033712205621</v>
      </c>
      <c r="K637" s="4">
        <f t="shared" si="281"/>
        <v>5.8916442118257715</v>
      </c>
      <c r="L637" s="2">
        <v>1</v>
      </c>
      <c r="M637" s="2">
        <v>0</v>
      </c>
      <c r="N637" s="4">
        <f t="shared" si="282"/>
        <v>54.7</v>
      </c>
      <c r="O637" s="4">
        <f t="shared" si="283"/>
        <v>1</v>
      </c>
      <c r="P637" s="4">
        <f t="shared" si="284"/>
        <v>1</v>
      </c>
      <c r="Q637" s="4">
        <f t="shared" si="285"/>
        <v>8.6125033712205621</v>
      </c>
      <c r="R637" s="4">
        <f t="shared" si="286"/>
        <v>5.8916442118257715</v>
      </c>
      <c r="S637" s="4">
        <f t="shared" si="287"/>
        <v>54.7</v>
      </c>
      <c r="T637" s="4">
        <f t="shared" si="288"/>
        <v>1</v>
      </c>
      <c r="U637" s="4">
        <f t="shared" si="289"/>
        <v>8.6125033712205621</v>
      </c>
      <c r="V637" s="4">
        <f t="shared" si="290"/>
        <v>5.8916442118257715</v>
      </c>
      <c r="W637" s="4">
        <f t="shared" si="291"/>
        <v>54.7</v>
      </c>
      <c r="X637" s="4">
        <f t="shared" si="292"/>
        <v>1</v>
      </c>
      <c r="Y637" s="4">
        <f t="shared" si="293"/>
        <v>8.6125033712205621</v>
      </c>
      <c r="Z637" s="4">
        <f t="shared" si="294"/>
        <v>5.8916442118257715</v>
      </c>
      <c r="AA637" s="4">
        <f t="shared" si="295"/>
        <v>54.7</v>
      </c>
      <c r="AB637" s="4">
        <f t="shared" si="296"/>
        <v>1</v>
      </c>
      <c r="AC637" s="4">
        <f t="shared" si="297"/>
        <v>0</v>
      </c>
      <c r="AD637" s="4">
        <f t="shared" si="298"/>
        <v>0</v>
      </c>
      <c r="AE637" s="4">
        <f t="shared" si="299"/>
        <v>0</v>
      </c>
      <c r="AF637" s="4">
        <f t="shared" si="300"/>
        <v>0</v>
      </c>
      <c r="AG637" s="4">
        <f t="shared" si="301"/>
        <v>8.6125033712205621</v>
      </c>
      <c r="AH637" s="4">
        <f t="shared" si="302"/>
        <v>1</v>
      </c>
      <c r="AI637" s="4">
        <f t="shared" si="303"/>
        <v>0</v>
      </c>
      <c r="AJ637" s="4">
        <f t="shared" si="304"/>
        <v>8.6125033712205621</v>
      </c>
      <c r="AK637" s="4">
        <f t="shared" si="305"/>
        <v>5.8916442118257715</v>
      </c>
      <c r="AL637" s="4">
        <f t="shared" si="306"/>
        <v>0</v>
      </c>
      <c r="AM637" s="4">
        <f>CER!$C$7+CER!$C$8*J637+CER!$C$9*K637+CER!$C$10*L637+CER!$C$11*M637</f>
        <v>3.4088987640769819</v>
      </c>
      <c r="AN637" s="4">
        <f t="shared" si="307"/>
        <v>30.231933430110026</v>
      </c>
      <c r="AO637" s="4">
        <f t="shared" si="308"/>
        <v>-5.5687869619123198E-2</v>
      </c>
      <c r="AP637" s="4">
        <f>Alternatives!$F$25+Alternatives!$F$26*J637+Alternatives!$F$27*K637+Alternatives!$F$28*G637+Alternatives!$F$29*O637</f>
        <v>4.1971842297621329</v>
      </c>
      <c r="AQ637" s="4">
        <f t="shared" si="309"/>
        <v>-0.84397333530427421</v>
      </c>
    </row>
    <row r="638" spans="1:43" x14ac:dyDescent="0.35">
      <c r="A638" s="2" t="s">
        <v>541</v>
      </c>
      <c r="B638" s="2" t="s">
        <v>505</v>
      </c>
      <c r="C638" s="2" t="s">
        <v>33</v>
      </c>
      <c r="D638" s="2">
        <v>30.352900000000002</v>
      </c>
      <c r="E638" s="2">
        <v>5500</v>
      </c>
      <c r="F638" s="2">
        <v>255</v>
      </c>
      <c r="G638" s="2">
        <v>52.5</v>
      </c>
      <c r="H638" s="2" t="s">
        <v>68</v>
      </c>
      <c r="I638" s="4">
        <f t="shared" si="279"/>
        <v>3.4128920648352792</v>
      </c>
      <c r="J638" s="4">
        <f t="shared" si="280"/>
        <v>8.6125033712205621</v>
      </c>
      <c r="K638" s="4">
        <f t="shared" si="281"/>
        <v>5.5412635451584258</v>
      </c>
      <c r="L638" s="2">
        <v>1</v>
      </c>
      <c r="M638" s="2">
        <v>0</v>
      </c>
      <c r="N638" s="4">
        <f t="shared" si="282"/>
        <v>52.5</v>
      </c>
      <c r="O638" s="4">
        <f t="shared" si="283"/>
        <v>1</v>
      </c>
      <c r="P638" s="4">
        <f t="shared" si="284"/>
        <v>1</v>
      </c>
      <c r="Q638" s="4">
        <f t="shared" si="285"/>
        <v>8.6125033712205621</v>
      </c>
      <c r="R638" s="4">
        <f t="shared" si="286"/>
        <v>5.5412635451584258</v>
      </c>
      <c r="S638" s="4">
        <f t="shared" si="287"/>
        <v>52.5</v>
      </c>
      <c r="T638" s="4">
        <f t="shared" si="288"/>
        <v>1</v>
      </c>
      <c r="U638" s="4">
        <f t="shared" si="289"/>
        <v>8.6125033712205621</v>
      </c>
      <c r="V638" s="4">
        <f t="shared" si="290"/>
        <v>5.5412635451584258</v>
      </c>
      <c r="W638" s="4">
        <f t="shared" si="291"/>
        <v>52.5</v>
      </c>
      <c r="X638" s="4">
        <f t="shared" si="292"/>
        <v>1</v>
      </c>
      <c r="Y638" s="4">
        <f t="shared" si="293"/>
        <v>8.6125033712205621</v>
      </c>
      <c r="Z638" s="4">
        <f t="shared" si="294"/>
        <v>5.5412635451584258</v>
      </c>
      <c r="AA638" s="4">
        <f t="shared" si="295"/>
        <v>52.5</v>
      </c>
      <c r="AB638" s="4">
        <f t="shared" si="296"/>
        <v>1</v>
      </c>
      <c r="AC638" s="4">
        <f t="shared" si="297"/>
        <v>0</v>
      </c>
      <c r="AD638" s="4">
        <f t="shared" si="298"/>
        <v>0</v>
      </c>
      <c r="AE638" s="4">
        <f t="shared" si="299"/>
        <v>0</v>
      </c>
      <c r="AF638" s="4">
        <f t="shared" si="300"/>
        <v>0</v>
      </c>
      <c r="AG638" s="4">
        <f t="shared" si="301"/>
        <v>8.6125033712205621</v>
      </c>
      <c r="AH638" s="4">
        <f t="shared" si="302"/>
        <v>1</v>
      </c>
      <c r="AI638" s="4">
        <f t="shared" si="303"/>
        <v>0</v>
      </c>
      <c r="AJ638" s="4">
        <f t="shared" si="304"/>
        <v>8.6125033712205621</v>
      </c>
      <c r="AK638" s="4">
        <f t="shared" si="305"/>
        <v>5.5412635451584258</v>
      </c>
      <c r="AL638" s="4">
        <f t="shared" si="306"/>
        <v>0</v>
      </c>
      <c r="AM638" s="4">
        <f>CER!$C$7+CER!$C$8*J638+CER!$C$9*K638+CER!$C$10*L638+CER!$C$11*M638</f>
        <v>3.5381695085045659</v>
      </c>
      <c r="AN638" s="4">
        <f t="shared" si="307"/>
        <v>34.403885497325255</v>
      </c>
      <c r="AO638" s="4">
        <f t="shared" si="308"/>
        <v>-0.12527744366928673</v>
      </c>
      <c r="AP638" s="4">
        <f>Alternatives!$F$25+Alternatives!$F$26*J638+Alternatives!$F$27*K638+Alternatives!$F$28*G638+Alternatives!$F$29*O638</f>
        <v>4.3190401097180775</v>
      </c>
      <c r="AQ638" s="4">
        <f t="shared" si="309"/>
        <v>-0.90614804488279832</v>
      </c>
    </row>
    <row r="639" spans="1:43" x14ac:dyDescent="0.35">
      <c r="A639" s="2" t="s">
        <v>542</v>
      </c>
      <c r="B639" s="2" t="s">
        <v>505</v>
      </c>
      <c r="C639" s="2" t="s">
        <v>33</v>
      </c>
      <c r="D639" s="2">
        <v>27.257899999999999</v>
      </c>
      <c r="E639" s="2">
        <v>6000</v>
      </c>
      <c r="F639" s="2">
        <v>375</v>
      </c>
      <c r="G639" s="2">
        <v>56.9</v>
      </c>
      <c r="H639" s="2" t="s">
        <v>68</v>
      </c>
      <c r="I639" s="4">
        <f t="shared" si="279"/>
        <v>3.3053433873508551</v>
      </c>
      <c r="J639" s="4">
        <f t="shared" si="280"/>
        <v>8.6995147482101913</v>
      </c>
      <c r="K639" s="4">
        <f t="shared" si="281"/>
        <v>5.9269260259704106</v>
      </c>
      <c r="L639" s="2">
        <v>1</v>
      </c>
      <c r="M639" s="2">
        <v>0</v>
      </c>
      <c r="N639" s="4">
        <f t="shared" si="282"/>
        <v>56.9</v>
      </c>
      <c r="O639" s="4">
        <f t="shared" si="283"/>
        <v>1</v>
      </c>
      <c r="P639" s="4">
        <f t="shared" si="284"/>
        <v>1</v>
      </c>
      <c r="Q639" s="4">
        <f t="shared" si="285"/>
        <v>8.6995147482101913</v>
      </c>
      <c r="R639" s="4">
        <f t="shared" si="286"/>
        <v>5.9269260259704106</v>
      </c>
      <c r="S639" s="4">
        <f t="shared" si="287"/>
        <v>56.9</v>
      </c>
      <c r="T639" s="4">
        <f t="shared" si="288"/>
        <v>1</v>
      </c>
      <c r="U639" s="4">
        <f t="shared" si="289"/>
        <v>8.6995147482101913</v>
      </c>
      <c r="V639" s="4">
        <f t="shared" si="290"/>
        <v>5.9269260259704106</v>
      </c>
      <c r="W639" s="4">
        <f t="shared" si="291"/>
        <v>56.9</v>
      </c>
      <c r="X639" s="4">
        <f t="shared" si="292"/>
        <v>1</v>
      </c>
      <c r="Y639" s="4">
        <f t="shared" si="293"/>
        <v>8.6995147482101913</v>
      </c>
      <c r="Z639" s="4">
        <f t="shared" si="294"/>
        <v>5.9269260259704106</v>
      </c>
      <c r="AA639" s="4">
        <f t="shared" si="295"/>
        <v>56.9</v>
      </c>
      <c r="AB639" s="4">
        <f t="shared" si="296"/>
        <v>1</v>
      </c>
      <c r="AC639" s="4">
        <f t="shared" si="297"/>
        <v>0</v>
      </c>
      <c r="AD639" s="4">
        <f t="shared" si="298"/>
        <v>0</v>
      </c>
      <c r="AE639" s="4">
        <f t="shared" si="299"/>
        <v>0</v>
      </c>
      <c r="AF639" s="4">
        <f t="shared" si="300"/>
        <v>0</v>
      </c>
      <c r="AG639" s="4">
        <f t="shared" si="301"/>
        <v>8.6995147482101913</v>
      </c>
      <c r="AH639" s="4">
        <f t="shared" si="302"/>
        <v>1</v>
      </c>
      <c r="AI639" s="4">
        <f t="shared" si="303"/>
        <v>0</v>
      </c>
      <c r="AJ639" s="4">
        <f t="shared" si="304"/>
        <v>8.6995147482101913</v>
      </c>
      <c r="AK639" s="4">
        <f t="shared" si="305"/>
        <v>5.9269260259704106</v>
      </c>
      <c r="AL639" s="4">
        <f t="shared" si="306"/>
        <v>0</v>
      </c>
      <c r="AM639" s="4">
        <f>CER!$C$7+CER!$C$8*J639+CER!$C$9*K639+CER!$C$10*L639+CER!$C$11*M639</f>
        <v>3.3564909166601171</v>
      </c>
      <c r="AN639" s="4">
        <f t="shared" si="307"/>
        <v>28.688344252251564</v>
      </c>
      <c r="AO639" s="4">
        <f t="shared" si="308"/>
        <v>-5.114752930926203E-2</v>
      </c>
      <c r="AP639" s="4">
        <f>Alternatives!$F$25+Alternatives!$F$26*J639+Alternatives!$F$27*K639+Alternatives!$F$28*G639+Alternatives!$F$29*O639</f>
        <v>4.1913809858979301</v>
      </c>
      <c r="AQ639" s="4">
        <f t="shared" si="309"/>
        <v>-0.88603759854707498</v>
      </c>
    </row>
    <row r="640" spans="1:43" x14ac:dyDescent="0.35">
      <c r="A640" s="2" t="s">
        <v>543</v>
      </c>
      <c r="B640" s="2" t="s">
        <v>505</v>
      </c>
      <c r="C640" s="2" t="s">
        <v>33</v>
      </c>
      <c r="D640" s="2">
        <v>27.637499999999999</v>
      </c>
      <c r="E640" s="2">
        <v>5000</v>
      </c>
      <c r="F640" s="2">
        <v>429</v>
      </c>
      <c r="G640" s="2">
        <v>53.1</v>
      </c>
      <c r="H640" s="2" t="s">
        <v>68</v>
      </c>
      <c r="I640" s="4">
        <f t="shared" si="279"/>
        <v>3.3191735461835647</v>
      </c>
      <c r="J640" s="4">
        <f t="shared" si="280"/>
        <v>8.5171931914162382</v>
      </c>
      <c r="K640" s="4">
        <f t="shared" si="281"/>
        <v>6.061456918928017</v>
      </c>
      <c r="L640" s="2">
        <v>1</v>
      </c>
      <c r="M640" s="2">
        <v>0</v>
      </c>
      <c r="N640" s="4">
        <f t="shared" si="282"/>
        <v>53.1</v>
      </c>
      <c r="O640" s="4">
        <f t="shared" si="283"/>
        <v>1</v>
      </c>
      <c r="P640" s="4">
        <f t="shared" si="284"/>
        <v>1</v>
      </c>
      <c r="Q640" s="4">
        <f t="shared" si="285"/>
        <v>8.5171931914162382</v>
      </c>
      <c r="R640" s="4">
        <f t="shared" si="286"/>
        <v>6.061456918928017</v>
      </c>
      <c r="S640" s="4">
        <f t="shared" si="287"/>
        <v>53.1</v>
      </c>
      <c r="T640" s="4">
        <f t="shared" si="288"/>
        <v>1</v>
      </c>
      <c r="U640" s="4">
        <f t="shared" si="289"/>
        <v>8.5171931914162382</v>
      </c>
      <c r="V640" s="4">
        <f t="shared" si="290"/>
        <v>6.061456918928017</v>
      </c>
      <c r="W640" s="4">
        <f t="shared" si="291"/>
        <v>53.1</v>
      </c>
      <c r="X640" s="4">
        <f t="shared" si="292"/>
        <v>1</v>
      </c>
      <c r="Y640" s="4">
        <f t="shared" si="293"/>
        <v>8.5171931914162382</v>
      </c>
      <c r="Z640" s="4">
        <f t="shared" si="294"/>
        <v>6.061456918928017</v>
      </c>
      <c r="AA640" s="4">
        <f t="shared" si="295"/>
        <v>53.1</v>
      </c>
      <c r="AB640" s="4">
        <f t="shared" si="296"/>
        <v>1</v>
      </c>
      <c r="AC640" s="4">
        <f t="shared" si="297"/>
        <v>0</v>
      </c>
      <c r="AD640" s="4">
        <f t="shared" si="298"/>
        <v>0</v>
      </c>
      <c r="AE640" s="4">
        <f t="shared" si="299"/>
        <v>0</v>
      </c>
      <c r="AF640" s="4">
        <f t="shared" si="300"/>
        <v>0</v>
      </c>
      <c r="AG640" s="4">
        <f t="shared" si="301"/>
        <v>8.5171931914162382</v>
      </c>
      <c r="AH640" s="4">
        <f t="shared" si="302"/>
        <v>1</v>
      </c>
      <c r="AI640" s="4">
        <f t="shared" si="303"/>
        <v>0</v>
      </c>
      <c r="AJ640" s="4">
        <f t="shared" si="304"/>
        <v>8.5171931914162382</v>
      </c>
      <c r="AK640" s="4">
        <f t="shared" si="305"/>
        <v>6.061456918928017</v>
      </c>
      <c r="AL640" s="4">
        <f t="shared" si="306"/>
        <v>0</v>
      </c>
      <c r="AM640" s="4">
        <f>CER!$C$7+CER!$C$8*J640+CER!$C$9*K640+CER!$C$10*L640+CER!$C$11*M640</f>
        <v>3.3893952208473497</v>
      </c>
      <c r="AN640" s="4">
        <f t="shared" si="307"/>
        <v>29.648016345075746</v>
      </c>
      <c r="AO640" s="4">
        <f t="shared" si="308"/>
        <v>-7.0221674663784928E-2</v>
      </c>
      <c r="AP640" s="4">
        <f>Alternatives!$F$25+Alternatives!$F$26*J640+Alternatives!$F$27*K640+Alternatives!$F$28*G640+Alternatives!$F$29*O640</f>
        <v>4.1375341178768394</v>
      </c>
      <c r="AQ640" s="4">
        <f t="shared" si="309"/>
        <v>-0.8183605716932747</v>
      </c>
    </row>
    <row r="641" spans="1:43" x14ac:dyDescent="0.35">
      <c r="A641" s="2" t="s">
        <v>544</v>
      </c>
      <c r="B641" s="2" t="s">
        <v>505</v>
      </c>
      <c r="C641" s="2" t="s">
        <v>33</v>
      </c>
      <c r="D641" s="2">
        <v>26.320900000000002</v>
      </c>
      <c r="E641" s="2">
        <v>5500</v>
      </c>
      <c r="F641" s="2">
        <v>429</v>
      </c>
      <c r="G641" s="2">
        <v>54.9</v>
      </c>
      <c r="H641" s="2" t="s">
        <v>68</v>
      </c>
      <c r="I641" s="4">
        <f t="shared" si="279"/>
        <v>3.2703633004013724</v>
      </c>
      <c r="J641" s="4">
        <f t="shared" si="280"/>
        <v>8.6125033712205621</v>
      </c>
      <c r="K641" s="4">
        <f t="shared" si="281"/>
        <v>6.061456918928017</v>
      </c>
      <c r="L641" s="2">
        <v>1</v>
      </c>
      <c r="M641" s="2">
        <v>0</v>
      </c>
      <c r="N641" s="4">
        <f t="shared" si="282"/>
        <v>54.9</v>
      </c>
      <c r="O641" s="4">
        <f t="shared" si="283"/>
        <v>1</v>
      </c>
      <c r="P641" s="4">
        <f t="shared" si="284"/>
        <v>1</v>
      </c>
      <c r="Q641" s="4">
        <f t="shared" si="285"/>
        <v>8.6125033712205621</v>
      </c>
      <c r="R641" s="4">
        <f t="shared" si="286"/>
        <v>6.061456918928017</v>
      </c>
      <c r="S641" s="4">
        <f t="shared" si="287"/>
        <v>54.9</v>
      </c>
      <c r="T641" s="4">
        <f t="shared" si="288"/>
        <v>1</v>
      </c>
      <c r="U641" s="4">
        <f t="shared" si="289"/>
        <v>8.6125033712205621</v>
      </c>
      <c r="V641" s="4">
        <f t="shared" si="290"/>
        <v>6.061456918928017</v>
      </c>
      <c r="W641" s="4">
        <f t="shared" si="291"/>
        <v>54.9</v>
      </c>
      <c r="X641" s="4">
        <f t="shared" si="292"/>
        <v>1</v>
      </c>
      <c r="Y641" s="4">
        <f t="shared" si="293"/>
        <v>8.6125033712205621</v>
      </c>
      <c r="Z641" s="4">
        <f t="shared" si="294"/>
        <v>6.061456918928017</v>
      </c>
      <c r="AA641" s="4">
        <f t="shared" si="295"/>
        <v>54.9</v>
      </c>
      <c r="AB641" s="4">
        <f t="shared" si="296"/>
        <v>1</v>
      </c>
      <c r="AC641" s="4">
        <f t="shared" si="297"/>
        <v>0</v>
      </c>
      <c r="AD641" s="4">
        <f t="shared" si="298"/>
        <v>0</v>
      </c>
      <c r="AE641" s="4">
        <f t="shared" si="299"/>
        <v>0</v>
      </c>
      <c r="AF641" s="4">
        <f t="shared" si="300"/>
        <v>0</v>
      </c>
      <c r="AG641" s="4">
        <f t="shared" si="301"/>
        <v>8.6125033712205621</v>
      </c>
      <c r="AH641" s="4">
        <f t="shared" si="302"/>
        <v>1</v>
      </c>
      <c r="AI641" s="4">
        <f t="shared" si="303"/>
        <v>0</v>
      </c>
      <c r="AJ641" s="4">
        <f t="shared" si="304"/>
        <v>8.6125033712205621</v>
      </c>
      <c r="AK641" s="4">
        <f t="shared" si="305"/>
        <v>6.061456918928017</v>
      </c>
      <c r="AL641" s="4">
        <f t="shared" si="306"/>
        <v>0</v>
      </c>
      <c r="AM641" s="4">
        <f>CER!$C$7+CER!$C$8*J641+CER!$C$9*K641+CER!$C$10*L641+CER!$C$11*M641</f>
        <v>3.3462474332568037</v>
      </c>
      <c r="AN641" s="4">
        <f t="shared" si="307"/>
        <v>28.395975666900572</v>
      </c>
      <c r="AO641" s="4">
        <f t="shared" si="308"/>
        <v>-7.5884132855431385E-2</v>
      </c>
      <c r="AP641" s="4">
        <f>Alternatives!$F$25+Alternatives!$F$26*J641+Alternatives!$F$27*K641+Alternatives!$F$28*G641+Alternatives!$F$29*O641</f>
        <v>4.1493939128160422</v>
      </c>
      <c r="AQ641" s="4">
        <f t="shared" si="309"/>
        <v>-0.87903061241466984</v>
      </c>
    </row>
    <row r="642" spans="1:43" x14ac:dyDescent="0.35">
      <c r="A642" s="2" t="s">
        <v>545</v>
      </c>
      <c r="B642" s="2" t="s">
        <v>505</v>
      </c>
      <c r="C642" s="2" t="s">
        <v>33</v>
      </c>
      <c r="D642" s="2">
        <v>25.4313</v>
      </c>
      <c r="E642" s="2">
        <v>5500</v>
      </c>
      <c r="F642" s="2">
        <v>429</v>
      </c>
      <c r="G642" s="2">
        <v>53.8</v>
      </c>
      <c r="H642" s="2" t="s">
        <v>68</v>
      </c>
      <c r="I642" s="4">
        <f t="shared" ref="I642:I705" si="310">LN(D642)</f>
        <v>3.2359806988509634</v>
      </c>
      <c r="J642" s="4">
        <f t="shared" ref="J642:J705" si="311">LN(E642)</f>
        <v>8.6125033712205621</v>
      </c>
      <c r="K642" s="4">
        <f t="shared" ref="K642:K705" si="312">LN(F642)</f>
        <v>6.061456918928017</v>
      </c>
      <c r="L642" s="2">
        <v>1</v>
      </c>
      <c r="M642" s="2">
        <v>0</v>
      </c>
      <c r="N642" s="4">
        <f t="shared" ref="N642:N705" si="313">G642</f>
        <v>53.8</v>
      </c>
      <c r="O642" s="4">
        <f t="shared" ref="O642:O705" si="314">L642+M642</f>
        <v>1</v>
      </c>
      <c r="P642" s="4">
        <f t="shared" ref="P642:P705" si="315">L642+2*M642</f>
        <v>1</v>
      </c>
      <c r="Q642" s="4">
        <f t="shared" ref="Q642:Q705" si="316">J642</f>
        <v>8.6125033712205621</v>
      </c>
      <c r="R642" s="4">
        <f t="shared" ref="R642:R705" si="317">K642</f>
        <v>6.061456918928017</v>
      </c>
      <c r="S642" s="4">
        <f t="shared" ref="S642:S705" si="318">G642</f>
        <v>53.8</v>
      </c>
      <c r="T642" s="4">
        <f t="shared" ref="T642:T705" si="319">O642</f>
        <v>1</v>
      </c>
      <c r="U642" s="4">
        <f t="shared" ref="U642:U705" si="320">J642</f>
        <v>8.6125033712205621</v>
      </c>
      <c r="V642" s="4">
        <f t="shared" ref="V642:V705" si="321">K642</f>
        <v>6.061456918928017</v>
      </c>
      <c r="W642" s="4">
        <f t="shared" ref="W642:W705" si="322">G642</f>
        <v>53.8</v>
      </c>
      <c r="X642" s="4">
        <f t="shared" ref="X642:X705" si="323">P642</f>
        <v>1</v>
      </c>
      <c r="Y642" s="4">
        <f t="shared" ref="Y642:Y705" si="324">J642</f>
        <v>8.6125033712205621</v>
      </c>
      <c r="Z642" s="4">
        <f t="shared" ref="Z642:Z705" si="325">K642</f>
        <v>6.061456918928017</v>
      </c>
      <c r="AA642" s="4">
        <f t="shared" ref="AA642:AA705" si="326">G642</f>
        <v>53.8</v>
      </c>
      <c r="AB642" s="4">
        <f t="shared" ref="AB642:AB705" si="327">L642</f>
        <v>1</v>
      </c>
      <c r="AC642" s="4">
        <f t="shared" ref="AC642:AC705" si="328">M642</f>
        <v>0</v>
      </c>
      <c r="AD642" s="4">
        <f t="shared" ref="AD642:AD705" si="329">M642*J642</f>
        <v>0</v>
      </c>
      <c r="AE642" s="4">
        <f t="shared" ref="AE642:AE705" si="330">M642*K642</f>
        <v>0</v>
      </c>
      <c r="AF642" s="4">
        <f t="shared" ref="AF642:AF705" si="331">M642*G642</f>
        <v>0</v>
      </c>
      <c r="AG642" s="4">
        <f t="shared" ref="AG642:AG705" si="332">J642</f>
        <v>8.6125033712205621</v>
      </c>
      <c r="AH642" s="4">
        <f t="shared" ref="AH642:AH705" si="333">L642</f>
        <v>1</v>
      </c>
      <c r="AI642" s="4">
        <f t="shared" ref="AI642:AI705" si="334">M642</f>
        <v>0</v>
      </c>
      <c r="AJ642" s="4">
        <f t="shared" ref="AJ642:AJ705" si="335">J642</f>
        <v>8.6125033712205621</v>
      </c>
      <c r="AK642" s="4">
        <f t="shared" ref="AK642:AK705" si="336">K642</f>
        <v>6.061456918928017</v>
      </c>
      <c r="AL642" s="4">
        <f t="shared" ref="AL642:AL705" si="337">M642</f>
        <v>0</v>
      </c>
      <c r="AM642" s="4">
        <f>CER!$C$7+CER!$C$8*J642+CER!$C$9*K642+CER!$C$10*L642+CER!$C$11*M642</f>
        <v>3.3462474332568037</v>
      </c>
      <c r="AN642" s="4">
        <f t="shared" ref="AN642:AN705" si="338">EXP(AM642)</f>
        <v>28.395975666900572</v>
      </c>
      <c r="AO642" s="4">
        <f t="shared" ref="AO642:AO705" si="339">I642-AM642</f>
        <v>-0.11026673440584034</v>
      </c>
      <c r="AP642" s="4">
        <f>Alternatives!$F$25+Alternatives!$F$26*J642+Alternatives!$F$27*K642+Alternatives!$F$28*G642+Alternatives!$F$29*O642</f>
        <v>4.1637019588124939</v>
      </c>
      <c r="AQ642" s="4">
        <f t="shared" ref="AQ642:AQ705" si="340">I642-AP642</f>
        <v>-0.92772125996153054</v>
      </c>
    </row>
    <row r="643" spans="1:43" x14ac:dyDescent="0.35">
      <c r="A643" s="2" t="s">
        <v>546</v>
      </c>
      <c r="B643" s="2" t="s">
        <v>505</v>
      </c>
      <c r="C643" s="2" t="s">
        <v>67</v>
      </c>
      <c r="D643" s="2">
        <v>18.4024</v>
      </c>
      <c r="E643" s="2">
        <v>6000</v>
      </c>
      <c r="F643" s="2">
        <v>416</v>
      </c>
      <c r="G643" s="2">
        <v>51</v>
      </c>
      <c r="H643" s="2" t="s">
        <v>68</v>
      </c>
      <c r="I643" s="4">
        <f t="shared" si="310"/>
        <v>2.9124810908916721</v>
      </c>
      <c r="J643" s="4">
        <f t="shared" si="311"/>
        <v>8.6995147482101913</v>
      </c>
      <c r="K643" s="4">
        <f t="shared" si="312"/>
        <v>6.0306852602612633</v>
      </c>
      <c r="L643" s="2">
        <v>0</v>
      </c>
      <c r="M643" s="2">
        <v>0</v>
      </c>
      <c r="N643" s="4">
        <f t="shared" si="313"/>
        <v>51</v>
      </c>
      <c r="O643" s="4">
        <f t="shared" si="314"/>
        <v>0</v>
      </c>
      <c r="P643" s="4">
        <f t="shared" si="315"/>
        <v>0</v>
      </c>
      <c r="Q643" s="4">
        <f t="shared" si="316"/>
        <v>8.6995147482101913</v>
      </c>
      <c r="R643" s="4">
        <f t="shared" si="317"/>
        <v>6.0306852602612633</v>
      </c>
      <c r="S643" s="4">
        <f t="shared" si="318"/>
        <v>51</v>
      </c>
      <c r="T643" s="4">
        <f t="shared" si="319"/>
        <v>0</v>
      </c>
      <c r="U643" s="4">
        <f t="shared" si="320"/>
        <v>8.6995147482101913</v>
      </c>
      <c r="V643" s="4">
        <f t="shared" si="321"/>
        <v>6.0306852602612633</v>
      </c>
      <c r="W643" s="4">
        <f t="shared" si="322"/>
        <v>51</v>
      </c>
      <c r="X643" s="4">
        <f t="shared" si="323"/>
        <v>0</v>
      </c>
      <c r="Y643" s="4">
        <f t="shared" si="324"/>
        <v>8.6995147482101913</v>
      </c>
      <c r="Z643" s="4">
        <f t="shared" si="325"/>
        <v>6.0306852602612633</v>
      </c>
      <c r="AA643" s="4">
        <f t="shared" si="326"/>
        <v>51</v>
      </c>
      <c r="AB643" s="4">
        <f t="shared" si="327"/>
        <v>0</v>
      </c>
      <c r="AC643" s="4">
        <f t="shared" si="328"/>
        <v>0</v>
      </c>
      <c r="AD643" s="4">
        <f t="shared" si="329"/>
        <v>0</v>
      </c>
      <c r="AE643" s="4">
        <f t="shared" si="330"/>
        <v>0</v>
      </c>
      <c r="AF643" s="4">
        <f t="shared" si="331"/>
        <v>0</v>
      </c>
      <c r="AG643" s="4">
        <f t="shared" si="332"/>
        <v>8.6995147482101913</v>
      </c>
      <c r="AH643" s="4">
        <f t="shared" si="333"/>
        <v>0</v>
      </c>
      <c r="AI643" s="4">
        <f t="shared" si="334"/>
        <v>0</v>
      </c>
      <c r="AJ643" s="4">
        <f t="shared" si="335"/>
        <v>8.6995147482101913</v>
      </c>
      <c r="AK643" s="4">
        <f t="shared" si="336"/>
        <v>6.0306852602612633</v>
      </c>
      <c r="AL643" s="4">
        <f t="shared" si="337"/>
        <v>0</v>
      </c>
      <c r="AM643" s="4">
        <f>CER!$C$7+CER!$C$8*J643+CER!$C$9*K643+CER!$C$10*L643+CER!$C$11*M643</f>
        <v>3.0944560294435872</v>
      </c>
      <c r="AN643" s="4">
        <f t="shared" si="338"/>
        <v>22.075226997367015</v>
      </c>
      <c r="AO643" s="4">
        <f t="shared" si="339"/>
        <v>-0.18197493855191516</v>
      </c>
      <c r="AP643" s="4">
        <f>Alternatives!$F$25+Alternatives!$F$26*J643+Alternatives!$F$27*K643+Alternatives!$F$28*G643+Alternatives!$F$29*O643</f>
        <v>3.3957728462811021</v>
      </c>
      <c r="AQ643" s="4">
        <f t="shared" si="340"/>
        <v>-0.48329175538943003</v>
      </c>
    </row>
    <row r="644" spans="1:43" x14ac:dyDescent="0.35">
      <c r="A644" s="2" t="s">
        <v>547</v>
      </c>
      <c r="B644" s="2" t="s">
        <v>505</v>
      </c>
      <c r="C644" s="2" t="s">
        <v>67</v>
      </c>
      <c r="D644" s="2">
        <v>18.215299999999999</v>
      </c>
      <c r="E644" s="2">
        <v>6000</v>
      </c>
      <c r="F644" s="2">
        <v>577</v>
      </c>
      <c r="G644" s="2">
        <v>51.4</v>
      </c>
      <c r="H644" s="2" t="s">
        <v>68</v>
      </c>
      <c r="I644" s="4">
        <f t="shared" si="310"/>
        <v>2.9022619002672543</v>
      </c>
      <c r="J644" s="4">
        <f t="shared" si="311"/>
        <v>8.6995147482101913</v>
      </c>
      <c r="K644" s="4">
        <f t="shared" si="312"/>
        <v>6.3578422665080998</v>
      </c>
      <c r="L644" s="2">
        <v>0</v>
      </c>
      <c r="M644" s="2">
        <v>0</v>
      </c>
      <c r="N644" s="4">
        <f t="shared" si="313"/>
        <v>51.4</v>
      </c>
      <c r="O644" s="4">
        <f t="shared" si="314"/>
        <v>0</v>
      </c>
      <c r="P644" s="4">
        <f t="shared" si="315"/>
        <v>0</v>
      </c>
      <c r="Q644" s="4">
        <f t="shared" si="316"/>
        <v>8.6995147482101913</v>
      </c>
      <c r="R644" s="4">
        <f t="shared" si="317"/>
        <v>6.3578422665080998</v>
      </c>
      <c r="S644" s="4">
        <f t="shared" si="318"/>
        <v>51.4</v>
      </c>
      <c r="T644" s="4">
        <f t="shared" si="319"/>
        <v>0</v>
      </c>
      <c r="U644" s="4">
        <f t="shared" si="320"/>
        <v>8.6995147482101913</v>
      </c>
      <c r="V644" s="4">
        <f t="shared" si="321"/>
        <v>6.3578422665080998</v>
      </c>
      <c r="W644" s="4">
        <f t="shared" si="322"/>
        <v>51.4</v>
      </c>
      <c r="X644" s="4">
        <f t="shared" si="323"/>
        <v>0</v>
      </c>
      <c r="Y644" s="4">
        <f t="shared" si="324"/>
        <v>8.6995147482101913</v>
      </c>
      <c r="Z644" s="4">
        <f t="shared" si="325"/>
        <v>6.3578422665080998</v>
      </c>
      <c r="AA644" s="4">
        <f t="shared" si="326"/>
        <v>51.4</v>
      </c>
      <c r="AB644" s="4">
        <f t="shared" si="327"/>
        <v>0</v>
      </c>
      <c r="AC644" s="4">
        <f t="shared" si="328"/>
        <v>0</v>
      </c>
      <c r="AD644" s="4">
        <f t="shared" si="329"/>
        <v>0</v>
      </c>
      <c r="AE644" s="4">
        <f t="shared" si="330"/>
        <v>0</v>
      </c>
      <c r="AF644" s="4">
        <f t="shared" si="331"/>
        <v>0</v>
      </c>
      <c r="AG644" s="4">
        <f t="shared" si="332"/>
        <v>8.6995147482101913</v>
      </c>
      <c r="AH644" s="4">
        <f t="shared" si="333"/>
        <v>0</v>
      </c>
      <c r="AI644" s="4">
        <f t="shared" si="334"/>
        <v>0</v>
      </c>
      <c r="AJ644" s="4">
        <f t="shared" si="335"/>
        <v>8.6995147482101913</v>
      </c>
      <c r="AK644" s="4">
        <f t="shared" si="336"/>
        <v>6.3578422665080998</v>
      </c>
      <c r="AL644" s="4">
        <f t="shared" si="337"/>
        <v>0</v>
      </c>
      <c r="AM644" s="4">
        <f>CER!$C$7+CER!$C$8*J644+CER!$C$9*K644+CER!$C$10*L644+CER!$C$11*M644</f>
        <v>2.9737535085411411</v>
      </c>
      <c r="AN644" s="4">
        <f t="shared" si="338"/>
        <v>19.56522016381178</v>
      </c>
      <c r="AO644" s="4">
        <f t="shared" si="339"/>
        <v>-7.1491608273886786E-2</v>
      </c>
      <c r="AP644" s="4">
        <f>Alternatives!$F$25+Alternatives!$F$26*J644+Alternatives!$F$27*K644+Alternatives!$F$28*G644+Alternatives!$F$29*O644</f>
        <v>3.3035101800304179</v>
      </c>
      <c r="AQ644" s="4">
        <f t="shared" si="340"/>
        <v>-0.40124827976316357</v>
      </c>
    </row>
    <row r="645" spans="1:43" x14ac:dyDescent="0.35">
      <c r="A645" s="2" t="s">
        <v>548</v>
      </c>
      <c r="B645" s="2" t="s">
        <v>505</v>
      </c>
      <c r="C645" s="2" t="s">
        <v>67</v>
      </c>
      <c r="D645" s="2">
        <v>13.686999999999999</v>
      </c>
      <c r="E645" s="2">
        <v>7000</v>
      </c>
      <c r="F645" s="2">
        <v>577</v>
      </c>
      <c r="G645" s="2">
        <v>51.4</v>
      </c>
      <c r="H645" s="2" t="s">
        <v>68</v>
      </c>
      <c r="I645" s="4">
        <f t="shared" si="310"/>
        <v>2.6164464772291294</v>
      </c>
      <c r="J645" s="4">
        <f t="shared" si="311"/>
        <v>8.8536654280374503</v>
      </c>
      <c r="K645" s="4">
        <f t="shared" si="312"/>
        <v>6.3578422665080998</v>
      </c>
      <c r="L645" s="2">
        <v>0</v>
      </c>
      <c r="M645" s="2">
        <v>0</v>
      </c>
      <c r="N645" s="4">
        <f t="shared" si="313"/>
        <v>51.4</v>
      </c>
      <c r="O645" s="4">
        <f t="shared" si="314"/>
        <v>0</v>
      </c>
      <c r="P645" s="4">
        <f t="shared" si="315"/>
        <v>0</v>
      </c>
      <c r="Q645" s="4">
        <f t="shared" si="316"/>
        <v>8.8536654280374503</v>
      </c>
      <c r="R645" s="4">
        <f t="shared" si="317"/>
        <v>6.3578422665080998</v>
      </c>
      <c r="S645" s="4">
        <f t="shared" si="318"/>
        <v>51.4</v>
      </c>
      <c r="T645" s="4">
        <f t="shared" si="319"/>
        <v>0</v>
      </c>
      <c r="U645" s="4">
        <f t="shared" si="320"/>
        <v>8.8536654280374503</v>
      </c>
      <c r="V645" s="4">
        <f t="shared" si="321"/>
        <v>6.3578422665080998</v>
      </c>
      <c r="W645" s="4">
        <f t="shared" si="322"/>
        <v>51.4</v>
      </c>
      <c r="X645" s="4">
        <f t="shared" si="323"/>
        <v>0</v>
      </c>
      <c r="Y645" s="4">
        <f t="shared" si="324"/>
        <v>8.8536654280374503</v>
      </c>
      <c r="Z645" s="4">
        <f t="shared" si="325"/>
        <v>6.3578422665080998</v>
      </c>
      <c r="AA645" s="4">
        <f t="shared" si="326"/>
        <v>51.4</v>
      </c>
      <c r="AB645" s="4">
        <f t="shared" si="327"/>
        <v>0</v>
      </c>
      <c r="AC645" s="4">
        <f t="shared" si="328"/>
        <v>0</v>
      </c>
      <c r="AD645" s="4">
        <f t="shared" si="329"/>
        <v>0</v>
      </c>
      <c r="AE645" s="4">
        <f t="shared" si="330"/>
        <v>0</v>
      </c>
      <c r="AF645" s="4">
        <f t="shared" si="331"/>
        <v>0</v>
      </c>
      <c r="AG645" s="4">
        <f t="shared" si="332"/>
        <v>8.8536654280374503</v>
      </c>
      <c r="AH645" s="4">
        <f t="shared" si="333"/>
        <v>0</v>
      </c>
      <c r="AI645" s="4">
        <f t="shared" si="334"/>
        <v>0</v>
      </c>
      <c r="AJ645" s="4">
        <f t="shared" si="335"/>
        <v>8.8536654280374503</v>
      </c>
      <c r="AK645" s="4">
        <f t="shared" si="336"/>
        <v>6.3578422665080998</v>
      </c>
      <c r="AL645" s="4">
        <f t="shared" si="337"/>
        <v>0</v>
      </c>
      <c r="AM645" s="4">
        <f>CER!$C$7+CER!$C$8*J645+CER!$C$9*K645+CER!$C$10*L645+CER!$C$11*M645</f>
        <v>2.9039680899868978</v>
      </c>
      <c r="AN645" s="4">
        <f t="shared" si="338"/>
        <v>18.246405285813825</v>
      </c>
      <c r="AO645" s="4">
        <f t="shared" si="339"/>
        <v>-0.28752161275776844</v>
      </c>
      <c r="AP645" s="4">
        <f>Alternatives!$F$25+Alternatives!$F$26*J645+Alternatives!$F$27*K645+Alternatives!$F$28*G645+Alternatives!$F$29*O645</f>
        <v>3.3605591851481673</v>
      </c>
      <c r="AQ645" s="4">
        <f t="shared" si="340"/>
        <v>-0.74411270791903794</v>
      </c>
    </row>
    <row r="646" spans="1:43" x14ac:dyDescent="0.35">
      <c r="A646" s="2" t="s">
        <v>549</v>
      </c>
      <c r="B646" s="2" t="s">
        <v>505</v>
      </c>
      <c r="C646" s="2" t="s">
        <v>33</v>
      </c>
      <c r="D646" s="2">
        <v>36.754100000000001</v>
      </c>
      <c r="E646" s="2">
        <v>4000</v>
      </c>
      <c r="F646" s="2">
        <v>221</v>
      </c>
      <c r="G646" s="2">
        <v>46.5</v>
      </c>
      <c r="H646" s="2" t="s">
        <v>68</v>
      </c>
      <c r="I646" s="4">
        <f t="shared" si="310"/>
        <v>3.6042497840618259</v>
      </c>
      <c r="J646" s="4">
        <f t="shared" si="311"/>
        <v>8.2940496401020276</v>
      </c>
      <c r="K646" s="4">
        <f t="shared" si="312"/>
        <v>5.3981627015177525</v>
      </c>
      <c r="L646" s="2">
        <v>1</v>
      </c>
      <c r="M646" s="2">
        <v>0</v>
      </c>
      <c r="N646" s="4">
        <f t="shared" si="313"/>
        <v>46.5</v>
      </c>
      <c r="O646" s="4">
        <f t="shared" si="314"/>
        <v>1</v>
      </c>
      <c r="P646" s="4">
        <f t="shared" si="315"/>
        <v>1</v>
      </c>
      <c r="Q646" s="4">
        <f t="shared" si="316"/>
        <v>8.2940496401020276</v>
      </c>
      <c r="R646" s="4">
        <f t="shared" si="317"/>
        <v>5.3981627015177525</v>
      </c>
      <c r="S646" s="4">
        <f t="shared" si="318"/>
        <v>46.5</v>
      </c>
      <c r="T646" s="4">
        <f t="shared" si="319"/>
        <v>1</v>
      </c>
      <c r="U646" s="4">
        <f t="shared" si="320"/>
        <v>8.2940496401020276</v>
      </c>
      <c r="V646" s="4">
        <f t="shared" si="321"/>
        <v>5.3981627015177525</v>
      </c>
      <c r="W646" s="4">
        <f t="shared" si="322"/>
        <v>46.5</v>
      </c>
      <c r="X646" s="4">
        <f t="shared" si="323"/>
        <v>1</v>
      </c>
      <c r="Y646" s="4">
        <f t="shared" si="324"/>
        <v>8.2940496401020276</v>
      </c>
      <c r="Z646" s="4">
        <f t="shared" si="325"/>
        <v>5.3981627015177525</v>
      </c>
      <c r="AA646" s="4">
        <f t="shared" si="326"/>
        <v>46.5</v>
      </c>
      <c r="AB646" s="4">
        <f t="shared" si="327"/>
        <v>1</v>
      </c>
      <c r="AC646" s="4">
        <f t="shared" si="328"/>
        <v>0</v>
      </c>
      <c r="AD646" s="4">
        <f t="shared" si="329"/>
        <v>0</v>
      </c>
      <c r="AE646" s="4">
        <f t="shared" si="330"/>
        <v>0</v>
      </c>
      <c r="AF646" s="4">
        <f t="shared" si="331"/>
        <v>0</v>
      </c>
      <c r="AG646" s="4">
        <f t="shared" si="332"/>
        <v>8.2940496401020276</v>
      </c>
      <c r="AH646" s="4">
        <f t="shared" si="333"/>
        <v>1</v>
      </c>
      <c r="AI646" s="4">
        <f t="shared" si="334"/>
        <v>0</v>
      </c>
      <c r="AJ646" s="4">
        <f t="shared" si="335"/>
        <v>8.2940496401020276</v>
      </c>
      <c r="AK646" s="4">
        <f t="shared" si="336"/>
        <v>5.3981627015177525</v>
      </c>
      <c r="AL646" s="4">
        <f t="shared" si="337"/>
        <v>0</v>
      </c>
      <c r="AM646" s="4">
        <f>CER!$C$7+CER!$C$8*J646+CER!$C$9*K646+CER!$C$10*L646+CER!$C$11*M646</f>
        <v>3.7351325734709837</v>
      </c>
      <c r="AN646" s="4">
        <f t="shared" si="338"/>
        <v>41.89357917216676</v>
      </c>
      <c r="AO646" s="4">
        <f t="shared" si="339"/>
        <v>-0.13088278940915776</v>
      </c>
      <c r="AP646" s="4">
        <f>Alternatives!$F$25+Alternatives!$F$26*J646+Alternatives!$F$27*K646+Alternatives!$F$28*G646+Alternatives!$F$29*O646</f>
        <v>4.3173092973217875</v>
      </c>
      <c r="AQ646" s="4">
        <f t="shared" si="340"/>
        <v>-0.71305951325996153</v>
      </c>
    </row>
    <row r="647" spans="1:43" x14ac:dyDescent="0.35">
      <c r="A647" s="2" t="s">
        <v>550</v>
      </c>
      <c r="B647" s="2" t="s">
        <v>505</v>
      </c>
      <c r="C647" s="2" t="s">
        <v>33</v>
      </c>
      <c r="D647" s="2">
        <v>38.386400000000002</v>
      </c>
      <c r="E647" s="2">
        <v>4000</v>
      </c>
      <c r="F647" s="2">
        <v>221</v>
      </c>
      <c r="G647" s="2">
        <v>46.6</v>
      </c>
      <c r="H647" s="2" t="s">
        <v>68</v>
      </c>
      <c r="I647" s="4">
        <f t="shared" si="310"/>
        <v>3.6477032301951886</v>
      </c>
      <c r="J647" s="4">
        <f t="shared" si="311"/>
        <v>8.2940496401020276</v>
      </c>
      <c r="K647" s="4">
        <f t="shared" si="312"/>
        <v>5.3981627015177525</v>
      </c>
      <c r="L647" s="2">
        <v>1</v>
      </c>
      <c r="M647" s="2">
        <v>0</v>
      </c>
      <c r="N647" s="4">
        <f t="shared" si="313"/>
        <v>46.6</v>
      </c>
      <c r="O647" s="4">
        <f t="shared" si="314"/>
        <v>1</v>
      </c>
      <c r="P647" s="4">
        <f t="shared" si="315"/>
        <v>1</v>
      </c>
      <c r="Q647" s="4">
        <f t="shared" si="316"/>
        <v>8.2940496401020276</v>
      </c>
      <c r="R647" s="4">
        <f t="shared" si="317"/>
        <v>5.3981627015177525</v>
      </c>
      <c r="S647" s="4">
        <f t="shared" si="318"/>
        <v>46.6</v>
      </c>
      <c r="T647" s="4">
        <f t="shared" si="319"/>
        <v>1</v>
      </c>
      <c r="U647" s="4">
        <f t="shared" si="320"/>
        <v>8.2940496401020276</v>
      </c>
      <c r="V647" s="4">
        <f t="shared" si="321"/>
        <v>5.3981627015177525</v>
      </c>
      <c r="W647" s="4">
        <f t="shared" si="322"/>
        <v>46.6</v>
      </c>
      <c r="X647" s="4">
        <f t="shared" si="323"/>
        <v>1</v>
      </c>
      <c r="Y647" s="4">
        <f t="shared" si="324"/>
        <v>8.2940496401020276</v>
      </c>
      <c r="Z647" s="4">
        <f t="shared" si="325"/>
        <v>5.3981627015177525</v>
      </c>
      <c r="AA647" s="4">
        <f t="shared" si="326"/>
        <v>46.6</v>
      </c>
      <c r="AB647" s="4">
        <f t="shared" si="327"/>
        <v>1</v>
      </c>
      <c r="AC647" s="4">
        <f t="shared" si="328"/>
        <v>0</v>
      </c>
      <c r="AD647" s="4">
        <f t="shared" si="329"/>
        <v>0</v>
      </c>
      <c r="AE647" s="4">
        <f t="shared" si="330"/>
        <v>0</v>
      </c>
      <c r="AF647" s="4">
        <f t="shared" si="331"/>
        <v>0</v>
      </c>
      <c r="AG647" s="4">
        <f t="shared" si="332"/>
        <v>8.2940496401020276</v>
      </c>
      <c r="AH647" s="4">
        <f t="shared" si="333"/>
        <v>1</v>
      </c>
      <c r="AI647" s="4">
        <f t="shared" si="334"/>
        <v>0</v>
      </c>
      <c r="AJ647" s="4">
        <f t="shared" si="335"/>
        <v>8.2940496401020276</v>
      </c>
      <c r="AK647" s="4">
        <f t="shared" si="336"/>
        <v>5.3981627015177525</v>
      </c>
      <c r="AL647" s="4">
        <f t="shared" si="337"/>
        <v>0</v>
      </c>
      <c r="AM647" s="4">
        <f>CER!$C$7+CER!$C$8*J647+CER!$C$9*K647+CER!$C$10*L647+CER!$C$11*M647</f>
        <v>3.7351325734709837</v>
      </c>
      <c r="AN647" s="4">
        <f t="shared" si="338"/>
        <v>41.89357917216676</v>
      </c>
      <c r="AO647" s="4">
        <f t="shared" si="339"/>
        <v>-8.7429343275795102E-2</v>
      </c>
      <c r="AP647" s="4">
        <f>Alternatives!$F$25+Alternatives!$F$26*J647+Alternatives!$F$27*K647+Alternatives!$F$28*G647+Alternatives!$F$29*O647</f>
        <v>4.3160085658675644</v>
      </c>
      <c r="AQ647" s="4">
        <f t="shared" si="340"/>
        <v>-0.66830533567237582</v>
      </c>
    </row>
    <row r="648" spans="1:43" x14ac:dyDescent="0.35">
      <c r="A648" s="2" t="s">
        <v>551</v>
      </c>
      <c r="B648" s="2" t="s">
        <v>505</v>
      </c>
      <c r="C648" s="2" t="s">
        <v>33</v>
      </c>
      <c r="D648" s="2">
        <v>32.382599999999996</v>
      </c>
      <c r="E648" s="2">
        <v>5000</v>
      </c>
      <c r="F648" s="2">
        <v>443</v>
      </c>
      <c r="G648" s="2">
        <v>57.8</v>
      </c>
      <c r="H648" s="2" t="s">
        <v>68</v>
      </c>
      <c r="I648" s="4">
        <f t="shared" si="310"/>
        <v>3.4776212415052075</v>
      </c>
      <c r="J648" s="4">
        <f t="shared" si="311"/>
        <v>8.5171931914162382</v>
      </c>
      <c r="K648" s="4">
        <f t="shared" si="312"/>
        <v>6.0935697700451357</v>
      </c>
      <c r="L648" s="2">
        <v>1</v>
      </c>
      <c r="M648" s="2">
        <v>0</v>
      </c>
      <c r="N648" s="4">
        <f t="shared" si="313"/>
        <v>57.8</v>
      </c>
      <c r="O648" s="4">
        <f t="shared" si="314"/>
        <v>1</v>
      </c>
      <c r="P648" s="4">
        <f t="shared" si="315"/>
        <v>1</v>
      </c>
      <c r="Q648" s="4">
        <f t="shared" si="316"/>
        <v>8.5171931914162382</v>
      </c>
      <c r="R648" s="4">
        <f t="shared" si="317"/>
        <v>6.0935697700451357</v>
      </c>
      <c r="S648" s="4">
        <f t="shared" si="318"/>
        <v>57.8</v>
      </c>
      <c r="T648" s="4">
        <f t="shared" si="319"/>
        <v>1</v>
      </c>
      <c r="U648" s="4">
        <f t="shared" si="320"/>
        <v>8.5171931914162382</v>
      </c>
      <c r="V648" s="4">
        <f t="shared" si="321"/>
        <v>6.0935697700451357</v>
      </c>
      <c r="W648" s="4">
        <f t="shared" si="322"/>
        <v>57.8</v>
      </c>
      <c r="X648" s="4">
        <f t="shared" si="323"/>
        <v>1</v>
      </c>
      <c r="Y648" s="4">
        <f t="shared" si="324"/>
        <v>8.5171931914162382</v>
      </c>
      <c r="Z648" s="4">
        <f t="shared" si="325"/>
        <v>6.0935697700451357</v>
      </c>
      <c r="AA648" s="4">
        <f t="shared" si="326"/>
        <v>57.8</v>
      </c>
      <c r="AB648" s="4">
        <f t="shared" si="327"/>
        <v>1</v>
      </c>
      <c r="AC648" s="4">
        <f t="shared" si="328"/>
        <v>0</v>
      </c>
      <c r="AD648" s="4">
        <f t="shared" si="329"/>
        <v>0</v>
      </c>
      <c r="AE648" s="4">
        <f t="shared" si="330"/>
        <v>0</v>
      </c>
      <c r="AF648" s="4">
        <f t="shared" si="331"/>
        <v>0</v>
      </c>
      <c r="AG648" s="4">
        <f t="shared" si="332"/>
        <v>8.5171931914162382</v>
      </c>
      <c r="AH648" s="4">
        <f t="shared" si="333"/>
        <v>1</v>
      </c>
      <c r="AI648" s="4">
        <f t="shared" si="334"/>
        <v>0</v>
      </c>
      <c r="AJ648" s="4">
        <f t="shared" si="335"/>
        <v>8.5171931914162382</v>
      </c>
      <c r="AK648" s="4">
        <f t="shared" si="336"/>
        <v>6.0935697700451357</v>
      </c>
      <c r="AL648" s="4">
        <f t="shared" si="337"/>
        <v>0</v>
      </c>
      <c r="AM648" s="4">
        <f>CER!$C$7+CER!$C$8*J648+CER!$C$9*K648+CER!$C$10*L648+CER!$C$11*M648</f>
        <v>3.3775473862933292</v>
      </c>
      <c r="AN648" s="4">
        <f t="shared" si="338"/>
        <v>29.298824222511985</v>
      </c>
      <c r="AO648" s="4">
        <f t="shared" si="339"/>
        <v>0.10007385521187828</v>
      </c>
      <c r="AP648" s="4">
        <f>Alternatives!$F$25+Alternatives!$F$26*J648+Alternatives!$F$27*K648+Alternatives!$F$28*G648+Alternatives!$F$29*O648</f>
        <v>4.0678541897481004</v>
      </c>
      <c r="AQ648" s="4">
        <f t="shared" si="340"/>
        <v>-0.59023294824289296</v>
      </c>
    </row>
    <row r="649" spans="1:43" x14ac:dyDescent="0.35">
      <c r="A649" s="2" t="s">
        <v>552</v>
      </c>
      <c r="B649" s="2" t="s">
        <v>505</v>
      </c>
      <c r="C649" s="2" t="s">
        <v>67</v>
      </c>
      <c r="D649" s="2">
        <v>22.473600000000001</v>
      </c>
      <c r="E649" s="2">
        <v>5000</v>
      </c>
      <c r="F649" s="2">
        <v>577</v>
      </c>
      <c r="G649" s="2">
        <v>53.1</v>
      </c>
      <c r="H649" s="2" t="s">
        <v>68</v>
      </c>
      <c r="I649" s="4">
        <f t="shared" si="310"/>
        <v>3.1123412869825642</v>
      </c>
      <c r="J649" s="4">
        <f t="shared" si="311"/>
        <v>8.5171931914162382</v>
      </c>
      <c r="K649" s="4">
        <f t="shared" si="312"/>
        <v>6.3578422665080998</v>
      </c>
      <c r="L649" s="2">
        <v>0</v>
      </c>
      <c r="M649" s="2">
        <v>0</v>
      </c>
      <c r="N649" s="4">
        <f t="shared" si="313"/>
        <v>53.1</v>
      </c>
      <c r="O649" s="4">
        <f t="shared" si="314"/>
        <v>0</v>
      </c>
      <c r="P649" s="4">
        <f t="shared" si="315"/>
        <v>0</v>
      </c>
      <c r="Q649" s="4">
        <f t="shared" si="316"/>
        <v>8.5171931914162382</v>
      </c>
      <c r="R649" s="4">
        <f t="shared" si="317"/>
        <v>6.3578422665080998</v>
      </c>
      <c r="S649" s="4">
        <f t="shared" si="318"/>
        <v>53.1</v>
      </c>
      <c r="T649" s="4">
        <f t="shared" si="319"/>
        <v>0</v>
      </c>
      <c r="U649" s="4">
        <f t="shared" si="320"/>
        <v>8.5171931914162382</v>
      </c>
      <c r="V649" s="4">
        <f t="shared" si="321"/>
        <v>6.3578422665080998</v>
      </c>
      <c r="W649" s="4">
        <f t="shared" si="322"/>
        <v>53.1</v>
      </c>
      <c r="X649" s="4">
        <f t="shared" si="323"/>
        <v>0</v>
      </c>
      <c r="Y649" s="4">
        <f t="shared" si="324"/>
        <v>8.5171931914162382</v>
      </c>
      <c r="Z649" s="4">
        <f t="shared" si="325"/>
        <v>6.3578422665080998</v>
      </c>
      <c r="AA649" s="4">
        <f t="shared" si="326"/>
        <v>53.1</v>
      </c>
      <c r="AB649" s="4">
        <f t="shared" si="327"/>
        <v>0</v>
      </c>
      <c r="AC649" s="4">
        <f t="shared" si="328"/>
        <v>0</v>
      </c>
      <c r="AD649" s="4">
        <f t="shared" si="329"/>
        <v>0</v>
      </c>
      <c r="AE649" s="4">
        <f t="shared" si="330"/>
        <v>0</v>
      </c>
      <c r="AF649" s="4">
        <f t="shared" si="331"/>
        <v>0</v>
      </c>
      <c r="AG649" s="4">
        <f t="shared" si="332"/>
        <v>8.5171931914162382</v>
      </c>
      <c r="AH649" s="4">
        <f t="shared" si="333"/>
        <v>0</v>
      </c>
      <c r="AI649" s="4">
        <f t="shared" si="334"/>
        <v>0</v>
      </c>
      <c r="AJ649" s="4">
        <f t="shared" si="335"/>
        <v>8.5171931914162382</v>
      </c>
      <c r="AK649" s="4">
        <f t="shared" si="336"/>
        <v>6.3578422665080998</v>
      </c>
      <c r="AL649" s="4">
        <f t="shared" si="337"/>
        <v>0</v>
      </c>
      <c r="AM649" s="4">
        <f>CER!$C$7+CER!$C$8*J649+CER!$C$9*K649+CER!$C$10*L649+CER!$C$11*M649</f>
        <v>3.0562921400060494</v>
      </c>
      <c r="AN649" s="4">
        <f t="shared" si="338"/>
        <v>21.248623993059397</v>
      </c>
      <c r="AO649" s="4">
        <f t="shared" si="339"/>
        <v>5.6049146976514752E-2</v>
      </c>
      <c r="AP649" s="4">
        <f>Alternatives!$F$25+Alternatives!$F$26*J649+Alternatives!$F$27*K649+Alternatives!$F$28*G649+Alternatives!$F$29*O649</f>
        <v>3.2139230936348899</v>
      </c>
      <c r="AQ649" s="4">
        <f t="shared" si="340"/>
        <v>-0.10158180665232575</v>
      </c>
    </row>
    <row r="650" spans="1:43" x14ac:dyDescent="0.35">
      <c r="A650" s="2" t="s">
        <v>553</v>
      </c>
      <c r="B650" s="2" t="s">
        <v>505</v>
      </c>
      <c r="C650" s="2" t="s">
        <v>33</v>
      </c>
      <c r="D650" s="2">
        <v>23.3687</v>
      </c>
      <c r="E650" s="2">
        <v>5500</v>
      </c>
      <c r="F650" s="2">
        <v>630</v>
      </c>
      <c r="G650" s="2">
        <v>52.9</v>
      </c>
      <c r="H650" s="2" t="s">
        <v>68</v>
      </c>
      <c r="I650" s="4">
        <f t="shared" si="310"/>
        <v>3.1513975201314768</v>
      </c>
      <c r="J650" s="4">
        <f t="shared" si="311"/>
        <v>8.6125033712205621</v>
      </c>
      <c r="K650" s="4">
        <f t="shared" si="312"/>
        <v>6.4457198193855785</v>
      </c>
      <c r="L650" s="2">
        <v>1</v>
      </c>
      <c r="M650" s="2">
        <v>0</v>
      </c>
      <c r="N650" s="4">
        <f t="shared" si="313"/>
        <v>52.9</v>
      </c>
      <c r="O650" s="4">
        <f t="shared" si="314"/>
        <v>1</v>
      </c>
      <c r="P650" s="4">
        <f t="shared" si="315"/>
        <v>1</v>
      </c>
      <c r="Q650" s="4">
        <f t="shared" si="316"/>
        <v>8.6125033712205621</v>
      </c>
      <c r="R650" s="4">
        <f t="shared" si="317"/>
        <v>6.4457198193855785</v>
      </c>
      <c r="S650" s="4">
        <f t="shared" si="318"/>
        <v>52.9</v>
      </c>
      <c r="T650" s="4">
        <f t="shared" si="319"/>
        <v>1</v>
      </c>
      <c r="U650" s="4">
        <f t="shared" si="320"/>
        <v>8.6125033712205621</v>
      </c>
      <c r="V650" s="4">
        <f t="shared" si="321"/>
        <v>6.4457198193855785</v>
      </c>
      <c r="W650" s="4">
        <f t="shared" si="322"/>
        <v>52.9</v>
      </c>
      <c r="X650" s="4">
        <f t="shared" si="323"/>
        <v>1</v>
      </c>
      <c r="Y650" s="4">
        <f t="shared" si="324"/>
        <v>8.6125033712205621</v>
      </c>
      <c r="Z650" s="4">
        <f t="shared" si="325"/>
        <v>6.4457198193855785</v>
      </c>
      <c r="AA650" s="4">
        <f t="shared" si="326"/>
        <v>52.9</v>
      </c>
      <c r="AB650" s="4">
        <f t="shared" si="327"/>
        <v>1</v>
      </c>
      <c r="AC650" s="4">
        <f t="shared" si="328"/>
        <v>0</v>
      </c>
      <c r="AD650" s="4">
        <f t="shared" si="329"/>
        <v>0</v>
      </c>
      <c r="AE650" s="4">
        <f t="shared" si="330"/>
        <v>0</v>
      </c>
      <c r="AF650" s="4">
        <f t="shared" si="331"/>
        <v>0</v>
      </c>
      <c r="AG650" s="4">
        <f t="shared" si="332"/>
        <v>8.6125033712205621</v>
      </c>
      <c r="AH650" s="4">
        <f t="shared" si="333"/>
        <v>1</v>
      </c>
      <c r="AI650" s="4">
        <f t="shared" si="334"/>
        <v>0</v>
      </c>
      <c r="AJ650" s="4">
        <f t="shared" si="335"/>
        <v>8.6125033712205621</v>
      </c>
      <c r="AK650" s="4">
        <f t="shared" si="336"/>
        <v>6.4457198193855785</v>
      </c>
      <c r="AL650" s="4">
        <f t="shared" si="337"/>
        <v>0</v>
      </c>
      <c r="AM650" s="4">
        <f>CER!$C$7+CER!$C$8*J650+CER!$C$9*K650+CER!$C$10*L650+CER!$C$11*M650</f>
        <v>3.2044760516605337</v>
      </c>
      <c r="AN650" s="4">
        <f t="shared" si="338"/>
        <v>24.642585191809825</v>
      </c>
      <c r="AO650" s="4">
        <f t="shared" si="339"/>
        <v>-5.3078531529056949E-2</v>
      </c>
      <c r="AP650" s="4">
        <f>Alternatives!$F$25+Alternatives!$F$26*J650+Alternatives!$F$27*K650+Alternatives!$F$28*G650+Alternatives!$F$29*O650</f>
        <v>4.0731523537908316</v>
      </c>
      <c r="AQ650" s="4">
        <f t="shared" si="340"/>
        <v>-0.92175483365935484</v>
      </c>
    </row>
    <row r="651" spans="1:43" x14ac:dyDescent="0.35">
      <c r="A651" s="2" t="s">
        <v>554</v>
      </c>
      <c r="B651" s="2" t="s">
        <v>505</v>
      </c>
      <c r="C651" s="2" t="s">
        <v>67</v>
      </c>
      <c r="D651" s="2">
        <v>19.991199999999999</v>
      </c>
      <c r="E651" s="2">
        <v>4500</v>
      </c>
      <c r="F651" s="2">
        <v>469</v>
      </c>
      <c r="G651" s="2">
        <v>48.9</v>
      </c>
      <c r="H651" s="2" t="s">
        <v>68</v>
      </c>
      <c r="I651" s="4">
        <f t="shared" si="310"/>
        <v>2.9952921767255871</v>
      </c>
      <c r="J651" s="4">
        <f t="shared" si="311"/>
        <v>8.4118326757584114</v>
      </c>
      <c r="K651" s="4">
        <f t="shared" si="312"/>
        <v>6.1506027684462792</v>
      </c>
      <c r="L651" s="2">
        <v>0</v>
      </c>
      <c r="M651" s="2">
        <v>0</v>
      </c>
      <c r="N651" s="4">
        <f t="shared" si="313"/>
        <v>48.9</v>
      </c>
      <c r="O651" s="4">
        <f t="shared" si="314"/>
        <v>0</v>
      </c>
      <c r="P651" s="4">
        <f t="shared" si="315"/>
        <v>0</v>
      </c>
      <c r="Q651" s="4">
        <f t="shared" si="316"/>
        <v>8.4118326757584114</v>
      </c>
      <c r="R651" s="4">
        <f t="shared" si="317"/>
        <v>6.1506027684462792</v>
      </c>
      <c r="S651" s="4">
        <f t="shared" si="318"/>
        <v>48.9</v>
      </c>
      <c r="T651" s="4">
        <f t="shared" si="319"/>
        <v>0</v>
      </c>
      <c r="U651" s="4">
        <f t="shared" si="320"/>
        <v>8.4118326757584114</v>
      </c>
      <c r="V651" s="4">
        <f t="shared" si="321"/>
        <v>6.1506027684462792</v>
      </c>
      <c r="W651" s="4">
        <f t="shared" si="322"/>
        <v>48.9</v>
      </c>
      <c r="X651" s="4">
        <f t="shared" si="323"/>
        <v>0</v>
      </c>
      <c r="Y651" s="4">
        <f t="shared" si="324"/>
        <v>8.4118326757584114</v>
      </c>
      <c r="Z651" s="4">
        <f t="shared" si="325"/>
        <v>6.1506027684462792</v>
      </c>
      <c r="AA651" s="4">
        <f t="shared" si="326"/>
        <v>48.9</v>
      </c>
      <c r="AB651" s="4">
        <f t="shared" si="327"/>
        <v>0</v>
      </c>
      <c r="AC651" s="4">
        <f t="shared" si="328"/>
        <v>0</v>
      </c>
      <c r="AD651" s="4">
        <f t="shared" si="329"/>
        <v>0</v>
      </c>
      <c r="AE651" s="4">
        <f t="shared" si="330"/>
        <v>0</v>
      </c>
      <c r="AF651" s="4">
        <f t="shared" si="331"/>
        <v>0</v>
      </c>
      <c r="AG651" s="4">
        <f t="shared" si="332"/>
        <v>8.4118326757584114</v>
      </c>
      <c r="AH651" s="4">
        <f t="shared" si="333"/>
        <v>0</v>
      </c>
      <c r="AI651" s="4">
        <f t="shared" si="334"/>
        <v>0</v>
      </c>
      <c r="AJ651" s="4">
        <f t="shared" si="335"/>
        <v>8.4118326757584114</v>
      </c>
      <c r="AK651" s="4">
        <f t="shared" si="336"/>
        <v>6.1506027684462792</v>
      </c>
      <c r="AL651" s="4">
        <f t="shared" si="337"/>
        <v>0</v>
      </c>
      <c r="AM651" s="4">
        <f>CER!$C$7+CER!$C$8*J651+CER!$C$9*K651+CER!$C$10*L651+CER!$C$11*M651</f>
        <v>3.1804495163677169</v>
      </c>
      <c r="AN651" s="4">
        <f t="shared" si="338"/>
        <v>24.057565391243884</v>
      </c>
      <c r="AO651" s="4">
        <f t="shared" si="339"/>
        <v>-0.18515733964212977</v>
      </c>
      <c r="AP651" s="4">
        <f>Alternatives!$F$25+Alternatives!$F$26*J651+Alternatives!$F$27*K651+Alternatives!$F$28*G651+Alternatives!$F$29*O651</f>
        <v>3.2847098614013799</v>
      </c>
      <c r="AQ651" s="4">
        <f t="shared" si="340"/>
        <v>-0.28941768467579276</v>
      </c>
    </row>
    <row r="652" spans="1:43" x14ac:dyDescent="0.35">
      <c r="A652" s="2" t="s">
        <v>555</v>
      </c>
      <c r="B652" s="2" t="s">
        <v>505</v>
      </c>
      <c r="C652" s="2" t="s">
        <v>67</v>
      </c>
      <c r="D652" s="2">
        <v>19.991199999999999</v>
      </c>
      <c r="E652" s="2">
        <v>4500</v>
      </c>
      <c r="F652" s="2">
        <v>577</v>
      </c>
      <c r="G652" s="2">
        <v>48.9</v>
      </c>
      <c r="H652" s="2" t="s">
        <v>68</v>
      </c>
      <c r="I652" s="4">
        <f t="shared" si="310"/>
        <v>2.9952921767255871</v>
      </c>
      <c r="J652" s="4">
        <f t="shared" si="311"/>
        <v>8.4118326757584114</v>
      </c>
      <c r="K652" s="4">
        <f t="shared" si="312"/>
        <v>6.3578422665080998</v>
      </c>
      <c r="L652" s="2">
        <v>0</v>
      </c>
      <c r="M652" s="2">
        <v>0</v>
      </c>
      <c r="N652" s="4">
        <f t="shared" si="313"/>
        <v>48.9</v>
      </c>
      <c r="O652" s="4">
        <f t="shared" si="314"/>
        <v>0</v>
      </c>
      <c r="P652" s="4">
        <f t="shared" si="315"/>
        <v>0</v>
      </c>
      <c r="Q652" s="4">
        <f t="shared" si="316"/>
        <v>8.4118326757584114</v>
      </c>
      <c r="R652" s="4">
        <f t="shared" si="317"/>
        <v>6.3578422665080998</v>
      </c>
      <c r="S652" s="4">
        <f t="shared" si="318"/>
        <v>48.9</v>
      </c>
      <c r="T652" s="4">
        <f t="shared" si="319"/>
        <v>0</v>
      </c>
      <c r="U652" s="4">
        <f t="shared" si="320"/>
        <v>8.4118326757584114</v>
      </c>
      <c r="V652" s="4">
        <f t="shared" si="321"/>
        <v>6.3578422665080998</v>
      </c>
      <c r="W652" s="4">
        <f t="shared" si="322"/>
        <v>48.9</v>
      </c>
      <c r="X652" s="4">
        <f t="shared" si="323"/>
        <v>0</v>
      </c>
      <c r="Y652" s="4">
        <f t="shared" si="324"/>
        <v>8.4118326757584114</v>
      </c>
      <c r="Z652" s="4">
        <f t="shared" si="325"/>
        <v>6.3578422665080998</v>
      </c>
      <c r="AA652" s="4">
        <f t="shared" si="326"/>
        <v>48.9</v>
      </c>
      <c r="AB652" s="4">
        <f t="shared" si="327"/>
        <v>0</v>
      </c>
      <c r="AC652" s="4">
        <f t="shared" si="328"/>
        <v>0</v>
      </c>
      <c r="AD652" s="4">
        <f t="shared" si="329"/>
        <v>0</v>
      </c>
      <c r="AE652" s="4">
        <f t="shared" si="330"/>
        <v>0</v>
      </c>
      <c r="AF652" s="4">
        <f t="shared" si="331"/>
        <v>0</v>
      </c>
      <c r="AG652" s="4">
        <f t="shared" si="332"/>
        <v>8.4118326757584114</v>
      </c>
      <c r="AH652" s="4">
        <f t="shared" si="333"/>
        <v>0</v>
      </c>
      <c r="AI652" s="4">
        <f t="shared" si="334"/>
        <v>0</v>
      </c>
      <c r="AJ652" s="4">
        <f t="shared" si="335"/>
        <v>8.4118326757584114</v>
      </c>
      <c r="AK652" s="4">
        <f t="shared" si="336"/>
        <v>6.3578422665080998</v>
      </c>
      <c r="AL652" s="4">
        <f t="shared" si="337"/>
        <v>0</v>
      </c>
      <c r="AM652" s="4">
        <f>CER!$C$7+CER!$C$8*J652+CER!$C$9*K652+CER!$C$10*L652+CER!$C$11*M652</f>
        <v>3.1039898062927742</v>
      </c>
      <c r="AN652" s="4">
        <f t="shared" si="338"/>
        <v>22.286693722004006</v>
      </c>
      <c r="AO652" s="4">
        <f t="shared" si="339"/>
        <v>-0.10869762956718709</v>
      </c>
      <c r="AP652" s="4">
        <f>Alternatives!$F$25+Alternatives!$F$26*J652+Alternatives!$F$27*K652+Alternatives!$F$28*G652+Alternatives!$F$29*O652</f>
        <v>3.2295613652225175</v>
      </c>
      <c r="AQ652" s="4">
        <f t="shared" si="340"/>
        <v>-0.23426918849693035</v>
      </c>
    </row>
    <row r="653" spans="1:43" x14ac:dyDescent="0.35">
      <c r="A653" s="2" t="s">
        <v>556</v>
      </c>
      <c r="B653" s="2" t="s">
        <v>505</v>
      </c>
      <c r="C653" s="2" t="s">
        <v>33</v>
      </c>
      <c r="D653" s="2">
        <v>27.637499999999999</v>
      </c>
      <c r="E653" s="2">
        <v>5000</v>
      </c>
      <c r="F653" s="2">
        <v>429</v>
      </c>
      <c r="G653" s="2">
        <v>53.1</v>
      </c>
      <c r="H653" s="2" t="s">
        <v>68</v>
      </c>
      <c r="I653" s="4">
        <f t="shared" si="310"/>
        <v>3.3191735461835647</v>
      </c>
      <c r="J653" s="4">
        <f t="shared" si="311"/>
        <v>8.5171931914162382</v>
      </c>
      <c r="K653" s="4">
        <f t="shared" si="312"/>
        <v>6.061456918928017</v>
      </c>
      <c r="L653" s="2">
        <v>1</v>
      </c>
      <c r="M653" s="2">
        <v>0</v>
      </c>
      <c r="N653" s="4">
        <f t="shared" si="313"/>
        <v>53.1</v>
      </c>
      <c r="O653" s="4">
        <f t="shared" si="314"/>
        <v>1</v>
      </c>
      <c r="P653" s="4">
        <f t="shared" si="315"/>
        <v>1</v>
      </c>
      <c r="Q653" s="4">
        <f t="shared" si="316"/>
        <v>8.5171931914162382</v>
      </c>
      <c r="R653" s="4">
        <f t="shared" si="317"/>
        <v>6.061456918928017</v>
      </c>
      <c r="S653" s="4">
        <f t="shared" si="318"/>
        <v>53.1</v>
      </c>
      <c r="T653" s="4">
        <f t="shared" si="319"/>
        <v>1</v>
      </c>
      <c r="U653" s="4">
        <f t="shared" si="320"/>
        <v>8.5171931914162382</v>
      </c>
      <c r="V653" s="4">
        <f t="shared" si="321"/>
        <v>6.061456918928017</v>
      </c>
      <c r="W653" s="4">
        <f t="shared" si="322"/>
        <v>53.1</v>
      </c>
      <c r="X653" s="4">
        <f t="shared" si="323"/>
        <v>1</v>
      </c>
      <c r="Y653" s="4">
        <f t="shared" si="324"/>
        <v>8.5171931914162382</v>
      </c>
      <c r="Z653" s="4">
        <f t="shared" si="325"/>
        <v>6.061456918928017</v>
      </c>
      <c r="AA653" s="4">
        <f t="shared" si="326"/>
        <v>53.1</v>
      </c>
      <c r="AB653" s="4">
        <f t="shared" si="327"/>
        <v>1</v>
      </c>
      <c r="AC653" s="4">
        <f t="shared" si="328"/>
        <v>0</v>
      </c>
      <c r="AD653" s="4">
        <f t="shared" si="329"/>
        <v>0</v>
      </c>
      <c r="AE653" s="4">
        <f t="shared" si="330"/>
        <v>0</v>
      </c>
      <c r="AF653" s="4">
        <f t="shared" si="331"/>
        <v>0</v>
      </c>
      <c r="AG653" s="4">
        <f t="shared" si="332"/>
        <v>8.5171931914162382</v>
      </c>
      <c r="AH653" s="4">
        <f t="shared" si="333"/>
        <v>1</v>
      </c>
      <c r="AI653" s="4">
        <f t="shared" si="334"/>
        <v>0</v>
      </c>
      <c r="AJ653" s="4">
        <f t="shared" si="335"/>
        <v>8.5171931914162382</v>
      </c>
      <c r="AK653" s="4">
        <f t="shared" si="336"/>
        <v>6.061456918928017</v>
      </c>
      <c r="AL653" s="4">
        <f t="shared" si="337"/>
        <v>0</v>
      </c>
      <c r="AM653" s="4">
        <f>CER!$C$7+CER!$C$8*J653+CER!$C$9*K653+CER!$C$10*L653+CER!$C$11*M653</f>
        <v>3.3893952208473497</v>
      </c>
      <c r="AN653" s="4">
        <f t="shared" si="338"/>
        <v>29.648016345075746</v>
      </c>
      <c r="AO653" s="4">
        <f t="shared" si="339"/>
        <v>-7.0221674663784928E-2</v>
      </c>
      <c r="AP653" s="4">
        <f>Alternatives!$F$25+Alternatives!$F$26*J653+Alternatives!$F$27*K653+Alternatives!$F$28*G653+Alternatives!$F$29*O653</f>
        <v>4.1375341178768394</v>
      </c>
      <c r="AQ653" s="4">
        <f t="shared" si="340"/>
        <v>-0.8183605716932747</v>
      </c>
    </row>
    <row r="654" spans="1:43" x14ac:dyDescent="0.35">
      <c r="A654" s="2" t="s">
        <v>557</v>
      </c>
      <c r="B654" s="2" t="s">
        <v>505</v>
      </c>
      <c r="C654" s="2" t="s">
        <v>33</v>
      </c>
      <c r="D654" s="2">
        <v>37.526699999999998</v>
      </c>
      <c r="E654" s="2">
        <v>4000</v>
      </c>
      <c r="F654" s="2">
        <v>221</v>
      </c>
      <c r="G654" s="2">
        <v>48.4</v>
      </c>
      <c r="H654" s="2" t="s">
        <v>68</v>
      </c>
      <c r="I654" s="4">
        <f t="shared" si="310"/>
        <v>3.6250526796246154</v>
      </c>
      <c r="J654" s="4">
        <f t="shared" si="311"/>
        <v>8.2940496401020276</v>
      </c>
      <c r="K654" s="4">
        <f t="shared" si="312"/>
        <v>5.3981627015177525</v>
      </c>
      <c r="L654" s="2">
        <v>1</v>
      </c>
      <c r="M654" s="2">
        <v>0</v>
      </c>
      <c r="N654" s="4">
        <f t="shared" si="313"/>
        <v>48.4</v>
      </c>
      <c r="O654" s="4">
        <f t="shared" si="314"/>
        <v>1</v>
      </c>
      <c r="P654" s="4">
        <f t="shared" si="315"/>
        <v>1</v>
      </c>
      <c r="Q654" s="4">
        <f t="shared" si="316"/>
        <v>8.2940496401020276</v>
      </c>
      <c r="R654" s="4">
        <f t="shared" si="317"/>
        <v>5.3981627015177525</v>
      </c>
      <c r="S654" s="4">
        <f t="shared" si="318"/>
        <v>48.4</v>
      </c>
      <c r="T654" s="4">
        <f t="shared" si="319"/>
        <v>1</v>
      </c>
      <c r="U654" s="4">
        <f t="shared" si="320"/>
        <v>8.2940496401020276</v>
      </c>
      <c r="V654" s="4">
        <f t="shared" si="321"/>
        <v>5.3981627015177525</v>
      </c>
      <c r="W654" s="4">
        <f t="shared" si="322"/>
        <v>48.4</v>
      </c>
      <c r="X654" s="4">
        <f t="shared" si="323"/>
        <v>1</v>
      </c>
      <c r="Y654" s="4">
        <f t="shared" si="324"/>
        <v>8.2940496401020276</v>
      </c>
      <c r="Z654" s="4">
        <f t="shared" si="325"/>
        <v>5.3981627015177525</v>
      </c>
      <c r="AA654" s="4">
        <f t="shared" si="326"/>
        <v>48.4</v>
      </c>
      <c r="AB654" s="4">
        <f t="shared" si="327"/>
        <v>1</v>
      </c>
      <c r="AC654" s="4">
        <f t="shared" si="328"/>
        <v>0</v>
      </c>
      <c r="AD654" s="4">
        <f t="shared" si="329"/>
        <v>0</v>
      </c>
      <c r="AE654" s="4">
        <f t="shared" si="330"/>
        <v>0</v>
      </c>
      <c r="AF654" s="4">
        <f t="shared" si="331"/>
        <v>0</v>
      </c>
      <c r="AG654" s="4">
        <f t="shared" si="332"/>
        <v>8.2940496401020276</v>
      </c>
      <c r="AH654" s="4">
        <f t="shared" si="333"/>
        <v>1</v>
      </c>
      <c r="AI654" s="4">
        <f t="shared" si="334"/>
        <v>0</v>
      </c>
      <c r="AJ654" s="4">
        <f t="shared" si="335"/>
        <v>8.2940496401020276</v>
      </c>
      <c r="AK654" s="4">
        <f t="shared" si="336"/>
        <v>5.3981627015177525</v>
      </c>
      <c r="AL654" s="4">
        <f t="shared" si="337"/>
        <v>0</v>
      </c>
      <c r="AM654" s="4">
        <f>CER!$C$7+CER!$C$8*J654+CER!$C$9*K654+CER!$C$10*L654+CER!$C$11*M654</f>
        <v>3.7351325734709837</v>
      </c>
      <c r="AN654" s="4">
        <f t="shared" si="338"/>
        <v>41.89357917216676</v>
      </c>
      <c r="AO654" s="4">
        <f t="shared" si="339"/>
        <v>-0.11007989384636829</v>
      </c>
      <c r="AP654" s="4">
        <f>Alternatives!$F$25+Alternatives!$F$26*J654+Alternatives!$F$27*K654+Alternatives!$F$28*G654+Alternatives!$F$29*O654</f>
        <v>4.292595399691554</v>
      </c>
      <c r="AQ654" s="4">
        <f t="shared" si="340"/>
        <v>-0.6675427200669386</v>
      </c>
    </row>
    <row r="655" spans="1:43" x14ac:dyDescent="0.35">
      <c r="A655" s="2" t="s">
        <v>558</v>
      </c>
      <c r="B655" s="2" t="s">
        <v>505</v>
      </c>
      <c r="C655" s="2" t="s">
        <v>33</v>
      </c>
      <c r="D655" s="2">
        <v>36.131500000000003</v>
      </c>
      <c r="E655" s="2">
        <v>4000</v>
      </c>
      <c r="F655" s="2">
        <v>221</v>
      </c>
      <c r="G655" s="2">
        <v>48.3</v>
      </c>
      <c r="H655" s="2" t="s">
        <v>68</v>
      </c>
      <c r="I655" s="4">
        <f t="shared" si="310"/>
        <v>3.5871650610428398</v>
      </c>
      <c r="J655" s="4">
        <f t="shared" si="311"/>
        <v>8.2940496401020276</v>
      </c>
      <c r="K655" s="4">
        <f t="shared" si="312"/>
        <v>5.3981627015177525</v>
      </c>
      <c r="L655" s="2">
        <v>1</v>
      </c>
      <c r="M655" s="2">
        <v>0</v>
      </c>
      <c r="N655" s="4">
        <f t="shared" si="313"/>
        <v>48.3</v>
      </c>
      <c r="O655" s="4">
        <f t="shared" si="314"/>
        <v>1</v>
      </c>
      <c r="P655" s="4">
        <f t="shared" si="315"/>
        <v>1</v>
      </c>
      <c r="Q655" s="4">
        <f t="shared" si="316"/>
        <v>8.2940496401020276</v>
      </c>
      <c r="R655" s="4">
        <f t="shared" si="317"/>
        <v>5.3981627015177525</v>
      </c>
      <c r="S655" s="4">
        <f t="shared" si="318"/>
        <v>48.3</v>
      </c>
      <c r="T655" s="4">
        <f t="shared" si="319"/>
        <v>1</v>
      </c>
      <c r="U655" s="4">
        <f t="shared" si="320"/>
        <v>8.2940496401020276</v>
      </c>
      <c r="V655" s="4">
        <f t="shared" si="321"/>
        <v>5.3981627015177525</v>
      </c>
      <c r="W655" s="4">
        <f t="shared" si="322"/>
        <v>48.3</v>
      </c>
      <c r="X655" s="4">
        <f t="shared" si="323"/>
        <v>1</v>
      </c>
      <c r="Y655" s="4">
        <f t="shared" si="324"/>
        <v>8.2940496401020276</v>
      </c>
      <c r="Z655" s="4">
        <f t="shared" si="325"/>
        <v>5.3981627015177525</v>
      </c>
      <c r="AA655" s="4">
        <f t="shared" si="326"/>
        <v>48.3</v>
      </c>
      <c r="AB655" s="4">
        <f t="shared" si="327"/>
        <v>1</v>
      </c>
      <c r="AC655" s="4">
        <f t="shared" si="328"/>
        <v>0</v>
      </c>
      <c r="AD655" s="4">
        <f t="shared" si="329"/>
        <v>0</v>
      </c>
      <c r="AE655" s="4">
        <f t="shared" si="330"/>
        <v>0</v>
      </c>
      <c r="AF655" s="4">
        <f t="shared" si="331"/>
        <v>0</v>
      </c>
      <c r="AG655" s="4">
        <f t="shared" si="332"/>
        <v>8.2940496401020276</v>
      </c>
      <c r="AH655" s="4">
        <f t="shared" si="333"/>
        <v>1</v>
      </c>
      <c r="AI655" s="4">
        <f t="shared" si="334"/>
        <v>0</v>
      </c>
      <c r="AJ655" s="4">
        <f t="shared" si="335"/>
        <v>8.2940496401020276</v>
      </c>
      <c r="AK655" s="4">
        <f t="shared" si="336"/>
        <v>5.3981627015177525</v>
      </c>
      <c r="AL655" s="4">
        <f t="shared" si="337"/>
        <v>0</v>
      </c>
      <c r="AM655" s="4">
        <f>CER!$C$7+CER!$C$8*J655+CER!$C$9*K655+CER!$C$10*L655+CER!$C$11*M655</f>
        <v>3.7351325734709837</v>
      </c>
      <c r="AN655" s="4">
        <f t="shared" si="338"/>
        <v>41.89357917216676</v>
      </c>
      <c r="AO655" s="4">
        <f t="shared" si="339"/>
        <v>-0.14796751242814388</v>
      </c>
      <c r="AP655" s="4">
        <f>Alternatives!$F$25+Alternatives!$F$26*J655+Alternatives!$F$27*K655+Alternatives!$F$28*G655+Alternatives!$F$29*O655</f>
        <v>4.2938961311457771</v>
      </c>
      <c r="AQ655" s="4">
        <f t="shared" si="340"/>
        <v>-0.70673107010293723</v>
      </c>
    </row>
    <row r="656" spans="1:43" x14ac:dyDescent="0.35">
      <c r="A656" s="2" t="s">
        <v>559</v>
      </c>
      <c r="B656" s="2" t="s">
        <v>505</v>
      </c>
      <c r="C656" s="2" t="s">
        <v>33</v>
      </c>
      <c r="D656" s="2">
        <v>27.145099999999999</v>
      </c>
      <c r="E656" s="2">
        <v>5500</v>
      </c>
      <c r="F656" s="2">
        <v>496</v>
      </c>
      <c r="G656" s="2">
        <v>61.1</v>
      </c>
      <c r="H656" s="2" t="s">
        <v>68</v>
      </c>
      <c r="I656" s="4">
        <f t="shared" si="310"/>
        <v>3.3011965512703192</v>
      </c>
      <c r="J656" s="4">
        <f t="shared" si="311"/>
        <v>8.6125033712205621</v>
      </c>
      <c r="K656" s="4">
        <f t="shared" si="312"/>
        <v>6.2065759267249279</v>
      </c>
      <c r="L656" s="2">
        <v>1</v>
      </c>
      <c r="M656" s="2">
        <v>0</v>
      </c>
      <c r="N656" s="4">
        <f t="shared" si="313"/>
        <v>61.1</v>
      </c>
      <c r="O656" s="4">
        <f t="shared" si="314"/>
        <v>1</v>
      </c>
      <c r="P656" s="4">
        <f t="shared" si="315"/>
        <v>1</v>
      </c>
      <c r="Q656" s="4">
        <f t="shared" si="316"/>
        <v>8.6125033712205621</v>
      </c>
      <c r="R656" s="4">
        <f t="shared" si="317"/>
        <v>6.2065759267249279</v>
      </c>
      <c r="S656" s="4">
        <f t="shared" si="318"/>
        <v>61.1</v>
      </c>
      <c r="T656" s="4">
        <f t="shared" si="319"/>
        <v>1</v>
      </c>
      <c r="U656" s="4">
        <f t="shared" si="320"/>
        <v>8.6125033712205621</v>
      </c>
      <c r="V656" s="4">
        <f t="shared" si="321"/>
        <v>6.2065759267249279</v>
      </c>
      <c r="W656" s="4">
        <f t="shared" si="322"/>
        <v>61.1</v>
      </c>
      <c r="X656" s="4">
        <f t="shared" si="323"/>
        <v>1</v>
      </c>
      <c r="Y656" s="4">
        <f t="shared" si="324"/>
        <v>8.6125033712205621</v>
      </c>
      <c r="Z656" s="4">
        <f t="shared" si="325"/>
        <v>6.2065759267249279</v>
      </c>
      <c r="AA656" s="4">
        <f t="shared" si="326"/>
        <v>61.1</v>
      </c>
      <c r="AB656" s="4">
        <f t="shared" si="327"/>
        <v>1</v>
      </c>
      <c r="AC656" s="4">
        <f t="shared" si="328"/>
        <v>0</v>
      </c>
      <c r="AD656" s="4">
        <f t="shared" si="329"/>
        <v>0</v>
      </c>
      <c r="AE656" s="4">
        <f t="shared" si="330"/>
        <v>0</v>
      </c>
      <c r="AF656" s="4">
        <f t="shared" si="331"/>
        <v>0</v>
      </c>
      <c r="AG656" s="4">
        <f t="shared" si="332"/>
        <v>8.6125033712205621</v>
      </c>
      <c r="AH656" s="4">
        <f t="shared" si="333"/>
        <v>1</v>
      </c>
      <c r="AI656" s="4">
        <f t="shared" si="334"/>
        <v>0</v>
      </c>
      <c r="AJ656" s="4">
        <f t="shared" si="335"/>
        <v>8.6125033712205621</v>
      </c>
      <c r="AK656" s="4">
        <f t="shared" si="336"/>
        <v>6.2065759267249279</v>
      </c>
      <c r="AL656" s="4">
        <f t="shared" si="337"/>
        <v>0</v>
      </c>
      <c r="AM656" s="4">
        <f>CER!$C$7+CER!$C$8*J656+CER!$C$9*K656+CER!$C$10*L656+CER!$C$11*M656</f>
        <v>3.2927066875674598</v>
      </c>
      <c r="AN656" s="4">
        <f t="shared" si="338"/>
        <v>26.915617317529655</v>
      </c>
      <c r="AO656" s="4">
        <f t="shared" si="339"/>
        <v>8.4898637028594237E-3</v>
      </c>
      <c r="AP656" s="4">
        <f>Alternatives!$F$25+Alternatives!$F$26*J656+Alternatives!$F$27*K656+Alternatives!$F$28*G656+Alternatives!$F$29*O656</f>
        <v>4.0301309481462972</v>
      </c>
      <c r="AQ656" s="4">
        <f t="shared" si="340"/>
        <v>-0.72893439687597805</v>
      </c>
    </row>
    <row r="657" spans="1:43" x14ac:dyDescent="0.35">
      <c r="A657" s="2" t="s">
        <v>560</v>
      </c>
      <c r="B657" s="2" t="s">
        <v>505</v>
      </c>
      <c r="C657" s="2" t="s">
        <v>33</v>
      </c>
      <c r="D657" s="2">
        <v>27.805399999999999</v>
      </c>
      <c r="E657" s="2">
        <v>5000</v>
      </c>
      <c r="F657" s="2">
        <v>496</v>
      </c>
      <c r="G657" s="2">
        <v>57.8</v>
      </c>
      <c r="H657" s="2" t="s">
        <v>68</v>
      </c>
      <c r="I657" s="4">
        <f t="shared" si="310"/>
        <v>3.3252302464378674</v>
      </c>
      <c r="J657" s="4">
        <f t="shared" si="311"/>
        <v>8.5171931914162382</v>
      </c>
      <c r="K657" s="4">
        <f t="shared" si="312"/>
        <v>6.2065759267249279</v>
      </c>
      <c r="L657" s="2">
        <v>1</v>
      </c>
      <c r="M657" s="2">
        <v>0</v>
      </c>
      <c r="N657" s="4">
        <f t="shared" si="313"/>
        <v>57.8</v>
      </c>
      <c r="O657" s="4">
        <f t="shared" si="314"/>
        <v>1</v>
      </c>
      <c r="P657" s="4">
        <f t="shared" si="315"/>
        <v>1</v>
      </c>
      <c r="Q657" s="4">
        <f t="shared" si="316"/>
        <v>8.5171931914162382</v>
      </c>
      <c r="R657" s="4">
        <f t="shared" si="317"/>
        <v>6.2065759267249279</v>
      </c>
      <c r="S657" s="4">
        <f t="shared" si="318"/>
        <v>57.8</v>
      </c>
      <c r="T657" s="4">
        <f t="shared" si="319"/>
        <v>1</v>
      </c>
      <c r="U657" s="4">
        <f t="shared" si="320"/>
        <v>8.5171931914162382</v>
      </c>
      <c r="V657" s="4">
        <f t="shared" si="321"/>
        <v>6.2065759267249279</v>
      </c>
      <c r="W657" s="4">
        <f t="shared" si="322"/>
        <v>57.8</v>
      </c>
      <c r="X657" s="4">
        <f t="shared" si="323"/>
        <v>1</v>
      </c>
      <c r="Y657" s="4">
        <f t="shared" si="324"/>
        <v>8.5171931914162382</v>
      </c>
      <c r="Z657" s="4">
        <f t="shared" si="325"/>
        <v>6.2065759267249279</v>
      </c>
      <c r="AA657" s="4">
        <f t="shared" si="326"/>
        <v>57.8</v>
      </c>
      <c r="AB657" s="4">
        <f t="shared" si="327"/>
        <v>1</v>
      </c>
      <c r="AC657" s="4">
        <f t="shared" si="328"/>
        <v>0</v>
      </c>
      <c r="AD657" s="4">
        <f t="shared" si="329"/>
        <v>0</v>
      </c>
      <c r="AE657" s="4">
        <f t="shared" si="330"/>
        <v>0</v>
      </c>
      <c r="AF657" s="4">
        <f t="shared" si="331"/>
        <v>0</v>
      </c>
      <c r="AG657" s="4">
        <f t="shared" si="332"/>
        <v>8.5171931914162382</v>
      </c>
      <c r="AH657" s="4">
        <f t="shared" si="333"/>
        <v>1</v>
      </c>
      <c r="AI657" s="4">
        <f t="shared" si="334"/>
        <v>0</v>
      </c>
      <c r="AJ657" s="4">
        <f t="shared" si="335"/>
        <v>8.5171931914162382</v>
      </c>
      <c r="AK657" s="4">
        <f t="shared" si="336"/>
        <v>6.2065759267249279</v>
      </c>
      <c r="AL657" s="4">
        <f t="shared" si="337"/>
        <v>0</v>
      </c>
      <c r="AM657" s="4">
        <f>CER!$C$7+CER!$C$8*J657+CER!$C$9*K657+CER!$C$10*L657+CER!$C$11*M657</f>
        <v>3.3358544751580057</v>
      </c>
      <c r="AN657" s="4">
        <f t="shared" si="338"/>
        <v>28.102385758066976</v>
      </c>
      <c r="AO657" s="4">
        <f t="shared" si="339"/>
        <v>-1.0624228720138351E-2</v>
      </c>
      <c r="AP657" s="4">
        <f>Alternatives!$F$25+Alternatives!$F$26*J657+Alternatives!$F$27*K657+Alternatives!$F$28*G657+Alternatives!$F$29*O657</f>
        <v>4.0377821250204367</v>
      </c>
      <c r="AQ657" s="4">
        <f t="shared" si="340"/>
        <v>-0.7125518785825693</v>
      </c>
    </row>
    <row r="658" spans="1:43" x14ac:dyDescent="0.35">
      <c r="A658" s="2" t="s">
        <v>561</v>
      </c>
      <c r="B658" s="2" t="s">
        <v>505</v>
      </c>
      <c r="C658" s="2" t="s">
        <v>67</v>
      </c>
      <c r="D658" s="2">
        <v>18.530200000000001</v>
      </c>
      <c r="E658" s="2">
        <v>5500</v>
      </c>
      <c r="F658" s="2">
        <v>621</v>
      </c>
      <c r="G658" s="2">
        <v>61.1</v>
      </c>
      <c r="H658" s="2" t="s">
        <v>68</v>
      </c>
      <c r="I658" s="4">
        <f t="shared" si="310"/>
        <v>2.9194018335471701</v>
      </c>
      <c r="J658" s="4">
        <f t="shared" si="311"/>
        <v>8.6125033712205621</v>
      </c>
      <c r="K658" s="4">
        <f t="shared" si="312"/>
        <v>6.4313310819334788</v>
      </c>
      <c r="L658" s="2">
        <v>0</v>
      </c>
      <c r="M658" s="2">
        <v>0</v>
      </c>
      <c r="N658" s="4">
        <f t="shared" si="313"/>
        <v>61.1</v>
      </c>
      <c r="O658" s="4">
        <f t="shared" si="314"/>
        <v>0</v>
      </c>
      <c r="P658" s="4">
        <f t="shared" si="315"/>
        <v>0</v>
      </c>
      <c r="Q658" s="4">
        <f t="shared" si="316"/>
        <v>8.6125033712205621</v>
      </c>
      <c r="R658" s="4">
        <f t="shared" si="317"/>
        <v>6.4313310819334788</v>
      </c>
      <c r="S658" s="4">
        <f t="shared" si="318"/>
        <v>61.1</v>
      </c>
      <c r="T658" s="4">
        <f t="shared" si="319"/>
        <v>0</v>
      </c>
      <c r="U658" s="4">
        <f t="shared" si="320"/>
        <v>8.6125033712205621</v>
      </c>
      <c r="V658" s="4">
        <f t="shared" si="321"/>
        <v>6.4313310819334788</v>
      </c>
      <c r="W658" s="4">
        <f t="shared" si="322"/>
        <v>61.1</v>
      </c>
      <c r="X658" s="4">
        <f t="shared" si="323"/>
        <v>0</v>
      </c>
      <c r="Y658" s="4">
        <f t="shared" si="324"/>
        <v>8.6125033712205621</v>
      </c>
      <c r="Z658" s="4">
        <f t="shared" si="325"/>
        <v>6.4313310819334788</v>
      </c>
      <c r="AA658" s="4">
        <f t="shared" si="326"/>
        <v>61.1</v>
      </c>
      <c r="AB658" s="4">
        <f t="shared" si="327"/>
        <v>0</v>
      </c>
      <c r="AC658" s="4">
        <f t="shared" si="328"/>
        <v>0</v>
      </c>
      <c r="AD658" s="4">
        <f t="shared" si="329"/>
        <v>0</v>
      </c>
      <c r="AE658" s="4">
        <f t="shared" si="330"/>
        <v>0</v>
      </c>
      <c r="AF658" s="4">
        <f t="shared" si="331"/>
        <v>0</v>
      </c>
      <c r="AG658" s="4">
        <f t="shared" si="332"/>
        <v>8.6125033712205621</v>
      </c>
      <c r="AH658" s="4">
        <f t="shared" si="333"/>
        <v>0</v>
      </c>
      <c r="AI658" s="4">
        <f t="shared" si="334"/>
        <v>0</v>
      </c>
      <c r="AJ658" s="4">
        <f t="shared" si="335"/>
        <v>8.6125033712205621</v>
      </c>
      <c r="AK658" s="4">
        <f t="shared" si="336"/>
        <v>6.4313310819334788</v>
      </c>
      <c r="AL658" s="4">
        <f t="shared" si="337"/>
        <v>0</v>
      </c>
      <c r="AM658" s="4">
        <f>CER!$C$7+CER!$C$8*J658+CER!$C$9*K658+CER!$C$10*L658+CER!$C$11*M658</f>
        <v>2.9860311159247486</v>
      </c>
      <c r="AN658" s="4">
        <f t="shared" si="338"/>
        <v>19.806914936042613</v>
      </c>
      <c r="AO658" s="4">
        <f t="shared" si="339"/>
        <v>-6.662928237757848E-2</v>
      </c>
      <c r="AP658" s="4">
        <f>Alternatives!$F$25+Alternatives!$F$26*J658+Alternatives!$F$27*K658+Alternatives!$F$28*G658+Alternatives!$F$29*O658</f>
        <v>3.1255814320977042</v>
      </c>
      <c r="AQ658" s="4">
        <f t="shared" si="340"/>
        <v>-0.20617959855053414</v>
      </c>
    </row>
    <row r="659" spans="1:43" x14ac:dyDescent="0.35">
      <c r="A659" s="2" t="s">
        <v>562</v>
      </c>
      <c r="B659" s="2" t="s">
        <v>505</v>
      </c>
      <c r="C659" s="2" t="s">
        <v>33</v>
      </c>
      <c r="D659" s="2">
        <v>30.941299999999998</v>
      </c>
      <c r="E659" s="2">
        <v>6000</v>
      </c>
      <c r="F659" s="2">
        <v>362</v>
      </c>
      <c r="G659" s="2">
        <v>57.8</v>
      </c>
      <c r="H659" s="2" t="s">
        <v>68</v>
      </c>
      <c r="I659" s="4">
        <f t="shared" si="310"/>
        <v>3.4320918610689612</v>
      </c>
      <c r="J659" s="4">
        <f t="shared" si="311"/>
        <v>8.6995147482101913</v>
      </c>
      <c r="K659" s="4">
        <f t="shared" si="312"/>
        <v>5.8916442118257715</v>
      </c>
      <c r="L659" s="2">
        <v>1</v>
      </c>
      <c r="M659" s="2">
        <v>0</v>
      </c>
      <c r="N659" s="4">
        <f t="shared" si="313"/>
        <v>57.8</v>
      </c>
      <c r="O659" s="4">
        <f t="shared" si="314"/>
        <v>1</v>
      </c>
      <c r="P659" s="4">
        <f t="shared" si="315"/>
        <v>1</v>
      </c>
      <c r="Q659" s="4">
        <f t="shared" si="316"/>
        <v>8.6995147482101913</v>
      </c>
      <c r="R659" s="4">
        <f t="shared" si="317"/>
        <v>5.8916442118257715</v>
      </c>
      <c r="S659" s="4">
        <f t="shared" si="318"/>
        <v>57.8</v>
      </c>
      <c r="T659" s="4">
        <f t="shared" si="319"/>
        <v>1</v>
      </c>
      <c r="U659" s="4">
        <f t="shared" si="320"/>
        <v>8.6995147482101913</v>
      </c>
      <c r="V659" s="4">
        <f t="shared" si="321"/>
        <v>5.8916442118257715</v>
      </c>
      <c r="W659" s="4">
        <f t="shared" si="322"/>
        <v>57.8</v>
      </c>
      <c r="X659" s="4">
        <f t="shared" si="323"/>
        <v>1</v>
      </c>
      <c r="Y659" s="4">
        <f t="shared" si="324"/>
        <v>8.6995147482101913</v>
      </c>
      <c r="Z659" s="4">
        <f t="shared" si="325"/>
        <v>5.8916442118257715</v>
      </c>
      <c r="AA659" s="4">
        <f t="shared" si="326"/>
        <v>57.8</v>
      </c>
      <c r="AB659" s="4">
        <f t="shared" si="327"/>
        <v>1</v>
      </c>
      <c r="AC659" s="4">
        <f t="shared" si="328"/>
        <v>0</v>
      </c>
      <c r="AD659" s="4">
        <f t="shared" si="329"/>
        <v>0</v>
      </c>
      <c r="AE659" s="4">
        <f t="shared" si="330"/>
        <v>0</v>
      </c>
      <c r="AF659" s="4">
        <f t="shared" si="331"/>
        <v>0</v>
      </c>
      <c r="AG659" s="4">
        <f t="shared" si="332"/>
        <v>8.6995147482101913</v>
      </c>
      <c r="AH659" s="4">
        <f t="shared" si="333"/>
        <v>1</v>
      </c>
      <c r="AI659" s="4">
        <f t="shared" si="334"/>
        <v>0</v>
      </c>
      <c r="AJ659" s="4">
        <f t="shared" si="335"/>
        <v>8.6995147482101913</v>
      </c>
      <c r="AK659" s="4">
        <f t="shared" si="336"/>
        <v>5.8916442118257715</v>
      </c>
      <c r="AL659" s="4">
        <f t="shared" si="337"/>
        <v>0</v>
      </c>
      <c r="AM659" s="4">
        <f>CER!$C$7+CER!$C$8*J659+CER!$C$9*K659+CER!$C$10*L659+CER!$C$11*M659</f>
        <v>3.3695079202026195</v>
      </c>
      <c r="AN659" s="4">
        <f t="shared" si="338"/>
        <v>29.064221622090962</v>
      </c>
      <c r="AO659" s="4">
        <f t="shared" si="339"/>
        <v>6.2583940866341781E-2</v>
      </c>
      <c r="AP659" s="4">
        <f>Alternatives!$F$25+Alternatives!$F$26*J659+Alternatives!$F$27*K659+Alternatives!$F$28*G659+Alternatives!$F$29*O659</f>
        <v>4.1890632452397512</v>
      </c>
      <c r="AQ659" s="4">
        <f t="shared" si="340"/>
        <v>-0.75697138417078991</v>
      </c>
    </row>
    <row r="660" spans="1:43" x14ac:dyDescent="0.35">
      <c r="A660" s="2" t="s">
        <v>563</v>
      </c>
      <c r="B660" s="2" t="s">
        <v>564</v>
      </c>
      <c r="C660" s="2" t="s">
        <v>67</v>
      </c>
      <c r="D660" s="2">
        <v>21.360800000000001</v>
      </c>
      <c r="E660" s="2">
        <v>3500</v>
      </c>
      <c r="F660" s="2">
        <v>740</v>
      </c>
      <c r="G660" s="2">
        <v>47.1</v>
      </c>
      <c r="H660" s="2" t="s">
        <v>68</v>
      </c>
      <c r="I660" s="4">
        <f t="shared" si="310"/>
        <v>3.0615574665741616</v>
      </c>
      <c r="J660" s="4">
        <f t="shared" si="311"/>
        <v>8.1605182474775049</v>
      </c>
      <c r="K660" s="4">
        <f t="shared" si="312"/>
        <v>6.6066501861982152</v>
      </c>
      <c r="L660" s="2">
        <v>0</v>
      </c>
      <c r="M660" s="2">
        <v>0</v>
      </c>
      <c r="N660" s="4">
        <f t="shared" si="313"/>
        <v>47.1</v>
      </c>
      <c r="O660" s="4">
        <f t="shared" si="314"/>
        <v>0</v>
      </c>
      <c r="P660" s="4">
        <f t="shared" si="315"/>
        <v>0</v>
      </c>
      <c r="Q660" s="4">
        <f t="shared" si="316"/>
        <v>8.1605182474775049</v>
      </c>
      <c r="R660" s="4">
        <f t="shared" si="317"/>
        <v>6.6066501861982152</v>
      </c>
      <c r="S660" s="4">
        <f t="shared" si="318"/>
        <v>47.1</v>
      </c>
      <c r="T660" s="4">
        <f t="shared" si="319"/>
        <v>0</v>
      </c>
      <c r="U660" s="4">
        <f t="shared" si="320"/>
        <v>8.1605182474775049</v>
      </c>
      <c r="V660" s="4">
        <f t="shared" si="321"/>
        <v>6.6066501861982152</v>
      </c>
      <c r="W660" s="4">
        <f t="shared" si="322"/>
        <v>47.1</v>
      </c>
      <c r="X660" s="4">
        <f t="shared" si="323"/>
        <v>0</v>
      </c>
      <c r="Y660" s="4">
        <f t="shared" si="324"/>
        <v>8.1605182474775049</v>
      </c>
      <c r="Z660" s="4">
        <f t="shared" si="325"/>
        <v>6.6066501861982152</v>
      </c>
      <c r="AA660" s="4">
        <f t="shared" si="326"/>
        <v>47.1</v>
      </c>
      <c r="AB660" s="4">
        <f t="shared" si="327"/>
        <v>0</v>
      </c>
      <c r="AC660" s="4">
        <f t="shared" si="328"/>
        <v>0</v>
      </c>
      <c r="AD660" s="4">
        <f t="shared" si="329"/>
        <v>0</v>
      </c>
      <c r="AE660" s="4">
        <f t="shared" si="330"/>
        <v>0</v>
      </c>
      <c r="AF660" s="4">
        <f t="shared" si="331"/>
        <v>0</v>
      </c>
      <c r="AG660" s="4">
        <f t="shared" si="332"/>
        <v>8.1605182474775049</v>
      </c>
      <c r="AH660" s="4">
        <f t="shared" si="333"/>
        <v>0</v>
      </c>
      <c r="AI660" s="4">
        <f t="shared" si="334"/>
        <v>0</v>
      </c>
      <c r="AJ660" s="4">
        <f t="shared" si="335"/>
        <v>8.1605182474775049</v>
      </c>
      <c r="AK660" s="4">
        <f t="shared" si="336"/>
        <v>6.6066501861982152</v>
      </c>
      <c r="AL660" s="4">
        <f t="shared" si="337"/>
        <v>0</v>
      </c>
      <c r="AM660" s="4">
        <f>CER!$C$7+CER!$C$8*J660+CER!$C$9*K660+CER!$C$10*L660+CER!$C$11*M660</f>
        <v>3.1259660219388721</v>
      </c>
      <c r="AN660" s="4">
        <f t="shared" si="338"/>
        <v>22.781892274682651</v>
      </c>
      <c r="AO660" s="4">
        <f t="shared" si="339"/>
        <v>-6.4408555364710462E-2</v>
      </c>
      <c r="AP660" s="4">
        <f>Alternatives!$F$25+Alternatives!$F$26*J660+Alternatives!$F$27*K660+Alternatives!$F$28*G660+Alternatives!$F$29*O660</f>
        <v>3.0937563178745879</v>
      </c>
      <c r="AQ660" s="4">
        <f t="shared" si="340"/>
        <v>-3.2198851300426323E-2</v>
      </c>
    </row>
    <row r="661" spans="1:43" x14ac:dyDescent="0.35">
      <c r="A661" s="2" t="s">
        <v>565</v>
      </c>
      <c r="B661" s="2" t="s">
        <v>564</v>
      </c>
      <c r="C661" s="2" t="s">
        <v>67</v>
      </c>
      <c r="D661" s="2">
        <v>21.360800000000001</v>
      </c>
      <c r="E661" s="2">
        <v>3500</v>
      </c>
      <c r="F661" s="2">
        <v>740</v>
      </c>
      <c r="G661" s="2">
        <v>47.1</v>
      </c>
      <c r="H661" s="2" t="s">
        <v>68</v>
      </c>
      <c r="I661" s="4">
        <f t="shared" si="310"/>
        <v>3.0615574665741616</v>
      </c>
      <c r="J661" s="4">
        <f t="shared" si="311"/>
        <v>8.1605182474775049</v>
      </c>
      <c r="K661" s="4">
        <f t="shared" si="312"/>
        <v>6.6066501861982152</v>
      </c>
      <c r="L661" s="2">
        <v>0</v>
      </c>
      <c r="M661" s="2">
        <v>0</v>
      </c>
      <c r="N661" s="4">
        <f t="shared" si="313"/>
        <v>47.1</v>
      </c>
      <c r="O661" s="4">
        <f t="shared" si="314"/>
        <v>0</v>
      </c>
      <c r="P661" s="4">
        <f t="shared" si="315"/>
        <v>0</v>
      </c>
      <c r="Q661" s="4">
        <f t="shared" si="316"/>
        <v>8.1605182474775049</v>
      </c>
      <c r="R661" s="4">
        <f t="shared" si="317"/>
        <v>6.6066501861982152</v>
      </c>
      <c r="S661" s="4">
        <f t="shared" si="318"/>
        <v>47.1</v>
      </c>
      <c r="T661" s="4">
        <f t="shared" si="319"/>
        <v>0</v>
      </c>
      <c r="U661" s="4">
        <f t="shared" si="320"/>
        <v>8.1605182474775049</v>
      </c>
      <c r="V661" s="4">
        <f t="shared" si="321"/>
        <v>6.6066501861982152</v>
      </c>
      <c r="W661" s="4">
        <f t="shared" si="322"/>
        <v>47.1</v>
      </c>
      <c r="X661" s="4">
        <f t="shared" si="323"/>
        <v>0</v>
      </c>
      <c r="Y661" s="4">
        <f t="shared" si="324"/>
        <v>8.1605182474775049</v>
      </c>
      <c r="Z661" s="4">
        <f t="shared" si="325"/>
        <v>6.6066501861982152</v>
      </c>
      <c r="AA661" s="4">
        <f t="shared" si="326"/>
        <v>47.1</v>
      </c>
      <c r="AB661" s="4">
        <f t="shared" si="327"/>
        <v>0</v>
      </c>
      <c r="AC661" s="4">
        <f t="shared" si="328"/>
        <v>0</v>
      </c>
      <c r="AD661" s="4">
        <f t="shared" si="329"/>
        <v>0</v>
      </c>
      <c r="AE661" s="4">
        <f t="shared" si="330"/>
        <v>0</v>
      </c>
      <c r="AF661" s="4">
        <f t="shared" si="331"/>
        <v>0</v>
      </c>
      <c r="AG661" s="4">
        <f t="shared" si="332"/>
        <v>8.1605182474775049</v>
      </c>
      <c r="AH661" s="4">
        <f t="shared" si="333"/>
        <v>0</v>
      </c>
      <c r="AI661" s="4">
        <f t="shared" si="334"/>
        <v>0</v>
      </c>
      <c r="AJ661" s="4">
        <f t="shared" si="335"/>
        <v>8.1605182474775049</v>
      </c>
      <c r="AK661" s="4">
        <f t="shared" si="336"/>
        <v>6.6066501861982152</v>
      </c>
      <c r="AL661" s="4">
        <f t="shared" si="337"/>
        <v>0</v>
      </c>
      <c r="AM661" s="4">
        <f>CER!$C$7+CER!$C$8*J661+CER!$C$9*K661+CER!$C$10*L661+CER!$C$11*M661</f>
        <v>3.1259660219388721</v>
      </c>
      <c r="AN661" s="4">
        <f t="shared" si="338"/>
        <v>22.781892274682651</v>
      </c>
      <c r="AO661" s="4">
        <f t="shared" si="339"/>
        <v>-6.4408555364710462E-2</v>
      </c>
      <c r="AP661" s="4">
        <f>Alternatives!$F$25+Alternatives!$F$26*J661+Alternatives!$F$27*K661+Alternatives!$F$28*G661+Alternatives!$F$29*O661</f>
        <v>3.0937563178745879</v>
      </c>
      <c r="AQ661" s="4">
        <f t="shared" si="340"/>
        <v>-3.2198851300426323E-2</v>
      </c>
    </row>
    <row r="662" spans="1:43" x14ac:dyDescent="0.35">
      <c r="A662" s="2" t="s">
        <v>566</v>
      </c>
      <c r="B662" s="2" t="s">
        <v>564</v>
      </c>
      <c r="C662" s="2" t="s">
        <v>33</v>
      </c>
      <c r="D662" s="2">
        <v>23.291699999999999</v>
      </c>
      <c r="E662" s="2">
        <v>3500</v>
      </c>
      <c r="F662" s="2">
        <v>577</v>
      </c>
      <c r="G662" s="2">
        <v>46.3</v>
      </c>
      <c r="H662" s="2" t="s">
        <v>68</v>
      </c>
      <c r="I662" s="4">
        <f t="shared" si="310"/>
        <v>3.1480970739331418</v>
      </c>
      <c r="J662" s="4">
        <f t="shared" si="311"/>
        <v>8.1605182474775049</v>
      </c>
      <c r="K662" s="4">
        <f t="shared" si="312"/>
        <v>6.3578422665080998</v>
      </c>
      <c r="L662" s="2">
        <v>1</v>
      </c>
      <c r="M662" s="2">
        <v>0</v>
      </c>
      <c r="N662" s="4">
        <f t="shared" si="313"/>
        <v>46.3</v>
      </c>
      <c r="O662" s="4">
        <f t="shared" si="314"/>
        <v>1</v>
      </c>
      <c r="P662" s="4">
        <f t="shared" si="315"/>
        <v>1</v>
      </c>
      <c r="Q662" s="4">
        <f t="shared" si="316"/>
        <v>8.1605182474775049</v>
      </c>
      <c r="R662" s="4">
        <f t="shared" si="317"/>
        <v>6.3578422665080998</v>
      </c>
      <c r="S662" s="4">
        <f t="shared" si="318"/>
        <v>46.3</v>
      </c>
      <c r="T662" s="4">
        <f t="shared" si="319"/>
        <v>1</v>
      </c>
      <c r="U662" s="4">
        <f t="shared" si="320"/>
        <v>8.1605182474775049</v>
      </c>
      <c r="V662" s="4">
        <f t="shared" si="321"/>
        <v>6.3578422665080998</v>
      </c>
      <c r="W662" s="4">
        <f t="shared" si="322"/>
        <v>46.3</v>
      </c>
      <c r="X662" s="4">
        <f t="shared" si="323"/>
        <v>1</v>
      </c>
      <c r="Y662" s="4">
        <f t="shared" si="324"/>
        <v>8.1605182474775049</v>
      </c>
      <c r="Z662" s="4">
        <f t="shared" si="325"/>
        <v>6.3578422665080998</v>
      </c>
      <c r="AA662" s="4">
        <f t="shared" si="326"/>
        <v>46.3</v>
      </c>
      <c r="AB662" s="4">
        <f t="shared" si="327"/>
        <v>1</v>
      </c>
      <c r="AC662" s="4">
        <f t="shared" si="328"/>
        <v>0</v>
      </c>
      <c r="AD662" s="4">
        <f t="shared" si="329"/>
        <v>0</v>
      </c>
      <c r="AE662" s="4">
        <f t="shared" si="330"/>
        <v>0</v>
      </c>
      <c r="AF662" s="4">
        <f t="shared" si="331"/>
        <v>0</v>
      </c>
      <c r="AG662" s="4">
        <f t="shared" si="332"/>
        <v>8.1605182474775049</v>
      </c>
      <c r="AH662" s="4">
        <f t="shared" si="333"/>
        <v>1</v>
      </c>
      <c r="AI662" s="4">
        <f t="shared" si="334"/>
        <v>0</v>
      </c>
      <c r="AJ662" s="4">
        <f t="shared" si="335"/>
        <v>8.1605182474775049</v>
      </c>
      <c r="AK662" s="4">
        <f t="shared" si="336"/>
        <v>6.3578422665080998</v>
      </c>
      <c r="AL662" s="4">
        <f t="shared" si="337"/>
        <v>0</v>
      </c>
      <c r="AM662" s="4">
        <f>CER!$C$7+CER!$C$8*J662+CER!$C$9*K662+CER!$C$10*L662+CER!$C$11*M662</f>
        <v>3.4415157098381899</v>
      </c>
      <c r="AN662" s="4">
        <f t="shared" si="338"/>
        <v>31.234264389824382</v>
      </c>
      <c r="AO662" s="4">
        <f t="shared" si="339"/>
        <v>-0.29341863590504813</v>
      </c>
      <c r="AP662" s="4">
        <f>Alternatives!$F$25+Alternatives!$F$26*J662+Alternatives!$F$27*K662+Alternatives!$F$28*G662+Alternatives!$F$29*O662</f>
        <v>4.0151123659412935</v>
      </c>
      <c r="AQ662" s="4">
        <f t="shared" si="340"/>
        <v>-0.86701529200815175</v>
      </c>
    </row>
    <row r="663" spans="1:43" x14ac:dyDescent="0.35">
      <c r="A663" s="2" t="s">
        <v>567</v>
      </c>
      <c r="B663" s="2" t="s">
        <v>568</v>
      </c>
      <c r="C663" s="2" t="s">
        <v>67</v>
      </c>
      <c r="D663" s="2">
        <v>54.807299999999998</v>
      </c>
      <c r="E663" s="2">
        <v>2250</v>
      </c>
      <c r="F663" s="2">
        <v>78</v>
      </c>
      <c r="G663" s="2">
        <v>37.5</v>
      </c>
      <c r="H663" s="2" t="s">
        <v>68</v>
      </c>
      <c r="I663" s="4">
        <f t="shared" si="310"/>
        <v>4.0038233967609145</v>
      </c>
      <c r="J663" s="4">
        <f t="shared" si="311"/>
        <v>7.718685495198466</v>
      </c>
      <c r="K663" s="4">
        <f t="shared" si="312"/>
        <v>4.3567088266895917</v>
      </c>
      <c r="L663" s="2">
        <v>0</v>
      </c>
      <c r="M663" s="2">
        <v>0</v>
      </c>
      <c r="N663" s="4">
        <f t="shared" si="313"/>
        <v>37.5</v>
      </c>
      <c r="O663" s="4">
        <f t="shared" si="314"/>
        <v>0</v>
      </c>
      <c r="P663" s="4">
        <f t="shared" si="315"/>
        <v>0</v>
      </c>
      <c r="Q663" s="4">
        <f t="shared" si="316"/>
        <v>7.718685495198466</v>
      </c>
      <c r="R663" s="4">
        <f t="shared" si="317"/>
        <v>4.3567088266895917</v>
      </c>
      <c r="S663" s="4">
        <f t="shared" si="318"/>
        <v>37.5</v>
      </c>
      <c r="T663" s="4">
        <f t="shared" si="319"/>
        <v>0</v>
      </c>
      <c r="U663" s="4">
        <f t="shared" si="320"/>
        <v>7.718685495198466</v>
      </c>
      <c r="V663" s="4">
        <f t="shared" si="321"/>
        <v>4.3567088266895917</v>
      </c>
      <c r="W663" s="4">
        <f t="shared" si="322"/>
        <v>37.5</v>
      </c>
      <c r="X663" s="4">
        <f t="shared" si="323"/>
        <v>0</v>
      </c>
      <c r="Y663" s="4">
        <f t="shared" si="324"/>
        <v>7.718685495198466</v>
      </c>
      <c r="Z663" s="4">
        <f t="shared" si="325"/>
        <v>4.3567088266895917</v>
      </c>
      <c r="AA663" s="4">
        <f t="shared" si="326"/>
        <v>37.5</v>
      </c>
      <c r="AB663" s="4">
        <f t="shared" si="327"/>
        <v>0</v>
      </c>
      <c r="AC663" s="4">
        <f t="shared" si="328"/>
        <v>0</v>
      </c>
      <c r="AD663" s="4">
        <f t="shared" si="329"/>
        <v>0</v>
      </c>
      <c r="AE663" s="4">
        <f t="shared" si="330"/>
        <v>0</v>
      </c>
      <c r="AF663" s="4">
        <f t="shared" si="331"/>
        <v>0</v>
      </c>
      <c r="AG663" s="4">
        <f t="shared" si="332"/>
        <v>7.718685495198466</v>
      </c>
      <c r="AH663" s="4">
        <f t="shared" si="333"/>
        <v>0</v>
      </c>
      <c r="AI663" s="4">
        <f t="shared" si="334"/>
        <v>0</v>
      </c>
      <c r="AJ663" s="4">
        <f t="shared" si="335"/>
        <v>7.718685495198466</v>
      </c>
      <c r="AK663" s="4">
        <f t="shared" si="336"/>
        <v>4.3567088266895917</v>
      </c>
      <c r="AL663" s="4">
        <f t="shared" si="337"/>
        <v>0</v>
      </c>
      <c r="AM663" s="4">
        <f>CER!$C$7+CER!$C$8*J663+CER!$C$9*K663+CER!$C$10*L663+CER!$C$11*M663</f>
        <v>4.1560894594057149</v>
      </c>
      <c r="AN663" s="4">
        <f t="shared" si="338"/>
        <v>63.821457573263878</v>
      </c>
      <c r="AO663" s="4">
        <f t="shared" si="339"/>
        <v>-0.15226606264480047</v>
      </c>
      <c r="AP663" s="4">
        <f>Alternatives!$F$25+Alternatives!$F$26*J663+Alternatives!$F$27*K663+Alternatives!$F$28*G663+Alternatives!$F$29*O663</f>
        <v>3.6538422541764035</v>
      </c>
      <c r="AQ663" s="4">
        <f t="shared" si="340"/>
        <v>0.34998114258451096</v>
      </c>
    </row>
    <row r="664" spans="1:43" x14ac:dyDescent="0.35">
      <c r="A664" s="2" t="s">
        <v>569</v>
      </c>
      <c r="B664" s="2" t="s">
        <v>568</v>
      </c>
      <c r="C664" s="2" t="s">
        <v>67</v>
      </c>
      <c r="D664" s="2">
        <v>52.628300000000003</v>
      </c>
      <c r="E664" s="2">
        <v>2500</v>
      </c>
      <c r="F664" s="2">
        <v>78</v>
      </c>
      <c r="G664" s="2">
        <v>39.5</v>
      </c>
      <c r="H664" s="2" t="s">
        <v>68</v>
      </c>
      <c r="I664" s="4">
        <f t="shared" si="310"/>
        <v>3.963253997874971</v>
      </c>
      <c r="J664" s="4">
        <f t="shared" si="311"/>
        <v>7.8240460108562919</v>
      </c>
      <c r="K664" s="4">
        <f t="shared" si="312"/>
        <v>4.3567088266895917</v>
      </c>
      <c r="L664" s="2">
        <v>0</v>
      </c>
      <c r="M664" s="2">
        <v>0</v>
      </c>
      <c r="N664" s="4">
        <f t="shared" si="313"/>
        <v>39.5</v>
      </c>
      <c r="O664" s="4">
        <f t="shared" si="314"/>
        <v>0</v>
      </c>
      <c r="P664" s="4">
        <f t="shared" si="315"/>
        <v>0</v>
      </c>
      <c r="Q664" s="4">
        <f t="shared" si="316"/>
        <v>7.8240460108562919</v>
      </c>
      <c r="R664" s="4">
        <f t="shared" si="317"/>
        <v>4.3567088266895917</v>
      </c>
      <c r="S664" s="4">
        <f t="shared" si="318"/>
        <v>39.5</v>
      </c>
      <c r="T664" s="4">
        <f t="shared" si="319"/>
        <v>0</v>
      </c>
      <c r="U664" s="4">
        <f t="shared" si="320"/>
        <v>7.8240460108562919</v>
      </c>
      <c r="V664" s="4">
        <f t="shared" si="321"/>
        <v>4.3567088266895917</v>
      </c>
      <c r="W664" s="4">
        <f t="shared" si="322"/>
        <v>39.5</v>
      </c>
      <c r="X664" s="4">
        <f t="shared" si="323"/>
        <v>0</v>
      </c>
      <c r="Y664" s="4">
        <f t="shared" si="324"/>
        <v>7.8240460108562919</v>
      </c>
      <c r="Z664" s="4">
        <f t="shared" si="325"/>
        <v>4.3567088266895917</v>
      </c>
      <c r="AA664" s="4">
        <f t="shared" si="326"/>
        <v>39.5</v>
      </c>
      <c r="AB664" s="4">
        <f t="shared" si="327"/>
        <v>0</v>
      </c>
      <c r="AC664" s="4">
        <f t="shared" si="328"/>
        <v>0</v>
      </c>
      <c r="AD664" s="4">
        <f t="shared" si="329"/>
        <v>0</v>
      </c>
      <c r="AE664" s="4">
        <f t="shared" si="330"/>
        <v>0</v>
      </c>
      <c r="AF664" s="4">
        <f t="shared" si="331"/>
        <v>0</v>
      </c>
      <c r="AG664" s="4">
        <f t="shared" si="332"/>
        <v>7.8240460108562919</v>
      </c>
      <c r="AH664" s="4">
        <f t="shared" si="333"/>
        <v>0</v>
      </c>
      <c r="AI664" s="4">
        <f t="shared" si="334"/>
        <v>0</v>
      </c>
      <c r="AJ664" s="4">
        <f t="shared" si="335"/>
        <v>7.8240460108562919</v>
      </c>
      <c r="AK664" s="4">
        <f t="shared" si="336"/>
        <v>4.3567088266895917</v>
      </c>
      <c r="AL664" s="4">
        <f t="shared" si="337"/>
        <v>0</v>
      </c>
      <c r="AM664" s="4">
        <f>CER!$C$7+CER!$C$8*J664+CER!$C$9*K664+CER!$C$10*L664+CER!$C$11*M664</f>
        <v>4.1083917931189902</v>
      </c>
      <c r="AN664" s="4">
        <f t="shared" si="338"/>
        <v>60.848781410961841</v>
      </c>
      <c r="AO664" s="4">
        <f t="shared" si="339"/>
        <v>-0.14513779524401915</v>
      </c>
      <c r="AP664" s="4">
        <f>Alternatives!$F$25+Alternatives!$F$26*J664+Alternatives!$F$27*K664+Alternatives!$F$28*G664+Alternatives!$F$29*O664</f>
        <v>3.6668200745816781</v>
      </c>
      <c r="AQ664" s="4">
        <f t="shared" si="340"/>
        <v>0.29643392329329288</v>
      </c>
    </row>
    <row r="665" spans="1:43" x14ac:dyDescent="0.35">
      <c r="A665" s="2" t="s">
        <v>570</v>
      </c>
      <c r="B665" s="2" t="s">
        <v>568</v>
      </c>
      <c r="C665" s="2" t="s">
        <v>33</v>
      </c>
      <c r="D665" s="2">
        <v>38.451300000000003</v>
      </c>
      <c r="E665" s="2">
        <v>5000</v>
      </c>
      <c r="F665" s="2">
        <v>131</v>
      </c>
      <c r="G665" s="2">
        <v>46.4</v>
      </c>
      <c r="H665" s="2" t="s">
        <v>68</v>
      </c>
      <c r="I665" s="4">
        <f t="shared" si="310"/>
        <v>3.6493925055231458</v>
      </c>
      <c r="J665" s="4">
        <f t="shared" si="311"/>
        <v>8.5171931914162382</v>
      </c>
      <c r="K665" s="4">
        <f t="shared" si="312"/>
        <v>4.8751973232011512</v>
      </c>
      <c r="L665" s="2">
        <v>1</v>
      </c>
      <c r="M665" s="2">
        <v>0</v>
      </c>
      <c r="N665" s="4">
        <f t="shared" si="313"/>
        <v>46.4</v>
      </c>
      <c r="O665" s="4">
        <f t="shared" si="314"/>
        <v>1</v>
      </c>
      <c r="P665" s="4">
        <f t="shared" si="315"/>
        <v>1</v>
      </c>
      <c r="Q665" s="4">
        <f t="shared" si="316"/>
        <v>8.5171931914162382</v>
      </c>
      <c r="R665" s="4">
        <f t="shared" si="317"/>
        <v>4.8751973232011512</v>
      </c>
      <c r="S665" s="4">
        <f t="shared" si="318"/>
        <v>46.4</v>
      </c>
      <c r="T665" s="4">
        <f t="shared" si="319"/>
        <v>1</v>
      </c>
      <c r="U665" s="4">
        <f t="shared" si="320"/>
        <v>8.5171931914162382</v>
      </c>
      <c r="V665" s="4">
        <f t="shared" si="321"/>
        <v>4.8751973232011512</v>
      </c>
      <c r="W665" s="4">
        <f t="shared" si="322"/>
        <v>46.4</v>
      </c>
      <c r="X665" s="4">
        <f t="shared" si="323"/>
        <v>1</v>
      </c>
      <c r="Y665" s="4">
        <f t="shared" si="324"/>
        <v>8.5171931914162382</v>
      </c>
      <c r="Z665" s="4">
        <f t="shared" si="325"/>
        <v>4.8751973232011512</v>
      </c>
      <c r="AA665" s="4">
        <f t="shared" si="326"/>
        <v>46.4</v>
      </c>
      <c r="AB665" s="4">
        <f t="shared" si="327"/>
        <v>1</v>
      </c>
      <c r="AC665" s="4">
        <f t="shared" si="328"/>
        <v>0</v>
      </c>
      <c r="AD665" s="4">
        <f t="shared" si="329"/>
        <v>0</v>
      </c>
      <c r="AE665" s="4">
        <f t="shared" si="330"/>
        <v>0</v>
      </c>
      <c r="AF665" s="4">
        <f t="shared" si="331"/>
        <v>0</v>
      </c>
      <c r="AG665" s="4">
        <f t="shared" si="332"/>
        <v>8.5171931914162382</v>
      </c>
      <c r="AH665" s="4">
        <f t="shared" si="333"/>
        <v>1</v>
      </c>
      <c r="AI665" s="4">
        <f t="shared" si="334"/>
        <v>0</v>
      </c>
      <c r="AJ665" s="4">
        <f t="shared" si="335"/>
        <v>8.5171931914162382</v>
      </c>
      <c r="AK665" s="4">
        <f t="shared" si="336"/>
        <v>4.8751973232011512</v>
      </c>
      <c r="AL665" s="4">
        <f t="shared" si="337"/>
        <v>0</v>
      </c>
      <c r="AM665" s="4">
        <f>CER!$C$7+CER!$C$8*J665+CER!$C$9*K665+CER!$C$10*L665+CER!$C$11*M665</f>
        <v>3.8270582417056529</v>
      </c>
      <c r="AN665" s="4">
        <f t="shared" si="338"/>
        <v>45.927232496271046</v>
      </c>
      <c r="AO665" s="4">
        <f t="shared" si="339"/>
        <v>-0.17766573618250714</v>
      </c>
      <c r="AP665" s="4">
        <f>Alternatives!$F$25+Alternatives!$F$26*J665+Alternatives!$F$27*K665+Alternatives!$F$28*G665+Alternatives!$F$29*O665</f>
        <v>4.5403586282612709</v>
      </c>
      <c r="AQ665" s="4">
        <f t="shared" si="340"/>
        <v>-0.89096612273812514</v>
      </c>
    </row>
    <row r="666" spans="1:43" x14ac:dyDescent="0.35">
      <c r="A666" s="2" t="s">
        <v>571</v>
      </c>
      <c r="B666" s="2" t="s">
        <v>568</v>
      </c>
      <c r="C666" s="2" t="s">
        <v>67</v>
      </c>
      <c r="D666" s="2">
        <v>35.555</v>
      </c>
      <c r="E666" s="2">
        <v>3500</v>
      </c>
      <c r="F666" s="2">
        <v>148</v>
      </c>
      <c r="G666" s="2">
        <v>43.8</v>
      </c>
      <c r="H666" s="2" t="s">
        <v>68</v>
      </c>
      <c r="I666" s="4">
        <f t="shared" si="310"/>
        <v>3.5710807933354811</v>
      </c>
      <c r="J666" s="4">
        <f t="shared" si="311"/>
        <v>8.1605182474775049</v>
      </c>
      <c r="K666" s="4">
        <f t="shared" si="312"/>
        <v>4.9972122737641147</v>
      </c>
      <c r="L666" s="2">
        <v>0</v>
      </c>
      <c r="M666" s="2">
        <v>0</v>
      </c>
      <c r="N666" s="4">
        <f t="shared" si="313"/>
        <v>43.8</v>
      </c>
      <c r="O666" s="4">
        <f t="shared" si="314"/>
        <v>0</v>
      </c>
      <c r="P666" s="4">
        <f t="shared" si="315"/>
        <v>0</v>
      </c>
      <c r="Q666" s="4">
        <f t="shared" si="316"/>
        <v>8.1605182474775049</v>
      </c>
      <c r="R666" s="4">
        <f t="shared" si="317"/>
        <v>4.9972122737641147</v>
      </c>
      <c r="S666" s="4">
        <f t="shared" si="318"/>
        <v>43.8</v>
      </c>
      <c r="T666" s="4">
        <f t="shared" si="319"/>
        <v>0</v>
      </c>
      <c r="U666" s="4">
        <f t="shared" si="320"/>
        <v>8.1605182474775049</v>
      </c>
      <c r="V666" s="4">
        <f t="shared" si="321"/>
        <v>4.9972122737641147</v>
      </c>
      <c r="W666" s="4">
        <f t="shared" si="322"/>
        <v>43.8</v>
      </c>
      <c r="X666" s="4">
        <f t="shared" si="323"/>
        <v>0</v>
      </c>
      <c r="Y666" s="4">
        <f t="shared" si="324"/>
        <v>8.1605182474775049</v>
      </c>
      <c r="Z666" s="4">
        <f t="shared" si="325"/>
        <v>4.9972122737641147</v>
      </c>
      <c r="AA666" s="4">
        <f t="shared" si="326"/>
        <v>43.8</v>
      </c>
      <c r="AB666" s="4">
        <f t="shared" si="327"/>
        <v>0</v>
      </c>
      <c r="AC666" s="4">
        <f t="shared" si="328"/>
        <v>0</v>
      </c>
      <c r="AD666" s="4">
        <f t="shared" si="329"/>
        <v>0</v>
      </c>
      <c r="AE666" s="4">
        <f t="shared" si="330"/>
        <v>0</v>
      </c>
      <c r="AF666" s="4">
        <f t="shared" si="331"/>
        <v>0</v>
      </c>
      <c r="AG666" s="4">
        <f t="shared" si="332"/>
        <v>8.1605182474775049</v>
      </c>
      <c r="AH666" s="4">
        <f t="shared" si="333"/>
        <v>0</v>
      </c>
      <c r="AI666" s="4">
        <f t="shared" si="334"/>
        <v>0</v>
      </c>
      <c r="AJ666" s="4">
        <f t="shared" si="335"/>
        <v>8.1605182474775049</v>
      </c>
      <c r="AK666" s="4">
        <f t="shared" si="336"/>
        <v>4.9972122737641147</v>
      </c>
      <c r="AL666" s="4">
        <f t="shared" si="337"/>
        <v>0</v>
      </c>
      <c r="AM666" s="4">
        <f>CER!$C$7+CER!$C$8*J666+CER!$C$9*K666+CER!$C$10*L666+CER!$C$11*M666</f>
        <v>3.7197580225912956</v>
      </c>
      <c r="AN666" s="4">
        <f t="shared" si="338"/>
        <v>41.254410265433606</v>
      </c>
      <c r="AO666" s="4">
        <f t="shared" si="339"/>
        <v>-0.1486772292558145</v>
      </c>
      <c r="AP666" s="4">
        <f>Alternatives!$F$25+Alternatives!$F$26*J666+Alternatives!$F$27*K666+Alternatives!$F$28*G666+Alternatives!$F$29*O666</f>
        <v>3.5649679270945045</v>
      </c>
      <c r="AQ666" s="4">
        <f t="shared" si="340"/>
        <v>6.1128662409766221E-3</v>
      </c>
    </row>
    <row r="667" spans="1:43" x14ac:dyDescent="0.35">
      <c r="A667" s="2" t="s">
        <v>572</v>
      </c>
      <c r="B667" s="2" t="s">
        <v>568</v>
      </c>
      <c r="C667" s="2" t="s">
        <v>67</v>
      </c>
      <c r="D667" s="2">
        <v>34.468400000000003</v>
      </c>
      <c r="E667" s="2">
        <v>3500</v>
      </c>
      <c r="F667" s="2">
        <v>148</v>
      </c>
      <c r="G667" s="2">
        <v>43.8</v>
      </c>
      <c r="H667" s="2" t="s">
        <v>68</v>
      </c>
      <c r="I667" s="4">
        <f t="shared" si="310"/>
        <v>3.5400429622771092</v>
      </c>
      <c r="J667" s="4">
        <f t="shared" si="311"/>
        <v>8.1605182474775049</v>
      </c>
      <c r="K667" s="4">
        <f t="shared" si="312"/>
        <v>4.9972122737641147</v>
      </c>
      <c r="L667" s="2">
        <v>0</v>
      </c>
      <c r="M667" s="2">
        <v>0</v>
      </c>
      <c r="N667" s="4">
        <f t="shared" si="313"/>
        <v>43.8</v>
      </c>
      <c r="O667" s="4">
        <f t="shared" si="314"/>
        <v>0</v>
      </c>
      <c r="P667" s="4">
        <f t="shared" si="315"/>
        <v>0</v>
      </c>
      <c r="Q667" s="4">
        <f t="shared" si="316"/>
        <v>8.1605182474775049</v>
      </c>
      <c r="R667" s="4">
        <f t="shared" si="317"/>
        <v>4.9972122737641147</v>
      </c>
      <c r="S667" s="4">
        <f t="shared" si="318"/>
        <v>43.8</v>
      </c>
      <c r="T667" s="4">
        <f t="shared" si="319"/>
        <v>0</v>
      </c>
      <c r="U667" s="4">
        <f t="shared" si="320"/>
        <v>8.1605182474775049</v>
      </c>
      <c r="V667" s="4">
        <f t="shared" si="321"/>
        <v>4.9972122737641147</v>
      </c>
      <c r="W667" s="4">
        <f t="shared" si="322"/>
        <v>43.8</v>
      </c>
      <c r="X667" s="4">
        <f t="shared" si="323"/>
        <v>0</v>
      </c>
      <c r="Y667" s="4">
        <f t="shared" si="324"/>
        <v>8.1605182474775049</v>
      </c>
      <c r="Z667" s="4">
        <f t="shared" si="325"/>
        <v>4.9972122737641147</v>
      </c>
      <c r="AA667" s="4">
        <f t="shared" si="326"/>
        <v>43.8</v>
      </c>
      <c r="AB667" s="4">
        <f t="shared" si="327"/>
        <v>0</v>
      </c>
      <c r="AC667" s="4">
        <f t="shared" si="328"/>
        <v>0</v>
      </c>
      <c r="AD667" s="4">
        <f t="shared" si="329"/>
        <v>0</v>
      </c>
      <c r="AE667" s="4">
        <f t="shared" si="330"/>
        <v>0</v>
      </c>
      <c r="AF667" s="4">
        <f t="shared" si="331"/>
        <v>0</v>
      </c>
      <c r="AG667" s="4">
        <f t="shared" si="332"/>
        <v>8.1605182474775049</v>
      </c>
      <c r="AH667" s="4">
        <f t="shared" si="333"/>
        <v>0</v>
      </c>
      <c r="AI667" s="4">
        <f t="shared" si="334"/>
        <v>0</v>
      </c>
      <c r="AJ667" s="4">
        <f t="shared" si="335"/>
        <v>8.1605182474775049</v>
      </c>
      <c r="AK667" s="4">
        <f t="shared" si="336"/>
        <v>4.9972122737641147</v>
      </c>
      <c r="AL667" s="4">
        <f t="shared" si="337"/>
        <v>0</v>
      </c>
      <c r="AM667" s="4">
        <f>CER!$C$7+CER!$C$8*J667+CER!$C$9*K667+CER!$C$10*L667+CER!$C$11*M667</f>
        <v>3.7197580225912956</v>
      </c>
      <c r="AN667" s="4">
        <f t="shared" si="338"/>
        <v>41.254410265433606</v>
      </c>
      <c r="AO667" s="4">
        <f t="shared" si="339"/>
        <v>-0.17971506031418638</v>
      </c>
      <c r="AP667" s="4">
        <f>Alternatives!$F$25+Alternatives!$F$26*J667+Alternatives!$F$27*K667+Alternatives!$F$28*G667+Alternatives!$F$29*O667</f>
        <v>3.5649679270945045</v>
      </c>
      <c r="AQ667" s="4">
        <f t="shared" si="340"/>
        <v>-2.4924964817395256E-2</v>
      </c>
    </row>
    <row r="668" spans="1:43" x14ac:dyDescent="0.35">
      <c r="A668" s="2" t="s">
        <v>572</v>
      </c>
      <c r="B668" s="2" t="s">
        <v>568</v>
      </c>
      <c r="C668" s="2" t="s">
        <v>67</v>
      </c>
      <c r="D668" s="2">
        <v>33.628799999999998</v>
      </c>
      <c r="E668" s="2">
        <v>3500</v>
      </c>
      <c r="F668" s="2">
        <v>168</v>
      </c>
      <c r="G668" s="2">
        <v>43.8</v>
      </c>
      <c r="H668" s="2" t="s">
        <v>68</v>
      </c>
      <c r="I668" s="4">
        <f t="shared" si="310"/>
        <v>3.5153828426891405</v>
      </c>
      <c r="J668" s="4">
        <f t="shared" si="311"/>
        <v>8.1605182474775049</v>
      </c>
      <c r="K668" s="4">
        <f t="shared" si="312"/>
        <v>5.1239639794032588</v>
      </c>
      <c r="L668" s="2">
        <v>0</v>
      </c>
      <c r="M668" s="2">
        <v>0</v>
      </c>
      <c r="N668" s="4">
        <f t="shared" si="313"/>
        <v>43.8</v>
      </c>
      <c r="O668" s="4">
        <f t="shared" si="314"/>
        <v>0</v>
      </c>
      <c r="P668" s="4">
        <f t="shared" si="315"/>
        <v>0</v>
      </c>
      <c r="Q668" s="4">
        <f t="shared" si="316"/>
        <v>8.1605182474775049</v>
      </c>
      <c r="R668" s="4">
        <f t="shared" si="317"/>
        <v>5.1239639794032588</v>
      </c>
      <c r="S668" s="4">
        <f t="shared" si="318"/>
        <v>43.8</v>
      </c>
      <c r="T668" s="4">
        <f t="shared" si="319"/>
        <v>0</v>
      </c>
      <c r="U668" s="4">
        <f t="shared" si="320"/>
        <v>8.1605182474775049</v>
      </c>
      <c r="V668" s="4">
        <f t="shared" si="321"/>
        <v>5.1239639794032588</v>
      </c>
      <c r="W668" s="4">
        <f t="shared" si="322"/>
        <v>43.8</v>
      </c>
      <c r="X668" s="4">
        <f t="shared" si="323"/>
        <v>0</v>
      </c>
      <c r="Y668" s="4">
        <f t="shared" si="324"/>
        <v>8.1605182474775049</v>
      </c>
      <c r="Z668" s="4">
        <f t="shared" si="325"/>
        <v>5.1239639794032588</v>
      </c>
      <c r="AA668" s="4">
        <f t="shared" si="326"/>
        <v>43.8</v>
      </c>
      <c r="AB668" s="4">
        <f t="shared" si="327"/>
        <v>0</v>
      </c>
      <c r="AC668" s="4">
        <f t="shared" si="328"/>
        <v>0</v>
      </c>
      <c r="AD668" s="4">
        <f t="shared" si="329"/>
        <v>0</v>
      </c>
      <c r="AE668" s="4">
        <f t="shared" si="330"/>
        <v>0</v>
      </c>
      <c r="AF668" s="4">
        <f t="shared" si="331"/>
        <v>0</v>
      </c>
      <c r="AG668" s="4">
        <f t="shared" si="332"/>
        <v>8.1605182474775049</v>
      </c>
      <c r="AH668" s="4">
        <f t="shared" si="333"/>
        <v>0</v>
      </c>
      <c r="AI668" s="4">
        <f t="shared" si="334"/>
        <v>0</v>
      </c>
      <c r="AJ668" s="4">
        <f t="shared" si="335"/>
        <v>8.1605182474775049</v>
      </c>
      <c r="AK668" s="4">
        <f t="shared" si="336"/>
        <v>5.1239639794032588</v>
      </c>
      <c r="AL668" s="4">
        <f t="shared" si="337"/>
        <v>0</v>
      </c>
      <c r="AM668" s="4">
        <f>CER!$C$7+CER!$C$8*J668+CER!$C$9*K668+CER!$C$10*L668+CER!$C$11*M668</f>
        <v>3.6729937775737627</v>
      </c>
      <c r="AN668" s="4">
        <f t="shared" si="338"/>
        <v>39.369593413074739</v>
      </c>
      <c r="AO668" s="4">
        <f t="shared" si="339"/>
        <v>-0.15761093488462219</v>
      </c>
      <c r="AP668" s="4">
        <f>Alternatives!$F$25+Alternatives!$F$26*J668+Alternatives!$F$27*K668+Alternatives!$F$28*G668+Alternatives!$F$29*O668</f>
        <v>3.5312380347743666</v>
      </c>
      <c r="AQ668" s="4">
        <f t="shared" si="340"/>
        <v>-1.5855192085226122E-2</v>
      </c>
    </row>
    <row r="669" spans="1:43" x14ac:dyDescent="0.35">
      <c r="A669" s="2" t="s">
        <v>573</v>
      </c>
      <c r="B669" s="2" t="s">
        <v>568</v>
      </c>
      <c r="C669" s="2" t="s">
        <v>67</v>
      </c>
      <c r="D669" s="2">
        <v>37.264400000000002</v>
      </c>
      <c r="E669" s="2">
        <v>3500</v>
      </c>
      <c r="F669" s="2">
        <v>152</v>
      </c>
      <c r="G669" s="2">
        <v>44.4</v>
      </c>
      <c r="H669" s="2" t="s">
        <v>68</v>
      </c>
      <c r="I669" s="4">
        <f t="shared" si="310"/>
        <v>3.6180384473050693</v>
      </c>
      <c r="J669" s="4">
        <f t="shared" si="311"/>
        <v>8.1605182474775049</v>
      </c>
      <c r="K669" s="4">
        <f t="shared" si="312"/>
        <v>5.0238805208462765</v>
      </c>
      <c r="L669" s="2">
        <v>0</v>
      </c>
      <c r="M669" s="2">
        <v>0</v>
      </c>
      <c r="N669" s="4">
        <f t="shared" si="313"/>
        <v>44.4</v>
      </c>
      <c r="O669" s="4">
        <f t="shared" si="314"/>
        <v>0</v>
      </c>
      <c r="P669" s="4">
        <f t="shared" si="315"/>
        <v>0</v>
      </c>
      <c r="Q669" s="4">
        <f t="shared" si="316"/>
        <v>8.1605182474775049</v>
      </c>
      <c r="R669" s="4">
        <f t="shared" si="317"/>
        <v>5.0238805208462765</v>
      </c>
      <c r="S669" s="4">
        <f t="shared" si="318"/>
        <v>44.4</v>
      </c>
      <c r="T669" s="4">
        <f t="shared" si="319"/>
        <v>0</v>
      </c>
      <c r="U669" s="4">
        <f t="shared" si="320"/>
        <v>8.1605182474775049</v>
      </c>
      <c r="V669" s="4">
        <f t="shared" si="321"/>
        <v>5.0238805208462765</v>
      </c>
      <c r="W669" s="4">
        <f t="shared" si="322"/>
        <v>44.4</v>
      </c>
      <c r="X669" s="4">
        <f t="shared" si="323"/>
        <v>0</v>
      </c>
      <c r="Y669" s="4">
        <f t="shared" si="324"/>
        <v>8.1605182474775049</v>
      </c>
      <c r="Z669" s="4">
        <f t="shared" si="325"/>
        <v>5.0238805208462765</v>
      </c>
      <c r="AA669" s="4">
        <f t="shared" si="326"/>
        <v>44.4</v>
      </c>
      <c r="AB669" s="4">
        <f t="shared" si="327"/>
        <v>0</v>
      </c>
      <c r="AC669" s="4">
        <f t="shared" si="328"/>
        <v>0</v>
      </c>
      <c r="AD669" s="4">
        <f t="shared" si="329"/>
        <v>0</v>
      </c>
      <c r="AE669" s="4">
        <f t="shared" si="330"/>
        <v>0</v>
      </c>
      <c r="AF669" s="4">
        <f t="shared" si="331"/>
        <v>0</v>
      </c>
      <c r="AG669" s="4">
        <f t="shared" si="332"/>
        <v>8.1605182474775049</v>
      </c>
      <c r="AH669" s="4">
        <f t="shared" si="333"/>
        <v>0</v>
      </c>
      <c r="AI669" s="4">
        <f t="shared" si="334"/>
        <v>0</v>
      </c>
      <c r="AJ669" s="4">
        <f t="shared" si="335"/>
        <v>8.1605182474775049</v>
      </c>
      <c r="AK669" s="4">
        <f t="shared" si="336"/>
        <v>5.0238805208462765</v>
      </c>
      <c r="AL669" s="4">
        <f t="shared" si="337"/>
        <v>0</v>
      </c>
      <c r="AM669" s="4">
        <f>CER!$C$7+CER!$C$8*J669+CER!$C$9*K669+CER!$C$10*L669+CER!$C$11*M669</f>
        <v>3.7099189404704696</v>
      </c>
      <c r="AN669" s="4">
        <f t="shared" si="338"/>
        <v>40.850495070868014</v>
      </c>
      <c r="AO669" s="4">
        <f t="shared" si="339"/>
        <v>-9.1880493165400257E-2</v>
      </c>
      <c r="AP669" s="4">
        <f>Alternatives!$F$25+Alternatives!$F$26*J669+Alternatives!$F$27*K669+Alternatives!$F$28*G669+Alternatives!$F$29*O669</f>
        <v>3.550066851993924</v>
      </c>
      <c r="AQ669" s="4">
        <f t="shared" si="340"/>
        <v>6.7971595311145272E-2</v>
      </c>
    </row>
    <row r="670" spans="1:43" x14ac:dyDescent="0.35">
      <c r="A670" s="2" t="s">
        <v>574</v>
      </c>
      <c r="B670" s="2" t="s">
        <v>568</v>
      </c>
      <c r="C670" s="2" t="s">
        <v>67</v>
      </c>
      <c r="D670" s="2">
        <v>35.628799999999998</v>
      </c>
      <c r="E670" s="2">
        <v>4000</v>
      </c>
      <c r="F670" s="2">
        <v>152</v>
      </c>
      <c r="G670" s="2">
        <v>44.2</v>
      </c>
      <c r="H670" s="2" t="s">
        <v>68</v>
      </c>
      <c r="I670" s="4">
        <f t="shared" si="310"/>
        <v>3.5731542995669967</v>
      </c>
      <c r="J670" s="4">
        <f t="shared" si="311"/>
        <v>8.2940496401020276</v>
      </c>
      <c r="K670" s="4">
        <f t="shared" si="312"/>
        <v>5.0238805208462765</v>
      </c>
      <c r="L670" s="2">
        <v>0</v>
      </c>
      <c r="M670" s="2">
        <v>0</v>
      </c>
      <c r="N670" s="4">
        <f t="shared" si="313"/>
        <v>44.2</v>
      </c>
      <c r="O670" s="4">
        <f t="shared" si="314"/>
        <v>0</v>
      </c>
      <c r="P670" s="4">
        <f t="shared" si="315"/>
        <v>0</v>
      </c>
      <c r="Q670" s="4">
        <f t="shared" si="316"/>
        <v>8.2940496401020276</v>
      </c>
      <c r="R670" s="4">
        <f t="shared" si="317"/>
        <v>5.0238805208462765</v>
      </c>
      <c r="S670" s="4">
        <f t="shared" si="318"/>
        <v>44.2</v>
      </c>
      <c r="T670" s="4">
        <f t="shared" si="319"/>
        <v>0</v>
      </c>
      <c r="U670" s="4">
        <f t="shared" si="320"/>
        <v>8.2940496401020276</v>
      </c>
      <c r="V670" s="4">
        <f t="shared" si="321"/>
        <v>5.0238805208462765</v>
      </c>
      <c r="W670" s="4">
        <f t="shared" si="322"/>
        <v>44.2</v>
      </c>
      <c r="X670" s="4">
        <f t="shared" si="323"/>
        <v>0</v>
      </c>
      <c r="Y670" s="4">
        <f t="shared" si="324"/>
        <v>8.2940496401020276</v>
      </c>
      <c r="Z670" s="4">
        <f t="shared" si="325"/>
        <v>5.0238805208462765</v>
      </c>
      <c r="AA670" s="4">
        <f t="shared" si="326"/>
        <v>44.2</v>
      </c>
      <c r="AB670" s="4">
        <f t="shared" si="327"/>
        <v>0</v>
      </c>
      <c r="AC670" s="4">
        <f t="shared" si="328"/>
        <v>0</v>
      </c>
      <c r="AD670" s="4">
        <f t="shared" si="329"/>
        <v>0</v>
      </c>
      <c r="AE670" s="4">
        <f t="shared" si="330"/>
        <v>0</v>
      </c>
      <c r="AF670" s="4">
        <f t="shared" si="331"/>
        <v>0</v>
      </c>
      <c r="AG670" s="4">
        <f t="shared" si="332"/>
        <v>8.2940496401020276</v>
      </c>
      <c r="AH670" s="4">
        <f t="shared" si="333"/>
        <v>0</v>
      </c>
      <c r="AI670" s="4">
        <f t="shared" si="334"/>
        <v>0</v>
      </c>
      <c r="AJ670" s="4">
        <f t="shared" si="335"/>
        <v>8.2940496401020276</v>
      </c>
      <c r="AK670" s="4">
        <f t="shared" si="336"/>
        <v>5.0238805208462765</v>
      </c>
      <c r="AL670" s="4">
        <f t="shared" si="337"/>
        <v>0</v>
      </c>
      <c r="AM670" s="4">
        <f>CER!$C$7+CER!$C$8*J670+CER!$C$9*K670+CER!$C$10*L670+CER!$C$11*M670</f>
        <v>3.6494680612730797</v>
      </c>
      <c r="AN670" s="4">
        <f t="shared" si="338"/>
        <v>38.454205326563113</v>
      </c>
      <c r="AO670" s="4">
        <f t="shared" si="339"/>
        <v>-7.631376170608295E-2</v>
      </c>
      <c r="AP670" s="4">
        <f>Alternatives!$F$25+Alternatives!$F$26*J670+Alternatives!$F$27*K670+Alternatives!$F$28*G670+Alternatives!$F$29*O670</f>
        <v>3.6020864109480915</v>
      </c>
      <c r="AQ670" s="4">
        <f t="shared" si="340"/>
        <v>-2.8932111381094749E-2</v>
      </c>
    </row>
    <row r="671" spans="1:43" x14ac:dyDescent="0.35">
      <c r="A671" s="2" t="s">
        <v>575</v>
      </c>
      <c r="B671" s="2" t="s">
        <v>568</v>
      </c>
      <c r="C671" s="2" t="s">
        <v>67</v>
      </c>
      <c r="D671" s="2">
        <v>36.933399999999999</v>
      </c>
      <c r="E671" s="2">
        <v>3500</v>
      </c>
      <c r="F671" s="2">
        <v>152</v>
      </c>
      <c r="G671" s="2">
        <v>44.2</v>
      </c>
      <c r="H671" s="2" t="s">
        <v>68</v>
      </c>
      <c r="I671" s="4">
        <f t="shared" si="310"/>
        <v>3.6091162906975964</v>
      </c>
      <c r="J671" s="4">
        <f t="shared" si="311"/>
        <v>8.1605182474775049</v>
      </c>
      <c r="K671" s="4">
        <f t="shared" si="312"/>
        <v>5.0238805208462765</v>
      </c>
      <c r="L671" s="2">
        <v>0</v>
      </c>
      <c r="M671" s="2">
        <v>0</v>
      </c>
      <c r="N671" s="4">
        <f t="shared" si="313"/>
        <v>44.2</v>
      </c>
      <c r="O671" s="4">
        <f t="shared" si="314"/>
        <v>0</v>
      </c>
      <c r="P671" s="4">
        <f t="shared" si="315"/>
        <v>0</v>
      </c>
      <c r="Q671" s="4">
        <f t="shared" si="316"/>
        <v>8.1605182474775049</v>
      </c>
      <c r="R671" s="4">
        <f t="shared" si="317"/>
        <v>5.0238805208462765</v>
      </c>
      <c r="S671" s="4">
        <f t="shared" si="318"/>
        <v>44.2</v>
      </c>
      <c r="T671" s="4">
        <f t="shared" si="319"/>
        <v>0</v>
      </c>
      <c r="U671" s="4">
        <f t="shared" si="320"/>
        <v>8.1605182474775049</v>
      </c>
      <c r="V671" s="4">
        <f t="shared" si="321"/>
        <v>5.0238805208462765</v>
      </c>
      <c r="W671" s="4">
        <f t="shared" si="322"/>
        <v>44.2</v>
      </c>
      <c r="X671" s="4">
        <f t="shared" si="323"/>
        <v>0</v>
      </c>
      <c r="Y671" s="4">
        <f t="shared" si="324"/>
        <v>8.1605182474775049</v>
      </c>
      <c r="Z671" s="4">
        <f t="shared" si="325"/>
        <v>5.0238805208462765</v>
      </c>
      <c r="AA671" s="4">
        <f t="shared" si="326"/>
        <v>44.2</v>
      </c>
      <c r="AB671" s="4">
        <f t="shared" si="327"/>
        <v>0</v>
      </c>
      <c r="AC671" s="4">
        <f t="shared" si="328"/>
        <v>0</v>
      </c>
      <c r="AD671" s="4">
        <f t="shared" si="329"/>
        <v>0</v>
      </c>
      <c r="AE671" s="4">
        <f t="shared" si="330"/>
        <v>0</v>
      </c>
      <c r="AF671" s="4">
        <f t="shared" si="331"/>
        <v>0</v>
      </c>
      <c r="AG671" s="4">
        <f t="shared" si="332"/>
        <v>8.1605182474775049</v>
      </c>
      <c r="AH671" s="4">
        <f t="shared" si="333"/>
        <v>0</v>
      </c>
      <c r="AI671" s="4">
        <f t="shared" si="334"/>
        <v>0</v>
      </c>
      <c r="AJ671" s="4">
        <f t="shared" si="335"/>
        <v>8.1605182474775049</v>
      </c>
      <c r="AK671" s="4">
        <f t="shared" si="336"/>
        <v>5.0238805208462765</v>
      </c>
      <c r="AL671" s="4">
        <f t="shared" si="337"/>
        <v>0</v>
      </c>
      <c r="AM671" s="4">
        <f>CER!$C$7+CER!$C$8*J671+CER!$C$9*K671+CER!$C$10*L671+CER!$C$11*M671</f>
        <v>3.7099189404704696</v>
      </c>
      <c r="AN671" s="4">
        <f t="shared" si="338"/>
        <v>40.850495070868014</v>
      </c>
      <c r="AO671" s="4">
        <f t="shared" si="339"/>
        <v>-0.10080264977287312</v>
      </c>
      <c r="AP671" s="4">
        <f>Alternatives!$F$25+Alternatives!$F$26*J671+Alternatives!$F$27*K671+Alternatives!$F$28*G671+Alternatives!$F$29*O671</f>
        <v>3.5526683149023697</v>
      </c>
      <c r="AQ671" s="4">
        <f t="shared" si="340"/>
        <v>5.6447975795226757E-2</v>
      </c>
    </row>
    <row r="672" spans="1:43" x14ac:dyDescent="0.35">
      <c r="A672" s="2" t="s">
        <v>576</v>
      </c>
      <c r="B672" s="2" t="s">
        <v>577</v>
      </c>
      <c r="C672" s="2" t="s">
        <v>67</v>
      </c>
      <c r="D672" s="2">
        <v>48.709699999999998</v>
      </c>
      <c r="E672" s="2">
        <v>3000</v>
      </c>
      <c r="F672" s="2">
        <v>122</v>
      </c>
      <c r="G672" s="2">
        <v>42.5</v>
      </c>
      <c r="H672" s="2" t="s">
        <v>68</v>
      </c>
      <c r="I672" s="4">
        <f t="shared" si="310"/>
        <v>3.8858781888998752</v>
      </c>
      <c r="J672" s="4">
        <f t="shared" si="311"/>
        <v>8.0063675676502459</v>
      </c>
      <c r="K672" s="4">
        <f t="shared" si="312"/>
        <v>4.8040210447332568</v>
      </c>
      <c r="L672" s="2">
        <v>0</v>
      </c>
      <c r="M672" s="2">
        <v>0</v>
      </c>
      <c r="N672" s="4">
        <f t="shared" si="313"/>
        <v>42.5</v>
      </c>
      <c r="O672" s="4">
        <f t="shared" si="314"/>
        <v>0</v>
      </c>
      <c r="P672" s="4">
        <f t="shared" si="315"/>
        <v>0</v>
      </c>
      <c r="Q672" s="4">
        <f t="shared" si="316"/>
        <v>8.0063675676502459</v>
      </c>
      <c r="R672" s="4">
        <f t="shared" si="317"/>
        <v>4.8040210447332568</v>
      </c>
      <c r="S672" s="4">
        <f t="shared" si="318"/>
        <v>42.5</v>
      </c>
      <c r="T672" s="4">
        <f t="shared" si="319"/>
        <v>0</v>
      </c>
      <c r="U672" s="4">
        <f t="shared" si="320"/>
        <v>8.0063675676502459</v>
      </c>
      <c r="V672" s="4">
        <f t="shared" si="321"/>
        <v>4.8040210447332568</v>
      </c>
      <c r="W672" s="4">
        <f t="shared" si="322"/>
        <v>42.5</v>
      </c>
      <c r="X672" s="4">
        <f t="shared" si="323"/>
        <v>0</v>
      </c>
      <c r="Y672" s="4">
        <f t="shared" si="324"/>
        <v>8.0063675676502459</v>
      </c>
      <c r="Z672" s="4">
        <f t="shared" si="325"/>
        <v>4.8040210447332568</v>
      </c>
      <c r="AA672" s="4">
        <f t="shared" si="326"/>
        <v>42.5</v>
      </c>
      <c r="AB672" s="4">
        <f t="shared" si="327"/>
        <v>0</v>
      </c>
      <c r="AC672" s="4">
        <f t="shared" si="328"/>
        <v>0</v>
      </c>
      <c r="AD672" s="4">
        <f t="shared" si="329"/>
        <v>0</v>
      </c>
      <c r="AE672" s="4">
        <f t="shared" si="330"/>
        <v>0</v>
      </c>
      <c r="AF672" s="4">
        <f t="shared" si="331"/>
        <v>0</v>
      </c>
      <c r="AG672" s="4">
        <f t="shared" si="332"/>
        <v>8.0063675676502459</v>
      </c>
      <c r="AH672" s="4">
        <f t="shared" si="333"/>
        <v>0</v>
      </c>
      <c r="AI672" s="4">
        <f t="shared" si="334"/>
        <v>0</v>
      </c>
      <c r="AJ672" s="4">
        <f t="shared" si="335"/>
        <v>8.0063675676502459</v>
      </c>
      <c r="AK672" s="4">
        <f t="shared" si="336"/>
        <v>4.8040210447332568</v>
      </c>
      <c r="AL672" s="4">
        <f t="shared" si="337"/>
        <v>0</v>
      </c>
      <c r="AM672" s="4">
        <f>CER!$C$7+CER!$C$8*J672+CER!$C$9*K672+CER!$C$10*L672+CER!$C$11*M672</f>
        <v>3.8608201306707901</v>
      </c>
      <c r="AN672" s="4">
        <f t="shared" si="338"/>
        <v>47.504295126613194</v>
      </c>
      <c r="AO672" s="4">
        <f t="shared" si="339"/>
        <v>2.5058058229085134E-2</v>
      </c>
      <c r="AP672" s="4">
        <f>Alternatives!$F$25+Alternatives!$F$26*J672+Alternatives!$F$27*K672+Alternatives!$F$28*G672+Alternatives!$F$29*O672</f>
        <v>3.5762385426394965</v>
      </c>
      <c r="AQ672" s="4">
        <f t="shared" si="340"/>
        <v>0.30963964626037876</v>
      </c>
    </row>
    <row r="673" spans="1:43" x14ac:dyDescent="0.35">
      <c r="A673" s="2" t="s">
        <v>576</v>
      </c>
      <c r="B673" s="2" t="s">
        <v>577</v>
      </c>
      <c r="C673" s="2" t="s">
        <v>67</v>
      </c>
      <c r="D673" s="2">
        <v>42.065899999999999</v>
      </c>
      <c r="E673" s="2">
        <v>2750</v>
      </c>
      <c r="F673" s="2">
        <v>122</v>
      </c>
      <c r="G673" s="2">
        <v>42.5</v>
      </c>
      <c r="H673" s="2" t="s">
        <v>68</v>
      </c>
      <c r="I673" s="4">
        <f t="shared" si="310"/>
        <v>3.7392374362333052</v>
      </c>
      <c r="J673" s="4">
        <f t="shared" si="311"/>
        <v>7.9193561906606167</v>
      </c>
      <c r="K673" s="4">
        <f t="shared" si="312"/>
        <v>4.8040210447332568</v>
      </c>
      <c r="L673" s="2">
        <v>0</v>
      </c>
      <c r="M673" s="2">
        <v>0</v>
      </c>
      <c r="N673" s="4">
        <f t="shared" si="313"/>
        <v>42.5</v>
      </c>
      <c r="O673" s="4">
        <f t="shared" si="314"/>
        <v>0</v>
      </c>
      <c r="P673" s="4">
        <f t="shared" si="315"/>
        <v>0</v>
      </c>
      <c r="Q673" s="4">
        <f t="shared" si="316"/>
        <v>7.9193561906606167</v>
      </c>
      <c r="R673" s="4">
        <f t="shared" si="317"/>
        <v>4.8040210447332568</v>
      </c>
      <c r="S673" s="4">
        <f t="shared" si="318"/>
        <v>42.5</v>
      </c>
      <c r="T673" s="4">
        <f t="shared" si="319"/>
        <v>0</v>
      </c>
      <c r="U673" s="4">
        <f t="shared" si="320"/>
        <v>7.9193561906606167</v>
      </c>
      <c r="V673" s="4">
        <f t="shared" si="321"/>
        <v>4.8040210447332568</v>
      </c>
      <c r="W673" s="4">
        <f t="shared" si="322"/>
        <v>42.5</v>
      </c>
      <c r="X673" s="4">
        <f t="shared" si="323"/>
        <v>0</v>
      </c>
      <c r="Y673" s="4">
        <f t="shared" si="324"/>
        <v>7.9193561906606167</v>
      </c>
      <c r="Z673" s="4">
        <f t="shared" si="325"/>
        <v>4.8040210447332568</v>
      </c>
      <c r="AA673" s="4">
        <f t="shared" si="326"/>
        <v>42.5</v>
      </c>
      <c r="AB673" s="4">
        <f t="shared" si="327"/>
        <v>0</v>
      </c>
      <c r="AC673" s="4">
        <f t="shared" si="328"/>
        <v>0</v>
      </c>
      <c r="AD673" s="4">
        <f t="shared" si="329"/>
        <v>0</v>
      </c>
      <c r="AE673" s="4">
        <f t="shared" si="330"/>
        <v>0</v>
      </c>
      <c r="AF673" s="4">
        <f t="shared" si="331"/>
        <v>0</v>
      </c>
      <c r="AG673" s="4">
        <f t="shared" si="332"/>
        <v>7.9193561906606167</v>
      </c>
      <c r="AH673" s="4">
        <f t="shared" si="333"/>
        <v>0</v>
      </c>
      <c r="AI673" s="4">
        <f t="shared" si="334"/>
        <v>0</v>
      </c>
      <c r="AJ673" s="4">
        <f t="shared" si="335"/>
        <v>7.9193561906606167</v>
      </c>
      <c r="AK673" s="4">
        <f t="shared" si="336"/>
        <v>4.8040210447332568</v>
      </c>
      <c r="AL673" s="4">
        <f t="shared" si="337"/>
        <v>0</v>
      </c>
      <c r="AM673" s="4">
        <f>CER!$C$7+CER!$C$8*J673+CER!$C$9*K673+CER!$C$10*L673+CER!$C$11*M673</f>
        <v>3.9002109745451525</v>
      </c>
      <c r="AN673" s="4">
        <f t="shared" si="338"/>
        <v>49.412872864294854</v>
      </c>
      <c r="AO673" s="4">
        <f t="shared" si="339"/>
        <v>-0.16097353831184735</v>
      </c>
      <c r="AP673" s="4">
        <f>Alternatives!$F$25+Alternatives!$F$26*J673+Alternatives!$F$27*K673+Alternatives!$F$28*G673+Alternatives!$F$29*O673</f>
        <v>3.5440368520809709</v>
      </c>
      <c r="AQ673" s="4">
        <f t="shared" si="340"/>
        <v>0.19520058415233432</v>
      </c>
    </row>
    <row r="674" spans="1:43" x14ac:dyDescent="0.35">
      <c r="A674" s="2" t="s">
        <v>578</v>
      </c>
      <c r="B674" s="2" t="s">
        <v>577</v>
      </c>
      <c r="C674" s="2" t="s">
        <v>67</v>
      </c>
      <c r="D674" s="2">
        <v>49.5839</v>
      </c>
      <c r="E674" s="2">
        <v>3500</v>
      </c>
      <c r="F674" s="2">
        <v>149</v>
      </c>
      <c r="G674" s="2">
        <v>45.7</v>
      </c>
      <c r="H674" s="2" t="s">
        <v>68</v>
      </c>
      <c r="I674" s="4">
        <f t="shared" si="310"/>
        <v>3.9036661842637526</v>
      </c>
      <c r="J674" s="4">
        <f t="shared" si="311"/>
        <v>8.1605182474775049</v>
      </c>
      <c r="K674" s="4">
        <f t="shared" si="312"/>
        <v>5.0039463059454592</v>
      </c>
      <c r="L674" s="2">
        <v>0</v>
      </c>
      <c r="M674" s="2">
        <v>0</v>
      </c>
      <c r="N674" s="4">
        <f t="shared" si="313"/>
        <v>45.7</v>
      </c>
      <c r="O674" s="4">
        <f t="shared" si="314"/>
        <v>0</v>
      </c>
      <c r="P674" s="4">
        <f t="shared" si="315"/>
        <v>0</v>
      </c>
      <c r="Q674" s="4">
        <f t="shared" si="316"/>
        <v>8.1605182474775049</v>
      </c>
      <c r="R674" s="4">
        <f t="shared" si="317"/>
        <v>5.0039463059454592</v>
      </c>
      <c r="S674" s="4">
        <f t="shared" si="318"/>
        <v>45.7</v>
      </c>
      <c r="T674" s="4">
        <f t="shared" si="319"/>
        <v>0</v>
      </c>
      <c r="U674" s="4">
        <f t="shared" si="320"/>
        <v>8.1605182474775049</v>
      </c>
      <c r="V674" s="4">
        <f t="shared" si="321"/>
        <v>5.0039463059454592</v>
      </c>
      <c r="W674" s="4">
        <f t="shared" si="322"/>
        <v>45.7</v>
      </c>
      <c r="X674" s="4">
        <f t="shared" si="323"/>
        <v>0</v>
      </c>
      <c r="Y674" s="4">
        <f t="shared" si="324"/>
        <v>8.1605182474775049</v>
      </c>
      <c r="Z674" s="4">
        <f t="shared" si="325"/>
        <v>5.0039463059454592</v>
      </c>
      <c r="AA674" s="4">
        <f t="shared" si="326"/>
        <v>45.7</v>
      </c>
      <c r="AB674" s="4">
        <f t="shared" si="327"/>
        <v>0</v>
      </c>
      <c r="AC674" s="4">
        <f t="shared" si="328"/>
        <v>0</v>
      </c>
      <c r="AD674" s="4">
        <f t="shared" si="329"/>
        <v>0</v>
      </c>
      <c r="AE674" s="4">
        <f t="shared" si="330"/>
        <v>0</v>
      </c>
      <c r="AF674" s="4">
        <f t="shared" si="331"/>
        <v>0</v>
      </c>
      <c r="AG674" s="4">
        <f t="shared" si="332"/>
        <v>8.1605182474775049</v>
      </c>
      <c r="AH674" s="4">
        <f t="shared" si="333"/>
        <v>0</v>
      </c>
      <c r="AI674" s="4">
        <f t="shared" si="334"/>
        <v>0</v>
      </c>
      <c r="AJ674" s="4">
        <f t="shared" si="335"/>
        <v>8.1605182474775049</v>
      </c>
      <c r="AK674" s="4">
        <f t="shared" si="336"/>
        <v>5.0039463059454592</v>
      </c>
      <c r="AL674" s="4">
        <f t="shared" si="337"/>
        <v>0</v>
      </c>
      <c r="AM674" s="4">
        <f>CER!$C$7+CER!$C$8*J674+CER!$C$9*K674+CER!$C$10*L674+CER!$C$11*M674</f>
        <v>3.7172735437490076</v>
      </c>
      <c r="AN674" s="4">
        <f t="shared" si="338"/>
        <v>41.15204177480954</v>
      </c>
      <c r="AO674" s="4">
        <f t="shared" si="339"/>
        <v>0.18639264051474491</v>
      </c>
      <c r="AP674" s="4">
        <f>Alternatives!$F$25+Alternatives!$F$26*J674+Alternatives!$F$27*K674+Alternatives!$F$28*G674+Alternatives!$F$29*O674</f>
        <v>3.5384620363765902</v>
      </c>
      <c r="AQ674" s="4">
        <f t="shared" si="340"/>
        <v>0.36520414788716238</v>
      </c>
    </row>
    <row r="675" spans="1:43" x14ac:dyDescent="0.35">
      <c r="A675" s="2" t="s">
        <v>579</v>
      </c>
      <c r="B675" s="2" t="s">
        <v>577</v>
      </c>
      <c r="C675" s="2" t="s">
        <v>67</v>
      </c>
      <c r="D675" s="2">
        <v>43.063299999999998</v>
      </c>
      <c r="E675" s="2">
        <v>3500</v>
      </c>
      <c r="F675" s="2">
        <v>188</v>
      </c>
      <c r="G675" s="2">
        <v>49.1</v>
      </c>
      <c r="H675" s="2" t="s">
        <v>68</v>
      </c>
      <c r="I675" s="4">
        <f t="shared" si="310"/>
        <v>3.7626711262500812</v>
      </c>
      <c r="J675" s="4">
        <f t="shared" si="311"/>
        <v>8.1605182474775049</v>
      </c>
      <c r="K675" s="4">
        <f t="shared" si="312"/>
        <v>5.2364419628299492</v>
      </c>
      <c r="L675" s="2">
        <v>0</v>
      </c>
      <c r="M675" s="2">
        <v>0</v>
      </c>
      <c r="N675" s="4">
        <f t="shared" si="313"/>
        <v>49.1</v>
      </c>
      <c r="O675" s="4">
        <f t="shared" si="314"/>
        <v>0</v>
      </c>
      <c r="P675" s="4">
        <f t="shared" si="315"/>
        <v>0</v>
      </c>
      <c r="Q675" s="4">
        <f t="shared" si="316"/>
        <v>8.1605182474775049</v>
      </c>
      <c r="R675" s="4">
        <f t="shared" si="317"/>
        <v>5.2364419628299492</v>
      </c>
      <c r="S675" s="4">
        <f t="shared" si="318"/>
        <v>49.1</v>
      </c>
      <c r="T675" s="4">
        <f t="shared" si="319"/>
        <v>0</v>
      </c>
      <c r="U675" s="4">
        <f t="shared" si="320"/>
        <v>8.1605182474775049</v>
      </c>
      <c r="V675" s="4">
        <f t="shared" si="321"/>
        <v>5.2364419628299492</v>
      </c>
      <c r="W675" s="4">
        <f t="shared" si="322"/>
        <v>49.1</v>
      </c>
      <c r="X675" s="4">
        <f t="shared" si="323"/>
        <v>0</v>
      </c>
      <c r="Y675" s="4">
        <f t="shared" si="324"/>
        <v>8.1605182474775049</v>
      </c>
      <c r="Z675" s="4">
        <f t="shared" si="325"/>
        <v>5.2364419628299492</v>
      </c>
      <c r="AA675" s="4">
        <f t="shared" si="326"/>
        <v>49.1</v>
      </c>
      <c r="AB675" s="4">
        <f t="shared" si="327"/>
        <v>0</v>
      </c>
      <c r="AC675" s="4">
        <f t="shared" si="328"/>
        <v>0</v>
      </c>
      <c r="AD675" s="4">
        <f t="shared" si="329"/>
        <v>0</v>
      </c>
      <c r="AE675" s="4">
        <f t="shared" si="330"/>
        <v>0</v>
      </c>
      <c r="AF675" s="4">
        <f t="shared" si="331"/>
        <v>0</v>
      </c>
      <c r="AG675" s="4">
        <f t="shared" si="332"/>
        <v>8.1605182474775049</v>
      </c>
      <c r="AH675" s="4">
        <f t="shared" si="333"/>
        <v>0</v>
      </c>
      <c r="AI675" s="4">
        <f t="shared" si="334"/>
        <v>0</v>
      </c>
      <c r="AJ675" s="4">
        <f t="shared" si="335"/>
        <v>8.1605182474775049</v>
      </c>
      <c r="AK675" s="4">
        <f t="shared" si="336"/>
        <v>5.2364419628299492</v>
      </c>
      <c r="AL675" s="4">
        <f t="shared" si="337"/>
        <v>0</v>
      </c>
      <c r="AM675" s="4">
        <f>CER!$C$7+CER!$C$8*J675+CER!$C$9*K675+CER!$C$10*L675+CER!$C$11*M675</f>
        <v>3.6314957326400048</v>
      </c>
      <c r="AN675" s="4">
        <f t="shared" si="338"/>
        <v>37.769267114844205</v>
      </c>
      <c r="AO675" s="4">
        <f t="shared" si="339"/>
        <v>0.13117539361007635</v>
      </c>
      <c r="AP675" s="4">
        <f>Alternatives!$F$25+Alternatives!$F$26*J675+Alternatives!$F$27*K675+Alternatives!$F$28*G675+Alternatives!$F$29*O675</f>
        <v>3.4323677551403273</v>
      </c>
      <c r="AQ675" s="4">
        <f t="shared" si="340"/>
        <v>0.33030337110975383</v>
      </c>
    </row>
    <row r="676" spans="1:43" x14ac:dyDescent="0.35">
      <c r="A676" s="2" t="s">
        <v>580</v>
      </c>
      <c r="B676" s="2" t="s">
        <v>577</v>
      </c>
      <c r="C676" s="2" t="s">
        <v>67</v>
      </c>
      <c r="D676" s="2">
        <v>40.201700000000002</v>
      </c>
      <c r="E676" s="2">
        <v>3500</v>
      </c>
      <c r="F676" s="2">
        <v>182</v>
      </c>
      <c r="G676" s="2">
        <v>48.8</v>
      </c>
      <c r="H676" s="2" t="s">
        <v>68</v>
      </c>
      <c r="I676" s="4">
        <f t="shared" si="310"/>
        <v>3.6939092832880536</v>
      </c>
      <c r="J676" s="4">
        <f t="shared" si="311"/>
        <v>8.1605182474775049</v>
      </c>
      <c r="K676" s="4">
        <f t="shared" si="312"/>
        <v>5.2040066870767951</v>
      </c>
      <c r="L676" s="2">
        <v>0</v>
      </c>
      <c r="M676" s="2">
        <v>0</v>
      </c>
      <c r="N676" s="4">
        <f t="shared" si="313"/>
        <v>48.8</v>
      </c>
      <c r="O676" s="4">
        <f t="shared" si="314"/>
        <v>0</v>
      </c>
      <c r="P676" s="4">
        <f t="shared" si="315"/>
        <v>0</v>
      </c>
      <c r="Q676" s="4">
        <f t="shared" si="316"/>
        <v>8.1605182474775049</v>
      </c>
      <c r="R676" s="4">
        <f t="shared" si="317"/>
        <v>5.2040066870767951</v>
      </c>
      <c r="S676" s="4">
        <f t="shared" si="318"/>
        <v>48.8</v>
      </c>
      <c r="T676" s="4">
        <f t="shared" si="319"/>
        <v>0</v>
      </c>
      <c r="U676" s="4">
        <f t="shared" si="320"/>
        <v>8.1605182474775049</v>
      </c>
      <c r="V676" s="4">
        <f t="shared" si="321"/>
        <v>5.2040066870767951</v>
      </c>
      <c r="W676" s="4">
        <f t="shared" si="322"/>
        <v>48.8</v>
      </c>
      <c r="X676" s="4">
        <f t="shared" si="323"/>
        <v>0</v>
      </c>
      <c r="Y676" s="4">
        <f t="shared" si="324"/>
        <v>8.1605182474775049</v>
      </c>
      <c r="Z676" s="4">
        <f t="shared" si="325"/>
        <v>5.2040066870767951</v>
      </c>
      <c r="AA676" s="4">
        <f t="shared" si="326"/>
        <v>48.8</v>
      </c>
      <c r="AB676" s="4">
        <f t="shared" si="327"/>
        <v>0</v>
      </c>
      <c r="AC676" s="4">
        <f t="shared" si="328"/>
        <v>0</v>
      </c>
      <c r="AD676" s="4">
        <f t="shared" si="329"/>
        <v>0</v>
      </c>
      <c r="AE676" s="4">
        <f t="shared" si="330"/>
        <v>0</v>
      </c>
      <c r="AF676" s="4">
        <f t="shared" si="331"/>
        <v>0</v>
      </c>
      <c r="AG676" s="4">
        <f t="shared" si="332"/>
        <v>8.1605182474775049</v>
      </c>
      <c r="AH676" s="4">
        <f t="shared" si="333"/>
        <v>0</v>
      </c>
      <c r="AI676" s="4">
        <f t="shared" si="334"/>
        <v>0</v>
      </c>
      <c r="AJ676" s="4">
        <f t="shared" si="335"/>
        <v>8.1605182474775049</v>
      </c>
      <c r="AK676" s="4">
        <f t="shared" si="336"/>
        <v>5.2040066870767951</v>
      </c>
      <c r="AL676" s="4">
        <f t="shared" si="337"/>
        <v>0</v>
      </c>
      <c r="AM676" s="4">
        <f>CER!$C$7+CER!$C$8*J676+CER!$C$9*K676+CER!$C$10*L676+CER!$C$11*M676</f>
        <v>3.6434625237366864</v>
      </c>
      <c r="AN676" s="4">
        <f t="shared" si="338"/>
        <v>38.223959220870917</v>
      </c>
      <c r="AO676" s="4">
        <f t="shared" si="339"/>
        <v>5.0446759551367126E-2</v>
      </c>
      <c r="AP676" s="4">
        <f>Alternatives!$F$25+Alternatives!$F$26*J676+Alternatives!$F$27*K676+Alternatives!$F$28*G676+Alternatives!$F$29*O676</f>
        <v>3.4449012996928121</v>
      </c>
      <c r="AQ676" s="4">
        <f t="shared" si="340"/>
        <v>0.24900798359524146</v>
      </c>
    </row>
    <row r="677" spans="1:43" x14ac:dyDescent="0.35">
      <c r="A677" s="2" t="s">
        <v>581</v>
      </c>
      <c r="B677" s="2" t="s">
        <v>577</v>
      </c>
      <c r="C677" s="2" t="s">
        <v>67</v>
      </c>
      <c r="D677" s="2">
        <v>45.6571</v>
      </c>
      <c r="E677" s="2">
        <v>3000</v>
      </c>
      <c r="F677" s="2">
        <v>122</v>
      </c>
      <c r="G677" s="2">
        <v>43</v>
      </c>
      <c r="H677" s="2" t="s">
        <v>68</v>
      </c>
      <c r="I677" s="4">
        <f t="shared" si="310"/>
        <v>3.8211591261630242</v>
      </c>
      <c r="J677" s="4">
        <f t="shared" si="311"/>
        <v>8.0063675676502459</v>
      </c>
      <c r="K677" s="4">
        <f t="shared" si="312"/>
        <v>4.8040210447332568</v>
      </c>
      <c r="L677" s="2">
        <v>0</v>
      </c>
      <c r="M677" s="2">
        <v>0</v>
      </c>
      <c r="N677" s="4">
        <f t="shared" si="313"/>
        <v>43</v>
      </c>
      <c r="O677" s="4">
        <f t="shared" si="314"/>
        <v>0</v>
      </c>
      <c r="P677" s="4">
        <f t="shared" si="315"/>
        <v>0</v>
      </c>
      <c r="Q677" s="4">
        <f t="shared" si="316"/>
        <v>8.0063675676502459</v>
      </c>
      <c r="R677" s="4">
        <f t="shared" si="317"/>
        <v>4.8040210447332568</v>
      </c>
      <c r="S677" s="4">
        <f t="shared" si="318"/>
        <v>43</v>
      </c>
      <c r="T677" s="4">
        <f t="shared" si="319"/>
        <v>0</v>
      </c>
      <c r="U677" s="4">
        <f t="shared" si="320"/>
        <v>8.0063675676502459</v>
      </c>
      <c r="V677" s="4">
        <f t="shared" si="321"/>
        <v>4.8040210447332568</v>
      </c>
      <c r="W677" s="4">
        <f t="shared" si="322"/>
        <v>43</v>
      </c>
      <c r="X677" s="4">
        <f t="shared" si="323"/>
        <v>0</v>
      </c>
      <c r="Y677" s="4">
        <f t="shared" si="324"/>
        <v>8.0063675676502459</v>
      </c>
      <c r="Z677" s="4">
        <f t="shared" si="325"/>
        <v>4.8040210447332568</v>
      </c>
      <c r="AA677" s="4">
        <f t="shared" si="326"/>
        <v>43</v>
      </c>
      <c r="AB677" s="4">
        <f t="shared" si="327"/>
        <v>0</v>
      </c>
      <c r="AC677" s="4">
        <f t="shared" si="328"/>
        <v>0</v>
      </c>
      <c r="AD677" s="4">
        <f t="shared" si="329"/>
        <v>0</v>
      </c>
      <c r="AE677" s="4">
        <f t="shared" si="330"/>
        <v>0</v>
      </c>
      <c r="AF677" s="4">
        <f t="shared" si="331"/>
        <v>0</v>
      </c>
      <c r="AG677" s="4">
        <f t="shared" si="332"/>
        <v>8.0063675676502459</v>
      </c>
      <c r="AH677" s="4">
        <f t="shared" si="333"/>
        <v>0</v>
      </c>
      <c r="AI677" s="4">
        <f t="shared" si="334"/>
        <v>0</v>
      </c>
      <c r="AJ677" s="4">
        <f t="shared" si="335"/>
        <v>8.0063675676502459</v>
      </c>
      <c r="AK677" s="4">
        <f t="shared" si="336"/>
        <v>4.8040210447332568</v>
      </c>
      <c r="AL677" s="4">
        <f t="shared" si="337"/>
        <v>0</v>
      </c>
      <c r="AM677" s="4">
        <f>CER!$C$7+CER!$C$8*J677+CER!$C$9*K677+CER!$C$10*L677+CER!$C$11*M677</f>
        <v>3.8608201306707901</v>
      </c>
      <c r="AN677" s="4">
        <f t="shared" si="338"/>
        <v>47.504295126613194</v>
      </c>
      <c r="AO677" s="4">
        <f t="shared" si="339"/>
        <v>-3.9661004507765885E-2</v>
      </c>
      <c r="AP677" s="4">
        <f>Alternatives!$F$25+Alternatives!$F$26*J677+Alternatives!$F$27*K677+Alternatives!$F$28*G677+Alternatives!$F$29*O677</f>
        <v>3.5697348853683826</v>
      </c>
      <c r="AQ677" s="4">
        <f t="shared" si="340"/>
        <v>0.25142424079464165</v>
      </c>
    </row>
    <row r="678" spans="1:43" x14ac:dyDescent="0.35">
      <c r="A678" s="2" t="s">
        <v>582</v>
      </c>
      <c r="B678" s="2" t="s">
        <v>577</v>
      </c>
      <c r="C678" s="2" t="s">
        <v>67</v>
      </c>
      <c r="D678" s="2">
        <v>47.761499999999998</v>
      </c>
      <c r="E678" s="2">
        <v>3500</v>
      </c>
      <c r="F678" s="2">
        <v>149</v>
      </c>
      <c r="G678" s="2">
        <v>46</v>
      </c>
      <c r="H678" s="2" t="s">
        <v>68</v>
      </c>
      <c r="I678" s="4">
        <f t="shared" si="310"/>
        <v>3.866219875626332</v>
      </c>
      <c r="J678" s="4">
        <f t="shared" si="311"/>
        <v>8.1605182474775049</v>
      </c>
      <c r="K678" s="4">
        <f t="shared" si="312"/>
        <v>5.0039463059454592</v>
      </c>
      <c r="L678" s="2">
        <v>0</v>
      </c>
      <c r="M678" s="2">
        <v>0</v>
      </c>
      <c r="N678" s="4">
        <f t="shared" si="313"/>
        <v>46</v>
      </c>
      <c r="O678" s="4">
        <f t="shared" si="314"/>
        <v>0</v>
      </c>
      <c r="P678" s="4">
        <f t="shared" si="315"/>
        <v>0</v>
      </c>
      <c r="Q678" s="4">
        <f t="shared" si="316"/>
        <v>8.1605182474775049</v>
      </c>
      <c r="R678" s="4">
        <f t="shared" si="317"/>
        <v>5.0039463059454592</v>
      </c>
      <c r="S678" s="4">
        <f t="shared" si="318"/>
        <v>46</v>
      </c>
      <c r="T678" s="4">
        <f t="shared" si="319"/>
        <v>0</v>
      </c>
      <c r="U678" s="4">
        <f t="shared" si="320"/>
        <v>8.1605182474775049</v>
      </c>
      <c r="V678" s="4">
        <f t="shared" si="321"/>
        <v>5.0039463059454592</v>
      </c>
      <c r="W678" s="4">
        <f t="shared" si="322"/>
        <v>46</v>
      </c>
      <c r="X678" s="4">
        <f t="shared" si="323"/>
        <v>0</v>
      </c>
      <c r="Y678" s="4">
        <f t="shared" si="324"/>
        <v>8.1605182474775049</v>
      </c>
      <c r="Z678" s="4">
        <f t="shared" si="325"/>
        <v>5.0039463059454592</v>
      </c>
      <c r="AA678" s="4">
        <f t="shared" si="326"/>
        <v>46</v>
      </c>
      <c r="AB678" s="4">
        <f t="shared" si="327"/>
        <v>0</v>
      </c>
      <c r="AC678" s="4">
        <f t="shared" si="328"/>
        <v>0</v>
      </c>
      <c r="AD678" s="4">
        <f t="shared" si="329"/>
        <v>0</v>
      </c>
      <c r="AE678" s="4">
        <f t="shared" si="330"/>
        <v>0</v>
      </c>
      <c r="AF678" s="4">
        <f t="shared" si="331"/>
        <v>0</v>
      </c>
      <c r="AG678" s="4">
        <f t="shared" si="332"/>
        <v>8.1605182474775049</v>
      </c>
      <c r="AH678" s="4">
        <f t="shared" si="333"/>
        <v>0</v>
      </c>
      <c r="AI678" s="4">
        <f t="shared" si="334"/>
        <v>0</v>
      </c>
      <c r="AJ678" s="4">
        <f t="shared" si="335"/>
        <v>8.1605182474775049</v>
      </c>
      <c r="AK678" s="4">
        <f t="shared" si="336"/>
        <v>5.0039463059454592</v>
      </c>
      <c r="AL678" s="4">
        <f t="shared" si="337"/>
        <v>0</v>
      </c>
      <c r="AM678" s="4">
        <f>CER!$C$7+CER!$C$8*J678+CER!$C$9*K678+CER!$C$10*L678+CER!$C$11*M678</f>
        <v>3.7172735437490076</v>
      </c>
      <c r="AN678" s="4">
        <f t="shared" si="338"/>
        <v>41.15204177480954</v>
      </c>
      <c r="AO678" s="4">
        <f t="shared" si="339"/>
        <v>0.14894633187732431</v>
      </c>
      <c r="AP678" s="4">
        <f>Alternatives!$F$25+Alternatives!$F$26*J678+Alternatives!$F$27*K678+Alternatives!$F$28*G678+Alternatives!$F$29*O678</f>
        <v>3.5345598420139219</v>
      </c>
      <c r="AQ678" s="4">
        <f t="shared" si="340"/>
        <v>0.33166003361241003</v>
      </c>
    </row>
    <row r="679" spans="1:43" x14ac:dyDescent="0.35">
      <c r="A679" s="2" t="s">
        <v>583</v>
      </c>
      <c r="B679" s="2" t="s">
        <v>577</v>
      </c>
      <c r="C679" s="2" t="s">
        <v>67</v>
      </c>
      <c r="D679" s="2">
        <v>26.7332</v>
      </c>
      <c r="E679" s="2">
        <v>4000</v>
      </c>
      <c r="F679" s="2">
        <v>400</v>
      </c>
      <c r="G679" s="2">
        <v>42.8</v>
      </c>
      <c r="H679" s="2" t="s">
        <v>68</v>
      </c>
      <c r="I679" s="4">
        <f t="shared" si="310"/>
        <v>3.2859062386607492</v>
      </c>
      <c r="J679" s="4">
        <f t="shared" si="311"/>
        <v>8.2940496401020276</v>
      </c>
      <c r="K679" s="4">
        <f t="shared" si="312"/>
        <v>5.9914645471079817</v>
      </c>
      <c r="L679" s="2">
        <v>0</v>
      </c>
      <c r="M679" s="2">
        <v>0</v>
      </c>
      <c r="N679" s="4">
        <f t="shared" si="313"/>
        <v>42.8</v>
      </c>
      <c r="O679" s="4">
        <f t="shared" si="314"/>
        <v>0</v>
      </c>
      <c r="P679" s="4">
        <f t="shared" si="315"/>
        <v>0</v>
      </c>
      <c r="Q679" s="4">
        <f t="shared" si="316"/>
        <v>8.2940496401020276</v>
      </c>
      <c r="R679" s="4">
        <f t="shared" si="317"/>
        <v>5.9914645471079817</v>
      </c>
      <c r="S679" s="4">
        <f t="shared" si="318"/>
        <v>42.8</v>
      </c>
      <c r="T679" s="4">
        <f t="shared" si="319"/>
        <v>0</v>
      </c>
      <c r="U679" s="4">
        <f t="shared" si="320"/>
        <v>8.2940496401020276</v>
      </c>
      <c r="V679" s="4">
        <f t="shared" si="321"/>
        <v>5.9914645471079817</v>
      </c>
      <c r="W679" s="4">
        <f t="shared" si="322"/>
        <v>42.8</v>
      </c>
      <c r="X679" s="4">
        <f t="shared" si="323"/>
        <v>0</v>
      </c>
      <c r="Y679" s="4">
        <f t="shared" si="324"/>
        <v>8.2940496401020276</v>
      </c>
      <c r="Z679" s="4">
        <f t="shared" si="325"/>
        <v>5.9914645471079817</v>
      </c>
      <c r="AA679" s="4">
        <f t="shared" si="326"/>
        <v>42.8</v>
      </c>
      <c r="AB679" s="4">
        <f t="shared" si="327"/>
        <v>0</v>
      </c>
      <c r="AC679" s="4">
        <f t="shared" si="328"/>
        <v>0</v>
      </c>
      <c r="AD679" s="4">
        <f t="shared" si="329"/>
        <v>0</v>
      </c>
      <c r="AE679" s="4">
        <f t="shared" si="330"/>
        <v>0</v>
      </c>
      <c r="AF679" s="4">
        <f t="shared" si="331"/>
        <v>0</v>
      </c>
      <c r="AG679" s="4">
        <f t="shared" si="332"/>
        <v>8.2940496401020276</v>
      </c>
      <c r="AH679" s="4">
        <f t="shared" si="333"/>
        <v>0</v>
      </c>
      <c r="AI679" s="4">
        <f t="shared" si="334"/>
        <v>0</v>
      </c>
      <c r="AJ679" s="4">
        <f t="shared" si="335"/>
        <v>8.2940496401020276</v>
      </c>
      <c r="AK679" s="4">
        <f t="shared" si="336"/>
        <v>5.9914645471079817</v>
      </c>
      <c r="AL679" s="4">
        <f t="shared" si="337"/>
        <v>0</v>
      </c>
      <c r="AM679" s="4">
        <f>CER!$C$7+CER!$C$8*J679+CER!$C$9*K679+CER!$C$10*L679+CER!$C$11*M679</f>
        <v>3.2924840171453194</v>
      </c>
      <c r="AN679" s="4">
        <f t="shared" si="338"/>
        <v>26.909624672876507</v>
      </c>
      <c r="AO679" s="4">
        <f t="shared" si="339"/>
        <v>-6.5777784845701959E-3</v>
      </c>
      <c r="AP679" s="4">
        <f>Alternatives!$F$25+Alternatives!$F$26*J679+Alternatives!$F$27*K679+Alternatives!$F$28*G679+Alternatives!$F$29*O679</f>
        <v>3.362812897128729</v>
      </c>
      <c r="AQ679" s="4">
        <f t="shared" si="340"/>
        <v>-7.6906658467979838E-2</v>
      </c>
    </row>
    <row r="680" spans="1:43" x14ac:dyDescent="0.35">
      <c r="A680" s="2" t="s">
        <v>583</v>
      </c>
      <c r="B680" s="2" t="s">
        <v>577</v>
      </c>
      <c r="C680" s="2" t="s">
        <v>67</v>
      </c>
      <c r="D680" s="2">
        <v>30.097300000000001</v>
      </c>
      <c r="E680" s="2">
        <v>4000</v>
      </c>
      <c r="F680" s="2">
        <v>400</v>
      </c>
      <c r="G680" s="2">
        <v>42.8</v>
      </c>
      <c r="H680" s="2" t="s">
        <v>68</v>
      </c>
      <c r="I680" s="4">
        <f t="shared" si="310"/>
        <v>3.4044354667347774</v>
      </c>
      <c r="J680" s="4">
        <f t="shared" si="311"/>
        <v>8.2940496401020276</v>
      </c>
      <c r="K680" s="4">
        <f t="shared" si="312"/>
        <v>5.9914645471079817</v>
      </c>
      <c r="L680" s="2">
        <v>0</v>
      </c>
      <c r="M680" s="2">
        <v>0</v>
      </c>
      <c r="N680" s="4">
        <f t="shared" si="313"/>
        <v>42.8</v>
      </c>
      <c r="O680" s="4">
        <f t="shared" si="314"/>
        <v>0</v>
      </c>
      <c r="P680" s="4">
        <f t="shared" si="315"/>
        <v>0</v>
      </c>
      <c r="Q680" s="4">
        <f t="shared" si="316"/>
        <v>8.2940496401020276</v>
      </c>
      <c r="R680" s="4">
        <f t="shared" si="317"/>
        <v>5.9914645471079817</v>
      </c>
      <c r="S680" s="4">
        <f t="shared" si="318"/>
        <v>42.8</v>
      </c>
      <c r="T680" s="4">
        <f t="shared" si="319"/>
        <v>0</v>
      </c>
      <c r="U680" s="4">
        <f t="shared" si="320"/>
        <v>8.2940496401020276</v>
      </c>
      <c r="V680" s="4">
        <f t="shared" si="321"/>
        <v>5.9914645471079817</v>
      </c>
      <c r="W680" s="4">
        <f t="shared" si="322"/>
        <v>42.8</v>
      </c>
      <c r="X680" s="4">
        <f t="shared" si="323"/>
        <v>0</v>
      </c>
      <c r="Y680" s="4">
        <f t="shared" si="324"/>
        <v>8.2940496401020276</v>
      </c>
      <c r="Z680" s="4">
        <f t="shared" si="325"/>
        <v>5.9914645471079817</v>
      </c>
      <c r="AA680" s="4">
        <f t="shared" si="326"/>
        <v>42.8</v>
      </c>
      <c r="AB680" s="4">
        <f t="shared" si="327"/>
        <v>0</v>
      </c>
      <c r="AC680" s="4">
        <f t="shared" si="328"/>
        <v>0</v>
      </c>
      <c r="AD680" s="4">
        <f t="shared" si="329"/>
        <v>0</v>
      </c>
      <c r="AE680" s="4">
        <f t="shared" si="330"/>
        <v>0</v>
      </c>
      <c r="AF680" s="4">
        <f t="shared" si="331"/>
        <v>0</v>
      </c>
      <c r="AG680" s="4">
        <f t="shared" si="332"/>
        <v>8.2940496401020276</v>
      </c>
      <c r="AH680" s="4">
        <f t="shared" si="333"/>
        <v>0</v>
      </c>
      <c r="AI680" s="4">
        <f t="shared" si="334"/>
        <v>0</v>
      </c>
      <c r="AJ680" s="4">
        <f t="shared" si="335"/>
        <v>8.2940496401020276</v>
      </c>
      <c r="AK680" s="4">
        <f t="shared" si="336"/>
        <v>5.9914645471079817</v>
      </c>
      <c r="AL680" s="4">
        <f t="shared" si="337"/>
        <v>0</v>
      </c>
      <c r="AM680" s="4">
        <f>CER!$C$7+CER!$C$8*J680+CER!$C$9*K680+CER!$C$10*L680+CER!$C$11*M680</f>
        <v>3.2924840171453194</v>
      </c>
      <c r="AN680" s="4">
        <f t="shared" si="338"/>
        <v>26.909624672876507</v>
      </c>
      <c r="AO680" s="4">
        <f t="shared" si="339"/>
        <v>0.11195144958945802</v>
      </c>
      <c r="AP680" s="4">
        <f>Alternatives!$F$25+Alternatives!$F$26*J680+Alternatives!$F$27*K680+Alternatives!$F$28*G680+Alternatives!$F$29*O680</f>
        <v>3.362812897128729</v>
      </c>
      <c r="AQ680" s="4">
        <f t="shared" si="340"/>
        <v>4.1622569606048376E-2</v>
      </c>
    </row>
    <row r="681" spans="1:43" x14ac:dyDescent="0.35">
      <c r="A681" s="2" t="s">
        <v>584</v>
      </c>
      <c r="B681" s="2" t="s">
        <v>577</v>
      </c>
      <c r="C681" s="2" t="s">
        <v>67</v>
      </c>
      <c r="D681" s="2">
        <v>27.3035</v>
      </c>
      <c r="E681" s="2">
        <v>4000</v>
      </c>
      <c r="F681" s="2">
        <v>420</v>
      </c>
      <c r="G681" s="2">
        <v>43.2</v>
      </c>
      <c r="H681" s="2" t="s">
        <v>68</v>
      </c>
      <c r="I681" s="4">
        <f t="shared" si="310"/>
        <v>3.307014899101544</v>
      </c>
      <c r="J681" s="4">
        <f t="shared" si="311"/>
        <v>8.2940496401020276</v>
      </c>
      <c r="K681" s="4">
        <f t="shared" si="312"/>
        <v>6.0402547112774139</v>
      </c>
      <c r="L681" s="2">
        <v>0</v>
      </c>
      <c r="M681" s="2">
        <v>0</v>
      </c>
      <c r="N681" s="4">
        <f t="shared" si="313"/>
        <v>43.2</v>
      </c>
      <c r="O681" s="4">
        <f t="shared" si="314"/>
        <v>0</v>
      </c>
      <c r="P681" s="4">
        <f t="shared" si="315"/>
        <v>0</v>
      </c>
      <c r="Q681" s="4">
        <f t="shared" si="316"/>
        <v>8.2940496401020276</v>
      </c>
      <c r="R681" s="4">
        <f t="shared" si="317"/>
        <v>6.0402547112774139</v>
      </c>
      <c r="S681" s="4">
        <f t="shared" si="318"/>
        <v>43.2</v>
      </c>
      <c r="T681" s="4">
        <f t="shared" si="319"/>
        <v>0</v>
      </c>
      <c r="U681" s="4">
        <f t="shared" si="320"/>
        <v>8.2940496401020276</v>
      </c>
      <c r="V681" s="4">
        <f t="shared" si="321"/>
        <v>6.0402547112774139</v>
      </c>
      <c r="W681" s="4">
        <f t="shared" si="322"/>
        <v>43.2</v>
      </c>
      <c r="X681" s="4">
        <f t="shared" si="323"/>
        <v>0</v>
      </c>
      <c r="Y681" s="4">
        <f t="shared" si="324"/>
        <v>8.2940496401020276</v>
      </c>
      <c r="Z681" s="4">
        <f t="shared" si="325"/>
        <v>6.0402547112774139</v>
      </c>
      <c r="AA681" s="4">
        <f t="shared" si="326"/>
        <v>43.2</v>
      </c>
      <c r="AB681" s="4">
        <f t="shared" si="327"/>
        <v>0</v>
      </c>
      <c r="AC681" s="4">
        <f t="shared" si="328"/>
        <v>0</v>
      </c>
      <c r="AD681" s="4">
        <f t="shared" si="329"/>
        <v>0</v>
      </c>
      <c r="AE681" s="4">
        <f t="shared" si="330"/>
        <v>0</v>
      </c>
      <c r="AF681" s="4">
        <f t="shared" si="331"/>
        <v>0</v>
      </c>
      <c r="AG681" s="4">
        <f t="shared" si="332"/>
        <v>8.2940496401020276</v>
      </c>
      <c r="AH681" s="4">
        <f t="shared" si="333"/>
        <v>0</v>
      </c>
      <c r="AI681" s="4">
        <f t="shared" si="334"/>
        <v>0</v>
      </c>
      <c r="AJ681" s="4">
        <f t="shared" si="335"/>
        <v>8.2940496401020276</v>
      </c>
      <c r="AK681" s="4">
        <f t="shared" si="336"/>
        <v>6.0402547112774139</v>
      </c>
      <c r="AL681" s="4">
        <f t="shared" si="337"/>
        <v>0</v>
      </c>
      <c r="AM681" s="4">
        <f>CER!$C$7+CER!$C$8*J681+CER!$C$9*K681+CER!$C$10*L681+CER!$C$11*M681</f>
        <v>3.2744831927764495</v>
      </c>
      <c r="AN681" s="4">
        <f t="shared" si="338"/>
        <v>26.429562961368863</v>
      </c>
      <c r="AO681" s="4">
        <f t="shared" si="339"/>
        <v>3.25317063250945E-2</v>
      </c>
      <c r="AP681" s="4">
        <f>Alternatives!$F$25+Alternatives!$F$26*J681+Alternatives!$F$27*K681+Alternatives!$F$28*G681+Alternatives!$F$29*O681</f>
        <v>3.3446264222903985</v>
      </c>
      <c r="AQ681" s="4">
        <f t="shared" si="340"/>
        <v>-3.7611523188854523E-2</v>
      </c>
    </row>
    <row r="682" spans="1:43" x14ac:dyDescent="0.35">
      <c r="A682" s="2" t="s">
        <v>585</v>
      </c>
      <c r="B682" s="2" t="s">
        <v>577</v>
      </c>
      <c r="C682" s="2" t="s">
        <v>67</v>
      </c>
      <c r="D682" s="2">
        <v>23.459900000000001</v>
      </c>
      <c r="E682" s="2">
        <v>4000</v>
      </c>
      <c r="F682" s="2">
        <v>565</v>
      </c>
      <c r="G682" s="2">
        <v>47.7</v>
      </c>
      <c r="H682" s="2" t="s">
        <v>68</v>
      </c>
      <c r="I682" s="4">
        <f t="shared" si="310"/>
        <v>3.1552925806416496</v>
      </c>
      <c r="J682" s="4">
        <f t="shared" si="311"/>
        <v>8.2940496401020276</v>
      </c>
      <c r="K682" s="4">
        <f t="shared" si="312"/>
        <v>6.3368257311464413</v>
      </c>
      <c r="L682" s="2">
        <v>0</v>
      </c>
      <c r="M682" s="2">
        <v>0</v>
      </c>
      <c r="N682" s="4">
        <f t="shared" si="313"/>
        <v>47.7</v>
      </c>
      <c r="O682" s="4">
        <f t="shared" si="314"/>
        <v>0</v>
      </c>
      <c r="P682" s="4">
        <f t="shared" si="315"/>
        <v>0</v>
      </c>
      <c r="Q682" s="4">
        <f t="shared" si="316"/>
        <v>8.2940496401020276</v>
      </c>
      <c r="R682" s="4">
        <f t="shared" si="317"/>
        <v>6.3368257311464413</v>
      </c>
      <c r="S682" s="4">
        <f t="shared" si="318"/>
        <v>47.7</v>
      </c>
      <c r="T682" s="4">
        <f t="shared" si="319"/>
        <v>0</v>
      </c>
      <c r="U682" s="4">
        <f t="shared" si="320"/>
        <v>8.2940496401020276</v>
      </c>
      <c r="V682" s="4">
        <f t="shared" si="321"/>
        <v>6.3368257311464413</v>
      </c>
      <c r="W682" s="4">
        <f t="shared" si="322"/>
        <v>47.7</v>
      </c>
      <c r="X682" s="4">
        <f t="shared" si="323"/>
        <v>0</v>
      </c>
      <c r="Y682" s="4">
        <f t="shared" si="324"/>
        <v>8.2940496401020276</v>
      </c>
      <c r="Z682" s="4">
        <f t="shared" si="325"/>
        <v>6.3368257311464413</v>
      </c>
      <c r="AA682" s="4">
        <f t="shared" si="326"/>
        <v>47.7</v>
      </c>
      <c r="AB682" s="4">
        <f t="shared" si="327"/>
        <v>0</v>
      </c>
      <c r="AC682" s="4">
        <f t="shared" si="328"/>
        <v>0</v>
      </c>
      <c r="AD682" s="4">
        <f t="shared" si="329"/>
        <v>0</v>
      </c>
      <c r="AE682" s="4">
        <f t="shared" si="330"/>
        <v>0</v>
      </c>
      <c r="AF682" s="4">
        <f t="shared" si="331"/>
        <v>0</v>
      </c>
      <c r="AG682" s="4">
        <f t="shared" si="332"/>
        <v>8.2940496401020276</v>
      </c>
      <c r="AH682" s="4">
        <f t="shared" si="333"/>
        <v>0</v>
      </c>
      <c r="AI682" s="4">
        <f t="shared" si="334"/>
        <v>0</v>
      </c>
      <c r="AJ682" s="4">
        <f t="shared" si="335"/>
        <v>8.2940496401020276</v>
      </c>
      <c r="AK682" s="4">
        <f t="shared" si="336"/>
        <v>6.3368257311464413</v>
      </c>
      <c r="AL682" s="4">
        <f t="shared" si="337"/>
        <v>0</v>
      </c>
      <c r="AM682" s="4">
        <f>CER!$C$7+CER!$C$8*J682+CER!$C$9*K682+CER!$C$10*L682+CER!$C$11*M682</f>
        <v>3.1650651792805298</v>
      </c>
      <c r="AN682" s="4">
        <f t="shared" si="338"/>
        <v>23.690288098443801</v>
      </c>
      <c r="AO682" s="4">
        <f t="shared" si="339"/>
        <v>-9.7725986388801367E-3</v>
      </c>
      <c r="AP682" s="4">
        <f>Alternatives!$F$25+Alternatives!$F$26*J682+Alternatives!$F$27*K682+Alternatives!$F$28*G682+Alternatives!$F$29*O682</f>
        <v>3.2071730022700646</v>
      </c>
      <c r="AQ682" s="4">
        <f t="shared" si="340"/>
        <v>-5.1880421628414997E-2</v>
      </c>
    </row>
    <row r="683" spans="1:43" x14ac:dyDescent="0.35">
      <c r="A683" s="2" t="s">
        <v>586</v>
      </c>
      <c r="B683" s="2" t="s">
        <v>577</v>
      </c>
      <c r="C683" s="2" t="s">
        <v>67</v>
      </c>
      <c r="D683" s="2">
        <v>31.127400000000002</v>
      </c>
      <c r="E683" s="2">
        <v>4000</v>
      </c>
      <c r="F683" s="2">
        <v>260</v>
      </c>
      <c r="G683" s="2">
        <v>49.9</v>
      </c>
      <c r="H683" s="2" t="s">
        <v>68</v>
      </c>
      <c r="I683" s="4">
        <f t="shared" si="310"/>
        <v>3.4380884602459041</v>
      </c>
      <c r="J683" s="4">
        <f t="shared" si="311"/>
        <v>8.2940496401020276</v>
      </c>
      <c r="K683" s="4">
        <f t="shared" si="312"/>
        <v>5.5606816310155276</v>
      </c>
      <c r="L683" s="2">
        <v>0</v>
      </c>
      <c r="M683" s="2">
        <v>0</v>
      </c>
      <c r="N683" s="4">
        <f t="shared" si="313"/>
        <v>49.9</v>
      </c>
      <c r="O683" s="4">
        <f t="shared" si="314"/>
        <v>0</v>
      </c>
      <c r="P683" s="4">
        <f t="shared" si="315"/>
        <v>0</v>
      </c>
      <c r="Q683" s="4">
        <f t="shared" si="316"/>
        <v>8.2940496401020276</v>
      </c>
      <c r="R683" s="4">
        <f t="shared" si="317"/>
        <v>5.5606816310155276</v>
      </c>
      <c r="S683" s="4">
        <f t="shared" si="318"/>
        <v>49.9</v>
      </c>
      <c r="T683" s="4">
        <f t="shared" si="319"/>
        <v>0</v>
      </c>
      <c r="U683" s="4">
        <f t="shared" si="320"/>
        <v>8.2940496401020276</v>
      </c>
      <c r="V683" s="4">
        <f t="shared" si="321"/>
        <v>5.5606816310155276</v>
      </c>
      <c r="W683" s="4">
        <f t="shared" si="322"/>
        <v>49.9</v>
      </c>
      <c r="X683" s="4">
        <f t="shared" si="323"/>
        <v>0</v>
      </c>
      <c r="Y683" s="4">
        <f t="shared" si="324"/>
        <v>8.2940496401020276</v>
      </c>
      <c r="Z683" s="4">
        <f t="shared" si="325"/>
        <v>5.5606816310155276</v>
      </c>
      <c r="AA683" s="4">
        <f t="shared" si="326"/>
        <v>49.9</v>
      </c>
      <c r="AB683" s="4">
        <f t="shared" si="327"/>
        <v>0</v>
      </c>
      <c r="AC683" s="4">
        <f t="shared" si="328"/>
        <v>0</v>
      </c>
      <c r="AD683" s="4">
        <f t="shared" si="329"/>
        <v>0</v>
      </c>
      <c r="AE683" s="4">
        <f t="shared" si="330"/>
        <v>0</v>
      </c>
      <c r="AF683" s="4">
        <f t="shared" si="331"/>
        <v>0</v>
      </c>
      <c r="AG683" s="4">
        <f t="shared" si="332"/>
        <v>8.2940496401020276</v>
      </c>
      <c r="AH683" s="4">
        <f t="shared" si="333"/>
        <v>0</v>
      </c>
      <c r="AI683" s="4">
        <f t="shared" si="334"/>
        <v>0</v>
      </c>
      <c r="AJ683" s="4">
        <f t="shared" si="335"/>
        <v>8.2940496401020276</v>
      </c>
      <c r="AK683" s="4">
        <f t="shared" si="336"/>
        <v>5.5606816310155276</v>
      </c>
      <c r="AL683" s="4">
        <f t="shared" si="337"/>
        <v>0</v>
      </c>
      <c r="AM683" s="4">
        <f>CER!$C$7+CER!$C$8*J683+CER!$C$9*K683+CER!$C$10*L683+CER!$C$11*M683</f>
        <v>3.4514186660790958</v>
      </c>
      <c r="AN683" s="4">
        <f t="shared" si="338"/>
        <v>31.54511256084653</v>
      </c>
      <c r="AO683" s="4">
        <f t="shared" si="339"/>
        <v>-1.3330205833191666E-2</v>
      </c>
      <c r="AP683" s="4">
        <f>Alternatives!$F$25+Alternatives!$F$26*J683+Alternatives!$F$27*K683+Alternatives!$F$28*G683+Alternatives!$F$29*O683</f>
        <v>3.3850965918563363</v>
      </c>
      <c r="AQ683" s="4">
        <f t="shared" si="340"/>
        <v>5.299186838956782E-2</v>
      </c>
    </row>
    <row r="684" spans="1:43" x14ac:dyDescent="0.35">
      <c r="A684" s="2" t="s">
        <v>587</v>
      </c>
      <c r="B684" s="2" t="s">
        <v>577</v>
      </c>
      <c r="C684" s="2" t="s">
        <v>67</v>
      </c>
      <c r="D684" s="2">
        <v>29.790900000000001</v>
      </c>
      <c r="E684" s="2">
        <v>4500</v>
      </c>
      <c r="F684" s="2">
        <v>260</v>
      </c>
      <c r="G684" s="2">
        <v>49.9</v>
      </c>
      <c r="H684" s="2" t="s">
        <v>68</v>
      </c>
      <c r="I684" s="4">
        <f t="shared" si="310"/>
        <v>3.3942029777491958</v>
      </c>
      <c r="J684" s="4">
        <f t="shared" si="311"/>
        <v>8.4118326757584114</v>
      </c>
      <c r="K684" s="4">
        <f t="shared" si="312"/>
        <v>5.5606816310155276</v>
      </c>
      <c r="L684" s="2">
        <v>0</v>
      </c>
      <c r="M684" s="2">
        <v>0</v>
      </c>
      <c r="N684" s="4">
        <f t="shared" si="313"/>
        <v>49.9</v>
      </c>
      <c r="O684" s="4">
        <f t="shared" si="314"/>
        <v>0</v>
      </c>
      <c r="P684" s="4">
        <f t="shared" si="315"/>
        <v>0</v>
      </c>
      <c r="Q684" s="4">
        <f t="shared" si="316"/>
        <v>8.4118326757584114</v>
      </c>
      <c r="R684" s="4">
        <f t="shared" si="317"/>
        <v>5.5606816310155276</v>
      </c>
      <c r="S684" s="4">
        <f t="shared" si="318"/>
        <v>49.9</v>
      </c>
      <c r="T684" s="4">
        <f t="shared" si="319"/>
        <v>0</v>
      </c>
      <c r="U684" s="4">
        <f t="shared" si="320"/>
        <v>8.4118326757584114</v>
      </c>
      <c r="V684" s="4">
        <f t="shared" si="321"/>
        <v>5.5606816310155276</v>
      </c>
      <c r="W684" s="4">
        <f t="shared" si="322"/>
        <v>49.9</v>
      </c>
      <c r="X684" s="4">
        <f t="shared" si="323"/>
        <v>0</v>
      </c>
      <c r="Y684" s="4">
        <f t="shared" si="324"/>
        <v>8.4118326757584114</v>
      </c>
      <c r="Z684" s="4">
        <f t="shared" si="325"/>
        <v>5.5606816310155276</v>
      </c>
      <c r="AA684" s="4">
        <f t="shared" si="326"/>
        <v>49.9</v>
      </c>
      <c r="AB684" s="4">
        <f t="shared" si="327"/>
        <v>0</v>
      </c>
      <c r="AC684" s="4">
        <f t="shared" si="328"/>
        <v>0</v>
      </c>
      <c r="AD684" s="4">
        <f t="shared" si="329"/>
        <v>0</v>
      </c>
      <c r="AE684" s="4">
        <f t="shared" si="330"/>
        <v>0</v>
      </c>
      <c r="AF684" s="4">
        <f t="shared" si="331"/>
        <v>0</v>
      </c>
      <c r="AG684" s="4">
        <f t="shared" si="332"/>
        <v>8.4118326757584114</v>
      </c>
      <c r="AH684" s="4">
        <f t="shared" si="333"/>
        <v>0</v>
      </c>
      <c r="AI684" s="4">
        <f t="shared" si="334"/>
        <v>0</v>
      </c>
      <c r="AJ684" s="4">
        <f t="shared" si="335"/>
        <v>8.4118326757584114</v>
      </c>
      <c r="AK684" s="4">
        <f t="shared" si="336"/>
        <v>5.5606816310155276</v>
      </c>
      <c r="AL684" s="4">
        <f t="shared" si="337"/>
        <v>0</v>
      </c>
      <c r="AM684" s="4">
        <f>CER!$C$7+CER!$C$8*J684+CER!$C$9*K684+CER!$C$10*L684+CER!$C$11*M684</f>
        <v>3.3980972117002959</v>
      </c>
      <c r="AN684" s="4">
        <f t="shared" si="338"/>
        <v>29.907138918086993</v>
      </c>
      <c r="AO684" s="4">
        <f t="shared" si="339"/>
        <v>-3.8942339511001123E-3</v>
      </c>
      <c r="AP684" s="4">
        <f>Alternatives!$F$25+Alternatives!$F$26*J684+Alternatives!$F$27*K684+Alternatives!$F$28*G684+Alternatives!$F$29*O684</f>
        <v>3.4286864418101279</v>
      </c>
      <c r="AQ684" s="4">
        <f t="shared" si="340"/>
        <v>-3.4483464060932167E-2</v>
      </c>
    </row>
    <row r="685" spans="1:43" x14ac:dyDescent="0.35">
      <c r="A685" s="2" t="s">
        <v>588</v>
      </c>
      <c r="B685" s="2" t="s">
        <v>577</v>
      </c>
      <c r="C685" s="2" t="s">
        <v>67</v>
      </c>
      <c r="D685" s="2">
        <v>38.621499999999997</v>
      </c>
      <c r="E685" s="2">
        <v>3500</v>
      </c>
      <c r="F685" s="2">
        <v>239</v>
      </c>
      <c r="G685" s="2">
        <v>48.5</v>
      </c>
      <c r="H685" s="2" t="s">
        <v>68</v>
      </c>
      <c r="I685" s="4">
        <f t="shared" si="310"/>
        <v>3.6538091162254012</v>
      </c>
      <c r="J685" s="4">
        <f t="shared" si="311"/>
        <v>8.1605182474775049</v>
      </c>
      <c r="K685" s="4">
        <f t="shared" si="312"/>
        <v>5.476463551931511</v>
      </c>
      <c r="L685" s="2">
        <v>0</v>
      </c>
      <c r="M685" s="2">
        <v>0</v>
      </c>
      <c r="N685" s="4">
        <f t="shared" si="313"/>
        <v>48.5</v>
      </c>
      <c r="O685" s="4">
        <f t="shared" si="314"/>
        <v>0</v>
      </c>
      <c r="P685" s="4">
        <f t="shared" si="315"/>
        <v>0</v>
      </c>
      <c r="Q685" s="4">
        <f t="shared" si="316"/>
        <v>8.1605182474775049</v>
      </c>
      <c r="R685" s="4">
        <f t="shared" si="317"/>
        <v>5.476463551931511</v>
      </c>
      <c r="S685" s="4">
        <f t="shared" si="318"/>
        <v>48.5</v>
      </c>
      <c r="T685" s="4">
        <f t="shared" si="319"/>
        <v>0</v>
      </c>
      <c r="U685" s="4">
        <f t="shared" si="320"/>
        <v>8.1605182474775049</v>
      </c>
      <c r="V685" s="4">
        <f t="shared" si="321"/>
        <v>5.476463551931511</v>
      </c>
      <c r="W685" s="4">
        <f t="shared" si="322"/>
        <v>48.5</v>
      </c>
      <c r="X685" s="4">
        <f t="shared" si="323"/>
        <v>0</v>
      </c>
      <c r="Y685" s="4">
        <f t="shared" si="324"/>
        <v>8.1605182474775049</v>
      </c>
      <c r="Z685" s="4">
        <f t="shared" si="325"/>
        <v>5.476463551931511</v>
      </c>
      <c r="AA685" s="4">
        <f t="shared" si="326"/>
        <v>48.5</v>
      </c>
      <c r="AB685" s="4">
        <f t="shared" si="327"/>
        <v>0</v>
      </c>
      <c r="AC685" s="4">
        <f t="shared" si="328"/>
        <v>0</v>
      </c>
      <c r="AD685" s="4">
        <f t="shared" si="329"/>
        <v>0</v>
      </c>
      <c r="AE685" s="4">
        <f t="shared" si="330"/>
        <v>0</v>
      </c>
      <c r="AF685" s="4">
        <f t="shared" si="331"/>
        <v>0</v>
      </c>
      <c r="AG685" s="4">
        <f t="shared" si="332"/>
        <v>8.1605182474775049</v>
      </c>
      <c r="AH685" s="4">
        <f t="shared" si="333"/>
        <v>0</v>
      </c>
      <c r="AI685" s="4">
        <f t="shared" si="334"/>
        <v>0</v>
      </c>
      <c r="AJ685" s="4">
        <f t="shared" si="335"/>
        <v>8.1605182474775049</v>
      </c>
      <c r="AK685" s="4">
        <f t="shared" si="336"/>
        <v>5.476463551931511</v>
      </c>
      <c r="AL685" s="4">
        <f t="shared" si="337"/>
        <v>0</v>
      </c>
      <c r="AM685" s="4">
        <f>CER!$C$7+CER!$C$8*J685+CER!$C$9*K685+CER!$C$10*L685+CER!$C$11*M685</f>
        <v>3.5429412761485208</v>
      </c>
      <c r="AN685" s="4">
        <f t="shared" si="338"/>
        <v>34.568445152939177</v>
      </c>
      <c r="AO685" s="4">
        <f t="shared" si="339"/>
        <v>0.11086784007688033</v>
      </c>
      <c r="AP685" s="4">
        <f>Alternatives!$F$25+Alternatives!$F$26*J685+Alternatives!$F$27*K685+Alternatives!$F$28*G685+Alternatives!$F$29*O685</f>
        <v>3.3763000064922024</v>
      </c>
      <c r="AQ685" s="4">
        <f t="shared" si="340"/>
        <v>0.27750910973319876</v>
      </c>
    </row>
    <row r="686" spans="1:43" x14ac:dyDescent="0.35">
      <c r="A686" s="2" t="s">
        <v>589</v>
      </c>
      <c r="B686" s="2" t="s">
        <v>577</v>
      </c>
      <c r="C686" s="2" t="s">
        <v>67</v>
      </c>
      <c r="D686" s="2">
        <v>42.265599999999999</v>
      </c>
      <c r="E686" s="2">
        <v>3500</v>
      </c>
      <c r="F686" s="2">
        <v>188</v>
      </c>
      <c r="G686" s="2">
        <v>48.5</v>
      </c>
      <c r="H686" s="2" t="s">
        <v>68</v>
      </c>
      <c r="I686" s="4">
        <f t="shared" si="310"/>
        <v>3.7439735164235075</v>
      </c>
      <c r="J686" s="4">
        <f t="shared" si="311"/>
        <v>8.1605182474775049</v>
      </c>
      <c r="K686" s="4">
        <f t="shared" si="312"/>
        <v>5.2364419628299492</v>
      </c>
      <c r="L686" s="2">
        <v>0</v>
      </c>
      <c r="M686" s="2">
        <v>0</v>
      </c>
      <c r="N686" s="4">
        <f t="shared" si="313"/>
        <v>48.5</v>
      </c>
      <c r="O686" s="4">
        <f t="shared" si="314"/>
        <v>0</v>
      </c>
      <c r="P686" s="4">
        <f t="shared" si="315"/>
        <v>0</v>
      </c>
      <c r="Q686" s="4">
        <f t="shared" si="316"/>
        <v>8.1605182474775049</v>
      </c>
      <c r="R686" s="4">
        <f t="shared" si="317"/>
        <v>5.2364419628299492</v>
      </c>
      <c r="S686" s="4">
        <f t="shared" si="318"/>
        <v>48.5</v>
      </c>
      <c r="T686" s="4">
        <f t="shared" si="319"/>
        <v>0</v>
      </c>
      <c r="U686" s="4">
        <f t="shared" si="320"/>
        <v>8.1605182474775049</v>
      </c>
      <c r="V686" s="4">
        <f t="shared" si="321"/>
        <v>5.2364419628299492</v>
      </c>
      <c r="W686" s="4">
        <f t="shared" si="322"/>
        <v>48.5</v>
      </c>
      <c r="X686" s="4">
        <f t="shared" si="323"/>
        <v>0</v>
      </c>
      <c r="Y686" s="4">
        <f t="shared" si="324"/>
        <v>8.1605182474775049</v>
      </c>
      <c r="Z686" s="4">
        <f t="shared" si="325"/>
        <v>5.2364419628299492</v>
      </c>
      <c r="AA686" s="4">
        <f t="shared" si="326"/>
        <v>48.5</v>
      </c>
      <c r="AB686" s="4">
        <f t="shared" si="327"/>
        <v>0</v>
      </c>
      <c r="AC686" s="4">
        <f t="shared" si="328"/>
        <v>0</v>
      </c>
      <c r="AD686" s="4">
        <f t="shared" si="329"/>
        <v>0</v>
      </c>
      <c r="AE686" s="4">
        <f t="shared" si="330"/>
        <v>0</v>
      </c>
      <c r="AF686" s="4">
        <f t="shared" si="331"/>
        <v>0</v>
      </c>
      <c r="AG686" s="4">
        <f t="shared" si="332"/>
        <v>8.1605182474775049</v>
      </c>
      <c r="AH686" s="4">
        <f t="shared" si="333"/>
        <v>0</v>
      </c>
      <c r="AI686" s="4">
        <f t="shared" si="334"/>
        <v>0</v>
      </c>
      <c r="AJ686" s="4">
        <f t="shared" si="335"/>
        <v>8.1605182474775049</v>
      </c>
      <c r="AK686" s="4">
        <f t="shared" si="336"/>
        <v>5.2364419628299492</v>
      </c>
      <c r="AL686" s="4">
        <f t="shared" si="337"/>
        <v>0</v>
      </c>
      <c r="AM686" s="4">
        <f>CER!$C$7+CER!$C$8*J686+CER!$C$9*K686+CER!$C$10*L686+CER!$C$11*M686</f>
        <v>3.6314957326400048</v>
      </c>
      <c r="AN686" s="4">
        <f t="shared" si="338"/>
        <v>37.769267114844205</v>
      </c>
      <c r="AO686" s="4">
        <f t="shared" si="339"/>
        <v>0.11247778378350271</v>
      </c>
      <c r="AP686" s="4">
        <f>Alternatives!$F$25+Alternatives!$F$26*J686+Alternatives!$F$27*K686+Alternatives!$F$28*G686+Alternatives!$F$29*O686</f>
        <v>3.4401721438656643</v>
      </c>
      <c r="AQ686" s="4">
        <f t="shared" si="340"/>
        <v>0.30380137255784323</v>
      </c>
    </row>
    <row r="687" spans="1:43" x14ac:dyDescent="0.35">
      <c r="A687" s="2" t="s">
        <v>590</v>
      </c>
      <c r="B687" s="2" t="s">
        <v>577</v>
      </c>
      <c r="C687" s="2" t="s">
        <v>67</v>
      </c>
      <c r="D687" s="2">
        <v>47.207900000000002</v>
      </c>
      <c r="E687" s="2">
        <v>3500</v>
      </c>
      <c r="F687" s="2">
        <v>201</v>
      </c>
      <c r="G687" s="2">
        <v>46.2</v>
      </c>
      <c r="H687" s="2" t="s">
        <v>68</v>
      </c>
      <c r="I687" s="4">
        <f t="shared" si="310"/>
        <v>3.8545612514675875</v>
      </c>
      <c r="J687" s="4">
        <f t="shared" si="311"/>
        <v>8.1605182474775049</v>
      </c>
      <c r="K687" s="4">
        <f t="shared" si="312"/>
        <v>5.3033049080590757</v>
      </c>
      <c r="L687" s="2">
        <v>0</v>
      </c>
      <c r="M687" s="2">
        <v>0</v>
      </c>
      <c r="N687" s="4">
        <f t="shared" si="313"/>
        <v>46.2</v>
      </c>
      <c r="O687" s="4">
        <f t="shared" si="314"/>
        <v>0</v>
      </c>
      <c r="P687" s="4">
        <f t="shared" si="315"/>
        <v>0</v>
      </c>
      <c r="Q687" s="4">
        <f t="shared" si="316"/>
        <v>8.1605182474775049</v>
      </c>
      <c r="R687" s="4">
        <f t="shared" si="317"/>
        <v>5.3033049080590757</v>
      </c>
      <c r="S687" s="4">
        <f t="shared" si="318"/>
        <v>46.2</v>
      </c>
      <c r="T687" s="4">
        <f t="shared" si="319"/>
        <v>0</v>
      </c>
      <c r="U687" s="4">
        <f t="shared" si="320"/>
        <v>8.1605182474775049</v>
      </c>
      <c r="V687" s="4">
        <f t="shared" si="321"/>
        <v>5.3033049080590757</v>
      </c>
      <c r="W687" s="4">
        <f t="shared" si="322"/>
        <v>46.2</v>
      </c>
      <c r="X687" s="4">
        <f t="shared" si="323"/>
        <v>0</v>
      </c>
      <c r="Y687" s="4">
        <f t="shared" si="324"/>
        <v>8.1605182474775049</v>
      </c>
      <c r="Z687" s="4">
        <f t="shared" si="325"/>
        <v>5.3033049080590757</v>
      </c>
      <c r="AA687" s="4">
        <f t="shared" si="326"/>
        <v>46.2</v>
      </c>
      <c r="AB687" s="4">
        <f t="shared" si="327"/>
        <v>0</v>
      </c>
      <c r="AC687" s="4">
        <f t="shared" si="328"/>
        <v>0</v>
      </c>
      <c r="AD687" s="4">
        <f t="shared" si="329"/>
        <v>0</v>
      </c>
      <c r="AE687" s="4">
        <f t="shared" si="330"/>
        <v>0</v>
      </c>
      <c r="AF687" s="4">
        <f t="shared" si="331"/>
        <v>0</v>
      </c>
      <c r="AG687" s="4">
        <f t="shared" si="332"/>
        <v>8.1605182474775049</v>
      </c>
      <c r="AH687" s="4">
        <f t="shared" si="333"/>
        <v>0</v>
      </c>
      <c r="AI687" s="4">
        <f t="shared" si="334"/>
        <v>0</v>
      </c>
      <c r="AJ687" s="4">
        <f t="shared" si="335"/>
        <v>8.1605182474775049</v>
      </c>
      <c r="AK687" s="4">
        <f t="shared" si="336"/>
        <v>5.3033049080590757</v>
      </c>
      <c r="AL687" s="4">
        <f t="shared" si="337"/>
        <v>0</v>
      </c>
      <c r="AM687" s="4">
        <f>CER!$C$7+CER!$C$8*J687+CER!$C$9*K687+CER!$C$10*L687+CER!$C$11*M687</f>
        <v>3.6068270693070583</v>
      </c>
      <c r="AN687" s="4">
        <f t="shared" si="338"/>
        <v>36.848947972270025</v>
      </c>
      <c r="AO687" s="4">
        <f t="shared" si="339"/>
        <v>0.24773418216052923</v>
      </c>
      <c r="AP687" s="4">
        <f>Alternatives!$F$25+Alternatives!$F$26*J687+Alternatives!$F$27*K687+Alternatives!$F$28*G687+Alternatives!$F$29*O687</f>
        <v>3.4522960711035156</v>
      </c>
      <c r="AQ687" s="4">
        <f t="shared" si="340"/>
        <v>0.40226518036407199</v>
      </c>
    </row>
    <row r="688" spans="1:43" x14ac:dyDescent="0.35">
      <c r="A688" s="2" t="s">
        <v>591</v>
      </c>
      <c r="B688" s="2" t="s">
        <v>577</v>
      </c>
      <c r="C688" s="2" t="s">
        <v>67</v>
      </c>
      <c r="D688" s="2">
        <v>45.831600000000002</v>
      </c>
      <c r="E688" s="2">
        <v>4000</v>
      </c>
      <c r="F688" s="2">
        <v>201</v>
      </c>
      <c r="G688" s="2">
        <v>46.2</v>
      </c>
      <c r="H688" s="2" t="s">
        <v>68</v>
      </c>
      <c r="I688" s="4">
        <f t="shared" si="310"/>
        <v>3.8249738095415728</v>
      </c>
      <c r="J688" s="4">
        <f t="shared" si="311"/>
        <v>8.2940496401020276</v>
      </c>
      <c r="K688" s="4">
        <f t="shared" si="312"/>
        <v>5.3033049080590757</v>
      </c>
      <c r="L688" s="2">
        <v>0</v>
      </c>
      <c r="M688" s="2">
        <v>0</v>
      </c>
      <c r="N688" s="4">
        <f t="shared" si="313"/>
        <v>46.2</v>
      </c>
      <c r="O688" s="4">
        <f t="shared" si="314"/>
        <v>0</v>
      </c>
      <c r="P688" s="4">
        <f t="shared" si="315"/>
        <v>0</v>
      </c>
      <c r="Q688" s="4">
        <f t="shared" si="316"/>
        <v>8.2940496401020276</v>
      </c>
      <c r="R688" s="4">
        <f t="shared" si="317"/>
        <v>5.3033049080590757</v>
      </c>
      <c r="S688" s="4">
        <f t="shared" si="318"/>
        <v>46.2</v>
      </c>
      <c r="T688" s="4">
        <f t="shared" si="319"/>
        <v>0</v>
      </c>
      <c r="U688" s="4">
        <f t="shared" si="320"/>
        <v>8.2940496401020276</v>
      </c>
      <c r="V688" s="4">
        <f t="shared" si="321"/>
        <v>5.3033049080590757</v>
      </c>
      <c r="W688" s="4">
        <f t="shared" si="322"/>
        <v>46.2</v>
      </c>
      <c r="X688" s="4">
        <f t="shared" si="323"/>
        <v>0</v>
      </c>
      <c r="Y688" s="4">
        <f t="shared" si="324"/>
        <v>8.2940496401020276</v>
      </c>
      <c r="Z688" s="4">
        <f t="shared" si="325"/>
        <v>5.3033049080590757</v>
      </c>
      <c r="AA688" s="4">
        <f t="shared" si="326"/>
        <v>46.2</v>
      </c>
      <c r="AB688" s="4">
        <f t="shared" si="327"/>
        <v>0</v>
      </c>
      <c r="AC688" s="4">
        <f t="shared" si="328"/>
        <v>0</v>
      </c>
      <c r="AD688" s="4">
        <f t="shared" si="329"/>
        <v>0</v>
      </c>
      <c r="AE688" s="4">
        <f t="shared" si="330"/>
        <v>0</v>
      </c>
      <c r="AF688" s="4">
        <f t="shared" si="331"/>
        <v>0</v>
      </c>
      <c r="AG688" s="4">
        <f t="shared" si="332"/>
        <v>8.2940496401020276</v>
      </c>
      <c r="AH688" s="4">
        <f t="shared" si="333"/>
        <v>0</v>
      </c>
      <c r="AI688" s="4">
        <f t="shared" si="334"/>
        <v>0</v>
      </c>
      <c r="AJ688" s="4">
        <f t="shared" si="335"/>
        <v>8.2940496401020276</v>
      </c>
      <c r="AK688" s="4">
        <f t="shared" si="336"/>
        <v>5.3033049080590757</v>
      </c>
      <c r="AL688" s="4">
        <f t="shared" si="337"/>
        <v>0</v>
      </c>
      <c r="AM688" s="4">
        <f>CER!$C$7+CER!$C$8*J688+CER!$C$9*K688+CER!$C$10*L688+CER!$C$11*M688</f>
        <v>3.5463761901096684</v>
      </c>
      <c r="AN688" s="4">
        <f t="shared" si="338"/>
        <v>34.687388951719846</v>
      </c>
      <c r="AO688" s="4">
        <f t="shared" si="339"/>
        <v>0.27859761943190442</v>
      </c>
      <c r="AP688" s="4">
        <f>Alternatives!$F$25+Alternatives!$F$26*J688+Alternatives!$F$27*K688+Alternatives!$F$28*G688+Alternatives!$F$29*O688</f>
        <v>3.5017141671492373</v>
      </c>
      <c r="AQ688" s="4">
        <f t="shared" si="340"/>
        <v>0.32325964239233551</v>
      </c>
    </row>
    <row r="689" spans="1:43" x14ac:dyDescent="0.35">
      <c r="A689" s="2" t="s">
        <v>592</v>
      </c>
      <c r="B689" s="2" t="s">
        <v>577</v>
      </c>
      <c r="C689" s="2" t="s">
        <v>67</v>
      </c>
      <c r="D689" s="2">
        <v>46.333799999999997</v>
      </c>
      <c r="E689" s="2">
        <v>4000</v>
      </c>
      <c r="F689" s="2">
        <v>201</v>
      </c>
      <c r="G689" s="2">
        <v>46.2</v>
      </c>
      <c r="H689" s="2" t="s">
        <v>68</v>
      </c>
      <c r="I689" s="4">
        <f t="shared" si="310"/>
        <v>3.8358717163543066</v>
      </c>
      <c r="J689" s="4">
        <f t="shared" si="311"/>
        <v>8.2940496401020276</v>
      </c>
      <c r="K689" s="4">
        <f t="shared" si="312"/>
        <v>5.3033049080590757</v>
      </c>
      <c r="L689" s="2">
        <v>0</v>
      </c>
      <c r="M689" s="2">
        <v>0</v>
      </c>
      <c r="N689" s="4">
        <f t="shared" si="313"/>
        <v>46.2</v>
      </c>
      <c r="O689" s="4">
        <f t="shared" si="314"/>
        <v>0</v>
      </c>
      <c r="P689" s="4">
        <f t="shared" si="315"/>
        <v>0</v>
      </c>
      <c r="Q689" s="4">
        <f t="shared" si="316"/>
        <v>8.2940496401020276</v>
      </c>
      <c r="R689" s="4">
        <f t="shared" si="317"/>
        <v>5.3033049080590757</v>
      </c>
      <c r="S689" s="4">
        <f t="shared" si="318"/>
        <v>46.2</v>
      </c>
      <c r="T689" s="4">
        <f t="shared" si="319"/>
        <v>0</v>
      </c>
      <c r="U689" s="4">
        <f t="shared" si="320"/>
        <v>8.2940496401020276</v>
      </c>
      <c r="V689" s="4">
        <f t="shared" si="321"/>
        <v>5.3033049080590757</v>
      </c>
      <c r="W689" s="4">
        <f t="shared" si="322"/>
        <v>46.2</v>
      </c>
      <c r="X689" s="4">
        <f t="shared" si="323"/>
        <v>0</v>
      </c>
      <c r="Y689" s="4">
        <f t="shared" si="324"/>
        <v>8.2940496401020276</v>
      </c>
      <c r="Z689" s="4">
        <f t="shared" si="325"/>
        <v>5.3033049080590757</v>
      </c>
      <c r="AA689" s="4">
        <f t="shared" si="326"/>
        <v>46.2</v>
      </c>
      <c r="AB689" s="4">
        <f t="shared" si="327"/>
        <v>0</v>
      </c>
      <c r="AC689" s="4">
        <f t="shared" si="328"/>
        <v>0</v>
      </c>
      <c r="AD689" s="4">
        <f t="shared" si="329"/>
        <v>0</v>
      </c>
      <c r="AE689" s="4">
        <f t="shared" si="330"/>
        <v>0</v>
      </c>
      <c r="AF689" s="4">
        <f t="shared" si="331"/>
        <v>0</v>
      </c>
      <c r="AG689" s="4">
        <f t="shared" si="332"/>
        <v>8.2940496401020276</v>
      </c>
      <c r="AH689" s="4">
        <f t="shared" si="333"/>
        <v>0</v>
      </c>
      <c r="AI689" s="4">
        <f t="shared" si="334"/>
        <v>0</v>
      </c>
      <c r="AJ689" s="4">
        <f t="shared" si="335"/>
        <v>8.2940496401020276</v>
      </c>
      <c r="AK689" s="4">
        <f t="shared" si="336"/>
        <v>5.3033049080590757</v>
      </c>
      <c r="AL689" s="4">
        <f t="shared" si="337"/>
        <v>0</v>
      </c>
      <c r="AM689" s="4">
        <f>CER!$C$7+CER!$C$8*J689+CER!$C$9*K689+CER!$C$10*L689+CER!$C$11*M689</f>
        <v>3.5463761901096684</v>
      </c>
      <c r="AN689" s="4">
        <f t="shared" si="338"/>
        <v>34.687388951719846</v>
      </c>
      <c r="AO689" s="4">
        <f t="shared" si="339"/>
        <v>0.28949552624463815</v>
      </c>
      <c r="AP689" s="4">
        <f>Alternatives!$F$25+Alternatives!$F$26*J689+Alternatives!$F$27*K689+Alternatives!$F$28*G689+Alternatives!$F$29*O689</f>
        <v>3.5017141671492373</v>
      </c>
      <c r="AQ689" s="4">
        <f t="shared" si="340"/>
        <v>0.33415754920506924</v>
      </c>
    </row>
    <row r="690" spans="1:43" x14ac:dyDescent="0.35">
      <c r="A690" s="2" t="s">
        <v>593</v>
      </c>
      <c r="B690" s="2" t="s">
        <v>577</v>
      </c>
      <c r="C690" s="2" t="s">
        <v>67</v>
      </c>
      <c r="D690" s="2">
        <v>44.261200000000002</v>
      </c>
      <c r="E690" s="2">
        <v>4000</v>
      </c>
      <c r="F690" s="2">
        <v>201</v>
      </c>
      <c r="G690" s="2">
        <v>46.2</v>
      </c>
      <c r="H690" s="2" t="s">
        <v>68</v>
      </c>
      <c r="I690" s="4">
        <f t="shared" si="310"/>
        <v>3.7901084467723112</v>
      </c>
      <c r="J690" s="4">
        <f t="shared" si="311"/>
        <v>8.2940496401020276</v>
      </c>
      <c r="K690" s="4">
        <f t="shared" si="312"/>
        <v>5.3033049080590757</v>
      </c>
      <c r="L690" s="2">
        <v>0</v>
      </c>
      <c r="M690" s="2">
        <v>0</v>
      </c>
      <c r="N690" s="4">
        <f t="shared" si="313"/>
        <v>46.2</v>
      </c>
      <c r="O690" s="4">
        <f t="shared" si="314"/>
        <v>0</v>
      </c>
      <c r="P690" s="4">
        <f t="shared" si="315"/>
        <v>0</v>
      </c>
      <c r="Q690" s="4">
        <f t="shared" si="316"/>
        <v>8.2940496401020276</v>
      </c>
      <c r="R690" s="4">
        <f t="shared" si="317"/>
        <v>5.3033049080590757</v>
      </c>
      <c r="S690" s="4">
        <f t="shared" si="318"/>
        <v>46.2</v>
      </c>
      <c r="T690" s="4">
        <f t="shared" si="319"/>
        <v>0</v>
      </c>
      <c r="U690" s="4">
        <f t="shared" si="320"/>
        <v>8.2940496401020276</v>
      </c>
      <c r="V690" s="4">
        <f t="shared" si="321"/>
        <v>5.3033049080590757</v>
      </c>
      <c r="W690" s="4">
        <f t="shared" si="322"/>
        <v>46.2</v>
      </c>
      <c r="X690" s="4">
        <f t="shared" si="323"/>
        <v>0</v>
      </c>
      <c r="Y690" s="4">
        <f t="shared" si="324"/>
        <v>8.2940496401020276</v>
      </c>
      <c r="Z690" s="4">
        <f t="shared" si="325"/>
        <v>5.3033049080590757</v>
      </c>
      <c r="AA690" s="4">
        <f t="shared" si="326"/>
        <v>46.2</v>
      </c>
      <c r="AB690" s="4">
        <f t="shared" si="327"/>
        <v>0</v>
      </c>
      <c r="AC690" s="4">
        <f t="shared" si="328"/>
        <v>0</v>
      </c>
      <c r="AD690" s="4">
        <f t="shared" si="329"/>
        <v>0</v>
      </c>
      <c r="AE690" s="4">
        <f t="shared" si="330"/>
        <v>0</v>
      </c>
      <c r="AF690" s="4">
        <f t="shared" si="331"/>
        <v>0</v>
      </c>
      <c r="AG690" s="4">
        <f t="shared" si="332"/>
        <v>8.2940496401020276</v>
      </c>
      <c r="AH690" s="4">
        <f t="shared" si="333"/>
        <v>0</v>
      </c>
      <c r="AI690" s="4">
        <f t="shared" si="334"/>
        <v>0</v>
      </c>
      <c r="AJ690" s="4">
        <f t="shared" si="335"/>
        <v>8.2940496401020276</v>
      </c>
      <c r="AK690" s="4">
        <f t="shared" si="336"/>
        <v>5.3033049080590757</v>
      </c>
      <c r="AL690" s="4">
        <f t="shared" si="337"/>
        <v>0</v>
      </c>
      <c r="AM690" s="4">
        <f>CER!$C$7+CER!$C$8*J690+CER!$C$9*K690+CER!$C$10*L690+CER!$C$11*M690</f>
        <v>3.5463761901096684</v>
      </c>
      <c r="AN690" s="4">
        <f t="shared" si="338"/>
        <v>34.687388951719846</v>
      </c>
      <c r="AO690" s="4">
        <f t="shared" si="339"/>
        <v>0.24373225666264275</v>
      </c>
      <c r="AP690" s="4">
        <f>Alternatives!$F$25+Alternatives!$F$26*J690+Alternatives!$F$27*K690+Alternatives!$F$28*G690+Alternatives!$F$29*O690</f>
        <v>3.5017141671492373</v>
      </c>
      <c r="AQ690" s="4">
        <f t="shared" si="340"/>
        <v>0.28839427962307385</v>
      </c>
    </row>
    <row r="691" spans="1:43" x14ac:dyDescent="0.35">
      <c r="A691" s="2" t="s">
        <v>594</v>
      </c>
      <c r="B691" s="2" t="s">
        <v>577</v>
      </c>
      <c r="C691" s="2" t="s">
        <v>67</v>
      </c>
      <c r="D691" s="2">
        <v>27.698899999999998</v>
      </c>
      <c r="E691" s="2">
        <v>4500</v>
      </c>
      <c r="F691" s="2">
        <v>310</v>
      </c>
      <c r="G691" s="2">
        <v>54.1</v>
      </c>
      <c r="H691" s="2" t="s">
        <v>68</v>
      </c>
      <c r="I691" s="4">
        <f t="shared" si="310"/>
        <v>3.3213927012134468</v>
      </c>
      <c r="J691" s="4">
        <f t="shared" si="311"/>
        <v>8.4118326757584114</v>
      </c>
      <c r="K691" s="4">
        <f t="shared" si="312"/>
        <v>5.7365722974791922</v>
      </c>
      <c r="L691" s="2">
        <v>0</v>
      </c>
      <c r="M691" s="2">
        <v>0</v>
      </c>
      <c r="N691" s="4">
        <f t="shared" si="313"/>
        <v>54.1</v>
      </c>
      <c r="O691" s="4">
        <f t="shared" si="314"/>
        <v>0</v>
      </c>
      <c r="P691" s="4">
        <f t="shared" si="315"/>
        <v>0</v>
      </c>
      <c r="Q691" s="4">
        <f t="shared" si="316"/>
        <v>8.4118326757584114</v>
      </c>
      <c r="R691" s="4">
        <f t="shared" si="317"/>
        <v>5.7365722974791922</v>
      </c>
      <c r="S691" s="4">
        <f t="shared" si="318"/>
        <v>54.1</v>
      </c>
      <c r="T691" s="4">
        <f t="shared" si="319"/>
        <v>0</v>
      </c>
      <c r="U691" s="4">
        <f t="shared" si="320"/>
        <v>8.4118326757584114</v>
      </c>
      <c r="V691" s="4">
        <f t="shared" si="321"/>
        <v>5.7365722974791922</v>
      </c>
      <c r="W691" s="4">
        <f t="shared" si="322"/>
        <v>54.1</v>
      </c>
      <c r="X691" s="4">
        <f t="shared" si="323"/>
        <v>0</v>
      </c>
      <c r="Y691" s="4">
        <f t="shared" si="324"/>
        <v>8.4118326757584114</v>
      </c>
      <c r="Z691" s="4">
        <f t="shared" si="325"/>
        <v>5.7365722974791922</v>
      </c>
      <c r="AA691" s="4">
        <f t="shared" si="326"/>
        <v>54.1</v>
      </c>
      <c r="AB691" s="4">
        <f t="shared" si="327"/>
        <v>0</v>
      </c>
      <c r="AC691" s="4">
        <f t="shared" si="328"/>
        <v>0</v>
      </c>
      <c r="AD691" s="4">
        <f t="shared" si="329"/>
        <v>0</v>
      </c>
      <c r="AE691" s="4">
        <f t="shared" si="330"/>
        <v>0</v>
      </c>
      <c r="AF691" s="4">
        <f t="shared" si="331"/>
        <v>0</v>
      </c>
      <c r="AG691" s="4">
        <f t="shared" si="332"/>
        <v>8.4118326757584114</v>
      </c>
      <c r="AH691" s="4">
        <f t="shared" si="333"/>
        <v>0</v>
      </c>
      <c r="AI691" s="4">
        <f t="shared" si="334"/>
        <v>0</v>
      </c>
      <c r="AJ691" s="4">
        <f t="shared" si="335"/>
        <v>8.4118326757584114</v>
      </c>
      <c r="AK691" s="4">
        <f t="shared" si="336"/>
        <v>5.7365722974791922</v>
      </c>
      <c r="AL691" s="4">
        <f t="shared" si="337"/>
        <v>0</v>
      </c>
      <c r="AM691" s="4">
        <f>CER!$C$7+CER!$C$8*J691+CER!$C$9*K691+CER!$C$10*L691+CER!$C$11*M691</f>
        <v>3.3332034559805801</v>
      </c>
      <c r="AN691" s="4">
        <f t="shared" si="338"/>
        <v>28.027984457701727</v>
      </c>
      <c r="AO691" s="4">
        <f t="shared" si="339"/>
        <v>-1.1810754767133336E-2</v>
      </c>
      <c r="AP691" s="4">
        <f>Alternatives!$F$25+Alternatives!$F$26*J691+Alternatives!$F$27*K691+Alternatives!$F$28*G691+Alternatives!$F$29*O691</f>
        <v>3.3272494611245</v>
      </c>
      <c r="AQ691" s="4">
        <f t="shared" si="340"/>
        <v>-5.8567599110532775E-3</v>
      </c>
    </row>
    <row r="692" spans="1:43" x14ac:dyDescent="0.35">
      <c r="A692" s="2" t="s">
        <v>595</v>
      </c>
      <c r="B692" s="2" t="s">
        <v>577</v>
      </c>
      <c r="C692" s="2" t="s">
        <v>67</v>
      </c>
      <c r="D692" s="2">
        <v>26.586400000000001</v>
      </c>
      <c r="E692" s="2">
        <v>5000</v>
      </c>
      <c r="F692" s="2">
        <v>310</v>
      </c>
      <c r="G692" s="2">
        <v>54.1</v>
      </c>
      <c r="H692" s="2" t="s">
        <v>68</v>
      </c>
      <c r="I692" s="4">
        <f t="shared" si="310"/>
        <v>3.2803998068449007</v>
      </c>
      <c r="J692" s="4">
        <f t="shared" si="311"/>
        <v>8.5171931914162382</v>
      </c>
      <c r="K692" s="4">
        <f t="shared" si="312"/>
        <v>5.7365722974791922</v>
      </c>
      <c r="L692" s="2">
        <v>0</v>
      </c>
      <c r="M692" s="2">
        <v>0</v>
      </c>
      <c r="N692" s="4">
        <f t="shared" si="313"/>
        <v>54.1</v>
      </c>
      <c r="O692" s="4">
        <f t="shared" si="314"/>
        <v>0</v>
      </c>
      <c r="P692" s="4">
        <f t="shared" si="315"/>
        <v>0</v>
      </c>
      <c r="Q692" s="4">
        <f t="shared" si="316"/>
        <v>8.5171931914162382</v>
      </c>
      <c r="R692" s="4">
        <f t="shared" si="317"/>
        <v>5.7365722974791922</v>
      </c>
      <c r="S692" s="4">
        <f t="shared" si="318"/>
        <v>54.1</v>
      </c>
      <c r="T692" s="4">
        <f t="shared" si="319"/>
        <v>0</v>
      </c>
      <c r="U692" s="4">
        <f t="shared" si="320"/>
        <v>8.5171931914162382</v>
      </c>
      <c r="V692" s="4">
        <f t="shared" si="321"/>
        <v>5.7365722974791922</v>
      </c>
      <c r="W692" s="4">
        <f t="shared" si="322"/>
        <v>54.1</v>
      </c>
      <c r="X692" s="4">
        <f t="shared" si="323"/>
        <v>0</v>
      </c>
      <c r="Y692" s="4">
        <f t="shared" si="324"/>
        <v>8.5171931914162382</v>
      </c>
      <c r="Z692" s="4">
        <f t="shared" si="325"/>
        <v>5.7365722974791922</v>
      </c>
      <c r="AA692" s="4">
        <f t="shared" si="326"/>
        <v>54.1</v>
      </c>
      <c r="AB692" s="4">
        <f t="shared" si="327"/>
        <v>0</v>
      </c>
      <c r="AC692" s="4">
        <f t="shared" si="328"/>
        <v>0</v>
      </c>
      <c r="AD692" s="4">
        <f t="shared" si="329"/>
        <v>0</v>
      </c>
      <c r="AE692" s="4">
        <f t="shared" si="330"/>
        <v>0</v>
      </c>
      <c r="AF692" s="4">
        <f t="shared" si="331"/>
        <v>0</v>
      </c>
      <c r="AG692" s="4">
        <f t="shared" si="332"/>
        <v>8.5171931914162382</v>
      </c>
      <c r="AH692" s="4">
        <f t="shared" si="333"/>
        <v>0</v>
      </c>
      <c r="AI692" s="4">
        <f t="shared" si="334"/>
        <v>0</v>
      </c>
      <c r="AJ692" s="4">
        <f t="shared" si="335"/>
        <v>8.5171931914162382</v>
      </c>
      <c r="AK692" s="4">
        <f t="shared" si="336"/>
        <v>5.7365722974791922</v>
      </c>
      <c r="AL692" s="4">
        <f t="shared" si="337"/>
        <v>0</v>
      </c>
      <c r="AM692" s="4">
        <f>CER!$C$7+CER!$C$8*J692+CER!$C$9*K692+CER!$C$10*L692+CER!$C$11*M692</f>
        <v>3.2855057896938553</v>
      </c>
      <c r="AN692" s="4">
        <f t="shared" si="338"/>
        <v>26.722496860851766</v>
      </c>
      <c r="AO692" s="4">
        <f t="shared" si="339"/>
        <v>-5.1059828489545822E-3</v>
      </c>
      <c r="AP692" s="4">
        <f>Alternatives!$F$25+Alternatives!$F$26*J692+Alternatives!$F$27*K692+Alternatives!$F$28*G692+Alternatives!$F$29*O692</f>
        <v>3.3662419106142312</v>
      </c>
      <c r="AQ692" s="4">
        <f t="shared" si="340"/>
        <v>-8.5842103769330436E-2</v>
      </c>
    </row>
    <row r="693" spans="1:43" x14ac:dyDescent="0.35">
      <c r="A693" s="2" t="s">
        <v>596</v>
      </c>
      <c r="B693" s="2" t="s">
        <v>577</v>
      </c>
      <c r="C693" s="2" t="s">
        <v>67</v>
      </c>
      <c r="D693" s="2">
        <v>25.8309</v>
      </c>
      <c r="E693" s="2">
        <v>5000</v>
      </c>
      <c r="F693" s="2">
        <v>310</v>
      </c>
      <c r="G693" s="2">
        <v>54.1</v>
      </c>
      <c r="H693" s="2" t="s">
        <v>68</v>
      </c>
      <c r="I693" s="4">
        <f t="shared" si="310"/>
        <v>3.2515714497063137</v>
      </c>
      <c r="J693" s="4">
        <f t="shared" si="311"/>
        <v>8.5171931914162382</v>
      </c>
      <c r="K693" s="4">
        <f t="shared" si="312"/>
        <v>5.7365722974791922</v>
      </c>
      <c r="L693" s="2">
        <v>0</v>
      </c>
      <c r="M693" s="2">
        <v>0</v>
      </c>
      <c r="N693" s="4">
        <f t="shared" si="313"/>
        <v>54.1</v>
      </c>
      <c r="O693" s="4">
        <f t="shared" si="314"/>
        <v>0</v>
      </c>
      <c r="P693" s="4">
        <f t="shared" si="315"/>
        <v>0</v>
      </c>
      <c r="Q693" s="4">
        <f t="shared" si="316"/>
        <v>8.5171931914162382</v>
      </c>
      <c r="R693" s="4">
        <f t="shared" si="317"/>
        <v>5.7365722974791922</v>
      </c>
      <c r="S693" s="4">
        <f t="shared" si="318"/>
        <v>54.1</v>
      </c>
      <c r="T693" s="4">
        <f t="shared" si="319"/>
        <v>0</v>
      </c>
      <c r="U693" s="4">
        <f t="shared" si="320"/>
        <v>8.5171931914162382</v>
      </c>
      <c r="V693" s="4">
        <f t="shared" si="321"/>
        <v>5.7365722974791922</v>
      </c>
      <c r="W693" s="4">
        <f t="shared" si="322"/>
        <v>54.1</v>
      </c>
      <c r="X693" s="4">
        <f t="shared" si="323"/>
        <v>0</v>
      </c>
      <c r="Y693" s="4">
        <f t="shared" si="324"/>
        <v>8.5171931914162382</v>
      </c>
      <c r="Z693" s="4">
        <f t="shared" si="325"/>
        <v>5.7365722974791922</v>
      </c>
      <c r="AA693" s="4">
        <f t="shared" si="326"/>
        <v>54.1</v>
      </c>
      <c r="AB693" s="4">
        <f t="shared" si="327"/>
        <v>0</v>
      </c>
      <c r="AC693" s="4">
        <f t="shared" si="328"/>
        <v>0</v>
      </c>
      <c r="AD693" s="4">
        <f t="shared" si="329"/>
        <v>0</v>
      </c>
      <c r="AE693" s="4">
        <f t="shared" si="330"/>
        <v>0</v>
      </c>
      <c r="AF693" s="4">
        <f t="shared" si="331"/>
        <v>0</v>
      </c>
      <c r="AG693" s="4">
        <f t="shared" si="332"/>
        <v>8.5171931914162382</v>
      </c>
      <c r="AH693" s="4">
        <f t="shared" si="333"/>
        <v>0</v>
      </c>
      <c r="AI693" s="4">
        <f t="shared" si="334"/>
        <v>0</v>
      </c>
      <c r="AJ693" s="4">
        <f t="shared" si="335"/>
        <v>8.5171931914162382</v>
      </c>
      <c r="AK693" s="4">
        <f t="shared" si="336"/>
        <v>5.7365722974791922</v>
      </c>
      <c r="AL693" s="4">
        <f t="shared" si="337"/>
        <v>0</v>
      </c>
      <c r="AM693" s="4">
        <f>CER!$C$7+CER!$C$8*J693+CER!$C$9*K693+CER!$C$10*L693+CER!$C$11*M693</f>
        <v>3.2855057896938553</v>
      </c>
      <c r="AN693" s="4">
        <f t="shared" si="338"/>
        <v>26.722496860851766</v>
      </c>
      <c r="AO693" s="4">
        <f t="shared" si="339"/>
        <v>-3.3934339987541584E-2</v>
      </c>
      <c r="AP693" s="4">
        <f>Alternatives!$F$25+Alternatives!$F$26*J693+Alternatives!$F$27*K693+Alternatives!$F$28*G693+Alternatives!$F$29*O693</f>
        <v>3.3662419106142312</v>
      </c>
      <c r="AQ693" s="4">
        <f t="shared" si="340"/>
        <v>-0.11467046090791744</v>
      </c>
    </row>
    <row r="694" spans="1:43" x14ac:dyDescent="0.35">
      <c r="A694" s="2" t="s">
        <v>597</v>
      </c>
      <c r="B694" s="2" t="s">
        <v>577</v>
      </c>
      <c r="C694" s="2" t="s">
        <v>67</v>
      </c>
      <c r="D694" s="2">
        <v>21.146699999999999</v>
      </c>
      <c r="E694" s="2">
        <v>6000</v>
      </c>
      <c r="F694" s="2">
        <v>400</v>
      </c>
      <c r="G694" s="2">
        <v>56.9</v>
      </c>
      <c r="H694" s="2" t="s">
        <v>68</v>
      </c>
      <c r="I694" s="4">
        <f t="shared" si="310"/>
        <v>3.0514838649498004</v>
      </c>
      <c r="J694" s="4">
        <f t="shared" si="311"/>
        <v>8.6995147482101913</v>
      </c>
      <c r="K694" s="4">
        <f t="shared" si="312"/>
        <v>5.9914645471079817</v>
      </c>
      <c r="L694" s="2">
        <v>0</v>
      </c>
      <c r="M694" s="2">
        <v>0</v>
      </c>
      <c r="N694" s="4">
        <f t="shared" si="313"/>
        <v>56.9</v>
      </c>
      <c r="O694" s="4">
        <f t="shared" si="314"/>
        <v>0</v>
      </c>
      <c r="P694" s="4">
        <f t="shared" si="315"/>
        <v>0</v>
      </c>
      <c r="Q694" s="4">
        <f t="shared" si="316"/>
        <v>8.6995147482101913</v>
      </c>
      <c r="R694" s="4">
        <f t="shared" si="317"/>
        <v>5.9914645471079817</v>
      </c>
      <c r="S694" s="4">
        <f t="shared" si="318"/>
        <v>56.9</v>
      </c>
      <c r="T694" s="4">
        <f t="shared" si="319"/>
        <v>0</v>
      </c>
      <c r="U694" s="4">
        <f t="shared" si="320"/>
        <v>8.6995147482101913</v>
      </c>
      <c r="V694" s="4">
        <f t="shared" si="321"/>
        <v>5.9914645471079817</v>
      </c>
      <c r="W694" s="4">
        <f t="shared" si="322"/>
        <v>56.9</v>
      </c>
      <c r="X694" s="4">
        <f t="shared" si="323"/>
        <v>0</v>
      </c>
      <c r="Y694" s="4">
        <f t="shared" si="324"/>
        <v>8.6995147482101913</v>
      </c>
      <c r="Z694" s="4">
        <f t="shared" si="325"/>
        <v>5.9914645471079817</v>
      </c>
      <c r="AA694" s="4">
        <f t="shared" si="326"/>
        <v>56.9</v>
      </c>
      <c r="AB694" s="4">
        <f t="shared" si="327"/>
        <v>0</v>
      </c>
      <c r="AC694" s="4">
        <f t="shared" si="328"/>
        <v>0</v>
      </c>
      <c r="AD694" s="4">
        <f t="shared" si="329"/>
        <v>0</v>
      </c>
      <c r="AE694" s="4">
        <f t="shared" si="330"/>
        <v>0</v>
      </c>
      <c r="AF694" s="4">
        <f t="shared" si="331"/>
        <v>0</v>
      </c>
      <c r="AG694" s="4">
        <f t="shared" si="332"/>
        <v>8.6995147482101913</v>
      </c>
      <c r="AH694" s="4">
        <f t="shared" si="333"/>
        <v>0</v>
      </c>
      <c r="AI694" s="4">
        <f t="shared" si="334"/>
        <v>0</v>
      </c>
      <c r="AJ694" s="4">
        <f t="shared" si="335"/>
        <v>8.6995147482101913</v>
      </c>
      <c r="AK694" s="4">
        <f t="shared" si="336"/>
        <v>5.9914645471079817</v>
      </c>
      <c r="AL694" s="4">
        <f t="shared" si="337"/>
        <v>0</v>
      </c>
      <c r="AM694" s="4">
        <f>CER!$C$7+CER!$C$8*J694+CER!$C$9*K694+CER!$C$10*L694+CER!$C$11*M694</f>
        <v>3.1089262650148863</v>
      </c>
      <c r="AN694" s="4">
        <f t="shared" si="338"/>
        <v>22.396983061033303</v>
      </c>
      <c r="AO694" s="4">
        <f t="shared" si="339"/>
        <v>-5.7442400065085941E-2</v>
      </c>
      <c r="AP694" s="4">
        <f>Alternatives!$F$25+Alternatives!$F$26*J694+Alternatives!$F$27*K694+Alternatives!$F$28*G694+Alternatives!$F$29*O694</f>
        <v>3.3294667132005729</v>
      </c>
      <c r="AQ694" s="4">
        <f t="shared" si="340"/>
        <v>-0.27798284825077246</v>
      </c>
    </row>
    <row r="695" spans="1:43" x14ac:dyDescent="0.35">
      <c r="A695" s="2" t="s">
        <v>598</v>
      </c>
      <c r="B695" s="2" t="s">
        <v>577</v>
      </c>
      <c r="C695" s="2" t="s">
        <v>67</v>
      </c>
      <c r="D695" s="2">
        <v>20.120100000000001</v>
      </c>
      <c r="E695" s="2">
        <v>6000</v>
      </c>
      <c r="F695" s="2">
        <v>400</v>
      </c>
      <c r="G695" s="2">
        <v>56.9</v>
      </c>
      <c r="H695" s="2" t="s">
        <v>68</v>
      </c>
      <c r="I695" s="4">
        <f t="shared" si="310"/>
        <v>3.0017193153981134</v>
      </c>
      <c r="J695" s="4">
        <f t="shared" si="311"/>
        <v>8.6995147482101913</v>
      </c>
      <c r="K695" s="4">
        <f t="shared" si="312"/>
        <v>5.9914645471079817</v>
      </c>
      <c r="L695" s="2">
        <v>0</v>
      </c>
      <c r="M695" s="2">
        <v>0</v>
      </c>
      <c r="N695" s="4">
        <f t="shared" si="313"/>
        <v>56.9</v>
      </c>
      <c r="O695" s="4">
        <f t="shared" si="314"/>
        <v>0</v>
      </c>
      <c r="P695" s="4">
        <f t="shared" si="315"/>
        <v>0</v>
      </c>
      <c r="Q695" s="4">
        <f t="shared" si="316"/>
        <v>8.6995147482101913</v>
      </c>
      <c r="R695" s="4">
        <f t="shared" si="317"/>
        <v>5.9914645471079817</v>
      </c>
      <c r="S695" s="4">
        <f t="shared" si="318"/>
        <v>56.9</v>
      </c>
      <c r="T695" s="4">
        <f t="shared" si="319"/>
        <v>0</v>
      </c>
      <c r="U695" s="4">
        <f t="shared" si="320"/>
        <v>8.6995147482101913</v>
      </c>
      <c r="V695" s="4">
        <f t="shared" si="321"/>
        <v>5.9914645471079817</v>
      </c>
      <c r="W695" s="4">
        <f t="shared" si="322"/>
        <v>56.9</v>
      </c>
      <c r="X695" s="4">
        <f t="shared" si="323"/>
        <v>0</v>
      </c>
      <c r="Y695" s="4">
        <f t="shared" si="324"/>
        <v>8.6995147482101913</v>
      </c>
      <c r="Z695" s="4">
        <f t="shared" si="325"/>
        <v>5.9914645471079817</v>
      </c>
      <c r="AA695" s="4">
        <f t="shared" si="326"/>
        <v>56.9</v>
      </c>
      <c r="AB695" s="4">
        <f t="shared" si="327"/>
        <v>0</v>
      </c>
      <c r="AC695" s="4">
        <f t="shared" si="328"/>
        <v>0</v>
      </c>
      <c r="AD695" s="4">
        <f t="shared" si="329"/>
        <v>0</v>
      </c>
      <c r="AE695" s="4">
        <f t="shared" si="330"/>
        <v>0</v>
      </c>
      <c r="AF695" s="4">
        <f t="shared" si="331"/>
        <v>0</v>
      </c>
      <c r="AG695" s="4">
        <f t="shared" si="332"/>
        <v>8.6995147482101913</v>
      </c>
      <c r="AH695" s="4">
        <f t="shared" si="333"/>
        <v>0</v>
      </c>
      <c r="AI695" s="4">
        <f t="shared" si="334"/>
        <v>0</v>
      </c>
      <c r="AJ695" s="4">
        <f t="shared" si="335"/>
        <v>8.6995147482101913</v>
      </c>
      <c r="AK695" s="4">
        <f t="shared" si="336"/>
        <v>5.9914645471079817</v>
      </c>
      <c r="AL695" s="4">
        <f t="shared" si="337"/>
        <v>0</v>
      </c>
      <c r="AM695" s="4">
        <f>CER!$C$7+CER!$C$8*J695+CER!$C$9*K695+CER!$C$10*L695+CER!$C$11*M695</f>
        <v>3.1089262650148863</v>
      </c>
      <c r="AN695" s="4">
        <f t="shared" si="338"/>
        <v>22.396983061033303</v>
      </c>
      <c r="AO695" s="4">
        <f t="shared" si="339"/>
        <v>-0.10720694961677291</v>
      </c>
      <c r="AP695" s="4">
        <f>Alternatives!$F$25+Alternatives!$F$26*J695+Alternatives!$F$27*K695+Alternatives!$F$28*G695+Alternatives!$F$29*O695</f>
        <v>3.3294667132005729</v>
      </c>
      <c r="AQ695" s="4">
        <f t="shared" si="340"/>
        <v>-0.32774739780245943</v>
      </c>
    </row>
    <row r="696" spans="1:43" x14ac:dyDescent="0.35">
      <c r="A696" s="2" t="s">
        <v>599</v>
      </c>
      <c r="B696" s="2" t="s">
        <v>577</v>
      </c>
      <c r="C696" s="2" t="s">
        <v>67</v>
      </c>
      <c r="D696" s="2">
        <v>22.581399999999999</v>
      </c>
      <c r="E696" s="2">
        <v>6000</v>
      </c>
      <c r="F696" s="2">
        <v>400</v>
      </c>
      <c r="G696" s="2">
        <v>65.900000000000006</v>
      </c>
      <c r="H696" s="2" t="s">
        <v>68</v>
      </c>
      <c r="I696" s="4">
        <f t="shared" si="310"/>
        <v>3.1171265585709649</v>
      </c>
      <c r="J696" s="4">
        <f t="shared" si="311"/>
        <v>8.6995147482101913</v>
      </c>
      <c r="K696" s="4">
        <f t="shared" si="312"/>
        <v>5.9914645471079817</v>
      </c>
      <c r="L696" s="2">
        <v>0</v>
      </c>
      <c r="M696" s="2">
        <v>0</v>
      </c>
      <c r="N696" s="4">
        <f t="shared" si="313"/>
        <v>65.900000000000006</v>
      </c>
      <c r="O696" s="4">
        <f t="shared" si="314"/>
        <v>0</v>
      </c>
      <c r="P696" s="4">
        <f t="shared" si="315"/>
        <v>0</v>
      </c>
      <c r="Q696" s="4">
        <f t="shared" si="316"/>
        <v>8.6995147482101913</v>
      </c>
      <c r="R696" s="4">
        <f t="shared" si="317"/>
        <v>5.9914645471079817</v>
      </c>
      <c r="S696" s="4">
        <f t="shared" si="318"/>
        <v>65.900000000000006</v>
      </c>
      <c r="T696" s="4">
        <f t="shared" si="319"/>
        <v>0</v>
      </c>
      <c r="U696" s="4">
        <f t="shared" si="320"/>
        <v>8.6995147482101913</v>
      </c>
      <c r="V696" s="4">
        <f t="shared" si="321"/>
        <v>5.9914645471079817</v>
      </c>
      <c r="W696" s="4">
        <f t="shared" si="322"/>
        <v>65.900000000000006</v>
      </c>
      <c r="X696" s="4">
        <f t="shared" si="323"/>
        <v>0</v>
      </c>
      <c r="Y696" s="4">
        <f t="shared" si="324"/>
        <v>8.6995147482101913</v>
      </c>
      <c r="Z696" s="4">
        <f t="shared" si="325"/>
        <v>5.9914645471079817</v>
      </c>
      <c r="AA696" s="4">
        <f t="shared" si="326"/>
        <v>65.900000000000006</v>
      </c>
      <c r="AB696" s="4">
        <f t="shared" si="327"/>
        <v>0</v>
      </c>
      <c r="AC696" s="4">
        <f t="shared" si="328"/>
        <v>0</v>
      </c>
      <c r="AD696" s="4">
        <f t="shared" si="329"/>
        <v>0</v>
      </c>
      <c r="AE696" s="4">
        <f t="shared" si="330"/>
        <v>0</v>
      </c>
      <c r="AF696" s="4">
        <f t="shared" si="331"/>
        <v>0</v>
      </c>
      <c r="AG696" s="4">
        <f t="shared" si="332"/>
        <v>8.6995147482101913</v>
      </c>
      <c r="AH696" s="4">
        <f t="shared" si="333"/>
        <v>0</v>
      </c>
      <c r="AI696" s="4">
        <f t="shared" si="334"/>
        <v>0</v>
      </c>
      <c r="AJ696" s="4">
        <f t="shared" si="335"/>
        <v>8.6995147482101913</v>
      </c>
      <c r="AK696" s="4">
        <f t="shared" si="336"/>
        <v>5.9914645471079817</v>
      </c>
      <c r="AL696" s="4">
        <f t="shared" si="337"/>
        <v>0</v>
      </c>
      <c r="AM696" s="4">
        <f>CER!$C$7+CER!$C$8*J696+CER!$C$9*K696+CER!$C$10*L696+CER!$C$11*M696</f>
        <v>3.1089262650148863</v>
      </c>
      <c r="AN696" s="4">
        <f t="shared" si="338"/>
        <v>22.396983061033303</v>
      </c>
      <c r="AO696" s="4">
        <f t="shared" si="339"/>
        <v>8.2002935560785417E-3</v>
      </c>
      <c r="AP696" s="4">
        <f>Alternatives!$F$25+Alternatives!$F$26*J696+Alternatives!$F$27*K696+Alternatives!$F$28*G696+Alternatives!$F$29*O696</f>
        <v>3.2124008823205186</v>
      </c>
      <c r="AQ696" s="4">
        <f t="shared" si="340"/>
        <v>-9.5274323749553691E-2</v>
      </c>
    </row>
    <row r="697" spans="1:43" x14ac:dyDescent="0.35">
      <c r="A697" s="2" t="s">
        <v>600</v>
      </c>
      <c r="B697" s="2" t="s">
        <v>577</v>
      </c>
      <c r="C697" s="2" t="s">
        <v>67</v>
      </c>
      <c r="D697" s="2">
        <v>22.172799999999999</v>
      </c>
      <c r="E697" s="2">
        <v>6000</v>
      </c>
      <c r="F697" s="2">
        <v>400</v>
      </c>
      <c r="G697" s="2">
        <v>65.900000000000006</v>
      </c>
      <c r="H697" s="2" t="s">
        <v>68</v>
      </c>
      <c r="I697" s="4">
        <f t="shared" si="310"/>
        <v>3.0988663124509248</v>
      </c>
      <c r="J697" s="4">
        <f t="shared" si="311"/>
        <v>8.6995147482101913</v>
      </c>
      <c r="K697" s="4">
        <f t="shared" si="312"/>
        <v>5.9914645471079817</v>
      </c>
      <c r="L697" s="2">
        <v>0</v>
      </c>
      <c r="M697" s="2">
        <v>0</v>
      </c>
      <c r="N697" s="4">
        <f t="shared" si="313"/>
        <v>65.900000000000006</v>
      </c>
      <c r="O697" s="4">
        <f t="shared" si="314"/>
        <v>0</v>
      </c>
      <c r="P697" s="4">
        <f t="shared" si="315"/>
        <v>0</v>
      </c>
      <c r="Q697" s="4">
        <f t="shared" si="316"/>
        <v>8.6995147482101913</v>
      </c>
      <c r="R697" s="4">
        <f t="shared" si="317"/>
        <v>5.9914645471079817</v>
      </c>
      <c r="S697" s="4">
        <f t="shared" si="318"/>
        <v>65.900000000000006</v>
      </c>
      <c r="T697" s="4">
        <f t="shared" si="319"/>
        <v>0</v>
      </c>
      <c r="U697" s="4">
        <f t="shared" si="320"/>
        <v>8.6995147482101913</v>
      </c>
      <c r="V697" s="4">
        <f t="shared" si="321"/>
        <v>5.9914645471079817</v>
      </c>
      <c r="W697" s="4">
        <f t="shared" si="322"/>
        <v>65.900000000000006</v>
      </c>
      <c r="X697" s="4">
        <f t="shared" si="323"/>
        <v>0</v>
      </c>
      <c r="Y697" s="4">
        <f t="shared" si="324"/>
        <v>8.6995147482101913</v>
      </c>
      <c r="Z697" s="4">
        <f t="shared" si="325"/>
        <v>5.9914645471079817</v>
      </c>
      <c r="AA697" s="4">
        <f t="shared" si="326"/>
        <v>65.900000000000006</v>
      </c>
      <c r="AB697" s="4">
        <f t="shared" si="327"/>
        <v>0</v>
      </c>
      <c r="AC697" s="4">
        <f t="shared" si="328"/>
        <v>0</v>
      </c>
      <c r="AD697" s="4">
        <f t="shared" si="329"/>
        <v>0</v>
      </c>
      <c r="AE697" s="4">
        <f t="shared" si="330"/>
        <v>0</v>
      </c>
      <c r="AF697" s="4">
        <f t="shared" si="331"/>
        <v>0</v>
      </c>
      <c r="AG697" s="4">
        <f t="shared" si="332"/>
        <v>8.6995147482101913</v>
      </c>
      <c r="AH697" s="4">
        <f t="shared" si="333"/>
        <v>0</v>
      </c>
      <c r="AI697" s="4">
        <f t="shared" si="334"/>
        <v>0</v>
      </c>
      <c r="AJ697" s="4">
        <f t="shared" si="335"/>
        <v>8.6995147482101913</v>
      </c>
      <c r="AK697" s="4">
        <f t="shared" si="336"/>
        <v>5.9914645471079817</v>
      </c>
      <c r="AL697" s="4">
        <f t="shared" si="337"/>
        <v>0</v>
      </c>
      <c r="AM697" s="4">
        <f>CER!$C$7+CER!$C$8*J697+CER!$C$9*K697+CER!$C$10*L697+CER!$C$11*M697</f>
        <v>3.1089262650148863</v>
      </c>
      <c r="AN697" s="4">
        <f t="shared" si="338"/>
        <v>22.396983061033303</v>
      </c>
      <c r="AO697" s="4">
        <f t="shared" si="339"/>
        <v>-1.0059952563961527E-2</v>
      </c>
      <c r="AP697" s="4">
        <f>Alternatives!$F$25+Alternatives!$F$26*J697+Alternatives!$F$27*K697+Alternatives!$F$28*G697+Alternatives!$F$29*O697</f>
        <v>3.2124008823205186</v>
      </c>
      <c r="AQ697" s="4">
        <f t="shared" si="340"/>
        <v>-0.11353456986959376</v>
      </c>
    </row>
    <row r="698" spans="1:43" x14ac:dyDescent="0.35">
      <c r="A698" s="2" t="s">
        <v>601</v>
      </c>
      <c r="B698" s="2" t="s">
        <v>577</v>
      </c>
      <c r="C698" s="2" t="s">
        <v>67</v>
      </c>
      <c r="D698" s="2">
        <v>20.923100000000002</v>
      </c>
      <c r="E698" s="2">
        <v>6000</v>
      </c>
      <c r="F698" s="2">
        <v>400</v>
      </c>
      <c r="G698" s="2">
        <v>66.099999999999994</v>
      </c>
      <c r="H698" s="2" t="s">
        <v>68</v>
      </c>
      <c r="I698" s="4">
        <f t="shared" si="310"/>
        <v>3.0408538117750288</v>
      </c>
      <c r="J698" s="4">
        <f t="shared" si="311"/>
        <v>8.6995147482101913</v>
      </c>
      <c r="K698" s="4">
        <f t="shared" si="312"/>
        <v>5.9914645471079817</v>
      </c>
      <c r="L698" s="2">
        <v>0</v>
      </c>
      <c r="M698" s="2">
        <v>0</v>
      </c>
      <c r="N698" s="4">
        <f t="shared" si="313"/>
        <v>66.099999999999994</v>
      </c>
      <c r="O698" s="4">
        <f t="shared" si="314"/>
        <v>0</v>
      </c>
      <c r="P698" s="4">
        <f t="shared" si="315"/>
        <v>0</v>
      </c>
      <c r="Q698" s="4">
        <f t="shared" si="316"/>
        <v>8.6995147482101913</v>
      </c>
      <c r="R698" s="4">
        <f t="shared" si="317"/>
        <v>5.9914645471079817</v>
      </c>
      <c r="S698" s="4">
        <f t="shared" si="318"/>
        <v>66.099999999999994</v>
      </c>
      <c r="T698" s="4">
        <f t="shared" si="319"/>
        <v>0</v>
      </c>
      <c r="U698" s="4">
        <f t="shared" si="320"/>
        <v>8.6995147482101913</v>
      </c>
      <c r="V698" s="4">
        <f t="shared" si="321"/>
        <v>5.9914645471079817</v>
      </c>
      <c r="W698" s="4">
        <f t="shared" si="322"/>
        <v>66.099999999999994</v>
      </c>
      <c r="X698" s="4">
        <f t="shared" si="323"/>
        <v>0</v>
      </c>
      <c r="Y698" s="4">
        <f t="shared" si="324"/>
        <v>8.6995147482101913</v>
      </c>
      <c r="Z698" s="4">
        <f t="shared" si="325"/>
        <v>5.9914645471079817</v>
      </c>
      <c r="AA698" s="4">
        <f t="shared" si="326"/>
        <v>66.099999999999994</v>
      </c>
      <c r="AB698" s="4">
        <f t="shared" si="327"/>
        <v>0</v>
      </c>
      <c r="AC698" s="4">
        <f t="shared" si="328"/>
        <v>0</v>
      </c>
      <c r="AD698" s="4">
        <f t="shared" si="329"/>
        <v>0</v>
      </c>
      <c r="AE698" s="4">
        <f t="shared" si="330"/>
        <v>0</v>
      </c>
      <c r="AF698" s="4">
        <f t="shared" si="331"/>
        <v>0</v>
      </c>
      <c r="AG698" s="4">
        <f t="shared" si="332"/>
        <v>8.6995147482101913</v>
      </c>
      <c r="AH698" s="4">
        <f t="shared" si="333"/>
        <v>0</v>
      </c>
      <c r="AI698" s="4">
        <f t="shared" si="334"/>
        <v>0</v>
      </c>
      <c r="AJ698" s="4">
        <f t="shared" si="335"/>
        <v>8.6995147482101913</v>
      </c>
      <c r="AK698" s="4">
        <f t="shared" si="336"/>
        <v>5.9914645471079817</v>
      </c>
      <c r="AL698" s="4">
        <f t="shared" si="337"/>
        <v>0</v>
      </c>
      <c r="AM698" s="4">
        <f>CER!$C$7+CER!$C$8*J698+CER!$C$9*K698+CER!$C$10*L698+CER!$C$11*M698</f>
        <v>3.1089262650148863</v>
      </c>
      <c r="AN698" s="4">
        <f t="shared" si="338"/>
        <v>22.396983061033303</v>
      </c>
      <c r="AO698" s="4">
        <f t="shared" si="339"/>
        <v>-6.8072453239857555E-2</v>
      </c>
      <c r="AP698" s="4">
        <f>Alternatives!$F$25+Alternatives!$F$26*J698+Alternatives!$F$27*K698+Alternatives!$F$28*G698+Alternatives!$F$29*O698</f>
        <v>3.2097994194120729</v>
      </c>
      <c r="AQ698" s="4">
        <f t="shared" si="340"/>
        <v>-0.16894560763704414</v>
      </c>
    </row>
    <row r="699" spans="1:43" x14ac:dyDescent="0.35">
      <c r="A699" s="2" t="s">
        <v>602</v>
      </c>
      <c r="B699" s="2" t="s">
        <v>577</v>
      </c>
      <c r="C699" s="2" t="s">
        <v>67</v>
      </c>
      <c r="D699" s="2">
        <v>30.575700000000001</v>
      </c>
      <c r="E699" s="2">
        <v>4500</v>
      </c>
      <c r="F699" s="2">
        <v>284</v>
      </c>
      <c r="G699" s="2">
        <v>53.1</v>
      </c>
      <c r="H699" s="2" t="s">
        <v>68</v>
      </c>
      <c r="I699" s="4">
        <f t="shared" si="310"/>
        <v>3.4202055758328287</v>
      </c>
      <c r="J699" s="4">
        <f t="shared" si="311"/>
        <v>8.4118326757584114</v>
      </c>
      <c r="K699" s="4">
        <f t="shared" si="312"/>
        <v>5.6489742381612063</v>
      </c>
      <c r="L699" s="2">
        <v>0</v>
      </c>
      <c r="M699" s="2">
        <v>0</v>
      </c>
      <c r="N699" s="4">
        <f t="shared" si="313"/>
        <v>53.1</v>
      </c>
      <c r="O699" s="4">
        <f t="shared" si="314"/>
        <v>0</v>
      </c>
      <c r="P699" s="4">
        <f t="shared" si="315"/>
        <v>0</v>
      </c>
      <c r="Q699" s="4">
        <f t="shared" si="316"/>
        <v>8.4118326757584114</v>
      </c>
      <c r="R699" s="4">
        <f t="shared" si="317"/>
        <v>5.6489742381612063</v>
      </c>
      <c r="S699" s="4">
        <f t="shared" si="318"/>
        <v>53.1</v>
      </c>
      <c r="T699" s="4">
        <f t="shared" si="319"/>
        <v>0</v>
      </c>
      <c r="U699" s="4">
        <f t="shared" si="320"/>
        <v>8.4118326757584114</v>
      </c>
      <c r="V699" s="4">
        <f t="shared" si="321"/>
        <v>5.6489742381612063</v>
      </c>
      <c r="W699" s="4">
        <f t="shared" si="322"/>
        <v>53.1</v>
      </c>
      <c r="X699" s="4">
        <f t="shared" si="323"/>
        <v>0</v>
      </c>
      <c r="Y699" s="4">
        <f t="shared" si="324"/>
        <v>8.4118326757584114</v>
      </c>
      <c r="Z699" s="4">
        <f t="shared" si="325"/>
        <v>5.6489742381612063</v>
      </c>
      <c r="AA699" s="4">
        <f t="shared" si="326"/>
        <v>53.1</v>
      </c>
      <c r="AB699" s="4">
        <f t="shared" si="327"/>
        <v>0</v>
      </c>
      <c r="AC699" s="4">
        <f t="shared" si="328"/>
        <v>0</v>
      </c>
      <c r="AD699" s="4">
        <f t="shared" si="329"/>
        <v>0</v>
      </c>
      <c r="AE699" s="4">
        <f t="shared" si="330"/>
        <v>0</v>
      </c>
      <c r="AF699" s="4">
        <f t="shared" si="331"/>
        <v>0</v>
      </c>
      <c r="AG699" s="4">
        <f t="shared" si="332"/>
        <v>8.4118326757584114</v>
      </c>
      <c r="AH699" s="4">
        <f t="shared" si="333"/>
        <v>0</v>
      </c>
      <c r="AI699" s="4">
        <f t="shared" si="334"/>
        <v>0</v>
      </c>
      <c r="AJ699" s="4">
        <f t="shared" si="335"/>
        <v>8.4118326757584114</v>
      </c>
      <c r="AK699" s="4">
        <f t="shared" si="336"/>
        <v>5.6489742381612063</v>
      </c>
      <c r="AL699" s="4">
        <f t="shared" si="337"/>
        <v>0</v>
      </c>
      <c r="AM699" s="4">
        <f>CER!$C$7+CER!$C$8*J699+CER!$C$9*K699+CER!$C$10*L699+CER!$C$11*M699</f>
        <v>3.3655222093129344</v>
      </c>
      <c r="AN699" s="4">
        <f t="shared" si="338"/>
        <v>28.948610586601788</v>
      </c>
      <c r="AO699" s="4">
        <f t="shared" si="339"/>
        <v>5.468336651989425E-2</v>
      </c>
      <c r="AP699" s="4">
        <f>Alternatives!$F$25+Alternatives!$F$26*J699+Alternatives!$F$27*K699+Alternatives!$F$28*G699+Alternatives!$F$29*O699</f>
        <v>3.3635674924207937</v>
      </c>
      <c r="AQ699" s="4">
        <f t="shared" si="340"/>
        <v>5.6638083412035023E-2</v>
      </c>
    </row>
    <row r="700" spans="1:43" x14ac:dyDescent="0.35">
      <c r="A700" s="2" t="s">
        <v>603</v>
      </c>
      <c r="B700" s="2" t="s">
        <v>577</v>
      </c>
      <c r="C700" s="2" t="s">
        <v>67</v>
      </c>
      <c r="D700" s="2">
        <v>31.535399999999999</v>
      </c>
      <c r="E700" s="2">
        <v>4500</v>
      </c>
      <c r="F700" s="2">
        <v>284</v>
      </c>
      <c r="G700" s="2">
        <v>53.1</v>
      </c>
      <c r="H700" s="2" t="s">
        <v>68</v>
      </c>
      <c r="I700" s="4">
        <f t="shared" si="310"/>
        <v>3.4511107243541796</v>
      </c>
      <c r="J700" s="4">
        <f t="shared" si="311"/>
        <v>8.4118326757584114</v>
      </c>
      <c r="K700" s="4">
        <f t="shared" si="312"/>
        <v>5.6489742381612063</v>
      </c>
      <c r="L700" s="2">
        <v>0</v>
      </c>
      <c r="M700" s="2">
        <v>0</v>
      </c>
      <c r="N700" s="4">
        <f t="shared" si="313"/>
        <v>53.1</v>
      </c>
      <c r="O700" s="4">
        <f t="shared" si="314"/>
        <v>0</v>
      </c>
      <c r="P700" s="4">
        <f t="shared" si="315"/>
        <v>0</v>
      </c>
      <c r="Q700" s="4">
        <f t="shared" si="316"/>
        <v>8.4118326757584114</v>
      </c>
      <c r="R700" s="4">
        <f t="shared" si="317"/>
        <v>5.6489742381612063</v>
      </c>
      <c r="S700" s="4">
        <f t="shared" si="318"/>
        <v>53.1</v>
      </c>
      <c r="T700" s="4">
        <f t="shared" si="319"/>
        <v>0</v>
      </c>
      <c r="U700" s="4">
        <f t="shared" si="320"/>
        <v>8.4118326757584114</v>
      </c>
      <c r="V700" s="4">
        <f t="shared" si="321"/>
        <v>5.6489742381612063</v>
      </c>
      <c r="W700" s="4">
        <f t="shared" si="322"/>
        <v>53.1</v>
      </c>
      <c r="X700" s="4">
        <f t="shared" si="323"/>
        <v>0</v>
      </c>
      <c r="Y700" s="4">
        <f t="shared" si="324"/>
        <v>8.4118326757584114</v>
      </c>
      <c r="Z700" s="4">
        <f t="shared" si="325"/>
        <v>5.6489742381612063</v>
      </c>
      <c r="AA700" s="4">
        <f t="shared" si="326"/>
        <v>53.1</v>
      </c>
      <c r="AB700" s="4">
        <f t="shared" si="327"/>
        <v>0</v>
      </c>
      <c r="AC700" s="4">
        <f t="shared" si="328"/>
        <v>0</v>
      </c>
      <c r="AD700" s="4">
        <f t="shared" si="329"/>
        <v>0</v>
      </c>
      <c r="AE700" s="4">
        <f t="shared" si="330"/>
        <v>0</v>
      </c>
      <c r="AF700" s="4">
        <f t="shared" si="331"/>
        <v>0</v>
      </c>
      <c r="AG700" s="4">
        <f t="shared" si="332"/>
        <v>8.4118326757584114</v>
      </c>
      <c r="AH700" s="4">
        <f t="shared" si="333"/>
        <v>0</v>
      </c>
      <c r="AI700" s="4">
        <f t="shared" si="334"/>
        <v>0</v>
      </c>
      <c r="AJ700" s="4">
        <f t="shared" si="335"/>
        <v>8.4118326757584114</v>
      </c>
      <c r="AK700" s="4">
        <f t="shared" si="336"/>
        <v>5.6489742381612063</v>
      </c>
      <c r="AL700" s="4">
        <f t="shared" si="337"/>
        <v>0</v>
      </c>
      <c r="AM700" s="4">
        <f>CER!$C$7+CER!$C$8*J700+CER!$C$9*K700+CER!$C$10*L700+CER!$C$11*M700</f>
        <v>3.3655222093129344</v>
      </c>
      <c r="AN700" s="4">
        <f t="shared" si="338"/>
        <v>28.948610586601788</v>
      </c>
      <c r="AO700" s="4">
        <f t="shared" si="339"/>
        <v>8.5588515041245206E-2</v>
      </c>
      <c r="AP700" s="4">
        <f>Alternatives!$F$25+Alternatives!$F$26*J700+Alternatives!$F$27*K700+Alternatives!$F$28*G700+Alternatives!$F$29*O700</f>
        <v>3.3635674924207937</v>
      </c>
      <c r="AQ700" s="4">
        <f t="shared" si="340"/>
        <v>8.7543231933385979E-2</v>
      </c>
    </row>
    <row r="701" spans="1:43" x14ac:dyDescent="0.35">
      <c r="A701" s="2" t="s">
        <v>604</v>
      </c>
      <c r="B701" s="2" t="s">
        <v>577</v>
      </c>
      <c r="C701" s="2" t="s">
        <v>67</v>
      </c>
      <c r="D701" s="2">
        <v>30.096299999999999</v>
      </c>
      <c r="E701" s="2">
        <v>5000</v>
      </c>
      <c r="F701" s="2">
        <v>284</v>
      </c>
      <c r="G701" s="2">
        <v>53.1</v>
      </c>
      <c r="H701" s="2" t="s">
        <v>68</v>
      </c>
      <c r="I701" s="4">
        <f t="shared" si="310"/>
        <v>3.4044022406110668</v>
      </c>
      <c r="J701" s="4">
        <f t="shared" si="311"/>
        <v>8.5171931914162382</v>
      </c>
      <c r="K701" s="4">
        <f t="shared" si="312"/>
        <v>5.6489742381612063</v>
      </c>
      <c r="L701" s="2">
        <v>0</v>
      </c>
      <c r="M701" s="2">
        <v>0</v>
      </c>
      <c r="N701" s="4">
        <f t="shared" si="313"/>
        <v>53.1</v>
      </c>
      <c r="O701" s="4">
        <f t="shared" si="314"/>
        <v>0</v>
      </c>
      <c r="P701" s="4">
        <f t="shared" si="315"/>
        <v>0</v>
      </c>
      <c r="Q701" s="4">
        <f t="shared" si="316"/>
        <v>8.5171931914162382</v>
      </c>
      <c r="R701" s="4">
        <f t="shared" si="317"/>
        <v>5.6489742381612063</v>
      </c>
      <c r="S701" s="4">
        <f t="shared" si="318"/>
        <v>53.1</v>
      </c>
      <c r="T701" s="4">
        <f t="shared" si="319"/>
        <v>0</v>
      </c>
      <c r="U701" s="4">
        <f t="shared" si="320"/>
        <v>8.5171931914162382</v>
      </c>
      <c r="V701" s="4">
        <f t="shared" si="321"/>
        <v>5.6489742381612063</v>
      </c>
      <c r="W701" s="4">
        <f t="shared" si="322"/>
        <v>53.1</v>
      </c>
      <c r="X701" s="4">
        <f t="shared" si="323"/>
        <v>0</v>
      </c>
      <c r="Y701" s="4">
        <f t="shared" si="324"/>
        <v>8.5171931914162382</v>
      </c>
      <c r="Z701" s="4">
        <f t="shared" si="325"/>
        <v>5.6489742381612063</v>
      </c>
      <c r="AA701" s="4">
        <f t="shared" si="326"/>
        <v>53.1</v>
      </c>
      <c r="AB701" s="4">
        <f t="shared" si="327"/>
        <v>0</v>
      </c>
      <c r="AC701" s="4">
        <f t="shared" si="328"/>
        <v>0</v>
      </c>
      <c r="AD701" s="4">
        <f t="shared" si="329"/>
        <v>0</v>
      </c>
      <c r="AE701" s="4">
        <f t="shared" si="330"/>
        <v>0</v>
      </c>
      <c r="AF701" s="4">
        <f t="shared" si="331"/>
        <v>0</v>
      </c>
      <c r="AG701" s="4">
        <f t="shared" si="332"/>
        <v>8.5171931914162382</v>
      </c>
      <c r="AH701" s="4">
        <f t="shared" si="333"/>
        <v>0</v>
      </c>
      <c r="AI701" s="4">
        <f t="shared" si="334"/>
        <v>0</v>
      </c>
      <c r="AJ701" s="4">
        <f t="shared" si="335"/>
        <v>8.5171931914162382</v>
      </c>
      <c r="AK701" s="4">
        <f t="shared" si="336"/>
        <v>5.6489742381612063</v>
      </c>
      <c r="AL701" s="4">
        <f t="shared" si="337"/>
        <v>0</v>
      </c>
      <c r="AM701" s="4">
        <f>CER!$C$7+CER!$C$8*J701+CER!$C$9*K701+CER!$C$10*L701+CER!$C$11*M701</f>
        <v>3.3178245430262097</v>
      </c>
      <c r="AN701" s="4">
        <f t="shared" si="338"/>
        <v>27.600242061427181</v>
      </c>
      <c r="AO701" s="4">
        <f t="shared" si="339"/>
        <v>8.6577697584857116E-2</v>
      </c>
      <c r="AP701" s="4">
        <f>Alternatives!$F$25+Alternatives!$F$26*J701+Alternatives!$F$27*K701+Alternatives!$F$28*G701+Alternatives!$F$29*O701</f>
        <v>3.4025599419105248</v>
      </c>
      <c r="AQ701" s="4">
        <f t="shared" si="340"/>
        <v>1.8422987005419778E-3</v>
      </c>
    </row>
    <row r="702" spans="1:43" x14ac:dyDescent="0.35">
      <c r="A702" s="2" t="s">
        <v>605</v>
      </c>
      <c r="B702" s="2" t="s">
        <v>577</v>
      </c>
      <c r="C702" s="2" t="s">
        <v>67</v>
      </c>
      <c r="D702" s="2">
        <v>28.675899999999999</v>
      </c>
      <c r="E702" s="2">
        <v>5000</v>
      </c>
      <c r="F702" s="2">
        <v>295</v>
      </c>
      <c r="G702" s="2">
        <v>52.9</v>
      </c>
      <c r="H702" s="2" t="s">
        <v>68</v>
      </c>
      <c r="I702" s="4">
        <f t="shared" si="310"/>
        <v>3.3560570487478318</v>
      </c>
      <c r="J702" s="4">
        <f t="shared" si="311"/>
        <v>8.5171931914162382</v>
      </c>
      <c r="K702" s="4">
        <f t="shared" si="312"/>
        <v>5.6869753563398202</v>
      </c>
      <c r="L702" s="2">
        <v>0</v>
      </c>
      <c r="M702" s="2">
        <v>0</v>
      </c>
      <c r="N702" s="4">
        <f t="shared" si="313"/>
        <v>52.9</v>
      </c>
      <c r="O702" s="4">
        <f t="shared" si="314"/>
        <v>0</v>
      </c>
      <c r="P702" s="4">
        <f t="shared" si="315"/>
        <v>0</v>
      </c>
      <c r="Q702" s="4">
        <f t="shared" si="316"/>
        <v>8.5171931914162382</v>
      </c>
      <c r="R702" s="4">
        <f t="shared" si="317"/>
        <v>5.6869753563398202</v>
      </c>
      <c r="S702" s="4">
        <f t="shared" si="318"/>
        <v>52.9</v>
      </c>
      <c r="T702" s="4">
        <f t="shared" si="319"/>
        <v>0</v>
      </c>
      <c r="U702" s="4">
        <f t="shared" si="320"/>
        <v>8.5171931914162382</v>
      </c>
      <c r="V702" s="4">
        <f t="shared" si="321"/>
        <v>5.6869753563398202</v>
      </c>
      <c r="W702" s="4">
        <f t="shared" si="322"/>
        <v>52.9</v>
      </c>
      <c r="X702" s="4">
        <f t="shared" si="323"/>
        <v>0</v>
      </c>
      <c r="Y702" s="4">
        <f t="shared" si="324"/>
        <v>8.5171931914162382</v>
      </c>
      <c r="Z702" s="4">
        <f t="shared" si="325"/>
        <v>5.6869753563398202</v>
      </c>
      <c r="AA702" s="4">
        <f t="shared" si="326"/>
        <v>52.9</v>
      </c>
      <c r="AB702" s="4">
        <f t="shared" si="327"/>
        <v>0</v>
      </c>
      <c r="AC702" s="4">
        <f t="shared" si="328"/>
        <v>0</v>
      </c>
      <c r="AD702" s="4">
        <f t="shared" si="329"/>
        <v>0</v>
      </c>
      <c r="AE702" s="4">
        <f t="shared" si="330"/>
        <v>0</v>
      </c>
      <c r="AF702" s="4">
        <f t="shared" si="331"/>
        <v>0</v>
      </c>
      <c r="AG702" s="4">
        <f t="shared" si="332"/>
        <v>8.5171931914162382</v>
      </c>
      <c r="AH702" s="4">
        <f t="shared" si="333"/>
        <v>0</v>
      </c>
      <c r="AI702" s="4">
        <f t="shared" si="334"/>
        <v>0</v>
      </c>
      <c r="AJ702" s="4">
        <f t="shared" si="335"/>
        <v>8.5171931914162382</v>
      </c>
      <c r="AK702" s="4">
        <f t="shared" si="336"/>
        <v>5.6869753563398202</v>
      </c>
      <c r="AL702" s="4">
        <f t="shared" si="337"/>
        <v>0</v>
      </c>
      <c r="AM702" s="4">
        <f>CER!$C$7+CER!$C$8*J702+CER!$C$9*K702+CER!$C$10*L702+CER!$C$11*M702</f>
        <v>3.303804269354278</v>
      </c>
      <c r="AN702" s="4">
        <f t="shared" si="338"/>
        <v>27.215979144408202</v>
      </c>
      <c r="AO702" s="4">
        <f t="shared" si="339"/>
        <v>5.2252779393553883E-2</v>
      </c>
      <c r="AP702" s="4">
        <f>Alternatives!$F$25+Alternatives!$F$26*J702+Alternatives!$F$27*K702+Alternatives!$F$28*G702+Alternatives!$F$29*O702</f>
        <v>3.3950489284799255</v>
      </c>
      <c r="AQ702" s="4">
        <f t="shared" si="340"/>
        <v>-3.8991879732093615E-2</v>
      </c>
    </row>
    <row r="703" spans="1:43" x14ac:dyDescent="0.35">
      <c r="A703" s="2" t="s">
        <v>606</v>
      </c>
      <c r="B703" s="2" t="s">
        <v>577</v>
      </c>
      <c r="C703" s="2" t="s">
        <v>67</v>
      </c>
      <c r="D703" s="2">
        <v>31.408300000000001</v>
      </c>
      <c r="E703" s="2">
        <v>4000</v>
      </c>
      <c r="F703" s="2">
        <v>300</v>
      </c>
      <c r="G703" s="2">
        <v>47.5</v>
      </c>
      <c r="H703" s="2" t="s">
        <v>68</v>
      </c>
      <c r="I703" s="4">
        <f t="shared" si="310"/>
        <v>3.4470721891950595</v>
      </c>
      <c r="J703" s="4">
        <f t="shared" si="311"/>
        <v>8.2940496401020276</v>
      </c>
      <c r="K703" s="4">
        <f t="shared" si="312"/>
        <v>5.7037824746562009</v>
      </c>
      <c r="L703" s="2">
        <v>0</v>
      </c>
      <c r="M703" s="2">
        <v>0</v>
      </c>
      <c r="N703" s="4">
        <f t="shared" si="313"/>
        <v>47.5</v>
      </c>
      <c r="O703" s="4">
        <f t="shared" si="314"/>
        <v>0</v>
      </c>
      <c r="P703" s="4">
        <f t="shared" si="315"/>
        <v>0</v>
      </c>
      <c r="Q703" s="4">
        <f t="shared" si="316"/>
        <v>8.2940496401020276</v>
      </c>
      <c r="R703" s="4">
        <f t="shared" si="317"/>
        <v>5.7037824746562009</v>
      </c>
      <c r="S703" s="4">
        <f t="shared" si="318"/>
        <v>47.5</v>
      </c>
      <c r="T703" s="4">
        <f t="shared" si="319"/>
        <v>0</v>
      </c>
      <c r="U703" s="4">
        <f t="shared" si="320"/>
        <v>8.2940496401020276</v>
      </c>
      <c r="V703" s="4">
        <f t="shared" si="321"/>
        <v>5.7037824746562009</v>
      </c>
      <c r="W703" s="4">
        <f t="shared" si="322"/>
        <v>47.5</v>
      </c>
      <c r="X703" s="4">
        <f t="shared" si="323"/>
        <v>0</v>
      </c>
      <c r="Y703" s="4">
        <f t="shared" si="324"/>
        <v>8.2940496401020276</v>
      </c>
      <c r="Z703" s="4">
        <f t="shared" si="325"/>
        <v>5.7037824746562009</v>
      </c>
      <c r="AA703" s="4">
        <f t="shared" si="326"/>
        <v>47.5</v>
      </c>
      <c r="AB703" s="4">
        <f t="shared" si="327"/>
        <v>0</v>
      </c>
      <c r="AC703" s="4">
        <f t="shared" si="328"/>
        <v>0</v>
      </c>
      <c r="AD703" s="4">
        <f t="shared" si="329"/>
        <v>0</v>
      </c>
      <c r="AE703" s="4">
        <f t="shared" si="330"/>
        <v>0</v>
      </c>
      <c r="AF703" s="4">
        <f t="shared" si="331"/>
        <v>0</v>
      </c>
      <c r="AG703" s="4">
        <f t="shared" si="332"/>
        <v>8.2940496401020276</v>
      </c>
      <c r="AH703" s="4">
        <f t="shared" si="333"/>
        <v>0</v>
      </c>
      <c r="AI703" s="4">
        <f t="shared" si="334"/>
        <v>0</v>
      </c>
      <c r="AJ703" s="4">
        <f t="shared" si="335"/>
        <v>8.2940496401020276</v>
      </c>
      <c r="AK703" s="4">
        <f t="shared" si="336"/>
        <v>5.7037824746562009</v>
      </c>
      <c r="AL703" s="4">
        <f t="shared" si="337"/>
        <v>0</v>
      </c>
      <c r="AM703" s="4">
        <f>CER!$C$7+CER!$C$8*J703+CER!$C$9*K703+CER!$C$10*L703+CER!$C$11*M703</f>
        <v>3.3986225093687485</v>
      </c>
      <c r="AN703" s="4">
        <f t="shared" si="338"/>
        <v>29.922853195406027</v>
      </c>
      <c r="AO703" s="4">
        <f t="shared" si="339"/>
        <v>4.8449679826310987E-2</v>
      </c>
      <c r="AP703" s="4">
        <f>Alternatives!$F$25+Alternatives!$F$26*J703+Alternatives!$F$27*K703+Alternatives!$F$28*G703+Alternatives!$F$29*O703</f>
        <v>3.3782335858486077</v>
      </c>
      <c r="AQ703" s="4">
        <f t="shared" si="340"/>
        <v>6.8838603346451865E-2</v>
      </c>
    </row>
    <row r="704" spans="1:43" x14ac:dyDescent="0.35">
      <c r="A704" s="2" t="s">
        <v>607</v>
      </c>
      <c r="B704" s="2" t="s">
        <v>577</v>
      </c>
      <c r="C704" s="2" t="s">
        <v>67</v>
      </c>
      <c r="D704" s="2">
        <v>29.043800000000001</v>
      </c>
      <c r="E704" s="2">
        <v>4000</v>
      </c>
      <c r="F704" s="2">
        <v>300</v>
      </c>
      <c r="G704" s="2">
        <v>47.5</v>
      </c>
      <c r="H704" s="2" t="s">
        <v>68</v>
      </c>
      <c r="I704" s="4">
        <f t="shared" si="310"/>
        <v>3.3688050353904484</v>
      </c>
      <c r="J704" s="4">
        <f t="shared" si="311"/>
        <v>8.2940496401020276</v>
      </c>
      <c r="K704" s="4">
        <f t="shared" si="312"/>
        <v>5.7037824746562009</v>
      </c>
      <c r="L704" s="2">
        <v>0</v>
      </c>
      <c r="M704" s="2">
        <v>0</v>
      </c>
      <c r="N704" s="4">
        <f t="shared" si="313"/>
        <v>47.5</v>
      </c>
      <c r="O704" s="4">
        <f t="shared" si="314"/>
        <v>0</v>
      </c>
      <c r="P704" s="4">
        <f t="shared" si="315"/>
        <v>0</v>
      </c>
      <c r="Q704" s="4">
        <f t="shared" si="316"/>
        <v>8.2940496401020276</v>
      </c>
      <c r="R704" s="4">
        <f t="shared" si="317"/>
        <v>5.7037824746562009</v>
      </c>
      <c r="S704" s="4">
        <f t="shared" si="318"/>
        <v>47.5</v>
      </c>
      <c r="T704" s="4">
        <f t="shared" si="319"/>
        <v>0</v>
      </c>
      <c r="U704" s="4">
        <f t="shared" si="320"/>
        <v>8.2940496401020276</v>
      </c>
      <c r="V704" s="4">
        <f t="shared" si="321"/>
        <v>5.7037824746562009</v>
      </c>
      <c r="W704" s="4">
        <f t="shared" si="322"/>
        <v>47.5</v>
      </c>
      <c r="X704" s="4">
        <f t="shared" si="323"/>
        <v>0</v>
      </c>
      <c r="Y704" s="4">
        <f t="shared" si="324"/>
        <v>8.2940496401020276</v>
      </c>
      <c r="Z704" s="4">
        <f t="shared" si="325"/>
        <v>5.7037824746562009</v>
      </c>
      <c r="AA704" s="4">
        <f t="shared" si="326"/>
        <v>47.5</v>
      </c>
      <c r="AB704" s="4">
        <f t="shared" si="327"/>
        <v>0</v>
      </c>
      <c r="AC704" s="4">
        <f t="shared" si="328"/>
        <v>0</v>
      </c>
      <c r="AD704" s="4">
        <f t="shared" si="329"/>
        <v>0</v>
      </c>
      <c r="AE704" s="4">
        <f t="shared" si="330"/>
        <v>0</v>
      </c>
      <c r="AF704" s="4">
        <f t="shared" si="331"/>
        <v>0</v>
      </c>
      <c r="AG704" s="4">
        <f t="shared" si="332"/>
        <v>8.2940496401020276</v>
      </c>
      <c r="AH704" s="4">
        <f t="shared" si="333"/>
        <v>0</v>
      </c>
      <c r="AI704" s="4">
        <f t="shared" si="334"/>
        <v>0</v>
      </c>
      <c r="AJ704" s="4">
        <f t="shared" si="335"/>
        <v>8.2940496401020276</v>
      </c>
      <c r="AK704" s="4">
        <f t="shared" si="336"/>
        <v>5.7037824746562009</v>
      </c>
      <c r="AL704" s="4">
        <f t="shared" si="337"/>
        <v>0</v>
      </c>
      <c r="AM704" s="4">
        <f>CER!$C$7+CER!$C$8*J704+CER!$C$9*K704+CER!$C$10*L704+CER!$C$11*M704</f>
        <v>3.3986225093687485</v>
      </c>
      <c r="AN704" s="4">
        <f t="shared" si="338"/>
        <v>29.922853195406027</v>
      </c>
      <c r="AO704" s="4">
        <f t="shared" si="339"/>
        <v>-2.9817473978300146E-2</v>
      </c>
      <c r="AP704" s="4">
        <f>Alternatives!$F$25+Alternatives!$F$26*J704+Alternatives!$F$27*K704+Alternatives!$F$28*G704+Alternatives!$F$29*O704</f>
        <v>3.3782335858486077</v>
      </c>
      <c r="AQ704" s="4">
        <f t="shared" si="340"/>
        <v>-9.4285504581592683E-3</v>
      </c>
    </row>
    <row r="705" spans="1:43" x14ac:dyDescent="0.35">
      <c r="A705" s="2" t="s">
        <v>608</v>
      </c>
      <c r="B705" s="2" t="s">
        <v>577</v>
      </c>
      <c r="C705" s="2" t="s">
        <v>67</v>
      </c>
      <c r="D705" s="2">
        <v>29.058399999999999</v>
      </c>
      <c r="E705" s="2">
        <v>4000</v>
      </c>
      <c r="F705" s="2">
        <v>400</v>
      </c>
      <c r="G705" s="2">
        <v>47.5</v>
      </c>
      <c r="H705" s="2" t="s">
        <v>68</v>
      </c>
      <c r="I705" s="4">
        <f t="shared" si="310"/>
        <v>3.369307598126706</v>
      </c>
      <c r="J705" s="4">
        <f t="shared" si="311"/>
        <v>8.2940496401020276</v>
      </c>
      <c r="K705" s="4">
        <f t="shared" si="312"/>
        <v>5.9914645471079817</v>
      </c>
      <c r="L705" s="2">
        <v>0</v>
      </c>
      <c r="M705" s="2">
        <v>0</v>
      </c>
      <c r="N705" s="4">
        <f t="shared" si="313"/>
        <v>47.5</v>
      </c>
      <c r="O705" s="4">
        <f t="shared" si="314"/>
        <v>0</v>
      </c>
      <c r="P705" s="4">
        <f t="shared" si="315"/>
        <v>0</v>
      </c>
      <c r="Q705" s="4">
        <f t="shared" si="316"/>
        <v>8.2940496401020276</v>
      </c>
      <c r="R705" s="4">
        <f t="shared" si="317"/>
        <v>5.9914645471079817</v>
      </c>
      <c r="S705" s="4">
        <f t="shared" si="318"/>
        <v>47.5</v>
      </c>
      <c r="T705" s="4">
        <f t="shared" si="319"/>
        <v>0</v>
      </c>
      <c r="U705" s="4">
        <f t="shared" si="320"/>
        <v>8.2940496401020276</v>
      </c>
      <c r="V705" s="4">
        <f t="shared" si="321"/>
        <v>5.9914645471079817</v>
      </c>
      <c r="W705" s="4">
        <f t="shared" si="322"/>
        <v>47.5</v>
      </c>
      <c r="X705" s="4">
        <f t="shared" si="323"/>
        <v>0</v>
      </c>
      <c r="Y705" s="4">
        <f t="shared" si="324"/>
        <v>8.2940496401020276</v>
      </c>
      <c r="Z705" s="4">
        <f t="shared" si="325"/>
        <v>5.9914645471079817</v>
      </c>
      <c r="AA705" s="4">
        <f t="shared" si="326"/>
        <v>47.5</v>
      </c>
      <c r="AB705" s="4">
        <f t="shared" si="327"/>
        <v>0</v>
      </c>
      <c r="AC705" s="4">
        <f t="shared" si="328"/>
        <v>0</v>
      </c>
      <c r="AD705" s="4">
        <f t="shared" si="329"/>
        <v>0</v>
      </c>
      <c r="AE705" s="4">
        <f t="shared" si="330"/>
        <v>0</v>
      </c>
      <c r="AF705" s="4">
        <f t="shared" si="331"/>
        <v>0</v>
      </c>
      <c r="AG705" s="4">
        <f t="shared" si="332"/>
        <v>8.2940496401020276</v>
      </c>
      <c r="AH705" s="4">
        <f t="shared" si="333"/>
        <v>0</v>
      </c>
      <c r="AI705" s="4">
        <f t="shared" si="334"/>
        <v>0</v>
      </c>
      <c r="AJ705" s="4">
        <f t="shared" si="335"/>
        <v>8.2940496401020276</v>
      </c>
      <c r="AK705" s="4">
        <f t="shared" si="336"/>
        <v>5.9914645471079817</v>
      </c>
      <c r="AL705" s="4">
        <f t="shared" si="337"/>
        <v>0</v>
      </c>
      <c r="AM705" s="4">
        <f>CER!$C$7+CER!$C$8*J705+CER!$C$9*K705+CER!$C$10*L705+CER!$C$11*M705</f>
        <v>3.2924840171453194</v>
      </c>
      <c r="AN705" s="4">
        <f t="shared" si="338"/>
        <v>26.909624672876507</v>
      </c>
      <c r="AO705" s="4">
        <f t="shared" si="339"/>
        <v>7.6823580981386641E-2</v>
      </c>
      <c r="AP705" s="4">
        <f>Alternatives!$F$25+Alternatives!$F$26*J705+Alternatives!$F$27*K705+Alternatives!$F$28*G705+Alternatives!$F$29*O705</f>
        <v>3.301678518780256</v>
      </c>
      <c r="AQ705" s="4">
        <f t="shared" si="340"/>
        <v>6.7629079346450016E-2</v>
      </c>
    </row>
    <row r="706" spans="1:43" x14ac:dyDescent="0.35">
      <c r="A706" s="2" t="s">
        <v>609</v>
      </c>
      <c r="B706" s="2" t="s">
        <v>577</v>
      </c>
      <c r="C706" s="2" t="s">
        <v>67</v>
      </c>
      <c r="D706" s="2">
        <v>28.933499999999999</v>
      </c>
      <c r="E706" s="2">
        <v>4000</v>
      </c>
      <c r="F706" s="2">
        <v>400</v>
      </c>
      <c r="G706" s="2">
        <v>47.7</v>
      </c>
      <c r="H706" s="2" t="s">
        <v>68</v>
      </c>
      <c r="I706" s="4">
        <f t="shared" ref="I706:I769" si="341">LN(D706)</f>
        <v>3.3650000933502673</v>
      </c>
      <c r="J706" s="4">
        <f t="shared" ref="J706:J769" si="342">LN(E706)</f>
        <v>8.2940496401020276</v>
      </c>
      <c r="K706" s="4">
        <f t="shared" ref="K706:K769" si="343">LN(F706)</f>
        <v>5.9914645471079817</v>
      </c>
      <c r="L706" s="2">
        <v>0</v>
      </c>
      <c r="M706" s="2">
        <v>0</v>
      </c>
      <c r="N706" s="4">
        <f t="shared" ref="N706:N769" si="344">G706</f>
        <v>47.7</v>
      </c>
      <c r="O706" s="4">
        <f t="shared" ref="O706:O769" si="345">L706+M706</f>
        <v>0</v>
      </c>
      <c r="P706" s="4">
        <f t="shared" ref="P706:P769" si="346">L706+2*M706</f>
        <v>0</v>
      </c>
      <c r="Q706" s="4">
        <f t="shared" ref="Q706:Q769" si="347">J706</f>
        <v>8.2940496401020276</v>
      </c>
      <c r="R706" s="4">
        <f t="shared" ref="R706:R769" si="348">K706</f>
        <v>5.9914645471079817</v>
      </c>
      <c r="S706" s="4">
        <f t="shared" ref="S706:S769" si="349">G706</f>
        <v>47.7</v>
      </c>
      <c r="T706" s="4">
        <f t="shared" ref="T706:T769" si="350">O706</f>
        <v>0</v>
      </c>
      <c r="U706" s="4">
        <f t="shared" ref="U706:U769" si="351">J706</f>
        <v>8.2940496401020276</v>
      </c>
      <c r="V706" s="4">
        <f t="shared" ref="V706:V769" si="352">K706</f>
        <v>5.9914645471079817</v>
      </c>
      <c r="W706" s="4">
        <f t="shared" ref="W706:W769" si="353">G706</f>
        <v>47.7</v>
      </c>
      <c r="X706" s="4">
        <f t="shared" ref="X706:X769" si="354">P706</f>
        <v>0</v>
      </c>
      <c r="Y706" s="4">
        <f t="shared" ref="Y706:Y769" si="355">J706</f>
        <v>8.2940496401020276</v>
      </c>
      <c r="Z706" s="4">
        <f t="shared" ref="Z706:Z769" si="356">K706</f>
        <v>5.9914645471079817</v>
      </c>
      <c r="AA706" s="4">
        <f t="shared" ref="AA706:AA769" si="357">G706</f>
        <v>47.7</v>
      </c>
      <c r="AB706" s="4">
        <f t="shared" ref="AB706:AB769" si="358">L706</f>
        <v>0</v>
      </c>
      <c r="AC706" s="4">
        <f t="shared" ref="AC706:AC769" si="359">M706</f>
        <v>0</v>
      </c>
      <c r="AD706" s="4">
        <f t="shared" ref="AD706:AD769" si="360">M706*J706</f>
        <v>0</v>
      </c>
      <c r="AE706" s="4">
        <f t="shared" ref="AE706:AE769" si="361">M706*K706</f>
        <v>0</v>
      </c>
      <c r="AF706" s="4">
        <f t="shared" ref="AF706:AF769" si="362">M706*G706</f>
        <v>0</v>
      </c>
      <c r="AG706" s="4">
        <f t="shared" ref="AG706:AG769" si="363">J706</f>
        <v>8.2940496401020276</v>
      </c>
      <c r="AH706" s="4">
        <f t="shared" ref="AH706:AH769" si="364">L706</f>
        <v>0</v>
      </c>
      <c r="AI706" s="4">
        <f t="shared" ref="AI706:AI769" si="365">M706</f>
        <v>0</v>
      </c>
      <c r="AJ706" s="4">
        <f t="shared" ref="AJ706:AJ769" si="366">J706</f>
        <v>8.2940496401020276</v>
      </c>
      <c r="AK706" s="4">
        <f t="shared" ref="AK706:AK769" si="367">K706</f>
        <v>5.9914645471079817</v>
      </c>
      <c r="AL706" s="4">
        <f t="shared" ref="AL706:AL769" si="368">M706</f>
        <v>0</v>
      </c>
      <c r="AM706" s="4">
        <f>CER!$C$7+CER!$C$8*J706+CER!$C$9*K706+CER!$C$10*L706+CER!$C$11*M706</f>
        <v>3.2924840171453194</v>
      </c>
      <c r="AN706" s="4">
        <f t="shared" ref="AN706:AN769" si="369">EXP(AM706)</f>
        <v>26.909624672876507</v>
      </c>
      <c r="AO706" s="4">
        <f t="shared" ref="AO706:AO769" si="370">I706-AM706</f>
        <v>7.2516076204947932E-2</v>
      </c>
      <c r="AP706" s="4">
        <f>Alternatives!$F$25+Alternatives!$F$26*J706+Alternatives!$F$27*K706+Alternatives!$F$28*G706+Alternatives!$F$29*O706</f>
        <v>3.2990770558718103</v>
      </c>
      <c r="AQ706" s="4">
        <f t="shared" ref="AQ706:AQ769" si="371">I706-AP706</f>
        <v>6.5923037478456958E-2</v>
      </c>
    </row>
    <row r="707" spans="1:43" x14ac:dyDescent="0.35">
      <c r="A707" s="2" t="s">
        <v>610</v>
      </c>
      <c r="B707" s="2" t="s">
        <v>577</v>
      </c>
      <c r="C707" s="2" t="s">
        <v>67</v>
      </c>
      <c r="D707" s="2">
        <v>35.972299999999997</v>
      </c>
      <c r="E707" s="2">
        <v>4000</v>
      </c>
      <c r="F707" s="2">
        <v>268</v>
      </c>
      <c r="G707" s="2">
        <v>49.2</v>
      </c>
      <c r="H707" s="2" t="s">
        <v>68</v>
      </c>
      <c r="I707" s="4">
        <f t="shared" si="341"/>
        <v>3.5827491978373529</v>
      </c>
      <c r="J707" s="4">
        <f t="shared" si="342"/>
        <v>8.2940496401020276</v>
      </c>
      <c r="K707" s="4">
        <f t="shared" si="343"/>
        <v>5.5909869805108565</v>
      </c>
      <c r="L707" s="2">
        <v>0</v>
      </c>
      <c r="M707" s="2">
        <v>0</v>
      </c>
      <c r="N707" s="4">
        <f t="shared" si="344"/>
        <v>49.2</v>
      </c>
      <c r="O707" s="4">
        <f t="shared" si="345"/>
        <v>0</v>
      </c>
      <c r="P707" s="4">
        <f t="shared" si="346"/>
        <v>0</v>
      </c>
      <c r="Q707" s="4">
        <f t="shared" si="347"/>
        <v>8.2940496401020276</v>
      </c>
      <c r="R707" s="4">
        <f t="shared" si="348"/>
        <v>5.5909869805108565</v>
      </c>
      <c r="S707" s="4">
        <f t="shared" si="349"/>
        <v>49.2</v>
      </c>
      <c r="T707" s="4">
        <f t="shared" si="350"/>
        <v>0</v>
      </c>
      <c r="U707" s="4">
        <f t="shared" si="351"/>
        <v>8.2940496401020276</v>
      </c>
      <c r="V707" s="4">
        <f t="shared" si="352"/>
        <v>5.5909869805108565</v>
      </c>
      <c r="W707" s="4">
        <f t="shared" si="353"/>
        <v>49.2</v>
      </c>
      <c r="X707" s="4">
        <f t="shared" si="354"/>
        <v>0</v>
      </c>
      <c r="Y707" s="4">
        <f t="shared" si="355"/>
        <v>8.2940496401020276</v>
      </c>
      <c r="Z707" s="4">
        <f t="shared" si="356"/>
        <v>5.5909869805108565</v>
      </c>
      <c r="AA707" s="4">
        <f t="shared" si="357"/>
        <v>49.2</v>
      </c>
      <c r="AB707" s="4">
        <f t="shared" si="358"/>
        <v>0</v>
      </c>
      <c r="AC707" s="4">
        <f t="shared" si="359"/>
        <v>0</v>
      </c>
      <c r="AD707" s="4">
        <f t="shared" si="360"/>
        <v>0</v>
      </c>
      <c r="AE707" s="4">
        <f t="shared" si="361"/>
        <v>0</v>
      </c>
      <c r="AF707" s="4">
        <f t="shared" si="362"/>
        <v>0</v>
      </c>
      <c r="AG707" s="4">
        <f t="shared" si="363"/>
        <v>8.2940496401020276</v>
      </c>
      <c r="AH707" s="4">
        <f t="shared" si="364"/>
        <v>0</v>
      </c>
      <c r="AI707" s="4">
        <f t="shared" si="365"/>
        <v>0</v>
      </c>
      <c r="AJ707" s="4">
        <f t="shared" si="366"/>
        <v>8.2940496401020276</v>
      </c>
      <c r="AK707" s="4">
        <f t="shared" si="367"/>
        <v>5.5909869805108565</v>
      </c>
      <c r="AL707" s="4">
        <f t="shared" si="368"/>
        <v>0</v>
      </c>
      <c r="AM707" s="4">
        <f>CER!$C$7+CER!$C$8*J707+CER!$C$9*K707+CER!$C$10*L707+CER!$C$11*M707</f>
        <v>3.4402376978862397</v>
      </c>
      <c r="AN707" s="4">
        <f t="shared" si="369"/>
        <v>31.19437212345014</v>
      </c>
      <c r="AO707" s="4">
        <f t="shared" si="370"/>
        <v>0.14251149995111323</v>
      </c>
      <c r="AP707" s="4">
        <f>Alternatives!$F$25+Alternatives!$F$26*J707+Alternatives!$F$27*K707+Alternatives!$F$28*G707+Alternatives!$F$29*O707</f>
        <v>3.3861371564542004</v>
      </c>
      <c r="AQ707" s="4">
        <f t="shared" si="371"/>
        <v>0.19661204138315247</v>
      </c>
    </row>
    <row r="708" spans="1:43" x14ac:dyDescent="0.35">
      <c r="A708" s="2" t="s">
        <v>611</v>
      </c>
      <c r="B708" s="2" t="s">
        <v>577</v>
      </c>
      <c r="C708" s="2" t="s">
        <v>67</v>
      </c>
      <c r="D708" s="2">
        <v>34.325099999999999</v>
      </c>
      <c r="E708" s="2">
        <v>4000</v>
      </c>
      <c r="F708" s="2">
        <v>268</v>
      </c>
      <c r="G708" s="2">
        <v>49.2</v>
      </c>
      <c r="H708" s="2" t="s">
        <v>68</v>
      </c>
      <c r="I708" s="4">
        <f t="shared" si="341"/>
        <v>3.5358768649782686</v>
      </c>
      <c r="J708" s="4">
        <f t="shared" si="342"/>
        <v>8.2940496401020276</v>
      </c>
      <c r="K708" s="4">
        <f t="shared" si="343"/>
        <v>5.5909869805108565</v>
      </c>
      <c r="L708" s="2">
        <v>0</v>
      </c>
      <c r="M708" s="2">
        <v>0</v>
      </c>
      <c r="N708" s="4">
        <f t="shared" si="344"/>
        <v>49.2</v>
      </c>
      <c r="O708" s="4">
        <f t="shared" si="345"/>
        <v>0</v>
      </c>
      <c r="P708" s="4">
        <f t="shared" si="346"/>
        <v>0</v>
      </c>
      <c r="Q708" s="4">
        <f t="shared" si="347"/>
        <v>8.2940496401020276</v>
      </c>
      <c r="R708" s="4">
        <f t="shared" si="348"/>
        <v>5.5909869805108565</v>
      </c>
      <c r="S708" s="4">
        <f t="shared" si="349"/>
        <v>49.2</v>
      </c>
      <c r="T708" s="4">
        <f t="shared" si="350"/>
        <v>0</v>
      </c>
      <c r="U708" s="4">
        <f t="shared" si="351"/>
        <v>8.2940496401020276</v>
      </c>
      <c r="V708" s="4">
        <f t="shared" si="352"/>
        <v>5.5909869805108565</v>
      </c>
      <c r="W708" s="4">
        <f t="shared" si="353"/>
        <v>49.2</v>
      </c>
      <c r="X708" s="4">
        <f t="shared" si="354"/>
        <v>0</v>
      </c>
      <c r="Y708" s="4">
        <f t="shared" si="355"/>
        <v>8.2940496401020276</v>
      </c>
      <c r="Z708" s="4">
        <f t="shared" si="356"/>
        <v>5.5909869805108565</v>
      </c>
      <c r="AA708" s="4">
        <f t="shared" si="357"/>
        <v>49.2</v>
      </c>
      <c r="AB708" s="4">
        <f t="shared" si="358"/>
        <v>0</v>
      </c>
      <c r="AC708" s="4">
        <f t="shared" si="359"/>
        <v>0</v>
      </c>
      <c r="AD708" s="4">
        <f t="shared" si="360"/>
        <v>0</v>
      </c>
      <c r="AE708" s="4">
        <f t="shared" si="361"/>
        <v>0</v>
      </c>
      <c r="AF708" s="4">
        <f t="shared" si="362"/>
        <v>0</v>
      </c>
      <c r="AG708" s="4">
        <f t="shared" si="363"/>
        <v>8.2940496401020276</v>
      </c>
      <c r="AH708" s="4">
        <f t="shared" si="364"/>
        <v>0</v>
      </c>
      <c r="AI708" s="4">
        <f t="shared" si="365"/>
        <v>0</v>
      </c>
      <c r="AJ708" s="4">
        <f t="shared" si="366"/>
        <v>8.2940496401020276</v>
      </c>
      <c r="AK708" s="4">
        <f t="shared" si="367"/>
        <v>5.5909869805108565</v>
      </c>
      <c r="AL708" s="4">
        <f t="shared" si="368"/>
        <v>0</v>
      </c>
      <c r="AM708" s="4">
        <f>CER!$C$7+CER!$C$8*J708+CER!$C$9*K708+CER!$C$10*L708+CER!$C$11*M708</f>
        <v>3.4402376978862397</v>
      </c>
      <c r="AN708" s="4">
        <f t="shared" si="369"/>
        <v>31.19437212345014</v>
      </c>
      <c r="AO708" s="4">
        <f t="shared" si="370"/>
        <v>9.5639167092028909E-2</v>
      </c>
      <c r="AP708" s="4">
        <f>Alternatives!$F$25+Alternatives!$F$26*J708+Alternatives!$F$27*K708+Alternatives!$F$28*G708+Alternatives!$F$29*O708</f>
        <v>3.3861371564542004</v>
      </c>
      <c r="AQ708" s="4">
        <f t="shared" si="371"/>
        <v>0.14973970852406815</v>
      </c>
    </row>
    <row r="709" spans="1:43" x14ac:dyDescent="0.35">
      <c r="A709" s="2" t="s">
        <v>612</v>
      </c>
      <c r="B709" s="2" t="s">
        <v>577</v>
      </c>
      <c r="C709" s="2" t="s">
        <v>67</v>
      </c>
      <c r="D709" s="2">
        <v>33.3123</v>
      </c>
      <c r="E709" s="2">
        <v>4000</v>
      </c>
      <c r="F709" s="2">
        <v>268</v>
      </c>
      <c r="G709" s="2">
        <v>48.9</v>
      </c>
      <c r="H709" s="2" t="s">
        <v>68</v>
      </c>
      <c r="I709" s="4">
        <f t="shared" si="341"/>
        <v>3.5059266981556956</v>
      </c>
      <c r="J709" s="4">
        <f t="shared" si="342"/>
        <v>8.2940496401020276</v>
      </c>
      <c r="K709" s="4">
        <f t="shared" si="343"/>
        <v>5.5909869805108565</v>
      </c>
      <c r="L709" s="2">
        <v>0</v>
      </c>
      <c r="M709" s="2">
        <v>0</v>
      </c>
      <c r="N709" s="4">
        <f t="shared" si="344"/>
        <v>48.9</v>
      </c>
      <c r="O709" s="4">
        <f t="shared" si="345"/>
        <v>0</v>
      </c>
      <c r="P709" s="4">
        <f t="shared" si="346"/>
        <v>0</v>
      </c>
      <c r="Q709" s="4">
        <f t="shared" si="347"/>
        <v>8.2940496401020276</v>
      </c>
      <c r="R709" s="4">
        <f t="shared" si="348"/>
        <v>5.5909869805108565</v>
      </c>
      <c r="S709" s="4">
        <f t="shared" si="349"/>
        <v>48.9</v>
      </c>
      <c r="T709" s="4">
        <f t="shared" si="350"/>
        <v>0</v>
      </c>
      <c r="U709" s="4">
        <f t="shared" si="351"/>
        <v>8.2940496401020276</v>
      </c>
      <c r="V709" s="4">
        <f t="shared" si="352"/>
        <v>5.5909869805108565</v>
      </c>
      <c r="W709" s="4">
        <f t="shared" si="353"/>
        <v>48.9</v>
      </c>
      <c r="X709" s="4">
        <f t="shared" si="354"/>
        <v>0</v>
      </c>
      <c r="Y709" s="4">
        <f t="shared" si="355"/>
        <v>8.2940496401020276</v>
      </c>
      <c r="Z709" s="4">
        <f t="shared" si="356"/>
        <v>5.5909869805108565</v>
      </c>
      <c r="AA709" s="4">
        <f t="shared" si="357"/>
        <v>48.9</v>
      </c>
      <c r="AB709" s="4">
        <f t="shared" si="358"/>
        <v>0</v>
      </c>
      <c r="AC709" s="4">
        <f t="shared" si="359"/>
        <v>0</v>
      </c>
      <c r="AD709" s="4">
        <f t="shared" si="360"/>
        <v>0</v>
      </c>
      <c r="AE709" s="4">
        <f t="shared" si="361"/>
        <v>0</v>
      </c>
      <c r="AF709" s="4">
        <f t="shared" si="362"/>
        <v>0</v>
      </c>
      <c r="AG709" s="4">
        <f t="shared" si="363"/>
        <v>8.2940496401020276</v>
      </c>
      <c r="AH709" s="4">
        <f t="shared" si="364"/>
        <v>0</v>
      </c>
      <c r="AI709" s="4">
        <f t="shared" si="365"/>
        <v>0</v>
      </c>
      <c r="AJ709" s="4">
        <f t="shared" si="366"/>
        <v>8.2940496401020276</v>
      </c>
      <c r="AK709" s="4">
        <f t="shared" si="367"/>
        <v>5.5909869805108565</v>
      </c>
      <c r="AL709" s="4">
        <f t="shared" si="368"/>
        <v>0</v>
      </c>
      <c r="AM709" s="4">
        <f>CER!$C$7+CER!$C$8*J709+CER!$C$9*K709+CER!$C$10*L709+CER!$C$11*M709</f>
        <v>3.4402376978862397</v>
      </c>
      <c r="AN709" s="4">
        <f t="shared" si="369"/>
        <v>31.19437212345014</v>
      </c>
      <c r="AO709" s="4">
        <f t="shared" si="370"/>
        <v>6.5689000269455899E-2</v>
      </c>
      <c r="AP709" s="4">
        <f>Alternatives!$F$25+Alternatives!$F$26*J709+Alternatives!$F$27*K709+Alternatives!$F$28*G709+Alternatives!$F$29*O709</f>
        <v>3.3900393508168691</v>
      </c>
      <c r="AQ709" s="4">
        <f t="shared" si="371"/>
        <v>0.11588734733882644</v>
      </c>
    </row>
    <row r="710" spans="1:43" x14ac:dyDescent="0.35">
      <c r="A710" s="2" t="s">
        <v>613</v>
      </c>
      <c r="B710" s="2" t="s">
        <v>577</v>
      </c>
      <c r="C710" s="2" t="s">
        <v>67</v>
      </c>
      <c r="D710" s="2">
        <v>20.836200000000002</v>
      </c>
      <c r="E710" s="2">
        <v>6000</v>
      </c>
      <c r="F710" s="2">
        <v>400</v>
      </c>
      <c r="G710" s="2">
        <v>56.9</v>
      </c>
      <c r="H710" s="2" t="s">
        <v>68</v>
      </c>
      <c r="I710" s="4">
        <f t="shared" si="341"/>
        <v>3.0366918586082345</v>
      </c>
      <c r="J710" s="4">
        <f t="shared" si="342"/>
        <v>8.6995147482101913</v>
      </c>
      <c r="K710" s="4">
        <f t="shared" si="343"/>
        <v>5.9914645471079817</v>
      </c>
      <c r="L710" s="2">
        <v>0</v>
      </c>
      <c r="M710" s="2">
        <v>0</v>
      </c>
      <c r="N710" s="4">
        <f t="shared" si="344"/>
        <v>56.9</v>
      </c>
      <c r="O710" s="4">
        <f t="shared" si="345"/>
        <v>0</v>
      </c>
      <c r="P710" s="4">
        <f t="shared" si="346"/>
        <v>0</v>
      </c>
      <c r="Q710" s="4">
        <f t="shared" si="347"/>
        <v>8.6995147482101913</v>
      </c>
      <c r="R710" s="4">
        <f t="shared" si="348"/>
        <v>5.9914645471079817</v>
      </c>
      <c r="S710" s="4">
        <f t="shared" si="349"/>
        <v>56.9</v>
      </c>
      <c r="T710" s="4">
        <f t="shared" si="350"/>
        <v>0</v>
      </c>
      <c r="U710" s="4">
        <f t="shared" si="351"/>
        <v>8.6995147482101913</v>
      </c>
      <c r="V710" s="4">
        <f t="shared" si="352"/>
        <v>5.9914645471079817</v>
      </c>
      <c r="W710" s="4">
        <f t="shared" si="353"/>
        <v>56.9</v>
      </c>
      <c r="X710" s="4">
        <f t="shared" si="354"/>
        <v>0</v>
      </c>
      <c r="Y710" s="4">
        <f t="shared" si="355"/>
        <v>8.6995147482101913</v>
      </c>
      <c r="Z710" s="4">
        <f t="shared" si="356"/>
        <v>5.9914645471079817</v>
      </c>
      <c r="AA710" s="4">
        <f t="shared" si="357"/>
        <v>56.9</v>
      </c>
      <c r="AB710" s="4">
        <f t="shared" si="358"/>
        <v>0</v>
      </c>
      <c r="AC710" s="4">
        <f t="shared" si="359"/>
        <v>0</v>
      </c>
      <c r="AD710" s="4">
        <f t="shared" si="360"/>
        <v>0</v>
      </c>
      <c r="AE710" s="4">
        <f t="shared" si="361"/>
        <v>0</v>
      </c>
      <c r="AF710" s="4">
        <f t="shared" si="362"/>
        <v>0</v>
      </c>
      <c r="AG710" s="4">
        <f t="shared" si="363"/>
        <v>8.6995147482101913</v>
      </c>
      <c r="AH710" s="4">
        <f t="shared" si="364"/>
        <v>0</v>
      </c>
      <c r="AI710" s="4">
        <f t="shared" si="365"/>
        <v>0</v>
      </c>
      <c r="AJ710" s="4">
        <f t="shared" si="366"/>
        <v>8.6995147482101913</v>
      </c>
      <c r="AK710" s="4">
        <f t="shared" si="367"/>
        <v>5.9914645471079817</v>
      </c>
      <c r="AL710" s="4">
        <f t="shared" si="368"/>
        <v>0</v>
      </c>
      <c r="AM710" s="4">
        <f>CER!$C$7+CER!$C$8*J710+CER!$C$9*K710+CER!$C$10*L710+CER!$C$11*M710</f>
        <v>3.1089262650148863</v>
      </c>
      <c r="AN710" s="4">
        <f t="shared" si="369"/>
        <v>22.396983061033303</v>
      </c>
      <c r="AO710" s="4">
        <f t="shared" si="370"/>
        <v>-7.2234406406651797E-2</v>
      </c>
      <c r="AP710" s="4">
        <f>Alternatives!$F$25+Alternatives!$F$26*J710+Alternatives!$F$27*K710+Alternatives!$F$28*G710+Alternatives!$F$29*O710</f>
        <v>3.3294667132005729</v>
      </c>
      <c r="AQ710" s="4">
        <f t="shared" si="371"/>
        <v>-0.29277485459233832</v>
      </c>
    </row>
    <row r="711" spans="1:43" x14ac:dyDescent="0.35">
      <c r="A711" s="2" t="s">
        <v>614</v>
      </c>
      <c r="B711" s="2" t="s">
        <v>577</v>
      </c>
      <c r="C711" s="2" t="s">
        <v>67</v>
      </c>
      <c r="D711" s="2">
        <v>20.056799999999999</v>
      </c>
      <c r="E711" s="2">
        <v>6500</v>
      </c>
      <c r="F711" s="2">
        <v>400</v>
      </c>
      <c r="G711" s="2">
        <v>56.9</v>
      </c>
      <c r="H711" s="2" t="s">
        <v>68</v>
      </c>
      <c r="I711" s="4">
        <f t="shared" si="341"/>
        <v>2.998568248373199</v>
      </c>
      <c r="J711" s="4">
        <f t="shared" si="342"/>
        <v>8.7795574558837277</v>
      </c>
      <c r="K711" s="4">
        <f t="shared" si="343"/>
        <v>5.9914645471079817</v>
      </c>
      <c r="L711" s="2">
        <v>0</v>
      </c>
      <c r="M711" s="2">
        <v>0</v>
      </c>
      <c r="N711" s="4">
        <f t="shared" si="344"/>
        <v>56.9</v>
      </c>
      <c r="O711" s="4">
        <f t="shared" si="345"/>
        <v>0</v>
      </c>
      <c r="P711" s="4">
        <f t="shared" si="346"/>
        <v>0</v>
      </c>
      <c r="Q711" s="4">
        <f t="shared" si="347"/>
        <v>8.7795574558837277</v>
      </c>
      <c r="R711" s="4">
        <f t="shared" si="348"/>
        <v>5.9914645471079817</v>
      </c>
      <c r="S711" s="4">
        <f t="shared" si="349"/>
        <v>56.9</v>
      </c>
      <c r="T711" s="4">
        <f t="shared" si="350"/>
        <v>0</v>
      </c>
      <c r="U711" s="4">
        <f t="shared" si="351"/>
        <v>8.7795574558837277</v>
      </c>
      <c r="V711" s="4">
        <f t="shared" si="352"/>
        <v>5.9914645471079817</v>
      </c>
      <c r="W711" s="4">
        <f t="shared" si="353"/>
        <v>56.9</v>
      </c>
      <c r="X711" s="4">
        <f t="shared" si="354"/>
        <v>0</v>
      </c>
      <c r="Y711" s="4">
        <f t="shared" si="355"/>
        <v>8.7795574558837277</v>
      </c>
      <c r="Z711" s="4">
        <f t="shared" si="356"/>
        <v>5.9914645471079817</v>
      </c>
      <c r="AA711" s="4">
        <f t="shared" si="357"/>
        <v>56.9</v>
      </c>
      <c r="AB711" s="4">
        <f t="shared" si="358"/>
        <v>0</v>
      </c>
      <c r="AC711" s="4">
        <f t="shared" si="359"/>
        <v>0</v>
      </c>
      <c r="AD711" s="4">
        <f t="shared" si="360"/>
        <v>0</v>
      </c>
      <c r="AE711" s="4">
        <f t="shared" si="361"/>
        <v>0</v>
      </c>
      <c r="AF711" s="4">
        <f t="shared" si="362"/>
        <v>0</v>
      </c>
      <c r="AG711" s="4">
        <f t="shared" si="363"/>
        <v>8.7795574558837277</v>
      </c>
      <c r="AH711" s="4">
        <f t="shared" si="364"/>
        <v>0</v>
      </c>
      <c r="AI711" s="4">
        <f t="shared" si="365"/>
        <v>0</v>
      </c>
      <c r="AJ711" s="4">
        <f t="shared" si="366"/>
        <v>8.7795574558837277</v>
      </c>
      <c r="AK711" s="4">
        <f t="shared" si="367"/>
        <v>5.9914645471079817</v>
      </c>
      <c r="AL711" s="4">
        <f t="shared" si="368"/>
        <v>0</v>
      </c>
      <c r="AM711" s="4">
        <f>CER!$C$7+CER!$C$8*J711+CER!$C$9*K711+CER!$C$10*L711+CER!$C$11*M711</f>
        <v>3.0726902012915729</v>
      </c>
      <c r="AN711" s="4">
        <f t="shared" si="369"/>
        <v>21.599932750696084</v>
      </c>
      <c r="AO711" s="4">
        <f t="shared" si="370"/>
        <v>-7.4121952918373868E-2</v>
      </c>
      <c r="AP711" s="4">
        <f>Alternatives!$F$25+Alternatives!$F$26*J711+Alternatives!$F$27*K711+Alternatives!$F$28*G711+Alternatives!$F$29*O711</f>
        <v>3.3590893969592375</v>
      </c>
      <c r="AQ711" s="4">
        <f t="shared" si="371"/>
        <v>-0.36052114858603845</v>
      </c>
    </row>
    <row r="712" spans="1:43" x14ac:dyDescent="0.35">
      <c r="A712" s="2" t="s">
        <v>615</v>
      </c>
      <c r="B712" s="2" t="s">
        <v>577</v>
      </c>
      <c r="C712" s="2" t="s">
        <v>67</v>
      </c>
      <c r="D712" s="2">
        <v>31.121500000000001</v>
      </c>
      <c r="E712" s="2">
        <v>4500</v>
      </c>
      <c r="F712" s="2">
        <v>295</v>
      </c>
      <c r="G712" s="2">
        <v>53.1</v>
      </c>
      <c r="H712" s="2" t="s">
        <v>68</v>
      </c>
      <c r="I712" s="4">
        <f t="shared" si="341"/>
        <v>3.4378988986627221</v>
      </c>
      <c r="J712" s="4">
        <f t="shared" si="342"/>
        <v>8.4118326757584114</v>
      </c>
      <c r="K712" s="4">
        <f t="shared" si="343"/>
        <v>5.6869753563398202</v>
      </c>
      <c r="L712" s="2">
        <v>0</v>
      </c>
      <c r="M712" s="2">
        <v>0</v>
      </c>
      <c r="N712" s="4">
        <f t="shared" si="344"/>
        <v>53.1</v>
      </c>
      <c r="O712" s="4">
        <f t="shared" si="345"/>
        <v>0</v>
      </c>
      <c r="P712" s="4">
        <f t="shared" si="346"/>
        <v>0</v>
      </c>
      <c r="Q712" s="4">
        <f t="shared" si="347"/>
        <v>8.4118326757584114</v>
      </c>
      <c r="R712" s="4">
        <f t="shared" si="348"/>
        <v>5.6869753563398202</v>
      </c>
      <c r="S712" s="4">
        <f t="shared" si="349"/>
        <v>53.1</v>
      </c>
      <c r="T712" s="4">
        <f t="shared" si="350"/>
        <v>0</v>
      </c>
      <c r="U712" s="4">
        <f t="shared" si="351"/>
        <v>8.4118326757584114</v>
      </c>
      <c r="V712" s="4">
        <f t="shared" si="352"/>
        <v>5.6869753563398202</v>
      </c>
      <c r="W712" s="4">
        <f t="shared" si="353"/>
        <v>53.1</v>
      </c>
      <c r="X712" s="4">
        <f t="shared" si="354"/>
        <v>0</v>
      </c>
      <c r="Y712" s="4">
        <f t="shared" si="355"/>
        <v>8.4118326757584114</v>
      </c>
      <c r="Z712" s="4">
        <f t="shared" si="356"/>
        <v>5.6869753563398202</v>
      </c>
      <c r="AA712" s="4">
        <f t="shared" si="357"/>
        <v>53.1</v>
      </c>
      <c r="AB712" s="4">
        <f t="shared" si="358"/>
        <v>0</v>
      </c>
      <c r="AC712" s="4">
        <f t="shared" si="359"/>
        <v>0</v>
      </c>
      <c r="AD712" s="4">
        <f t="shared" si="360"/>
        <v>0</v>
      </c>
      <c r="AE712" s="4">
        <f t="shared" si="361"/>
        <v>0</v>
      </c>
      <c r="AF712" s="4">
        <f t="shared" si="362"/>
        <v>0</v>
      </c>
      <c r="AG712" s="4">
        <f t="shared" si="363"/>
        <v>8.4118326757584114</v>
      </c>
      <c r="AH712" s="4">
        <f t="shared" si="364"/>
        <v>0</v>
      </c>
      <c r="AI712" s="4">
        <f t="shared" si="365"/>
        <v>0</v>
      </c>
      <c r="AJ712" s="4">
        <f t="shared" si="366"/>
        <v>8.4118326757584114</v>
      </c>
      <c r="AK712" s="4">
        <f t="shared" si="367"/>
        <v>5.6869753563398202</v>
      </c>
      <c r="AL712" s="4">
        <f t="shared" si="368"/>
        <v>0</v>
      </c>
      <c r="AM712" s="4">
        <f>CER!$C$7+CER!$C$8*J712+CER!$C$9*K712+CER!$C$10*L712+CER!$C$11*M712</f>
        <v>3.3515019356410027</v>
      </c>
      <c r="AN712" s="4">
        <f t="shared" si="369"/>
        <v>28.545575079779177</v>
      </c>
      <c r="AO712" s="4">
        <f t="shared" si="370"/>
        <v>8.6396963021719397E-2</v>
      </c>
      <c r="AP712" s="4">
        <f>Alternatives!$F$25+Alternatives!$F$26*J712+Alternatives!$F$27*K712+Alternatives!$F$28*G712+Alternatives!$F$29*O712</f>
        <v>3.3534550160817487</v>
      </c>
      <c r="AQ712" s="4">
        <f t="shared" si="371"/>
        <v>8.4443882580973462E-2</v>
      </c>
    </row>
    <row r="713" spans="1:43" x14ac:dyDescent="0.35">
      <c r="A713" s="2" t="s">
        <v>616</v>
      </c>
      <c r="B713" s="2" t="s">
        <v>577</v>
      </c>
      <c r="C713" s="2" t="s">
        <v>67</v>
      </c>
      <c r="D713" s="2">
        <v>29.108799999999999</v>
      </c>
      <c r="E713" s="2">
        <v>5000</v>
      </c>
      <c r="F713" s="2">
        <v>295</v>
      </c>
      <c r="G713" s="2">
        <v>53.1</v>
      </c>
      <c r="H713" s="2" t="s">
        <v>68</v>
      </c>
      <c r="I713" s="4">
        <f t="shared" si="341"/>
        <v>3.3710405339604019</v>
      </c>
      <c r="J713" s="4">
        <f t="shared" si="342"/>
        <v>8.5171931914162382</v>
      </c>
      <c r="K713" s="4">
        <f t="shared" si="343"/>
        <v>5.6869753563398202</v>
      </c>
      <c r="L713" s="2">
        <v>0</v>
      </c>
      <c r="M713" s="2">
        <v>0</v>
      </c>
      <c r="N713" s="4">
        <f t="shared" si="344"/>
        <v>53.1</v>
      </c>
      <c r="O713" s="4">
        <f t="shared" si="345"/>
        <v>0</v>
      </c>
      <c r="P713" s="4">
        <f t="shared" si="346"/>
        <v>0</v>
      </c>
      <c r="Q713" s="4">
        <f t="shared" si="347"/>
        <v>8.5171931914162382</v>
      </c>
      <c r="R713" s="4">
        <f t="shared" si="348"/>
        <v>5.6869753563398202</v>
      </c>
      <c r="S713" s="4">
        <f t="shared" si="349"/>
        <v>53.1</v>
      </c>
      <c r="T713" s="4">
        <f t="shared" si="350"/>
        <v>0</v>
      </c>
      <c r="U713" s="4">
        <f t="shared" si="351"/>
        <v>8.5171931914162382</v>
      </c>
      <c r="V713" s="4">
        <f t="shared" si="352"/>
        <v>5.6869753563398202</v>
      </c>
      <c r="W713" s="4">
        <f t="shared" si="353"/>
        <v>53.1</v>
      </c>
      <c r="X713" s="4">
        <f t="shared" si="354"/>
        <v>0</v>
      </c>
      <c r="Y713" s="4">
        <f t="shared" si="355"/>
        <v>8.5171931914162382</v>
      </c>
      <c r="Z713" s="4">
        <f t="shared" si="356"/>
        <v>5.6869753563398202</v>
      </c>
      <c r="AA713" s="4">
        <f t="shared" si="357"/>
        <v>53.1</v>
      </c>
      <c r="AB713" s="4">
        <f t="shared" si="358"/>
        <v>0</v>
      </c>
      <c r="AC713" s="4">
        <f t="shared" si="359"/>
        <v>0</v>
      </c>
      <c r="AD713" s="4">
        <f t="shared" si="360"/>
        <v>0</v>
      </c>
      <c r="AE713" s="4">
        <f t="shared" si="361"/>
        <v>0</v>
      </c>
      <c r="AF713" s="4">
        <f t="shared" si="362"/>
        <v>0</v>
      </c>
      <c r="AG713" s="4">
        <f t="shared" si="363"/>
        <v>8.5171931914162382</v>
      </c>
      <c r="AH713" s="4">
        <f t="shared" si="364"/>
        <v>0</v>
      </c>
      <c r="AI713" s="4">
        <f t="shared" si="365"/>
        <v>0</v>
      </c>
      <c r="AJ713" s="4">
        <f t="shared" si="366"/>
        <v>8.5171931914162382</v>
      </c>
      <c r="AK713" s="4">
        <f t="shared" si="367"/>
        <v>5.6869753563398202</v>
      </c>
      <c r="AL713" s="4">
        <f t="shared" si="368"/>
        <v>0</v>
      </c>
      <c r="AM713" s="4">
        <f>CER!$C$7+CER!$C$8*J713+CER!$C$9*K713+CER!$C$10*L713+CER!$C$11*M713</f>
        <v>3.303804269354278</v>
      </c>
      <c r="AN713" s="4">
        <f t="shared" si="369"/>
        <v>27.215979144408202</v>
      </c>
      <c r="AO713" s="4">
        <f t="shared" si="370"/>
        <v>6.7236264606123974E-2</v>
      </c>
      <c r="AP713" s="4">
        <f>Alternatives!$F$25+Alternatives!$F$26*J713+Alternatives!$F$27*K713+Alternatives!$F$28*G713+Alternatives!$F$29*O713</f>
        <v>3.3924474655714798</v>
      </c>
      <c r="AQ713" s="4">
        <f t="shared" si="371"/>
        <v>-2.1406931611077873E-2</v>
      </c>
    </row>
    <row r="714" spans="1:43" x14ac:dyDescent="0.35">
      <c r="A714" s="2" t="s">
        <v>617</v>
      </c>
      <c r="B714" s="2" t="s">
        <v>577</v>
      </c>
      <c r="C714" s="2" t="s">
        <v>67</v>
      </c>
      <c r="D714" s="2">
        <v>36.551900000000003</v>
      </c>
      <c r="E714" s="2">
        <v>4000</v>
      </c>
      <c r="F714" s="2">
        <v>181</v>
      </c>
      <c r="G714" s="2">
        <v>46.5</v>
      </c>
      <c r="H714" s="2" t="s">
        <v>68</v>
      </c>
      <c r="I714" s="4">
        <f t="shared" si="341"/>
        <v>3.5987331684288191</v>
      </c>
      <c r="J714" s="4">
        <f t="shared" si="342"/>
        <v>8.2940496401020276</v>
      </c>
      <c r="K714" s="4">
        <f t="shared" si="343"/>
        <v>5.1984970312658261</v>
      </c>
      <c r="L714" s="2">
        <v>0</v>
      </c>
      <c r="M714" s="2">
        <v>0</v>
      </c>
      <c r="N714" s="4">
        <f t="shared" si="344"/>
        <v>46.5</v>
      </c>
      <c r="O714" s="4">
        <f t="shared" si="345"/>
        <v>0</v>
      </c>
      <c r="P714" s="4">
        <f t="shared" si="346"/>
        <v>0</v>
      </c>
      <c r="Q714" s="4">
        <f t="shared" si="347"/>
        <v>8.2940496401020276</v>
      </c>
      <c r="R714" s="4">
        <f t="shared" si="348"/>
        <v>5.1984970312658261</v>
      </c>
      <c r="S714" s="4">
        <f t="shared" si="349"/>
        <v>46.5</v>
      </c>
      <c r="T714" s="4">
        <f t="shared" si="350"/>
        <v>0</v>
      </c>
      <c r="U714" s="4">
        <f t="shared" si="351"/>
        <v>8.2940496401020276</v>
      </c>
      <c r="V714" s="4">
        <f t="shared" si="352"/>
        <v>5.1984970312658261</v>
      </c>
      <c r="W714" s="4">
        <f t="shared" si="353"/>
        <v>46.5</v>
      </c>
      <c r="X714" s="4">
        <f t="shared" si="354"/>
        <v>0</v>
      </c>
      <c r="Y714" s="4">
        <f t="shared" si="355"/>
        <v>8.2940496401020276</v>
      </c>
      <c r="Z714" s="4">
        <f t="shared" si="356"/>
        <v>5.1984970312658261</v>
      </c>
      <c r="AA714" s="4">
        <f t="shared" si="357"/>
        <v>46.5</v>
      </c>
      <c r="AB714" s="4">
        <f t="shared" si="358"/>
        <v>0</v>
      </c>
      <c r="AC714" s="4">
        <f t="shared" si="359"/>
        <v>0</v>
      </c>
      <c r="AD714" s="4">
        <f t="shared" si="360"/>
        <v>0</v>
      </c>
      <c r="AE714" s="4">
        <f t="shared" si="361"/>
        <v>0</v>
      </c>
      <c r="AF714" s="4">
        <f t="shared" si="362"/>
        <v>0</v>
      </c>
      <c r="AG714" s="4">
        <f t="shared" si="363"/>
        <v>8.2940496401020276</v>
      </c>
      <c r="AH714" s="4">
        <f t="shared" si="364"/>
        <v>0</v>
      </c>
      <c r="AI714" s="4">
        <f t="shared" si="365"/>
        <v>0</v>
      </c>
      <c r="AJ714" s="4">
        <f t="shared" si="366"/>
        <v>8.2940496401020276</v>
      </c>
      <c r="AK714" s="4">
        <f t="shared" si="367"/>
        <v>5.1984970312658261</v>
      </c>
      <c r="AL714" s="4">
        <f t="shared" si="368"/>
        <v>0</v>
      </c>
      <c r="AM714" s="4">
        <f>CER!$C$7+CER!$C$8*J714+CER!$C$9*K714+CER!$C$10*L714+CER!$C$11*M714</f>
        <v>3.5850443974163264</v>
      </c>
      <c r="AN714" s="4">
        <f t="shared" si="369"/>
        <v>36.054958430325307</v>
      </c>
      <c r="AO714" s="4">
        <f t="shared" si="370"/>
        <v>1.3688771012492662E-2</v>
      </c>
      <c r="AP714" s="4">
        <f>Alternatives!$F$25+Alternatives!$F$26*J714+Alternatives!$F$27*K714+Alternatives!$F$28*G714+Alternatives!$F$29*O714</f>
        <v>3.5257023935167084</v>
      </c>
      <c r="AQ714" s="4">
        <f t="shared" si="371"/>
        <v>7.303077491211063E-2</v>
      </c>
    </row>
    <row r="715" spans="1:43" x14ac:dyDescent="0.35">
      <c r="A715" s="2" t="s">
        <v>618</v>
      </c>
      <c r="B715" s="2" t="s">
        <v>577</v>
      </c>
      <c r="C715" s="2" t="s">
        <v>67</v>
      </c>
      <c r="D715" s="2">
        <v>36.153100000000002</v>
      </c>
      <c r="E715" s="2">
        <v>4000</v>
      </c>
      <c r="F715" s="2">
        <v>181</v>
      </c>
      <c r="G715" s="2">
        <v>46.5</v>
      </c>
      <c r="H715" s="2" t="s">
        <v>68</v>
      </c>
      <c r="I715" s="4">
        <f t="shared" si="341"/>
        <v>3.5877626987317228</v>
      </c>
      <c r="J715" s="4">
        <f t="shared" si="342"/>
        <v>8.2940496401020276</v>
      </c>
      <c r="K715" s="4">
        <f t="shared" si="343"/>
        <v>5.1984970312658261</v>
      </c>
      <c r="L715" s="2">
        <v>0</v>
      </c>
      <c r="M715" s="2">
        <v>0</v>
      </c>
      <c r="N715" s="4">
        <f t="shared" si="344"/>
        <v>46.5</v>
      </c>
      <c r="O715" s="4">
        <f t="shared" si="345"/>
        <v>0</v>
      </c>
      <c r="P715" s="4">
        <f t="shared" si="346"/>
        <v>0</v>
      </c>
      <c r="Q715" s="4">
        <f t="shared" si="347"/>
        <v>8.2940496401020276</v>
      </c>
      <c r="R715" s="4">
        <f t="shared" si="348"/>
        <v>5.1984970312658261</v>
      </c>
      <c r="S715" s="4">
        <f t="shared" si="349"/>
        <v>46.5</v>
      </c>
      <c r="T715" s="4">
        <f t="shared" si="350"/>
        <v>0</v>
      </c>
      <c r="U715" s="4">
        <f t="shared" si="351"/>
        <v>8.2940496401020276</v>
      </c>
      <c r="V715" s="4">
        <f t="shared" si="352"/>
        <v>5.1984970312658261</v>
      </c>
      <c r="W715" s="4">
        <f t="shared" si="353"/>
        <v>46.5</v>
      </c>
      <c r="X715" s="4">
        <f t="shared" si="354"/>
        <v>0</v>
      </c>
      <c r="Y715" s="4">
        <f t="shared" si="355"/>
        <v>8.2940496401020276</v>
      </c>
      <c r="Z715" s="4">
        <f t="shared" si="356"/>
        <v>5.1984970312658261</v>
      </c>
      <c r="AA715" s="4">
        <f t="shared" si="357"/>
        <v>46.5</v>
      </c>
      <c r="AB715" s="4">
        <f t="shared" si="358"/>
        <v>0</v>
      </c>
      <c r="AC715" s="4">
        <f t="shared" si="359"/>
        <v>0</v>
      </c>
      <c r="AD715" s="4">
        <f t="shared" si="360"/>
        <v>0</v>
      </c>
      <c r="AE715" s="4">
        <f t="shared" si="361"/>
        <v>0</v>
      </c>
      <c r="AF715" s="4">
        <f t="shared" si="362"/>
        <v>0</v>
      </c>
      <c r="AG715" s="4">
        <f t="shared" si="363"/>
        <v>8.2940496401020276</v>
      </c>
      <c r="AH715" s="4">
        <f t="shared" si="364"/>
        <v>0</v>
      </c>
      <c r="AI715" s="4">
        <f t="shared" si="365"/>
        <v>0</v>
      </c>
      <c r="AJ715" s="4">
        <f t="shared" si="366"/>
        <v>8.2940496401020276</v>
      </c>
      <c r="AK715" s="4">
        <f t="shared" si="367"/>
        <v>5.1984970312658261</v>
      </c>
      <c r="AL715" s="4">
        <f t="shared" si="368"/>
        <v>0</v>
      </c>
      <c r="AM715" s="4">
        <f>CER!$C$7+CER!$C$8*J715+CER!$C$9*K715+CER!$C$10*L715+CER!$C$11*M715</f>
        <v>3.5850443974163264</v>
      </c>
      <c r="AN715" s="4">
        <f t="shared" si="369"/>
        <v>36.054958430325307</v>
      </c>
      <c r="AO715" s="4">
        <f t="shared" si="370"/>
        <v>2.7183013153964097E-3</v>
      </c>
      <c r="AP715" s="4">
        <f>Alternatives!$F$25+Alternatives!$F$26*J715+Alternatives!$F$27*K715+Alternatives!$F$28*G715+Alternatives!$F$29*O715</f>
        <v>3.5257023935167084</v>
      </c>
      <c r="AQ715" s="4">
        <f t="shared" si="371"/>
        <v>6.2060305215014377E-2</v>
      </c>
    </row>
    <row r="716" spans="1:43" x14ac:dyDescent="0.35">
      <c r="A716" s="2" t="s">
        <v>619</v>
      </c>
      <c r="B716" s="2" t="s">
        <v>620</v>
      </c>
      <c r="C716" s="2" t="s">
        <v>67</v>
      </c>
      <c r="D716" s="2">
        <v>16.385000000000002</v>
      </c>
      <c r="E716" s="2">
        <v>3500</v>
      </c>
      <c r="F716" s="2">
        <v>791</v>
      </c>
      <c r="G716" s="2">
        <v>49.8</v>
      </c>
      <c r="H716" s="2" t="s">
        <v>68</v>
      </c>
      <c r="I716" s="4">
        <f t="shared" si="341"/>
        <v>2.7963662821507782</v>
      </c>
      <c r="J716" s="4">
        <f t="shared" si="342"/>
        <v>8.1605182474775049</v>
      </c>
      <c r="K716" s="4">
        <f t="shared" si="343"/>
        <v>6.6732979677676543</v>
      </c>
      <c r="L716" s="2">
        <v>0</v>
      </c>
      <c r="M716" s="2">
        <v>0</v>
      </c>
      <c r="N716" s="4">
        <f t="shared" si="344"/>
        <v>49.8</v>
      </c>
      <c r="O716" s="4">
        <f t="shared" si="345"/>
        <v>0</v>
      </c>
      <c r="P716" s="4">
        <f t="shared" si="346"/>
        <v>0</v>
      </c>
      <c r="Q716" s="4">
        <f t="shared" si="347"/>
        <v>8.1605182474775049</v>
      </c>
      <c r="R716" s="4">
        <f t="shared" si="348"/>
        <v>6.6732979677676543</v>
      </c>
      <c r="S716" s="4">
        <f t="shared" si="349"/>
        <v>49.8</v>
      </c>
      <c r="T716" s="4">
        <f t="shared" si="350"/>
        <v>0</v>
      </c>
      <c r="U716" s="4">
        <f t="shared" si="351"/>
        <v>8.1605182474775049</v>
      </c>
      <c r="V716" s="4">
        <f t="shared" si="352"/>
        <v>6.6732979677676543</v>
      </c>
      <c r="W716" s="4">
        <f t="shared" si="353"/>
        <v>49.8</v>
      </c>
      <c r="X716" s="4">
        <f t="shared" si="354"/>
        <v>0</v>
      </c>
      <c r="Y716" s="4">
        <f t="shared" si="355"/>
        <v>8.1605182474775049</v>
      </c>
      <c r="Z716" s="4">
        <f t="shared" si="356"/>
        <v>6.6732979677676543</v>
      </c>
      <c r="AA716" s="4">
        <f t="shared" si="357"/>
        <v>49.8</v>
      </c>
      <c r="AB716" s="4">
        <f t="shared" si="358"/>
        <v>0</v>
      </c>
      <c r="AC716" s="4">
        <f t="shared" si="359"/>
        <v>0</v>
      </c>
      <c r="AD716" s="4">
        <f t="shared" si="360"/>
        <v>0</v>
      </c>
      <c r="AE716" s="4">
        <f t="shared" si="361"/>
        <v>0</v>
      </c>
      <c r="AF716" s="4">
        <f t="shared" si="362"/>
        <v>0</v>
      </c>
      <c r="AG716" s="4">
        <f t="shared" si="363"/>
        <v>8.1605182474775049</v>
      </c>
      <c r="AH716" s="4">
        <f t="shared" si="364"/>
        <v>0</v>
      </c>
      <c r="AI716" s="4">
        <f t="shared" si="365"/>
        <v>0</v>
      </c>
      <c r="AJ716" s="4">
        <f t="shared" si="366"/>
        <v>8.1605182474775049</v>
      </c>
      <c r="AK716" s="4">
        <f t="shared" si="367"/>
        <v>6.6732979677676543</v>
      </c>
      <c r="AL716" s="4">
        <f t="shared" si="368"/>
        <v>0</v>
      </c>
      <c r="AM716" s="4">
        <f>CER!$C$7+CER!$C$8*J716+CER!$C$9*K716+CER!$C$10*L716+CER!$C$11*M716</f>
        <v>3.1013767418856206</v>
      </c>
      <c r="AN716" s="4">
        <f t="shared" si="369"/>
        <v>22.228533177603996</v>
      </c>
      <c r="AO716" s="4">
        <f t="shared" si="370"/>
        <v>-0.30501045973484242</v>
      </c>
      <c r="AP716" s="4">
        <f>Alternatives!$F$25+Alternatives!$F$26*J716+Alternatives!$F$27*K716+Alternatives!$F$28*G716+Alternatives!$F$29*O716</f>
        <v>3.0409009295958729</v>
      </c>
      <c r="AQ716" s="4">
        <f t="shared" si="371"/>
        <v>-0.24453464744509468</v>
      </c>
    </row>
    <row r="717" spans="1:43" x14ac:dyDescent="0.35">
      <c r="A717" s="2" t="s">
        <v>621</v>
      </c>
      <c r="B717" s="2" t="s">
        <v>620</v>
      </c>
      <c r="C717" s="2" t="s">
        <v>67</v>
      </c>
      <c r="D717" s="2">
        <v>16.385000000000002</v>
      </c>
      <c r="E717" s="2">
        <v>3500</v>
      </c>
      <c r="F717" s="2">
        <v>791</v>
      </c>
      <c r="G717" s="2">
        <v>49.8</v>
      </c>
      <c r="H717" s="2" t="s">
        <v>68</v>
      </c>
      <c r="I717" s="4">
        <f t="shared" si="341"/>
        <v>2.7963662821507782</v>
      </c>
      <c r="J717" s="4">
        <f t="shared" si="342"/>
        <v>8.1605182474775049</v>
      </c>
      <c r="K717" s="4">
        <f t="shared" si="343"/>
        <v>6.6732979677676543</v>
      </c>
      <c r="L717" s="2">
        <v>0</v>
      </c>
      <c r="M717" s="2">
        <v>0</v>
      </c>
      <c r="N717" s="4">
        <f t="shared" si="344"/>
        <v>49.8</v>
      </c>
      <c r="O717" s="4">
        <f t="shared" si="345"/>
        <v>0</v>
      </c>
      <c r="P717" s="4">
        <f t="shared" si="346"/>
        <v>0</v>
      </c>
      <c r="Q717" s="4">
        <f t="shared" si="347"/>
        <v>8.1605182474775049</v>
      </c>
      <c r="R717" s="4">
        <f t="shared" si="348"/>
        <v>6.6732979677676543</v>
      </c>
      <c r="S717" s="4">
        <f t="shared" si="349"/>
        <v>49.8</v>
      </c>
      <c r="T717" s="4">
        <f t="shared" si="350"/>
        <v>0</v>
      </c>
      <c r="U717" s="4">
        <f t="shared" si="351"/>
        <v>8.1605182474775049</v>
      </c>
      <c r="V717" s="4">
        <f t="shared" si="352"/>
        <v>6.6732979677676543</v>
      </c>
      <c r="W717" s="4">
        <f t="shared" si="353"/>
        <v>49.8</v>
      </c>
      <c r="X717" s="4">
        <f t="shared" si="354"/>
        <v>0</v>
      </c>
      <c r="Y717" s="4">
        <f t="shared" si="355"/>
        <v>8.1605182474775049</v>
      </c>
      <c r="Z717" s="4">
        <f t="shared" si="356"/>
        <v>6.6732979677676543</v>
      </c>
      <c r="AA717" s="4">
        <f t="shared" si="357"/>
        <v>49.8</v>
      </c>
      <c r="AB717" s="4">
        <f t="shared" si="358"/>
        <v>0</v>
      </c>
      <c r="AC717" s="4">
        <f t="shared" si="359"/>
        <v>0</v>
      </c>
      <c r="AD717" s="4">
        <f t="shared" si="360"/>
        <v>0</v>
      </c>
      <c r="AE717" s="4">
        <f t="shared" si="361"/>
        <v>0</v>
      </c>
      <c r="AF717" s="4">
        <f t="shared" si="362"/>
        <v>0</v>
      </c>
      <c r="AG717" s="4">
        <f t="shared" si="363"/>
        <v>8.1605182474775049</v>
      </c>
      <c r="AH717" s="4">
        <f t="shared" si="364"/>
        <v>0</v>
      </c>
      <c r="AI717" s="4">
        <f t="shared" si="365"/>
        <v>0</v>
      </c>
      <c r="AJ717" s="4">
        <f t="shared" si="366"/>
        <v>8.1605182474775049</v>
      </c>
      <c r="AK717" s="4">
        <f t="shared" si="367"/>
        <v>6.6732979677676543</v>
      </c>
      <c r="AL717" s="4">
        <f t="shared" si="368"/>
        <v>0</v>
      </c>
      <c r="AM717" s="4">
        <f>CER!$C$7+CER!$C$8*J717+CER!$C$9*K717+CER!$C$10*L717+CER!$C$11*M717</f>
        <v>3.1013767418856206</v>
      </c>
      <c r="AN717" s="4">
        <f t="shared" si="369"/>
        <v>22.228533177603996</v>
      </c>
      <c r="AO717" s="4">
        <f t="shared" si="370"/>
        <v>-0.30501045973484242</v>
      </c>
      <c r="AP717" s="4">
        <f>Alternatives!$F$25+Alternatives!$F$26*J717+Alternatives!$F$27*K717+Alternatives!$F$28*G717+Alternatives!$F$29*O717</f>
        <v>3.0409009295958729</v>
      </c>
      <c r="AQ717" s="4">
        <f t="shared" si="371"/>
        <v>-0.24453464744509468</v>
      </c>
    </row>
    <row r="718" spans="1:43" x14ac:dyDescent="0.35">
      <c r="A718" s="2" t="s">
        <v>622</v>
      </c>
      <c r="B718" s="2" t="s">
        <v>620</v>
      </c>
      <c r="C718" s="2" t="s">
        <v>67</v>
      </c>
      <c r="D718" s="2">
        <v>17.100000000000001</v>
      </c>
      <c r="E718" s="2">
        <v>3500</v>
      </c>
      <c r="F718" s="2">
        <v>864</v>
      </c>
      <c r="G718" s="2">
        <v>51.4</v>
      </c>
      <c r="H718" s="2" t="s">
        <v>68</v>
      </c>
      <c r="I718" s="4">
        <f t="shared" si="341"/>
        <v>2.8390784635086144</v>
      </c>
      <c r="J718" s="4">
        <f t="shared" si="342"/>
        <v>8.1605182474775049</v>
      </c>
      <c r="K718" s="4">
        <f t="shared" si="343"/>
        <v>6.7615727688040552</v>
      </c>
      <c r="L718" s="2">
        <v>0</v>
      </c>
      <c r="M718" s="2">
        <v>0</v>
      </c>
      <c r="N718" s="4">
        <f t="shared" si="344"/>
        <v>51.4</v>
      </c>
      <c r="O718" s="4">
        <f t="shared" si="345"/>
        <v>0</v>
      </c>
      <c r="P718" s="4">
        <f t="shared" si="346"/>
        <v>0</v>
      </c>
      <c r="Q718" s="4">
        <f t="shared" si="347"/>
        <v>8.1605182474775049</v>
      </c>
      <c r="R718" s="4">
        <f t="shared" si="348"/>
        <v>6.7615727688040552</v>
      </c>
      <c r="S718" s="4">
        <f t="shared" si="349"/>
        <v>51.4</v>
      </c>
      <c r="T718" s="4">
        <f t="shared" si="350"/>
        <v>0</v>
      </c>
      <c r="U718" s="4">
        <f t="shared" si="351"/>
        <v>8.1605182474775049</v>
      </c>
      <c r="V718" s="4">
        <f t="shared" si="352"/>
        <v>6.7615727688040552</v>
      </c>
      <c r="W718" s="4">
        <f t="shared" si="353"/>
        <v>51.4</v>
      </c>
      <c r="X718" s="4">
        <f t="shared" si="354"/>
        <v>0</v>
      </c>
      <c r="Y718" s="4">
        <f t="shared" si="355"/>
        <v>8.1605182474775049</v>
      </c>
      <c r="Z718" s="4">
        <f t="shared" si="356"/>
        <v>6.7615727688040552</v>
      </c>
      <c r="AA718" s="4">
        <f t="shared" si="357"/>
        <v>51.4</v>
      </c>
      <c r="AB718" s="4">
        <f t="shared" si="358"/>
        <v>0</v>
      </c>
      <c r="AC718" s="4">
        <f t="shared" si="359"/>
        <v>0</v>
      </c>
      <c r="AD718" s="4">
        <f t="shared" si="360"/>
        <v>0</v>
      </c>
      <c r="AE718" s="4">
        <f t="shared" si="361"/>
        <v>0</v>
      </c>
      <c r="AF718" s="4">
        <f t="shared" si="362"/>
        <v>0</v>
      </c>
      <c r="AG718" s="4">
        <f t="shared" si="363"/>
        <v>8.1605182474775049</v>
      </c>
      <c r="AH718" s="4">
        <f t="shared" si="364"/>
        <v>0</v>
      </c>
      <c r="AI718" s="4">
        <f t="shared" si="365"/>
        <v>0</v>
      </c>
      <c r="AJ718" s="4">
        <f t="shared" si="366"/>
        <v>8.1605182474775049</v>
      </c>
      <c r="AK718" s="4">
        <f t="shared" si="367"/>
        <v>6.7615727688040552</v>
      </c>
      <c r="AL718" s="4">
        <f t="shared" si="368"/>
        <v>0</v>
      </c>
      <c r="AM718" s="4">
        <f>CER!$C$7+CER!$C$8*J718+CER!$C$9*K718+CER!$C$10*L718+CER!$C$11*M718</f>
        <v>3.0688083089503455</v>
      </c>
      <c r="AN718" s="4">
        <f t="shared" si="369"/>
        <v>21.51624667244263</v>
      </c>
      <c r="AO718" s="4">
        <f t="shared" si="370"/>
        <v>-0.22972984544173114</v>
      </c>
      <c r="AP718" s="4">
        <f>Alternatives!$F$25+Alternatives!$F$26*J718+Alternatives!$F$27*K718+Alternatives!$F$28*G718+Alternatives!$F$29*O718</f>
        <v>2.9965984218572723</v>
      </c>
      <c r="AQ718" s="4">
        <f t="shared" si="371"/>
        <v>-0.15751995834865795</v>
      </c>
    </row>
    <row r="719" spans="1:43" x14ac:dyDescent="0.35">
      <c r="A719" s="2" t="s">
        <v>623</v>
      </c>
      <c r="B719" s="2" t="s">
        <v>624</v>
      </c>
      <c r="C719" s="2" t="s">
        <v>67</v>
      </c>
      <c r="D719" s="2">
        <v>28.844200000000001</v>
      </c>
      <c r="E719" s="2">
        <v>4500</v>
      </c>
      <c r="F719" s="2">
        <v>261</v>
      </c>
      <c r="G719" s="2">
        <v>50</v>
      </c>
      <c r="H719" s="2" t="s">
        <v>68</v>
      </c>
      <c r="I719" s="4">
        <f t="shared" si="341"/>
        <v>3.3619089328815348</v>
      </c>
      <c r="J719" s="4">
        <f t="shared" si="342"/>
        <v>8.4118326757584114</v>
      </c>
      <c r="K719" s="4">
        <f t="shared" si="343"/>
        <v>5.5645204073226937</v>
      </c>
      <c r="L719" s="2">
        <v>0</v>
      </c>
      <c r="M719" s="2">
        <v>0</v>
      </c>
      <c r="N719" s="4">
        <f t="shared" si="344"/>
        <v>50</v>
      </c>
      <c r="O719" s="4">
        <f t="shared" si="345"/>
        <v>0</v>
      </c>
      <c r="P719" s="4">
        <f t="shared" si="346"/>
        <v>0</v>
      </c>
      <c r="Q719" s="4">
        <f t="shared" si="347"/>
        <v>8.4118326757584114</v>
      </c>
      <c r="R719" s="4">
        <f t="shared" si="348"/>
        <v>5.5645204073226937</v>
      </c>
      <c r="S719" s="4">
        <f t="shared" si="349"/>
        <v>50</v>
      </c>
      <c r="T719" s="4">
        <f t="shared" si="350"/>
        <v>0</v>
      </c>
      <c r="U719" s="4">
        <f t="shared" si="351"/>
        <v>8.4118326757584114</v>
      </c>
      <c r="V719" s="4">
        <f t="shared" si="352"/>
        <v>5.5645204073226937</v>
      </c>
      <c r="W719" s="4">
        <f t="shared" si="353"/>
        <v>50</v>
      </c>
      <c r="X719" s="4">
        <f t="shared" si="354"/>
        <v>0</v>
      </c>
      <c r="Y719" s="4">
        <f t="shared" si="355"/>
        <v>8.4118326757584114</v>
      </c>
      <c r="Z719" s="4">
        <f t="shared" si="356"/>
        <v>5.5645204073226937</v>
      </c>
      <c r="AA719" s="4">
        <f t="shared" si="357"/>
        <v>50</v>
      </c>
      <c r="AB719" s="4">
        <f t="shared" si="358"/>
        <v>0</v>
      </c>
      <c r="AC719" s="4">
        <f t="shared" si="359"/>
        <v>0</v>
      </c>
      <c r="AD719" s="4">
        <f t="shared" si="360"/>
        <v>0</v>
      </c>
      <c r="AE719" s="4">
        <f t="shared" si="361"/>
        <v>0</v>
      </c>
      <c r="AF719" s="4">
        <f t="shared" si="362"/>
        <v>0</v>
      </c>
      <c r="AG719" s="4">
        <f t="shared" si="363"/>
        <v>8.4118326757584114</v>
      </c>
      <c r="AH719" s="4">
        <f t="shared" si="364"/>
        <v>0</v>
      </c>
      <c r="AI719" s="4">
        <f t="shared" si="365"/>
        <v>0</v>
      </c>
      <c r="AJ719" s="4">
        <f t="shared" si="366"/>
        <v>8.4118326757584114</v>
      </c>
      <c r="AK719" s="4">
        <f t="shared" si="367"/>
        <v>5.5645204073226937</v>
      </c>
      <c r="AL719" s="4">
        <f t="shared" si="368"/>
        <v>0</v>
      </c>
      <c r="AM719" s="4">
        <f>CER!$C$7+CER!$C$8*J719+CER!$C$9*K719+CER!$C$10*L719+CER!$C$11*M719</f>
        <v>3.396680919312824</v>
      </c>
      <c r="AN719" s="4">
        <f t="shared" si="369"/>
        <v>29.864811645878248</v>
      </c>
      <c r="AO719" s="4">
        <f t="shared" si="370"/>
        <v>-3.4771986431289204E-2</v>
      </c>
      <c r="AP719" s="4">
        <f>Alternatives!$F$25+Alternatives!$F$26*J719+Alternatives!$F$27*K719+Alternatives!$F$28*G719+Alternatives!$F$29*O719</f>
        <v>3.4263641737159927</v>
      </c>
      <c r="AQ719" s="4">
        <f t="shared" si="371"/>
        <v>-6.4455240834457861E-2</v>
      </c>
    </row>
    <row r="720" spans="1:43" x14ac:dyDescent="0.35">
      <c r="A720" s="2" t="s">
        <v>625</v>
      </c>
      <c r="B720" s="2" t="s">
        <v>624</v>
      </c>
      <c r="C720" s="2" t="s">
        <v>67</v>
      </c>
      <c r="D720" s="2">
        <v>26.0365</v>
      </c>
      <c r="E720" s="2">
        <v>4500</v>
      </c>
      <c r="F720" s="2">
        <v>375</v>
      </c>
      <c r="G720" s="2">
        <v>49.9</v>
      </c>
      <c r="H720" s="2" t="s">
        <v>68</v>
      </c>
      <c r="I720" s="4">
        <f t="shared" si="341"/>
        <v>3.2594993997045725</v>
      </c>
      <c r="J720" s="4">
        <f t="shared" si="342"/>
        <v>8.4118326757584114</v>
      </c>
      <c r="K720" s="4">
        <f t="shared" si="343"/>
        <v>5.9269260259704106</v>
      </c>
      <c r="L720" s="2">
        <v>0</v>
      </c>
      <c r="M720" s="2">
        <v>0</v>
      </c>
      <c r="N720" s="4">
        <f t="shared" si="344"/>
        <v>49.9</v>
      </c>
      <c r="O720" s="4">
        <f t="shared" si="345"/>
        <v>0</v>
      </c>
      <c r="P720" s="4">
        <f t="shared" si="346"/>
        <v>0</v>
      </c>
      <c r="Q720" s="4">
        <f t="shared" si="347"/>
        <v>8.4118326757584114</v>
      </c>
      <c r="R720" s="4">
        <f t="shared" si="348"/>
        <v>5.9269260259704106</v>
      </c>
      <c r="S720" s="4">
        <f t="shared" si="349"/>
        <v>49.9</v>
      </c>
      <c r="T720" s="4">
        <f t="shared" si="350"/>
        <v>0</v>
      </c>
      <c r="U720" s="4">
        <f t="shared" si="351"/>
        <v>8.4118326757584114</v>
      </c>
      <c r="V720" s="4">
        <f t="shared" si="352"/>
        <v>5.9269260259704106</v>
      </c>
      <c r="W720" s="4">
        <f t="shared" si="353"/>
        <v>49.9</v>
      </c>
      <c r="X720" s="4">
        <f t="shared" si="354"/>
        <v>0</v>
      </c>
      <c r="Y720" s="4">
        <f t="shared" si="355"/>
        <v>8.4118326757584114</v>
      </c>
      <c r="Z720" s="4">
        <f t="shared" si="356"/>
        <v>5.9269260259704106</v>
      </c>
      <c r="AA720" s="4">
        <f t="shared" si="357"/>
        <v>49.9</v>
      </c>
      <c r="AB720" s="4">
        <f t="shared" si="358"/>
        <v>0</v>
      </c>
      <c r="AC720" s="4">
        <f t="shared" si="359"/>
        <v>0</v>
      </c>
      <c r="AD720" s="4">
        <f t="shared" si="360"/>
        <v>0</v>
      </c>
      <c r="AE720" s="4">
        <f t="shared" si="361"/>
        <v>0</v>
      </c>
      <c r="AF720" s="4">
        <f t="shared" si="362"/>
        <v>0</v>
      </c>
      <c r="AG720" s="4">
        <f t="shared" si="363"/>
        <v>8.4118326757584114</v>
      </c>
      <c r="AH720" s="4">
        <f t="shared" si="364"/>
        <v>0</v>
      </c>
      <c r="AI720" s="4">
        <f t="shared" si="365"/>
        <v>0</v>
      </c>
      <c r="AJ720" s="4">
        <f t="shared" si="366"/>
        <v>8.4118326757584114</v>
      </c>
      <c r="AK720" s="4">
        <f t="shared" si="367"/>
        <v>5.9269260259704106</v>
      </c>
      <c r="AL720" s="4">
        <f t="shared" si="368"/>
        <v>0</v>
      </c>
      <c r="AM720" s="4">
        <f>CER!$C$7+CER!$C$8*J720+CER!$C$9*K720+CER!$C$10*L720+CER!$C$11*M720</f>
        <v>3.2629736444425244</v>
      </c>
      <c r="AN720" s="4">
        <f t="shared" si="369"/>
        <v>26.127114490432071</v>
      </c>
      <c r="AO720" s="4">
        <f t="shared" si="370"/>
        <v>-3.4742447379518815E-3</v>
      </c>
      <c r="AP720" s="4">
        <f>Alternatives!$F$25+Alternatives!$F$26*J720+Alternatives!$F$27*K720+Alternatives!$F$28*G720+Alternatives!$F$29*O720</f>
        <v>3.331225157621561</v>
      </c>
      <c r="AQ720" s="4">
        <f t="shared" si="371"/>
        <v>-7.1725757916988542E-2</v>
      </c>
    </row>
    <row r="721" spans="1:43" x14ac:dyDescent="0.35">
      <c r="A721" s="2" t="s">
        <v>626</v>
      </c>
      <c r="B721" s="2" t="s">
        <v>624</v>
      </c>
      <c r="C721" s="2" t="s">
        <v>67</v>
      </c>
      <c r="D721" s="2">
        <v>27.974299999999999</v>
      </c>
      <c r="E721" s="2">
        <v>4500</v>
      </c>
      <c r="F721" s="2">
        <v>261</v>
      </c>
      <c r="G721" s="2">
        <v>50</v>
      </c>
      <c r="H721" s="2" t="s">
        <v>68</v>
      </c>
      <c r="I721" s="4">
        <f t="shared" si="341"/>
        <v>3.3312862315435487</v>
      </c>
      <c r="J721" s="4">
        <f t="shared" si="342"/>
        <v>8.4118326757584114</v>
      </c>
      <c r="K721" s="4">
        <f t="shared" si="343"/>
        <v>5.5645204073226937</v>
      </c>
      <c r="L721" s="2">
        <v>0</v>
      </c>
      <c r="M721" s="2">
        <v>0</v>
      </c>
      <c r="N721" s="4">
        <f t="shared" si="344"/>
        <v>50</v>
      </c>
      <c r="O721" s="4">
        <f t="shared" si="345"/>
        <v>0</v>
      </c>
      <c r="P721" s="4">
        <f t="shared" si="346"/>
        <v>0</v>
      </c>
      <c r="Q721" s="4">
        <f t="shared" si="347"/>
        <v>8.4118326757584114</v>
      </c>
      <c r="R721" s="4">
        <f t="shared" si="348"/>
        <v>5.5645204073226937</v>
      </c>
      <c r="S721" s="4">
        <f t="shared" si="349"/>
        <v>50</v>
      </c>
      <c r="T721" s="4">
        <f t="shared" si="350"/>
        <v>0</v>
      </c>
      <c r="U721" s="4">
        <f t="shared" si="351"/>
        <v>8.4118326757584114</v>
      </c>
      <c r="V721" s="4">
        <f t="shared" si="352"/>
        <v>5.5645204073226937</v>
      </c>
      <c r="W721" s="4">
        <f t="shared" si="353"/>
        <v>50</v>
      </c>
      <c r="X721" s="4">
        <f t="shared" si="354"/>
        <v>0</v>
      </c>
      <c r="Y721" s="4">
        <f t="shared" si="355"/>
        <v>8.4118326757584114</v>
      </c>
      <c r="Z721" s="4">
        <f t="shared" si="356"/>
        <v>5.5645204073226937</v>
      </c>
      <c r="AA721" s="4">
        <f t="shared" si="357"/>
        <v>50</v>
      </c>
      <c r="AB721" s="4">
        <f t="shared" si="358"/>
        <v>0</v>
      </c>
      <c r="AC721" s="4">
        <f t="shared" si="359"/>
        <v>0</v>
      </c>
      <c r="AD721" s="4">
        <f t="shared" si="360"/>
        <v>0</v>
      </c>
      <c r="AE721" s="4">
        <f t="shared" si="361"/>
        <v>0</v>
      </c>
      <c r="AF721" s="4">
        <f t="shared" si="362"/>
        <v>0</v>
      </c>
      <c r="AG721" s="4">
        <f t="shared" si="363"/>
        <v>8.4118326757584114</v>
      </c>
      <c r="AH721" s="4">
        <f t="shared" si="364"/>
        <v>0</v>
      </c>
      <c r="AI721" s="4">
        <f t="shared" si="365"/>
        <v>0</v>
      </c>
      <c r="AJ721" s="4">
        <f t="shared" si="366"/>
        <v>8.4118326757584114</v>
      </c>
      <c r="AK721" s="4">
        <f t="shared" si="367"/>
        <v>5.5645204073226937</v>
      </c>
      <c r="AL721" s="4">
        <f t="shared" si="368"/>
        <v>0</v>
      </c>
      <c r="AM721" s="4">
        <f>CER!$C$7+CER!$C$8*J721+CER!$C$9*K721+CER!$C$10*L721+CER!$C$11*M721</f>
        <v>3.396680919312824</v>
      </c>
      <c r="AN721" s="4">
        <f t="shared" si="369"/>
        <v>29.864811645878248</v>
      </c>
      <c r="AO721" s="4">
        <f t="shared" si="370"/>
        <v>-6.5394687769275262E-2</v>
      </c>
      <c r="AP721" s="4">
        <f>Alternatives!$F$25+Alternatives!$F$26*J721+Alternatives!$F$27*K721+Alternatives!$F$28*G721+Alternatives!$F$29*O721</f>
        <v>3.4263641737159927</v>
      </c>
      <c r="AQ721" s="4">
        <f t="shared" si="371"/>
        <v>-9.5077942172443919E-2</v>
      </c>
    </row>
    <row r="722" spans="1:43" x14ac:dyDescent="0.35">
      <c r="A722" s="2" t="s">
        <v>627</v>
      </c>
      <c r="B722" s="2" t="s">
        <v>624</v>
      </c>
      <c r="C722" s="2" t="s">
        <v>67</v>
      </c>
      <c r="D722" s="2">
        <v>25.540700000000001</v>
      </c>
      <c r="E722" s="2">
        <v>4500</v>
      </c>
      <c r="F722" s="2">
        <v>434</v>
      </c>
      <c r="G722" s="2">
        <v>50</v>
      </c>
      <c r="H722" s="2" t="s">
        <v>68</v>
      </c>
      <c r="I722" s="4">
        <f t="shared" si="341"/>
        <v>3.2402732582162721</v>
      </c>
      <c r="J722" s="4">
        <f t="shared" si="342"/>
        <v>8.4118326757584114</v>
      </c>
      <c r="K722" s="4">
        <f t="shared" si="343"/>
        <v>6.0730445341004051</v>
      </c>
      <c r="L722" s="2">
        <v>0</v>
      </c>
      <c r="M722" s="2">
        <v>0</v>
      </c>
      <c r="N722" s="4">
        <f t="shared" si="344"/>
        <v>50</v>
      </c>
      <c r="O722" s="4">
        <f t="shared" si="345"/>
        <v>0</v>
      </c>
      <c r="P722" s="4">
        <f t="shared" si="346"/>
        <v>0</v>
      </c>
      <c r="Q722" s="4">
        <f t="shared" si="347"/>
        <v>8.4118326757584114</v>
      </c>
      <c r="R722" s="4">
        <f t="shared" si="348"/>
        <v>6.0730445341004051</v>
      </c>
      <c r="S722" s="4">
        <f t="shared" si="349"/>
        <v>50</v>
      </c>
      <c r="T722" s="4">
        <f t="shared" si="350"/>
        <v>0</v>
      </c>
      <c r="U722" s="4">
        <f t="shared" si="351"/>
        <v>8.4118326757584114</v>
      </c>
      <c r="V722" s="4">
        <f t="shared" si="352"/>
        <v>6.0730445341004051</v>
      </c>
      <c r="W722" s="4">
        <f t="shared" si="353"/>
        <v>50</v>
      </c>
      <c r="X722" s="4">
        <f t="shared" si="354"/>
        <v>0</v>
      </c>
      <c r="Y722" s="4">
        <f t="shared" si="355"/>
        <v>8.4118326757584114</v>
      </c>
      <c r="Z722" s="4">
        <f t="shared" si="356"/>
        <v>6.0730445341004051</v>
      </c>
      <c r="AA722" s="4">
        <f t="shared" si="357"/>
        <v>50</v>
      </c>
      <c r="AB722" s="4">
        <f t="shared" si="358"/>
        <v>0</v>
      </c>
      <c r="AC722" s="4">
        <f t="shared" si="359"/>
        <v>0</v>
      </c>
      <c r="AD722" s="4">
        <f t="shared" si="360"/>
        <v>0</v>
      </c>
      <c r="AE722" s="4">
        <f t="shared" si="361"/>
        <v>0</v>
      </c>
      <c r="AF722" s="4">
        <f t="shared" si="362"/>
        <v>0</v>
      </c>
      <c r="AG722" s="4">
        <f t="shared" si="363"/>
        <v>8.4118326757584114</v>
      </c>
      <c r="AH722" s="4">
        <f t="shared" si="364"/>
        <v>0</v>
      </c>
      <c r="AI722" s="4">
        <f t="shared" si="365"/>
        <v>0</v>
      </c>
      <c r="AJ722" s="4">
        <f t="shared" si="366"/>
        <v>8.4118326757584114</v>
      </c>
      <c r="AK722" s="4">
        <f t="shared" si="367"/>
        <v>6.0730445341004051</v>
      </c>
      <c r="AL722" s="4">
        <f t="shared" si="368"/>
        <v>0</v>
      </c>
      <c r="AM722" s="4">
        <f>CER!$C$7+CER!$C$8*J722+CER!$C$9*K722+CER!$C$10*L722+CER!$C$11*M722</f>
        <v>3.2090641393882811</v>
      </c>
      <c r="AN722" s="4">
        <f t="shared" si="369"/>
        <v>24.75590730160798</v>
      </c>
      <c r="AO722" s="4">
        <f t="shared" si="370"/>
        <v>3.1209118827991045E-2</v>
      </c>
      <c r="AP722" s="4">
        <f>Alternatives!$F$25+Alternatives!$F$26*J722+Alternatives!$F$27*K722+Alternatives!$F$28*G722+Alternatives!$F$29*O722</f>
        <v>3.2910408346578461</v>
      </c>
      <c r="AQ722" s="4">
        <f t="shared" si="371"/>
        <v>-5.0767576441574036E-2</v>
      </c>
    </row>
    <row r="723" spans="1:43" x14ac:dyDescent="0.35">
      <c r="A723" s="2" t="s">
        <v>628</v>
      </c>
      <c r="B723" s="2" t="s">
        <v>624</v>
      </c>
      <c r="C723" s="2" t="s">
        <v>67</v>
      </c>
      <c r="D723" s="2">
        <v>25.888200000000001</v>
      </c>
      <c r="E723" s="2">
        <v>5000</v>
      </c>
      <c r="F723" s="2">
        <v>348</v>
      </c>
      <c r="G723" s="2">
        <v>52.2</v>
      </c>
      <c r="H723" s="2" t="s">
        <v>68</v>
      </c>
      <c r="I723" s="4">
        <f t="shared" si="341"/>
        <v>3.2537872664333838</v>
      </c>
      <c r="J723" s="4">
        <f t="shared" si="342"/>
        <v>8.5171931914162382</v>
      </c>
      <c r="K723" s="4">
        <f t="shared" si="343"/>
        <v>5.8522024797744745</v>
      </c>
      <c r="L723" s="2">
        <v>0</v>
      </c>
      <c r="M723" s="2">
        <v>0</v>
      </c>
      <c r="N723" s="4">
        <f t="shared" si="344"/>
        <v>52.2</v>
      </c>
      <c r="O723" s="4">
        <f t="shared" si="345"/>
        <v>0</v>
      </c>
      <c r="P723" s="4">
        <f t="shared" si="346"/>
        <v>0</v>
      </c>
      <c r="Q723" s="4">
        <f t="shared" si="347"/>
        <v>8.5171931914162382</v>
      </c>
      <c r="R723" s="4">
        <f t="shared" si="348"/>
        <v>5.8522024797744745</v>
      </c>
      <c r="S723" s="4">
        <f t="shared" si="349"/>
        <v>52.2</v>
      </c>
      <c r="T723" s="4">
        <f t="shared" si="350"/>
        <v>0</v>
      </c>
      <c r="U723" s="4">
        <f t="shared" si="351"/>
        <v>8.5171931914162382</v>
      </c>
      <c r="V723" s="4">
        <f t="shared" si="352"/>
        <v>5.8522024797744745</v>
      </c>
      <c r="W723" s="4">
        <f t="shared" si="353"/>
        <v>52.2</v>
      </c>
      <c r="X723" s="4">
        <f t="shared" si="354"/>
        <v>0</v>
      </c>
      <c r="Y723" s="4">
        <f t="shared" si="355"/>
        <v>8.5171931914162382</v>
      </c>
      <c r="Z723" s="4">
        <f t="shared" si="356"/>
        <v>5.8522024797744745</v>
      </c>
      <c r="AA723" s="4">
        <f t="shared" si="357"/>
        <v>52.2</v>
      </c>
      <c r="AB723" s="4">
        <f t="shared" si="358"/>
        <v>0</v>
      </c>
      <c r="AC723" s="4">
        <f t="shared" si="359"/>
        <v>0</v>
      </c>
      <c r="AD723" s="4">
        <f t="shared" si="360"/>
        <v>0</v>
      </c>
      <c r="AE723" s="4">
        <f t="shared" si="361"/>
        <v>0</v>
      </c>
      <c r="AF723" s="4">
        <f t="shared" si="362"/>
        <v>0</v>
      </c>
      <c r="AG723" s="4">
        <f t="shared" si="363"/>
        <v>8.5171931914162382</v>
      </c>
      <c r="AH723" s="4">
        <f t="shared" si="364"/>
        <v>0</v>
      </c>
      <c r="AI723" s="4">
        <f t="shared" si="365"/>
        <v>0</v>
      </c>
      <c r="AJ723" s="4">
        <f t="shared" si="366"/>
        <v>8.5171931914162382</v>
      </c>
      <c r="AK723" s="4">
        <f t="shared" si="367"/>
        <v>5.8522024797744745</v>
      </c>
      <c r="AL723" s="4">
        <f t="shared" si="368"/>
        <v>0</v>
      </c>
      <c r="AM723" s="4">
        <f>CER!$C$7+CER!$C$8*J723+CER!$C$9*K723+CER!$C$10*L723+CER!$C$11*M723</f>
        <v>3.24284476080267</v>
      </c>
      <c r="AN723" s="4">
        <f t="shared" si="369"/>
        <v>25.606462494081672</v>
      </c>
      <c r="AO723" s="4">
        <f t="shared" si="370"/>
        <v>1.094250563071375E-2</v>
      </c>
      <c r="AP723" s="4">
        <f>Alternatives!$F$25+Alternatives!$F$26*J723+Alternatives!$F$27*K723+Alternatives!$F$28*G723+Alternatives!$F$29*O723</f>
        <v>3.3601854641444699</v>
      </c>
      <c r="AQ723" s="4">
        <f t="shared" si="371"/>
        <v>-0.10639819771108616</v>
      </c>
    </row>
    <row r="724" spans="1:43" x14ac:dyDescent="0.35">
      <c r="A724" s="2" t="s">
        <v>629</v>
      </c>
      <c r="B724" s="2" t="s">
        <v>624</v>
      </c>
      <c r="C724" s="2" t="s">
        <v>67</v>
      </c>
      <c r="D724" s="2">
        <v>26.3934</v>
      </c>
      <c r="E724" s="2">
        <v>5000</v>
      </c>
      <c r="F724" s="2">
        <v>348</v>
      </c>
      <c r="G724" s="2">
        <v>52.1</v>
      </c>
      <c r="H724" s="2" t="s">
        <v>68</v>
      </c>
      <c r="I724" s="4">
        <f t="shared" si="341"/>
        <v>3.2731139788970611</v>
      </c>
      <c r="J724" s="4">
        <f t="shared" si="342"/>
        <v>8.5171931914162382</v>
      </c>
      <c r="K724" s="4">
        <f t="shared" si="343"/>
        <v>5.8522024797744745</v>
      </c>
      <c r="L724" s="2">
        <v>0</v>
      </c>
      <c r="M724" s="2">
        <v>0</v>
      </c>
      <c r="N724" s="4">
        <f t="shared" si="344"/>
        <v>52.1</v>
      </c>
      <c r="O724" s="4">
        <f t="shared" si="345"/>
        <v>0</v>
      </c>
      <c r="P724" s="4">
        <f t="shared" si="346"/>
        <v>0</v>
      </c>
      <c r="Q724" s="4">
        <f t="shared" si="347"/>
        <v>8.5171931914162382</v>
      </c>
      <c r="R724" s="4">
        <f t="shared" si="348"/>
        <v>5.8522024797744745</v>
      </c>
      <c r="S724" s="4">
        <f t="shared" si="349"/>
        <v>52.1</v>
      </c>
      <c r="T724" s="4">
        <f t="shared" si="350"/>
        <v>0</v>
      </c>
      <c r="U724" s="4">
        <f t="shared" si="351"/>
        <v>8.5171931914162382</v>
      </c>
      <c r="V724" s="4">
        <f t="shared" si="352"/>
        <v>5.8522024797744745</v>
      </c>
      <c r="W724" s="4">
        <f t="shared" si="353"/>
        <v>52.1</v>
      </c>
      <c r="X724" s="4">
        <f t="shared" si="354"/>
        <v>0</v>
      </c>
      <c r="Y724" s="4">
        <f t="shared" si="355"/>
        <v>8.5171931914162382</v>
      </c>
      <c r="Z724" s="4">
        <f t="shared" si="356"/>
        <v>5.8522024797744745</v>
      </c>
      <c r="AA724" s="4">
        <f t="shared" si="357"/>
        <v>52.1</v>
      </c>
      <c r="AB724" s="4">
        <f t="shared" si="358"/>
        <v>0</v>
      </c>
      <c r="AC724" s="4">
        <f t="shared" si="359"/>
        <v>0</v>
      </c>
      <c r="AD724" s="4">
        <f t="shared" si="360"/>
        <v>0</v>
      </c>
      <c r="AE724" s="4">
        <f t="shared" si="361"/>
        <v>0</v>
      </c>
      <c r="AF724" s="4">
        <f t="shared" si="362"/>
        <v>0</v>
      </c>
      <c r="AG724" s="4">
        <f t="shared" si="363"/>
        <v>8.5171931914162382</v>
      </c>
      <c r="AH724" s="4">
        <f t="shared" si="364"/>
        <v>0</v>
      </c>
      <c r="AI724" s="4">
        <f t="shared" si="365"/>
        <v>0</v>
      </c>
      <c r="AJ724" s="4">
        <f t="shared" si="366"/>
        <v>8.5171931914162382</v>
      </c>
      <c r="AK724" s="4">
        <f t="shared" si="367"/>
        <v>5.8522024797744745</v>
      </c>
      <c r="AL724" s="4">
        <f t="shared" si="368"/>
        <v>0</v>
      </c>
      <c r="AM724" s="4">
        <f>CER!$C$7+CER!$C$8*J724+CER!$C$9*K724+CER!$C$10*L724+CER!$C$11*M724</f>
        <v>3.24284476080267</v>
      </c>
      <c r="AN724" s="4">
        <f t="shared" si="369"/>
        <v>25.606462494081672</v>
      </c>
      <c r="AO724" s="4">
        <f t="shared" si="370"/>
        <v>3.0269218094391093E-2</v>
      </c>
      <c r="AP724" s="4">
        <f>Alternatives!$F$25+Alternatives!$F$26*J724+Alternatives!$F$27*K724+Alternatives!$F$28*G724+Alternatives!$F$29*O724</f>
        <v>3.3614861955986926</v>
      </c>
      <c r="AQ724" s="4">
        <f t="shared" si="371"/>
        <v>-8.8372216701631423E-2</v>
      </c>
    </row>
    <row r="725" spans="1:43" x14ac:dyDescent="0.35">
      <c r="A725" s="2" t="s">
        <v>630</v>
      </c>
      <c r="B725" s="2" t="s">
        <v>624</v>
      </c>
      <c r="C725" s="2" t="s">
        <v>33</v>
      </c>
      <c r="D725" s="2">
        <v>29.1126</v>
      </c>
      <c r="E725" s="2">
        <v>6000</v>
      </c>
      <c r="F725" s="2">
        <v>300</v>
      </c>
      <c r="G725" s="2">
        <v>52.2</v>
      </c>
      <c r="H725" s="2" t="s">
        <v>68</v>
      </c>
      <c r="I725" s="4">
        <f t="shared" si="341"/>
        <v>3.3711710701551825</v>
      </c>
      <c r="J725" s="4">
        <f t="shared" si="342"/>
        <v>8.6995147482101913</v>
      </c>
      <c r="K725" s="4">
        <f t="shared" si="343"/>
        <v>5.7037824746562009</v>
      </c>
      <c r="L725" s="2">
        <v>1</v>
      </c>
      <c r="M725" s="2">
        <v>0</v>
      </c>
      <c r="N725" s="4">
        <f t="shared" si="344"/>
        <v>52.2</v>
      </c>
      <c r="O725" s="4">
        <f t="shared" si="345"/>
        <v>1</v>
      </c>
      <c r="P725" s="4">
        <f t="shared" si="346"/>
        <v>1</v>
      </c>
      <c r="Q725" s="4">
        <f t="shared" si="347"/>
        <v>8.6995147482101913</v>
      </c>
      <c r="R725" s="4">
        <f t="shared" si="348"/>
        <v>5.7037824746562009</v>
      </c>
      <c r="S725" s="4">
        <f t="shared" si="349"/>
        <v>52.2</v>
      </c>
      <c r="T725" s="4">
        <f t="shared" si="350"/>
        <v>1</v>
      </c>
      <c r="U725" s="4">
        <f t="shared" si="351"/>
        <v>8.6995147482101913</v>
      </c>
      <c r="V725" s="4">
        <f t="shared" si="352"/>
        <v>5.7037824746562009</v>
      </c>
      <c r="W725" s="4">
        <f t="shared" si="353"/>
        <v>52.2</v>
      </c>
      <c r="X725" s="4">
        <f t="shared" si="354"/>
        <v>1</v>
      </c>
      <c r="Y725" s="4">
        <f t="shared" si="355"/>
        <v>8.6995147482101913</v>
      </c>
      <c r="Z725" s="4">
        <f t="shared" si="356"/>
        <v>5.7037824746562009</v>
      </c>
      <c r="AA725" s="4">
        <f t="shared" si="357"/>
        <v>52.2</v>
      </c>
      <c r="AB725" s="4">
        <f t="shared" si="358"/>
        <v>1</v>
      </c>
      <c r="AC725" s="4">
        <f t="shared" si="359"/>
        <v>0</v>
      </c>
      <c r="AD725" s="4">
        <f t="shared" si="360"/>
        <v>0</v>
      </c>
      <c r="AE725" s="4">
        <f t="shared" si="361"/>
        <v>0</v>
      </c>
      <c r="AF725" s="4">
        <f t="shared" si="362"/>
        <v>0</v>
      </c>
      <c r="AG725" s="4">
        <f t="shared" si="363"/>
        <v>8.6995147482101913</v>
      </c>
      <c r="AH725" s="4">
        <f t="shared" si="364"/>
        <v>1</v>
      </c>
      <c r="AI725" s="4">
        <f t="shared" si="365"/>
        <v>0</v>
      </c>
      <c r="AJ725" s="4">
        <f t="shared" si="366"/>
        <v>8.6995147482101913</v>
      </c>
      <c r="AK725" s="4">
        <f t="shared" si="367"/>
        <v>5.7037824746562009</v>
      </c>
      <c r="AL725" s="4">
        <f t="shared" si="368"/>
        <v>0</v>
      </c>
      <c r="AM725" s="4">
        <f>CER!$C$7+CER!$C$8*J725+CER!$C$9*K725+CER!$C$10*L725+CER!$C$11*M725</f>
        <v>3.4388183272075414</v>
      </c>
      <c r="AN725" s="4">
        <f t="shared" si="369"/>
        <v>31.150127153752088</v>
      </c>
      <c r="AO725" s="4">
        <f t="shared" si="370"/>
        <v>-6.7647257052358967E-2</v>
      </c>
      <c r="AP725" s="4">
        <f>Alternatives!$F$25+Alternatives!$F$26*J725+Alternatives!$F$27*K725+Alternatives!$F$28*G725+Alternatives!$F$29*O725</f>
        <v>4.3118960875258932</v>
      </c>
      <c r="AQ725" s="4">
        <f t="shared" si="371"/>
        <v>-0.94072501737071068</v>
      </c>
    </row>
    <row r="726" spans="1:43" x14ac:dyDescent="0.35">
      <c r="A726" s="2" t="s">
        <v>631</v>
      </c>
      <c r="B726" s="2" t="s">
        <v>624</v>
      </c>
      <c r="C726" s="2" t="s">
        <v>67</v>
      </c>
      <c r="D726" s="2">
        <v>22.831600000000002</v>
      </c>
      <c r="E726" s="2">
        <v>5500</v>
      </c>
      <c r="F726" s="2">
        <v>468</v>
      </c>
      <c r="G726" s="2">
        <v>52.2</v>
      </c>
      <c r="H726" s="2" t="s">
        <v>68</v>
      </c>
      <c r="I726" s="4">
        <f t="shared" si="341"/>
        <v>3.1281455413098183</v>
      </c>
      <c r="J726" s="4">
        <f t="shared" si="342"/>
        <v>8.6125033712205621</v>
      </c>
      <c r="K726" s="4">
        <f t="shared" si="343"/>
        <v>6.1484682959176471</v>
      </c>
      <c r="L726" s="2">
        <v>0</v>
      </c>
      <c r="M726" s="2">
        <v>0</v>
      </c>
      <c r="N726" s="4">
        <f t="shared" si="344"/>
        <v>52.2</v>
      </c>
      <c r="O726" s="4">
        <f t="shared" si="345"/>
        <v>0</v>
      </c>
      <c r="P726" s="4">
        <f t="shared" si="346"/>
        <v>0</v>
      </c>
      <c r="Q726" s="4">
        <f t="shared" si="347"/>
        <v>8.6125033712205621</v>
      </c>
      <c r="R726" s="4">
        <f t="shared" si="348"/>
        <v>6.1484682959176471</v>
      </c>
      <c r="S726" s="4">
        <f t="shared" si="349"/>
        <v>52.2</v>
      </c>
      <c r="T726" s="4">
        <f t="shared" si="350"/>
        <v>0</v>
      </c>
      <c r="U726" s="4">
        <f t="shared" si="351"/>
        <v>8.6125033712205621</v>
      </c>
      <c r="V726" s="4">
        <f t="shared" si="352"/>
        <v>6.1484682959176471</v>
      </c>
      <c r="W726" s="4">
        <f t="shared" si="353"/>
        <v>52.2</v>
      </c>
      <c r="X726" s="4">
        <f t="shared" si="354"/>
        <v>0</v>
      </c>
      <c r="Y726" s="4">
        <f t="shared" si="355"/>
        <v>8.6125033712205621</v>
      </c>
      <c r="Z726" s="4">
        <f t="shared" si="356"/>
        <v>6.1484682959176471</v>
      </c>
      <c r="AA726" s="4">
        <f t="shared" si="357"/>
        <v>52.2</v>
      </c>
      <c r="AB726" s="4">
        <f t="shared" si="358"/>
        <v>0</v>
      </c>
      <c r="AC726" s="4">
        <f t="shared" si="359"/>
        <v>0</v>
      </c>
      <c r="AD726" s="4">
        <f t="shared" si="360"/>
        <v>0</v>
      </c>
      <c r="AE726" s="4">
        <f t="shared" si="361"/>
        <v>0</v>
      </c>
      <c r="AF726" s="4">
        <f t="shared" si="362"/>
        <v>0</v>
      </c>
      <c r="AG726" s="4">
        <f t="shared" si="363"/>
        <v>8.6125033712205621</v>
      </c>
      <c r="AH726" s="4">
        <f t="shared" si="364"/>
        <v>0</v>
      </c>
      <c r="AI726" s="4">
        <f t="shared" si="365"/>
        <v>0</v>
      </c>
      <c r="AJ726" s="4">
        <f t="shared" si="366"/>
        <v>8.6125033712205621</v>
      </c>
      <c r="AK726" s="4">
        <f t="shared" si="367"/>
        <v>6.1484682959176471</v>
      </c>
      <c r="AL726" s="4">
        <f t="shared" si="368"/>
        <v>0</v>
      </c>
      <c r="AM726" s="4">
        <f>CER!$C$7+CER!$C$8*J726+CER!$C$9*K726+CER!$C$10*L726+CER!$C$11*M726</f>
        <v>3.0903915627123073</v>
      </c>
      <c r="AN726" s="4">
        <f t="shared" si="369"/>
        <v>21.985685065021837</v>
      </c>
      <c r="AO726" s="4">
        <f t="shared" si="370"/>
        <v>3.7753978597510951E-2</v>
      </c>
      <c r="AP726" s="4">
        <f>Alternatives!$F$25+Alternatives!$F$26*J726+Alternatives!$F$27*K726+Alternatives!$F$28*G726+Alternatives!$F$29*O726</f>
        <v>3.3166191384330697</v>
      </c>
      <c r="AQ726" s="4">
        <f t="shared" si="371"/>
        <v>-0.1884735971232514</v>
      </c>
    </row>
    <row r="727" spans="1:43" x14ac:dyDescent="0.35">
      <c r="A727" s="2" t="s">
        <v>632</v>
      </c>
      <c r="B727" s="2" t="s">
        <v>624</v>
      </c>
      <c r="C727" s="2" t="s">
        <v>67</v>
      </c>
      <c r="D727" s="2">
        <v>22.805800000000001</v>
      </c>
      <c r="E727" s="2">
        <v>5500</v>
      </c>
      <c r="F727" s="2">
        <v>468</v>
      </c>
      <c r="G727" s="2">
        <v>52.2</v>
      </c>
      <c r="H727" s="2" t="s">
        <v>68</v>
      </c>
      <c r="I727" s="4">
        <f t="shared" si="341"/>
        <v>3.1270148895746841</v>
      </c>
      <c r="J727" s="4">
        <f t="shared" si="342"/>
        <v>8.6125033712205621</v>
      </c>
      <c r="K727" s="4">
        <f t="shared" si="343"/>
        <v>6.1484682959176471</v>
      </c>
      <c r="L727" s="2">
        <v>0</v>
      </c>
      <c r="M727" s="2">
        <v>0</v>
      </c>
      <c r="N727" s="4">
        <f t="shared" si="344"/>
        <v>52.2</v>
      </c>
      <c r="O727" s="4">
        <f t="shared" si="345"/>
        <v>0</v>
      </c>
      <c r="P727" s="4">
        <f t="shared" si="346"/>
        <v>0</v>
      </c>
      <c r="Q727" s="4">
        <f t="shared" si="347"/>
        <v>8.6125033712205621</v>
      </c>
      <c r="R727" s="4">
        <f t="shared" si="348"/>
        <v>6.1484682959176471</v>
      </c>
      <c r="S727" s="4">
        <f t="shared" si="349"/>
        <v>52.2</v>
      </c>
      <c r="T727" s="4">
        <f t="shared" si="350"/>
        <v>0</v>
      </c>
      <c r="U727" s="4">
        <f t="shared" si="351"/>
        <v>8.6125033712205621</v>
      </c>
      <c r="V727" s="4">
        <f t="shared" si="352"/>
        <v>6.1484682959176471</v>
      </c>
      <c r="W727" s="4">
        <f t="shared" si="353"/>
        <v>52.2</v>
      </c>
      <c r="X727" s="4">
        <f t="shared" si="354"/>
        <v>0</v>
      </c>
      <c r="Y727" s="4">
        <f t="shared" si="355"/>
        <v>8.6125033712205621</v>
      </c>
      <c r="Z727" s="4">
        <f t="shared" si="356"/>
        <v>6.1484682959176471</v>
      </c>
      <c r="AA727" s="4">
        <f t="shared" si="357"/>
        <v>52.2</v>
      </c>
      <c r="AB727" s="4">
        <f t="shared" si="358"/>
        <v>0</v>
      </c>
      <c r="AC727" s="4">
        <f t="shared" si="359"/>
        <v>0</v>
      </c>
      <c r="AD727" s="4">
        <f t="shared" si="360"/>
        <v>0</v>
      </c>
      <c r="AE727" s="4">
        <f t="shared" si="361"/>
        <v>0</v>
      </c>
      <c r="AF727" s="4">
        <f t="shared" si="362"/>
        <v>0</v>
      </c>
      <c r="AG727" s="4">
        <f t="shared" si="363"/>
        <v>8.6125033712205621</v>
      </c>
      <c r="AH727" s="4">
        <f t="shared" si="364"/>
        <v>0</v>
      </c>
      <c r="AI727" s="4">
        <f t="shared" si="365"/>
        <v>0</v>
      </c>
      <c r="AJ727" s="4">
        <f t="shared" si="366"/>
        <v>8.6125033712205621</v>
      </c>
      <c r="AK727" s="4">
        <f t="shared" si="367"/>
        <v>6.1484682959176471</v>
      </c>
      <c r="AL727" s="4">
        <f t="shared" si="368"/>
        <v>0</v>
      </c>
      <c r="AM727" s="4">
        <f>CER!$C$7+CER!$C$8*J727+CER!$C$9*K727+CER!$C$10*L727+CER!$C$11*M727</f>
        <v>3.0903915627123073</v>
      </c>
      <c r="AN727" s="4">
        <f t="shared" si="369"/>
        <v>21.985685065021837</v>
      </c>
      <c r="AO727" s="4">
        <f t="shared" si="370"/>
        <v>3.6623326862376793E-2</v>
      </c>
      <c r="AP727" s="4">
        <f>Alternatives!$F$25+Alternatives!$F$26*J727+Alternatives!$F$27*K727+Alternatives!$F$28*G727+Alternatives!$F$29*O727</f>
        <v>3.3166191384330697</v>
      </c>
      <c r="AQ727" s="4">
        <f t="shared" si="371"/>
        <v>-0.18960424885838556</v>
      </c>
    </row>
    <row r="728" spans="1:43" x14ac:dyDescent="0.35">
      <c r="A728" s="2" t="s">
        <v>633</v>
      </c>
      <c r="B728" s="2" t="s">
        <v>624</v>
      </c>
      <c r="C728" s="2" t="s">
        <v>33</v>
      </c>
      <c r="D728" s="2">
        <v>29.1126</v>
      </c>
      <c r="E728" s="2">
        <v>6000</v>
      </c>
      <c r="F728" s="2">
        <v>300</v>
      </c>
      <c r="G728" s="2">
        <v>52.1</v>
      </c>
      <c r="H728" s="2" t="s">
        <v>68</v>
      </c>
      <c r="I728" s="4">
        <f t="shared" si="341"/>
        <v>3.3711710701551825</v>
      </c>
      <c r="J728" s="4">
        <f t="shared" si="342"/>
        <v>8.6995147482101913</v>
      </c>
      <c r="K728" s="4">
        <f t="shared" si="343"/>
        <v>5.7037824746562009</v>
      </c>
      <c r="L728" s="2">
        <v>1</v>
      </c>
      <c r="M728" s="2">
        <v>0</v>
      </c>
      <c r="N728" s="4">
        <f t="shared" si="344"/>
        <v>52.1</v>
      </c>
      <c r="O728" s="4">
        <f t="shared" si="345"/>
        <v>1</v>
      </c>
      <c r="P728" s="4">
        <f t="shared" si="346"/>
        <v>1</v>
      </c>
      <c r="Q728" s="4">
        <f t="shared" si="347"/>
        <v>8.6995147482101913</v>
      </c>
      <c r="R728" s="4">
        <f t="shared" si="348"/>
        <v>5.7037824746562009</v>
      </c>
      <c r="S728" s="4">
        <f t="shared" si="349"/>
        <v>52.1</v>
      </c>
      <c r="T728" s="4">
        <f t="shared" si="350"/>
        <v>1</v>
      </c>
      <c r="U728" s="4">
        <f t="shared" si="351"/>
        <v>8.6995147482101913</v>
      </c>
      <c r="V728" s="4">
        <f t="shared" si="352"/>
        <v>5.7037824746562009</v>
      </c>
      <c r="W728" s="4">
        <f t="shared" si="353"/>
        <v>52.1</v>
      </c>
      <c r="X728" s="4">
        <f t="shared" si="354"/>
        <v>1</v>
      </c>
      <c r="Y728" s="4">
        <f t="shared" si="355"/>
        <v>8.6995147482101913</v>
      </c>
      <c r="Z728" s="4">
        <f t="shared" si="356"/>
        <v>5.7037824746562009</v>
      </c>
      <c r="AA728" s="4">
        <f t="shared" si="357"/>
        <v>52.1</v>
      </c>
      <c r="AB728" s="4">
        <f t="shared" si="358"/>
        <v>1</v>
      </c>
      <c r="AC728" s="4">
        <f t="shared" si="359"/>
        <v>0</v>
      </c>
      <c r="AD728" s="4">
        <f t="shared" si="360"/>
        <v>0</v>
      </c>
      <c r="AE728" s="4">
        <f t="shared" si="361"/>
        <v>0</v>
      </c>
      <c r="AF728" s="4">
        <f t="shared" si="362"/>
        <v>0</v>
      </c>
      <c r="AG728" s="4">
        <f t="shared" si="363"/>
        <v>8.6995147482101913</v>
      </c>
      <c r="AH728" s="4">
        <f t="shared" si="364"/>
        <v>1</v>
      </c>
      <c r="AI728" s="4">
        <f t="shared" si="365"/>
        <v>0</v>
      </c>
      <c r="AJ728" s="4">
        <f t="shared" si="366"/>
        <v>8.6995147482101913</v>
      </c>
      <c r="AK728" s="4">
        <f t="shared" si="367"/>
        <v>5.7037824746562009</v>
      </c>
      <c r="AL728" s="4">
        <f t="shared" si="368"/>
        <v>0</v>
      </c>
      <c r="AM728" s="4">
        <f>CER!$C$7+CER!$C$8*J728+CER!$C$9*K728+CER!$C$10*L728+CER!$C$11*M728</f>
        <v>3.4388183272075414</v>
      </c>
      <c r="AN728" s="4">
        <f t="shared" si="369"/>
        <v>31.150127153752088</v>
      </c>
      <c r="AO728" s="4">
        <f t="shared" si="370"/>
        <v>-6.7647257052358967E-2</v>
      </c>
      <c r="AP728" s="4">
        <f>Alternatives!$F$25+Alternatives!$F$26*J728+Alternatives!$F$27*K728+Alternatives!$F$28*G728+Alternatives!$F$29*O728</f>
        <v>4.3131968189801162</v>
      </c>
      <c r="AQ728" s="4">
        <f t="shared" si="371"/>
        <v>-0.94202574882493373</v>
      </c>
    </row>
    <row r="729" spans="1:43" x14ac:dyDescent="0.35">
      <c r="A729" s="2" t="s">
        <v>634</v>
      </c>
      <c r="B729" s="2" t="s">
        <v>624</v>
      </c>
      <c r="C729" s="2" t="s">
        <v>33</v>
      </c>
      <c r="D729" s="2">
        <v>28.637699999999999</v>
      </c>
      <c r="E729" s="2">
        <v>6000</v>
      </c>
      <c r="F729" s="2">
        <v>348</v>
      </c>
      <c r="G729" s="2">
        <v>52.2</v>
      </c>
      <c r="H729" s="2" t="s">
        <v>68</v>
      </c>
      <c r="I729" s="4">
        <f t="shared" si="341"/>
        <v>3.3547240316050742</v>
      </c>
      <c r="J729" s="4">
        <f t="shared" si="342"/>
        <v>8.6995147482101913</v>
      </c>
      <c r="K729" s="4">
        <f t="shared" si="343"/>
        <v>5.8522024797744745</v>
      </c>
      <c r="L729" s="2">
        <v>1</v>
      </c>
      <c r="M729" s="2">
        <v>0</v>
      </c>
      <c r="N729" s="4">
        <f t="shared" si="344"/>
        <v>52.2</v>
      </c>
      <c r="O729" s="4">
        <f t="shared" si="345"/>
        <v>1</v>
      </c>
      <c r="P729" s="4">
        <f t="shared" si="346"/>
        <v>1</v>
      </c>
      <c r="Q729" s="4">
        <f t="shared" si="347"/>
        <v>8.6995147482101913</v>
      </c>
      <c r="R729" s="4">
        <f t="shared" si="348"/>
        <v>5.8522024797744745</v>
      </c>
      <c r="S729" s="4">
        <f t="shared" si="349"/>
        <v>52.2</v>
      </c>
      <c r="T729" s="4">
        <f t="shared" si="350"/>
        <v>1</v>
      </c>
      <c r="U729" s="4">
        <f t="shared" si="351"/>
        <v>8.6995147482101913</v>
      </c>
      <c r="V729" s="4">
        <f t="shared" si="352"/>
        <v>5.8522024797744745</v>
      </c>
      <c r="W729" s="4">
        <f t="shared" si="353"/>
        <v>52.2</v>
      </c>
      <c r="X729" s="4">
        <f t="shared" si="354"/>
        <v>1</v>
      </c>
      <c r="Y729" s="4">
        <f t="shared" si="355"/>
        <v>8.6995147482101913</v>
      </c>
      <c r="Z729" s="4">
        <f t="shared" si="356"/>
        <v>5.8522024797744745</v>
      </c>
      <c r="AA729" s="4">
        <f t="shared" si="357"/>
        <v>52.2</v>
      </c>
      <c r="AB729" s="4">
        <f t="shared" si="358"/>
        <v>1</v>
      </c>
      <c r="AC729" s="4">
        <f t="shared" si="359"/>
        <v>0</v>
      </c>
      <c r="AD729" s="4">
        <f t="shared" si="360"/>
        <v>0</v>
      </c>
      <c r="AE729" s="4">
        <f t="shared" si="361"/>
        <v>0</v>
      </c>
      <c r="AF729" s="4">
        <f t="shared" si="362"/>
        <v>0</v>
      </c>
      <c r="AG729" s="4">
        <f t="shared" si="363"/>
        <v>8.6995147482101913</v>
      </c>
      <c r="AH729" s="4">
        <f t="shared" si="364"/>
        <v>1</v>
      </c>
      <c r="AI729" s="4">
        <f t="shared" si="365"/>
        <v>0</v>
      </c>
      <c r="AJ729" s="4">
        <f t="shared" si="366"/>
        <v>8.6995147482101913</v>
      </c>
      <c r="AK729" s="4">
        <f t="shared" si="367"/>
        <v>5.8522024797744745</v>
      </c>
      <c r="AL729" s="4">
        <f t="shared" si="368"/>
        <v>0</v>
      </c>
      <c r="AM729" s="4">
        <f>CER!$C$7+CER!$C$8*J729+CER!$C$9*K729+CER!$C$10*L729+CER!$C$11*M729</f>
        <v>3.3840596993069876</v>
      </c>
      <c r="AN729" s="4">
        <f t="shared" si="369"/>
        <v>29.490249972448822</v>
      </c>
      <c r="AO729" s="4">
        <f t="shared" si="370"/>
        <v>-2.9335667701913426E-2</v>
      </c>
      <c r="AP729" s="4">
        <f>Alternatives!$F$25+Alternatives!$F$26*J729+Alternatives!$F$27*K729+Alternatives!$F$28*G729+Alternatives!$F$29*O729</f>
        <v>4.2724000447267052</v>
      </c>
      <c r="AQ729" s="4">
        <f t="shared" si="371"/>
        <v>-0.91767601312163105</v>
      </c>
    </row>
    <row r="730" spans="1:43" x14ac:dyDescent="0.35">
      <c r="A730" s="2" t="s">
        <v>635</v>
      </c>
      <c r="B730" s="2" t="s">
        <v>624</v>
      </c>
      <c r="C730" s="2" t="s">
        <v>33</v>
      </c>
      <c r="D730" s="2">
        <v>28.637699999999999</v>
      </c>
      <c r="E730" s="2">
        <v>6000</v>
      </c>
      <c r="F730" s="2">
        <v>348</v>
      </c>
      <c r="G730" s="2">
        <v>52.1</v>
      </c>
      <c r="H730" s="2" t="s">
        <v>68</v>
      </c>
      <c r="I730" s="4">
        <f t="shared" si="341"/>
        <v>3.3547240316050742</v>
      </c>
      <c r="J730" s="4">
        <f t="shared" si="342"/>
        <v>8.6995147482101913</v>
      </c>
      <c r="K730" s="4">
        <f t="shared" si="343"/>
        <v>5.8522024797744745</v>
      </c>
      <c r="L730" s="2">
        <v>1</v>
      </c>
      <c r="M730" s="2">
        <v>0</v>
      </c>
      <c r="N730" s="4">
        <f t="shared" si="344"/>
        <v>52.1</v>
      </c>
      <c r="O730" s="4">
        <f t="shared" si="345"/>
        <v>1</v>
      </c>
      <c r="P730" s="4">
        <f t="shared" si="346"/>
        <v>1</v>
      </c>
      <c r="Q730" s="4">
        <f t="shared" si="347"/>
        <v>8.6995147482101913</v>
      </c>
      <c r="R730" s="4">
        <f t="shared" si="348"/>
        <v>5.8522024797744745</v>
      </c>
      <c r="S730" s="4">
        <f t="shared" si="349"/>
        <v>52.1</v>
      </c>
      <c r="T730" s="4">
        <f t="shared" si="350"/>
        <v>1</v>
      </c>
      <c r="U730" s="4">
        <f t="shared" si="351"/>
        <v>8.6995147482101913</v>
      </c>
      <c r="V730" s="4">
        <f t="shared" si="352"/>
        <v>5.8522024797744745</v>
      </c>
      <c r="W730" s="4">
        <f t="shared" si="353"/>
        <v>52.1</v>
      </c>
      <c r="X730" s="4">
        <f t="shared" si="354"/>
        <v>1</v>
      </c>
      <c r="Y730" s="4">
        <f t="shared" si="355"/>
        <v>8.6995147482101913</v>
      </c>
      <c r="Z730" s="4">
        <f t="shared" si="356"/>
        <v>5.8522024797744745</v>
      </c>
      <c r="AA730" s="4">
        <f t="shared" si="357"/>
        <v>52.1</v>
      </c>
      <c r="AB730" s="4">
        <f t="shared" si="358"/>
        <v>1</v>
      </c>
      <c r="AC730" s="4">
        <f t="shared" si="359"/>
        <v>0</v>
      </c>
      <c r="AD730" s="4">
        <f t="shared" si="360"/>
        <v>0</v>
      </c>
      <c r="AE730" s="4">
        <f t="shared" si="361"/>
        <v>0</v>
      </c>
      <c r="AF730" s="4">
        <f t="shared" si="362"/>
        <v>0</v>
      </c>
      <c r="AG730" s="4">
        <f t="shared" si="363"/>
        <v>8.6995147482101913</v>
      </c>
      <c r="AH730" s="4">
        <f t="shared" si="364"/>
        <v>1</v>
      </c>
      <c r="AI730" s="4">
        <f t="shared" si="365"/>
        <v>0</v>
      </c>
      <c r="AJ730" s="4">
        <f t="shared" si="366"/>
        <v>8.6995147482101913</v>
      </c>
      <c r="AK730" s="4">
        <f t="shared" si="367"/>
        <v>5.8522024797744745</v>
      </c>
      <c r="AL730" s="4">
        <f t="shared" si="368"/>
        <v>0</v>
      </c>
      <c r="AM730" s="4">
        <f>CER!$C$7+CER!$C$8*J730+CER!$C$9*K730+CER!$C$10*L730+CER!$C$11*M730</f>
        <v>3.3840596993069876</v>
      </c>
      <c r="AN730" s="4">
        <f t="shared" si="369"/>
        <v>29.490249972448822</v>
      </c>
      <c r="AO730" s="4">
        <f t="shared" si="370"/>
        <v>-2.9335667701913426E-2</v>
      </c>
      <c r="AP730" s="4">
        <f>Alternatives!$F$25+Alternatives!$F$26*J730+Alternatives!$F$27*K730+Alternatives!$F$28*G730+Alternatives!$F$29*O730</f>
        <v>4.2737007761809283</v>
      </c>
      <c r="AQ730" s="4">
        <f t="shared" si="371"/>
        <v>-0.9189767445758541</v>
      </c>
    </row>
    <row r="731" spans="1:43" x14ac:dyDescent="0.35">
      <c r="A731" s="2" t="s">
        <v>636</v>
      </c>
      <c r="B731" s="2" t="s">
        <v>624</v>
      </c>
      <c r="C731" s="2" t="s">
        <v>67</v>
      </c>
      <c r="D731" s="2">
        <v>22.335100000000001</v>
      </c>
      <c r="E731" s="2">
        <v>5500</v>
      </c>
      <c r="F731" s="2">
        <v>650</v>
      </c>
      <c r="G731" s="2">
        <v>52.4</v>
      </c>
      <c r="H731" s="2" t="s">
        <v>68</v>
      </c>
      <c r="I731" s="4">
        <f t="shared" si="341"/>
        <v>3.1061594320718742</v>
      </c>
      <c r="J731" s="4">
        <f t="shared" si="342"/>
        <v>8.6125033712205621</v>
      </c>
      <c r="K731" s="4">
        <f t="shared" si="343"/>
        <v>6.4769723628896827</v>
      </c>
      <c r="L731" s="2">
        <v>0</v>
      </c>
      <c r="M731" s="2">
        <v>0</v>
      </c>
      <c r="N731" s="4">
        <f t="shared" si="344"/>
        <v>52.4</v>
      </c>
      <c r="O731" s="4">
        <f t="shared" si="345"/>
        <v>0</v>
      </c>
      <c r="P731" s="4">
        <f t="shared" si="346"/>
        <v>0</v>
      </c>
      <c r="Q731" s="4">
        <f t="shared" si="347"/>
        <v>8.6125033712205621</v>
      </c>
      <c r="R731" s="4">
        <f t="shared" si="348"/>
        <v>6.4769723628896827</v>
      </c>
      <c r="S731" s="4">
        <f t="shared" si="349"/>
        <v>52.4</v>
      </c>
      <c r="T731" s="4">
        <f t="shared" si="350"/>
        <v>0</v>
      </c>
      <c r="U731" s="4">
        <f t="shared" si="351"/>
        <v>8.6125033712205621</v>
      </c>
      <c r="V731" s="4">
        <f t="shared" si="352"/>
        <v>6.4769723628896827</v>
      </c>
      <c r="W731" s="4">
        <f t="shared" si="353"/>
        <v>52.4</v>
      </c>
      <c r="X731" s="4">
        <f t="shared" si="354"/>
        <v>0</v>
      </c>
      <c r="Y731" s="4">
        <f t="shared" si="355"/>
        <v>8.6125033712205621</v>
      </c>
      <c r="Z731" s="4">
        <f t="shared" si="356"/>
        <v>6.4769723628896827</v>
      </c>
      <c r="AA731" s="4">
        <f t="shared" si="357"/>
        <v>52.4</v>
      </c>
      <c r="AB731" s="4">
        <f t="shared" si="358"/>
        <v>0</v>
      </c>
      <c r="AC731" s="4">
        <f t="shared" si="359"/>
        <v>0</v>
      </c>
      <c r="AD731" s="4">
        <f t="shared" si="360"/>
        <v>0</v>
      </c>
      <c r="AE731" s="4">
        <f t="shared" si="361"/>
        <v>0</v>
      </c>
      <c r="AF731" s="4">
        <f t="shared" si="362"/>
        <v>0</v>
      </c>
      <c r="AG731" s="4">
        <f t="shared" si="363"/>
        <v>8.6125033712205621</v>
      </c>
      <c r="AH731" s="4">
        <f t="shared" si="364"/>
        <v>0</v>
      </c>
      <c r="AI731" s="4">
        <f t="shared" si="365"/>
        <v>0</v>
      </c>
      <c r="AJ731" s="4">
        <f t="shared" si="366"/>
        <v>8.6125033712205621</v>
      </c>
      <c r="AK731" s="4">
        <f t="shared" si="367"/>
        <v>6.4769723628896827</v>
      </c>
      <c r="AL731" s="4">
        <f t="shared" si="368"/>
        <v>0</v>
      </c>
      <c r="AM731" s="4">
        <f>CER!$C$7+CER!$C$8*J731+CER!$C$9*K731+CER!$C$10*L731+CER!$C$11*M731</f>
        <v>2.9691920522231015</v>
      </c>
      <c r="AN731" s="4">
        <f t="shared" si="369"/>
        <v>19.476177503176825</v>
      </c>
      <c r="AO731" s="4">
        <f t="shared" si="370"/>
        <v>0.13696737984877272</v>
      </c>
      <c r="AP731" s="4">
        <f>Alternatives!$F$25+Alternatives!$F$26*J731+Alternatives!$F$27*K731+Alternatives!$F$28*G731+Alternatives!$F$29*O731</f>
        <v>3.2265994688044755</v>
      </c>
      <c r="AQ731" s="4">
        <f t="shared" si="371"/>
        <v>-0.12044003673260129</v>
      </c>
    </row>
    <row r="732" spans="1:43" x14ac:dyDescent="0.35">
      <c r="A732" s="2" t="s">
        <v>637</v>
      </c>
      <c r="B732" s="2" t="s">
        <v>624</v>
      </c>
      <c r="C732" s="2" t="s">
        <v>33</v>
      </c>
      <c r="D732" s="2">
        <v>24.785799999999998</v>
      </c>
      <c r="E732" s="2">
        <v>6500</v>
      </c>
      <c r="F732" s="2">
        <v>591</v>
      </c>
      <c r="G732" s="2">
        <v>52.2</v>
      </c>
      <c r="H732" s="2" t="s">
        <v>68</v>
      </c>
      <c r="I732" s="4">
        <f t="shared" si="341"/>
        <v>3.2102709085388774</v>
      </c>
      <c r="J732" s="4">
        <f t="shared" si="342"/>
        <v>8.7795574558837277</v>
      </c>
      <c r="K732" s="4">
        <f t="shared" si="343"/>
        <v>6.3818160174060985</v>
      </c>
      <c r="L732" s="2">
        <v>1</v>
      </c>
      <c r="M732" s="2">
        <v>0</v>
      </c>
      <c r="N732" s="4">
        <f t="shared" si="344"/>
        <v>52.2</v>
      </c>
      <c r="O732" s="4">
        <f t="shared" si="345"/>
        <v>1</v>
      </c>
      <c r="P732" s="4">
        <f t="shared" si="346"/>
        <v>1</v>
      </c>
      <c r="Q732" s="4">
        <f t="shared" si="347"/>
        <v>8.7795574558837277</v>
      </c>
      <c r="R732" s="4">
        <f t="shared" si="348"/>
        <v>6.3818160174060985</v>
      </c>
      <c r="S732" s="4">
        <f t="shared" si="349"/>
        <v>52.2</v>
      </c>
      <c r="T732" s="4">
        <f t="shared" si="350"/>
        <v>1</v>
      </c>
      <c r="U732" s="4">
        <f t="shared" si="351"/>
        <v>8.7795574558837277</v>
      </c>
      <c r="V732" s="4">
        <f t="shared" si="352"/>
        <v>6.3818160174060985</v>
      </c>
      <c r="W732" s="4">
        <f t="shared" si="353"/>
        <v>52.2</v>
      </c>
      <c r="X732" s="4">
        <f t="shared" si="354"/>
        <v>1</v>
      </c>
      <c r="Y732" s="4">
        <f t="shared" si="355"/>
        <v>8.7795574558837277</v>
      </c>
      <c r="Z732" s="4">
        <f t="shared" si="356"/>
        <v>6.3818160174060985</v>
      </c>
      <c r="AA732" s="4">
        <f t="shared" si="357"/>
        <v>52.2</v>
      </c>
      <c r="AB732" s="4">
        <f t="shared" si="358"/>
        <v>1</v>
      </c>
      <c r="AC732" s="4">
        <f t="shared" si="359"/>
        <v>0</v>
      </c>
      <c r="AD732" s="4">
        <f t="shared" si="360"/>
        <v>0</v>
      </c>
      <c r="AE732" s="4">
        <f t="shared" si="361"/>
        <v>0</v>
      </c>
      <c r="AF732" s="4">
        <f t="shared" si="362"/>
        <v>0</v>
      </c>
      <c r="AG732" s="4">
        <f t="shared" si="363"/>
        <v>8.7795574558837277</v>
      </c>
      <c r="AH732" s="4">
        <f t="shared" si="364"/>
        <v>1</v>
      </c>
      <c r="AI732" s="4">
        <f t="shared" si="365"/>
        <v>0</v>
      </c>
      <c r="AJ732" s="4">
        <f t="shared" si="366"/>
        <v>8.7795574558837277</v>
      </c>
      <c r="AK732" s="4">
        <f t="shared" si="367"/>
        <v>6.3818160174060985</v>
      </c>
      <c r="AL732" s="4">
        <f t="shared" si="368"/>
        <v>0</v>
      </c>
      <c r="AM732" s="4">
        <f>CER!$C$7+CER!$C$8*J732+CER!$C$9*K732+CER!$C$10*L732+CER!$C$11*M732</f>
        <v>3.1524260500954138</v>
      </c>
      <c r="AN732" s="4">
        <f t="shared" si="369"/>
        <v>23.392747772975834</v>
      </c>
      <c r="AO732" s="4">
        <f t="shared" si="370"/>
        <v>5.7844858443463654E-2</v>
      </c>
      <c r="AP732" s="4">
        <f>Alternatives!$F$25+Alternatives!$F$26*J732+Alternatives!$F$27*K732+Alternatives!$F$28*G732+Alternatives!$F$29*O732</f>
        <v>4.1610872869816529</v>
      </c>
      <c r="AQ732" s="4">
        <f t="shared" si="371"/>
        <v>-0.95081637844277545</v>
      </c>
    </row>
    <row r="733" spans="1:43" x14ac:dyDescent="0.35">
      <c r="A733" s="2" t="s">
        <v>638</v>
      </c>
      <c r="B733" s="2" t="s">
        <v>624</v>
      </c>
      <c r="C733" s="2" t="s">
        <v>33</v>
      </c>
      <c r="D733" s="2">
        <v>24.3477</v>
      </c>
      <c r="E733" s="2">
        <v>6500</v>
      </c>
      <c r="F733" s="2">
        <v>591</v>
      </c>
      <c r="G733" s="2">
        <v>52.4</v>
      </c>
      <c r="H733" s="2" t="s">
        <v>68</v>
      </c>
      <c r="I733" s="4">
        <f t="shared" si="341"/>
        <v>3.1924373892152076</v>
      </c>
      <c r="J733" s="4">
        <f t="shared" si="342"/>
        <v>8.7795574558837277</v>
      </c>
      <c r="K733" s="4">
        <f t="shared" si="343"/>
        <v>6.3818160174060985</v>
      </c>
      <c r="L733" s="2">
        <v>1</v>
      </c>
      <c r="M733" s="2">
        <v>0</v>
      </c>
      <c r="N733" s="4">
        <f t="shared" si="344"/>
        <v>52.4</v>
      </c>
      <c r="O733" s="4">
        <f t="shared" si="345"/>
        <v>1</v>
      </c>
      <c r="P733" s="4">
        <f t="shared" si="346"/>
        <v>1</v>
      </c>
      <c r="Q733" s="4">
        <f t="shared" si="347"/>
        <v>8.7795574558837277</v>
      </c>
      <c r="R733" s="4">
        <f t="shared" si="348"/>
        <v>6.3818160174060985</v>
      </c>
      <c r="S733" s="4">
        <f t="shared" si="349"/>
        <v>52.4</v>
      </c>
      <c r="T733" s="4">
        <f t="shared" si="350"/>
        <v>1</v>
      </c>
      <c r="U733" s="4">
        <f t="shared" si="351"/>
        <v>8.7795574558837277</v>
      </c>
      <c r="V733" s="4">
        <f t="shared" si="352"/>
        <v>6.3818160174060985</v>
      </c>
      <c r="W733" s="4">
        <f t="shared" si="353"/>
        <v>52.4</v>
      </c>
      <c r="X733" s="4">
        <f t="shared" si="354"/>
        <v>1</v>
      </c>
      <c r="Y733" s="4">
        <f t="shared" si="355"/>
        <v>8.7795574558837277</v>
      </c>
      <c r="Z733" s="4">
        <f t="shared" si="356"/>
        <v>6.3818160174060985</v>
      </c>
      <c r="AA733" s="4">
        <f t="shared" si="357"/>
        <v>52.4</v>
      </c>
      <c r="AB733" s="4">
        <f t="shared" si="358"/>
        <v>1</v>
      </c>
      <c r="AC733" s="4">
        <f t="shared" si="359"/>
        <v>0</v>
      </c>
      <c r="AD733" s="4">
        <f t="shared" si="360"/>
        <v>0</v>
      </c>
      <c r="AE733" s="4">
        <f t="shared" si="361"/>
        <v>0</v>
      </c>
      <c r="AF733" s="4">
        <f t="shared" si="362"/>
        <v>0</v>
      </c>
      <c r="AG733" s="4">
        <f t="shared" si="363"/>
        <v>8.7795574558837277</v>
      </c>
      <c r="AH733" s="4">
        <f t="shared" si="364"/>
        <v>1</v>
      </c>
      <c r="AI733" s="4">
        <f t="shared" si="365"/>
        <v>0</v>
      </c>
      <c r="AJ733" s="4">
        <f t="shared" si="366"/>
        <v>8.7795574558837277</v>
      </c>
      <c r="AK733" s="4">
        <f t="shared" si="367"/>
        <v>6.3818160174060985</v>
      </c>
      <c r="AL733" s="4">
        <f t="shared" si="368"/>
        <v>0</v>
      </c>
      <c r="AM733" s="4">
        <f>CER!$C$7+CER!$C$8*J733+CER!$C$9*K733+CER!$C$10*L733+CER!$C$11*M733</f>
        <v>3.1524260500954138</v>
      </c>
      <c r="AN733" s="4">
        <f t="shared" si="369"/>
        <v>23.392747772975834</v>
      </c>
      <c r="AO733" s="4">
        <f t="shared" si="370"/>
        <v>4.0011339119793821E-2</v>
      </c>
      <c r="AP733" s="4">
        <f>Alternatives!$F$25+Alternatives!$F$26*J733+Alternatives!$F$27*K733+Alternatives!$F$28*G733+Alternatives!$F$29*O733</f>
        <v>4.1584858240732068</v>
      </c>
      <c r="AQ733" s="4">
        <f t="shared" si="371"/>
        <v>-0.96604843485799918</v>
      </c>
    </row>
    <row r="734" spans="1:43" x14ac:dyDescent="0.35">
      <c r="A734" s="2" t="s">
        <v>639</v>
      </c>
      <c r="B734" s="2" t="s">
        <v>624</v>
      </c>
      <c r="C734" s="2" t="s">
        <v>67</v>
      </c>
      <c r="D734" s="2">
        <v>27.9072</v>
      </c>
      <c r="E734" s="2">
        <v>4000</v>
      </c>
      <c r="F734" s="2">
        <v>379</v>
      </c>
      <c r="G734" s="2">
        <v>41.5</v>
      </c>
      <c r="H734" s="2" t="s">
        <v>68</v>
      </c>
      <c r="I734" s="4">
        <f t="shared" si="341"/>
        <v>3.3288847200505294</v>
      </c>
      <c r="J734" s="4">
        <f t="shared" si="342"/>
        <v>8.2940496401020276</v>
      </c>
      <c r="K734" s="4">
        <f t="shared" si="343"/>
        <v>5.9375362050824263</v>
      </c>
      <c r="L734" s="2">
        <v>0</v>
      </c>
      <c r="M734" s="2">
        <v>0</v>
      </c>
      <c r="N734" s="4">
        <f t="shared" si="344"/>
        <v>41.5</v>
      </c>
      <c r="O734" s="4">
        <f t="shared" si="345"/>
        <v>0</v>
      </c>
      <c r="P734" s="4">
        <f t="shared" si="346"/>
        <v>0</v>
      </c>
      <c r="Q734" s="4">
        <f t="shared" si="347"/>
        <v>8.2940496401020276</v>
      </c>
      <c r="R734" s="4">
        <f t="shared" si="348"/>
        <v>5.9375362050824263</v>
      </c>
      <c r="S734" s="4">
        <f t="shared" si="349"/>
        <v>41.5</v>
      </c>
      <c r="T734" s="4">
        <f t="shared" si="350"/>
        <v>0</v>
      </c>
      <c r="U734" s="4">
        <f t="shared" si="351"/>
        <v>8.2940496401020276</v>
      </c>
      <c r="V734" s="4">
        <f t="shared" si="352"/>
        <v>5.9375362050824263</v>
      </c>
      <c r="W734" s="4">
        <f t="shared" si="353"/>
        <v>41.5</v>
      </c>
      <c r="X734" s="4">
        <f t="shared" si="354"/>
        <v>0</v>
      </c>
      <c r="Y734" s="4">
        <f t="shared" si="355"/>
        <v>8.2940496401020276</v>
      </c>
      <c r="Z734" s="4">
        <f t="shared" si="356"/>
        <v>5.9375362050824263</v>
      </c>
      <c r="AA734" s="4">
        <f t="shared" si="357"/>
        <v>41.5</v>
      </c>
      <c r="AB734" s="4">
        <f t="shared" si="358"/>
        <v>0</v>
      </c>
      <c r="AC734" s="4">
        <f t="shared" si="359"/>
        <v>0</v>
      </c>
      <c r="AD734" s="4">
        <f t="shared" si="360"/>
        <v>0</v>
      </c>
      <c r="AE734" s="4">
        <f t="shared" si="361"/>
        <v>0</v>
      </c>
      <c r="AF734" s="4">
        <f t="shared" si="362"/>
        <v>0</v>
      </c>
      <c r="AG734" s="4">
        <f t="shared" si="363"/>
        <v>8.2940496401020276</v>
      </c>
      <c r="AH734" s="4">
        <f t="shared" si="364"/>
        <v>0</v>
      </c>
      <c r="AI734" s="4">
        <f t="shared" si="365"/>
        <v>0</v>
      </c>
      <c r="AJ734" s="4">
        <f t="shared" si="366"/>
        <v>8.2940496401020276</v>
      </c>
      <c r="AK734" s="4">
        <f t="shared" si="367"/>
        <v>5.9375362050824263</v>
      </c>
      <c r="AL734" s="4">
        <f t="shared" si="368"/>
        <v>0</v>
      </c>
      <c r="AM734" s="4">
        <f>CER!$C$7+CER!$C$8*J734+CER!$C$9*K734+CER!$C$10*L734+CER!$C$11*M734</f>
        <v>3.3123805399349391</v>
      </c>
      <c r="AN734" s="4">
        <f t="shared" si="369"/>
        <v>27.45039451366948</v>
      </c>
      <c r="AO734" s="4">
        <f t="shared" si="370"/>
        <v>1.6504180115590295E-2</v>
      </c>
      <c r="AP734" s="4">
        <f>Alternatives!$F$25+Alternatives!$F$26*J734+Alternatives!$F$27*K734+Alternatives!$F$28*G734+Alternatives!$F$29*O734</f>
        <v>3.3940732753994713</v>
      </c>
      <c r="AQ734" s="4">
        <f t="shared" si="371"/>
        <v>-6.5188555348941968E-2</v>
      </c>
    </row>
    <row r="735" spans="1:43" x14ac:dyDescent="0.35">
      <c r="A735" s="2" t="s">
        <v>640</v>
      </c>
      <c r="B735" s="2" t="s">
        <v>624</v>
      </c>
      <c r="C735" s="2" t="s">
        <v>67</v>
      </c>
      <c r="D735" s="2">
        <v>27.821400000000001</v>
      </c>
      <c r="E735" s="2">
        <v>4000</v>
      </c>
      <c r="F735" s="2">
        <v>379</v>
      </c>
      <c r="G735" s="2">
        <v>41.5</v>
      </c>
      <c r="H735" s="2" t="s">
        <v>68</v>
      </c>
      <c r="I735" s="4">
        <f t="shared" si="341"/>
        <v>3.3258055087373792</v>
      </c>
      <c r="J735" s="4">
        <f t="shared" si="342"/>
        <v>8.2940496401020276</v>
      </c>
      <c r="K735" s="4">
        <f t="shared" si="343"/>
        <v>5.9375362050824263</v>
      </c>
      <c r="L735" s="2">
        <v>0</v>
      </c>
      <c r="M735" s="2">
        <v>0</v>
      </c>
      <c r="N735" s="4">
        <f t="shared" si="344"/>
        <v>41.5</v>
      </c>
      <c r="O735" s="4">
        <f t="shared" si="345"/>
        <v>0</v>
      </c>
      <c r="P735" s="4">
        <f t="shared" si="346"/>
        <v>0</v>
      </c>
      <c r="Q735" s="4">
        <f t="shared" si="347"/>
        <v>8.2940496401020276</v>
      </c>
      <c r="R735" s="4">
        <f t="shared" si="348"/>
        <v>5.9375362050824263</v>
      </c>
      <c r="S735" s="4">
        <f t="shared" si="349"/>
        <v>41.5</v>
      </c>
      <c r="T735" s="4">
        <f t="shared" si="350"/>
        <v>0</v>
      </c>
      <c r="U735" s="4">
        <f t="shared" si="351"/>
        <v>8.2940496401020276</v>
      </c>
      <c r="V735" s="4">
        <f t="shared" si="352"/>
        <v>5.9375362050824263</v>
      </c>
      <c r="W735" s="4">
        <f t="shared" si="353"/>
        <v>41.5</v>
      </c>
      <c r="X735" s="4">
        <f t="shared" si="354"/>
        <v>0</v>
      </c>
      <c r="Y735" s="4">
        <f t="shared" si="355"/>
        <v>8.2940496401020276</v>
      </c>
      <c r="Z735" s="4">
        <f t="shared" si="356"/>
        <v>5.9375362050824263</v>
      </c>
      <c r="AA735" s="4">
        <f t="shared" si="357"/>
        <v>41.5</v>
      </c>
      <c r="AB735" s="4">
        <f t="shared" si="358"/>
        <v>0</v>
      </c>
      <c r="AC735" s="4">
        <f t="shared" si="359"/>
        <v>0</v>
      </c>
      <c r="AD735" s="4">
        <f t="shared" si="360"/>
        <v>0</v>
      </c>
      <c r="AE735" s="4">
        <f t="shared" si="361"/>
        <v>0</v>
      </c>
      <c r="AF735" s="4">
        <f t="shared" si="362"/>
        <v>0</v>
      </c>
      <c r="AG735" s="4">
        <f t="shared" si="363"/>
        <v>8.2940496401020276</v>
      </c>
      <c r="AH735" s="4">
        <f t="shared" si="364"/>
        <v>0</v>
      </c>
      <c r="AI735" s="4">
        <f t="shared" si="365"/>
        <v>0</v>
      </c>
      <c r="AJ735" s="4">
        <f t="shared" si="366"/>
        <v>8.2940496401020276</v>
      </c>
      <c r="AK735" s="4">
        <f t="shared" si="367"/>
        <v>5.9375362050824263</v>
      </c>
      <c r="AL735" s="4">
        <f t="shared" si="368"/>
        <v>0</v>
      </c>
      <c r="AM735" s="4">
        <f>CER!$C$7+CER!$C$8*J735+CER!$C$9*K735+CER!$C$10*L735+CER!$C$11*M735</f>
        <v>3.3123805399349391</v>
      </c>
      <c r="AN735" s="4">
        <f t="shared" si="369"/>
        <v>27.45039451366948</v>
      </c>
      <c r="AO735" s="4">
        <f t="shared" si="370"/>
        <v>1.3424968802440151E-2</v>
      </c>
      <c r="AP735" s="4">
        <f>Alternatives!$F$25+Alternatives!$F$26*J735+Alternatives!$F$27*K735+Alternatives!$F$28*G735+Alternatives!$F$29*O735</f>
        <v>3.3940732753994713</v>
      </c>
      <c r="AQ735" s="4">
        <f t="shared" si="371"/>
        <v>-6.8267766662092111E-2</v>
      </c>
    </row>
    <row r="736" spans="1:43" x14ac:dyDescent="0.35">
      <c r="A736" s="2" t="s">
        <v>641</v>
      </c>
      <c r="B736" s="2" t="s">
        <v>624</v>
      </c>
      <c r="C736" s="2" t="s">
        <v>67</v>
      </c>
      <c r="D736" s="2">
        <v>27.514900000000001</v>
      </c>
      <c r="E736" s="2">
        <v>3500</v>
      </c>
      <c r="F736" s="2">
        <v>443</v>
      </c>
      <c r="G736" s="2">
        <v>41.5</v>
      </c>
      <c r="H736" s="2" t="s">
        <v>68</v>
      </c>
      <c r="I736" s="4">
        <f t="shared" si="341"/>
        <v>3.3147276761238711</v>
      </c>
      <c r="J736" s="4">
        <f t="shared" si="342"/>
        <v>8.1605182474775049</v>
      </c>
      <c r="K736" s="4">
        <f t="shared" si="343"/>
        <v>6.0935697700451357</v>
      </c>
      <c r="L736" s="2">
        <v>0</v>
      </c>
      <c r="M736" s="2">
        <v>0</v>
      </c>
      <c r="N736" s="4">
        <f t="shared" si="344"/>
        <v>41.5</v>
      </c>
      <c r="O736" s="4">
        <f t="shared" si="345"/>
        <v>0</v>
      </c>
      <c r="P736" s="4">
        <f t="shared" si="346"/>
        <v>0</v>
      </c>
      <c r="Q736" s="4">
        <f t="shared" si="347"/>
        <v>8.1605182474775049</v>
      </c>
      <c r="R736" s="4">
        <f t="shared" si="348"/>
        <v>6.0935697700451357</v>
      </c>
      <c r="S736" s="4">
        <f t="shared" si="349"/>
        <v>41.5</v>
      </c>
      <c r="T736" s="4">
        <f t="shared" si="350"/>
        <v>0</v>
      </c>
      <c r="U736" s="4">
        <f t="shared" si="351"/>
        <v>8.1605182474775049</v>
      </c>
      <c r="V736" s="4">
        <f t="shared" si="352"/>
        <v>6.0935697700451357</v>
      </c>
      <c r="W736" s="4">
        <f t="shared" si="353"/>
        <v>41.5</v>
      </c>
      <c r="X736" s="4">
        <f t="shared" si="354"/>
        <v>0</v>
      </c>
      <c r="Y736" s="4">
        <f t="shared" si="355"/>
        <v>8.1605182474775049</v>
      </c>
      <c r="Z736" s="4">
        <f t="shared" si="356"/>
        <v>6.0935697700451357</v>
      </c>
      <c r="AA736" s="4">
        <f t="shared" si="357"/>
        <v>41.5</v>
      </c>
      <c r="AB736" s="4">
        <f t="shared" si="358"/>
        <v>0</v>
      </c>
      <c r="AC736" s="4">
        <f t="shared" si="359"/>
        <v>0</v>
      </c>
      <c r="AD736" s="4">
        <f t="shared" si="360"/>
        <v>0</v>
      </c>
      <c r="AE736" s="4">
        <f t="shared" si="361"/>
        <v>0</v>
      </c>
      <c r="AF736" s="4">
        <f t="shared" si="362"/>
        <v>0</v>
      </c>
      <c r="AG736" s="4">
        <f t="shared" si="363"/>
        <v>8.1605182474775049</v>
      </c>
      <c r="AH736" s="4">
        <f t="shared" si="364"/>
        <v>0</v>
      </c>
      <c r="AI736" s="4">
        <f t="shared" si="365"/>
        <v>0</v>
      </c>
      <c r="AJ736" s="4">
        <f t="shared" si="366"/>
        <v>8.1605182474775049</v>
      </c>
      <c r="AK736" s="4">
        <f t="shared" si="367"/>
        <v>6.0935697700451357</v>
      </c>
      <c r="AL736" s="4">
        <f t="shared" si="368"/>
        <v>0</v>
      </c>
      <c r="AM736" s="4">
        <f>CER!$C$7+CER!$C$8*J736+CER!$C$9*K736+CER!$C$10*L736+CER!$C$11*M736</f>
        <v>3.3152638161870178</v>
      </c>
      <c r="AN736" s="4">
        <f t="shared" si="369"/>
        <v>27.52965579545657</v>
      </c>
      <c r="AO736" s="4">
        <f t="shared" si="370"/>
        <v>-5.3614006314672835E-4</v>
      </c>
      <c r="AP736" s="4">
        <f>Alternatives!$F$25+Alternatives!$F$26*J736+Alternatives!$F$27*K736+Alternatives!$F$28*G736+Alternatives!$F$29*O736</f>
        <v>3.3031330923886801</v>
      </c>
      <c r="AQ736" s="4">
        <f t="shared" si="371"/>
        <v>1.1594583735190955E-2</v>
      </c>
    </row>
    <row r="737" spans="1:43" x14ac:dyDescent="0.35">
      <c r="A737" s="2" t="s">
        <v>641</v>
      </c>
      <c r="B737" s="2" t="s">
        <v>624</v>
      </c>
      <c r="C737" s="2" t="s">
        <v>67</v>
      </c>
      <c r="D737" s="2">
        <v>26.627199999999998</v>
      </c>
      <c r="E737" s="2">
        <v>4000</v>
      </c>
      <c r="F737" s="2">
        <v>443</v>
      </c>
      <c r="G737" s="2">
        <v>41.5</v>
      </c>
      <c r="H737" s="2" t="s">
        <v>68</v>
      </c>
      <c r="I737" s="4">
        <f t="shared" si="341"/>
        <v>3.2819332497239735</v>
      </c>
      <c r="J737" s="4">
        <f t="shared" si="342"/>
        <v>8.2940496401020276</v>
      </c>
      <c r="K737" s="4">
        <f t="shared" si="343"/>
        <v>6.0935697700451357</v>
      </c>
      <c r="L737" s="2">
        <v>0</v>
      </c>
      <c r="M737" s="2">
        <v>0</v>
      </c>
      <c r="N737" s="4">
        <f t="shared" si="344"/>
        <v>41.5</v>
      </c>
      <c r="O737" s="4">
        <f t="shared" si="345"/>
        <v>0</v>
      </c>
      <c r="P737" s="4">
        <f t="shared" si="346"/>
        <v>0</v>
      </c>
      <c r="Q737" s="4">
        <f t="shared" si="347"/>
        <v>8.2940496401020276</v>
      </c>
      <c r="R737" s="4">
        <f t="shared" si="348"/>
        <v>6.0935697700451357</v>
      </c>
      <c r="S737" s="4">
        <f t="shared" si="349"/>
        <v>41.5</v>
      </c>
      <c r="T737" s="4">
        <f t="shared" si="350"/>
        <v>0</v>
      </c>
      <c r="U737" s="4">
        <f t="shared" si="351"/>
        <v>8.2940496401020276</v>
      </c>
      <c r="V737" s="4">
        <f t="shared" si="352"/>
        <v>6.0935697700451357</v>
      </c>
      <c r="W737" s="4">
        <f t="shared" si="353"/>
        <v>41.5</v>
      </c>
      <c r="X737" s="4">
        <f t="shared" si="354"/>
        <v>0</v>
      </c>
      <c r="Y737" s="4">
        <f t="shared" si="355"/>
        <v>8.2940496401020276</v>
      </c>
      <c r="Z737" s="4">
        <f t="shared" si="356"/>
        <v>6.0935697700451357</v>
      </c>
      <c r="AA737" s="4">
        <f t="shared" si="357"/>
        <v>41.5</v>
      </c>
      <c r="AB737" s="4">
        <f t="shared" si="358"/>
        <v>0</v>
      </c>
      <c r="AC737" s="4">
        <f t="shared" si="359"/>
        <v>0</v>
      </c>
      <c r="AD737" s="4">
        <f t="shared" si="360"/>
        <v>0</v>
      </c>
      <c r="AE737" s="4">
        <f t="shared" si="361"/>
        <v>0</v>
      </c>
      <c r="AF737" s="4">
        <f t="shared" si="362"/>
        <v>0</v>
      </c>
      <c r="AG737" s="4">
        <f t="shared" si="363"/>
        <v>8.2940496401020276</v>
      </c>
      <c r="AH737" s="4">
        <f t="shared" si="364"/>
        <v>0</v>
      </c>
      <c r="AI737" s="4">
        <f t="shared" si="365"/>
        <v>0</v>
      </c>
      <c r="AJ737" s="4">
        <f t="shared" si="366"/>
        <v>8.2940496401020276</v>
      </c>
      <c r="AK737" s="4">
        <f t="shared" si="367"/>
        <v>6.0935697700451357</v>
      </c>
      <c r="AL737" s="4">
        <f t="shared" si="368"/>
        <v>0</v>
      </c>
      <c r="AM737" s="4">
        <f>CER!$C$7+CER!$C$8*J737+CER!$C$9*K737+CER!$C$10*L737+CER!$C$11*M737</f>
        <v>3.2548129369896279</v>
      </c>
      <c r="AN737" s="4">
        <f t="shared" si="369"/>
        <v>25.914766386345306</v>
      </c>
      <c r="AO737" s="4">
        <f t="shared" si="370"/>
        <v>2.7120312734345564E-2</v>
      </c>
      <c r="AP737" s="4">
        <f>Alternatives!$F$25+Alternatives!$F$26*J737+Alternatives!$F$27*K737+Alternatives!$F$28*G737+Alternatives!$F$29*O737</f>
        <v>3.3525511884344019</v>
      </c>
      <c r="AQ737" s="4">
        <f t="shared" si="371"/>
        <v>-7.061793871042843E-2</v>
      </c>
    </row>
    <row r="738" spans="1:43" x14ac:dyDescent="0.35">
      <c r="A738" s="2" t="s">
        <v>642</v>
      </c>
      <c r="B738" s="2" t="s">
        <v>624</v>
      </c>
      <c r="C738" s="2" t="s">
        <v>67</v>
      </c>
      <c r="D738" s="2">
        <v>27.252099999999999</v>
      </c>
      <c r="E738" s="2">
        <v>4000</v>
      </c>
      <c r="F738" s="2">
        <v>443</v>
      </c>
      <c r="G738" s="2">
        <v>41.5</v>
      </c>
      <c r="H738" s="2" t="s">
        <v>68</v>
      </c>
      <c r="I738" s="4">
        <f t="shared" si="341"/>
        <v>3.305130582360142</v>
      </c>
      <c r="J738" s="4">
        <f t="shared" si="342"/>
        <v>8.2940496401020276</v>
      </c>
      <c r="K738" s="4">
        <f t="shared" si="343"/>
        <v>6.0935697700451357</v>
      </c>
      <c r="L738" s="2">
        <v>0</v>
      </c>
      <c r="M738" s="2">
        <v>0</v>
      </c>
      <c r="N738" s="4">
        <f t="shared" si="344"/>
        <v>41.5</v>
      </c>
      <c r="O738" s="4">
        <f t="shared" si="345"/>
        <v>0</v>
      </c>
      <c r="P738" s="4">
        <f t="shared" si="346"/>
        <v>0</v>
      </c>
      <c r="Q738" s="4">
        <f t="shared" si="347"/>
        <v>8.2940496401020276</v>
      </c>
      <c r="R738" s="4">
        <f t="shared" si="348"/>
        <v>6.0935697700451357</v>
      </c>
      <c r="S738" s="4">
        <f t="shared" si="349"/>
        <v>41.5</v>
      </c>
      <c r="T738" s="4">
        <f t="shared" si="350"/>
        <v>0</v>
      </c>
      <c r="U738" s="4">
        <f t="shared" si="351"/>
        <v>8.2940496401020276</v>
      </c>
      <c r="V738" s="4">
        <f t="shared" si="352"/>
        <v>6.0935697700451357</v>
      </c>
      <c r="W738" s="4">
        <f t="shared" si="353"/>
        <v>41.5</v>
      </c>
      <c r="X738" s="4">
        <f t="shared" si="354"/>
        <v>0</v>
      </c>
      <c r="Y738" s="4">
        <f t="shared" si="355"/>
        <v>8.2940496401020276</v>
      </c>
      <c r="Z738" s="4">
        <f t="shared" si="356"/>
        <v>6.0935697700451357</v>
      </c>
      <c r="AA738" s="4">
        <f t="shared" si="357"/>
        <v>41.5</v>
      </c>
      <c r="AB738" s="4">
        <f t="shared" si="358"/>
        <v>0</v>
      </c>
      <c r="AC738" s="4">
        <f t="shared" si="359"/>
        <v>0</v>
      </c>
      <c r="AD738" s="4">
        <f t="shared" si="360"/>
        <v>0</v>
      </c>
      <c r="AE738" s="4">
        <f t="shared" si="361"/>
        <v>0</v>
      </c>
      <c r="AF738" s="4">
        <f t="shared" si="362"/>
        <v>0</v>
      </c>
      <c r="AG738" s="4">
        <f t="shared" si="363"/>
        <v>8.2940496401020276</v>
      </c>
      <c r="AH738" s="4">
        <f t="shared" si="364"/>
        <v>0</v>
      </c>
      <c r="AI738" s="4">
        <f t="shared" si="365"/>
        <v>0</v>
      </c>
      <c r="AJ738" s="4">
        <f t="shared" si="366"/>
        <v>8.2940496401020276</v>
      </c>
      <c r="AK738" s="4">
        <f t="shared" si="367"/>
        <v>6.0935697700451357</v>
      </c>
      <c r="AL738" s="4">
        <f t="shared" si="368"/>
        <v>0</v>
      </c>
      <c r="AM738" s="4">
        <f>CER!$C$7+CER!$C$8*J738+CER!$C$9*K738+CER!$C$10*L738+CER!$C$11*M738</f>
        <v>3.2548129369896279</v>
      </c>
      <c r="AN738" s="4">
        <f t="shared" si="369"/>
        <v>25.914766386345306</v>
      </c>
      <c r="AO738" s="4">
        <f t="shared" si="370"/>
        <v>5.0317645370514086E-2</v>
      </c>
      <c r="AP738" s="4">
        <f>Alternatives!$F$25+Alternatives!$F$26*J738+Alternatives!$F$27*K738+Alternatives!$F$28*G738+Alternatives!$F$29*O738</f>
        <v>3.3525511884344019</v>
      </c>
      <c r="AQ738" s="4">
        <f t="shared" si="371"/>
        <v>-4.7420606074259908E-2</v>
      </c>
    </row>
    <row r="739" spans="1:43" x14ac:dyDescent="0.35">
      <c r="A739" s="2" t="s">
        <v>642</v>
      </c>
      <c r="B739" s="2" t="s">
        <v>624</v>
      </c>
      <c r="C739" s="2" t="s">
        <v>67</v>
      </c>
      <c r="D739" s="2">
        <v>26.673400000000001</v>
      </c>
      <c r="E739" s="2">
        <v>4000</v>
      </c>
      <c r="F739" s="2">
        <v>443</v>
      </c>
      <c r="G739" s="2">
        <v>41.5</v>
      </c>
      <c r="H739" s="2" t="s">
        <v>68</v>
      </c>
      <c r="I739" s="4">
        <f t="shared" si="341"/>
        <v>3.2836668141330119</v>
      </c>
      <c r="J739" s="4">
        <f t="shared" si="342"/>
        <v>8.2940496401020276</v>
      </c>
      <c r="K739" s="4">
        <f t="shared" si="343"/>
        <v>6.0935697700451357</v>
      </c>
      <c r="L739" s="2">
        <v>0</v>
      </c>
      <c r="M739" s="2">
        <v>0</v>
      </c>
      <c r="N739" s="4">
        <f t="shared" si="344"/>
        <v>41.5</v>
      </c>
      <c r="O739" s="4">
        <f t="shared" si="345"/>
        <v>0</v>
      </c>
      <c r="P739" s="4">
        <f t="shared" si="346"/>
        <v>0</v>
      </c>
      <c r="Q739" s="4">
        <f t="shared" si="347"/>
        <v>8.2940496401020276</v>
      </c>
      <c r="R739" s="4">
        <f t="shared" si="348"/>
        <v>6.0935697700451357</v>
      </c>
      <c r="S739" s="4">
        <f t="shared" si="349"/>
        <v>41.5</v>
      </c>
      <c r="T739" s="4">
        <f t="shared" si="350"/>
        <v>0</v>
      </c>
      <c r="U739" s="4">
        <f t="shared" si="351"/>
        <v>8.2940496401020276</v>
      </c>
      <c r="V739" s="4">
        <f t="shared" si="352"/>
        <v>6.0935697700451357</v>
      </c>
      <c r="W739" s="4">
        <f t="shared" si="353"/>
        <v>41.5</v>
      </c>
      <c r="X739" s="4">
        <f t="shared" si="354"/>
        <v>0</v>
      </c>
      <c r="Y739" s="4">
        <f t="shared" si="355"/>
        <v>8.2940496401020276</v>
      </c>
      <c r="Z739" s="4">
        <f t="shared" si="356"/>
        <v>6.0935697700451357</v>
      </c>
      <c r="AA739" s="4">
        <f t="shared" si="357"/>
        <v>41.5</v>
      </c>
      <c r="AB739" s="4">
        <f t="shared" si="358"/>
        <v>0</v>
      </c>
      <c r="AC739" s="4">
        <f t="shared" si="359"/>
        <v>0</v>
      </c>
      <c r="AD739" s="4">
        <f t="shared" si="360"/>
        <v>0</v>
      </c>
      <c r="AE739" s="4">
        <f t="shared" si="361"/>
        <v>0</v>
      </c>
      <c r="AF739" s="4">
        <f t="shared" si="362"/>
        <v>0</v>
      </c>
      <c r="AG739" s="4">
        <f t="shared" si="363"/>
        <v>8.2940496401020276</v>
      </c>
      <c r="AH739" s="4">
        <f t="shared" si="364"/>
        <v>0</v>
      </c>
      <c r="AI739" s="4">
        <f t="shared" si="365"/>
        <v>0</v>
      </c>
      <c r="AJ739" s="4">
        <f t="shared" si="366"/>
        <v>8.2940496401020276</v>
      </c>
      <c r="AK739" s="4">
        <f t="shared" si="367"/>
        <v>6.0935697700451357</v>
      </c>
      <c r="AL739" s="4">
        <f t="shared" si="368"/>
        <v>0</v>
      </c>
      <c r="AM739" s="4">
        <f>CER!$C$7+CER!$C$8*J739+CER!$C$9*K739+CER!$C$10*L739+CER!$C$11*M739</f>
        <v>3.2548129369896279</v>
      </c>
      <c r="AN739" s="4">
        <f t="shared" si="369"/>
        <v>25.914766386345306</v>
      </c>
      <c r="AO739" s="4">
        <f t="shared" si="370"/>
        <v>2.8853877143383944E-2</v>
      </c>
      <c r="AP739" s="4">
        <f>Alternatives!$F$25+Alternatives!$F$26*J739+Alternatives!$F$27*K739+Alternatives!$F$28*G739+Alternatives!$F$29*O739</f>
        <v>3.3525511884344019</v>
      </c>
      <c r="AQ739" s="4">
        <f t="shared" si="371"/>
        <v>-6.888437430139005E-2</v>
      </c>
    </row>
    <row r="740" spans="1:43" x14ac:dyDescent="0.35">
      <c r="A740" s="2" t="s">
        <v>643</v>
      </c>
      <c r="B740" s="2" t="s">
        <v>624</v>
      </c>
      <c r="C740" s="2" t="s">
        <v>67</v>
      </c>
      <c r="D740" s="2">
        <v>27.253399999999999</v>
      </c>
      <c r="E740" s="2">
        <v>3500</v>
      </c>
      <c r="F740" s="2">
        <v>379</v>
      </c>
      <c r="G740" s="2">
        <v>41.5</v>
      </c>
      <c r="H740" s="2" t="s">
        <v>68</v>
      </c>
      <c r="I740" s="4">
        <f t="shared" si="341"/>
        <v>3.3051782839682455</v>
      </c>
      <c r="J740" s="4">
        <f t="shared" si="342"/>
        <v>8.1605182474775049</v>
      </c>
      <c r="K740" s="4">
        <f t="shared" si="343"/>
        <v>5.9375362050824263</v>
      </c>
      <c r="L740" s="2">
        <v>0</v>
      </c>
      <c r="M740" s="2">
        <v>0</v>
      </c>
      <c r="N740" s="4">
        <f t="shared" si="344"/>
        <v>41.5</v>
      </c>
      <c r="O740" s="4">
        <f t="shared" si="345"/>
        <v>0</v>
      </c>
      <c r="P740" s="4">
        <f t="shared" si="346"/>
        <v>0</v>
      </c>
      <c r="Q740" s="4">
        <f t="shared" si="347"/>
        <v>8.1605182474775049</v>
      </c>
      <c r="R740" s="4">
        <f t="shared" si="348"/>
        <v>5.9375362050824263</v>
      </c>
      <c r="S740" s="4">
        <f t="shared" si="349"/>
        <v>41.5</v>
      </c>
      <c r="T740" s="4">
        <f t="shared" si="350"/>
        <v>0</v>
      </c>
      <c r="U740" s="4">
        <f t="shared" si="351"/>
        <v>8.1605182474775049</v>
      </c>
      <c r="V740" s="4">
        <f t="shared" si="352"/>
        <v>5.9375362050824263</v>
      </c>
      <c r="W740" s="4">
        <f t="shared" si="353"/>
        <v>41.5</v>
      </c>
      <c r="X740" s="4">
        <f t="shared" si="354"/>
        <v>0</v>
      </c>
      <c r="Y740" s="4">
        <f t="shared" si="355"/>
        <v>8.1605182474775049</v>
      </c>
      <c r="Z740" s="4">
        <f t="shared" si="356"/>
        <v>5.9375362050824263</v>
      </c>
      <c r="AA740" s="4">
        <f t="shared" si="357"/>
        <v>41.5</v>
      </c>
      <c r="AB740" s="4">
        <f t="shared" si="358"/>
        <v>0</v>
      </c>
      <c r="AC740" s="4">
        <f t="shared" si="359"/>
        <v>0</v>
      </c>
      <c r="AD740" s="4">
        <f t="shared" si="360"/>
        <v>0</v>
      </c>
      <c r="AE740" s="4">
        <f t="shared" si="361"/>
        <v>0</v>
      </c>
      <c r="AF740" s="4">
        <f t="shared" si="362"/>
        <v>0</v>
      </c>
      <c r="AG740" s="4">
        <f t="shared" si="363"/>
        <v>8.1605182474775049</v>
      </c>
      <c r="AH740" s="4">
        <f t="shared" si="364"/>
        <v>0</v>
      </c>
      <c r="AI740" s="4">
        <f t="shared" si="365"/>
        <v>0</v>
      </c>
      <c r="AJ740" s="4">
        <f t="shared" si="366"/>
        <v>8.1605182474775049</v>
      </c>
      <c r="AK740" s="4">
        <f t="shared" si="367"/>
        <v>5.9375362050824263</v>
      </c>
      <c r="AL740" s="4">
        <f t="shared" si="368"/>
        <v>0</v>
      </c>
      <c r="AM740" s="4">
        <f>CER!$C$7+CER!$C$8*J740+CER!$C$9*K740+CER!$C$10*L740+CER!$C$11*M740</f>
        <v>3.372831419132329</v>
      </c>
      <c r="AN740" s="4">
        <f t="shared" si="369"/>
        <v>29.16097722605728</v>
      </c>
      <c r="AO740" s="4">
        <f t="shared" si="370"/>
        <v>-6.7653135164083444E-2</v>
      </c>
      <c r="AP740" s="4">
        <f>Alternatives!$F$25+Alternatives!$F$26*J740+Alternatives!$F$27*K740+Alternatives!$F$28*G740+Alternatives!$F$29*O740</f>
        <v>3.3446551793537496</v>
      </c>
      <c r="AQ740" s="4">
        <f t="shared" si="371"/>
        <v>-3.9476895385504029E-2</v>
      </c>
    </row>
    <row r="741" spans="1:43" x14ac:dyDescent="0.35">
      <c r="A741" s="2" t="s">
        <v>643</v>
      </c>
      <c r="B741" s="2" t="s">
        <v>624</v>
      </c>
      <c r="C741" s="2" t="s">
        <v>67</v>
      </c>
      <c r="D741" s="2">
        <v>27.069299999999998</v>
      </c>
      <c r="E741" s="2">
        <v>4000</v>
      </c>
      <c r="F741" s="2">
        <v>379</v>
      </c>
      <c r="G741" s="2">
        <v>41.5</v>
      </c>
      <c r="H741" s="2" t="s">
        <v>68</v>
      </c>
      <c r="I741" s="4">
        <f t="shared" si="341"/>
        <v>3.2984002444074894</v>
      </c>
      <c r="J741" s="4">
        <f t="shared" si="342"/>
        <v>8.2940496401020276</v>
      </c>
      <c r="K741" s="4">
        <f t="shared" si="343"/>
        <v>5.9375362050824263</v>
      </c>
      <c r="L741" s="2">
        <v>0</v>
      </c>
      <c r="M741" s="2">
        <v>0</v>
      </c>
      <c r="N741" s="4">
        <f t="shared" si="344"/>
        <v>41.5</v>
      </c>
      <c r="O741" s="4">
        <f t="shared" si="345"/>
        <v>0</v>
      </c>
      <c r="P741" s="4">
        <f t="shared" si="346"/>
        <v>0</v>
      </c>
      <c r="Q741" s="4">
        <f t="shared" si="347"/>
        <v>8.2940496401020276</v>
      </c>
      <c r="R741" s="4">
        <f t="shared" si="348"/>
        <v>5.9375362050824263</v>
      </c>
      <c r="S741" s="4">
        <f t="shared" si="349"/>
        <v>41.5</v>
      </c>
      <c r="T741" s="4">
        <f t="shared" si="350"/>
        <v>0</v>
      </c>
      <c r="U741" s="4">
        <f t="shared" si="351"/>
        <v>8.2940496401020276</v>
      </c>
      <c r="V741" s="4">
        <f t="shared" si="352"/>
        <v>5.9375362050824263</v>
      </c>
      <c r="W741" s="4">
        <f t="shared" si="353"/>
        <v>41.5</v>
      </c>
      <c r="X741" s="4">
        <f t="shared" si="354"/>
        <v>0</v>
      </c>
      <c r="Y741" s="4">
        <f t="shared" si="355"/>
        <v>8.2940496401020276</v>
      </c>
      <c r="Z741" s="4">
        <f t="shared" si="356"/>
        <v>5.9375362050824263</v>
      </c>
      <c r="AA741" s="4">
        <f t="shared" si="357"/>
        <v>41.5</v>
      </c>
      <c r="AB741" s="4">
        <f t="shared" si="358"/>
        <v>0</v>
      </c>
      <c r="AC741" s="4">
        <f t="shared" si="359"/>
        <v>0</v>
      </c>
      <c r="AD741" s="4">
        <f t="shared" si="360"/>
        <v>0</v>
      </c>
      <c r="AE741" s="4">
        <f t="shared" si="361"/>
        <v>0</v>
      </c>
      <c r="AF741" s="4">
        <f t="shared" si="362"/>
        <v>0</v>
      </c>
      <c r="AG741" s="4">
        <f t="shared" si="363"/>
        <v>8.2940496401020276</v>
      </c>
      <c r="AH741" s="4">
        <f t="shared" si="364"/>
        <v>0</v>
      </c>
      <c r="AI741" s="4">
        <f t="shared" si="365"/>
        <v>0</v>
      </c>
      <c r="AJ741" s="4">
        <f t="shared" si="366"/>
        <v>8.2940496401020276</v>
      </c>
      <c r="AK741" s="4">
        <f t="shared" si="367"/>
        <v>5.9375362050824263</v>
      </c>
      <c r="AL741" s="4">
        <f t="shared" si="368"/>
        <v>0</v>
      </c>
      <c r="AM741" s="4">
        <f>CER!$C$7+CER!$C$8*J741+CER!$C$9*K741+CER!$C$10*L741+CER!$C$11*M741</f>
        <v>3.3123805399349391</v>
      </c>
      <c r="AN741" s="4">
        <f t="shared" si="369"/>
        <v>27.45039451366948</v>
      </c>
      <c r="AO741" s="4">
        <f t="shared" si="370"/>
        <v>-1.3980295527449726E-2</v>
      </c>
      <c r="AP741" s="4">
        <f>Alternatives!$F$25+Alternatives!$F$26*J741+Alternatives!$F$27*K741+Alternatives!$F$28*G741+Alternatives!$F$29*O741</f>
        <v>3.3940732753994713</v>
      </c>
      <c r="AQ741" s="4">
        <f t="shared" si="371"/>
        <v>-9.5673030991981989E-2</v>
      </c>
    </row>
    <row r="742" spans="1:43" x14ac:dyDescent="0.35">
      <c r="A742" s="2" t="s">
        <v>644</v>
      </c>
      <c r="B742" s="2" t="s">
        <v>624</v>
      </c>
      <c r="C742" s="2" t="s">
        <v>67</v>
      </c>
      <c r="D742" s="2">
        <v>26.937200000000001</v>
      </c>
      <c r="E742" s="2">
        <v>4000</v>
      </c>
      <c r="F742" s="2">
        <v>443</v>
      </c>
      <c r="G742" s="2">
        <v>41.5</v>
      </c>
      <c r="H742" s="2" t="s">
        <v>68</v>
      </c>
      <c r="I742" s="4">
        <f t="shared" si="341"/>
        <v>3.2935082309109998</v>
      </c>
      <c r="J742" s="4">
        <f t="shared" si="342"/>
        <v>8.2940496401020276</v>
      </c>
      <c r="K742" s="4">
        <f t="shared" si="343"/>
        <v>6.0935697700451357</v>
      </c>
      <c r="L742" s="2">
        <v>0</v>
      </c>
      <c r="M742" s="2">
        <v>0</v>
      </c>
      <c r="N742" s="4">
        <f t="shared" si="344"/>
        <v>41.5</v>
      </c>
      <c r="O742" s="4">
        <f t="shared" si="345"/>
        <v>0</v>
      </c>
      <c r="P742" s="4">
        <f t="shared" si="346"/>
        <v>0</v>
      </c>
      <c r="Q742" s="4">
        <f t="shared" si="347"/>
        <v>8.2940496401020276</v>
      </c>
      <c r="R742" s="4">
        <f t="shared" si="348"/>
        <v>6.0935697700451357</v>
      </c>
      <c r="S742" s="4">
        <f t="shared" si="349"/>
        <v>41.5</v>
      </c>
      <c r="T742" s="4">
        <f t="shared" si="350"/>
        <v>0</v>
      </c>
      <c r="U742" s="4">
        <f t="shared" si="351"/>
        <v>8.2940496401020276</v>
      </c>
      <c r="V742" s="4">
        <f t="shared" si="352"/>
        <v>6.0935697700451357</v>
      </c>
      <c r="W742" s="4">
        <f t="shared" si="353"/>
        <v>41.5</v>
      </c>
      <c r="X742" s="4">
        <f t="shared" si="354"/>
        <v>0</v>
      </c>
      <c r="Y742" s="4">
        <f t="shared" si="355"/>
        <v>8.2940496401020276</v>
      </c>
      <c r="Z742" s="4">
        <f t="shared" si="356"/>
        <v>6.0935697700451357</v>
      </c>
      <c r="AA742" s="4">
        <f t="shared" si="357"/>
        <v>41.5</v>
      </c>
      <c r="AB742" s="4">
        <f t="shared" si="358"/>
        <v>0</v>
      </c>
      <c r="AC742" s="4">
        <f t="shared" si="359"/>
        <v>0</v>
      </c>
      <c r="AD742" s="4">
        <f t="shared" si="360"/>
        <v>0</v>
      </c>
      <c r="AE742" s="4">
        <f t="shared" si="361"/>
        <v>0</v>
      </c>
      <c r="AF742" s="4">
        <f t="shared" si="362"/>
        <v>0</v>
      </c>
      <c r="AG742" s="4">
        <f t="shared" si="363"/>
        <v>8.2940496401020276</v>
      </c>
      <c r="AH742" s="4">
        <f t="shared" si="364"/>
        <v>0</v>
      </c>
      <c r="AI742" s="4">
        <f t="shared" si="365"/>
        <v>0</v>
      </c>
      <c r="AJ742" s="4">
        <f t="shared" si="366"/>
        <v>8.2940496401020276</v>
      </c>
      <c r="AK742" s="4">
        <f t="shared" si="367"/>
        <v>6.0935697700451357</v>
      </c>
      <c r="AL742" s="4">
        <f t="shared" si="368"/>
        <v>0</v>
      </c>
      <c r="AM742" s="4">
        <f>CER!$C$7+CER!$C$8*J742+CER!$C$9*K742+CER!$C$10*L742+CER!$C$11*M742</f>
        <v>3.2548129369896279</v>
      </c>
      <c r="AN742" s="4">
        <f t="shared" si="369"/>
        <v>25.914766386345306</v>
      </c>
      <c r="AO742" s="4">
        <f t="shared" si="370"/>
        <v>3.8695293921371832E-2</v>
      </c>
      <c r="AP742" s="4">
        <f>Alternatives!$F$25+Alternatives!$F$26*J742+Alternatives!$F$27*K742+Alternatives!$F$28*G742+Alternatives!$F$29*O742</f>
        <v>3.3525511884344019</v>
      </c>
      <c r="AQ742" s="4">
        <f t="shared" si="371"/>
        <v>-5.9042957523402162E-2</v>
      </c>
    </row>
    <row r="743" spans="1:43" x14ac:dyDescent="0.35">
      <c r="A743" s="2" t="s">
        <v>644</v>
      </c>
      <c r="B743" s="2" t="s">
        <v>624</v>
      </c>
      <c r="C743" s="2" t="s">
        <v>67</v>
      </c>
      <c r="D743" s="2">
        <v>26.448499999999999</v>
      </c>
      <c r="E743" s="2">
        <v>4000</v>
      </c>
      <c r="F743" s="2">
        <v>443</v>
      </c>
      <c r="G743" s="2">
        <v>41.5</v>
      </c>
      <c r="H743" s="2" t="s">
        <v>68</v>
      </c>
      <c r="I743" s="4">
        <f t="shared" si="341"/>
        <v>3.2751994459211442</v>
      </c>
      <c r="J743" s="4">
        <f t="shared" si="342"/>
        <v>8.2940496401020276</v>
      </c>
      <c r="K743" s="4">
        <f t="shared" si="343"/>
        <v>6.0935697700451357</v>
      </c>
      <c r="L743" s="2">
        <v>0</v>
      </c>
      <c r="M743" s="2">
        <v>0</v>
      </c>
      <c r="N743" s="4">
        <f t="shared" si="344"/>
        <v>41.5</v>
      </c>
      <c r="O743" s="4">
        <f t="shared" si="345"/>
        <v>0</v>
      </c>
      <c r="P743" s="4">
        <f t="shared" si="346"/>
        <v>0</v>
      </c>
      <c r="Q743" s="4">
        <f t="shared" si="347"/>
        <v>8.2940496401020276</v>
      </c>
      <c r="R743" s="4">
        <f t="shared" si="348"/>
        <v>6.0935697700451357</v>
      </c>
      <c r="S743" s="4">
        <f t="shared" si="349"/>
        <v>41.5</v>
      </c>
      <c r="T743" s="4">
        <f t="shared" si="350"/>
        <v>0</v>
      </c>
      <c r="U743" s="4">
        <f t="shared" si="351"/>
        <v>8.2940496401020276</v>
      </c>
      <c r="V743" s="4">
        <f t="shared" si="352"/>
        <v>6.0935697700451357</v>
      </c>
      <c r="W743" s="4">
        <f t="shared" si="353"/>
        <v>41.5</v>
      </c>
      <c r="X743" s="4">
        <f t="shared" si="354"/>
        <v>0</v>
      </c>
      <c r="Y743" s="4">
        <f t="shared" si="355"/>
        <v>8.2940496401020276</v>
      </c>
      <c r="Z743" s="4">
        <f t="shared" si="356"/>
        <v>6.0935697700451357</v>
      </c>
      <c r="AA743" s="4">
        <f t="shared" si="357"/>
        <v>41.5</v>
      </c>
      <c r="AB743" s="4">
        <f t="shared" si="358"/>
        <v>0</v>
      </c>
      <c r="AC743" s="4">
        <f t="shared" si="359"/>
        <v>0</v>
      </c>
      <c r="AD743" s="4">
        <f t="shared" si="360"/>
        <v>0</v>
      </c>
      <c r="AE743" s="4">
        <f t="shared" si="361"/>
        <v>0</v>
      </c>
      <c r="AF743" s="4">
        <f t="shared" si="362"/>
        <v>0</v>
      </c>
      <c r="AG743" s="4">
        <f t="shared" si="363"/>
        <v>8.2940496401020276</v>
      </c>
      <c r="AH743" s="4">
        <f t="shared" si="364"/>
        <v>0</v>
      </c>
      <c r="AI743" s="4">
        <f t="shared" si="365"/>
        <v>0</v>
      </c>
      <c r="AJ743" s="4">
        <f t="shared" si="366"/>
        <v>8.2940496401020276</v>
      </c>
      <c r="AK743" s="4">
        <f t="shared" si="367"/>
        <v>6.0935697700451357</v>
      </c>
      <c r="AL743" s="4">
        <f t="shared" si="368"/>
        <v>0</v>
      </c>
      <c r="AM743" s="4">
        <f>CER!$C$7+CER!$C$8*J743+CER!$C$9*K743+CER!$C$10*L743+CER!$C$11*M743</f>
        <v>3.2548129369896279</v>
      </c>
      <c r="AN743" s="4">
        <f t="shared" si="369"/>
        <v>25.914766386345306</v>
      </c>
      <c r="AO743" s="4">
        <f t="shared" si="370"/>
        <v>2.0386508931516278E-2</v>
      </c>
      <c r="AP743" s="4">
        <f>Alternatives!$F$25+Alternatives!$F$26*J743+Alternatives!$F$27*K743+Alternatives!$F$28*G743+Alternatives!$F$29*O743</f>
        <v>3.3525511884344019</v>
      </c>
      <c r="AQ743" s="4">
        <f t="shared" si="371"/>
        <v>-7.7351742513257715E-2</v>
      </c>
    </row>
    <row r="744" spans="1:43" x14ac:dyDescent="0.35">
      <c r="A744" s="2" t="s">
        <v>645</v>
      </c>
      <c r="B744" s="2" t="s">
        <v>624</v>
      </c>
      <c r="C744" s="2" t="s">
        <v>67</v>
      </c>
      <c r="D744" s="2">
        <v>26.625699999999998</v>
      </c>
      <c r="E744" s="2">
        <v>4000</v>
      </c>
      <c r="F744" s="2">
        <v>443</v>
      </c>
      <c r="G744" s="2">
        <v>41.5</v>
      </c>
      <c r="H744" s="2" t="s">
        <v>68</v>
      </c>
      <c r="I744" s="4">
        <f t="shared" si="341"/>
        <v>3.2818769147637967</v>
      </c>
      <c r="J744" s="4">
        <f t="shared" si="342"/>
        <v>8.2940496401020276</v>
      </c>
      <c r="K744" s="4">
        <f t="shared" si="343"/>
        <v>6.0935697700451357</v>
      </c>
      <c r="L744" s="2">
        <v>0</v>
      </c>
      <c r="M744" s="2">
        <v>0</v>
      </c>
      <c r="N744" s="4">
        <f t="shared" si="344"/>
        <v>41.5</v>
      </c>
      <c r="O744" s="4">
        <f t="shared" si="345"/>
        <v>0</v>
      </c>
      <c r="P744" s="4">
        <f t="shared" si="346"/>
        <v>0</v>
      </c>
      <c r="Q744" s="4">
        <f t="shared" si="347"/>
        <v>8.2940496401020276</v>
      </c>
      <c r="R744" s="4">
        <f t="shared" si="348"/>
        <v>6.0935697700451357</v>
      </c>
      <c r="S744" s="4">
        <f t="shared" si="349"/>
        <v>41.5</v>
      </c>
      <c r="T744" s="4">
        <f t="shared" si="350"/>
        <v>0</v>
      </c>
      <c r="U744" s="4">
        <f t="shared" si="351"/>
        <v>8.2940496401020276</v>
      </c>
      <c r="V744" s="4">
        <f t="shared" si="352"/>
        <v>6.0935697700451357</v>
      </c>
      <c r="W744" s="4">
        <f t="shared" si="353"/>
        <v>41.5</v>
      </c>
      <c r="X744" s="4">
        <f t="shared" si="354"/>
        <v>0</v>
      </c>
      <c r="Y744" s="4">
        <f t="shared" si="355"/>
        <v>8.2940496401020276</v>
      </c>
      <c r="Z744" s="4">
        <f t="shared" si="356"/>
        <v>6.0935697700451357</v>
      </c>
      <c r="AA744" s="4">
        <f t="shared" si="357"/>
        <v>41.5</v>
      </c>
      <c r="AB744" s="4">
        <f t="shared" si="358"/>
        <v>0</v>
      </c>
      <c r="AC744" s="4">
        <f t="shared" si="359"/>
        <v>0</v>
      </c>
      <c r="AD744" s="4">
        <f t="shared" si="360"/>
        <v>0</v>
      </c>
      <c r="AE744" s="4">
        <f t="shared" si="361"/>
        <v>0</v>
      </c>
      <c r="AF744" s="4">
        <f t="shared" si="362"/>
        <v>0</v>
      </c>
      <c r="AG744" s="4">
        <f t="shared" si="363"/>
        <v>8.2940496401020276</v>
      </c>
      <c r="AH744" s="4">
        <f t="shared" si="364"/>
        <v>0</v>
      </c>
      <c r="AI744" s="4">
        <f t="shared" si="365"/>
        <v>0</v>
      </c>
      <c r="AJ744" s="4">
        <f t="shared" si="366"/>
        <v>8.2940496401020276</v>
      </c>
      <c r="AK744" s="4">
        <f t="shared" si="367"/>
        <v>6.0935697700451357</v>
      </c>
      <c r="AL744" s="4">
        <f t="shared" si="368"/>
        <v>0</v>
      </c>
      <c r="AM744" s="4">
        <f>CER!$C$7+CER!$C$8*J744+CER!$C$9*K744+CER!$C$10*L744+CER!$C$11*M744</f>
        <v>3.2548129369896279</v>
      </c>
      <c r="AN744" s="4">
        <f t="shared" si="369"/>
        <v>25.914766386345306</v>
      </c>
      <c r="AO744" s="4">
        <f t="shared" si="370"/>
        <v>2.7063977774168801E-2</v>
      </c>
      <c r="AP744" s="4">
        <f>Alternatives!$F$25+Alternatives!$F$26*J744+Alternatives!$F$27*K744+Alternatives!$F$28*G744+Alternatives!$F$29*O744</f>
        <v>3.3525511884344019</v>
      </c>
      <c r="AQ744" s="4">
        <f t="shared" si="371"/>
        <v>-7.0674273670605192E-2</v>
      </c>
    </row>
    <row r="745" spans="1:43" x14ac:dyDescent="0.35">
      <c r="A745" s="2" t="s">
        <v>645</v>
      </c>
      <c r="B745" s="2" t="s">
        <v>624</v>
      </c>
      <c r="C745" s="2" t="s">
        <v>67</v>
      </c>
      <c r="D745" s="2">
        <v>26.631599999999999</v>
      </c>
      <c r="E745" s="2">
        <v>4000</v>
      </c>
      <c r="F745" s="2">
        <v>379</v>
      </c>
      <c r="G745" s="2">
        <v>41.5</v>
      </c>
      <c r="H745" s="2" t="s">
        <v>68</v>
      </c>
      <c r="I745" s="4">
        <f t="shared" si="341"/>
        <v>3.2820984806345468</v>
      </c>
      <c r="J745" s="4">
        <f t="shared" si="342"/>
        <v>8.2940496401020276</v>
      </c>
      <c r="K745" s="4">
        <f t="shared" si="343"/>
        <v>5.9375362050824263</v>
      </c>
      <c r="L745" s="2">
        <v>0</v>
      </c>
      <c r="M745" s="2">
        <v>0</v>
      </c>
      <c r="N745" s="4">
        <f t="shared" si="344"/>
        <v>41.5</v>
      </c>
      <c r="O745" s="4">
        <f t="shared" si="345"/>
        <v>0</v>
      </c>
      <c r="P745" s="4">
        <f t="shared" si="346"/>
        <v>0</v>
      </c>
      <c r="Q745" s="4">
        <f t="shared" si="347"/>
        <v>8.2940496401020276</v>
      </c>
      <c r="R745" s="4">
        <f t="shared" si="348"/>
        <v>5.9375362050824263</v>
      </c>
      <c r="S745" s="4">
        <f t="shared" si="349"/>
        <v>41.5</v>
      </c>
      <c r="T745" s="4">
        <f t="shared" si="350"/>
        <v>0</v>
      </c>
      <c r="U745" s="4">
        <f t="shared" si="351"/>
        <v>8.2940496401020276</v>
      </c>
      <c r="V745" s="4">
        <f t="shared" si="352"/>
        <v>5.9375362050824263</v>
      </c>
      <c r="W745" s="4">
        <f t="shared" si="353"/>
        <v>41.5</v>
      </c>
      <c r="X745" s="4">
        <f t="shared" si="354"/>
        <v>0</v>
      </c>
      <c r="Y745" s="4">
        <f t="shared" si="355"/>
        <v>8.2940496401020276</v>
      </c>
      <c r="Z745" s="4">
        <f t="shared" si="356"/>
        <v>5.9375362050824263</v>
      </c>
      <c r="AA745" s="4">
        <f t="shared" si="357"/>
        <v>41.5</v>
      </c>
      <c r="AB745" s="4">
        <f t="shared" si="358"/>
        <v>0</v>
      </c>
      <c r="AC745" s="4">
        <f t="shared" si="359"/>
        <v>0</v>
      </c>
      <c r="AD745" s="4">
        <f t="shared" si="360"/>
        <v>0</v>
      </c>
      <c r="AE745" s="4">
        <f t="shared" si="361"/>
        <v>0</v>
      </c>
      <c r="AF745" s="4">
        <f t="shared" si="362"/>
        <v>0</v>
      </c>
      <c r="AG745" s="4">
        <f t="shared" si="363"/>
        <v>8.2940496401020276</v>
      </c>
      <c r="AH745" s="4">
        <f t="shared" si="364"/>
        <v>0</v>
      </c>
      <c r="AI745" s="4">
        <f t="shared" si="365"/>
        <v>0</v>
      </c>
      <c r="AJ745" s="4">
        <f t="shared" si="366"/>
        <v>8.2940496401020276</v>
      </c>
      <c r="AK745" s="4">
        <f t="shared" si="367"/>
        <v>5.9375362050824263</v>
      </c>
      <c r="AL745" s="4">
        <f t="shared" si="368"/>
        <v>0</v>
      </c>
      <c r="AM745" s="4">
        <f>CER!$C$7+CER!$C$8*J745+CER!$C$9*K745+CER!$C$10*L745+CER!$C$11*M745</f>
        <v>3.3123805399349391</v>
      </c>
      <c r="AN745" s="4">
        <f t="shared" si="369"/>
        <v>27.45039451366948</v>
      </c>
      <c r="AO745" s="4">
        <f t="shared" si="370"/>
        <v>-3.0282059300392294E-2</v>
      </c>
      <c r="AP745" s="4">
        <f>Alternatives!$F$25+Alternatives!$F$26*J745+Alternatives!$F$27*K745+Alternatives!$F$28*G745+Alternatives!$F$29*O745</f>
        <v>3.3940732753994713</v>
      </c>
      <c r="AQ745" s="4">
        <f t="shared" si="371"/>
        <v>-0.11197479476492456</v>
      </c>
    </row>
    <row r="746" spans="1:43" x14ac:dyDescent="0.35">
      <c r="A746" s="2" t="s">
        <v>646</v>
      </c>
      <c r="B746" s="2" t="s">
        <v>624</v>
      </c>
      <c r="C746" s="2" t="s">
        <v>67</v>
      </c>
      <c r="D746" s="2">
        <v>27.172699999999999</v>
      </c>
      <c r="E746" s="2">
        <v>4000</v>
      </c>
      <c r="F746" s="2">
        <v>443</v>
      </c>
      <c r="G746" s="2">
        <v>41.5</v>
      </c>
      <c r="H746" s="2" t="s">
        <v>68</v>
      </c>
      <c r="I746" s="4">
        <f t="shared" si="341"/>
        <v>3.3022127928108573</v>
      </c>
      <c r="J746" s="4">
        <f t="shared" si="342"/>
        <v>8.2940496401020276</v>
      </c>
      <c r="K746" s="4">
        <f t="shared" si="343"/>
        <v>6.0935697700451357</v>
      </c>
      <c r="L746" s="2">
        <v>0</v>
      </c>
      <c r="M746" s="2">
        <v>0</v>
      </c>
      <c r="N746" s="4">
        <f t="shared" si="344"/>
        <v>41.5</v>
      </c>
      <c r="O746" s="4">
        <f t="shared" si="345"/>
        <v>0</v>
      </c>
      <c r="P746" s="4">
        <f t="shared" si="346"/>
        <v>0</v>
      </c>
      <c r="Q746" s="4">
        <f t="shared" si="347"/>
        <v>8.2940496401020276</v>
      </c>
      <c r="R746" s="4">
        <f t="shared" si="348"/>
        <v>6.0935697700451357</v>
      </c>
      <c r="S746" s="4">
        <f t="shared" si="349"/>
        <v>41.5</v>
      </c>
      <c r="T746" s="4">
        <f t="shared" si="350"/>
        <v>0</v>
      </c>
      <c r="U746" s="4">
        <f t="shared" si="351"/>
        <v>8.2940496401020276</v>
      </c>
      <c r="V746" s="4">
        <f t="shared" si="352"/>
        <v>6.0935697700451357</v>
      </c>
      <c r="W746" s="4">
        <f t="shared" si="353"/>
        <v>41.5</v>
      </c>
      <c r="X746" s="4">
        <f t="shared" si="354"/>
        <v>0</v>
      </c>
      <c r="Y746" s="4">
        <f t="shared" si="355"/>
        <v>8.2940496401020276</v>
      </c>
      <c r="Z746" s="4">
        <f t="shared" si="356"/>
        <v>6.0935697700451357</v>
      </c>
      <c r="AA746" s="4">
        <f t="shared" si="357"/>
        <v>41.5</v>
      </c>
      <c r="AB746" s="4">
        <f t="shared" si="358"/>
        <v>0</v>
      </c>
      <c r="AC746" s="4">
        <f t="shared" si="359"/>
        <v>0</v>
      </c>
      <c r="AD746" s="4">
        <f t="shared" si="360"/>
        <v>0</v>
      </c>
      <c r="AE746" s="4">
        <f t="shared" si="361"/>
        <v>0</v>
      </c>
      <c r="AF746" s="4">
        <f t="shared" si="362"/>
        <v>0</v>
      </c>
      <c r="AG746" s="4">
        <f t="shared" si="363"/>
        <v>8.2940496401020276</v>
      </c>
      <c r="AH746" s="4">
        <f t="shared" si="364"/>
        <v>0</v>
      </c>
      <c r="AI746" s="4">
        <f t="shared" si="365"/>
        <v>0</v>
      </c>
      <c r="AJ746" s="4">
        <f t="shared" si="366"/>
        <v>8.2940496401020276</v>
      </c>
      <c r="AK746" s="4">
        <f t="shared" si="367"/>
        <v>6.0935697700451357</v>
      </c>
      <c r="AL746" s="4">
        <f t="shared" si="368"/>
        <v>0</v>
      </c>
      <c r="AM746" s="4">
        <f>CER!$C$7+CER!$C$8*J746+CER!$C$9*K746+CER!$C$10*L746+CER!$C$11*M746</f>
        <v>3.2548129369896279</v>
      </c>
      <c r="AN746" s="4">
        <f t="shared" si="369"/>
        <v>25.914766386345306</v>
      </c>
      <c r="AO746" s="4">
        <f t="shared" si="370"/>
        <v>4.7399855821229409E-2</v>
      </c>
      <c r="AP746" s="4">
        <f>Alternatives!$F$25+Alternatives!$F$26*J746+Alternatives!$F$27*K746+Alternatives!$F$28*G746+Alternatives!$F$29*O746</f>
        <v>3.3525511884344019</v>
      </c>
      <c r="AQ746" s="4">
        <f t="shared" si="371"/>
        <v>-5.0338395623544585E-2</v>
      </c>
    </row>
    <row r="747" spans="1:43" x14ac:dyDescent="0.35">
      <c r="A747" s="2" t="s">
        <v>646</v>
      </c>
      <c r="B747" s="2" t="s">
        <v>624</v>
      </c>
      <c r="C747" s="2" t="s">
        <v>67</v>
      </c>
      <c r="D747" s="2">
        <v>26.065100000000001</v>
      </c>
      <c r="E747" s="2">
        <v>4000</v>
      </c>
      <c r="F747" s="2">
        <v>443</v>
      </c>
      <c r="G747" s="2">
        <v>41.5</v>
      </c>
      <c r="H747" s="2" t="s">
        <v>68</v>
      </c>
      <c r="I747" s="4">
        <f t="shared" si="341"/>
        <v>3.2605972547751496</v>
      </c>
      <c r="J747" s="4">
        <f t="shared" si="342"/>
        <v>8.2940496401020276</v>
      </c>
      <c r="K747" s="4">
        <f t="shared" si="343"/>
        <v>6.0935697700451357</v>
      </c>
      <c r="L747" s="2">
        <v>0</v>
      </c>
      <c r="M747" s="2">
        <v>0</v>
      </c>
      <c r="N747" s="4">
        <f t="shared" si="344"/>
        <v>41.5</v>
      </c>
      <c r="O747" s="4">
        <f t="shared" si="345"/>
        <v>0</v>
      </c>
      <c r="P747" s="4">
        <f t="shared" si="346"/>
        <v>0</v>
      </c>
      <c r="Q747" s="4">
        <f t="shared" si="347"/>
        <v>8.2940496401020276</v>
      </c>
      <c r="R747" s="4">
        <f t="shared" si="348"/>
        <v>6.0935697700451357</v>
      </c>
      <c r="S747" s="4">
        <f t="shared" si="349"/>
        <v>41.5</v>
      </c>
      <c r="T747" s="4">
        <f t="shared" si="350"/>
        <v>0</v>
      </c>
      <c r="U747" s="4">
        <f t="shared" si="351"/>
        <v>8.2940496401020276</v>
      </c>
      <c r="V747" s="4">
        <f t="shared" si="352"/>
        <v>6.0935697700451357</v>
      </c>
      <c r="W747" s="4">
        <f t="shared" si="353"/>
        <v>41.5</v>
      </c>
      <c r="X747" s="4">
        <f t="shared" si="354"/>
        <v>0</v>
      </c>
      <c r="Y747" s="4">
        <f t="shared" si="355"/>
        <v>8.2940496401020276</v>
      </c>
      <c r="Z747" s="4">
        <f t="shared" si="356"/>
        <v>6.0935697700451357</v>
      </c>
      <c r="AA747" s="4">
        <f t="shared" si="357"/>
        <v>41.5</v>
      </c>
      <c r="AB747" s="4">
        <f t="shared" si="358"/>
        <v>0</v>
      </c>
      <c r="AC747" s="4">
        <f t="shared" si="359"/>
        <v>0</v>
      </c>
      <c r="AD747" s="4">
        <f t="shared" si="360"/>
        <v>0</v>
      </c>
      <c r="AE747" s="4">
        <f t="shared" si="361"/>
        <v>0</v>
      </c>
      <c r="AF747" s="4">
        <f t="shared" si="362"/>
        <v>0</v>
      </c>
      <c r="AG747" s="4">
        <f t="shared" si="363"/>
        <v>8.2940496401020276</v>
      </c>
      <c r="AH747" s="4">
        <f t="shared" si="364"/>
        <v>0</v>
      </c>
      <c r="AI747" s="4">
        <f t="shared" si="365"/>
        <v>0</v>
      </c>
      <c r="AJ747" s="4">
        <f t="shared" si="366"/>
        <v>8.2940496401020276</v>
      </c>
      <c r="AK747" s="4">
        <f t="shared" si="367"/>
        <v>6.0935697700451357</v>
      </c>
      <c r="AL747" s="4">
        <f t="shared" si="368"/>
        <v>0</v>
      </c>
      <c r="AM747" s="4">
        <f>CER!$C$7+CER!$C$8*J747+CER!$C$9*K747+CER!$C$10*L747+CER!$C$11*M747</f>
        <v>3.2548129369896279</v>
      </c>
      <c r="AN747" s="4">
        <f t="shared" si="369"/>
        <v>25.914766386345306</v>
      </c>
      <c r="AO747" s="4">
        <f t="shared" si="370"/>
        <v>5.7843177855216865E-3</v>
      </c>
      <c r="AP747" s="4">
        <f>Alternatives!$F$25+Alternatives!$F$26*J747+Alternatives!$F$27*K747+Alternatives!$F$28*G747+Alternatives!$F$29*O747</f>
        <v>3.3525511884344019</v>
      </c>
      <c r="AQ747" s="4">
        <f t="shared" si="371"/>
        <v>-9.1953933659252307E-2</v>
      </c>
    </row>
    <row r="748" spans="1:43" x14ac:dyDescent="0.35">
      <c r="A748" s="2" t="s">
        <v>647</v>
      </c>
      <c r="B748" s="2" t="s">
        <v>624</v>
      </c>
      <c r="C748" s="2" t="s">
        <v>67</v>
      </c>
      <c r="D748" s="2">
        <v>27.605399999999999</v>
      </c>
      <c r="E748" s="2">
        <v>4000</v>
      </c>
      <c r="F748" s="2">
        <v>379</v>
      </c>
      <c r="G748" s="2">
        <v>41.5</v>
      </c>
      <c r="H748" s="2" t="s">
        <v>68</v>
      </c>
      <c r="I748" s="4">
        <f t="shared" si="341"/>
        <v>3.3180114057596271</v>
      </c>
      <c r="J748" s="4">
        <f t="shared" si="342"/>
        <v>8.2940496401020276</v>
      </c>
      <c r="K748" s="4">
        <f t="shared" si="343"/>
        <v>5.9375362050824263</v>
      </c>
      <c r="L748" s="2">
        <v>0</v>
      </c>
      <c r="M748" s="2">
        <v>0</v>
      </c>
      <c r="N748" s="4">
        <f t="shared" si="344"/>
        <v>41.5</v>
      </c>
      <c r="O748" s="4">
        <f t="shared" si="345"/>
        <v>0</v>
      </c>
      <c r="P748" s="4">
        <f t="shared" si="346"/>
        <v>0</v>
      </c>
      <c r="Q748" s="4">
        <f t="shared" si="347"/>
        <v>8.2940496401020276</v>
      </c>
      <c r="R748" s="4">
        <f t="shared" si="348"/>
        <v>5.9375362050824263</v>
      </c>
      <c r="S748" s="4">
        <f t="shared" si="349"/>
        <v>41.5</v>
      </c>
      <c r="T748" s="4">
        <f t="shared" si="350"/>
        <v>0</v>
      </c>
      <c r="U748" s="4">
        <f t="shared" si="351"/>
        <v>8.2940496401020276</v>
      </c>
      <c r="V748" s="4">
        <f t="shared" si="352"/>
        <v>5.9375362050824263</v>
      </c>
      <c r="W748" s="4">
        <f t="shared" si="353"/>
        <v>41.5</v>
      </c>
      <c r="X748" s="4">
        <f t="shared" si="354"/>
        <v>0</v>
      </c>
      <c r="Y748" s="4">
        <f t="shared" si="355"/>
        <v>8.2940496401020276</v>
      </c>
      <c r="Z748" s="4">
        <f t="shared" si="356"/>
        <v>5.9375362050824263</v>
      </c>
      <c r="AA748" s="4">
        <f t="shared" si="357"/>
        <v>41.5</v>
      </c>
      <c r="AB748" s="4">
        <f t="shared" si="358"/>
        <v>0</v>
      </c>
      <c r="AC748" s="4">
        <f t="shared" si="359"/>
        <v>0</v>
      </c>
      <c r="AD748" s="4">
        <f t="shared" si="360"/>
        <v>0</v>
      </c>
      <c r="AE748" s="4">
        <f t="shared" si="361"/>
        <v>0</v>
      </c>
      <c r="AF748" s="4">
        <f t="shared" si="362"/>
        <v>0</v>
      </c>
      <c r="AG748" s="4">
        <f t="shared" si="363"/>
        <v>8.2940496401020276</v>
      </c>
      <c r="AH748" s="4">
        <f t="shared" si="364"/>
        <v>0</v>
      </c>
      <c r="AI748" s="4">
        <f t="shared" si="365"/>
        <v>0</v>
      </c>
      <c r="AJ748" s="4">
        <f t="shared" si="366"/>
        <v>8.2940496401020276</v>
      </c>
      <c r="AK748" s="4">
        <f t="shared" si="367"/>
        <v>5.9375362050824263</v>
      </c>
      <c r="AL748" s="4">
        <f t="shared" si="368"/>
        <v>0</v>
      </c>
      <c r="AM748" s="4">
        <f>CER!$C$7+CER!$C$8*J748+CER!$C$9*K748+CER!$C$10*L748+CER!$C$11*M748</f>
        <v>3.3123805399349391</v>
      </c>
      <c r="AN748" s="4">
        <f t="shared" si="369"/>
        <v>27.45039451366948</v>
      </c>
      <c r="AO748" s="4">
        <f t="shared" si="370"/>
        <v>5.6308658246879695E-3</v>
      </c>
      <c r="AP748" s="4">
        <f>Alternatives!$F$25+Alternatives!$F$26*J748+Alternatives!$F$27*K748+Alternatives!$F$28*G748+Alternatives!$F$29*O748</f>
        <v>3.3940732753994713</v>
      </c>
      <c r="AQ748" s="4">
        <f t="shared" si="371"/>
        <v>-7.6061869639844293E-2</v>
      </c>
    </row>
    <row r="749" spans="1:43" x14ac:dyDescent="0.35">
      <c r="A749" s="2" t="s">
        <v>648</v>
      </c>
      <c r="B749" s="2" t="s">
        <v>624</v>
      </c>
      <c r="C749" s="2" t="s">
        <v>67</v>
      </c>
      <c r="D749" s="2">
        <v>27.292899999999999</v>
      </c>
      <c r="E749" s="2">
        <v>4000</v>
      </c>
      <c r="F749" s="2">
        <v>379</v>
      </c>
      <c r="G749" s="2">
        <v>41.5</v>
      </c>
      <c r="H749" s="2" t="s">
        <v>68</v>
      </c>
      <c r="I749" s="4">
        <f t="shared" si="341"/>
        <v>3.3066265951059255</v>
      </c>
      <c r="J749" s="4">
        <f t="shared" si="342"/>
        <v>8.2940496401020276</v>
      </c>
      <c r="K749" s="4">
        <f t="shared" si="343"/>
        <v>5.9375362050824263</v>
      </c>
      <c r="L749" s="2">
        <v>0</v>
      </c>
      <c r="M749" s="2">
        <v>0</v>
      </c>
      <c r="N749" s="4">
        <f t="shared" si="344"/>
        <v>41.5</v>
      </c>
      <c r="O749" s="4">
        <f t="shared" si="345"/>
        <v>0</v>
      </c>
      <c r="P749" s="4">
        <f t="shared" si="346"/>
        <v>0</v>
      </c>
      <c r="Q749" s="4">
        <f t="shared" si="347"/>
        <v>8.2940496401020276</v>
      </c>
      <c r="R749" s="4">
        <f t="shared" si="348"/>
        <v>5.9375362050824263</v>
      </c>
      <c r="S749" s="4">
        <f t="shared" si="349"/>
        <v>41.5</v>
      </c>
      <c r="T749" s="4">
        <f t="shared" si="350"/>
        <v>0</v>
      </c>
      <c r="U749" s="4">
        <f t="shared" si="351"/>
        <v>8.2940496401020276</v>
      </c>
      <c r="V749" s="4">
        <f t="shared" si="352"/>
        <v>5.9375362050824263</v>
      </c>
      <c r="W749" s="4">
        <f t="shared" si="353"/>
        <v>41.5</v>
      </c>
      <c r="X749" s="4">
        <f t="shared" si="354"/>
        <v>0</v>
      </c>
      <c r="Y749" s="4">
        <f t="shared" si="355"/>
        <v>8.2940496401020276</v>
      </c>
      <c r="Z749" s="4">
        <f t="shared" si="356"/>
        <v>5.9375362050824263</v>
      </c>
      <c r="AA749" s="4">
        <f t="shared" si="357"/>
        <v>41.5</v>
      </c>
      <c r="AB749" s="4">
        <f t="shared" si="358"/>
        <v>0</v>
      </c>
      <c r="AC749" s="4">
        <f t="shared" si="359"/>
        <v>0</v>
      </c>
      <c r="AD749" s="4">
        <f t="shared" si="360"/>
        <v>0</v>
      </c>
      <c r="AE749" s="4">
        <f t="shared" si="361"/>
        <v>0</v>
      </c>
      <c r="AF749" s="4">
        <f t="shared" si="362"/>
        <v>0</v>
      </c>
      <c r="AG749" s="4">
        <f t="shared" si="363"/>
        <v>8.2940496401020276</v>
      </c>
      <c r="AH749" s="4">
        <f t="shared" si="364"/>
        <v>0</v>
      </c>
      <c r="AI749" s="4">
        <f t="shared" si="365"/>
        <v>0</v>
      </c>
      <c r="AJ749" s="4">
        <f t="shared" si="366"/>
        <v>8.2940496401020276</v>
      </c>
      <c r="AK749" s="4">
        <f t="shared" si="367"/>
        <v>5.9375362050824263</v>
      </c>
      <c r="AL749" s="4">
        <f t="shared" si="368"/>
        <v>0</v>
      </c>
      <c r="AM749" s="4">
        <f>CER!$C$7+CER!$C$8*J749+CER!$C$9*K749+CER!$C$10*L749+CER!$C$11*M749</f>
        <v>3.3123805399349391</v>
      </c>
      <c r="AN749" s="4">
        <f t="shared" si="369"/>
        <v>27.45039451366948</v>
      </c>
      <c r="AO749" s="4">
        <f t="shared" si="370"/>
        <v>-5.7539448290135908E-3</v>
      </c>
      <c r="AP749" s="4">
        <f>Alternatives!$F$25+Alternatives!$F$26*J749+Alternatives!$F$27*K749+Alternatives!$F$28*G749+Alternatives!$F$29*O749</f>
        <v>3.3940732753994713</v>
      </c>
      <c r="AQ749" s="4">
        <f t="shared" si="371"/>
        <v>-8.7446680293545853E-2</v>
      </c>
    </row>
    <row r="750" spans="1:43" x14ac:dyDescent="0.35">
      <c r="A750" s="2" t="s">
        <v>649</v>
      </c>
      <c r="B750" s="2" t="s">
        <v>624</v>
      </c>
      <c r="C750" s="2" t="s">
        <v>67</v>
      </c>
      <c r="D750" s="2">
        <v>27.511399999999998</v>
      </c>
      <c r="E750" s="2">
        <v>4000</v>
      </c>
      <c r="F750" s="2">
        <v>379</v>
      </c>
      <c r="G750" s="2">
        <v>41.5</v>
      </c>
      <c r="H750" s="2" t="s">
        <v>68</v>
      </c>
      <c r="I750" s="4">
        <f t="shared" si="341"/>
        <v>3.3146004642268427</v>
      </c>
      <c r="J750" s="4">
        <f t="shared" si="342"/>
        <v>8.2940496401020276</v>
      </c>
      <c r="K750" s="4">
        <f t="shared" si="343"/>
        <v>5.9375362050824263</v>
      </c>
      <c r="L750" s="2">
        <v>0</v>
      </c>
      <c r="M750" s="2">
        <v>0</v>
      </c>
      <c r="N750" s="4">
        <f t="shared" si="344"/>
        <v>41.5</v>
      </c>
      <c r="O750" s="4">
        <f t="shared" si="345"/>
        <v>0</v>
      </c>
      <c r="P750" s="4">
        <f t="shared" si="346"/>
        <v>0</v>
      </c>
      <c r="Q750" s="4">
        <f t="shared" si="347"/>
        <v>8.2940496401020276</v>
      </c>
      <c r="R750" s="4">
        <f t="shared" si="348"/>
        <v>5.9375362050824263</v>
      </c>
      <c r="S750" s="4">
        <f t="shared" si="349"/>
        <v>41.5</v>
      </c>
      <c r="T750" s="4">
        <f t="shared" si="350"/>
        <v>0</v>
      </c>
      <c r="U750" s="4">
        <f t="shared" si="351"/>
        <v>8.2940496401020276</v>
      </c>
      <c r="V750" s="4">
        <f t="shared" si="352"/>
        <v>5.9375362050824263</v>
      </c>
      <c r="W750" s="4">
        <f t="shared" si="353"/>
        <v>41.5</v>
      </c>
      <c r="X750" s="4">
        <f t="shared" si="354"/>
        <v>0</v>
      </c>
      <c r="Y750" s="4">
        <f t="shared" si="355"/>
        <v>8.2940496401020276</v>
      </c>
      <c r="Z750" s="4">
        <f t="shared" si="356"/>
        <v>5.9375362050824263</v>
      </c>
      <c r="AA750" s="4">
        <f t="shared" si="357"/>
        <v>41.5</v>
      </c>
      <c r="AB750" s="4">
        <f t="shared" si="358"/>
        <v>0</v>
      </c>
      <c r="AC750" s="4">
        <f t="shared" si="359"/>
        <v>0</v>
      </c>
      <c r="AD750" s="4">
        <f t="shared" si="360"/>
        <v>0</v>
      </c>
      <c r="AE750" s="4">
        <f t="shared" si="361"/>
        <v>0</v>
      </c>
      <c r="AF750" s="4">
        <f t="shared" si="362"/>
        <v>0</v>
      </c>
      <c r="AG750" s="4">
        <f t="shared" si="363"/>
        <v>8.2940496401020276</v>
      </c>
      <c r="AH750" s="4">
        <f t="shared" si="364"/>
        <v>0</v>
      </c>
      <c r="AI750" s="4">
        <f t="shared" si="365"/>
        <v>0</v>
      </c>
      <c r="AJ750" s="4">
        <f t="shared" si="366"/>
        <v>8.2940496401020276</v>
      </c>
      <c r="AK750" s="4">
        <f t="shared" si="367"/>
        <v>5.9375362050824263</v>
      </c>
      <c r="AL750" s="4">
        <f t="shared" si="368"/>
        <v>0</v>
      </c>
      <c r="AM750" s="4">
        <f>CER!$C$7+CER!$C$8*J750+CER!$C$9*K750+CER!$C$10*L750+CER!$C$11*M750</f>
        <v>3.3123805399349391</v>
      </c>
      <c r="AN750" s="4">
        <f t="shared" si="369"/>
        <v>27.45039451366948</v>
      </c>
      <c r="AO750" s="4">
        <f t="shared" si="370"/>
        <v>2.2199242919036521E-3</v>
      </c>
      <c r="AP750" s="4">
        <f>Alternatives!$F$25+Alternatives!$F$26*J750+Alternatives!$F$27*K750+Alternatives!$F$28*G750+Alternatives!$F$29*O750</f>
        <v>3.3940732753994713</v>
      </c>
      <c r="AQ750" s="4">
        <f t="shared" si="371"/>
        <v>-7.947281117262861E-2</v>
      </c>
    </row>
    <row r="751" spans="1:43" x14ac:dyDescent="0.35">
      <c r="A751" s="2" t="s">
        <v>650</v>
      </c>
      <c r="B751" s="2" t="s">
        <v>624</v>
      </c>
      <c r="C751" s="2" t="s">
        <v>67</v>
      </c>
      <c r="D751" s="2">
        <v>21.2837</v>
      </c>
      <c r="E751" s="2">
        <v>4000</v>
      </c>
      <c r="F751" s="2">
        <v>572</v>
      </c>
      <c r="G751" s="2">
        <v>42</v>
      </c>
      <c r="H751" s="2" t="s">
        <v>68</v>
      </c>
      <c r="I751" s="4">
        <f t="shared" si="341"/>
        <v>3.0579415215398793</v>
      </c>
      <c r="J751" s="4">
        <f t="shared" si="342"/>
        <v>8.2940496401020276</v>
      </c>
      <c r="K751" s="4">
        <f t="shared" si="343"/>
        <v>6.3491389913797978</v>
      </c>
      <c r="L751" s="2">
        <v>0</v>
      </c>
      <c r="M751" s="2">
        <v>0</v>
      </c>
      <c r="N751" s="4">
        <f t="shared" si="344"/>
        <v>42</v>
      </c>
      <c r="O751" s="4">
        <f t="shared" si="345"/>
        <v>0</v>
      </c>
      <c r="P751" s="4">
        <f t="shared" si="346"/>
        <v>0</v>
      </c>
      <c r="Q751" s="4">
        <f t="shared" si="347"/>
        <v>8.2940496401020276</v>
      </c>
      <c r="R751" s="4">
        <f t="shared" si="348"/>
        <v>6.3491389913797978</v>
      </c>
      <c r="S751" s="4">
        <f t="shared" si="349"/>
        <v>42</v>
      </c>
      <c r="T751" s="4">
        <f t="shared" si="350"/>
        <v>0</v>
      </c>
      <c r="U751" s="4">
        <f t="shared" si="351"/>
        <v>8.2940496401020276</v>
      </c>
      <c r="V751" s="4">
        <f t="shared" si="352"/>
        <v>6.3491389913797978</v>
      </c>
      <c r="W751" s="4">
        <f t="shared" si="353"/>
        <v>42</v>
      </c>
      <c r="X751" s="4">
        <f t="shared" si="354"/>
        <v>0</v>
      </c>
      <c r="Y751" s="4">
        <f t="shared" si="355"/>
        <v>8.2940496401020276</v>
      </c>
      <c r="Z751" s="4">
        <f t="shared" si="356"/>
        <v>6.3491389913797978</v>
      </c>
      <c r="AA751" s="4">
        <f t="shared" si="357"/>
        <v>42</v>
      </c>
      <c r="AB751" s="4">
        <f t="shared" si="358"/>
        <v>0</v>
      </c>
      <c r="AC751" s="4">
        <f t="shared" si="359"/>
        <v>0</v>
      </c>
      <c r="AD751" s="4">
        <f t="shared" si="360"/>
        <v>0</v>
      </c>
      <c r="AE751" s="4">
        <f t="shared" si="361"/>
        <v>0</v>
      </c>
      <c r="AF751" s="4">
        <f t="shared" si="362"/>
        <v>0</v>
      </c>
      <c r="AG751" s="4">
        <f t="shared" si="363"/>
        <v>8.2940496401020276</v>
      </c>
      <c r="AH751" s="4">
        <f t="shared" si="364"/>
        <v>0</v>
      </c>
      <c r="AI751" s="4">
        <f t="shared" si="365"/>
        <v>0</v>
      </c>
      <c r="AJ751" s="4">
        <f t="shared" si="366"/>
        <v>8.2940496401020276</v>
      </c>
      <c r="AK751" s="4">
        <f t="shared" si="367"/>
        <v>6.3491389913797978</v>
      </c>
      <c r="AL751" s="4">
        <f t="shared" si="368"/>
        <v>0</v>
      </c>
      <c r="AM751" s="4">
        <f>CER!$C$7+CER!$C$8*J751+CER!$C$9*K751+CER!$C$10*L751+CER!$C$11*M751</f>
        <v>3.1605222793202192</v>
      </c>
      <c r="AN751" s="4">
        <f t="shared" si="369"/>
        <v>23.582909579189621</v>
      </c>
      <c r="AO751" s="4">
        <f t="shared" si="370"/>
        <v>-0.10258075778033993</v>
      </c>
      <c r="AP751" s="4">
        <f>Alternatives!$F$25+Alternatives!$F$26*J751+Alternatives!$F$27*K751+Alternatives!$F$28*G751+Alternatives!$F$29*O751</f>
        <v>3.2780380138752032</v>
      </c>
      <c r="AQ751" s="4">
        <f t="shared" si="371"/>
        <v>-0.22009649233532391</v>
      </c>
    </row>
    <row r="752" spans="1:43" x14ac:dyDescent="0.35">
      <c r="A752" s="2" t="s">
        <v>651</v>
      </c>
      <c r="B752" s="2" t="s">
        <v>624</v>
      </c>
      <c r="C752" s="2" t="s">
        <v>67</v>
      </c>
      <c r="D752" s="2">
        <v>20.780899999999999</v>
      </c>
      <c r="E752" s="2">
        <v>4000</v>
      </c>
      <c r="F752" s="2">
        <v>572</v>
      </c>
      <c r="G752" s="2">
        <v>42</v>
      </c>
      <c r="H752" s="2" t="s">
        <v>68</v>
      </c>
      <c r="I752" s="4">
        <f t="shared" si="341"/>
        <v>3.0340342956090347</v>
      </c>
      <c r="J752" s="4">
        <f t="shared" si="342"/>
        <v>8.2940496401020276</v>
      </c>
      <c r="K752" s="4">
        <f t="shared" si="343"/>
        <v>6.3491389913797978</v>
      </c>
      <c r="L752" s="2">
        <v>0</v>
      </c>
      <c r="M752" s="2">
        <v>0</v>
      </c>
      <c r="N752" s="4">
        <f t="shared" si="344"/>
        <v>42</v>
      </c>
      <c r="O752" s="4">
        <f t="shared" si="345"/>
        <v>0</v>
      </c>
      <c r="P752" s="4">
        <f t="shared" si="346"/>
        <v>0</v>
      </c>
      <c r="Q752" s="4">
        <f t="shared" si="347"/>
        <v>8.2940496401020276</v>
      </c>
      <c r="R752" s="4">
        <f t="shared" si="348"/>
        <v>6.3491389913797978</v>
      </c>
      <c r="S752" s="4">
        <f t="shared" si="349"/>
        <v>42</v>
      </c>
      <c r="T752" s="4">
        <f t="shared" si="350"/>
        <v>0</v>
      </c>
      <c r="U752" s="4">
        <f t="shared" si="351"/>
        <v>8.2940496401020276</v>
      </c>
      <c r="V752" s="4">
        <f t="shared" si="352"/>
        <v>6.3491389913797978</v>
      </c>
      <c r="W752" s="4">
        <f t="shared" si="353"/>
        <v>42</v>
      </c>
      <c r="X752" s="4">
        <f t="shared" si="354"/>
        <v>0</v>
      </c>
      <c r="Y752" s="4">
        <f t="shared" si="355"/>
        <v>8.2940496401020276</v>
      </c>
      <c r="Z752" s="4">
        <f t="shared" si="356"/>
        <v>6.3491389913797978</v>
      </c>
      <c r="AA752" s="4">
        <f t="shared" si="357"/>
        <v>42</v>
      </c>
      <c r="AB752" s="4">
        <f t="shared" si="358"/>
        <v>0</v>
      </c>
      <c r="AC752" s="4">
        <f t="shared" si="359"/>
        <v>0</v>
      </c>
      <c r="AD752" s="4">
        <f t="shared" si="360"/>
        <v>0</v>
      </c>
      <c r="AE752" s="4">
        <f t="shared" si="361"/>
        <v>0</v>
      </c>
      <c r="AF752" s="4">
        <f t="shared" si="362"/>
        <v>0</v>
      </c>
      <c r="AG752" s="4">
        <f t="shared" si="363"/>
        <v>8.2940496401020276</v>
      </c>
      <c r="AH752" s="4">
        <f t="shared" si="364"/>
        <v>0</v>
      </c>
      <c r="AI752" s="4">
        <f t="shared" si="365"/>
        <v>0</v>
      </c>
      <c r="AJ752" s="4">
        <f t="shared" si="366"/>
        <v>8.2940496401020276</v>
      </c>
      <c r="AK752" s="4">
        <f t="shared" si="367"/>
        <v>6.3491389913797978</v>
      </c>
      <c r="AL752" s="4">
        <f t="shared" si="368"/>
        <v>0</v>
      </c>
      <c r="AM752" s="4">
        <f>CER!$C$7+CER!$C$8*J752+CER!$C$9*K752+CER!$C$10*L752+CER!$C$11*M752</f>
        <v>3.1605222793202192</v>
      </c>
      <c r="AN752" s="4">
        <f t="shared" si="369"/>
        <v>23.582909579189621</v>
      </c>
      <c r="AO752" s="4">
        <f t="shared" si="370"/>
        <v>-0.12648798371118453</v>
      </c>
      <c r="AP752" s="4">
        <f>Alternatives!$F$25+Alternatives!$F$26*J752+Alternatives!$F$27*K752+Alternatives!$F$28*G752+Alternatives!$F$29*O752</f>
        <v>3.2780380138752032</v>
      </c>
      <c r="AQ752" s="4">
        <f t="shared" si="371"/>
        <v>-0.24400371826616851</v>
      </c>
    </row>
    <row r="753" spans="1:43" x14ac:dyDescent="0.35">
      <c r="A753" s="2" t="s">
        <v>652</v>
      </c>
      <c r="B753" s="2" t="s">
        <v>624</v>
      </c>
      <c r="C753" s="2" t="s">
        <v>67</v>
      </c>
      <c r="D753" s="2">
        <v>21.349499999999999</v>
      </c>
      <c r="E753" s="2">
        <v>4000</v>
      </c>
      <c r="F753" s="2">
        <v>640</v>
      </c>
      <c r="G753" s="2">
        <v>42</v>
      </c>
      <c r="H753" s="2" t="s">
        <v>68</v>
      </c>
      <c r="I753" s="4">
        <f t="shared" si="341"/>
        <v>3.0610283201966526</v>
      </c>
      <c r="J753" s="4">
        <f t="shared" si="342"/>
        <v>8.2940496401020276</v>
      </c>
      <c r="K753" s="4">
        <f t="shared" si="343"/>
        <v>6.4614681763537174</v>
      </c>
      <c r="L753" s="2">
        <v>0</v>
      </c>
      <c r="M753" s="2">
        <v>0</v>
      </c>
      <c r="N753" s="4">
        <f t="shared" si="344"/>
        <v>42</v>
      </c>
      <c r="O753" s="4">
        <f t="shared" si="345"/>
        <v>0</v>
      </c>
      <c r="P753" s="4">
        <f t="shared" si="346"/>
        <v>0</v>
      </c>
      <c r="Q753" s="4">
        <f t="shared" si="347"/>
        <v>8.2940496401020276</v>
      </c>
      <c r="R753" s="4">
        <f t="shared" si="348"/>
        <v>6.4614681763537174</v>
      </c>
      <c r="S753" s="4">
        <f t="shared" si="349"/>
        <v>42</v>
      </c>
      <c r="T753" s="4">
        <f t="shared" si="350"/>
        <v>0</v>
      </c>
      <c r="U753" s="4">
        <f t="shared" si="351"/>
        <v>8.2940496401020276</v>
      </c>
      <c r="V753" s="4">
        <f t="shared" si="352"/>
        <v>6.4614681763537174</v>
      </c>
      <c r="W753" s="4">
        <f t="shared" si="353"/>
        <v>42</v>
      </c>
      <c r="X753" s="4">
        <f t="shared" si="354"/>
        <v>0</v>
      </c>
      <c r="Y753" s="4">
        <f t="shared" si="355"/>
        <v>8.2940496401020276</v>
      </c>
      <c r="Z753" s="4">
        <f t="shared" si="356"/>
        <v>6.4614681763537174</v>
      </c>
      <c r="AA753" s="4">
        <f t="shared" si="357"/>
        <v>42</v>
      </c>
      <c r="AB753" s="4">
        <f t="shared" si="358"/>
        <v>0</v>
      </c>
      <c r="AC753" s="4">
        <f t="shared" si="359"/>
        <v>0</v>
      </c>
      <c r="AD753" s="4">
        <f t="shared" si="360"/>
        <v>0</v>
      </c>
      <c r="AE753" s="4">
        <f t="shared" si="361"/>
        <v>0</v>
      </c>
      <c r="AF753" s="4">
        <f t="shared" si="362"/>
        <v>0</v>
      </c>
      <c r="AG753" s="4">
        <f t="shared" si="363"/>
        <v>8.2940496401020276</v>
      </c>
      <c r="AH753" s="4">
        <f t="shared" si="364"/>
        <v>0</v>
      </c>
      <c r="AI753" s="4">
        <f t="shared" si="365"/>
        <v>0</v>
      </c>
      <c r="AJ753" s="4">
        <f t="shared" si="366"/>
        <v>8.2940496401020276</v>
      </c>
      <c r="AK753" s="4">
        <f t="shared" si="367"/>
        <v>6.4614681763537174</v>
      </c>
      <c r="AL753" s="4">
        <f t="shared" si="368"/>
        <v>0</v>
      </c>
      <c r="AM753" s="4">
        <f>CER!$C$7+CER!$C$8*J753+CER!$C$9*K753+CER!$C$10*L753+CER!$C$11*M753</f>
        <v>3.1190791326402438</v>
      </c>
      <c r="AN753" s="4">
        <f t="shared" si="369"/>
        <v>22.625534930426166</v>
      </c>
      <c r="AO753" s="4">
        <f t="shared" si="370"/>
        <v>-5.8050812443591226E-2</v>
      </c>
      <c r="AP753" s="4">
        <f>Alternatives!$F$25+Alternatives!$F$26*J753+Alternatives!$F$27*K753+Alternatives!$F$28*G753+Alternatives!$F$29*O753</f>
        <v>3.2481460980664658</v>
      </c>
      <c r="AQ753" s="4">
        <f t="shared" si="371"/>
        <v>-0.18711777786981321</v>
      </c>
    </row>
    <row r="754" spans="1:43" x14ac:dyDescent="0.35">
      <c r="A754" s="2" t="s">
        <v>653</v>
      </c>
      <c r="B754" s="2" t="s">
        <v>624</v>
      </c>
      <c r="C754" s="2" t="s">
        <v>67</v>
      </c>
      <c r="D754" s="2">
        <v>21.113600000000002</v>
      </c>
      <c r="E754" s="2">
        <v>4000</v>
      </c>
      <c r="F754" s="2">
        <v>640</v>
      </c>
      <c r="G754" s="2">
        <v>42</v>
      </c>
      <c r="H754" s="2" t="s">
        <v>68</v>
      </c>
      <c r="I754" s="4">
        <f t="shared" si="341"/>
        <v>3.0499173826120707</v>
      </c>
      <c r="J754" s="4">
        <f t="shared" si="342"/>
        <v>8.2940496401020276</v>
      </c>
      <c r="K754" s="4">
        <f t="shared" si="343"/>
        <v>6.4614681763537174</v>
      </c>
      <c r="L754" s="2">
        <v>0</v>
      </c>
      <c r="M754" s="2">
        <v>0</v>
      </c>
      <c r="N754" s="4">
        <f t="shared" si="344"/>
        <v>42</v>
      </c>
      <c r="O754" s="4">
        <f t="shared" si="345"/>
        <v>0</v>
      </c>
      <c r="P754" s="4">
        <f t="shared" si="346"/>
        <v>0</v>
      </c>
      <c r="Q754" s="4">
        <f t="shared" si="347"/>
        <v>8.2940496401020276</v>
      </c>
      <c r="R754" s="4">
        <f t="shared" si="348"/>
        <v>6.4614681763537174</v>
      </c>
      <c r="S754" s="4">
        <f t="shared" si="349"/>
        <v>42</v>
      </c>
      <c r="T754" s="4">
        <f t="shared" si="350"/>
        <v>0</v>
      </c>
      <c r="U754" s="4">
        <f t="shared" si="351"/>
        <v>8.2940496401020276</v>
      </c>
      <c r="V754" s="4">
        <f t="shared" si="352"/>
        <v>6.4614681763537174</v>
      </c>
      <c r="W754" s="4">
        <f t="shared" si="353"/>
        <v>42</v>
      </c>
      <c r="X754" s="4">
        <f t="shared" si="354"/>
        <v>0</v>
      </c>
      <c r="Y754" s="4">
        <f t="shared" si="355"/>
        <v>8.2940496401020276</v>
      </c>
      <c r="Z754" s="4">
        <f t="shared" si="356"/>
        <v>6.4614681763537174</v>
      </c>
      <c r="AA754" s="4">
        <f t="shared" si="357"/>
        <v>42</v>
      </c>
      <c r="AB754" s="4">
        <f t="shared" si="358"/>
        <v>0</v>
      </c>
      <c r="AC754" s="4">
        <f t="shared" si="359"/>
        <v>0</v>
      </c>
      <c r="AD754" s="4">
        <f t="shared" si="360"/>
        <v>0</v>
      </c>
      <c r="AE754" s="4">
        <f t="shared" si="361"/>
        <v>0</v>
      </c>
      <c r="AF754" s="4">
        <f t="shared" si="362"/>
        <v>0</v>
      </c>
      <c r="AG754" s="4">
        <f t="shared" si="363"/>
        <v>8.2940496401020276</v>
      </c>
      <c r="AH754" s="4">
        <f t="shared" si="364"/>
        <v>0</v>
      </c>
      <c r="AI754" s="4">
        <f t="shared" si="365"/>
        <v>0</v>
      </c>
      <c r="AJ754" s="4">
        <f t="shared" si="366"/>
        <v>8.2940496401020276</v>
      </c>
      <c r="AK754" s="4">
        <f t="shared" si="367"/>
        <v>6.4614681763537174</v>
      </c>
      <c r="AL754" s="4">
        <f t="shared" si="368"/>
        <v>0</v>
      </c>
      <c r="AM754" s="4">
        <f>CER!$C$7+CER!$C$8*J754+CER!$C$9*K754+CER!$C$10*L754+CER!$C$11*M754</f>
        <v>3.1190791326402438</v>
      </c>
      <c r="AN754" s="4">
        <f t="shared" si="369"/>
        <v>22.625534930426166</v>
      </c>
      <c r="AO754" s="4">
        <f t="shared" si="370"/>
        <v>-6.9161750028173152E-2</v>
      </c>
      <c r="AP754" s="4">
        <f>Alternatives!$F$25+Alternatives!$F$26*J754+Alternatives!$F$27*K754+Alternatives!$F$28*G754+Alternatives!$F$29*O754</f>
        <v>3.2481460980664658</v>
      </c>
      <c r="AQ754" s="4">
        <f t="shared" si="371"/>
        <v>-0.19822871545439513</v>
      </c>
    </row>
    <row r="755" spans="1:43" x14ac:dyDescent="0.35">
      <c r="A755" s="2" t="s">
        <v>654</v>
      </c>
      <c r="B755" s="2" t="s">
        <v>624</v>
      </c>
      <c r="C755" s="2" t="s">
        <v>67</v>
      </c>
      <c r="D755" s="2">
        <v>26.0246</v>
      </c>
      <c r="E755" s="2">
        <v>4000</v>
      </c>
      <c r="F755" s="2">
        <v>473</v>
      </c>
      <c r="G755" s="2">
        <v>41.5</v>
      </c>
      <c r="H755" s="2" t="s">
        <v>68</v>
      </c>
      <c r="I755" s="4">
        <f t="shared" si="341"/>
        <v>3.2590422445462197</v>
      </c>
      <c r="J755" s="4">
        <f t="shared" si="342"/>
        <v>8.2940496401020276</v>
      </c>
      <c r="K755" s="4">
        <f t="shared" si="343"/>
        <v>6.1590953884919326</v>
      </c>
      <c r="L755" s="2">
        <v>0</v>
      </c>
      <c r="M755" s="2">
        <v>0</v>
      </c>
      <c r="N755" s="4">
        <f t="shared" si="344"/>
        <v>41.5</v>
      </c>
      <c r="O755" s="4">
        <f t="shared" si="345"/>
        <v>0</v>
      </c>
      <c r="P755" s="4">
        <f t="shared" si="346"/>
        <v>0</v>
      </c>
      <c r="Q755" s="4">
        <f t="shared" si="347"/>
        <v>8.2940496401020276</v>
      </c>
      <c r="R755" s="4">
        <f t="shared" si="348"/>
        <v>6.1590953884919326</v>
      </c>
      <c r="S755" s="4">
        <f t="shared" si="349"/>
        <v>41.5</v>
      </c>
      <c r="T755" s="4">
        <f t="shared" si="350"/>
        <v>0</v>
      </c>
      <c r="U755" s="4">
        <f t="shared" si="351"/>
        <v>8.2940496401020276</v>
      </c>
      <c r="V755" s="4">
        <f t="shared" si="352"/>
        <v>6.1590953884919326</v>
      </c>
      <c r="W755" s="4">
        <f t="shared" si="353"/>
        <v>41.5</v>
      </c>
      <c r="X755" s="4">
        <f t="shared" si="354"/>
        <v>0</v>
      </c>
      <c r="Y755" s="4">
        <f t="shared" si="355"/>
        <v>8.2940496401020276</v>
      </c>
      <c r="Z755" s="4">
        <f t="shared" si="356"/>
        <v>6.1590953884919326</v>
      </c>
      <c r="AA755" s="4">
        <f t="shared" si="357"/>
        <v>41.5</v>
      </c>
      <c r="AB755" s="4">
        <f t="shared" si="358"/>
        <v>0</v>
      </c>
      <c r="AC755" s="4">
        <f t="shared" si="359"/>
        <v>0</v>
      </c>
      <c r="AD755" s="4">
        <f t="shared" si="360"/>
        <v>0</v>
      </c>
      <c r="AE755" s="4">
        <f t="shared" si="361"/>
        <v>0</v>
      </c>
      <c r="AF755" s="4">
        <f t="shared" si="362"/>
        <v>0</v>
      </c>
      <c r="AG755" s="4">
        <f t="shared" si="363"/>
        <v>8.2940496401020276</v>
      </c>
      <c r="AH755" s="4">
        <f t="shared" si="364"/>
        <v>0</v>
      </c>
      <c r="AI755" s="4">
        <f t="shared" si="365"/>
        <v>0</v>
      </c>
      <c r="AJ755" s="4">
        <f t="shared" si="366"/>
        <v>8.2940496401020276</v>
      </c>
      <c r="AK755" s="4">
        <f t="shared" si="367"/>
        <v>6.1590953884919326</v>
      </c>
      <c r="AL755" s="4">
        <f t="shared" si="368"/>
        <v>0</v>
      </c>
      <c r="AM755" s="4">
        <f>CER!$C$7+CER!$C$8*J755+CER!$C$9*K755+CER!$C$10*L755+CER!$C$11*M755</f>
        <v>3.2306376719664085</v>
      </c>
      <c r="AN755" s="4">
        <f t="shared" si="369"/>
        <v>25.295782240303392</v>
      </c>
      <c r="AO755" s="4">
        <f t="shared" si="370"/>
        <v>2.8404572579811216E-2</v>
      </c>
      <c r="AP755" s="4">
        <f>Alternatives!$F$25+Alternatives!$F$26*J755+Alternatives!$F$27*K755+Alternatives!$F$28*G755+Alternatives!$F$29*O755</f>
        <v>3.3351141682122587</v>
      </c>
      <c r="AQ755" s="4">
        <f t="shared" si="371"/>
        <v>-7.6071923666038987E-2</v>
      </c>
    </row>
    <row r="756" spans="1:43" x14ac:dyDescent="0.35">
      <c r="A756" s="2" t="s">
        <v>654</v>
      </c>
      <c r="B756" s="2" t="s">
        <v>624</v>
      </c>
      <c r="C756" s="2" t="s">
        <v>67</v>
      </c>
      <c r="D756" s="2">
        <v>26.0747</v>
      </c>
      <c r="E756" s="2">
        <v>4000</v>
      </c>
      <c r="F756" s="2">
        <v>473</v>
      </c>
      <c r="G756" s="2">
        <v>41.5</v>
      </c>
      <c r="H756" s="2" t="s">
        <v>68</v>
      </c>
      <c r="I756" s="4">
        <f t="shared" si="341"/>
        <v>3.2609654955473997</v>
      </c>
      <c r="J756" s="4">
        <f t="shared" si="342"/>
        <v>8.2940496401020276</v>
      </c>
      <c r="K756" s="4">
        <f t="shared" si="343"/>
        <v>6.1590953884919326</v>
      </c>
      <c r="L756" s="2">
        <v>0</v>
      </c>
      <c r="M756" s="2">
        <v>0</v>
      </c>
      <c r="N756" s="4">
        <f t="shared" si="344"/>
        <v>41.5</v>
      </c>
      <c r="O756" s="4">
        <f t="shared" si="345"/>
        <v>0</v>
      </c>
      <c r="P756" s="4">
        <f t="shared" si="346"/>
        <v>0</v>
      </c>
      <c r="Q756" s="4">
        <f t="shared" si="347"/>
        <v>8.2940496401020276</v>
      </c>
      <c r="R756" s="4">
        <f t="shared" si="348"/>
        <v>6.1590953884919326</v>
      </c>
      <c r="S756" s="4">
        <f t="shared" si="349"/>
        <v>41.5</v>
      </c>
      <c r="T756" s="4">
        <f t="shared" si="350"/>
        <v>0</v>
      </c>
      <c r="U756" s="4">
        <f t="shared" si="351"/>
        <v>8.2940496401020276</v>
      </c>
      <c r="V756" s="4">
        <f t="shared" si="352"/>
        <v>6.1590953884919326</v>
      </c>
      <c r="W756" s="4">
        <f t="shared" si="353"/>
        <v>41.5</v>
      </c>
      <c r="X756" s="4">
        <f t="shared" si="354"/>
        <v>0</v>
      </c>
      <c r="Y756" s="4">
        <f t="shared" si="355"/>
        <v>8.2940496401020276</v>
      </c>
      <c r="Z756" s="4">
        <f t="shared" si="356"/>
        <v>6.1590953884919326</v>
      </c>
      <c r="AA756" s="4">
        <f t="shared" si="357"/>
        <v>41.5</v>
      </c>
      <c r="AB756" s="4">
        <f t="shared" si="358"/>
        <v>0</v>
      </c>
      <c r="AC756" s="4">
        <f t="shared" si="359"/>
        <v>0</v>
      </c>
      <c r="AD756" s="4">
        <f t="shared" si="360"/>
        <v>0</v>
      </c>
      <c r="AE756" s="4">
        <f t="shared" si="361"/>
        <v>0</v>
      </c>
      <c r="AF756" s="4">
        <f t="shared" si="362"/>
        <v>0</v>
      </c>
      <c r="AG756" s="4">
        <f t="shared" si="363"/>
        <v>8.2940496401020276</v>
      </c>
      <c r="AH756" s="4">
        <f t="shared" si="364"/>
        <v>0</v>
      </c>
      <c r="AI756" s="4">
        <f t="shared" si="365"/>
        <v>0</v>
      </c>
      <c r="AJ756" s="4">
        <f t="shared" si="366"/>
        <v>8.2940496401020276</v>
      </c>
      <c r="AK756" s="4">
        <f t="shared" si="367"/>
        <v>6.1590953884919326</v>
      </c>
      <c r="AL756" s="4">
        <f t="shared" si="368"/>
        <v>0</v>
      </c>
      <c r="AM756" s="4">
        <f>CER!$C$7+CER!$C$8*J756+CER!$C$9*K756+CER!$C$10*L756+CER!$C$11*M756</f>
        <v>3.2306376719664085</v>
      </c>
      <c r="AN756" s="4">
        <f t="shared" si="369"/>
        <v>25.295782240303392</v>
      </c>
      <c r="AO756" s="4">
        <f t="shared" si="370"/>
        <v>3.0327823580991176E-2</v>
      </c>
      <c r="AP756" s="4">
        <f>Alternatives!$F$25+Alternatives!$F$26*J756+Alternatives!$F$27*K756+Alternatives!$F$28*G756+Alternatives!$F$29*O756</f>
        <v>3.3351141682122587</v>
      </c>
      <c r="AQ756" s="4">
        <f t="shared" si="371"/>
        <v>-7.4148672664859028E-2</v>
      </c>
    </row>
    <row r="757" spans="1:43" x14ac:dyDescent="0.35">
      <c r="A757" s="2" t="s">
        <v>655</v>
      </c>
      <c r="B757" s="2" t="s">
        <v>624</v>
      </c>
      <c r="C757" s="2" t="s">
        <v>67</v>
      </c>
      <c r="D757" s="2">
        <v>26.316700000000001</v>
      </c>
      <c r="E757" s="2">
        <v>4000</v>
      </c>
      <c r="F757" s="2">
        <v>473</v>
      </c>
      <c r="G757" s="2">
        <v>41.5</v>
      </c>
      <c r="H757" s="2" t="s">
        <v>68</v>
      </c>
      <c r="I757" s="4">
        <f t="shared" si="341"/>
        <v>3.2702037186571853</v>
      </c>
      <c r="J757" s="4">
        <f t="shared" si="342"/>
        <v>8.2940496401020276</v>
      </c>
      <c r="K757" s="4">
        <f t="shared" si="343"/>
        <v>6.1590953884919326</v>
      </c>
      <c r="L757" s="2">
        <v>0</v>
      </c>
      <c r="M757" s="2">
        <v>0</v>
      </c>
      <c r="N757" s="4">
        <f t="shared" si="344"/>
        <v>41.5</v>
      </c>
      <c r="O757" s="4">
        <f t="shared" si="345"/>
        <v>0</v>
      </c>
      <c r="P757" s="4">
        <f t="shared" si="346"/>
        <v>0</v>
      </c>
      <c r="Q757" s="4">
        <f t="shared" si="347"/>
        <v>8.2940496401020276</v>
      </c>
      <c r="R757" s="4">
        <f t="shared" si="348"/>
        <v>6.1590953884919326</v>
      </c>
      <c r="S757" s="4">
        <f t="shared" si="349"/>
        <v>41.5</v>
      </c>
      <c r="T757" s="4">
        <f t="shared" si="350"/>
        <v>0</v>
      </c>
      <c r="U757" s="4">
        <f t="shared" si="351"/>
        <v>8.2940496401020276</v>
      </c>
      <c r="V757" s="4">
        <f t="shared" si="352"/>
        <v>6.1590953884919326</v>
      </c>
      <c r="W757" s="4">
        <f t="shared" si="353"/>
        <v>41.5</v>
      </c>
      <c r="X757" s="4">
        <f t="shared" si="354"/>
        <v>0</v>
      </c>
      <c r="Y757" s="4">
        <f t="shared" si="355"/>
        <v>8.2940496401020276</v>
      </c>
      <c r="Z757" s="4">
        <f t="shared" si="356"/>
        <v>6.1590953884919326</v>
      </c>
      <c r="AA757" s="4">
        <f t="shared" si="357"/>
        <v>41.5</v>
      </c>
      <c r="AB757" s="4">
        <f t="shared" si="358"/>
        <v>0</v>
      </c>
      <c r="AC757" s="4">
        <f t="shared" si="359"/>
        <v>0</v>
      </c>
      <c r="AD757" s="4">
        <f t="shared" si="360"/>
        <v>0</v>
      </c>
      <c r="AE757" s="4">
        <f t="shared" si="361"/>
        <v>0</v>
      </c>
      <c r="AF757" s="4">
        <f t="shared" si="362"/>
        <v>0</v>
      </c>
      <c r="AG757" s="4">
        <f t="shared" si="363"/>
        <v>8.2940496401020276</v>
      </c>
      <c r="AH757" s="4">
        <f t="shared" si="364"/>
        <v>0</v>
      </c>
      <c r="AI757" s="4">
        <f t="shared" si="365"/>
        <v>0</v>
      </c>
      <c r="AJ757" s="4">
        <f t="shared" si="366"/>
        <v>8.2940496401020276</v>
      </c>
      <c r="AK757" s="4">
        <f t="shared" si="367"/>
        <v>6.1590953884919326</v>
      </c>
      <c r="AL757" s="4">
        <f t="shared" si="368"/>
        <v>0</v>
      </c>
      <c r="AM757" s="4">
        <f>CER!$C$7+CER!$C$8*J757+CER!$C$9*K757+CER!$C$10*L757+CER!$C$11*M757</f>
        <v>3.2306376719664085</v>
      </c>
      <c r="AN757" s="4">
        <f t="shared" si="369"/>
        <v>25.295782240303392</v>
      </c>
      <c r="AO757" s="4">
        <f t="shared" si="370"/>
        <v>3.956604669077679E-2</v>
      </c>
      <c r="AP757" s="4">
        <f>Alternatives!$F$25+Alternatives!$F$26*J757+Alternatives!$F$27*K757+Alternatives!$F$28*G757+Alternatives!$F$29*O757</f>
        <v>3.3351141682122587</v>
      </c>
      <c r="AQ757" s="4">
        <f t="shared" si="371"/>
        <v>-6.4910449555073413E-2</v>
      </c>
    </row>
    <row r="758" spans="1:43" x14ac:dyDescent="0.35">
      <c r="A758" s="2" t="s">
        <v>655</v>
      </c>
      <c r="B758" s="2" t="s">
        <v>624</v>
      </c>
      <c r="C758" s="2" t="s">
        <v>67</v>
      </c>
      <c r="D758" s="2">
        <v>26.311399999999999</v>
      </c>
      <c r="E758" s="2">
        <v>4000</v>
      </c>
      <c r="F758" s="2">
        <v>473</v>
      </c>
      <c r="G758" s="2">
        <v>41.5</v>
      </c>
      <c r="H758" s="2" t="s">
        <v>68</v>
      </c>
      <c r="I758" s="4">
        <f t="shared" si="341"/>
        <v>3.270002305343084</v>
      </c>
      <c r="J758" s="4">
        <f t="shared" si="342"/>
        <v>8.2940496401020276</v>
      </c>
      <c r="K758" s="4">
        <f t="shared" si="343"/>
        <v>6.1590953884919326</v>
      </c>
      <c r="L758" s="2">
        <v>0</v>
      </c>
      <c r="M758" s="2">
        <v>0</v>
      </c>
      <c r="N758" s="4">
        <f t="shared" si="344"/>
        <v>41.5</v>
      </c>
      <c r="O758" s="4">
        <f t="shared" si="345"/>
        <v>0</v>
      </c>
      <c r="P758" s="4">
        <f t="shared" si="346"/>
        <v>0</v>
      </c>
      <c r="Q758" s="4">
        <f t="shared" si="347"/>
        <v>8.2940496401020276</v>
      </c>
      <c r="R758" s="4">
        <f t="shared" si="348"/>
        <v>6.1590953884919326</v>
      </c>
      <c r="S758" s="4">
        <f t="shared" si="349"/>
        <v>41.5</v>
      </c>
      <c r="T758" s="4">
        <f t="shared" si="350"/>
        <v>0</v>
      </c>
      <c r="U758" s="4">
        <f t="shared" si="351"/>
        <v>8.2940496401020276</v>
      </c>
      <c r="V758" s="4">
        <f t="shared" si="352"/>
        <v>6.1590953884919326</v>
      </c>
      <c r="W758" s="4">
        <f t="shared" si="353"/>
        <v>41.5</v>
      </c>
      <c r="X758" s="4">
        <f t="shared" si="354"/>
        <v>0</v>
      </c>
      <c r="Y758" s="4">
        <f t="shared" si="355"/>
        <v>8.2940496401020276</v>
      </c>
      <c r="Z758" s="4">
        <f t="shared" si="356"/>
        <v>6.1590953884919326</v>
      </c>
      <c r="AA758" s="4">
        <f t="shared" si="357"/>
        <v>41.5</v>
      </c>
      <c r="AB758" s="4">
        <f t="shared" si="358"/>
        <v>0</v>
      </c>
      <c r="AC758" s="4">
        <f t="shared" si="359"/>
        <v>0</v>
      </c>
      <c r="AD758" s="4">
        <f t="shared" si="360"/>
        <v>0</v>
      </c>
      <c r="AE758" s="4">
        <f t="shared" si="361"/>
        <v>0</v>
      </c>
      <c r="AF758" s="4">
        <f t="shared" si="362"/>
        <v>0</v>
      </c>
      <c r="AG758" s="4">
        <f t="shared" si="363"/>
        <v>8.2940496401020276</v>
      </c>
      <c r="AH758" s="4">
        <f t="shared" si="364"/>
        <v>0</v>
      </c>
      <c r="AI758" s="4">
        <f t="shared" si="365"/>
        <v>0</v>
      </c>
      <c r="AJ758" s="4">
        <f t="shared" si="366"/>
        <v>8.2940496401020276</v>
      </c>
      <c r="AK758" s="4">
        <f t="shared" si="367"/>
        <v>6.1590953884919326</v>
      </c>
      <c r="AL758" s="4">
        <f t="shared" si="368"/>
        <v>0</v>
      </c>
      <c r="AM758" s="4">
        <f>CER!$C$7+CER!$C$8*J758+CER!$C$9*K758+CER!$C$10*L758+CER!$C$11*M758</f>
        <v>3.2306376719664085</v>
      </c>
      <c r="AN758" s="4">
        <f t="shared" si="369"/>
        <v>25.295782240303392</v>
      </c>
      <c r="AO758" s="4">
        <f t="shared" si="370"/>
        <v>3.9364633376675506E-2</v>
      </c>
      <c r="AP758" s="4">
        <f>Alternatives!$F$25+Alternatives!$F$26*J758+Alternatives!$F$27*K758+Alternatives!$F$28*G758+Alternatives!$F$29*O758</f>
        <v>3.3351141682122587</v>
      </c>
      <c r="AQ758" s="4">
        <f t="shared" si="371"/>
        <v>-6.5111862869174697E-2</v>
      </c>
    </row>
    <row r="759" spans="1:43" x14ac:dyDescent="0.35">
      <c r="A759" s="2" t="s">
        <v>656</v>
      </c>
      <c r="B759" s="2" t="s">
        <v>624</v>
      </c>
      <c r="C759" s="2" t="s">
        <v>67</v>
      </c>
      <c r="D759" s="2">
        <v>25.9496</v>
      </c>
      <c r="E759" s="2">
        <v>4000</v>
      </c>
      <c r="F759" s="2">
        <v>473</v>
      </c>
      <c r="G759" s="2">
        <v>41.5</v>
      </c>
      <c r="H759" s="2" t="s">
        <v>68</v>
      </c>
      <c r="I759" s="4">
        <f t="shared" si="341"/>
        <v>3.2561561952349081</v>
      </c>
      <c r="J759" s="4">
        <f t="shared" si="342"/>
        <v>8.2940496401020276</v>
      </c>
      <c r="K759" s="4">
        <f t="shared" si="343"/>
        <v>6.1590953884919326</v>
      </c>
      <c r="L759" s="2">
        <v>0</v>
      </c>
      <c r="M759" s="2">
        <v>0</v>
      </c>
      <c r="N759" s="4">
        <f t="shared" si="344"/>
        <v>41.5</v>
      </c>
      <c r="O759" s="4">
        <f t="shared" si="345"/>
        <v>0</v>
      </c>
      <c r="P759" s="4">
        <f t="shared" si="346"/>
        <v>0</v>
      </c>
      <c r="Q759" s="4">
        <f t="shared" si="347"/>
        <v>8.2940496401020276</v>
      </c>
      <c r="R759" s="4">
        <f t="shared" si="348"/>
        <v>6.1590953884919326</v>
      </c>
      <c r="S759" s="4">
        <f t="shared" si="349"/>
        <v>41.5</v>
      </c>
      <c r="T759" s="4">
        <f t="shared" si="350"/>
        <v>0</v>
      </c>
      <c r="U759" s="4">
        <f t="shared" si="351"/>
        <v>8.2940496401020276</v>
      </c>
      <c r="V759" s="4">
        <f t="shared" si="352"/>
        <v>6.1590953884919326</v>
      </c>
      <c r="W759" s="4">
        <f t="shared" si="353"/>
        <v>41.5</v>
      </c>
      <c r="X759" s="4">
        <f t="shared" si="354"/>
        <v>0</v>
      </c>
      <c r="Y759" s="4">
        <f t="shared" si="355"/>
        <v>8.2940496401020276</v>
      </c>
      <c r="Z759" s="4">
        <f t="shared" si="356"/>
        <v>6.1590953884919326</v>
      </c>
      <c r="AA759" s="4">
        <f t="shared" si="357"/>
        <v>41.5</v>
      </c>
      <c r="AB759" s="4">
        <f t="shared" si="358"/>
        <v>0</v>
      </c>
      <c r="AC759" s="4">
        <f t="shared" si="359"/>
        <v>0</v>
      </c>
      <c r="AD759" s="4">
        <f t="shared" si="360"/>
        <v>0</v>
      </c>
      <c r="AE759" s="4">
        <f t="shared" si="361"/>
        <v>0</v>
      </c>
      <c r="AF759" s="4">
        <f t="shared" si="362"/>
        <v>0</v>
      </c>
      <c r="AG759" s="4">
        <f t="shared" si="363"/>
        <v>8.2940496401020276</v>
      </c>
      <c r="AH759" s="4">
        <f t="shared" si="364"/>
        <v>0</v>
      </c>
      <c r="AI759" s="4">
        <f t="shared" si="365"/>
        <v>0</v>
      </c>
      <c r="AJ759" s="4">
        <f t="shared" si="366"/>
        <v>8.2940496401020276</v>
      </c>
      <c r="AK759" s="4">
        <f t="shared" si="367"/>
        <v>6.1590953884919326</v>
      </c>
      <c r="AL759" s="4">
        <f t="shared" si="368"/>
        <v>0</v>
      </c>
      <c r="AM759" s="4">
        <f>CER!$C$7+CER!$C$8*J759+CER!$C$9*K759+CER!$C$10*L759+CER!$C$11*M759</f>
        <v>3.2306376719664085</v>
      </c>
      <c r="AN759" s="4">
        <f t="shared" si="369"/>
        <v>25.295782240303392</v>
      </c>
      <c r="AO759" s="4">
        <f t="shared" si="370"/>
        <v>2.5518523268499571E-2</v>
      </c>
      <c r="AP759" s="4">
        <f>Alternatives!$F$25+Alternatives!$F$26*J759+Alternatives!$F$27*K759+Alternatives!$F$28*G759+Alternatives!$F$29*O759</f>
        <v>3.3351141682122587</v>
      </c>
      <c r="AQ759" s="4">
        <f t="shared" si="371"/>
        <v>-7.8957972977350632E-2</v>
      </c>
    </row>
    <row r="760" spans="1:43" x14ac:dyDescent="0.35">
      <c r="A760" s="2" t="s">
        <v>656</v>
      </c>
      <c r="B760" s="2" t="s">
        <v>624</v>
      </c>
      <c r="C760" s="2" t="s">
        <v>67</v>
      </c>
      <c r="D760" s="2">
        <v>25.421800000000001</v>
      </c>
      <c r="E760" s="2">
        <v>4000</v>
      </c>
      <c r="F760" s="2">
        <v>473</v>
      </c>
      <c r="G760" s="2">
        <v>41.5</v>
      </c>
      <c r="H760" s="2" t="s">
        <v>68</v>
      </c>
      <c r="I760" s="4">
        <f t="shared" si="341"/>
        <v>3.2356070736398941</v>
      </c>
      <c r="J760" s="4">
        <f t="shared" si="342"/>
        <v>8.2940496401020276</v>
      </c>
      <c r="K760" s="4">
        <f t="shared" si="343"/>
        <v>6.1590953884919326</v>
      </c>
      <c r="L760" s="2">
        <v>0</v>
      </c>
      <c r="M760" s="2">
        <v>0</v>
      </c>
      <c r="N760" s="4">
        <f t="shared" si="344"/>
        <v>41.5</v>
      </c>
      <c r="O760" s="4">
        <f t="shared" si="345"/>
        <v>0</v>
      </c>
      <c r="P760" s="4">
        <f t="shared" si="346"/>
        <v>0</v>
      </c>
      <c r="Q760" s="4">
        <f t="shared" si="347"/>
        <v>8.2940496401020276</v>
      </c>
      <c r="R760" s="4">
        <f t="shared" si="348"/>
        <v>6.1590953884919326</v>
      </c>
      <c r="S760" s="4">
        <f t="shared" si="349"/>
        <v>41.5</v>
      </c>
      <c r="T760" s="4">
        <f t="shared" si="350"/>
        <v>0</v>
      </c>
      <c r="U760" s="4">
        <f t="shared" si="351"/>
        <v>8.2940496401020276</v>
      </c>
      <c r="V760" s="4">
        <f t="shared" si="352"/>
        <v>6.1590953884919326</v>
      </c>
      <c r="W760" s="4">
        <f t="shared" si="353"/>
        <v>41.5</v>
      </c>
      <c r="X760" s="4">
        <f t="shared" si="354"/>
        <v>0</v>
      </c>
      <c r="Y760" s="4">
        <f t="shared" si="355"/>
        <v>8.2940496401020276</v>
      </c>
      <c r="Z760" s="4">
        <f t="shared" si="356"/>
        <v>6.1590953884919326</v>
      </c>
      <c r="AA760" s="4">
        <f t="shared" si="357"/>
        <v>41.5</v>
      </c>
      <c r="AB760" s="4">
        <f t="shared" si="358"/>
        <v>0</v>
      </c>
      <c r="AC760" s="4">
        <f t="shared" si="359"/>
        <v>0</v>
      </c>
      <c r="AD760" s="4">
        <f t="shared" si="360"/>
        <v>0</v>
      </c>
      <c r="AE760" s="4">
        <f t="shared" si="361"/>
        <v>0</v>
      </c>
      <c r="AF760" s="4">
        <f t="shared" si="362"/>
        <v>0</v>
      </c>
      <c r="AG760" s="4">
        <f t="shared" si="363"/>
        <v>8.2940496401020276</v>
      </c>
      <c r="AH760" s="4">
        <f t="shared" si="364"/>
        <v>0</v>
      </c>
      <c r="AI760" s="4">
        <f t="shared" si="365"/>
        <v>0</v>
      </c>
      <c r="AJ760" s="4">
        <f t="shared" si="366"/>
        <v>8.2940496401020276</v>
      </c>
      <c r="AK760" s="4">
        <f t="shared" si="367"/>
        <v>6.1590953884919326</v>
      </c>
      <c r="AL760" s="4">
        <f t="shared" si="368"/>
        <v>0</v>
      </c>
      <c r="AM760" s="4">
        <f>CER!$C$7+CER!$C$8*J760+CER!$C$9*K760+CER!$C$10*L760+CER!$C$11*M760</f>
        <v>3.2306376719664085</v>
      </c>
      <c r="AN760" s="4">
        <f t="shared" si="369"/>
        <v>25.295782240303392</v>
      </c>
      <c r="AO760" s="4">
        <f t="shared" si="370"/>
        <v>4.969401673485585E-3</v>
      </c>
      <c r="AP760" s="4">
        <f>Alternatives!$F$25+Alternatives!$F$26*J760+Alternatives!$F$27*K760+Alternatives!$F$28*G760+Alternatives!$F$29*O760</f>
        <v>3.3351141682122587</v>
      </c>
      <c r="AQ760" s="4">
        <f t="shared" si="371"/>
        <v>-9.9507094572364618E-2</v>
      </c>
    </row>
    <row r="761" spans="1:43" x14ac:dyDescent="0.35">
      <c r="A761" s="2" t="s">
        <v>657</v>
      </c>
      <c r="B761" s="2" t="s">
        <v>624</v>
      </c>
      <c r="C761" s="2" t="s">
        <v>67</v>
      </c>
      <c r="D761" s="2">
        <v>25.168399999999998</v>
      </c>
      <c r="E761" s="2">
        <v>4000</v>
      </c>
      <c r="F761" s="2">
        <v>473</v>
      </c>
      <c r="G761" s="2">
        <v>41.5</v>
      </c>
      <c r="H761" s="2" t="s">
        <v>68</v>
      </c>
      <c r="I761" s="4">
        <f t="shared" si="341"/>
        <v>3.2255892393873378</v>
      </c>
      <c r="J761" s="4">
        <f t="shared" si="342"/>
        <v>8.2940496401020276</v>
      </c>
      <c r="K761" s="4">
        <f t="shared" si="343"/>
        <v>6.1590953884919326</v>
      </c>
      <c r="L761" s="2">
        <v>0</v>
      </c>
      <c r="M761" s="2">
        <v>0</v>
      </c>
      <c r="N761" s="4">
        <f t="shared" si="344"/>
        <v>41.5</v>
      </c>
      <c r="O761" s="4">
        <f t="shared" si="345"/>
        <v>0</v>
      </c>
      <c r="P761" s="4">
        <f t="shared" si="346"/>
        <v>0</v>
      </c>
      <c r="Q761" s="4">
        <f t="shared" si="347"/>
        <v>8.2940496401020276</v>
      </c>
      <c r="R761" s="4">
        <f t="shared" si="348"/>
        <v>6.1590953884919326</v>
      </c>
      <c r="S761" s="4">
        <f t="shared" si="349"/>
        <v>41.5</v>
      </c>
      <c r="T761" s="4">
        <f t="shared" si="350"/>
        <v>0</v>
      </c>
      <c r="U761" s="4">
        <f t="shared" si="351"/>
        <v>8.2940496401020276</v>
      </c>
      <c r="V761" s="4">
        <f t="shared" si="352"/>
        <v>6.1590953884919326</v>
      </c>
      <c r="W761" s="4">
        <f t="shared" si="353"/>
        <v>41.5</v>
      </c>
      <c r="X761" s="4">
        <f t="shared" si="354"/>
        <v>0</v>
      </c>
      <c r="Y761" s="4">
        <f t="shared" si="355"/>
        <v>8.2940496401020276</v>
      </c>
      <c r="Z761" s="4">
        <f t="shared" si="356"/>
        <v>6.1590953884919326</v>
      </c>
      <c r="AA761" s="4">
        <f t="shared" si="357"/>
        <v>41.5</v>
      </c>
      <c r="AB761" s="4">
        <f t="shared" si="358"/>
        <v>0</v>
      </c>
      <c r="AC761" s="4">
        <f t="shared" si="359"/>
        <v>0</v>
      </c>
      <c r="AD761" s="4">
        <f t="shared" si="360"/>
        <v>0</v>
      </c>
      <c r="AE761" s="4">
        <f t="shared" si="361"/>
        <v>0</v>
      </c>
      <c r="AF761" s="4">
        <f t="shared" si="362"/>
        <v>0</v>
      </c>
      <c r="AG761" s="4">
        <f t="shared" si="363"/>
        <v>8.2940496401020276</v>
      </c>
      <c r="AH761" s="4">
        <f t="shared" si="364"/>
        <v>0</v>
      </c>
      <c r="AI761" s="4">
        <f t="shared" si="365"/>
        <v>0</v>
      </c>
      <c r="AJ761" s="4">
        <f t="shared" si="366"/>
        <v>8.2940496401020276</v>
      </c>
      <c r="AK761" s="4">
        <f t="shared" si="367"/>
        <v>6.1590953884919326</v>
      </c>
      <c r="AL761" s="4">
        <f t="shared" si="368"/>
        <v>0</v>
      </c>
      <c r="AM761" s="4">
        <f>CER!$C$7+CER!$C$8*J761+CER!$C$9*K761+CER!$C$10*L761+CER!$C$11*M761</f>
        <v>3.2306376719664085</v>
      </c>
      <c r="AN761" s="4">
        <f t="shared" si="369"/>
        <v>25.295782240303392</v>
      </c>
      <c r="AO761" s="4">
        <f t="shared" si="370"/>
        <v>-5.0484325790707274E-3</v>
      </c>
      <c r="AP761" s="4">
        <f>Alternatives!$F$25+Alternatives!$F$26*J761+Alternatives!$F$27*K761+Alternatives!$F$28*G761+Alternatives!$F$29*O761</f>
        <v>3.3351141682122587</v>
      </c>
      <c r="AQ761" s="4">
        <f t="shared" si="371"/>
        <v>-0.10952492882492093</v>
      </c>
    </row>
    <row r="762" spans="1:43" x14ac:dyDescent="0.35">
      <c r="A762" s="2" t="s">
        <v>657</v>
      </c>
      <c r="B762" s="2" t="s">
        <v>624</v>
      </c>
      <c r="C762" s="2" t="s">
        <v>67</v>
      </c>
      <c r="D762" s="2">
        <v>25.122299999999999</v>
      </c>
      <c r="E762" s="2">
        <v>4000</v>
      </c>
      <c r="F762" s="2">
        <v>473</v>
      </c>
      <c r="G762" s="2">
        <v>41.5</v>
      </c>
      <c r="H762" s="2" t="s">
        <v>68</v>
      </c>
      <c r="I762" s="4">
        <f t="shared" si="341"/>
        <v>3.2237558979181444</v>
      </c>
      <c r="J762" s="4">
        <f t="shared" si="342"/>
        <v>8.2940496401020276</v>
      </c>
      <c r="K762" s="4">
        <f t="shared" si="343"/>
        <v>6.1590953884919326</v>
      </c>
      <c r="L762" s="2">
        <v>0</v>
      </c>
      <c r="M762" s="2">
        <v>0</v>
      </c>
      <c r="N762" s="4">
        <f t="shared" si="344"/>
        <v>41.5</v>
      </c>
      <c r="O762" s="4">
        <f t="shared" si="345"/>
        <v>0</v>
      </c>
      <c r="P762" s="4">
        <f t="shared" si="346"/>
        <v>0</v>
      </c>
      <c r="Q762" s="4">
        <f t="shared" si="347"/>
        <v>8.2940496401020276</v>
      </c>
      <c r="R762" s="4">
        <f t="shared" si="348"/>
        <v>6.1590953884919326</v>
      </c>
      <c r="S762" s="4">
        <f t="shared" si="349"/>
        <v>41.5</v>
      </c>
      <c r="T762" s="4">
        <f t="shared" si="350"/>
        <v>0</v>
      </c>
      <c r="U762" s="4">
        <f t="shared" si="351"/>
        <v>8.2940496401020276</v>
      </c>
      <c r="V762" s="4">
        <f t="shared" si="352"/>
        <v>6.1590953884919326</v>
      </c>
      <c r="W762" s="4">
        <f t="shared" si="353"/>
        <v>41.5</v>
      </c>
      <c r="X762" s="4">
        <f t="shared" si="354"/>
        <v>0</v>
      </c>
      <c r="Y762" s="4">
        <f t="shared" si="355"/>
        <v>8.2940496401020276</v>
      </c>
      <c r="Z762" s="4">
        <f t="shared" si="356"/>
        <v>6.1590953884919326</v>
      </c>
      <c r="AA762" s="4">
        <f t="shared" si="357"/>
        <v>41.5</v>
      </c>
      <c r="AB762" s="4">
        <f t="shared" si="358"/>
        <v>0</v>
      </c>
      <c r="AC762" s="4">
        <f t="shared" si="359"/>
        <v>0</v>
      </c>
      <c r="AD762" s="4">
        <f t="shared" si="360"/>
        <v>0</v>
      </c>
      <c r="AE762" s="4">
        <f t="shared" si="361"/>
        <v>0</v>
      </c>
      <c r="AF762" s="4">
        <f t="shared" si="362"/>
        <v>0</v>
      </c>
      <c r="AG762" s="4">
        <f t="shared" si="363"/>
        <v>8.2940496401020276</v>
      </c>
      <c r="AH762" s="4">
        <f t="shared" si="364"/>
        <v>0</v>
      </c>
      <c r="AI762" s="4">
        <f t="shared" si="365"/>
        <v>0</v>
      </c>
      <c r="AJ762" s="4">
        <f t="shared" si="366"/>
        <v>8.2940496401020276</v>
      </c>
      <c r="AK762" s="4">
        <f t="shared" si="367"/>
        <v>6.1590953884919326</v>
      </c>
      <c r="AL762" s="4">
        <f t="shared" si="368"/>
        <v>0</v>
      </c>
      <c r="AM762" s="4">
        <f>CER!$C$7+CER!$C$8*J762+CER!$C$9*K762+CER!$C$10*L762+CER!$C$11*M762</f>
        <v>3.2306376719664085</v>
      </c>
      <c r="AN762" s="4">
        <f t="shared" si="369"/>
        <v>25.295782240303392</v>
      </c>
      <c r="AO762" s="4">
        <f t="shared" si="370"/>
        <v>-6.8817740482640666E-3</v>
      </c>
      <c r="AP762" s="4">
        <f>Alternatives!$F$25+Alternatives!$F$26*J762+Alternatives!$F$27*K762+Alternatives!$F$28*G762+Alternatives!$F$29*O762</f>
        <v>3.3351141682122587</v>
      </c>
      <c r="AQ762" s="4">
        <f t="shared" si="371"/>
        <v>-0.11135827029411427</v>
      </c>
    </row>
    <row r="763" spans="1:43" x14ac:dyDescent="0.35">
      <c r="A763" s="2" t="s">
        <v>658</v>
      </c>
      <c r="B763" s="2" t="s">
        <v>624</v>
      </c>
      <c r="C763" s="2" t="s">
        <v>67</v>
      </c>
      <c r="D763" s="2">
        <v>25.186699999999998</v>
      </c>
      <c r="E763" s="2">
        <v>4000</v>
      </c>
      <c r="F763" s="2">
        <v>473</v>
      </c>
      <c r="G763" s="2">
        <v>41.5</v>
      </c>
      <c r="H763" s="2" t="s">
        <v>68</v>
      </c>
      <c r="I763" s="4">
        <f t="shared" si="341"/>
        <v>3.226316077415885</v>
      </c>
      <c r="J763" s="4">
        <f t="shared" si="342"/>
        <v>8.2940496401020276</v>
      </c>
      <c r="K763" s="4">
        <f t="shared" si="343"/>
        <v>6.1590953884919326</v>
      </c>
      <c r="L763" s="2">
        <v>0</v>
      </c>
      <c r="M763" s="2">
        <v>0</v>
      </c>
      <c r="N763" s="4">
        <f t="shared" si="344"/>
        <v>41.5</v>
      </c>
      <c r="O763" s="4">
        <f t="shared" si="345"/>
        <v>0</v>
      </c>
      <c r="P763" s="4">
        <f t="shared" si="346"/>
        <v>0</v>
      </c>
      <c r="Q763" s="4">
        <f t="shared" si="347"/>
        <v>8.2940496401020276</v>
      </c>
      <c r="R763" s="4">
        <f t="shared" si="348"/>
        <v>6.1590953884919326</v>
      </c>
      <c r="S763" s="4">
        <f t="shared" si="349"/>
        <v>41.5</v>
      </c>
      <c r="T763" s="4">
        <f t="shared" si="350"/>
        <v>0</v>
      </c>
      <c r="U763" s="4">
        <f t="shared" si="351"/>
        <v>8.2940496401020276</v>
      </c>
      <c r="V763" s="4">
        <f t="shared" si="352"/>
        <v>6.1590953884919326</v>
      </c>
      <c r="W763" s="4">
        <f t="shared" si="353"/>
        <v>41.5</v>
      </c>
      <c r="X763" s="4">
        <f t="shared" si="354"/>
        <v>0</v>
      </c>
      <c r="Y763" s="4">
        <f t="shared" si="355"/>
        <v>8.2940496401020276</v>
      </c>
      <c r="Z763" s="4">
        <f t="shared" si="356"/>
        <v>6.1590953884919326</v>
      </c>
      <c r="AA763" s="4">
        <f t="shared" si="357"/>
        <v>41.5</v>
      </c>
      <c r="AB763" s="4">
        <f t="shared" si="358"/>
        <v>0</v>
      </c>
      <c r="AC763" s="4">
        <f t="shared" si="359"/>
        <v>0</v>
      </c>
      <c r="AD763" s="4">
        <f t="shared" si="360"/>
        <v>0</v>
      </c>
      <c r="AE763" s="4">
        <f t="shared" si="361"/>
        <v>0</v>
      </c>
      <c r="AF763" s="4">
        <f t="shared" si="362"/>
        <v>0</v>
      </c>
      <c r="AG763" s="4">
        <f t="shared" si="363"/>
        <v>8.2940496401020276</v>
      </c>
      <c r="AH763" s="4">
        <f t="shared" si="364"/>
        <v>0</v>
      </c>
      <c r="AI763" s="4">
        <f t="shared" si="365"/>
        <v>0</v>
      </c>
      <c r="AJ763" s="4">
        <f t="shared" si="366"/>
        <v>8.2940496401020276</v>
      </c>
      <c r="AK763" s="4">
        <f t="shared" si="367"/>
        <v>6.1590953884919326</v>
      </c>
      <c r="AL763" s="4">
        <f t="shared" si="368"/>
        <v>0</v>
      </c>
      <c r="AM763" s="4">
        <f>CER!$C$7+CER!$C$8*J763+CER!$C$9*K763+CER!$C$10*L763+CER!$C$11*M763</f>
        <v>3.2306376719664085</v>
      </c>
      <c r="AN763" s="4">
        <f t="shared" si="369"/>
        <v>25.295782240303392</v>
      </c>
      <c r="AO763" s="4">
        <f t="shared" si="370"/>
        <v>-4.3215945505234998E-3</v>
      </c>
      <c r="AP763" s="4">
        <f>Alternatives!$F$25+Alternatives!$F$26*J763+Alternatives!$F$27*K763+Alternatives!$F$28*G763+Alternatives!$F$29*O763</f>
        <v>3.3351141682122587</v>
      </c>
      <c r="AQ763" s="4">
        <f t="shared" si="371"/>
        <v>-0.1087980907963737</v>
      </c>
    </row>
    <row r="764" spans="1:43" x14ac:dyDescent="0.35">
      <c r="A764" s="2" t="s">
        <v>658</v>
      </c>
      <c r="B764" s="2" t="s">
        <v>624</v>
      </c>
      <c r="C764" s="2" t="s">
        <v>67</v>
      </c>
      <c r="D764" s="2">
        <v>25.122299999999999</v>
      </c>
      <c r="E764" s="2">
        <v>4000</v>
      </c>
      <c r="F764" s="2">
        <v>473</v>
      </c>
      <c r="G764" s="2">
        <v>41.5</v>
      </c>
      <c r="H764" s="2" t="s">
        <v>68</v>
      </c>
      <c r="I764" s="4">
        <f t="shared" si="341"/>
        <v>3.2237558979181444</v>
      </c>
      <c r="J764" s="4">
        <f t="shared" si="342"/>
        <v>8.2940496401020276</v>
      </c>
      <c r="K764" s="4">
        <f t="shared" si="343"/>
        <v>6.1590953884919326</v>
      </c>
      <c r="L764" s="2">
        <v>0</v>
      </c>
      <c r="M764" s="2">
        <v>0</v>
      </c>
      <c r="N764" s="4">
        <f t="shared" si="344"/>
        <v>41.5</v>
      </c>
      <c r="O764" s="4">
        <f t="shared" si="345"/>
        <v>0</v>
      </c>
      <c r="P764" s="4">
        <f t="shared" si="346"/>
        <v>0</v>
      </c>
      <c r="Q764" s="4">
        <f t="shared" si="347"/>
        <v>8.2940496401020276</v>
      </c>
      <c r="R764" s="4">
        <f t="shared" si="348"/>
        <v>6.1590953884919326</v>
      </c>
      <c r="S764" s="4">
        <f t="shared" si="349"/>
        <v>41.5</v>
      </c>
      <c r="T764" s="4">
        <f t="shared" si="350"/>
        <v>0</v>
      </c>
      <c r="U764" s="4">
        <f t="shared" si="351"/>
        <v>8.2940496401020276</v>
      </c>
      <c r="V764" s="4">
        <f t="shared" si="352"/>
        <v>6.1590953884919326</v>
      </c>
      <c r="W764" s="4">
        <f t="shared" si="353"/>
        <v>41.5</v>
      </c>
      <c r="X764" s="4">
        <f t="shared" si="354"/>
        <v>0</v>
      </c>
      <c r="Y764" s="4">
        <f t="shared" si="355"/>
        <v>8.2940496401020276</v>
      </c>
      <c r="Z764" s="4">
        <f t="shared" si="356"/>
        <v>6.1590953884919326</v>
      </c>
      <c r="AA764" s="4">
        <f t="shared" si="357"/>
        <v>41.5</v>
      </c>
      <c r="AB764" s="4">
        <f t="shared" si="358"/>
        <v>0</v>
      </c>
      <c r="AC764" s="4">
        <f t="shared" si="359"/>
        <v>0</v>
      </c>
      <c r="AD764" s="4">
        <f t="shared" si="360"/>
        <v>0</v>
      </c>
      <c r="AE764" s="4">
        <f t="shared" si="361"/>
        <v>0</v>
      </c>
      <c r="AF764" s="4">
        <f t="shared" si="362"/>
        <v>0</v>
      </c>
      <c r="AG764" s="4">
        <f t="shared" si="363"/>
        <v>8.2940496401020276</v>
      </c>
      <c r="AH764" s="4">
        <f t="shared" si="364"/>
        <v>0</v>
      </c>
      <c r="AI764" s="4">
        <f t="shared" si="365"/>
        <v>0</v>
      </c>
      <c r="AJ764" s="4">
        <f t="shared" si="366"/>
        <v>8.2940496401020276</v>
      </c>
      <c r="AK764" s="4">
        <f t="shared" si="367"/>
        <v>6.1590953884919326</v>
      </c>
      <c r="AL764" s="4">
        <f t="shared" si="368"/>
        <v>0</v>
      </c>
      <c r="AM764" s="4">
        <f>CER!$C$7+CER!$C$8*J764+CER!$C$9*K764+CER!$C$10*L764+CER!$C$11*M764</f>
        <v>3.2306376719664085</v>
      </c>
      <c r="AN764" s="4">
        <f t="shared" si="369"/>
        <v>25.295782240303392</v>
      </c>
      <c r="AO764" s="4">
        <f t="shared" si="370"/>
        <v>-6.8817740482640666E-3</v>
      </c>
      <c r="AP764" s="4">
        <f>Alternatives!$F$25+Alternatives!$F$26*J764+Alternatives!$F$27*K764+Alternatives!$F$28*G764+Alternatives!$F$29*O764</f>
        <v>3.3351141682122587</v>
      </c>
      <c r="AQ764" s="4">
        <f t="shared" si="371"/>
        <v>-0.11135827029411427</v>
      </c>
    </row>
    <row r="765" spans="1:43" x14ac:dyDescent="0.35">
      <c r="A765" s="2" t="s">
        <v>659</v>
      </c>
      <c r="B765" s="2" t="s">
        <v>624</v>
      </c>
      <c r="C765" s="2" t="s">
        <v>67</v>
      </c>
      <c r="D765" s="2">
        <v>20.025200000000002</v>
      </c>
      <c r="E765" s="2">
        <v>3500</v>
      </c>
      <c r="F765" s="2">
        <v>502</v>
      </c>
      <c r="G765" s="2">
        <v>41.6</v>
      </c>
      <c r="H765" s="2" t="s">
        <v>68</v>
      </c>
      <c r="I765" s="4">
        <f t="shared" si="341"/>
        <v>2.9969914804201534</v>
      </c>
      <c r="J765" s="4">
        <f t="shared" si="342"/>
        <v>8.1605182474775049</v>
      </c>
      <c r="K765" s="4">
        <f t="shared" si="343"/>
        <v>6.2186001196917289</v>
      </c>
      <c r="L765" s="2">
        <v>0</v>
      </c>
      <c r="M765" s="2">
        <v>0</v>
      </c>
      <c r="N765" s="4">
        <f t="shared" si="344"/>
        <v>41.6</v>
      </c>
      <c r="O765" s="4">
        <f t="shared" si="345"/>
        <v>0</v>
      </c>
      <c r="P765" s="4">
        <f t="shared" si="346"/>
        <v>0</v>
      </c>
      <c r="Q765" s="4">
        <f t="shared" si="347"/>
        <v>8.1605182474775049</v>
      </c>
      <c r="R765" s="4">
        <f t="shared" si="348"/>
        <v>6.2186001196917289</v>
      </c>
      <c r="S765" s="4">
        <f t="shared" si="349"/>
        <v>41.6</v>
      </c>
      <c r="T765" s="4">
        <f t="shared" si="350"/>
        <v>0</v>
      </c>
      <c r="U765" s="4">
        <f t="shared" si="351"/>
        <v>8.1605182474775049</v>
      </c>
      <c r="V765" s="4">
        <f t="shared" si="352"/>
        <v>6.2186001196917289</v>
      </c>
      <c r="W765" s="4">
        <f t="shared" si="353"/>
        <v>41.6</v>
      </c>
      <c r="X765" s="4">
        <f t="shared" si="354"/>
        <v>0</v>
      </c>
      <c r="Y765" s="4">
        <f t="shared" si="355"/>
        <v>8.1605182474775049</v>
      </c>
      <c r="Z765" s="4">
        <f t="shared" si="356"/>
        <v>6.2186001196917289</v>
      </c>
      <c r="AA765" s="4">
        <f t="shared" si="357"/>
        <v>41.6</v>
      </c>
      <c r="AB765" s="4">
        <f t="shared" si="358"/>
        <v>0</v>
      </c>
      <c r="AC765" s="4">
        <f t="shared" si="359"/>
        <v>0</v>
      </c>
      <c r="AD765" s="4">
        <f t="shared" si="360"/>
        <v>0</v>
      </c>
      <c r="AE765" s="4">
        <f t="shared" si="361"/>
        <v>0</v>
      </c>
      <c r="AF765" s="4">
        <f t="shared" si="362"/>
        <v>0</v>
      </c>
      <c r="AG765" s="4">
        <f t="shared" si="363"/>
        <v>8.1605182474775049</v>
      </c>
      <c r="AH765" s="4">
        <f t="shared" si="364"/>
        <v>0</v>
      </c>
      <c r="AI765" s="4">
        <f t="shared" si="365"/>
        <v>0</v>
      </c>
      <c r="AJ765" s="4">
        <f t="shared" si="366"/>
        <v>8.1605182474775049</v>
      </c>
      <c r="AK765" s="4">
        <f t="shared" si="367"/>
        <v>6.2186001196917289</v>
      </c>
      <c r="AL765" s="4">
        <f t="shared" si="368"/>
        <v>0</v>
      </c>
      <c r="AM765" s="4">
        <f>CER!$C$7+CER!$C$8*J765+CER!$C$9*K765+CER!$C$10*L765+CER!$C$11*M765</f>
        <v>3.2691346546422646</v>
      </c>
      <c r="AN765" s="4">
        <f t="shared" si="369"/>
        <v>26.288580796331043</v>
      </c>
      <c r="AO765" s="4">
        <f t="shared" si="370"/>
        <v>-0.27214317422211121</v>
      </c>
      <c r="AP765" s="4">
        <f>Alternatives!$F$25+Alternatives!$F$26*J765+Alternatives!$F$27*K765+Alternatives!$F$28*G765+Alternatives!$F$29*O765</f>
        <v>3.2685605386022587</v>
      </c>
      <c r="AQ765" s="4">
        <f t="shared" si="371"/>
        <v>-0.27156905818210531</v>
      </c>
    </row>
    <row r="766" spans="1:43" x14ac:dyDescent="0.35">
      <c r="A766" s="2" t="s">
        <v>659</v>
      </c>
      <c r="B766" s="2" t="s">
        <v>624</v>
      </c>
      <c r="C766" s="2" t="s">
        <v>67</v>
      </c>
      <c r="D766" s="2">
        <v>19.720800000000001</v>
      </c>
      <c r="E766" s="2">
        <v>3500</v>
      </c>
      <c r="F766" s="2">
        <v>502</v>
      </c>
      <c r="G766" s="2">
        <v>41.6</v>
      </c>
      <c r="H766" s="2" t="s">
        <v>68</v>
      </c>
      <c r="I766" s="4">
        <f t="shared" si="341"/>
        <v>2.9816739163029506</v>
      </c>
      <c r="J766" s="4">
        <f t="shared" si="342"/>
        <v>8.1605182474775049</v>
      </c>
      <c r="K766" s="4">
        <f t="shared" si="343"/>
        <v>6.2186001196917289</v>
      </c>
      <c r="L766" s="2">
        <v>0</v>
      </c>
      <c r="M766" s="2">
        <v>0</v>
      </c>
      <c r="N766" s="4">
        <f t="shared" si="344"/>
        <v>41.6</v>
      </c>
      <c r="O766" s="4">
        <f t="shared" si="345"/>
        <v>0</v>
      </c>
      <c r="P766" s="4">
        <f t="shared" si="346"/>
        <v>0</v>
      </c>
      <c r="Q766" s="4">
        <f t="shared" si="347"/>
        <v>8.1605182474775049</v>
      </c>
      <c r="R766" s="4">
        <f t="shared" si="348"/>
        <v>6.2186001196917289</v>
      </c>
      <c r="S766" s="4">
        <f t="shared" si="349"/>
        <v>41.6</v>
      </c>
      <c r="T766" s="4">
        <f t="shared" si="350"/>
        <v>0</v>
      </c>
      <c r="U766" s="4">
        <f t="shared" si="351"/>
        <v>8.1605182474775049</v>
      </c>
      <c r="V766" s="4">
        <f t="shared" si="352"/>
        <v>6.2186001196917289</v>
      </c>
      <c r="W766" s="4">
        <f t="shared" si="353"/>
        <v>41.6</v>
      </c>
      <c r="X766" s="4">
        <f t="shared" si="354"/>
        <v>0</v>
      </c>
      <c r="Y766" s="4">
        <f t="shared" si="355"/>
        <v>8.1605182474775049</v>
      </c>
      <c r="Z766" s="4">
        <f t="shared" si="356"/>
        <v>6.2186001196917289</v>
      </c>
      <c r="AA766" s="4">
        <f t="shared" si="357"/>
        <v>41.6</v>
      </c>
      <c r="AB766" s="4">
        <f t="shared" si="358"/>
        <v>0</v>
      </c>
      <c r="AC766" s="4">
        <f t="shared" si="359"/>
        <v>0</v>
      </c>
      <c r="AD766" s="4">
        <f t="shared" si="360"/>
        <v>0</v>
      </c>
      <c r="AE766" s="4">
        <f t="shared" si="361"/>
        <v>0</v>
      </c>
      <c r="AF766" s="4">
        <f t="shared" si="362"/>
        <v>0</v>
      </c>
      <c r="AG766" s="4">
        <f t="shared" si="363"/>
        <v>8.1605182474775049</v>
      </c>
      <c r="AH766" s="4">
        <f t="shared" si="364"/>
        <v>0</v>
      </c>
      <c r="AI766" s="4">
        <f t="shared" si="365"/>
        <v>0</v>
      </c>
      <c r="AJ766" s="4">
        <f t="shared" si="366"/>
        <v>8.1605182474775049</v>
      </c>
      <c r="AK766" s="4">
        <f t="shared" si="367"/>
        <v>6.2186001196917289</v>
      </c>
      <c r="AL766" s="4">
        <f t="shared" si="368"/>
        <v>0</v>
      </c>
      <c r="AM766" s="4">
        <f>CER!$C$7+CER!$C$8*J766+CER!$C$9*K766+CER!$C$10*L766+CER!$C$11*M766</f>
        <v>3.2691346546422646</v>
      </c>
      <c r="AN766" s="4">
        <f t="shared" si="369"/>
        <v>26.288580796331043</v>
      </c>
      <c r="AO766" s="4">
        <f t="shared" si="370"/>
        <v>-0.28746073833931396</v>
      </c>
      <c r="AP766" s="4">
        <f>Alternatives!$F$25+Alternatives!$F$26*J766+Alternatives!$F$27*K766+Alternatives!$F$28*G766+Alternatives!$F$29*O766</f>
        <v>3.2685605386022587</v>
      </c>
      <c r="AQ766" s="4">
        <f t="shared" si="371"/>
        <v>-0.28688662229930806</v>
      </c>
    </row>
    <row r="767" spans="1:43" x14ac:dyDescent="0.35">
      <c r="A767" s="2" t="s">
        <v>660</v>
      </c>
      <c r="B767" s="2" t="s">
        <v>624</v>
      </c>
      <c r="C767" s="2" t="s">
        <v>67</v>
      </c>
      <c r="D767" s="2">
        <v>19.980399999999999</v>
      </c>
      <c r="E767" s="2">
        <v>3500</v>
      </c>
      <c r="F767" s="2">
        <v>518</v>
      </c>
      <c r="G767" s="2">
        <v>41.6</v>
      </c>
      <c r="H767" s="2" t="s">
        <v>68</v>
      </c>
      <c r="I767" s="4">
        <f t="shared" si="341"/>
        <v>2.9947517930400296</v>
      </c>
      <c r="J767" s="4">
        <f t="shared" si="342"/>
        <v>8.1605182474775049</v>
      </c>
      <c r="K767" s="4">
        <f t="shared" si="343"/>
        <v>6.2499752422594828</v>
      </c>
      <c r="L767" s="2">
        <v>0</v>
      </c>
      <c r="M767" s="2">
        <v>0</v>
      </c>
      <c r="N767" s="4">
        <f t="shared" si="344"/>
        <v>41.6</v>
      </c>
      <c r="O767" s="4">
        <f t="shared" si="345"/>
        <v>0</v>
      </c>
      <c r="P767" s="4">
        <f t="shared" si="346"/>
        <v>0</v>
      </c>
      <c r="Q767" s="4">
        <f t="shared" si="347"/>
        <v>8.1605182474775049</v>
      </c>
      <c r="R767" s="4">
        <f t="shared" si="348"/>
        <v>6.2499752422594828</v>
      </c>
      <c r="S767" s="4">
        <f t="shared" si="349"/>
        <v>41.6</v>
      </c>
      <c r="T767" s="4">
        <f t="shared" si="350"/>
        <v>0</v>
      </c>
      <c r="U767" s="4">
        <f t="shared" si="351"/>
        <v>8.1605182474775049</v>
      </c>
      <c r="V767" s="4">
        <f t="shared" si="352"/>
        <v>6.2499752422594828</v>
      </c>
      <c r="W767" s="4">
        <f t="shared" si="353"/>
        <v>41.6</v>
      </c>
      <c r="X767" s="4">
        <f t="shared" si="354"/>
        <v>0</v>
      </c>
      <c r="Y767" s="4">
        <f t="shared" si="355"/>
        <v>8.1605182474775049</v>
      </c>
      <c r="Z767" s="4">
        <f t="shared" si="356"/>
        <v>6.2499752422594828</v>
      </c>
      <c r="AA767" s="4">
        <f t="shared" si="357"/>
        <v>41.6</v>
      </c>
      <c r="AB767" s="4">
        <f t="shared" si="358"/>
        <v>0</v>
      </c>
      <c r="AC767" s="4">
        <f t="shared" si="359"/>
        <v>0</v>
      </c>
      <c r="AD767" s="4">
        <f t="shared" si="360"/>
        <v>0</v>
      </c>
      <c r="AE767" s="4">
        <f t="shared" si="361"/>
        <v>0</v>
      </c>
      <c r="AF767" s="4">
        <f t="shared" si="362"/>
        <v>0</v>
      </c>
      <c r="AG767" s="4">
        <f t="shared" si="363"/>
        <v>8.1605182474775049</v>
      </c>
      <c r="AH767" s="4">
        <f t="shared" si="364"/>
        <v>0</v>
      </c>
      <c r="AI767" s="4">
        <f t="shared" si="365"/>
        <v>0</v>
      </c>
      <c r="AJ767" s="4">
        <f t="shared" si="366"/>
        <v>8.1605182474775049</v>
      </c>
      <c r="AK767" s="4">
        <f t="shared" si="367"/>
        <v>6.2499752422594828</v>
      </c>
      <c r="AL767" s="4">
        <f t="shared" si="368"/>
        <v>0</v>
      </c>
      <c r="AM767" s="4">
        <f>CER!$C$7+CER!$C$8*J767+CER!$C$9*K767+CER!$C$10*L767+CER!$C$11*M767</f>
        <v>3.2575590003990729</v>
      </c>
      <c r="AN767" s="4">
        <f t="shared" si="369"/>
        <v>25.98602777745144</v>
      </c>
      <c r="AO767" s="4">
        <f t="shared" si="370"/>
        <v>-0.26280720735904328</v>
      </c>
      <c r="AP767" s="4">
        <f>Alternatives!$F$25+Alternatives!$F$26*J767+Alternatives!$F$27*K767+Alternatives!$F$28*G767+Alternatives!$F$29*O767</f>
        <v>3.2602113057425894</v>
      </c>
      <c r="AQ767" s="4">
        <f t="shared" si="371"/>
        <v>-0.26545951270255985</v>
      </c>
    </row>
    <row r="768" spans="1:43" x14ac:dyDescent="0.35">
      <c r="A768" s="2" t="s">
        <v>661</v>
      </c>
      <c r="B768" s="2" t="s">
        <v>624</v>
      </c>
      <c r="C768" s="2" t="s">
        <v>67</v>
      </c>
      <c r="D768" s="2">
        <v>20.025200000000002</v>
      </c>
      <c r="E768" s="2">
        <v>3500</v>
      </c>
      <c r="F768" s="2">
        <v>502</v>
      </c>
      <c r="G768" s="2">
        <v>41.6</v>
      </c>
      <c r="H768" s="2" t="s">
        <v>68</v>
      </c>
      <c r="I768" s="4">
        <f t="shared" si="341"/>
        <v>2.9969914804201534</v>
      </c>
      <c r="J768" s="4">
        <f t="shared" si="342"/>
        <v>8.1605182474775049</v>
      </c>
      <c r="K768" s="4">
        <f t="shared" si="343"/>
        <v>6.2186001196917289</v>
      </c>
      <c r="L768" s="2">
        <v>0</v>
      </c>
      <c r="M768" s="2">
        <v>0</v>
      </c>
      <c r="N768" s="4">
        <f t="shared" si="344"/>
        <v>41.6</v>
      </c>
      <c r="O768" s="4">
        <f t="shared" si="345"/>
        <v>0</v>
      </c>
      <c r="P768" s="4">
        <f t="shared" si="346"/>
        <v>0</v>
      </c>
      <c r="Q768" s="4">
        <f t="shared" si="347"/>
        <v>8.1605182474775049</v>
      </c>
      <c r="R768" s="4">
        <f t="shared" si="348"/>
        <v>6.2186001196917289</v>
      </c>
      <c r="S768" s="4">
        <f t="shared" si="349"/>
        <v>41.6</v>
      </c>
      <c r="T768" s="4">
        <f t="shared" si="350"/>
        <v>0</v>
      </c>
      <c r="U768" s="4">
        <f t="shared" si="351"/>
        <v>8.1605182474775049</v>
      </c>
      <c r="V768" s="4">
        <f t="shared" si="352"/>
        <v>6.2186001196917289</v>
      </c>
      <c r="W768" s="4">
        <f t="shared" si="353"/>
        <v>41.6</v>
      </c>
      <c r="X768" s="4">
        <f t="shared" si="354"/>
        <v>0</v>
      </c>
      <c r="Y768" s="4">
        <f t="shared" si="355"/>
        <v>8.1605182474775049</v>
      </c>
      <c r="Z768" s="4">
        <f t="shared" si="356"/>
        <v>6.2186001196917289</v>
      </c>
      <c r="AA768" s="4">
        <f t="shared" si="357"/>
        <v>41.6</v>
      </c>
      <c r="AB768" s="4">
        <f t="shared" si="358"/>
        <v>0</v>
      </c>
      <c r="AC768" s="4">
        <f t="shared" si="359"/>
        <v>0</v>
      </c>
      <c r="AD768" s="4">
        <f t="shared" si="360"/>
        <v>0</v>
      </c>
      <c r="AE768" s="4">
        <f t="shared" si="361"/>
        <v>0</v>
      </c>
      <c r="AF768" s="4">
        <f t="shared" si="362"/>
        <v>0</v>
      </c>
      <c r="AG768" s="4">
        <f t="shared" si="363"/>
        <v>8.1605182474775049</v>
      </c>
      <c r="AH768" s="4">
        <f t="shared" si="364"/>
        <v>0</v>
      </c>
      <c r="AI768" s="4">
        <f t="shared" si="365"/>
        <v>0</v>
      </c>
      <c r="AJ768" s="4">
        <f t="shared" si="366"/>
        <v>8.1605182474775049</v>
      </c>
      <c r="AK768" s="4">
        <f t="shared" si="367"/>
        <v>6.2186001196917289</v>
      </c>
      <c r="AL768" s="4">
        <f t="shared" si="368"/>
        <v>0</v>
      </c>
      <c r="AM768" s="4">
        <f>CER!$C$7+CER!$C$8*J768+CER!$C$9*K768+CER!$C$10*L768+CER!$C$11*M768</f>
        <v>3.2691346546422646</v>
      </c>
      <c r="AN768" s="4">
        <f t="shared" si="369"/>
        <v>26.288580796331043</v>
      </c>
      <c r="AO768" s="4">
        <f t="shared" si="370"/>
        <v>-0.27214317422211121</v>
      </c>
      <c r="AP768" s="4">
        <f>Alternatives!$F$25+Alternatives!$F$26*J768+Alternatives!$F$27*K768+Alternatives!$F$28*G768+Alternatives!$F$29*O768</f>
        <v>3.2685605386022587</v>
      </c>
      <c r="AQ768" s="4">
        <f t="shared" si="371"/>
        <v>-0.27156905818210531</v>
      </c>
    </row>
    <row r="769" spans="1:43" x14ac:dyDescent="0.35">
      <c r="A769" s="2" t="s">
        <v>661</v>
      </c>
      <c r="B769" s="2" t="s">
        <v>624</v>
      </c>
      <c r="C769" s="2" t="s">
        <v>67</v>
      </c>
      <c r="D769" s="2">
        <v>19.720800000000001</v>
      </c>
      <c r="E769" s="2">
        <v>3500</v>
      </c>
      <c r="F769" s="2">
        <v>502</v>
      </c>
      <c r="G769" s="2">
        <v>41.6</v>
      </c>
      <c r="H769" s="2" t="s">
        <v>68</v>
      </c>
      <c r="I769" s="4">
        <f t="shared" si="341"/>
        <v>2.9816739163029506</v>
      </c>
      <c r="J769" s="4">
        <f t="shared" si="342"/>
        <v>8.1605182474775049</v>
      </c>
      <c r="K769" s="4">
        <f t="shared" si="343"/>
        <v>6.2186001196917289</v>
      </c>
      <c r="L769" s="2">
        <v>0</v>
      </c>
      <c r="M769" s="2">
        <v>0</v>
      </c>
      <c r="N769" s="4">
        <f t="shared" si="344"/>
        <v>41.6</v>
      </c>
      <c r="O769" s="4">
        <f t="shared" si="345"/>
        <v>0</v>
      </c>
      <c r="P769" s="4">
        <f t="shared" si="346"/>
        <v>0</v>
      </c>
      <c r="Q769" s="4">
        <f t="shared" si="347"/>
        <v>8.1605182474775049</v>
      </c>
      <c r="R769" s="4">
        <f t="shared" si="348"/>
        <v>6.2186001196917289</v>
      </c>
      <c r="S769" s="4">
        <f t="shared" si="349"/>
        <v>41.6</v>
      </c>
      <c r="T769" s="4">
        <f t="shared" si="350"/>
        <v>0</v>
      </c>
      <c r="U769" s="4">
        <f t="shared" si="351"/>
        <v>8.1605182474775049</v>
      </c>
      <c r="V769" s="4">
        <f t="shared" si="352"/>
        <v>6.2186001196917289</v>
      </c>
      <c r="W769" s="4">
        <f t="shared" si="353"/>
        <v>41.6</v>
      </c>
      <c r="X769" s="4">
        <f t="shared" si="354"/>
        <v>0</v>
      </c>
      <c r="Y769" s="4">
        <f t="shared" si="355"/>
        <v>8.1605182474775049</v>
      </c>
      <c r="Z769" s="4">
        <f t="shared" si="356"/>
        <v>6.2186001196917289</v>
      </c>
      <c r="AA769" s="4">
        <f t="shared" si="357"/>
        <v>41.6</v>
      </c>
      <c r="AB769" s="4">
        <f t="shared" si="358"/>
        <v>0</v>
      </c>
      <c r="AC769" s="4">
        <f t="shared" si="359"/>
        <v>0</v>
      </c>
      <c r="AD769" s="4">
        <f t="shared" si="360"/>
        <v>0</v>
      </c>
      <c r="AE769" s="4">
        <f t="shared" si="361"/>
        <v>0</v>
      </c>
      <c r="AF769" s="4">
        <f t="shared" si="362"/>
        <v>0</v>
      </c>
      <c r="AG769" s="4">
        <f t="shared" si="363"/>
        <v>8.1605182474775049</v>
      </c>
      <c r="AH769" s="4">
        <f t="shared" si="364"/>
        <v>0</v>
      </c>
      <c r="AI769" s="4">
        <f t="shared" si="365"/>
        <v>0</v>
      </c>
      <c r="AJ769" s="4">
        <f t="shared" si="366"/>
        <v>8.1605182474775049</v>
      </c>
      <c r="AK769" s="4">
        <f t="shared" si="367"/>
        <v>6.2186001196917289</v>
      </c>
      <c r="AL769" s="4">
        <f t="shared" si="368"/>
        <v>0</v>
      </c>
      <c r="AM769" s="4">
        <f>CER!$C$7+CER!$C$8*J769+CER!$C$9*K769+CER!$C$10*L769+CER!$C$11*M769</f>
        <v>3.2691346546422646</v>
      </c>
      <c r="AN769" s="4">
        <f t="shared" si="369"/>
        <v>26.288580796331043</v>
      </c>
      <c r="AO769" s="4">
        <f t="shared" si="370"/>
        <v>-0.28746073833931396</v>
      </c>
      <c r="AP769" s="4">
        <f>Alternatives!$F$25+Alternatives!$F$26*J769+Alternatives!$F$27*K769+Alternatives!$F$28*G769+Alternatives!$F$29*O769</f>
        <v>3.2685605386022587</v>
      </c>
      <c r="AQ769" s="4">
        <f t="shared" si="371"/>
        <v>-0.28688662229930806</v>
      </c>
    </row>
    <row r="770" spans="1:43" x14ac:dyDescent="0.35">
      <c r="A770" s="2" t="s">
        <v>662</v>
      </c>
      <c r="B770" s="2" t="s">
        <v>624</v>
      </c>
      <c r="C770" s="2" t="s">
        <v>67</v>
      </c>
      <c r="D770" s="2">
        <v>19.366099999999999</v>
      </c>
      <c r="E770" s="2">
        <v>3500</v>
      </c>
      <c r="F770" s="2">
        <v>518</v>
      </c>
      <c r="G770" s="2">
        <v>41.6</v>
      </c>
      <c r="H770" s="2" t="s">
        <v>68</v>
      </c>
      <c r="I770" s="4">
        <f t="shared" ref="I770:I833" si="372">LN(D770)</f>
        <v>2.9635241148649469</v>
      </c>
      <c r="J770" s="4">
        <f t="shared" ref="J770:J833" si="373">LN(E770)</f>
        <v>8.1605182474775049</v>
      </c>
      <c r="K770" s="4">
        <f t="shared" ref="K770:K833" si="374">LN(F770)</f>
        <v>6.2499752422594828</v>
      </c>
      <c r="L770" s="2">
        <v>0</v>
      </c>
      <c r="M770" s="2">
        <v>0</v>
      </c>
      <c r="N770" s="4">
        <f t="shared" ref="N770:N833" si="375">G770</f>
        <v>41.6</v>
      </c>
      <c r="O770" s="4">
        <f t="shared" ref="O770:O833" si="376">L770+M770</f>
        <v>0</v>
      </c>
      <c r="P770" s="4">
        <f t="shared" ref="P770:P833" si="377">L770+2*M770</f>
        <v>0</v>
      </c>
      <c r="Q770" s="4">
        <f t="shared" ref="Q770:Q833" si="378">J770</f>
        <v>8.1605182474775049</v>
      </c>
      <c r="R770" s="4">
        <f t="shared" ref="R770:R833" si="379">K770</f>
        <v>6.2499752422594828</v>
      </c>
      <c r="S770" s="4">
        <f t="shared" ref="S770:S833" si="380">G770</f>
        <v>41.6</v>
      </c>
      <c r="T770" s="4">
        <f t="shared" ref="T770:T833" si="381">O770</f>
        <v>0</v>
      </c>
      <c r="U770" s="4">
        <f t="shared" ref="U770:U833" si="382">J770</f>
        <v>8.1605182474775049</v>
      </c>
      <c r="V770" s="4">
        <f t="shared" ref="V770:V833" si="383">K770</f>
        <v>6.2499752422594828</v>
      </c>
      <c r="W770" s="4">
        <f t="shared" ref="W770:W833" si="384">G770</f>
        <v>41.6</v>
      </c>
      <c r="X770" s="4">
        <f t="shared" ref="X770:X833" si="385">P770</f>
        <v>0</v>
      </c>
      <c r="Y770" s="4">
        <f t="shared" ref="Y770:Y833" si="386">J770</f>
        <v>8.1605182474775049</v>
      </c>
      <c r="Z770" s="4">
        <f t="shared" ref="Z770:Z833" si="387">K770</f>
        <v>6.2499752422594828</v>
      </c>
      <c r="AA770" s="4">
        <f t="shared" ref="AA770:AA833" si="388">G770</f>
        <v>41.6</v>
      </c>
      <c r="AB770" s="4">
        <f t="shared" ref="AB770:AB833" si="389">L770</f>
        <v>0</v>
      </c>
      <c r="AC770" s="4">
        <f t="shared" ref="AC770:AC833" si="390">M770</f>
        <v>0</v>
      </c>
      <c r="AD770" s="4">
        <f t="shared" ref="AD770:AD833" si="391">M770*J770</f>
        <v>0</v>
      </c>
      <c r="AE770" s="4">
        <f t="shared" ref="AE770:AE833" si="392">M770*K770</f>
        <v>0</v>
      </c>
      <c r="AF770" s="4">
        <f t="shared" ref="AF770:AF833" si="393">M770*G770</f>
        <v>0</v>
      </c>
      <c r="AG770" s="4">
        <f t="shared" ref="AG770:AG833" si="394">J770</f>
        <v>8.1605182474775049</v>
      </c>
      <c r="AH770" s="4">
        <f t="shared" ref="AH770:AH833" si="395">L770</f>
        <v>0</v>
      </c>
      <c r="AI770" s="4">
        <f t="shared" ref="AI770:AI833" si="396">M770</f>
        <v>0</v>
      </c>
      <c r="AJ770" s="4">
        <f t="shared" ref="AJ770:AJ833" si="397">J770</f>
        <v>8.1605182474775049</v>
      </c>
      <c r="AK770" s="4">
        <f t="shared" ref="AK770:AK833" si="398">K770</f>
        <v>6.2499752422594828</v>
      </c>
      <c r="AL770" s="4">
        <f t="shared" ref="AL770:AL833" si="399">M770</f>
        <v>0</v>
      </c>
      <c r="AM770" s="4">
        <f>CER!$C$7+CER!$C$8*J770+CER!$C$9*K770+CER!$C$10*L770+CER!$C$11*M770</f>
        <v>3.2575590003990729</v>
      </c>
      <c r="AN770" s="4">
        <f t="shared" ref="AN770:AN833" si="400">EXP(AM770)</f>
        <v>25.98602777745144</v>
      </c>
      <c r="AO770" s="4">
        <f t="shared" ref="AO770:AO833" si="401">I770-AM770</f>
        <v>-0.29403488553412593</v>
      </c>
      <c r="AP770" s="4">
        <f>Alternatives!$F$25+Alternatives!$F$26*J770+Alternatives!$F$27*K770+Alternatives!$F$28*G770+Alternatives!$F$29*O770</f>
        <v>3.2602113057425894</v>
      </c>
      <c r="AQ770" s="4">
        <f t="shared" ref="AQ770:AQ833" si="402">I770-AP770</f>
        <v>-0.2966871908776425</v>
      </c>
    </row>
    <row r="771" spans="1:43" x14ac:dyDescent="0.35">
      <c r="A771" s="2" t="s">
        <v>663</v>
      </c>
      <c r="B771" s="2" t="s">
        <v>624</v>
      </c>
      <c r="C771" s="2" t="s">
        <v>67</v>
      </c>
      <c r="D771" s="2">
        <v>25.1859</v>
      </c>
      <c r="E771" s="2">
        <v>4000</v>
      </c>
      <c r="F771" s="2">
        <v>473</v>
      </c>
      <c r="G771" s="2">
        <v>41.5</v>
      </c>
      <c r="H771" s="2" t="s">
        <v>68</v>
      </c>
      <c r="I771" s="4">
        <f t="shared" si="372"/>
        <v>3.2262843141159929</v>
      </c>
      <c r="J771" s="4">
        <f t="shared" si="373"/>
        <v>8.2940496401020276</v>
      </c>
      <c r="K771" s="4">
        <f t="shared" si="374"/>
        <v>6.1590953884919326</v>
      </c>
      <c r="L771" s="2">
        <v>0</v>
      </c>
      <c r="M771" s="2">
        <v>0</v>
      </c>
      <c r="N771" s="4">
        <f t="shared" si="375"/>
        <v>41.5</v>
      </c>
      <c r="O771" s="4">
        <f t="shared" si="376"/>
        <v>0</v>
      </c>
      <c r="P771" s="4">
        <f t="shared" si="377"/>
        <v>0</v>
      </c>
      <c r="Q771" s="4">
        <f t="shared" si="378"/>
        <v>8.2940496401020276</v>
      </c>
      <c r="R771" s="4">
        <f t="shared" si="379"/>
        <v>6.1590953884919326</v>
      </c>
      <c r="S771" s="4">
        <f t="shared" si="380"/>
        <v>41.5</v>
      </c>
      <c r="T771" s="4">
        <f t="shared" si="381"/>
        <v>0</v>
      </c>
      <c r="U771" s="4">
        <f t="shared" si="382"/>
        <v>8.2940496401020276</v>
      </c>
      <c r="V771" s="4">
        <f t="shared" si="383"/>
        <v>6.1590953884919326</v>
      </c>
      <c r="W771" s="4">
        <f t="shared" si="384"/>
        <v>41.5</v>
      </c>
      <c r="X771" s="4">
        <f t="shared" si="385"/>
        <v>0</v>
      </c>
      <c r="Y771" s="4">
        <f t="shared" si="386"/>
        <v>8.2940496401020276</v>
      </c>
      <c r="Z771" s="4">
        <f t="shared" si="387"/>
        <v>6.1590953884919326</v>
      </c>
      <c r="AA771" s="4">
        <f t="shared" si="388"/>
        <v>41.5</v>
      </c>
      <c r="AB771" s="4">
        <f t="shared" si="389"/>
        <v>0</v>
      </c>
      <c r="AC771" s="4">
        <f t="shared" si="390"/>
        <v>0</v>
      </c>
      <c r="AD771" s="4">
        <f t="shared" si="391"/>
        <v>0</v>
      </c>
      <c r="AE771" s="4">
        <f t="shared" si="392"/>
        <v>0</v>
      </c>
      <c r="AF771" s="4">
        <f t="shared" si="393"/>
        <v>0</v>
      </c>
      <c r="AG771" s="4">
        <f t="shared" si="394"/>
        <v>8.2940496401020276</v>
      </c>
      <c r="AH771" s="4">
        <f t="shared" si="395"/>
        <v>0</v>
      </c>
      <c r="AI771" s="4">
        <f t="shared" si="396"/>
        <v>0</v>
      </c>
      <c r="AJ771" s="4">
        <f t="shared" si="397"/>
        <v>8.2940496401020276</v>
      </c>
      <c r="AK771" s="4">
        <f t="shared" si="398"/>
        <v>6.1590953884919326</v>
      </c>
      <c r="AL771" s="4">
        <f t="shared" si="399"/>
        <v>0</v>
      </c>
      <c r="AM771" s="4">
        <f>CER!$C$7+CER!$C$8*J771+CER!$C$9*K771+CER!$C$10*L771+CER!$C$11*M771</f>
        <v>3.2306376719664085</v>
      </c>
      <c r="AN771" s="4">
        <f t="shared" si="400"/>
        <v>25.295782240303392</v>
      </c>
      <c r="AO771" s="4">
        <f t="shared" si="401"/>
        <v>-4.3533578504155734E-3</v>
      </c>
      <c r="AP771" s="4">
        <f>Alternatives!$F$25+Alternatives!$F$26*J771+Alternatives!$F$27*K771+Alternatives!$F$28*G771+Alternatives!$F$29*O771</f>
        <v>3.3351141682122587</v>
      </c>
      <c r="AQ771" s="4">
        <f t="shared" si="402"/>
        <v>-0.10882985409626578</v>
      </c>
    </row>
    <row r="772" spans="1:43" x14ac:dyDescent="0.35">
      <c r="A772" s="2" t="s">
        <v>664</v>
      </c>
      <c r="B772" s="2" t="s">
        <v>624</v>
      </c>
      <c r="C772" s="2" t="s">
        <v>67</v>
      </c>
      <c r="D772" s="2">
        <v>27.932200000000002</v>
      </c>
      <c r="E772" s="2">
        <v>4500</v>
      </c>
      <c r="F772" s="2">
        <v>348</v>
      </c>
      <c r="G772" s="2">
        <v>52.4</v>
      </c>
      <c r="H772" s="2" t="s">
        <v>68</v>
      </c>
      <c r="I772" s="4">
        <f t="shared" si="372"/>
        <v>3.3297801452044671</v>
      </c>
      <c r="J772" s="4">
        <f t="shared" si="373"/>
        <v>8.4118326757584114</v>
      </c>
      <c r="K772" s="4">
        <f t="shared" si="374"/>
        <v>5.8522024797744745</v>
      </c>
      <c r="L772" s="2">
        <v>0</v>
      </c>
      <c r="M772" s="2">
        <v>0</v>
      </c>
      <c r="N772" s="4">
        <f t="shared" si="375"/>
        <v>52.4</v>
      </c>
      <c r="O772" s="4">
        <f t="shared" si="376"/>
        <v>0</v>
      </c>
      <c r="P772" s="4">
        <f t="shared" si="377"/>
        <v>0</v>
      </c>
      <c r="Q772" s="4">
        <f t="shared" si="378"/>
        <v>8.4118326757584114</v>
      </c>
      <c r="R772" s="4">
        <f t="shared" si="379"/>
        <v>5.8522024797744745</v>
      </c>
      <c r="S772" s="4">
        <f t="shared" si="380"/>
        <v>52.4</v>
      </c>
      <c r="T772" s="4">
        <f t="shared" si="381"/>
        <v>0</v>
      </c>
      <c r="U772" s="4">
        <f t="shared" si="382"/>
        <v>8.4118326757584114</v>
      </c>
      <c r="V772" s="4">
        <f t="shared" si="383"/>
        <v>5.8522024797744745</v>
      </c>
      <c r="W772" s="4">
        <f t="shared" si="384"/>
        <v>52.4</v>
      </c>
      <c r="X772" s="4">
        <f t="shared" si="385"/>
        <v>0</v>
      </c>
      <c r="Y772" s="4">
        <f t="shared" si="386"/>
        <v>8.4118326757584114</v>
      </c>
      <c r="Z772" s="4">
        <f t="shared" si="387"/>
        <v>5.8522024797744745</v>
      </c>
      <c r="AA772" s="4">
        <f t="shared" si="388"/>
        <v>52.4</v>
      </c>
      <c r="AB772" s="4">
        <f t="shared" si="389"/>
        <v>0</v>
      </c>
      <c r="AC772" s="4">
        <f t="shared" si="390"/>
        <v>0</v>
      </c>
      <c r="AD772" s="4">
        <f t="shared" si="391"/>
        <v>0</v>
      </c>
      <c r="AE772" s="4">
        <f t="shared" si="392"/>
        <v>0</v>
      </c>
      <c r="AF772" s="4">
        <f t="shared" si="393"/>
        <v>0</v>
      </c>
      <c r="AG772" s="4">
        <f t="shared" si="394"/>
        <v>8.4118326757584114</v>
      </c>
      <c r="AH772" s="4">
        <f t="shared" si="395"/>
        <v>0</v>
      </c>
      <c r="AI772" s="4">
        <f t="shared" si="396"/>
        <v>0</v>
      </c>
      <c r="AJ772" s="4">
        <f t="shared" si="397"/>
        <v>8.4118326757584114</v>
      </c>
      <c r="AK772" s="4">
        <f t="shared" si="398"/>
        <v>5.8522024797744745</v>
      </c>
      <c r="AL772" s="4">
        <f t="shared" si="399"/>
        <v>0</v>
      </c>
      <c r="AM772" s="4">
        <f>CER!$C$7+CER!$C$8*J772+CER!$C$9*K772+CER!$C$10*L772+CER!$C$11*M772</f>
        <v>3.2905424270893948</v>
      </c>
      <c r="AN772" s="4">
        <f t="shared" si="400"/>
        <v>26.857427901966158</v>
      </c>
      <c r="AO772" s="4">
        <f t="shared" si="401"/>
        <v>3.9237718115072262E-2</v>
      </c>
      <c r="AP772" s="4">
        <f>Alternatives!$F$25+Alternatives!$F$26*J772+Alternatives!$F$27*K772+Alternatives!$F$28*G772+Alternatives!$F$29*O772</f>
        <v>3.3185915517462927</v>
      </c>
      <c r="AQ772" s="4">
        <f t="shared" si="402"/>
        <v>1.1188593458174356E-2</v>
      </c>
    </row>
    <row r="773" spans="1:43" x14ac:dyDescent="0.35">
      <c r="A773" s="2" t="s">
        <v>665</v>
      </c>
      <c r="B773" s="2" t="s">
        <v>624</v>
      </c>
      <c r="C773" s="2" t="s">
        <v>67</v>
      </c>
      <c r="D773" s="2">
        <v>28.194199999999999</v>
      </c>
      <c r="E773" s="2">
        <v>4500</v>
      </c>
      <c r="F773" s="2">
        <v>348</v>
      </c>
      <c r="G773" s="2">
        <v>52.4</v>
      </c>
      <c r="H773" s="2" t="s">
        <v>68</v>
      </c>
      <c r="I773" s="4">
        <f t="shared" si="372"/>
        <v>3.3391162830314545</v>
      </c>
      <c r="J773" s="4">
        <f t="shared" si="373"/>
        <v>8.4118326757584114</v>
      </c>
      <c r="K773" s="4">
        <f t="shared" si="374"/>
        <v>5.8522024797744745</v>
      </c>
      <c r="L773" s="2">
        <v>0</v>
      </c>
      <c r="M773" s="2">
        <v>0</v>
      </c>
      <c r="N773" s="4">
        <f t="shared" si="375"/>
        <v>52.4</v>
      </c>
      <c r="O773" s="4">
        <f t="shared" si="376"/>
        <v>0</v>
      </c>
      <c r="P773" s="4">
        <f t="shared" si="377"/>
        <v>0</v>
      </c>
      <c r="Q773" s="4">
        <f t="shared" si="378"/>
        <v>8.4118326757584114</v>
      </c>
      <c r="R773" s="4">
        <f t="shared" si="379"/>
        <v>5.8522024797744745</v>
      </c>
      <c r="S773" s="4">
        <f t="shared" si="380"/>
        <v>52.4</v>
      </c>
      <c r="T773" s="4">
        <f t="shared" si="381"/>
        <v>0</v>
      </c>
      <c r="U773" s="4">
        <f t="shared" si="382"/>
        <v>8.4118326757584114</v>
      </c>
      <c r="V773" s="4">
        <f t="shared" si="383"/>
        <v>5.8522024797744745</v>
      </c>
      <c r="W773" s="4">
        <f t="shared" si="384"/>
        <v>52.4</v>
      </c>
      <c r="X773" s="4">
        <f t="shared" si="385"/>
        <v>0</v>
      </c>
      <c r="Y773" s="4">
        <f t="shared" si="386"/>
        <v>8.4118326757584114</v>
      </c>
      <c r="Z773" s="4">
        <f t="shared" si="387"/>
        <v>5.8522024797744745</v>
      </c>
      <c r="AA773" s="4">
        <f t="shared" si="388"/>
        <v>52.4</v>
      </c>
      <c r="AB773" s="4">
        <f t="shared" si="389"/>
        <v>0</v>
      </c>
      <c r="AC773" s="4">
        <f t="shared" si="390"/>
        <v>0</v>
      </c>
      <c r="AD773" s="4">
        <f t="shared" si="391"/>
        <v>0</v>
      </c>
      <c r="AE773" s="4">
        <f t="shared" si="392"/>
        <v>0</v>
      </c>
      <c r="AF773" s="4">
        <f t="shared" si="393"/>
        <v>0</v>
      </c>
      <c r="AG773" s="4">
        <f t="shared" si="394"/>
        <v>8.4118326757584114</v>
      </c>
      <c r="AH773" s="4">
        <f t="shared" si="395"/>
        <v>0</v>
      </c>
      <c r="AI773" s="4">
        <f t="shared" si="396"/>
        <v>0</v>
      </c>
      <c r="AJ773" s="4">
        <f t="shared" si="397"/>
        <v>8.4118326757584114</v>
      </c>
      <c r="AK773" s="4">
        <f t="shared" si="398"/>
        <v>5.8522024797744745</v>
      </c>
      <c r="AL773" s="4">
        <f t="shared" si="399"/>
        <v>0</v>
      </c>
      <c r="AM773" s="4">
        <f>CER!$C$7+CER!$C$8*J773+CER!$C$9*K773+CER!$C$10*L773+CER!$C$11*M773</f>
        <v>3.2905424270893948</v>
      </c>
      <c r="AN773" s="4">
        <f t="shared" si="400"/>
        <v>26.857427901966158</v>
      </c>
      <c r="AO773" s="4">
        <f t="shared" si="401"/>
        <v>4.8573855942059652E-2</v>
      </c>
      <c r="AP773" s="4">
        <f>Alternatives!$F$25+Alternatives!$F$26*J773+Alternatives!$F$27*K773+Alternatives!$F$28*G773+Alternatives!$F$29*O773</f>
        <v>3.3185915517462927</v>
      </c>
      <c r="AQ773" s="4">
        <f t="shared" si="402"/>
        <v>2.0524731285161746E-2</v>
      </c>
    </row>
    <row r="774" spans="1:43" x14ac:dyDescent="0.35">
      <c r="A774" s="2" t="s">
        <v>666</v>
      </c>
      <c r="B774" s="2" t="s">
        <v>624</v>
      </c>
      <c r="C774" s="2" t="s">
        <v>67</v>
      </c>
      <c r="D774" s="2">
        <v>28.452999999999999</v>
      </c>
      <c r="E774" s="2">
        <v>3500</v>
      </c>
      <c r="F774" s="2">
        <v>300</v>
      </c>
      <c r="G774" s="2">
        <v>40.700000000000003</v>
      </c>
      <c r="H774" s="2" t="s">
        <v>68</v>
      </c>
      <c r="I774" s="4">
        <f t="shared" si="372"/>
        <v>3.3482536031677315</v>
      </c>
      <c r="J774" s="4">
        <f t="shared" si="373"/>
        <v>8.1605182474775049</v>
      </c>
      <c r="K774" s="4">
        <f t="shared" si="374"/>
        <v>5.7037824746562009</v>
      </c>
      <c r="L774" s="2">
        <v>0</v>
      </c>
      <c r="M774" s="2">
        <v>0</v>
      </c>
      <c r="N774" s="4">
        <f t="shared" si="375"/>
        <v>40.700000000000003</v>
      </c>
      <c r="O774" s="4">
        <f t="shared" si="376"/>
        <v>0</v>
      </c>
      <c r="P774" s="4">
        <f t="shared" si="377"/>
        <v>0</v>
      </c>
      <c r="Q774" s="4">
        <f t="shared" si="378"/>
        <v>8.1605182474775049</v>
      </c>
      <c r="R774" s="4">
        <f t="shared" si="379"/>
        <v>5.7037824746562009</v>
      </c>
      <c r="S774" s="4">
        <f t="shared" si="380"/>
        <v>40.700000000000003</v>
      </c>
      <c r="T774" s="4">
        <f t="shared" si="381"/>
        <v>0</v>
      </c>
      <c r="U774" s="4">
        <f t="shared" si="382"/>
        <v>8.1605182474775049</v>
      </c>
      <c r="V774" s="4">
        <f t="shared" si="383"/>
        <v>5.7037824746562009</v>
      </c>
      <c r="W774" s="4">
        <f t="shared" si="384"/>
        <v>40.700000000000003</v>
      </c>
      <c r="X774" s="4">
        <f t="shared" si="385"/>
        <v>0</v>
      </c>
      <c r="Y774" s="4">
        <f t="shared" si="386"/>
        <v>8.1605182474775049</v>
      </c>
      <c r="Z774" s="4">
        <f t="shared" si="387"/>
        <v>5.7037824746562009</v>
      </c>
      <c r="AA774" s="4">
        <f t="shared" si="388"/>
        <v>40.700000000000003</v>
      </c>
      <c r="AB774" s="4">
        <f t="shared" si="389"/>
        <v>0</v>
      </c>
      <c r="AC774" s="4">
        <f t="shared" si="390"/>
        <v>0</v>
      </c>
      <c r="AD774" s="4">
        <f t="shared" si="391"/>
        <v>0</v>
      </c>
      <c r="AE774" s="4">
        <f t="shared" si="392"/>
        <v>0</v>
      </c>
      <c r="AF774" s="4">
        <f t="shared" si="393"/>
        <v>0</v>
      </c>
      <c r="AG774" s="4">
        <f t="shared" si="394"/>
        <v>8.1605182474775049</v>
      </c>
      <c r="AH774" s="4">
        <f t="shared" si="395"/>
        <v>0</v>
      </c>
      <c r="AI774" s="4">
        <f t="shared" si="396"/>
        <v>0</v>
      </c>
      <c r="AJ774" s="4">
        <f t="shared" si="397"/>
        <v>8.1605182474775049</v>
      </c>
      <c r="AK774" s="4">
        <f t="shared" si="398"/>
        <v>5.7037824746562009</v>
      </c>
      <c r="AL774" s="4">
        <f t="shared" si="399"/>
        <v>0</v>
      </c>
      <c r="AM774" s="4">
        <f>CER!$C$7+CER!$C$8*J774+CER!$C$9*K774+CER!$C$10*L774+CER!$C$11*M774</f>
        <v>3.4590733885661384</v>
      </c>
      <c r="AN774" s="4">
        <f t="shared" si="400"/>
        <v>31.787508195387566</v>
      </c>
      <c r="AO774" s="4">
        <f t="shared" si="401"/>
        <v>-0.11081978539840698</v>
      </c>
      <c r="AP774" s="4">
        <f>Alternatives!$F$25+Alternatives!$F$26*J774+Alternatives!$F$27*K774+Alternatives!$F$28*G774+Alternatives!$F$29*O774</f>
        <v>3.417265228690038</v>
      </c>
      <c r="AQ774" s="4">
        <f t="shared" si="402"/>
        <v>-6.9011625522306552E-2</v>
      </c>
    </row>
    <row r="775" spans="1:43" x14ac:dyDescent="0.35">
      <c r="A775" s="2" t="s">
        <v>666</v>
      </c>
      <c r="B775" s="2" t="s">
        <v>624</v>
      </c>
      <c r="C775" s="2" t="s">
        <v>67</v>
      </c>
      <c r="D775" s="2">
        <v>31.279399999999999</v>
      </c>
      <c r="E775" s="2">
        <v>3500</v>
      </c>
      <c r="F775" s="2">
        <v>300</v>
      </c>
      <c r="G775" s="2">
        <v>40.700000000000003</v>
      </c>
      <c r="H775" s="2" t="s">
        <v>68</v>
      </c>
      <c r="I775" s="4">
        <f t="shared" si="372"/>
        <v>3.4429597339074638</v>
      </c>
      <c r="J775" s="4">
        <f t="shared" si="373"/>
        <v>8.1605182474775049</v>
      </c>
      <c r="K775" s="4">
        <f t="shared" si="374"/>
        <v>5.7037824746562009</v>
      </c>
      <c r="L775" s="2">
        <v>0</v>
      </c>
      <c r="M775" s="2">
        <v>0</v>
      </c>
      <c r="N775" s="4">
        <f t="shared" si="375"/>
        <v>40.700000000000003</v>
      </c>
      <c r="O775" s="4">
        <f t="shared" si="376"/>
        <v>0</v>
      </c>
      <c r="P775" s="4">
        <f t="shared" si="377"/>
        <v>0</v>
      </c>
      <c r="Q775" s="4">
        <f t="shared" si="378"/>
        <v>8.1605182474775049</v>
      </c>
      <c r="R775" s="4">
        <f t="shared" si="379"/>
        <v>5.7037824746562009</v>
      </c>
      <c r="S775" s="4">
        <f t="shared" si="380"/>
        <v>40.700000000000003</v>
      </c>
      <c r="T775" s="4">
        <f t="shared" si="381"/>
        <v>0</v>
      </c>
      <c r="U775" s="4">
        <f t="shared" si="382"/>
        <v>8.1605182474775049</v>
      </c>
      <c r="V775" s="4">
        <f t="shared" si="383"/>
        <v>5.7037824746562009</v>
      </c>
      <c r="W775" s="4">
        <f t="shared" si="384"/>
        <v>40.700000000000003</v>
      </c>
      <c r="X775" s="4">
        <f t="shared" si="385"/>
        <v>0</v>
      </c>
      <c r="Y775" s="4">
        <f t="shared" si="386"/>
        <v>8.1605182474775049</v>
      </c>
      <c r="Z775" s="4">
        <f t="shared" si="387"/>
        <v>5.7037824746562009</v>
      </c>
      <c r="AA775" s="4">
        <f t="shared" si="388"/>
        <v>40.700000000000003</v>
      </c>
      <c r="AB775" s="4">
        <f t="shared" si="389"/>
        <v>0</v>
      </c>
      <c r="AC775" s="4">
        <f t="shared" si="390"/>
        <v>0</v>
      </c>
      <c r="AD775" s="4">
        <f t="shared" si="391"/>
        <v>0</v>
      </c>
      <c r="AE775" s="4">
        <f t="shared" si="392"/>
        <v>0</v>
      </c>
      <c r="AF775" s="4">
        <f t="shared" si="393"/>
        <v>0</v>
      </c>
      <c r="AG775" s="4">
        <f t="shared" si="394"/>
        <v>8.1605182474775049</v>
      </c>
      <c r="AH775" s="4">
        <f t="shared" si="395"/>
        <v>0</v>
      </c>
      <c r="AI775" s="4">
        <f t="shared" si="396"/>
        <v>0</v>
      </c>
      <c r="AJ775" s="4">
        <f t="shared" si="397"/>
        <v>8.1605182474775049</v>
      </c>
      <c r="AK775" s="4">
        <f t="shared" si="398"/>
        <v>5.7037824746562009</v>
      </c>
      <c r="AL775" s="4">
        <f t="shared" si="399"/>
        <v>0</v>
      </c>
      <c r="AM775" s="4">
        <f>CER!$C$7+CER!$C$8*J775+CER!$C$9*K775+CER!$C$10*L775+CER!$C$11*M775</f>
        <v>3.4590733885661384</v>
      </c>
      <c r="AN775" s="4">
        <f t="shared" si="400"/>
        <v>31.787508195387566</v>
      </c>
      <c r="AO775" s="4">
        <f t="shared" si="401"/>
        <v>-1.6113654658674648E-2</v>
      </c>
      <c r="AP775" s="4">
        <f>Alternatives!$F$25+Alternatives!$F$26*J775+Alternatives!$F$27*K775+Alternatives!$F$28*G775+Alternatives!$F$29*O775</f>
        <v>3.417265228690038</v>
      </c>
      <c r="AQ775" s="4">
        <f t="shared" si="402"/>
        <v>2.5694505217425778E-2</v>
      </c>
    </row>
    <row r="776" spans="1:43" x14ac:dyDescent="0.35">
      <c r="A776" s="2" t="s">
        <v>667</v>
      </c>
      <c r="B776" s="2" t="s">
        <v>624</v>
      </c>
      <c r="C776" s="2" t="s">
        <v>67</v>
      </c>
      <c r="D776" s="2">
        <v>28.452999999999999</v>
      </c>
      <c r="E776" s="2">
        <v>3500</v>
      </c>
      <c r="F776" s="2">
        <v>300</v>
      </c>
      <c r="G776" s="2">
        <v>40.700000000000003</v>
      </c>
      <c r="H776" s="2" t="s">
        <v>68</v>
      </c>
      <c r="I776" s="4">
        <f t="shared" si="372"/>
        <v>3.3482536031677315</v>
      </c>
      <c r="J776" s="4">
        <f t="shared" si="373"/>
        <v>8.1605182474775049</v>
      </c>
      <c r="K776" s="4">
        <f t="shared" si="374"/>
        <v>5.7037824746562009</v>
      </c>
      <c r="L776" s="2">
        <v>0</v>
      </c>
      <c r="M776" s="2">
        <v>0</v>
      </c>
      <c r="N776" s="4">
        <f t="shared" si="375"/>
        <v>40.700000000000003</v>
      </c>
      <c r="O776" s="4">
        <f t="shared" si="376"/>
        <v>0</v>
      </c>
      <c r="P776" s="4">
        <f t="shared" si="377"/>
        <v>0</v>
      </c>
      <c r="Q776" s="4">
        <f t="shared" si="378"/>
        <v>8.1605182474775049</v>
      </c>
      <c r="R776" s="4">
        <f t="shared" si="379"/>
        <v>5.7037824746562009</v>
      </c>
      <c r="S776" s="4">
        <f t="shared" si="380"/>
        <v>40.700000000000003</v>
      </c>
      <c r="T776" s="4">
        <f t="shared" si="381"/>
        <v>0</v>
      </c>
      <c r="U776" s="4">
        <f t="shared" si="382"/>
        <v>8.1605182474775049</v>
      </c>
      <c r="V776" s="4">
        <f t="shared" si="383"/>
        <v>5.7037824746562009</v>
      </c>
      <c r="W776" s="4">
        <f t="shared" si="384"/>
        <v>40.700000000000003</v>
      </c>
      <c r="X776" s="4">
        <f t="shared" si="385"/>
        <v>0</v>
      </c>
      <c r="Y776" s="4">
        <f t="shared" si="386"/>
        <v>8.1605182474775049</v>
      </c>
      <c r="Z776" s="4">
        <f t="shared" si="387"/>
        <v>5.7037824746562009</v>
      </c>
      <c r="AA776" s="4">
        <f t="shared" si="388"/>
        <v>40.700000000000003</v>
      </c>
      <c r="AB776" s="4">
        <f t="shared" si="389"/>
        <v>0</v>
      </c>
      <c r="AC776" s="4">
        <f t="shared" si="390"/>
        <v>0</v>
      </c>
      <c r="AD776" s="4">
        <f t="shared" si="391"/>
        <v>0</v>
      </c>
      <c r="AE776" s="4">
        <f t="shared" si="392"/>
        <v>0</v>
      </c>
      <c r="AF776" s="4">
        <f t="shared" si="393"/>
        <v>0</v>
      </c>
      <c r="AG776" s="4">
        <f t="shared" si="394"/>
        <v>8.1605182474775049</v>
      </c>
      <c r="AH776" s="4">
        <f t="shared" si="395"/>
        <v>0</v>
      </c>
      <c r="AI776" s="4">
        <f t="shared" si="396"/>
        <v>0</v>
      </c>
      <c r="AJ776" s="4">
        <f t="shared" si="397"/>
        <v>8.1605182474775049</v>
      </c>
      <c r="AK776" s="4">
        <f t="shared" si="398"/>
        <v>5.7037824746562009</v>
      </c>
      <c r="AL776" s="4">
        <f t="shared" si="399"/>
        <v>0</v>
      </c>
      <c r="AM776" s="4">
        <f>CER!$C$7+CER!$C$8*J776+CER!$C$9*K776+CER!$C$10*L776+CER!$C$11*M776</f>
        <v>3.4590733885661384</v>
      </c>
      <c r="AN776" s="4">
        <f t="shared" si="400"/>
        <v>31.787508195387566</v>
      </c>
      <c r="AO776" s="4">
        <f t="shared" si="401"/>
        <v>-0.11081978539840698</v>
      </c>
      <c r="AP776" s="4">
        <f>Alternatives!$F$25+Alternatives!$F$26*J776+Alternatives!$F$27*K776+Alternatives!$F$28*G776+Alternatives!$F$29*O776</f>
        <v>3.417265228690038</v>
      </c>
      <c r="AQ776" s="4">
        <f t="shared" si="402"/>
        <v>-6.9011625522306552E-2</v>
      </c>
    </row>
    <row r="777" spans="1:43" x14ac:dyDescent="0.35">
      <c r="A777" s="2" t="s">
        <v>667</v>
      </c>
      <c r="B777" s="2" t="s">
        <v>624</v>
      </c>
      <c r="C777" s="2" t="s">
        <v>67</v>
      </c>
      <c r="D777" s="2">
        <v>31.279399999999999</v>
      </c>
      <c r="E777" s="2">
        <v>3500</v>
      </c>
      <c r="F777" s="2">
        <v>300</v>
      </c>
      <c r="G777" s="2">
        <v>40.700000000000003</v>
      </c>
      <c r="H777" s="2" t="s">
        <v>68</v>
      </c>
      <c r="I777" s="4">
        <f t="shared" si="372"/>
        <v>3.4429597339074638</v>
      </c>
      <c r="J777" s="4">
        <f t="shared" si="373"/>
        <v>8.1605182474775049</v>
      </c>
      <c r="K777" s="4">
        <f t="shared" si="374"/>
        <v>5.7037824746562009</v>
      </c>
      <c r="L777" s="2">
        <v>0</v>
      </c>
      <c r="M777" s="2">
        <v>0</v>
      </c>
      <c r="N777" s="4">
        <f t="shared" si="375"/>
        <v>40.700000000000003</v>
      </c>
      <c r="O777" s="4">
        <f t="shared" si="376"/>
        <v>0</v>
      </c>
      <c r="P777" s="4">
        <f t="shared" si="377"/>
        <v>0</v>
      </c>
      <c r="Q777" s="4">
        <f t="shared" si="378"/>
        <v>8.1605182474775049</v>
      </c>
      <c r="R777" s="4">
        <f t="shared" si="379"/>
        <v>5.7037824746562009</v>
      </c>
      <c r="S777" s="4">
        <f t="shared" si="380"/>
        <v>40.700000000000003</v>
      </c>
      <c r="T777" s="4">
        <f t="shared" si="381"/>
        <v>0</v>
      </c>
      <c r="U777" s="4">
        <f t="shared" si="382"/>
        <v>8.1605182474775049</v>
      </c>
      <c r="V777" s="4">
        <f t="shared" si="383"/>
        <v>5.7037824746562009</v>
      </c>
      <c r="W777" s="4">
        <f t="shared" si="384"/>
        <v>40.700000000000003</v>
      </c>
      <c r="X777" s="4">
        <f t="shared" si="385"/>
        <v>0</v>
      </c>
      <c r="Y777" s="4">
        <f t="shared" si="386"/>
        <v>8.1605182474775049</v>
      </c>
      <c r="Z777" s="4">
        <f t="shared" si="387"/>
        <v>5.7037824746562009</v>
      </c>
      <c r="AA777" s="4">
        <f t="shared" si="388"/>
        <v>40.700000000000003</v>
      </c>
      <c r="AB777" s="4">
        <f t="shared" si="389"/>
        <v>0</v>
      </c>
      <c r="AC777" s="4">
        <f t="shared" si="390"/>
        <v>0</v>
      </c>
      <c r="AD777" s="4">
        <f t="shared" si="391"/>
        <v>0</v>
      </c>
      <c r="AE777" s="4">
        <f t="shared" si="392"/>
        <v>0</v>
      </c>
      <c r="AF777" s="4">
        <f t="shared" si="393"/>
        <v>0</v>
      </c>
      <c r="AG777" s="4">
        <f t="shared" si="394"/>
        <v>8.1605182474775049</v>
      </c>
      <c r="AH777" s="4">
        <f t="shared" si="395"/>
        <v>0</v>
      </c>
      <c r="AI777" s="4">
        <f t="shared" si="396"/>
        <v>0</v>
      </c>
      <c r="AJ777" s="4">
        <f t="shared" si="397"/>
        <v>8.1605182474775049</v>
      </c>
      <c r="AK777" s="4">
        <f t="shared" si="398"/>
        <v>5.7037824746562009</v>
      </c>
      <c r="AL777" s="4">
        <f t="shared" si="399"/>
        <v>0</v>
      </c>
      <c r="AM777" s="4">
        <f>CER!$C$7+CER!$C$8*J777+CER!$C$9*K777+CER!$C$10*L777+CER!$C$11*M777</f>
        <v>3.4590733885661384</v>
      </c>
      <c r="AN777" s="4">
        <f t="shared" si="400"/>
        <v>31.787508195387566</v>
      </c>
      <c r="AO777" s="4">
        <f t="shared" si="401"/>
        <v>-1.6113654658674648E-2</v>
      </c>
      <c r="AP777" s="4">
        <f>Alternatives!$F$25+Alternatives!$F$26*J777+Alternatives!$F$27*K777+Alternatives!$F$28*G777+Alternatives!$F$29*O777</f>
        <v>3.417265228690038</v>
      </c>
      <c r="AQ777" s="4">
        <f t="shared" si="402"/>
        <v>2.5694505217425778E-2</v>
      </c>
    </row>
    <row r="778" spans="1:43" x14ac:dyDescent="0.35">
      <c r="A778" s="2" t="s">
        <v>668</v>
      </c>
      <c r="B778" s="2" t="s">
        <v>624</v>
      </c>
      <c r="C778" s="2" t="s">
        <v>67</v>
      </c>
      <c r="D778" s="2">
        <v>27.454000000000001</v>
      </c>
      <c r="E778" s="2">
        <v>3500</v>
      </c>
      <c r="F778" s="2">
        <v>350</v>
      </c>
      <c r="G778" s="2">
        <v>40.700000000000003</v>
      </c>
      <c r="H778" s="2" t="s">
        <v>68</v>
      </c>
      <c r="I778" s="4">
        <f t="shared" si="372"/>
        <v>3.3125118768294679</v>
      </c>
      <c r="J778" s="4">
        <f t="shared" si="373"/>
        <v>8.1605182474775049</v>
      </c>
      <c r="K778" s="4">
        <f t="shared" si="374"/>
        <v>5.857933154483459</v>
      </c>
      <c r="L778" s="2">
        <v>0</v>
      </c>
      <c r="M778" s="2">
        <v>0</v>
      </c>
      <c r="N778" s="4">
        <f t="shared" si="375"/>
        <v>40.700000000000003</v>
      </c>
      <c r="O778" s="4">
        <f t="shared" si="376"/>
        <v>0</v>
      </c>
      <c r="P778" s="4">
        <f t="shared" si="377"/>
        <v>0</v>
      </c>
      <c r="Q778" s="4">
        <f t="shared" si="378"/>
        <v>8.1605182474775049</v>
      </c>
      <c r="R778" s="4">
        <f t="shared" si="379"/>
        <v>5.857933154483459</v>
      </c>
      <c r="S778" s="4">
        <f t="shared" si="380"/>
        <v>40.700000000000003</v>
      </c>
      <c r="T778" s="4">
        <f t="shared" si="381"/>
        <v>0</v>
      </c>
      <c r="U778" s="4">
        <f t="shared" si="382"/>
        <v>8.1605182474775049</v>
      </c>
      <c r="V778" s="4">
        <f t="shared" si="383"/>
        <v>5.857933154483459</v>
      </c>
      <c r="W778" s="4">
        <f t="shared" si="384"/>
        <v>40.700000000000003</v>
      </c>
      <c r="X778" s="4">
        <f t="shared" si="385"/>
        <v>0</v>
      </c>
      <c r="Y778" s="4">
        <f t="shared" si="386"/>
        <v>8.1605182474775049</v>
      </c>
      <c r="Z778" s="4">
        <f t="shared" si="387"/>
        <v>5.857933154483459</v>
      </c>
      <c r="AA778" s="4">
        <f t="shared" si="388"/>
        <v>40.700000000000003</v>
      </c>
      <c r="AB778" s="4">
        <f t="shared" si="389"/>
        <v>0</v>
      </c>
      <c r="AC778" s="4">
        <f t="shared" si="390"/>
        <v>0</v>
      </c>
      <c r="AD778" s="4">
        <f t="shared" si="391"/>
        <v>0</v>
      </c>
      <c r="AE778" s="4">
        <f t="shared" si="392"/>
        <v>0</v>
      </c>
      <c r="AF778" s="4">
        <f t="shared" si="393"/>
        <v>0</v>
      </c>
      <c r="AG778" s="4">
        <f t="shared" si="394"/>
        <v>8.1605182474775049</v>
      </c>
      <c r="AH778" s="4">
        <f t="shared" si="395"/>
        <v>0</v>
      </c>
      <c r="AI778" s="4">
        <f t="shared" si="396"/>
        <v>0</v>
      </c>
      <c r="AJ778" s="4">
        <f t="shared" si="397"/>
        <v>8.1605182474775049</v>
      </c>
      <c r="AK778" s="4">
        <f t="shared" si="398"/>
        <v>5.857933154483459</v>
      </c>
      <c r="AL778" s="4">
        <f t="shared" si="399"/>
        <v>0</v>
      </c>
      <c r="AM778" s="4">
        <f>CER!$C$7+CER!$C$8*J778+CER!$C$9*K778+CER!$C$10*L778+CER!$C$11*M778</f>
        <v>3.4022004642554862</v>
      </c>
      <c r="AN778" s="4">
        <f t="shared" si="400"/>
        <v>30.030107575467905</v>
      </c>
      <c r="AO778" s="4">
        <f t="shared" si="401"/>
        <v>-8.9688587426018263E-2</v>
      </c>
      <c r="AP778" s="4">
        <f>Alternatives!$F$25+Alternatives!$F$26*J778+Alternatives!$F$27*K778+Alternatives!$F$28*G778+Alternatives!$F$29*O778</f>
        <v>3.3762441962279413</v>
      </c>
      <c r="AQ778" s="4">
        <f t="shared" si="402"/>
        <v>-6.3732319398473347E-2</v>
      </c>
    </row>
    <row r="779" spans="1:43" x14ac:dyDescent="0.35">
      <c r="A779" s="2" t="s">
        <v>668</v>
      </c>
      <c r="B779" s="2" t="s">
        <v>624</v>
      </c>
      <c r="C779" s="2" t="s">
        <v>67</v>
      </c>
      <c r="D779" s="2">
        <v>28.359100000000002</v>
      </c>
      <c r="E779" s="2">
        <v>3500</v>
      </c>
      <c r="F779" s="2">
        <v>350</v>
      </c>
      <c r="G779" s="2">
        <v>40.700000000000003</v>
      </c>
      <c r="H779" s="2" t="s">
        <v>68</v>
      </c>
      <c r="I779" s="4">
        <f t="shared" si="372"/>
        <v>3.3449479663225663</v>
      </c>
      <c r="J779" s="4">
        <f t="shared" si="373"/>
        <v>8.1605182474775049</v>
      </c>
      <c r="K779" s="4">
        <f t="shared" si="374"/>
        <v>5.857933154483459</v>
      </c>
      <c r="L779" s="2">
        <v>0</v>
      </c>
      <c r="M779" s="2">
        <v>0</v>
      </c>
      <c r="N779" s="4">
        <f t="shared" si="375"/>
        <v>40.700000000000003</v>
      </c>
      <c r="O779" s="4">
        <f t="shared" si="376"/>
        <v>0</v>
      </c>
      <c r="P779" s="4">
        <f t="shared" si="377"/>
        <v>0</v>
      </c>
      <c r="Q779" s="4">
        <f t="shared" si="378"/>
        <v>8.1605182474775049</v>
      </c>
      <c r="R779" s="4">
        <f t="shared" si="379"/>
        <v>5.857933154483459</v>
      </c>
      <c r="S779" s="4">
        <f t="shared" si="380"/>
        <v>40.700000000000003</v>
      </c>
      <c r="T779" s="4">
        <f t="shared" si="381"/>
        <v>0</v>
      </c>
      <c r="U779" s="4">
        <f t="shared" si="382"/>
        <v>8.1605182474775049</v>
      </c>
      <c r="V779" s="4">
        <f t="shared" si="383"/>
        <v>5.857933154483459</v>
      </c>
      <c r="W779" s="4">
        <f t="shared" si="384"/>
        <v>40.700000000000003</v>
      </c>
      <c r="X779" s="4">
        <f t="shared" si="385"/>
        <v>0</v>
      </c>
      <c r="Y779" s="4">
        <f t="shared" si="386"/>
        <v>8.1605182474775049</v>
      </c>
      <c r="Z779" s="4">
        <f t="shared" si="387"/>
        <v>5.857933154483459</v>
      </c>
      <c r="AA779" s="4">
        <f t="shared" si="388"/>
        <v>40.700000000000003</v>
      </c>
      <c r="AB779" s="4">
        <f t="shared" si="389"/>
        <v>0</v>
      </c>
      <c r="AC779" s="4">
        <f t="shared" si="390"/>
        <v>0</v>
      </c>
      <c r="AD779" s="4">
        <f t="shared" si="391"/>
        <v>0</v>
      </c>
      <c r="AE779" s="4">
        <f t="shared" si="392"/>
        <v>0</v>
      </c>
      <c r="AF779" s="4">
        <f t="shared" si="393"/>
        <v>0</v>
      </c>
      <c r="AG779" s="4">
        <f t="shared" si="394"/>
        <v>8.1605182474775049</v>
      </c>
      <c r="AH779" s="4">
        <f t="shared" si="395"/>
        <v>0</v>
      </c>
      <c r="AI779" s="4">
        <f t="shared" si="396"/>
        <v>0</v>
      </c>
      <c r="AJ779" s="4">
        <f t="shared" si="397"/>
        <v>8.1605182474775049</v>
      </c>
      <c r="AK779" s="4">
        <f t="shared" si="398"/>
        <v>5.857933154483459</v>
      </c>
      <c r="AL779" s="4">
        <f t="shared" si="399"/>
        <v>0</v>
      </c>
      <c r="AM779" s="4">
        <f>CER!$C$7+CER!$C$8*J779+CER!$C$9*K779+CER!$C$10*L779+CER!$C$11*M779</f>
        <v>3.4022004642554862</v>
      </c>
      <c r="AN779" s="4">
        <f t="shared" si="400"/>
        <v>30.030107575467905</v>
      </c>
      <c r="AO779" s="4">
        <f t="shared" si="401"/>
        <v>-5.7252497932919866E-2</v>
      </c>
      <c r="AP779" s="4">
        <f>Alternatives!$F$25+Alternatives!$F$26*J779+Alternatives!$F$27*K779+Alternatives!$F$28*G779+Alternatives!$F$29*O779</f>
        <v>3.3762441962279413</v>
      </c>
      <c r="AQ779" s="4">
        <f t="shared" si="402"/>
        <v>-3.129622990537495E-2</v>
      </c>
    </row>
    <row r="780" spans="1:43" x14ac:dyDescent="0.35">
      <c r="A780" s="2" t="s">
        <v>669</v>
      </c>
      <c r="B780" s="2" t="s">
        <v>624</v>
      </c>
      <c r="C780" s="2" t="s">
        <v>67</v>
      </c>
      <c r="D780" s="2">
        <v>27.454000000000001</v>
      </c>
      <c r="E780" s="2">
        <v>3500</v>
      </c>
      <c r="F780" s="2">
        <v>350</v>
      </c>
      <c r="G780" s="2">
        <v>40.700000000000003</v>
      </c>
      <c r="H780" s="2" t="s">
        <v>68</v>
      </c>
      <c r="I780" s="4">
        <f t="shared" si="372"/>
        <v>3.3125118768294679</v>
      </c>
      <c r="J780" s="4">
        <f t="shared" si="373"/>
        <v>8.1605182474775049</v>
      </c>
      <c r="K780" s="4">
        <f t="shared" si="374"/>
        <v>5.857933154483459</v>
      </c>
      <c r="L780" s="2">
        <v>0</v>
      </c>
      <c r="M780" s="2">
        <v>0</v>
      </c>
      <c r="N780" s="4">
        <f t="shared" si="375"/>
        <v>40.700000000000003</v>
      </c>
      <c r="O780" s="4">
        <f t="shared" si="376"/>
        <v>0</v>
      </c>
      <c r="P780" s="4">
        <f t="shared" si="377"/>
        <v>0</v>
      </c>
      <c r="Q780" s="4">
        <f t="shared" si="378"/>
        <v>8.1605182474775049</v>
      </c>
      <c r="R780" s="4">
        <f t="shared" si="379"/>
        <v>5.857933154483459</v>
      </c>
      <c r="S780" s="4">
        <f t="shared" si="380"/>
        <v>40.700000000000003</v>
      </c>
      <c r="T780" s="4">
        <f t="shared" si="381"/>
        <v>0</v>
      </c>
      <c r="U780" s="4">
        <f t="shared" si="382"/>
        <v>8.1605182474775049</v>
      </c>
      <c r="V780" s="4">
        <f t="shared" si="383"/>
        <v>5.857933154483459</v>
      </c>
      <c r="W780" s="4">
        <f t="shared" si="384"/>
        <v>40.700000000000003</v>
      </c>
      <c r="X780" s="4">
        <f t="shared" si="385"/>
        <v>0</v>
      </c>
      <c r="Y780" s="4">
        <f t="shared" si="386"/>
        <v>8.1605182474775049</v>
      </c>
      <c r="Z780" s="4">
        <f t="shared" si="387"/>
        <v>5.857933154483459</v>
      </c>
      <c r="AA780" s="4">
        <f t="shared" si="388"/>
        <v>40.700000000000003</v>
      </c>
      <c r="AB780" s="4">
        <f t="shared" si="389"/>
        <v>0</v>
      </c>
      <c r="AC780" s="4">
        <f t="shared" si="390"/>
        <v>0</v>
      </c>
      <c r="AD780" s="4">
        <f t="shared" si="391"/>
        <v>0</v>
      </c>
      <c r="AE780" s="4">
        <f t="shared" si="392"/>
        <v>0</v>
      </c>
      <c r="AF780" s="4">
        <f t="shared" si="393"/>
        <v>0</v>
      </c>
      <c r="AG780" s="4">
        <f t="shared" si="394"/>
        <v>8.1605182474775049</v>
      </c>
      <c r="AH780" s="4">
        <f t="shared" si="395"/>
        <v>0</v>
      </c>
      <c r="AI780" s="4">
        <f t="shared" si="396"/>
        <v>0</v>
      </c>
      <c r="AJ780" s="4">
        <f t="shared" si="397"/>
        <v>8.1605182474775049</v>
      </c>
      <c r="AK780" s="4">
        <f t="shared" si="398"/>
        <v>5.857933154483459</v>
      </c>
      <c r="AL780" s="4">
        <f t="shared" si="399"/>
        <v>0</v>
      </c>
      <c r="AM780" s="4">
        <f>CER!$C$7+CER!$C$8*J780+CER!$C$9*K780+CER!$C$10*L780+CER!$C$11*M780</f>
        <v>3.4022004642554862</v>
      </c>
      <c r="AN780" s="4">
        <f t="shared" si="400"/>
        <v>30.030107575467905</v>
      </c>
      <c r="AO780" s="4">
        <f t="shared" si="401"/>
        <v>-8.9688587426018263E-2</v>
      </c>
      <c r="AP780" s="4">
        <f>Alternatives!$F$25+Alternatives!$F$26*J780+Alternatives!$F$27*K780+Alternatives!$F$28*G780+Alternatives!$F$29*O780</f>
        <v>3.3762441962279413</v>
      </c>
      <c r="AQ780" s="4">
        <f t="shared" si="402"/>
        <v>-6.3732319398473347E-2</v>
      </c>
    </row>
    <row r="781" spans="1:43" x14ac:dyDescent="0.35">
      <c r="A781" s="2" t="s">
        <v>669</v>
      </c>
      <c r="B781" s="2" t="s">
        <v>624</v>
      </c>
      <c r="C781" s="2" t="s">
        <v>67</v>
      </c>
      <c r="D781" s="2">
        <v>28.359100000000002</v>
      </c>
      <c r="E781" s="2">
        <v>3500</v>
      </c>
      <c r="F781" s="2">
        <v>350</v>
      </c>
      <c r="G781" s="2">
        <v>40.700000000000003</v>
      </c>
      <c r="H781" s="2" t="s">
        <v>68</v>
      </c>
      <c r="I781" s="4">
        <f t="shared" si="372"/>
        <v>3.3449479663225663</v>
      </c>
      <c r="J781" s="4">
        <f t="shared" si="373"/>
        <v>8.1605182474775049</v>
      </c>
      <c r="K781" s="4">
        <f t="shared" si="374"/>
        <v>5.857933154483459</v>
      </c>
      <c r="L781" s="2">
        <v>0</v>
      </c>
      <c r="M781" s="2">
        <v>0</v>
      </c>
      <c r="N781" s="4">
        <f t="shared" si="375"/>
        <v>40.700000000000003</v>
      </c>
      <c r="O781" s="4">
        <f t="shared" si="376"/>
        <v>0</v>
      </c>
      <c r="P781" s="4">
        <f t="shared" si="377"/>
        <v>0</v>
      </c>
      <c r="Q781" s="4">
        <f t="shared" si="378"/>
        <v>8.1605182474775049</v>
      </c>
      <c r="R781" s="4">
        <f t="shared" si="379"/>
        <v>5.857933154483459</v>
      </c>
      <c r="S781" s="4">
        <f t="shared" si="380"/>
        <v>40.700000000000003</v>
      </c>
      <c r="T781" s="4">
        <f t="shared" si="381"/>
        <v>0</v>
      </c>
      <c r="U781" s="4">
        <f t="shared" si="382"/>
        <v>8.1605182474775049</v>
      </c>
      <c r="V781" s="4">
        <f t="shared" si="383"/>
        <v>5.857933154483459</v>
      </c>
      <c r="W781" s="4">
        <f t="shared" si="384"/>
        <v>40.700000000000003</v>
      </c>
      <c r="X781" s="4">
        <f t="shared" si="385"/>
        <v>0</v>
      </c>
      <c r="Y781" s="4">
        <f t="shared" si="386"/>
        <v>8.1605182474775049</v>
      </c>
      <c r="Z781" s="4">
        <f t="shared" si="387"/>
        <v>5.857933154483459</v>
      </c>
      <c r="AA781" s="4">
        <f t="shared" si="388"/>
        <v>40.700000000000003</v>
      </c>
      <c r="AB781" s="4">
        <f t="shared" si="389"/>
        <v>0</v>
      </c>
      <c r="AC781" s="4">
        <f t="shared" si="390"/>
        <v>0</v>
      </c>
      <c r="AD781" s="4">
        <f t="shared" si="391"/>
        <v>0</v>
      </c>
      <c r="AE781" s="4">
        <f t="shared" si="392"/>
        <v>0</v>
      </c>
      <c r="AF781" s="4">
        <f t="shared" si="393"/>
        <v>0</v>
      </c>
      <c r="AG781" s="4">
        <f t="shared" si="394"/>
        <v>8.1605182474775049</v>
      </c>
      <c r="AH781" s="4">
        <f t="shared" si="395"/>
        <v>0</v>
      </c>
      <c r="AI781" s="4">
        <f t="shared" si="396"/>
        <v>0</v>
      </c>
      <c r="AJ781" s="4">
        <f t="shared" si="397"/>
        <v>8.1605182474775049</v>
      </c>
      <c r="AK781" s="4">
        <f t="shared" si="398"/>
        <v>5.857933154483459</v>
      </c>
      <c r="AL781" s="4">
        <f t="shared" si="399"/>
        <v>0</v>
      </c>
      <c r="AM781" s="4">
        <f>CER!$C$7+CER!$C$8*J781+CER!$C$9*K781+CER!$C$10*L781+CER!$C$11*M781</f>
        <v>3.4022004642554862</v>
      </c>
      <c r="AN781" s="4">
        <f t="shared" si="400"/>
        <v>30.030107575467905</v>
      </c>
      <c r="AO781" s="4">
        <f t="shared" si="401"/>
        <v>-5.7252497932919866E-2</v>
      </c>
      <c r="AP781" s="4">
        <f>Alternatives!$F$25+Alternatives!$F$26*J781+Alternatives!$F$27*K781+Alternatives!$F$28*G781+Alternatives!$F$29*O781</f>
        <v>3.3762441962279413</v>
      </c>
      <c r="AQ781" s="4">
        <f t="shared" si="402"/>
        <v>-3.129622990537495E-2</v>
      </c>
    </row>
    <row r="782" spans="1:43" x14ac:dyDescent="0.35">
      <c r="A782" s="2" t="s">
        <v>670</v>
      </c>
      <c r="B782" s="2" t="s">
        <v>624</v>
      </c>
      <c r="C782" s="2" t="s">
        <v>67</v>
      </c>
      <c r="D782" s="2">
        <v>25.082599999999999</v>
      </c>
      <c r="E782" s="2">
        <v>3500</v>
      </c>
      <c r="F782" s="2">
        <v>414</v>
      </c>
      <c r="G782" s="2">
        <v>40.700000000000003</v>
      </c>
      <c r="H782" s="2" t="s">
        <v>68</v>
      </c>
      <c r="I782" s="4">
        <f t="shared" si="372"/>
        <v>3.2221743786530999</v>
      </c>
      <c r="J782" s="4">
        <f t="shared" si="373"/>
        <v>8.1605182474775049</v>
      </c>
      <c r="K782" s="4">
        <f t="shared" si="374"/>
        <v>6.0258659738253142</v>
      </c>
      <c r="L782" s="2">
        <v>0</v>
      </c>
      <c r="M782" s="2">
        <v>0</v>
      </c>
      <c r="N782" s="4">
        <f t="shared" si="375"/>
        <v>40.700000000000003</v>
      </c>
      <c r="O782" s="4">
        <f t="shared" si="376"/>
        <v>0</v>
      </c>
      <c r="P782" s="4">
        <f t="shared" si="377"/>
        <v>0</v>
      </c>
      <c r="Q782" s="4">
        <f t="shared" si="378"/>
        <v>8.1605182474775049</v>
      </c>
      <c r="R782" s="4">
        <f t="shared" si="379"/>
        <v>6.0258659738253142</v>
      </c>
      <c r="S782" s="4">
        <f t="shared" si="380"/>
        <v>40.700000000000003</v>
      </c>
      <c r="T782" s="4">
        <f t="shared" si="381"/>
        <v>0</v>
      </c>
      <c r="U782" s="4">
        <f t="shared" si="382"/>
        <v>8.1605182474775049</v>
      </c>
      <c r="V782" s="4">
        <f t="shared" si="383"/>
        <v>6.0258659738253142</v>
      </c>
      <c r="W782" s="4">
        <f t="shared" si="384"/>
        <v>40.700000000000003</v>
      </c>
      <c r="X782" s="4">
        <f t="shared" si="385"/>
        <v>0</v>
      </c>
      <c r="Y782" s="4">
        <f t="shared" si="386"/>
        <v>8.1605182474775049</v>
      </c>
      <c r="Z782" s="4">
        <f t="shared" si="387"/>
        <v>6.0258659738253142</v>
      </c>
      <c r="AA782" s="4">
        <f t="shared" si="388"/>
        <v>40.700000000000003</v>
      </c>
      <c r="AB782" s="4">
        <f t="shared" si="389"/>
        <v>0</v>
      </c>
      <c r="AC782" s="4">
        <f t="shared" si="390"/>
        <v>0</v>
      </c>
      <c r="AD782" s="4">
        <f t="shared" si="391"/>
        <v>0</v>
      </c>
      <c r="AE782" s="4">
        <f t="shared" si="392"/>
        <v>0</v>
      </c>
      <c r="AF782" s="4">
        <f t="shared" si="393"/>
        <v>0</v>
      </c>
      <c r="AG782" s="4">
        <f t="shared" si="394"/>
        <v>8.1605182474775049</v>
      </c>
      <c r="AH782" s="4">
        <f t="shared" si="395"/>
        <v>0</v>
      </c>
      <c r="AI782" s="4">
        <f t="shared" si="396"/>
        <v>0</v>
      </c>
      <c r="AJ782" s="4">
        <f t="shared" si="397"/>
        <v>8.1605182474775049</v>
      </c>
      <c r="AK782" s="4">
        <f t="shared" si="398"/>
        <v>6.0258659738253142</v>
      </c>
      <c r="AL782" s="4">
        <f t="shared" si="399"/>
        <v>0</v>
      </c>
      <c r="AM782" s="4">
        <f>CER!$C$7+CER!$C$8*J782+CER!$C$9*K782+CER!$C$10*L782+CER!$C$11*M782</f>
        <v>3.3402427062072797</v>
      </c>
      <c r="AN782" s="4">
        <f t="shared" si="400"/>
        <v>28.225976493833489</v>
      </c>
      <c r="AO782" s="4">
        <f t="shared" si="401"/>
        <v>-0.11806832755417984</v>
      </c>
      <c r="AP782" s="4">
        <f>Alternatives!$F$25+Alternatives!$F$26*J782+Alternatives!$F$27*K782+Alternatives!$F$28*G782+Alternatives!$F$29*O782</f>
        <v>3.331555599061887</v>
      </c>
      <c r="AQ782" s="4">
        <f t="shared" si="402"/>
        <v>-0.10938122040878717</v>
      </c>
    </row>
    <row r="783" spans="1:43" x14ac:dyDescent="0.35">
      <c r="A783" s="2" t="s">
        <v>670</v>
      </c>
      <c r="B783" s="2" t="s">
        <v>624</v>
      </c>
      <c r="C783" s="2" t="s">
        <v>67</v>
      </c>
      <c r="D783" s="2">
        <v>27.6739</v>
      </c>
      <c r="E783" s="2">
        <v>3500</v>
      </c>
      <c r="F783" s="2">
        <v>414</v>
      </c>
      <c r="G783" s="2">
        <v>40.700000000000003</v>
      </c>
      <c r="H783" s="2" t="s">
        <v>68</v>
      </c>
      <c r="I783" s="4">
        <f t="shared" si="372"/>
        <v>3.3204897307406278</v>
      </c>
      <c r="J783" s="4">
        <f t="shared" si="373"/>
        <v>8.1605182474775049</v>
      </c>
      <c r="K783" s="4">
        <f t="shared" si="374"/>
        <v>6.0258659738253142</v>
      </c>
      <c r="L783" s="2">
        <v>0</v>
      </c>
      <c r="M783" s="2">
        <v>0</v>
      </c>
      <c r="N783" s="4">
        <f t="shared" si="375"/>
        <v>40.700000000000003</v>
      </c>
      <c r="O783" s="4">
        <f t="shared" si="376"/>
        <v>0</v>
      </c>
      <c r="P783" s="4">
        <f t="shared" si="377"/>
        <v>0</v>
      </c>
      <c r="Q783" s="4">
        <f t="shared" si="378"/>
        <v>8.1605182474775049</v>
      </c>
      <c r="R783" s="4">
        <f t="shared" si="379"/>
        <v>6.0258659738253142</v>
      </c>
      <c r="S783" s="4">
        <f t="shared" si="380"/>
        <v>40.700000000000003</v>
      </c>
      <c r="T783" s="4">
        <f t="shared" si="381"/>
        <v>0</v>
      </c>
      <c r="U783" s="4">
        <f t="shared" si="382"/>
        <v>8.1605182474775049</v>
      </c>
      <c r="V783" s="4">
        <f t="shared" si="383"/>
        <v>6.0258659738253142</v>
      </c>
      <c r="W783" s="4">
        <f t="shared" si="384"/>
        <v>40.700000000000003</v>
      </c>
      <c r="X783" s="4">
        <f t="shared" si="385"/>
        <v>0</v>
      </c>
      <c r="Y783" s="4">
        <f t="shared" si="386"/>
        <v>8.1605182474775049</v>
      </c>
      <c r="Z783" s="4">
        <f t="shared" si="387"/>
        <v>6.0258659738253142</v>
      </c>
      <c r="AA783" s="4">
        <f t="shared" si="388"/>
        <v>40.700000000000003</v>
      </c>
      <c r="AB783" s="4">
        <f t="shared" si="389"/>
        <v>0</v>
      </c>
      <c r="AC783" s="4">
        <f t="shared" si="390"/>
        <v>0</v>
      </c>
      <c r="AD783" s="4">
        <f t="shared" si="391"/>
        <v>0</v>
      </c>
      <c r="AE783" s="4">
        <f t="shared" si="392"/>
        <v>0</v>
      </c>
      <c r="AF783" s="4">
        <f t="shared" si="393"/>
        <v>0</v>
      </c>
      <c r="AG783" s="4">
        <f t="shared" si="394"/>
        <v>8.1605182474775049</v>
      </c>
      <c r="AH783" s="4">
        <f t="shared" si="395"/>
        <v>0</v>
      </c>
      <c r="AI783" s="4">
        <f t="shared" si="396"/>
        <v>0</v>
      </c>
      <c r="AJ783" s="4">
        <f t="shared" si="397"/>
        <v>8.1605182474775049</v>
      </c>
      <c r="AK783" s="4">
        <f t="shared" si="398"/>
        <v>6.0258659738253142</v>
      </c>
      <c r="AL783" s="4">
        <f t="shared" si="399"/>
        <v>0</v>
      </c>
      <c r="AM783" s="4">
        <f>CER!$C$7+CER!$C$8*J783+CER!$C$9*K783+CER!$C$10*L783+CER!$C$11*M783</f>
        <v>3.3402427062072797</v>
      </c>
      <c r="AN783" s="4">
        <f t="shared" si="400"/>
        <v>28.225976493833489</v>
      </c>
      <c r="AO783" s="4">
        <f t="shared" si="401"/>
        <v>-1.975297546665189E-2</v>
      </c>
      <c r="AP783" s="4">
        <f>Alternatives!$F$25+Alternatives!$F$26*J783+Alternatives!$F$27*K783+Alternatives!$F$28*G783+Alternatives!$F$29*O783</f>
        <v>3.331555599061887</v>
      </c>
      <c r="AQ783" s="4">
        <f t="shared" si="402"/>
        <v>-1.106586832125922E-2</v>
      </c>
    </row>
    <row r="784" spans="1:43" x14ac:dyDescent="0.35">
      <c r="A784" s="2" t="s">
        <v>671</v>
      </c>
      <c r="B784" s="2" t="s">
        <v>624</v>
      </c>
      <c r="C784" s="2" t="s">
        <v>67</v>
      </c>
      <c r="D784" s="2">
        <v>25.082599999999999</v>
      </c>
      <c r="E784" s="2">
        <v>3500</v>
      </c>
      <c r="F784" s="2">
        <v>414</v>
      </c>
      <c r="G784" s="2">
        <v>40.700000000000003</v>
      </c>
      <c r="H784" s="2" t="s">
        <v>68</v>
      </c>
      <c r="I784" s="4">
        <f t="shared" si="372"/>
        <v>3.2221743786530999</v>
      </c>
      <c r="J784" s="4">
        <f t="shared" si="373"/>
        <v>8.1605182474775049</v>
      </c>
      <c r="K784" s="4">
        <f t="shared" si="374"/>
        <v>6.0258659738253142</v>
      </c>
      <c r="L784" s="2">
        <v>0</v>
      </c>
      <c r="M784" s="2">
        <v>0</v>
      </c>
      <c r="N784" s="4">
        <f t="shared" si="375"/>
        <v>40.700000000000003</v>
      </c>
      <c r="O784" s="4">
        <f t="shared" si="376"/>
        <v>0</v>
      </c>
      <c r="P784" s="4">
        <f t="shared" si="377"/>
        <v>0</v>
      </c>
      <c r="Q784" s="4">
        <f t="shared" si="378"/>
        <v>8.1605182474775049</v>
      </c>
      <c r="R784" s="4">
        <f t="shared" si="379"/>
        <v>6.0258659738253142</v>
      </c>
      <c r="S784" s="4">
        <f t="shared" si="380"/>
        <v>40.700000000000003</v>
      </c>
      <c r="T784" s="4">
        <f t="shared" si="381"/>
        <v>0</v>
      </c>
      <c r="U784" s="4">
        <f t="shared" si="382"/>
        <v>8.1605182474775049</v>
      </c>
      <c r="V784" s="4">
        <f t="shared" si="383"/>
        <v>6.0258659738253142</v>
      </c>
      <c r="W784" s="4">
        <f t="shared" si="384"/>
        <v>40.700000000000003</v>
      </c>
      <c r="X784" s="4">
        <f t="shared" si="385"/>
        <v>0</v>
      </c>
      <c r="Y784" s="4">
        <f t="shared" si="386"/>
        <v>8.1605182474775049</v>
      </c>
      <c r="Z784" s="4">
        <f t="shared" si="387"/>
        <v>6.0258659738253142</v>
      </c>
      <c r="AA784" s="4">
        <f t="shared" si="388"/>
        <v>40.700000000000003</v>
      </c>
      <c r="AB784" s="4">
        <f t="shared" si="389"/>
        <v>0</v>
      </c>
      <c r="AC784" s="4">
        <f t="shared" si="390"/>
        <v>0</v>
      </c>
      <c r="AD784" s="4">
        <f t="shared" si="391"/>
        <v>0</v>
      </c>
      <c r="AE784" s="4">
        <f t="shared" si="392"/>
        <v>0</v>
      </c>
      <c r="AF784" s="4">
        <f t="shared" si="393"/>
        <v>0</v>
      </c>
      <c r="AG784" s="4">
        <f t="shared" si="394"/>
        <v>8.1605182474775049</v>
      </c>
      <c r="AH784" s="4">
        <f t="shared" si="395"/>
        <v>0</v>
      </c>
      <c r="AI784" s="4">
        <f t="shared" si="396"/>
        <v>0</v>
      </c>
      <c r="AJ784" s="4">
        <f t="shared" si="397"/>
        <v>8.1605182474775049</v>
      </c>
      <c r="AK784" s="4">
        <f t="shared" si="398"/>
        <v>6.0258659738253142</v>
      </c>
      <c r="AL784" s="4">
        <f t="shared" si="399"/>
        <v>0</v>
      </c>
      <c r="AM784" s="4">
        <f>CER!$C$7+CER!$C$8*J784+CER!$C$9*K784+CER!$C$10*L784+CER!$C$11*M784</f>
        <v>3.3402427062072797</v>
      </c>
      <c r="AN784" s="4">
        <f t="shared" si="400"/>
        <v>28.225976493833489</v>
      </c>
      <c r="AO784" s="4">
        <f t="shared" si="401"/>
        <v>-0.11806832755417984</v>
      </c>
      <c r="AP784" s="4">
        <f>Alternatives!$F$25+Alternatives!$F$26*J784+Alternatives!$F$27*K784+Alternatives!$F$28*G784+Alternatives!$F$29*O784</f>
        <v>3.331555599061887</v>
      </c>
      <c r="AQ784" s="4">
        <f t="shared" si="402"/>
        <v>-0.10938122040878717</v>
      </c>
    </row>
    <row r="785" spans="1:43" x14ac:dyDescent="0.35">
      <c r="A785" s="2" t="s">
        <v>671</v>
      </c>
      <c r="B785" s="2" t="s">
        <v>624</v>
      </c>
      <c r="C785" s="2" t="s">
        <v>67</v>
      </c>
      <c r="D785" s="2">
        <v>27.6739</v>
      </c>
      <c r="E785" s="2">
        <v>3500</v>
      </c>
      <c r="F785" s="2">
        <v>414</v>
      </c>
      <c r="G785" s="2">
        <v>40.700000000000003</v>
      </c>
      <c r="H785" s="2" t="s">
        <v>68</v>
      </c>
      <c r="I785" s="4">
        <f t="shared" si="372"/>
        <v>3.3204897307406278</v>
      </c>
      <c r="J785" s="4">
        <f t="shared" si="373"/>
        <v>8.1605182474775049</v>
      </c>
      <c r="K785" s="4">
        <f t="shared" si="374"/>
        <v>6.0258659738253142</v>
      </c>
      <c r="L785" s="2">
        <v>0</v>
      </c>
      <c r="M785" s="2">
        <v>0</v>
      </c>
      <c r="N785" s="4">
        <f t="shared" si="375"/>
        <v>40.700000000000003</v>
      </c>
      <c r="O785" s="4">
        <f t="shared" si="376"/>
        <v>0</v>
      </c>
      <c r="P785" s="4">
        <f t="shared" si="377"/>
        <v>0</v>
      </c>
      <c r="Q785" s="4">
        <f t="shared" si="378"/>
        <v>8.1605182474775049</v>
      </c>
      <c r="R785" s="4">
        <f t="shared" si="379"/>
        <v>6.0258659738253142</v>
      </c>
      <c r="S785" s="4">
        <f t="shared" si="380"/>
        <v>40.700000000000003</v>
      </c>
      <c r="T785" s="4">
        <f t="shared" si="381"/>
        <v>0</v>
      </c>
      <c r="U785" s="4">
        <f t="shared" si="382"/>
        <v>8.1605182474775049</v>
      </c>
      <c r="V785" s="4">
        <f t="shared" si="383"/>
        <v>6.0258659738253142</v>
      </c>
      <c r="W785" s="4">
        <f t="shared" si="384"/>
        <v>40.700000000000003</v>
      </c>
      <c r="X785" s="4">
        <f t="shared" si="385"/>
        <v>0</v>
      </c>
      <c r="Y785" s="4">
        <f t="shared" si="386"/>
        <v>8.1605182474775049</v>
      </c>
      <c r="Z785" s="4">
        <f t="shared" si="387"/>
        <v>6.0258659738253142</v>
      </c>
      <c r="AA785" s="4">
        <f t="shared" si="388"/>
        <v>40.700000000000003</v>
      </c>
      <c r="AB785" s="4">
        <f t="shared" si="389"/>
        <v>0</v>
      </c>
      <c r="AC785" s="4">
        <f t="shared" si="390"/>
        <v>0</v>
      </c>
      <c r="AD785" s="4">
        <f t="shared" si="391"/>
        <v>0</v>
      </c>
      <c r="AE785" s="4">
        <f t="shared" si="392"/>
        <v>0</v>
      </c>
      <c r="AF785" s="4">
        <f t="shared" si="393"/>
        <v>0</v>
      </c>
      <c r="AG785" s="4">
        <f t="shared" si="394"/>
        <v>8.1605182474775049</v>
      </c>
      <c r="AH785" s="4">
        <f t="shared" si="395"/>
        <v>0</v>
      </c>
      <c r="AI785" s="4">
        <f t="shared" si="396"/>
        <v>0</v>
      </c>
      <c r="AJ785" s="4">
        <f t="shared" si="397"/>
        <v>8.1605182474775049</v>
      </c>
      <c r="AK785" s="4">
        <f t="shared" si="398"/>
        <v>6.0258659738253142</v>
      </c>
      <c r="AL785" s="4">
        <f t="shared" si="399"/>
        <v>0</v>
      </c>
      <c r="AM785" s="4">
        <f>CER!$C$7+CER!$C$8*J785+CER!$C$9*K785+CER!$C$10*L785+CER!$C$11*M785</f>
        <v>3.3402427062072797</v>
      </c>
      <c r="AN785" s="4">
        <f t="shared" si="400"/>
        <v>28.225976493833489</v>
      </c>
      <c r="AO785" s="4">
        <f t="shared" si="401"/>
        <v>-1.975297546665189E-2</v>
      </c>
      <c r="AP785" s="4">
        <f>Alternatives!$F$25+Alternatives!$F$26*J785+Alternatives!$F$27*K785+Alternatives!$F$28*G785+Alternatives!$F$29*O785</f>
        <v>3.331555599061887</v>
      </c>
      <c r="AQ785" s="4">
        <f t="shared" si="402"/>
        <v>-1.106586832125922E-2</v>
      </c>
    </row>
    <row r="786" spans="1:43" x14ac:dyDescent="0.35">
      <c r="A786" s="2" t="s">
        <v>672</v>
      </c>
      <c r="B786" s="2" t="s">
        <v>624</v>
      </c>
      <c r="C786" s="2" t="s">
        <v>67</v>
      </c>
      <c r="D786" s="2">
        <v>20.966799999999999</v>
      </c>
      <c r="E786" s="2">
        <v>3500</v>
      </c>
      <c r="F786" s="2">
        <v>493</v>
      </c>
      <c r="G786" s="2">
        <v>41.3</v>
      </c>
      <c r="H786" s="2" t="s">
        <v>68</v>
      </c>
      <c r="I786" s="4">
        <f t="shared" si="372"/>
        <v>3.0429402343185417</v>
      </c>
      <c r="J786" s="4">
        <f t="shared" si="373"/>
        <v>8.1605182474775049</v>
      </c>
      <c r="K786" s="4">
        <f t="shared" si="374"/>
        <v>6.2005091740426899</v>
      </c>
      <c r="L786" s="2">
        <v>0</v>
      </c>
      <c r="M786" s="2">
        <v>0</v>
      </c>
      <c r="N786" s="4">
        <f t="shared" si="375"/>
        <v>41.3</v>
      </c>
      <c r="O786" s="4">
        <f t="shared" si="376"/>
        <v>0</v>
      </c>
      <c r="P786" s="4">
        <f t="shared" si="377"/>
        <v>0</v>
      </c>
      <c r="Q786" s="4">
        <f t="shared" si="378"/>
        <v>8.1605182474775049</v>
      </c>
      <c r="R786" s="4">
        <f t="shared" si="379"/>
        <v>6.2005091740426899</v>
      </c>
      <c r="S786" s="4">
        <f t="shared" si="380"/>
        <v>41.3</v>
      </c>
      <c r="T786" s="4">
        <f t="shared" si="381"/>
        <v>0</v>
      </c>
      <c r="U786" s="4">
        <f t="shared" si="382"/>
        <v>8.1605182474775049</v>
      </c>
      <c r="V786" s="4">
        <f t="shared" si="383"/>
        <v>6.2005091740426899</v>
      </c>
      <c r="W786" s="4">
        <f t="shared" si="384"/>
        <v>41.3</v>
      </c>
      <c r="X786" s="4">
        <f t="shared" si="385"/>
        <v>0</v>
      </c>
      <c r="Y786" s="4">
        <f t="shared" si="386"/>
        <v>8.1605182474775049</v>
      </c>
      <c r="Z786" s="4">
        <f t="shared" si="387"/>
        <v>6.2005091740426899</v>
      </c>
      <c r="AA786" s="4">
        <f t="shared" si="388"/>
        <v>41.3</v>
      </c>
      <c r="AB786" s="4">
        <f t="shared" si="389"/>
        <v>0</v>
      </c>
      <c r="AC786" s="4">
        <f t="shared" si="390"/>
        <v>0</v>
      </c>
      <c r="AD786" s="4">
        <f t="shared" si="391"/>
        <v>0</v>
      </c>
      <c r="AE786" s="4">
        <f t="shared" si="392"/>
        <v>0</v>
      </c>
      <c r="AF786" s="4">
        <f t="shared" si="393"/>
        <v>0</v>
      </c>
      <c r="AG786" s="4">
        <f t="shared" si="394"/>
        <v>8.1605182474775049</v>
      </c>
      <c r="AH786" s="4">
        <f t="shared" si="395"/>
        <v>0</v>
      </c>
      <c r="AI786" s="4">
        <f t="shared" si="396"/>
        <v>0</v>
      </c>
      <c r="AJ786" s="4">
        <f t="shared" si="397"/>
        <v>8.1605182474775049</v>
      </c>
      <c r="AK786" s="4">
        <f t="shared" si="398"/>
        <v>6.2005091740426899</v>
      </c>
      <c r="AL786" s="4">
        <f t="shared" si="399"/>
        <v>0</v>
      </c>
      <c r="AM786" s="4">
        <f>CER!$C$7+CER!$C$8*J786+CER!$C$9*K786+CER!$C$10*L786+CER!$C$11*M786</f>
        <v>3.2758091953173945</v>
      </c>
      <c r="AN786" s="4">
        <f t="shared" si="400"/>
        <v>26.46463187460731</v>
      </c>
      <c r="AO786" s="4">
        <f t="shared" si="401"/>
        <v>-0.23286896099885279</v>
      </c>
      <c r="AP786" s="4">
        <f>Alternatives!$F$25+Alternatives!$F$26*J786+Alternatives!$F$27*K786+Alternatives!$F$28*G786+Alternatives!$F$29*O786</f>
        <v>3.2772769139310496</v>
      </c>
      <c r="AQ786" s="4">
        <f t="shared" si="402"/>
        <v>-0.23433667961250793</v>
      </c>
    </row>
    <row r="787" spans="1:43" x14ac:dyDescent="0.35">
      <c r="A787" s="2" t="s">
        <v>673</v>
      </c>
      <c r="B787" s="2" t="s">
        <v>624</v>
      </c>
      <c r="C787" s="2" t="s">
        <v>67</v>
      </c>
      <c r="D787" s="2">
        <v>20.650200000000002</v>
      </c>
      <c r="E787" s="2">
        <v>3500</v>
      </c>
      <c r="F787" s="2">
        <v>493</v>
      </c>
      <c r="G787" s="2">
        <v>41.1</v>
      </c>
      <c r="H787" s="2" t="s">
        <v>68</v>
      </c>
      <c r="I787" s="4">
        <f t="shared" si="372"/>
        <v>3.0277250045901645</v>
      </c>
      <c r="J787" s="4">
        <f t="shared" si="373"/>
        <v>8.1605182474775049</v>
      </c>
      <c r="K787" s="4">
        <f t="shared" si="374"/>
        <v>6.2005091740426899</v>
      </c>
      <c r="L787" s="2">
        <v>0</v>
      </c>
      <c r="M787" s="2">
        <v>0</v>
      </c>
      <c r="N787" s="4">
        <f t="shared" si="375"/>
        <v>41.1</v>
      </c>
      <c r="O787" s="4">
        <f t="shared" si="376"/>
        <v>0</v>
      </c>
      <c r="P787" s="4">
        <f t="shared" si="377"/>
        <v>0</v>
      </c>
      <c r="Q787" s="4">
        <f t="shared" si="378"/>
        <v>8.1605182474775049</v>
      </c>
      <c r="R787" s="4">
        <f t="shared" si="379"/>
        <v>6.2005091740426899</v>
      </c>
      <c r="S787" s="4">
        <f t="shared" si="380"/>
        <v>41.1</v>
      </c>
      <c r="T787" s="4">
        <f t="shared" si="381"/>
        <v>0</v>
      </c>
      <c r="U787" s="4">
        <f t="shared" si="382"/>
        <v>8.1605182474775049</v>
      </c>
      <c r="V787" s="4">
        <f t="shared" si="383"/>
        <v>6.2005091740426899</v>
      </c>
      <c r="W787" s="4">
        <f t="shared" si="384"/>
        <v>41.1</v>
      </c>
      <c r="X787" s="4">
        <f t="shared" si="385"/>
        <v>0</v>
      </c>
      <c r="Y787" s="4">
        <f t="shared" si="386"/>
        <v>8.1605182474775049</v>
      </c>
      <c r="Z787" s="4">
        <f t="shared" si="387"/>
        <v>6.2005091740426899</v>
      </c>
      <c r="AA787" s="4">
        <f t="shared" si="388"/>
        <v>41.1</v>
      </c>
      <c r="AB787" s="4">
        <f t="shared" si="389"/>
        <v>0</v>
      </c>
      <c r="AC787" s="4">
        <f t="shared" si="390"/>
        <v>0</v>
      </c>
      <c r="AD787" s="4">
        <f t="shared" si="391"/>
        <v>0</v>
      </c>
      <c r="AE787" s="4">
        <f t="shared" si="392"/>
        <v>0</v>
      </c>
      <c r="AF787" s="4">
        <f t="shared" si="393"/>
        <v>0</v>
      </c>
      <c r="AG787" s="4">
        <f t="shared" si="394"/>
        <v>8.1605182474775049</v>
      </c>
      <c r="AH787" s="4">
        <f t="shared" si="395"/>
        <v>0</v>
      </c>
      <c r="AI787" s="4">
        <f t="shared" si="396"/>
        <v>0</v>
      </c>
      <c r="AJ787" s="4">
        <f t="shared" si="397"/>
        <v>8.1605182474775049</v>
      </c>
      <c r="AK787" s="4">
        <f t="shared" si="398"/>
        <v>6.2005091740426899</v>
      </c>
      <c r="AL787" s="4">
        <f t="shared" si="399"/>
        <v>0</v>
      </c>
      <c r="AM787" s="4">
        <f>CER!$C$7+CER!$C$8*J787+CER!$C$9*K787+CER!$C$10*L787+CER!$C$11*M787</f>
        <v>3.2758091953173945</v>
      </c>
      <c r="AN787" s="4">
        <f t="shared" si="400"/>
        <v>26.46463187460731</v>
      </c>
      <c r="AO787" s="4">
        <f t="shared" si="401"/>
        <v>-0.24808419072722998</v>
      </c>
      <c r="AP787" s="4">
        <f>Alternatives!$F$25+Alternatives!$F$26*J787+Alternatives!$F$27*K787+Alternatives!$F$28*G787+Alternatives!$F$29*O787</f>
        <v>3.2798783768394952</v>
      </c>
      <c r="AQ787" s="4">
        <f t="shared" si="402"/>
        <v>-0.25215337224933076</v>
      </c>
    </row>
    <row r="788" spans="1:43" x14ac:dyDescent="0.35">
      <c r="A788" s="2" t="s">
        <v>674</v>
      </c>
      <c r="B788" s="2" t="s">
        <v>675</v>
      </c>
      <c r="C788" s="2" t="s">
        <v>67</v>
      </c>
      <c r="D788" s="2">
        <v>17.558900000000001</v>
      </c>
      <c r="E788" s="2">
        <v>6500</v>
      </c>
      <c r="F788" s="2">
        <v>563</v>
      </c>
      <c r="G788" s="2">
        <v>64.2</v>
      </c>
      <c r="H788" s="2" t="s">
        <v>68</v>
      </c>
      <c r="I788" s="4">
        <f t="shared" si="372"/>
        <v>2.8655609438758352</v>
      </c>
      <c r="J788" s="4">
        <f t="shared" si="373"/>
        <v>8.7795574558837277</v>
      </c>
      <c r="K788" s="4">
        <f t="shared" si="374"/>
        <v>6.3332796281396906</v>
      </c>
      <c r="L788" s="2">
        <v>0</v>
      </c>
      <c r="M788" s="2">
        <v>0</v>
      </c>
      <c r="N788" s="4">
        <f t="shared" si="375"/>
        <v>64.2</v>
      </c>
      <c r="O788" s="4">
        <f t="shared" si="376"/>
        <v>0</v>
      </c>
      <c r="P788" s="4">
        <f t="shared" si="377"/>
        <v>0</v>
      </c>
      <c r="Q788" s="4">
        <f t="shared" si="378"/>
        <v>8.7795574558837277</v>
      </c>
      <c r="R788" s="4">
        <f t="shared" si="379"/>
        <v>6.3332796281396906</v>
      </c>
      <c r="S788" s="4">
        <f t="shared" si="380"/>
        <v>64.2</v>
      </c>
      <c r="T788" s="4">
        <f t="shared" si="381"/>
        <v>0</v>
      </c>
      <c r="U788" s="4">
        <f t="shared" si="382"/>
        <v>8.7795574558837277</v>
      </c>
      <c r="V788" s="4">
        <f t="shared" si="383"/>
        <v>6.3332796281396906</v>
      </c>
      <c r="W788" s="4">
        <f t="shared" si="384"/>
        <v>64.2</v>
      </c>
      <c r="X788" s="4">
        <f t="shared" si="385"/>
        <v>0</v>
      </c>
      <c r="Y788" s="4">
        <f t="shared" si="386"/>
        <v>8.7795574558837277</v>
      </c>
      <c r="Z788" s="4">
        <f t="shared" si="387"/>
        <v>6.3332796281396906</v>
      </c>
      <c r="AA788" s="4">
        <f t="shared" si="388"/>
        <v>64.2</v>
      </c>
      <c r="AB788" s="4">
        <f t="shared" si="389"/>
        <v>0</v>
      </c>
      <c r="AC788" s="4">
        <f t="shared" si="390"/>
        <v>0</v>
      </c>
      <c r="AD788" s="4">
        <f t="shared" si="391"/>
        <v>0</v>
      </c>
      <c r="AE788" s="4">
        <f t="shared" si="392"/>
        <v>0</v>
      </c>
      <c r="AF788" s="4">
        <f t="shared" si="393"/>
        <v>0</v>
      </c>
      <c r="AG788" s="4">
        <f t="shared" si="394"/>
        <v>8.7795574558837277</v>
      </c>
      <c r="AH788" s="4">
        <f t="shared" si="395"/>
        <v>0</v>
      </c>
      <c r="AI788" s="4">
        <f t="shared" si="396"/>
        <v>0</v>
      </c>
      <c r="AJ788" s="4">
        <f t="shared" si="397"/>
        <v>8.7795574558837277</v>
      </c>
      <c r="AK788" s="4">
        <f t="shared" si="398"/>
        <v>6.3332796281396906</v>
      </c>
      <c r="AL788" s="4">
        <f t="shared" si="399"/>
        <v>0</v>
      </c>
      <c r="AM788" s="4">
        <f>CER!$C$7+CER!$C$8*J788+CER!$C$9*K788+CER!$C$10*L788+CER!$C$11*M788</f>
        <v>2.9465796758398501</v>
      </c>
      <c r="AN788" s="4">
        <f t="shared" si="400"/>
        <v>19.040716802407509</v>
      </c>
      <c r="AO788" s="4">
        <f t="shared" si="401"/>
        <v>-8.1018731964014989E-2</v>
      </c>
      <c r="AP788" s="4">
        <f>Alternatives!$F$25+Alternatives!$F$26*J788+Alternatives!$F$27*K788+Alternatives!$F$28*G788+Alternatives!$F$29*O788</f>
        <v>3.1731756005565566</v>
      </c>
      <c r="AQ788" s="4">
        <f t="shared" si="402"/>
        <v>-0.30761465668072141</v>
      </c>
    </row>
    <row r="789" spans="1:43" x14ac:dyDescent="0.35">
      <c r="A789" s="2" t="s">
        <v>676</v>
      </c>
      <c r="B789" s="2" t="s">
        <v>675</v>
      </c>
      <c r="C789" s="2" t="s">
        <v>67</v>
      </c>
      <c r="D789" s="2">
        <v>17.8963</v>
      </c>
      <c r="E789" s="2">
        <v>6500</v>
      </c>
      <c r="F789" s="2">
        <v>563</v>
      </c>
      <c r="G789" s="2">
        <v>59.8</v>
      </c>
      <c r="H789" s="2" t="s">
        <v>68</v>
      </c>
      <c r="I789" s="4">
        <f t="shared" si="372"/>
        <v>2.8845939875698972</v>
      </c>
      <c r="J789" s="4">
        <f t="shared" si="373"/>
        <v>8.7795574558837277</v>
      </c>
      <c r="K789" s="4">
        <f t="shared" si="374"/>
        <v>6.3332796281396906</v>
      </c>
      <c r="L789" s="2">
        <v>0</v>
      </c>
      <c r="M789" s="2">
        <v>0</v>
      </c>
      <c r="N789" s="4">
        <f t="shared" si="375"/>
        <v>59.8</v>
      </c>
      <c r="O789" s="4">
        <f t="shared" si="376"/>
        <v>0</v>
      </c>
      <c r="P789" s="4">
        <f t="shared" si="377"/>
        <v>0</v>
      </c>
      <c r="Q789" s="4">
        <f t="shared" si="378"/>
        <v>8.7795574558837277</v>
      </c>
      <c r="R789" s="4">
        <f t="shared" si="379"/>
        <v>6.3332796281396906</v>
      </c>
      <c r="S789" s="4">
        <f t="shared" si="380"/>
        <v>59.8</v>
      </c>
      <c r="T789" s="4">
        <f t="shared" si="381"/>
        <v>0</v>
      </c>
      <c r="U789" s="4">
        <f t="shared" si="382"/>
        <v>8.7795574558837277</v>
      </c>
      <c r="V789" s="4">
        <f t="shared" si="383"/>
        <v>6.3332796281396906</v>
      </c>
      <c r="W789" s="4">
        <f t="shared" si="384"/>
        <v>59.8</v>
      </c>
      <c r="X789" s="4">
        <f t="shared" si="385"/>
        <v>0</v>
      </c>
      <c r="Y789" s="4">
        <f t="shared" si="386"/>
        <v>8.7795574558837277</v>
      </c>
      <c r="Z789" s="4">
        <f t="shared" si="387"/>
        <v>6.3332796281396906</v>
      </c>
      <c r="AA789" s="4">
        <f t="shared" si="388"/>
        <v>59.8</v>
      </c>
      <c r="AB789" s="4">
        <f t="shared" si="389"/>
        <v>0</v>
      </c>
      <c r="AC789" s="4">
        <f t="shared" si="390"/>
        <v>0</v>
      </c>
      <c r="AD789" s="4">
        <f t="shared" si="391"/>
        <v>0</v>
      </c>
      <c r="AE789" s="4">
        <f t="shared" si="392"/>
        <v>0</v>
      </c>
      <c r="AF789" s="4">
        <f t="shared" si="393"/>
        <v>0</v>
      </c>
      <c r="AG789" s="4">
        <f t="shared" si="394"/>
        <v>8.7795574558837277</v>
      </c>
      <c r="AH789" s="4">
        <f t="shared" si="395"/>
        <v>0</v>
      </c>
      <c r="AI789" s="4">
        <f t="shared" si="396"/>
        <v>0</v>
      </c>
      <c r="AJ789" s="4">
        <f t="shared" si="397"/>
        <v>8.7795574558837277</v>
      </c>
      <c r="AK789" s="4">
        <f t="shared" si="398"/>
        <v>6.3332796281396906</v>
      </c>
      <c r="AL789" s="4">
        <f t="shared" si="399"/>
        <v>0</v>
      </c>
      <c r="AM789" s="4">
        <f>CER!$C$7+CER!$C$8*J789+CER!$C$9*K789+CER!$C$10*L789+CER!$C$11*M789</f>
        <v>2.9465796758398501</v>
      </c>
      <c r="AN789" s="4">
        <f t="shared" si="400"/>
        <v>19.040716802407509</v>
      </c>
      <c r="AO789" s="4">
        <f t="shared" si="401"/>
        <v>-6.1985688269952988E-2</v>
      </c>
      <c r="AP789" s="4">
        <f>Alternatives!$F$25+Alternatives!$F$26*J789+Alternatives!$F$27*K789+Alternatives!$F$28*G789+Alternatives!$F$29*O789</f>
        <v>3.2304077845423613</v>
      </c>
      <c r="AQ789" s="4">
        <f t="shared" si="402"/>
        <v>-0.34581379697246417</v>
      </c>
    </row>
    <row r="790" spans="1:43" x14ac:dyDescent="0.35">
      <c r="A790" s="2" t="s">
        <v>677</v>
      </c>
      <c r="B790" s="2" t="s">
        <v>675</v>
      </c>
      <c r="C790" s="2" t="s">
        <v>67</v>
      </c>
      <c r="D790" s="2">
        <v>17.8963</v>
      </c>
      <c r="E790" s="2">
        <v>6500</v>
      </c>
      <c r="F790" s="2">
        <v>591</v>
      </c>
      <c r="G790" s="2">
        <v>59.8</v>
      </c>
      <c r="H790" s="2" t="s">
        <v>68</v>
      </c>
      <c r="I790" s="4">
        <f t="shared" si="372"/>
        <v>2.8845939875698972</v>
      </c>
      <c r="J790" s="4">
        <f t="shared" si="373"/>
        <v>8.7795574558837277</v>
      </c>
      <c r="K790" s="4">
        <f t="shared" si="374"/>
        <v>6.3818160174060985</v>
      </c>
      <c r="L790" s="2">
        <v>0</v>
      </c>
      <c r="M790" s="2">
        <v>0</v>
      </c>
      <c r="N790" s="4">
        <f t="shared" si="375"/>
        <v>59.8</v>
      </c>
      <c r="O790" s="4">
        <f t="shared" si="376"/>
        <v>0</v>
      </c>
      <c r="P790" s="4">
        <f t="shared" si="377"/>
        <v>0</v>
      </c>
      <c r="Q790" s="4">
        <f t="shared" si="378"/>
        <v>8.7795574558837277</v>
      </c>
      <c r="R790" s="4">
        <f t="shared" si="379"/>
        <v>6.3818160174060985</v>
      </c>
      <c r="S790" s="4">
        <f t="shared" si="380"/>
        <v>59.8</v>
      </c>
      <c r="T790" s="4">
        <f t="shared" si="381"/>
        <v>0</v>
      </c>
      <c r="U790" s="4">
        <f t="shared" si="382"/>
        <v>8.7795574558837277</v>
      </c>
      <c r="V790" s="4">
        <f t="shared" si="383"/>
        <v>6.3818160174060985</v>
      </c>
      <c r="W790" s="4">
        <f t="shared" si="384"/>
        <v>59.8</v>
      </c>
      <c r="X790" s="4">
        <f t="shared" si="385"/>
        <v>0</v>
      </c>
      <c r="Y790" s="4">
        <f t="shared" si="386"/>
        <v>8.7795574558837277</v>
      </c>
      <c r="Z790" s="4">
        <f t="shared" si="387"/>
        <v>6.3818160174060985</v>
      </c>
      <c r="AA790" s="4">
        <f t="shared" si="388"/>
        <v>59.8</v>
      </c>
      <c r="AB790" s="4">
        <f t="shared" si="389"/>
        <v>0</v>
      </c>
      <c r="AC790" s="4">
        <f t="shared" si="390"/>
        <v>0</v>
      </c>
      <c r="AD790" s="4">
        <f t="shared" si="391"/>
        <v>0</v>
      </c>
      <c r="AE790" s="4">
        <f t="shared" si="392"/>
        <v>0</v>
      </c>
      <c r="AF790" s="4">
        <f t="shared" si="393"/>
        <v>0</v>
      </c>
      <c r="AG790" s="4">
        <f t="shared" si="394"/>
        <v>8.7795574558837277</v>
      </c>
      <c r="AH790" s="4">
        <f t="shared" si="395"/>
        <v>0</v>
      </c>
      <c r="AI790" s="4">
        <f t="shared" si="396"/>
        <v>0</v>
      </c>
      <c r="AJ790" s="4">
        <f t="shared" si="397"/>
        <v>8.7795574558837277</v>
      </c>
      <c r="AK790" s="4">
        <f t="shared" si="398"/>
        <v>6.3818160174060985</v>
      </c>
      <c r="AL790" s="4">
        <f t="shared" si="399"/>
        <v>0</v>
      </c>
      <c r="AM790" s="4">
        <f>CER!$C$7+CER!$C$8*J790+CER!$C$9*K790+CER!$C$10*L790+CER!$C$11*M790</f>
        <v>2.9286724801261879</v>
      </c>
      <c r="AN790" s="4">
        <f t="shared" si="400"/>
        <v>18.702785689635409</v>
      </c>
      <c r="AO790" s="4">
        <f t="shared" si="401"/>
        <v>-4.4078492556290705E-2</v>
      </c>
      <c r="AP790" s="4">
        <f>Alternatives!$F$25+Alternatives!$F$26*J790+Alternatives!$F$27*K790+Alternatives!$F$28*G790+Alternatives!$F$29*O790</f>
        <v>3.2174917675522225</v>
      </c>
      <c r="AQ790" s="4">
        <f t="shared" si="402"/>
        <v>-0.33289777998232539</v>
      </c>
    </row>
    <row r="791" spans="1:43" x14ac:dyDescent="0.35">
      <c r="A791" s="2" t="s">
        <v>678</v>
      </c>
      <c r="B791" s="2" t="s">
        <v>675</v>
      </c>
      <c r="C791" s="2" t="s">
        <v>67</v>
      </c>
      <c r="D791" s="2">
        <v>17.920400000000001</v>
      </c>
      <c r="E791" s="2">
        <v>6000</v>
      </c>
      <c r="F791" s="2">
        <v>563</v>
      </c>
      <c r="G791" s="2">
        <v>59.8</v>
      </c>
      <c r="H791" s="2" t="s">
        <v>68</v>
      </c>
      <c r="I791" s="4">
        <f t="shared" si="372"/>
        <v>2.8859397287262367</v>
      </c>
      <c r="J791" s="4">
        <f t="shared" si="373"/>
        <v>8.6995147482101913</v>
      </c>
      <c r="K791" s="4">
        <f t="shared" si="374"/>
        <v>6.3332796281396906</v>
      </c>
      <c r="L791" s="2">
        <v>0</v>
      </c>
      <c r="M791" s="2">
        <v>0</v>
      </c>
      <c r="N791" s="4">
        <f t="shared" si="375"/>
        <v>59.8</v>
      </c>
      <c r="O791" s="4">
        <f t="shared" si="376"/>
        <v>0</v>
      </c>
      <c r="P791" s="4">
        <f t="shared" si="377"/>
        <v>0</v>
      </c>
      <c r="Q791" s="4">
        <f t="shared" si="378"/>
        <v>8.6995147482101913</v>
      </c>
      <c r="R791" s="4">
        <f t="shared" si="379"/>
        <v>6.3332796281396906</v>
      </c>
      <c r="S791" s="4">
        <f t="shared" si="380"/>
        <v>59.8</v>
      </c>
      <c r="T791" s="4">
        <f t="shared" si="381"/>
        <v>0</v>
      </c>
      <c r="U791" s="4">
        <f t="shared" si="382"/>
        <v>8.6995147482101913</v>
      </c>
      <c r="V791" s="4">
        <f t="shared" si="383"/>
        <v>6.3332796281396906</v>
      </c>
      <c r="W791" s="4">
        <f t="shared" si="384"/>
        <v>59.8</v>
      </c>
      <c r="X791" s="4">
        <f t="shared" si="385"/>
        <v>0</v>
      </c>
      <c r="Y791" s="4">
        <f t="shared" si="386"/>
        <v>8.6995147482101913</v>
      </c>
      <c r="Z791" s="4">
        <f t="shared" si="387"/>
        <v>6.3332796281396906</v>
      </c>
      <c r="AA791" s="4">
        <f t="shared" si="388"/>
        <v>59.8</v>
      </c>
      <c r="AB791" s="4">
        <f t="shared" si="389"/>
        <v>0</v>
      </c>
      <c r="AC791" s="4">
        <f t="shared" si="390"/>
        <v>0</v>
      </c>
      <c r="AD791" s="4">
        <f t="shared" si="391"/>
        <v>0</v>
      </c>
      <c r="AE791" s="4">
        <f t="shared" si="392"/>
        <v>0</v>
      </c>
      <c r="AF791" s="4">
        <f t="shared" si="393"/>
        <v>0</v>
      </c>
      <c r="AG791" s="4">
        <f t="shared" si="394"/>
        <v>8.6995147482101913</v>
      </c>
      <c r="AH791" s="4">
        <f t="shared" si="395"/>
        <v>0</v>
      </c>
      <c r="AI791" s="4">
        <f t="shared" si="396"/>
        <v>0</v>
      </c>
      <c r="AJ791" s="4">
        <f t="shared" si="397"/>
        <v>8.6995147482101913</v>
      </c>
      <c r="AK791" s="4">
        <f t="shared" si="398"/>
        <v>6.3332796281396906</v>
      </c>
      <c r="AL791" s="4">
        <f t="shared" si="399"/>
        <v>0</v>
      </c>
      <c r="AM791" s="4">
        <f>CER!$C$7+CER!$C$8*J791+CER!$C$9*K791+CER!$C$10*L791+CER!$C$11*M791</f>
        <v>2.9828157395631636</v>
      </c>
      <c r="AN791" s="4">
        <f t="shared" si="400"/>
        <v>19.743330528642971</v>
      </c>
      <c r="AO791" s="4">
        <f t="shared" si="401"/>
        <v>-9.6876010836926874E-2</v>
      </c>
      <c r="AP791" s="4">
        <f>Alternatives!$F$25+Alternatives!$F$26*J791+Alternatives!$F$27*K791+Alternatives!$F$28*G791+Alternatives!$F$29*O791</f>
        <v>3.2007851007836967</v>
      </c>
      <c r="AQ791" s="4">
        <f t="shared" si="402"/>
        <v>-0.31484537205745999</v>
      </c>
    </row>
    <row r="792" spans="1:43" x14ac:dyDescent="0.35">
      <c r="A792" s="2" t="s">
        <v>679</v>
      </c>
      <c r="B792" s="2" t="s">
        <v>675</v>
      </c>
      <c r="C792" s="2" t="s">
        <v>67</v>
      </c>
      <c r="D792" s="2">
        <v>17.558900000000001</v>
      </c>
      <c r="E792" s="2">
        <v>6500</v>
      </c>
      <c r="F792" s="2">
        <v>563</v>
      </c>
      <c r="G792" s="2">
        <v>68.2</v>
      </c>
      <c r="H792" s="2" t="s">
        <v>68</v>
      </c>
      <c r="I792" s="4">
        <f t="shared" si="372"/>
        <v>2.8655609438758352</v>
      </c>
      <c r="J792" s="4">
        <f t="shared" si="373"/>
        <v>8.7795574558837277</v>
      </c>
      <c r="K792" s="4">
        <f t="shared" si="374"/>
        <v>6.3332796281396906</v>
      </c>
      <c r="L792" s="2">
        <v>0</v>
      </c>
      <c r="M792" s="2">
        <v>0</v>
      </c>
      <c r="N792" s="4">
        <f t="shared" si="375"/>
        <v>68.2</v>
      </c>
      <c r="O792" s="4">
        <f t="shared" si="376"/>
        <v>0</v>
      </c>
      <c r="P792" s="4">
        <f t="shared" si="377"/>
        <v>0</v>
      </c>
      <c r="Q792" s="4">
        <f t="shared" si="378"/>
        <v>8.7795574558837277</v>
      </c>
      <c r="R792" s="4">
        <f t="shared" si="379"/>
        <v>6.3332796281396906</v>
      </c>
      <c r="S792" s="4">
        <f t="shared" si="380"/>
        <v>68.2</v>
      </c>
      <c r="T792" s="4">
        <f t="shared" si="381"/>
        <v>0</v>
      </c>
      <c r="U792" s="4">
        <f t="shared" si="382"/>
        <v>8.7795574558837277</v>
      </c>
      <c r="V792" s="4">
        <f t="shared" si="383"/>
        <v>6.3332796281396906</v>
      </c>
      <c r="W792" s="4">
        <f t="shared" si="384"/>
        <v>68.2</v>
      </c>
      <c r="X792" s="4">
        <f t="shared" si="385"/>
        <v>0</v>
      </c>
      <c r="Y792" s="4">
        <f t="shared" si="386"/>
        <v>8.7795574558837277</v>
      </c>
      <c r="Z792" s="4">
        <f t="shared" si="387"/>
        <v>6.3332796281396906</v>
      </c>
      <c r="AA792" s="4">
        <f t="shared" si="388"/>
        <v>68.2</v>
      </c>
      <c r="AB792" s="4">
        <f t="shared" si="389"/>
        <v>0</v>
      </c>
      <c r="AC792" s="4">
        <f t="shared" si="390"/>
        <v>0</v>
      </c>
      <c r="AD792" s="4">
        <f t="shared" si="391"/>
        <v>0</v>
      </c>
      <c r="AE792" s="4">
        <f t="shared" si="392"/>
        <v>0</v>
      </c>
      <c r="AF792" s="4">
        <f t="shared" si="393"/>
        <v>0</v>
      </c>
      <c r="AG792" s="4">
        <f t="shared" si="394"/>
        <v>8.7795574558837277</v>
      </c>
      <c r="AH792" s="4">
        <f t="shared" si="395"/>
        <v>0</v>
      </c>
      <c r="AI792" s="4">
        <f t="shared" si="396"/>
        <v>0</v>
      </c>
      <c r="AJ792" s="4">
        <f t="shared" si="397"/>
        <v>8.7795574558837277</v>
      </c>
      <c r="AK792" s="4">
        <f t="shared" si="398"/>
        <v>6.3332796281396906</v>
      </c>
      <c r="AL792" s="4">
        <f t="shared" si="399"/>
        <v>0</v>
      </c>
      <c r="AM792" s="4">
        <f>CER!$C$7+CER!$C$8*J792+CER!$C$9*K792+CER!$C$10*L792+CER!$C$11*M792</f>
        <v>2.9465796758398501</v>
      </c>
      <c r="AN792" s="4">
        <f t="shared" si="400"/>
        <v>19.040716802407509</v>
      </c>
      <c r="AO792" s="4">
        <f t="shared" si="401"/>
        <v>-8.1018731964014989E-2</v>
      </c>
      <c r="AP792" s="4">
        <f>Alternatives!$F$25+Alternatives!$F$26*J792+Alternatives!$F$27*K792+Alternatives!$F$28*G792+Alternatives!$F$29*O792</f>
        <v>3.1211463423876435</v>
      </c>
      <c r="AQ792" s="4">
        <f t="shared" si="402"/>
        <v>-0.25558539851180839</v>
      </c>
    </row>
    <row r="793" spans="1:43" x14ac:dyDescent="0.35">
      <c r="A793" s="2" t="s">
        <v>680</v>
      </c>
      <c r="B793" s="2" t="s">
        <v>675</v>
      </c>
      <c r="C793" s="2" t="s">
        <v>67</v>
      </c>
      <c r="D793" s="2">
        <v>17.920400000000001</v>
      </c>
      <c r="E793" s="2">
        <v>6000</v>
      </c>
      <c r="F793" s="2">
        <v>563</v>
      </c>
      <c r="G793" s="2">
        <v>62.9</v>
      </c>
      <c r="H793" s="2" t="s">
        <v>68</v>
      </c>
      <c r="I793" s="4">
        <f t="shared" si="372"/>
        <v>2.8859397287262367</v>
      </c>
      <c r="J793" s="4">
        <f t="shared" si="373"/>
        <v>8.6995147482101913</v>
      </c>
      <c r="K793" s="4">
        <f t="shared" si="374"/>
        <v>6.3332796281396906</v>
      </c>
      <c r="L793" s="2">
        <v>0</v>
      </c>
      <c r="M793" s="2">
        <v>0</v>
      </c>
      <c r="N793" s="4">
        <f t="shared" si="375"/>
        <v>62.9</v>
      </c>
      <c r="O793" s="4">
        <f t="shared" si="376"/>
        <v>0</v>
      </c>
      <c r="P793" s="4">
        <f t="shared" si="377"/>
        <v>0</v>
      </c>
      <c r="Q793" s="4">
        <f t="shared" si="378"/>
        <v>8.6995147482101913</v>
      </c>
      <c r="R793" s="4">
        <f t="shared" si="379"/>
        <v>6.3332796281396906</v>
      </c>
      <c r="S793" s="4">
        <f t="shared" si="380"/>
        <v>62.9</v>
      </c>
      <c r="T793" s="4">
        <f t="shared" si="381"/>
        <v>0</v>
      </c>
      <c r="U793" s="4">
        <f t="shared" si="382"/>
        <v>8.6995147482101913</v>
      </c>
      <c r="V793" s="4">
        <f t="shared" si="383"/>
        <v>6.3332796281396906</v>
      </c>
      <c r="W793" s="4">
        <f t="shared" si="384"/>
        <v>62.9</v>
      </c>
      <c r="X793" s="4">
        <f t="shared" si="385"/>
        <v>0</v>
      </c>
      <c r="Y793" s="4">
        <f t="shared" si="386"/>
        <v>8.6995147482101913</v>
      </c>
      <c r="Z793" s="4">
        <f t="shared" si="387"/>
        <v>6.3332796281396906</v>
      </c>
      <c r="AA793" s="4">
        <f t="shared" si="388"/>
        <v>62.9</v>
      </c>
      <c r="AB793" s="4">
        <f t="shared" si="389"/>
        <v>0</v>
      </c>
      <c r="AC793" s="4">
        <f t="shared" si="390"/>
        <v>0</v>
      </c>
      <c r="AD793" s="4">
        <f t="shared" si="391"/>
        <v>0</v>
      </c>
      <c r="AE793" s="4">
        <f t="shared" si="392"/>
        <v>0</v>
      </c>
      <c r="AF793" s="4">
        <f t="shared" si="393"/>
        <v>0</v>
      </c>
      <c r="AG793" s="4">
        <f t="shared" si="394"/>
        <v>8.6995147482101913</v>
      </c>
      <c r="AH793" s="4">
        <f t="shared" si="395"/>
        <v>0</v>
      </c>
      <c r="AI793" s="4">
        <f t="shared" si="396"/>
        <v>0</v>
      </c>
      <c r="AJ793" s="4">
        <f t="shared" si="397"/>
        <v>8.6995147482101913</v>
      </c>
      <c r="AK793" s="4">
        <f t="shared" si="398"/>
        <v>6.3332796281396906</v>
      </c>
      <c r="AL793" s="4">
        <f t="shared" si="399"/>
        <v>0</v>
      </c>
      <c r="AM793" s="4">
        <f>CER!$C$7+CER!$C$8*J793+CER!$C$9*K793+CER!$C$10*L793+CER!$C$11*M793</f>
        <v>2.9828157395631636</v>
      </c>
      <c r="AN793" s="4">
        <f t="shared" si="400"/>
        <v>19.743330528642971</v>
      </c>
      <c r="AO793" s="4">
        <f t="shared" si="401"/>
        <v>-9.6876010836926874E-2</v>
      </c>
      <c r="AP793" s="4">
        <f>Alternatives!$F$25+Alternatives!$F$26*J793+Alternatives!$F$27*K793+Alternatives!$F$28*G793+Alternatives!$F$29*O793</f>
        <v>3.1604624257027889</v>
      </c>
      <c r="AQ793" s="4">
        <f t="shared" si="402"/>
        <v>-0.27452269697655218</v>
      </c>
    </row>
    <row r="794" spans="1:43" x14ac:dyDescent="0.35">
      <c r="A794" s="2" t="s">
        <v>681</v>
      </c>
      <c r="B794" s="2" t="s">
        <v>675</v>
      </c>
      <c r="C794" s="2" t="s">
        <v>67</v>
      </c>
      <c r="D794" s="2">
        <v>17.920400000000001</v>
      </c>
      <c r="E794" s="2">
        <v>6000</v>
      </c>
      <c r="F794" s="2">
        <v>591</v>
      </c>
      <c r="G794" s="2">
        <v>59.4</v>
      </c>
      <c r="H794" s="2" t="s">
        <v>68</v>
      </c>
      <c r="I794" s="4">
        <f t="shared" si="372"/>
        <v>2.8859397287262367</v>
      </c>
      <c r="J794" s="4">
        <f t="shared" si="373"/>
        <v>8.6995147482101913</v>
      </c>
      <c r="K794" s="4">
        <f t="shared" si="374"/>
        <v>6.3818160174060985</v>
      </c>
      <c r="L794" s="2">
        <v>0</v>
      </c>
      <c r="M794" s="2">
        <v>0</v>
      </c>
      <c r="N794" s="4">
        <f t="shared" si="375"/>
        <v>59.4</v>
      </c>
      <c r="O794" s="4">
        <f t="shared" si="376"/>
        <v>0</v>
      </c>
      <c r="P794" s="4">
        <f t="shared" si="377"/>
        <v>0</v>
      </c>
      <c r="Q794" s="4">
        <f t="shared" si="378"/>
        <v>8.6995147482101913</v>
      </c>
      <c r="R794" s="4">
        <f t="shared" si="379"/>
        <v>6.3818160174060985</v>
      </c>
      <c r="S794" s="4">
        <f t="shared" si="380"/>
        <v>59.4</v>
      </c>
      <c r="T794" s="4">
        <f t="shared" si="381"/>
        <v>0</v>
      </c>
      <c r="U794" s="4">
        <f t="shared" si="382"/>
        <v>8.6995147482101913</v>
      </c>
      <c r="V794" s="4">
        <f t="shared" si="383"/>
        <v>6.3818160174060985</v>
      </c>
      <c r="W794" s="4">
        <f t="shared" si="384"/>
        <v>59.4</v>
      </c>
      <c r="X794" s="4">
        <f t="shared" si="385"/>
        <v>0</v>
      </c>
      <c r="Y794" s="4">
        <f t="shared" si="386"/>
        <v>8.6995147482101913</v>
      </c>
      <c r="Z794" s="4">
        <f t="shared" si="387"/>
        <v>6.3818160174060985</v>
      </c>
      <c r="AA794" s="4">
        <f t="shared" si="388"/>
        <v>59.4</v>
      </c>
      <c r="AB794" s="4">
        <f t="shared" si="389"/>
        <v>0</v>
      </c>
      <c r="AC794" s="4">
        <f t="shared" si="390"/>
        <v>0</v>
      </c>
      <c r="AD794" s="4">
        <f t="shared" si="391"/>
        <v>0</v>
      </c>
      <c r="AE794" s="4">
        <f t="shared" si="392"/>
        <v>0</v>
      </c>
      <c r="AF794" s="4">
        <f t="shared" si="393"/>
        <v>0</v>
      </c>
      <c r="AG794" s="4">
        <f t="shared" si="394"/>
        <v>8.6995147482101913</v>
      </c>
      <c r="AH794" s="4">
        <f t="shared" si="395"/>
        <v>0</v>
      </c>
      <c r="AI794" s="4">
        <f t="shared" si="396"/>
        <v>0</v>
      </c>
      <c r="AJ794" s="4">
        <f t="shared" si="397"/>
        <v>8.6995147482101913</v>
      </c>
      <c r="AK794" s="4">
        <f t="shared" si="398"/>
        <v>6.3818160174060985</v>
      </c>
      <c r="AL794" s="4">
        <f t="shared" si="399"/>
        <v>0</v>
      </c>
      <c r="AM794" s="4">
        <f>CER!$C$7+CER!$C$8*J794+CER!$C$9*K794+CER!$C$10*L794+CER!$C$11*M794</f>
        <v>2.9649085438495013</v>
      </c>
      <c r="AN794" s="4">
        <f t="shared" si="400"/>
        <v>19.392929557681203</v>
      </c>
      <c r="AO794" s="4">
        <f t="shared" si="401"/>
        <v>-7.8968815123264591E-2</v>
      </c>
      <c r="AP794" s="4">
        <f>Alternatives!$F$25+Alternatives!$F$26*J794+Alternatives!$F$27*K794+Alternatives!$F$28*G794+Alternatives!$F$29*O794</f>
        <v>3.1930720096104492</v>
      </c>
      <c r="AQ794" s="4">
        <f t="shared" si="402"/>
        <v>-0.30713228088421252</v>
      </c>
    </row>
    <row r="795" spans="1:43" x14ac:dyDescent="0.35">
      <c r="A795" s="2" t="s">
        <v>682</v>
      </c>
      <c r="B795" s="2" t="s">
        <v>683</v>
      </c>
      <c r="C795" s="2" t="s">
        <v>67</v>
      </c>
      <c r="D795" s="2">
        <v>42.1965</v>
      </c>
      <c r="E795" s="2">
        <v>3500</v>
      </c>
      <c r="F795" s="2">
        <v>191</v>
      </c>
      <c r="G795" s="2">
        <v>46.2</v>
      </c>
      <c r="H795" s="2" t="s">
        <v>68</v>
      </c>
      <c r="I795" s="4">
        <f t="shared" si="372"/>
        <v>3.7423372792137624</v>
      </c>
      <c r="J795" s="4">
        <f t="shared" si="373"/>
        <v>8.1605182474775049</v>
      </c>
      <c r="K795" s="4">
        <f t="shared" si="374"/>
        <v>5.2522734280466299</v>
      </c>
      <c r="L795" s="2">
        <v>0</v>
      </c>
      <c r="M795" s="2">
        <v>0</v>
      </c>
      <c r="N795" s="4">
        <f t="shared" si="375"/>
        <v>46.2</v>
      </c>
      <c r="O795" s="4">
        <f t="shared" si="376"/>
        <v>0</v>
      </c>
      <c r="P795" s="4">
        <f t="shared" si="377"/>
        <v>0</v>
      </c>
      <c r="Q795" s="4">
        <f t="shared" si="378"/>
        <v>8.1605182474775049</v>
      </c>
      <c r="R795" s="4">
        <f t="shared" si="379"/>
        <v>5.2522734280466299</v>
      </c>
      <c r="S795" s="4">
        <f t="shared" si="380"/>
        <v>46.2</v>
      </c>
      <c r="T795" s="4">
        <f t="shared" si="381"/>
        <v>0</v>
      </c>
      <c r="U795" s="4">
        <f t="shared" si="382"/>
        <v>8.1605182474775049</v>
      </c>
      <c r="V795" s="4">
        <f t="shared" si="383"/>
        <v>5.2522734280466299</v>
      </c>
      <c r="W795" s="4">
        <f t="shared" si="384"/>
        <v>46.2</v>
      </c>
      <c r="X795" s="4">
        <f t="shared" si="385"/>
        <v>0</v>
      </c>
      <c r="Y795" s="4">
        <f t="shared" si="386"/>
        <v>8.1605182474775049</v>
      </c>
      <c r="Z795" s="4">
        <f t="shared" si="387"/>
        <v>5.2522734280466299</v>
      </c>
      <c r="AA795" s="4">
        <f t="shared" si="388"/>
        <v>46.2</v>
      </c>
      <c r="AB795" s="4">
        <f t="shared" si="389"/>
        <v>0</v>
      </c>
      <c r="AC795" s="4">
        <f t="shared" si="390"/>
        <v>0</v>
      </c>
      <c r="AD795" s="4">
        <f t="shared" si="391"/>
        <v>0</v>
      </c>
      <c r="AE795" s="4">
        <f t="shared" si="392"/>
        <v>0</v>
      </c>
      <c r="AF795" s="4">
        <f t="shared" si="393"/>
        <v>0</v>
      </c>
      <c r="AG795" s="4">
        <f t="shared" si="394"/>
        <v>8.1605182474775049</v>
      </c>
      <c r="AH795" s="4">
        <f t="shared" si="395"/>
        <v>0</v>
      </c>
      <c r="AI795" s="4">
        <f t="shared" si="396"/>
        <v>0</v>
      </c>
      <c r="AJ795" s="4">
        <f t="shared" si="397"/>
        <v>8.1605182474775049</v>
      </c>
      <c r="AK795" s="4">
        <f t="shared" si="398"/>
        <v>5.2522734280466299</v>
      </c>
      <c r="AL795" s="4">
        <f t="shared" si="399"/>
        <v>0</v>
      </c>
      <c r="AM795" s="4">
        <f>CER!$C$7+CER!$C$8*J795+CER!$C$9*K795+CER!$C$10*L795+CER!$C$11*M795</f>
        <v>3.6256548130669999</v>
      </c>
      <c r="AN795" s="4">
        <f t="shared" si="400"/>
        <v>37.549302885345988</v>
      </c>
      <c r="AO795" s="4">
        <f t="shared" si="401"/>
        <v>0.11668246614676248</v>
      </c>
      <c r="AP795" s="4">
        <f>Alternatives!$F$25+Alternatives!$F$26*J795+Alternatives!$F$27*K795+Alternatives!$F$28*G795+Alternatives!$F$29*O795</f>
        <v>3.4658760566120144</v>
      </c>
      <c r="AQ795" s="4">
        <f t="shared" si="402"/>
        <v>0.27646122260174799</v>
      </c>
    </row>
    <row r="796" spans="1:43" x14ac:dyDescent="0.35">
      <c r="A796" s="2" t="s">
        <v>684</v>
      </c>
      <c r="B796" s="2" t="s">
        <v>683</v>
      </c>
      <c r="C796" s="2" t="s">
        <v>67</v>
      </c>
      <c r="D796" s="2">
        <v>40.736199999999997</v>
      </c>
      <c r="E796" s="2">
        <v>3500</v>
      </c>
      <c r="F796" s="2">
        <v>191</v>
      </c>
      <c r="G796" s="2">
        <v>46.2</v>
      </c>
      <c r="H796" s="2" t="s">
        <v>68</v>
      </c>
      <c r="I796" s="4">
        <f t="shared" si="372"/>
        <v>3.707117132025159</v>
      </c>
      <c r="J796" s="4">
        <f t="shared" si="373"/>
        <v>8.1605182474775049</v>
      </c>
      <c r="K796" s="4">
        <f t="shared" si="374"/>
        <v>5.2522734280466299</v>
      </c>
      <c r="L796" s="2">
        <v>0</v>
      </c>
      <c r="M796" s="2">
        <v>0</v>
      </c>
      <c r="N796" s="4">
        <f t="shared" si="375"/>
        <v>46.2</v>
      </c>
      <c r="O796" s="4">
        <f t="shared" si="376"/>
        <v>0</v>
      </c>
      <c r="P796" s="4">
        <f t="shared" si="377"/>
        <v>0</v>
      </c>
      <c r="Q796" s="4">
        <f t="shared" si="378"/>
        <v>8.1605182474775049</v>
      </c>
      <c r="R796" s="4">
        <f t="shared" si="379"/>
        <v>5.2522734280466299</v>
      </c>
      <c r="S796" s="4">
        <f t="shared" si="380"/>
        <v>46.2</v>
      </c>
      <c r="T796" s="4">
        <f t="shared" si="381"/>
        <v>0</v>
      </c>
      <c r="U796" s="4">
        <f t="shared" si="382"/>
        <v>8.1605182474775049</v>
      </c>
      <c r="V796" s="4">
        <f t="shared" si="383"/>
        <v>5.2522734280466299</v>
      </c>
      <c r="W796" s="4">
        <f t="shared" si="384"/>
        <v>46.2</v>
      </c>
      <c r="X796" s="4">
        <f t="shared" si="385"/>
        <v>0</v>
      </c>
      <c r="Y796" s="4">
        <f t="shared" si="386"/>
        <v>8.1605182474775049</v>
      </c>
      <c r="Z796" s="4">
        <f t="shared" si="387"/>
        <v>5.2522734280466299</v>
      </c>
      <c r="AA796" s="4">
        <f t="shared" si="388"/>
        <v>46.2</v>
      </c>
      <c r="AB796" s="4">
        <f t="shared" si="389"/>
        <v>0</v>
      </c>
      <c r="AC796" s="4">
        <f t="shared" si="390"/>
        <v>0</v>
      </c>
      <c r="AD796" s="4">
        <f t="shared" si="391"/>
        <v>0</v>
      </c>
      <c r="AE796" s="4">
        <f t="shared" si="392"/>
        <v>0</v>
      </c>
      <c r="AF796" s="4">
        <f t="shared" si="393"/>
        <v>0</v>
      </c>
      <c r="AG796" s="4">
        <f t="shared" si="394"/>
        <v>8.1605182474775049</v>
      </c>
      <c r="AH796" s="4">
        <f t="shared" si="395"/>
        <v>0</v>
      </c>
      <c r="AI796" s="4">
        <f t="shared" si="396"/>
        <v>0</v>
      </c>
      <c r="AJ796" s="4">
        <f t="shared" si="397"/>
        <v>8.1605182474775049</v>
      </c>
      <c r="AK796" s="4">
        <f t="shared" si="398"/>
        <v>5.2522734280466299</v>
      </c>
      <c r="AL796" s="4">
        <f t="shared" si="399"/>
        <v>0</v>
      </c>
      <c r="AM796" s="4">
        <f>CER!$C$7+CER!$C$8*J796+CER!$C$9*K796+CER!$C$10*L796+CER!$C$11*M796</f>
        <v>3.6256548130669999</v>
      </c>
      <c r="AN796" s="4">
        <f t="shared" si="400"/>
        <v>37.549302885345988</v>
      </c>
      <c r="AO796" s="4">
        <f t="shared" si="401"/>
        <v>8.1462318958159141E-2</v>
      </c>
      <c r="AP796" s="4">
        <f>Alternatives!$F$25+Alternatives!$F$26*J796+Alternatives!$F$27*K796+Alternatives!$F$28*G796+Alternatives!$F$29*O796</f>
        <v>3.4658760566120144</v>
      </c>
      <c r="AQ796" s="4">
        <f t="shared" si="402"/>
        <v>0.24124107541314466</v>
      </c>
    </row>
    <row r="797" spans="1:43" x14ac:dyDescent="0.35">
      <c r="A797" s="2" t="s">
        <v>684</v>
      </c>
      <c r="B797" s="2" t="s">
        <v>683</v>
      </c>
      <c r="C797" s="2" t="s">
        <v>67</v>
      </c>
      <c r="D797" s="2">
        <v>40.976399999999998</v>
      </c>
      <c r="E797" s="2">
        <v>3500</v>
      </c>
      <c r="F797" s="2">
        <v>191</v>
      </c>
      <c r="G797" s="2">
        <v>46.2</v>
      </c>
      <c r="H797" s="2" t="s">
        <v>68</v>
      </c>
      <c r="I797" s="4">
        <f t="shared" si="372"/>
        <v>3.7129962912213155</v>
      </c>
      <c r="J797" s="4">
        <f t="shared" si="373"/>
        <v>8.1605182474775049</v>
      </c>
      <c r="K797" s="4">
        <f t="shared" si="374"/>
        <v>5.2522734280466299</v>
      </c>
      <c r="L797" s="2">
        <v>0</v>
      </c>
      <c r="M797" s="2">
        <v>0</v>
      </c>
      <c r="N797" s="4">
        <f t="shared" si="375"/>
        <v>46.2</v>
      </c>
      <c r="O797" s="4">
        <f t="shared" si="376"/>
        <v>0</v>
      </c>
      <c r="P797" s="4">
        <f t="shared" si="377"/>
        <v>0</v>
      </c>
      <c r="Q797" s="4">
        <f t="shared" si="378"/>
        <v>8.1605182474775049</v>
      </c>
      <c r="R797" s="4">
        <f t="shared" si="379"/>
        <v>5.2522734280466299</v>
      </c>
      <c r="S797" s="4">
        <f t="shared" si="380"/>
        <v>46.2</v>
      </c>
      <c r="T797" s="4">
        <f t="shared" si="381"/>
        <v>0</v>
      </c>
      <c r="U797" s="4">
        <f t="shared" si="382"/>
        <v>8.1605182474775049</v>
      </c>
      <c r="V797" s="4">
        <f t="shared" si="383"/>
        <v>5.2522734280466299</v>
      </c>
      <c r="W797" s="4">
        <f t="shared" si="384"/>
        <v>46.2</v>
      </c>
      <c r="X797" s="4">
        <f t="shared" si="385"/>
        <v>0</v>
      </c>
      <c r="Y797" s="4">
        <f t="shared" si="386"/>
        <v>8.1605182474775049</v>
      </c>
      <c r="Z797" s="4">
        <f t="shared" si="387"/>
        <v>5.2522734280466299</v>
      </c>
      <c r="AA797" s="4">
        <f t="shared" si="388"/>
        <v>46.2</v>
      </c>
      <c r="AB797" s="4">
        <f t="shared" si="389"/>
        <v>0</v>
      </c>
      <c r="AC797" s="4">
        <f t="shared" si="390"/>
        <v>0</v>
      </c>
      <c r="AD797" s="4">
        <f t="shared" si="391"/>
        <v>0</v>
      </c>
      <c r="AE797" s="4">
        <f t="shared" si="392"/>
        <v>0</v>
      </c>
      <c r="AF797" s="4">
        <f t="shared" si="393"/>
        <v>0</v>
      </c>
      <c r="AG797" s="4">
        <f t="shared" si="394"/>
        <v>8.1605182474775049</v>
      </c>
      <c r="AH797" s="4">
        <f t="shared" si="395"/>
        <v>0</v>
      </c>
      <c r="AI797" s="4">
        <f t="shared" si="396"/>
        <v>0</v>
      </c>
      <c r="AJ797" s="4">
        <f t="shared" si="397"/>
        <v>8.1605182474775049</v>
      </c>
      <c r="AK797" s="4">
        <f t="shared" si="398"/>
        <v>5.2522734280466299</v>
      </c>
      <c r="AL797" s="4">
        <f t="shared" si="399"/>
        <v>0</v>
      </c>
      <c r="AM797" s="4">
        <f>CER!$C$7+CER!$C$8*J797+CER!$C$9*K797+CER!$C$10*L797+CER!$C$11*M797</f>
        <v>3.6256548130669999</v>
      </c>
      <c r="AN797" s="4">
        <f t="shared" si="400"/>
        <v>37.549302885345988</v>
      </c>
      <c r="AO797" s="4">
        <f t="shared" si="401"/>
        <v>8.7341478154315588E-2</v>
      </c>
      <c r="AP797" s="4">
        <f>Alternatives!$F$25+Alternatives!$F$26*J797+Alternatives!$F$27*K797+Alternatives!$F$28*G797+Alternatives!$F$29*O797</f>
        <v>3.4658760566120144</v>
      </c>
      <c r="AQ797" s="4">
        <f t="shared" si="402"/>
        <v>0.2471202346093011</v>
      </c>
    </row>
    <row r="798" spans="1:43" x14ac:dyDescent="0.35">
      <c r="A798" s="2" t="s">
        <v>685</v>
      </c>
      <c r="B798" s="2" t="s">
        <v>683</v>
      </c>
      <c r="C798" s="2" t="s">
        <v>67</v>
      </c>
      <c r="D798" s="2">
        <v>40.124000000000002</v>
      </c>
      <c r="E798" s="2">
        <v>3500</v>
      </c>
      <c r="F798" s="2">
        <v>191</v>
      </c>
      <c r="G798" s="2">
        <v>46.2</v>
      </c>
      <c r="H798" s="2" t="s">
        <v>68</v>
      </c>
      <c r="I798" s="4">
        <f t="shared" si="372"/>
        <v>3.6919746590212386</v>
      </c>
      <c r="J798" s="4">
        <f t="shared" si="373"/>
        <v>8.1605182474775049</v>
      </c>
      <c r="K798" s="4">
        <f t="shared" si="374"/>
        <v>5.2522734280466299</v>
      </c>
      <c r="L798" s="2">
        <v>0</v>
      </c>
      <c r="M798" s="2">
        <v>0</v>
      </c>
      <c r="N798" s="4">
        <f t="shared" si="375"/>
        <v>46.2</v>
      </c>
      <c r="O798" s="4">
        <f t="shared" si="376"/>
        <v>0</v>
      </c>
      <c r="P798" s="4">
        <f t="shared" si="377"/>
        <v>0</v>
      </c>
      <c r="Q798" s="4">
        <f t="shared" si="378"/>
        <v>8.1605182474775049</v>
      </c>
      <c r="R798" s="4">
        <f t="shared" si="379"/>
        <v>5.2522734280466299</v>
      </c>
      <c r="S798" s="4">
        <f t="shared" si="380"/>
        <v>46.2</v>
      </c>
      <c r="T798" s="4">
        <f t="shared" si="381"/>
        <v>0</v>
      </c>
      <c r="U798" s="4">
        <f t="shared" si="382"/>
        <v>8.1605182474775049</v>
      </c>
      <c r="V798" s="4">
        <f t="shared" si="383"/>
        <v>5.2522734280466299</v>
      </c>
      <c r="W798" s="4">
        <f t="shared" si="384"/>
        <v>46.2</v>
      </c>
      <c r="X798" s="4">
        <f t="shared" si="385"/>
        <v>0</v>
      </c>
      <c r="Y798" s="4">
        <f t="shared" si="386"/>
        <v>8.1605182474775049</v>
      </c>
      <c r="Z798" s="4">
        <f t="shared" si="387"/>
        <v>5.2522734280466299</v>
      </c>
      <c r="AA798" s="4">
        <f t="shared" si="388"/>
        <v>46.2</v>
      </c>
      <c r="AB798" s="4">
        <f t="shared" si="389"/>
        <v>0</v>
      </c>
      <c r="AC798" s="4">
        <f t="shared" si="390"/>
        <v>0</v>
      </c>
      <c r="AD798" s="4">
        <f t="shared" si="391"/>
        <v>0</v>
      </c>
      <c r="AE798" s="4">
        <f t="shared" si="392"/>
        <v>0</v>
      </c>
      <c r="AF798" s="4">
        <f t="shared" si="393"/>
        <v>0</v>
      </c>
      <c r="AG798" s="4">
        <f t="shared" si="394"/>
        <v>8.1605182474775049</v>
      </c>
      <c r="AH798" s="4">
        <f t="shared" si="395"/>
        <v>0</v>
      </c>
      <c r="AI798" s="4">
        <f t="shared" si="396"/>
        <v>0</v>
      </c>
      <c r="AJ798" s="4">
        <f t="shared" si="397"/>
        <v>8.1605182474775049</v>
      </c>
      <c r="AK798" s="4">
        <f t="shared" si="398"/>
        <v>5.2522734280466299</v>
      </c>
      <c r="AL798" s="4">
        <f t="shared" si="399"/>
        <v>0</v>
      </c>
      <c r="AM798" s="4">
        <f>CER!$C$7+CER!$C$8*J798+CER!$C$9*K798+CER!$C$10*L798+CER!$C$11*M798</f>
        <v>3.6256548130669999</v>
      </c>
      <c r="AN798" s="4">
        <f t="shared" si="400"/>
        <v>37.549302885345988</v>
      </c>
      <c r="AO798" s="4">
        <f t="shared" si="401"/>
        <v>6.6319845954238676E-2</v>
      </c>
      <c r="AP798" s="4">
        <f>Alternatives!$F$25+Alternatives!$F$26*J798+Alternatives!$F$27*K798+Alternatives!$F$28*G798+Alternatives!$F$29*O798</f>
        <v>3.4658760566120144</v>
      </c>
      <c r="AQ798" s="4">
        <f t="shared" si="402"/>
        <v>0.22609860240922419</v>
      </c>
    </row>
    <row r="799" spans="1:43" x14ac:dyDescent="0.35">
      <c r="A799" s="2" t="s">
        <v>685</v>
      </c>
      <c r="B799" s="2" t="s">
        <v>683</v>
      </c>
      <c r="C799" s="2" t="s">
        <v>67</v>
      </c>
      <c r="D799" s="2">
        <v>35.622999999999998</v>
      </c>
      <c r="E799" s="2">
        <v>3500</v>
      </c>
      <c r="F799" s="2">
        <v>227</v>
      </c>
      <c r="G799" s="2">
        <v>46.2</v>
      </c>
      <c r="H799" s="2" t="s">
        <v>68</v>
      </c>
      <c r="I799" s="4">
        <f t="shared" si="372"/>
        <v>3.5729914966620089</v>
      </c>
      <c r="J799" s="4">
        <f t="shared" si="373"/>
        <v>8.1605182474775049</v>
      </c>
      <c r="K799" s="4">
        <f t="shared" si="374"/>
        <v>5.4249500174814029</v>
      </c>
      <c r="L799" s="2">
        <v>0</v>
      </c>
      <c r="M799" s="2">
        <v>0</v>
      </c>
      <c r="N799" s="4">
        <f t="shared" si="375"/>
        <v>46.2</v>
      </c>
      <c r="O799" s="4">
        <f t="shared" si="376"/>
        <v>0</v>
      </c>
      <c r="P799" s="4">
        <f t="shared" si="377"/>
        <v>0</v>
      </c>
      <c r="Q799" s="4">
        <f t="shared" si="378"/>
        <v>8.1605182474775049</v>
      </c>
      <c r="R799" s="4">
        <f t="shared" si="379"/>
        <v>5.4249500174814029</v>
      </c>
      <c r="S799" s="4">
        <f t="shared" si="380"/>
        <v>46.2</v>
      </c>
      <c r="T799" s="4">
        <f t="shared" si="381"/>
        <v>0</v>
      </c>
      <c r="U799" s="4">
        <f t="shared" si="382"/>
        <v>8.1605182474775049</v>
      </c>
      <c r="V799" s="4">
        <f t="shared" si="383"/>
        <v>5.4249500174814029</v>
      </c>
      <c r="W799" s="4">
        <f t="shared" si="384"/>
        <v>46.2</v>
      </c>
      <c r="X799" s="4">
        <f t="shared" si="385"/>
        <v>0</v>
      </c>
      <c r="Y799" s="4">
        <f t="shared" si="386"/>
        <v>8.1605182474775049</v>
      </c>
      <c r="Z799" s="4">
        <f t="shared" si="387"/>
        <v>5.4249500174814029</v>
      </c>
      <c r="AA799" s="4">
        <f t="shared" si="388"/>
        <v>46.2</v>
      </c>
      <c r="AB799" s="4">
        <f t="shared" si="389"/>
        <v>0</v>
      </c>
      <c r="AC799" s="4">
        <f t="shared" si="390"/>
        <v>0</v>
      </c>
      <c r="AD799" s="4">
        <f t="shared" si="391"/>
        <v>0</v>
      </c>
      <c r="AE799" s="4">
        <f t="shared" si="392"/>
        <v>0</v>
      </c>
      <c r="AF799" s="4">
        <f t="shared" si="393"/>
        <v>0</v>
      </c>
      <c r="AG799" s="4">
        <f t="shared" si="394"/>
        <v>8.1605182474775049</v>
      </c>
      <c r="AH799" s="4">
        <f t="shared" si="395"/>
        <v>0</v>
      </c>
      <c r="AI799" s="4">
        <f t="shared" si="396"/>
        <v>0</v>
      </c>
      <c r="AJ799" s="4">
        <f t="shared" si="397"/>
        <v>8.1605182474775049</v>
      </c>
      <c r="AK799" s="4">
        <f t="shared" si="398"/>
        <v>5.4249500174814029</v>
      </c>
      <c r="AL799" s="4">
        <f t="shared" si="399"/>
        <v>0</v>
      </c>
      <c r="AM799" s="4">
        <f>CER!$C$7+CER!$C$8*J799+CER!$C$9*K799+CER!$C$10*L799+CER!$C$11*M799</f>
        <v>3.5619468708629793</v>
      </c>
      <c r="AN799" s="4">
        <f t="shared" si="400"/>
        <v>35.231722031986259</v>
      </c>
      <c r="AO799" s="4">
        <f t="shared" si="401"/>
        <v>1.1044625799029539E-2</v>
      </c>
      <c r="AP799" s="4">
        <f>Alternatives!$F$25+Alternatives!$F$26*J799+Alternatives!$F$27*K799+Alternatives!$F$28*G799+Alternatives!$F$29*O799</f>
        <v>3.4199250949387627</v>
      </c>
      <c r="AQ799" s="4">
        <f t="shared" si="402"/>
        <v>0.15306640172324615</v>
      </c>
    </row>
    <row r="800" spans="1:43" x14ac:dyDescent="0.35">
      <c r="A800" s="2" t="s">
        <v>686</v>
      </c>
      <c r="B800" s="2" t="s">
        <v>683</v>
      </c>
      <c r="C800" s="2" t="s">
        <v>67</v>
      </c>
      <c r="D800" s="2">
        <v>38.5745</v>
      </c>
      <c r="E800" s="2">
        <v>3500</v>
      </c>
      <c r="F800" s="2">
        <v>191</v>
      </c>
      <c r="G800" s="2">
        <v>46.2</v>
      </c>
      <c r="H800" s="2" t="s">
        <v>68</v>
      </c>
      <c r="I800" s="4">
        <f t="shared" si="372"/>
        <v>3.6525914364024206</v>
      </c>
      <c r="J800" s="4">
        <f t="shared" si="373"/>
        <v>8.1605182474775049</v>
      </c>
      <c r="K800" s="4">
        <f t="shared" si="374"/>
        <v>5.2522734280466299</v>
      </c>
      <c r="L800" s="2">
        <v>0</v>
      </c>
      <c r="M800" s="2">
        <v>0</v>
      </c>
      <c r="N800" s="4">
        <f t="shared" si="375"/>
        <v>46.2</v>
      </c>
      <c r="O800" s="4">
        <f t="shared" si="376"/>
        <v>0</v>
      </c>
      <c r="P800" s="4">
        <f t="shared" si="377"/>
        <v>0</v>
      </c>
      <c r="Q800" s="4">
        <f t="shared" si="378"/>
        <v>8.1605182474775049</v>
      </c>
      <c r="R800" s="4">
        <f t="shared" si="379"/>
        <v>5.2522734280466299</v>
      </c>
      <c r="S800" s="4">
        <f t="shared" si="380"/>
        <v>46.2</v>
      </c>
      <c r="T800" s="4">
        <f t="shared" si="381"/>
        <v>0</v>
      </c>
      <c r="U800" s="4">
        <f t="shared" si="382"/>
        <v>8.1605182474775049</v>
      </c>
      <c r="V800" s="4">
        <f t="shared" si="383"/>
        <v>5.2522734280466299</v>
      </c>
      <c r="W800" s="4">
        <f t="shared" si="384"/>
        <v>46.2</v>
      </c>
      <c r="X800" s="4">
        <f t="shared" si="385"/>
        <v>0</v>
      </c>
      <c r="Y800" s="4">
        <f t="shared" si="386"/>
        <v>8.1605182474775049</v>
      </c>
      <c r="Z800" s="4">
        <f t="shared" si="387"/>
        <v>5.2522734280466299</v>
      </c>
      <c r="AA800" s="4">
        <f t="shared" si="388"/>
        <v>46.2</v>
      </c>
      <c r="AB800" s="4">
        <f t="shared" si="389"/>
        <v>0</v>
      </c>
      <c r="AC800" s="4">
        <f t="shared" si="390"/>
        <v>0</v>
      </c>
      <c r="AD800" s="4">
        <f t="shared" si="391"/>
        <v>0</v>
      </c>
      <c r="AE800" s="4">
        <f t="shared" si="392"/>
        <v>0</v>
      </c>
      <c r="AF800" s="4">
        <f t="shared" si="393"/>
        <v>0</v>
      </c>
      <c r="AG800" s="4">
        <f t="shared" si="394"/>
        <v>8.1605182474775049</v>
      </c>
      <c r="AH800" s="4">
        <f t="shared" si="395"/>
        <v>0</v>
      </c>
      <c r="AI800" s="4">
        <f t="shared" si="396"/>
        <v>0</v>
      </c>
      <c r="AJ800" s="4">
        <f t="shared" si="397"/>
        <v>8.1605182474775049</v>
      </c>
      <c r="AK800" s="4">
        <f t="shared" si="398"/>
        <v>5.2522734280466299</v>
      </c>
      <c r="AL800" s="4">
        <f t="shared" si="399"/>
        <v>0</v>
      </c>
      <c r="AM800" s="4">
        <f>CER!$C$7+CER!$C$8*J800+CER!$C$9*K800+CER!$C$10*L800+CER!$C$11*M800</f>
        <v>3.6256548130669999</v>
      </c>
      <c r="AN800" s="4">
        <f t="shared" si="400"/>
        <v>37.549302885345988</v>
      </c>
      <c r="AO800" s="4">
        <f t="shared" si="401"/>
        <v>2.6936623335420684E-2</v>
      </c>
      <c r="AP800" s="4">
        <f>Alternatives!$F$25+Alternatives!$F$26*J800+Alternatives!$F$27*K800+Alternatives!$F$28*G800+Alternatives!$F$29*O800</f>
        <v>3.4658760566120144</v>
      </c>
      <c r="AQ800" s="4">
        <f t="shared" si="402"/>
        <v>0.1867153797904062</v>
      </c>
    </row>
    <row r="801" spans="1:43" x14ac:dyDescent="0.35">
      <c r="A801" s="2" t="s">
        <v>686</v>
      </c>
      <c r="B801" s="2" t="s">
        <v>683</v>
      </c>
      <c r="C801" s="2" t="s">
        <v>67</v>
      </c>
      <c r="D801" s="2">
        <v>35.2941</v>
      </c>
      <c r="E801" s="2">
        <v>3500</v>
      </c>
      <c r="F801" s="2">
        <v>227</v>
      </c>
      <c r="G801" s="2">
        <v>46.2</v>
      </c>
      <c r="H801" s="2" t="s">
        <v>68</v>
      </c>
      <c r="I801" s="4">
        <f t="shared" si="372"/>
        <v>3.5637158111598053</v>
      </c>
      <c r="J801" s="4">
        <f t="shared" si="373"/>
        <v>8.1605182474775049</v>
      </c>
      <c r="K801" s="4">
        <f t="shared" si="374"/>
        <v>5.4249500174814029</v>
      </c>
      <c r="L801" s="2">
        <v>0</v>
      </c>
      <c r="M801" s="2">
        <v>0</v>
      </c>
      <c r="N801" s="4">
        <f t="shared" si="375"/>
        <v>46.2</v>
      </c>
      <c r="O801" s="4">
        <f t="shared" si="376"/>
        <v>0</v>
      </c>
      <c r="P801" s="4">
        <f t="shared" si="377"/>
        <v>0</v>
      </c>
      <c r="Q801" s="4">
        <f t="shared" si="378"/>
        <v>8.1605182474775049</v>
      </c>
      <c r="R801" s="4">
        <f t="shared" si="379"/>
        <v>5.4249500174814029</v>
      </c>
      <c r="S801" s="4">
        <f t="shared" si="380"/>
        <v>46.2</v>
      </c>
      <c r="T801" s="4">
        <f t="shared" si="381"/>
        <v>0</v>
      </c>
      <c r="U801" s="4">
        <f t="shared" si="382"/>
        <v>8.1605182474775049</v>
      </c>
      <c r="V801" s="4">
        <f t="shared" si="383"/>
        <v>5.4249500174814029</v>
      </c>
      <c r="W801" s="4">
        <f t="shared" si="384"/>
        <v>46.2</v>
      </c>
      <c r="X801" s="4">
        <f t="shared" si="385"/>
        <v>0</v>
      </c>
      <c r="Y801" s="4">
        <f t="shared" si="386"/>
        <v>8.1605182474775049</v>
      </c>
      <c r="Z801" s="4">
        <f t="shared" si="387"/>
        <v>5.4249500174814029</v>
      </c>
      <c r="AA801" s="4">
        <f t="shared" si="388"/>
        <v>46.2</v>
      </c>
      <c r="AB801" s="4">
        <f t="shared" si="389"/>
        <v>0</v>
      </c>
      <c r="AC801" s="4">
        <f t="shared" si="390"/>
        <v>0</v>
      </c>
      <c r="AD801" s="4">
        <f t="shared" si="391"/>
        <v>0</v>
      </c>
      <c r="AE801" s="4">
        <f t="shared" si="392"/>
        <v>0</v>
      </c>
      <c r="AF801" s="4">
        <f t="shared" si="393"/>
        <v>0</v>
      </c>
      <c r="AG801" s="4">
        <f t="shared" si="394"/>
        <v>8.1605182474775049</v>
      </c>
      <c r="AH801" s="4">
        <f t="shared" si="395"/>
        <v>0</v>
      </c>
      <c r="AI801" s="4">
        <f t="shared" si="396"/>
        <v>0</v>
      </c>
      <c r="AJ801" s="4">
        <f t="shared" si="397"/>
        <v>8.1605182474775049</v>
      </c>
      <c r="AK801" s="4">
        <f t="shared" si="398"/>
        <v>5.4249500174814029</v>
      </c>
      <c r="AL801" s="4">
        <f t="shared" si="399"/>
        <v>0</v>
      </c>
      <c r="AM801" s="4">
        <f>CER!$C$7+CER!$C$8*J801+CER!$C$9*K801+CER!$C$10*L801+CER!$C$11*M801</f>
        <v>3.5619468708629793</v>
      </c>
      <c r="AN801" s="4">
        <f t="shared" si="400"/>
        <v>35.231722031986259</v>
      </c>
      <c r="AO801" s="4">
        <f t="shared" si="401"/>
        <v>1.7689402968259493E-3</v>
      </c>
      <c r="AP801" s="4">
        <f>Alternatives!$F$25+Alternatives!$F$26*J801+Alternatives!$F$27*K801+Alternatives!$F$28*G801+Alternatives!$F$29*O801</f>
        <v>3.4199250949387627</v>
      </c>
      <c r="AQ801" s="4">
        <f t="shared" si="402"/>
        <v>0.14379071622104256</v>
      </c>
    </row>
    <row r="802" spans="1:43" x14ac:dyDescent="0.35">
      <c r="A802" s="2" t="s">
        <v>687</v>
      </c>
      <c r="B802" s="2" t="s">
        <v>683</v>
      </c>
      <c r="C802" s="2" t="s">
        <v>67</v>
      </c>
      <c r="D802" s="2">
        <v>39.314799999999998</v>
      </c>
      <c r="E802" s="2">
        <v>2750</v>
      </c>
      <c r="F802" s="2">
        <v>181</v>
      </c>
      <c r="G802" s="2">
        <v>37.200000000000003</v>
      </c>
      <c r="H802" s="2" t="s">
        <v>68</v>
      </c>
      <c r="I802" s="4">
        <f t="shared" si="372"/>
        <v>3.6716010383136632</v>
      </c>
      <c r="J802" s="4">
        <f t="shared" si="373"/>
        <v>7.9193561906606167</v>
      </c>
      <c r="K802" s="4">
        <f t="shared" si="374"/>
        <v>5.1984970312658261</v>
      </c>
      <c r="L802" s="2">
        <v>0</v>
      </c>
      <c r="M802" s="2">
        <v>0</v>
      </c>
      <c r="N802" s="4">
        <f t="shared" si="375"/>
        <v>37.200000000000003</v>
      </c>
      <c r="O802" s="4">
        <f t="shared" si="376"/>
        <v>0</v>
      </c>
      <c r="P802" s="4">
        <f t="shared" si="377"/>
        <v>0</v>
      </c>
      <c r="Q802" s="4">
        <f t="shared" si="378"/>
        <v>7.9193561906606167</v>
      </c>
      <c r="R802" s="4">
        <f t="shared" si="379"/>
        <v>5.1984970312658261</v>
      </c>
      <c r="S802" s="4">
        <f t="shared" si="380"/>
        <v>37.200000000000003</v>
      </c>
      <c r="T802" s="4">
        <f t="shared" si="381"/>
        <v>0</v>
      </c>
      <c r="U802" s="4">
        <f t="shared" si="382"/>
        <v>7.9193561906606167</v>
      </c>
      <c r="V802" s="4">
        <f t="shared" si="383"/>
        <v>5.1984970312658261</v>
      </c>
      <c r="W802" s="4">
        <f t="shared" si="384"/>
        <v>37.200000000000003</v>
      </c>
      <c r="X802" s="4">
        <f t="shared" si="385"/>
        <v>0</v>
      </c>
      <c r="Y802" s="4">
        <f t="shared" si="386"/>
        <v>7.9193561906606167</v>
      </c>
      <c r="Z802" s="4">
        <f t="shared" si="387"/>
        <v>5.1984970312658261</v>
      </c>
      <c r="AA802" s="4">
        <f t="shared" si="388"/>
        <v>37.200000000000003</v>
      </c>
      <c r="AB802" s="4">
        <f t="shared" si="389"/>
        <v>0</v>
      </c>
      <c r="AC802" s="4">
        <f t="shared" si="390"/>
        <v>0</v>
      </c>
      <c r="AD802" s="4">
        <f t="shared" si="391"/>
        <v>0</v>
      </c>
      <c r="AE802" s="4">
        <f t="shared" si="392"/>
        <v>0</v>
      </c>
      <c r="AF802" s="4">
        <f t="shared" si="393"/>
        <v>0</v>
      </c>
      <c r="AG802" s="4">
        <f t="shared" si="394"/>
        <v>7.9193561906606167</v>
      </c>
      <c r="AH802" s="4">
        <f t="shared" si="395"/>
        <v>0</v>
      </c>
      <c r="AI802" s="4">
        <f t="shared" si="396"/>
        <v>0</v>
      </c>
      <c r="AJ802" s="4">
        <f t="shared" si="397"/>
        <v>7.9193561906606167</v>
      </c>
      <c r="AK802" s="4">
        <f t="shared" si="398"/>
        <v>5.1984970312658261</v>
      </c>
      <c r="AL802" s="4">
        <f t="shared" si="399"/>
        <v>0</v>
      </c>
      <c r="AM802" s="4">
        <f>CER!$C$7+CER!$C$8*J802+CER!$C$9*K802+CER!$C$10*L802+CER!$C$11*M802</f>
        <v>3.754671539042322</v>
      </c>
      <c r="AN802" s="4">
        <f t="shared" si="400"/>
        <v>42.720185592760288</v>
      </c>
      <c r="AO802" s="4">
        <f t="shared" si="401"/>
        <v>-8.3070500728658736E-2</v>
      </c>
      <c r="AP802" s="4">
        <f>Alternatives!$F$25+Alternatives!$F$26*J802+Alternatives!$F$27*K802+Alternatives!$F$28*G802+Alternatives!$F$29*O802</f>
        <v>3.5080016270374346</v>
      </c>
      <c r="AQ802" s="4">
        <f t="shared" si="402"/>
        <v>0.16359941127622868</v>
      </c>
    </row>
    <row r="803" spans="1:43" x14ac:dyDescent="0.35">
      <c r="A803" s="2" t="s">
        <v>687</v>
      </c>
      <c r="B803" s="2" t="s">
        <v>683</v>
      </c>
      <c r="C803" s="2" t="s">
        <v>67</v>
      </c>
      <c r="D803" s="2">
        <v>39.8581</v>
      </c>
      <c r="E803" s="2">
        <v>2750</v>
      </c>
      <c r="F803" s="2">
        <v>181</v>
      </c>
      <c r="G803" s="2">
        <v>37.200000000000003</v>
      </c>
      <c r="H803" s="2" t="s">
        <v>68</v>
      </c>
      <c r="I803" s="4">
        <f t="shared" si="372"/>
        <v>3.6853256468146305</v>
      </c>
      <c r="J803" s="4">
        <f t="shared" si="373"/>
        <v>7.9193561906606167</v>
      </c>
      <c r="K803" s="4">
        <f t="shared" si="374"/>
        <v>5.1984970312658261</v>
      </c>
      <c r="L803" s="2">
        <v>0</v>
      </c>
      <c r="M803" s="2">
        <v>0</v>
      </c>
      <c r="N803" s="4">
        <f t="shared" si="375"/>
        <v>37.200000000000003</v>
      </c>
      <c r="O803" s="4">
        <f t="shared" si="376"/>
        <v>0</v>
      </c>
      <c r="P803" s="4">
        <f t="shared" si="377"/>
        <v>0</v>
      </c>
      <c r="Q803" s="4">
        <f t="shared" si="378"/>
        <v>7.9193561906606167</v>
      </c>
      <c r="R803" s="4">
        <f t="shared" si="379"/>
        <v>5.1984970312658261</v>
      </c>
      <c r="S803" s="4">
        <f t="shared" si="380"/>
        <v>37.200000000000003</v>
      </c>
      <c r="T803" s="4">
        <f t="shared" si="381"/>
        <v>0</v>
      </c>
      <c r="U803" s="4">
        <f t="shared" si="382"/>
        <v>7.9193561906606167</v>
      </c>
      <c r="V803" s="4">
        <f t="shared" si="383"/>
        <v>5.1984970312658261</v>
      </c>
      <c r="W803" s="4">
        <f t="shared" si="384"/>
        <v>37.200000000000003</v>
      </c>
      <c r="X803" s="4">
        <f t="shared" si="385"/>
        <v>0</v>
      </c>
      <c r="Y803" s="4">
        <f t="shared" si="386"/>
        <v>7.9193561906606167</v>
      </c>
      <c r="Z803" s="4">
        <f t="shared" si="387"/>
        <v>5.1984970312658261</v>
      </c>
      <c r="AA803" s="4">
        <f t="shared" si="388"/>
        <v>37.200000000000003</v>
      </c>
      <c r="AB803" s="4">
        <f t="shared" si="389"/>
        <v>0</v>
      </c>
      <c r="AC803" s="4">
        <f t="shared" si="390"/>
        <v>0</v>
      </c>
      <c r="AD803" s="4">
        <f t="shared" si="391"/>
        <v>0</v>
      </c>
      <c r="AE803" s="4">
        <f t="shared" si="392"/>
        <v>0</v>
      </c>
      <c r="AF803" s="4">
        <f t="shared" si="393"/>
        <v>0</v>
      </c>
      <c r="AG803" s="4">
        <f t="shared" si="394"/>
        <v>7.9193561906606167</v>
      </c>
      <c r="AH803" s="4">
        <f t="shared" si="395"/>
        <v>0</v>
      </c>
      <c r="AI803" s="4">
        <f t="shared" si="396"/>
        <v>0</v>
      </c>
      <c r="AJ803" s="4">
        <f t="shared" si="397"/>
        <v>7.9193561906606167</v>
      </c>
      <c r="AK803" s="4">
        <f t="shared" si="398"/>
        <v>5.1984970312658261</v>
      </c>
      <c r="AL803" s="4">
        <f t="shared" si="399"/>
        <v>0</v>
      </c>
      <c r="AM803" s="4">
        <f>CER!$C$7+CER!$C$8*J803+CER!$C$9*K803+CER!$C$10*L803+CER!$C$11*M803</f>
        <v>3.754671539042322</v>
      </c>
      <c r="AN803" s="4">
        <f t="shared" si="400"/>
        <v>42.720185592760288</v>
      </c>
      <c r="AO803" s="4">
        <f t="shared" si="401"/>
        <v>-6.9345892227691497E-2</v>
      </c>
      <c r="AP803" s="4">
        <f>Alternatives!$F$25+Alternatives!$F$26*J803+Alternatives!$F$27*K803+Alternatives!$F$28*G803+Alternatives!$F$29*O803</f>
        <v>3.5080016270374346</v>
      </c>
      <c r="AQ803" s="4">
        <f t="shared" si="402"/>
        <v>0.17732401977719592</v>
      </c>
    </row>
    <row r="804" spans="1:43" x14ac:dyDescent="0.35">
      <c r="A804" s="2" t="s">
        <v>688</v>
      </c>
      <c r="B804" s="2" t="s">
        <v>683</v>
      </c>
      <c r="C804" s="2" t="s">
        <v>67</v>
      </c>
      <c r="D804" s="2">
        <v>33.802599999999998</v>
      </c>
      <c r="E804" s="2">
        <v>4000</v>
      </c>
      <c r="F804" s="2">
        <v>187</v>
      </c>
      <c r="G804" s="2">
        <v>46.3</v>
      </c>
      <c r="H804" s="2" t="s">
        <v>68</v>
      </c>
      <c r="I804" s="4">
        <f t="shared" si="372"/>
        <v>3.5205377226074681</v>
      </c>
      <c r="J804" s="4">
        <f t="shared" si="373"/>
        <v>8.2940496401020276</v>
      </c>
      <c r="K804" s="4">
        <f t="shared" si="374"/>
        <v>5.2311086168545868</v>
      </c>
      <c r="L804" s="2">
        <v>0</v>
      </c>
      <c r="M804" s="2">
        <v>0</v>
      </c>
      <c r="N804" s="4">
        <f t="shared" si="375"/>
        <v>46.3</v>
      </c>
      <c r="O804" s="4">
        <f t="shared" si="376"/>
        <v>0</v>
      </c>
      <c r="P804" s="4">
        <f t="shared" si="377"/>
        <v>0</v>
      </c>
      <c r="Q804" s="4">
        <f t="shared" si="378"/>
        <v>8.2940496401020276</v>
      </c>
      <c r="R804" s="4">
        <f t="shared" si="379"/>
        <v>5.2311086168545868</v>
      </c>
      <c r="S804" s="4">
        <f t="shared" si="380"/>
        <v>46.3</v>
      </c>
      <c r="T804" s="4">
        <f t="shared" si="381"/>
        <v>0</v>
      </c>
      <c r="U804" s="4">
        <f t="shared" si="382"/>
        <v>8.2940496401020276</v>
      </c>
      <c r="V804" s="4">
        <f t="shared" si="383"/>
        <v>5.2311086168545868</v>
      </c>
      <c r="W804" s="4">
        <f t="shared" si="384"/>
        <v>46.3</v>
      </c>
      <c r="X804" s="4">
        <f t="shared" si="385"/>
        <v>0</v>
      </c>
      <c r="Y804" s="4">
        <f t="shared" si="386"/>
        <v>8.2940496401020276</v>
      </c>
      <c r="Z804" s="4">
        <f t="shared" si="387"/>
        <v>5.2311086168545868</v>
      </c>
      <c r="AA804" s="4">
        <f t="shared" si="388"/>
        <v>46.3</v>
      </c>
      <c r="AB804" s="4">
        <f t="shared" si="389"/>
        <v>0</v>
      </c>
      <c r="AC804" s="4">
        <f t="shared" si="390"/>
        <v>0</v>
      </c>
      <c r="AD804" s="4">
        <f t="shared" si="391"/>
        <v>0</v>
      </c>
      <c r="AE804" s="4">
        <f t="shared" si="392"/>
        <v>0</v>
      </c>
      <c r="AF804" s="4">
        <f t="shared" si="393"/>
        <v>0</v>
      </c>
      <c r="AG804" s="4">
        <f t="shared" si="394"/>
        <v>8.2940496401020276</v>
      </c>
      <c r="AH804" s="4">
        <f t="shared" si="395"/>
        <v>0</v>
      </c>
      <c r="AI804" s="4">
        <f t="shared" si="396"/>
        <v>0</v>
      </c>
      <c r="AJ804" s="4">
        <f t="shared" si="397"/>
        <v>8.2940496401020276</v>
      </c>
      <c r="AK804" s="4">
        <f t="shared" si="398"/>
        <v>5.2311086168545868</v>
      </c>
      <c r="AL804" s="4">
        <f t="shared" si="399"/>
        <v>0</v>
      </c>
      <c r="AM804" s="4">
        <f>CER!$C$7+CER!$C$8*J804+CER!$C$9*K804+CER!$C$10*L804+CER!$C$11*M804</f>
        <v>3.5730125579141045</v>
      </c>
      <c r="AN804" s="4">
        <f t="shared" si="400"/>
        <v>35.623750272884216</v>
      </c>
      <c r="AO804" s="4">
        <f t="shared" si="401"/>
        <v>-5.2474835306636436E-2</v>
      </c>
      <c r="AP804" s="4">
        <f>Alternatives!$F$25+Alternatives!$F$26*J804+Alternatives!$F$27*K804+Alternatives!$F$28*G804+Alternatives!$F$29*O804</f>
        <v>3.5196255884306433</v>
      </c>
      <c r="AQ804" s="4">
        <f t="shared" si="402"/>
        <v>9.1213417682478592E-4</v>
      </c>
    </row>
    <row r="805" spans="1:43" x14ac:dyDescent="0.35">
      <c r="A805" s="2" t="s">
        <v>688</v>
      </c>
      <c r="B805" s="2" t="s">
        <v>683</v>
      </c>
      <c r="C805" s="2" t="s">
        <v>67</v>
      </c>
      <c r="D805" s="2">
        <v>37.505600000000001</v>
      </c>
      <c r="E805" s="2">
        <v>4000</v>
      </c>
      <c r="F805" s="2">
        <v>187</v>
      </c>
      <c r="G805" s="2">
        <v>46.3</v>
      </c>
      <c r="H805" s="2" t="s">
        <v>68</v>
      </c>
      <c r="I805" s="4">
        <f t="shared" si="372"/>
        <v>3.6244902551605862</v>
      </c>
      <c r="J805" s="4">
        <f t="shared" si="373"/>
        <v>8.2940496401020276</v>
      </c>
      <c r="K805" s="4">
        <f t="shared" si="374"/>
        <v>5.2311086168545868</v>
      </c>
      <c r="L805" s="2">
        <v>0</v>
      </c>
      <c r="M805" s="2">
        <v>0</v>
      </c>
      <c r="N805" s="4">
        <f t="shared" si="375"/>
        <v>46.3</v>
      </c>
      <c r="O805" s="4">
        <f t="shared" si="376"/>
        <v>0</v>
      </c>
      <c r="P805" s="4">
        <f t="shared" si="377"/>
        <v>0</v>
      </c>
      <c r="Q805" s="4">
        <f t="shared" si="378"/>
        <v>8.2940496401020276</v>
      </c>
      <c r="R805" s="4">
        <f t="shared" si="379"/>
        <v>5.2311086168545868</v>
      </c>
      <c r="S805" s="4">
        <f t="shared" si="380"/>
        <v>46.3</v>
      </c>
      <c r="T805" s="4">
        <f t="shared" si="381"/>
        <v>0</v>
      </c>
      <c r="U805" s="4">
        <f t="shared" si="382"/>
        <v>8.2940496401020276</v>
      </c>
      <c r="V805" s="4">
        <f t="shared" si="383"/>
        <v>5.2311086168545868</v>
      </c>
      <c r="W805" s="4">
        <f t="shared" si="384"/>
        <v>46.3</v>
      </c>
      <c r="X805" s="4">
        <f t="shared" si="385"/>
        <v>0</v>
      </c>
      <c r="Y805" s="4">
        <f t="shared" si="386"/>
        <v>8.2940496401020276</v>
      </c>
      <c r="Z805" s="4">
        <f t="shared" si="387"/>
        <v>5.2311086168545868</v>
      </c>
      <c r="AA805" s="4">
        <f t="shared" si="388"/>
        <v>46.3</v>
      </c>
      <c r="AB805" s="4">
        <f t="shared" si="389"/>
        <v>0</v>
      </c>
      <c r="AC805" s="4">
        <f t="shared" si="390"/>
        <v>0</v>
      </c>
      <c r="AD805" s="4">
        <f t="shared" si="391"/>
        <v>0</v>
      </c>
      <c r="AE805" s="4">
        <f t="shared" si="392"/>
        <v>0</v>
      </c>
      <c r="AF805" s="4">
        <f t="shared" si="393"/>
        <v>0</v>
      </c>
      <c r="AG805" s="4">
        <f t="shared" si="394"/>
        <v>8.2940496401020276</v>
      </c>
      <c r="AH805" s="4">
        <f t="shared" si="395"/>
        <v>0</v>
      </c>
      <c r="AI805" s="4">
        <f t="shared" si="396"/>
        <v>0</v>
      </c>
      <c r="AJ805" s="4">
        <f t="shared" si="397"/>
        <v>8.2940496401020276</v>
      </c>
      <c r="AK805" s="4">
        <f t="shared" si="398"/>
        <v>5.2311086168545868</v>
      </c>
      <c r="AL805" s="4">
        <f t="shared" si="399"/>
        <v>0</v>
      </c>
      <c r="AM805" s="4">
        <f>CER!$C$7+CER!$C$8*J805+CER!$C$9*K805+CER!$C$10*L805+CER!$C$11*M805</f>
        <v>3.5730125579141045</v>
      </c>
      <c r="AN805" s="4">
        <f t="shared" si="400"/>
        <v>35.623750272884216</v>
      </c>
      <c r="AO805" s="4">
        <f t="shared" si="401"/>
        <v>5.1477697246481657E-2</v>
      </c>
      <c r="AP805" s="4">
        <f>Alternatives!$F$25+Alternatives!$F$26*J805+Alternatives!$F$27*K805+Alternatives!$F$28*G805+Alternatives!$F$29*O805</f>
        <v>3.5196255884306433</v>
      </c>
      <c r="AQ805" s="4">
        <f t="shared" si="402"/>
        <v>0.10486466672994288</v>
      </c>
    </row>
    <row r="806" spans="1:43" x14ac:dyDescent="0.35">
      <c r="A806" s="2" t="s">
        <v>688</v>
      </c>
      <c r="B806" s="2" t="s">
        <v>683</v>
      </c>
      <c r="C806" s="2" t="s">
        <v>67</v>
      </c>
      <c r="D806" s="2">
        <v>31.701799999999999</v>
      </c>
      <c r="E806" s="2">
        <v>4000</v>
      </c>
      <c r="F806" s="2">
        <v>227</v>
      </c>
      <c r="G806" s="2">
        <v>46.3</v>
      </c>
      <c r="H806" s="2" t="s">
        <v>68</v>
      </c>
      <c r="I806" s="4">
        <f t="shared" si="372"/>
        <v>3.4563734616055641</v>
      </c>
      <c r="J806" s="4">
        <f t="shared" si="373"/>
        <v>8.2940496401020276</v>
      </c>
      <c r="K806" s="4">
        <f t="shared" si="374"/>
        <v>5.4249500174814029</v>
      </c>
      <c r="L806" s="2">
        <v>0</v>
      </c>
      <c r="M806" s="2">
        <v>0</v>
      </c>
      <c r="N806" s="4">
        <f t="shared" si="375"/>
        <v>46.3</v>
      </c>
      <c r="O806" s="4">
        <f t="shared" si="376"/>
        <v>0</v>
      </c>
      <c r="P806" s="4">
        <f t="shared" si="377"/>
        <v>0</v>
      </c>
      <c r="Q806" s="4">
        <f t="shared" si="378"/>
        <v>8.2940496401020276</v>
      </c>
      <c r="R806" s="4">
        <f t="shared" si="379"/>
        <v>5.4249500174814029</v>
      </c>
      <c r="S806" s="4">
        <f t="shared" si="380"/>
        <v>46.3</v>
      </c>
      <c r="T806" s="4">
        <f t="shared" si="381"/>
        <v>0</v>
      </c>
      <c r="U806" s="4">
        <f t="shared" si="382"/>
        <v>8.2940496401020276</v>
      </c>
      <c r="V806" s="4">
        <f t="shared" si="383"/>
        <v>5.4249500174814029</v>
      </c>
      <c r="W806" s="4">
        <f t="shared" si="384"/>
        <v>46.3</v>
      </c>
      <c r="X806" s="4">
        <f t="shared" si="385"/>
        <v>0</v>
      </c>
      <c r="Y806" s="4">
        <f t="shared" si="386"/>
        <v>8.2940496401020276</v>
      </c>
      <c r="Z806" s="4">
        <f t="shared" si="387"/>
        <v>5.4249500174814029</v>
      </c>
      <c r="AA806" s="4">
        <f t="shared" si="388"/>
        <v>46.3</v>
      </c>
      <c r="AB806" s="4">
        <f t="shared" si="389"/>
        <v>0</v>
      </c>
      <c r="AC806" s="4">
        <f t="shared" si="390"/>
        <v>0</v>
      </c>
      <c r="AD806" s="4">
        <f t="shared" si="391"/>
        <v>0</v>
      </c>
      <c r="AE806" s="4">
        <f t="shared" si="392"/>
        <v>0</v>
      </c>
      <c r="AF806" s="4">
        <f t="shared" si="393"/>
        <v>0</v>
      </c>
      <c r="AG806" s="4">
        <f t="shared" si="394"/>
        <v>8.2940496401020276</v>
      </c>
      <c r="AH806" s="4">
        <f t="shared" si="395"/>
        <v>0</v>
      </c>
      <c r="AI806" s="4">
        <f t="shared" si="396"/>
        <v>0</v>
      </c>
      <c r="AJ806" s="4">
        <f t="shared" si="397"/>
        <v>8.2940496401020276</v>
      </c>
      <c r="AK806" s="4">
        <f t="shared" si="398"/>
        <v>5.4249500174814029</v>
      </c>
      <c r="AL806" s="4">
        <f t="shared" si="399"/>
        <v>0</v>
      </c>
      <c r="AM806" s="4">
        <f>CER!$C$7+CER!$C$8*J806+CER!$C$9*K806+CER!$C$10*L806+CER!$C$11*M806</f>
        <v>3.5014959916655894</v>
      </c>
      <c r="AN806" s="4">
        <f t="shared" si="400"/>
        <v>33.165029473352945</v>
      </c>
      <c r="AO806" s="4">
        <f t="shared" si="401"/>
        <v>-4.5122530060025312E-2</v>
      </c>
      <c r="AP806" s="4">
        <f>Alternatives!$F$25+Alternatives!$F$26*J806+Alternatives!$F$27*K806+Alternatives!$F$28*G806+Alternatives!$F$29*O806</f>
        <v>3.4680424595302615</v>
      </c>
      <c r="AQ806" s="4">
        <f t="shared" si="402"/>
        <v>-1.1668997924697333E-2</v>
      </c>
    </row>
    <row r="807" spans="1:43" x14ac:dyDescent="0.35">
      <c r="A807" s="2" t="s">
        <v>689</v>
      </c>
      <c r="B807" s="2" t="s">
        <v>683</v>
      </c>
      <c r="C807" s="2" t="s">
        <v>67</v>
      </c>
      <c r="D807" s="2">
        <v>38.931100000000001</v>
      </c>
      <c r="E807" s="2">
        <v>3500</v>
      </c>
      <c r="F807" s="2">
        <v>191</v>
      </c>
      <c r="G807" s="2">
        <v>44.6</v>
      </c>
      <c r="H807" s="2" t="s">
        <v>68</v>
      </c>
      <c r="I807" s="4">
        <f t="shared" si="372"/>
        <v>3.6617934170669977</v>
      </c>
      <c r="J807" s="4">
        <f t="shared" si="373"/>
        <v>8.1605182474775049</v>
      </c>
      <c r="K807" s="4">
        <f t="shared" si="374"/>
        <v>5.2522734280466299</v>
      </c>
      <c r="L807" s="2">
        <v>0</v>
      </c>
      <c r="M807" s="2">
        <v>0</v>
      </c>
      <c r="N807" s="4">
        <f t="shared" si="375"/>
        <v>44.6</v>
      </c>
      <c r="O807" s="4">
        <f t="shared" si="376"/>
        <v>0</v>
      </c>
      <c r="P807" s="4">
        <f t="shared" si="377"/>
        <v>0</v>
      </c>
      <c r="Q807" s="4">
        <f t="shared" si="378"/>
        <v>8.1605182474775049</v>
      </c>
      <c r="R807" s="4">
        <f t="shared" si="379"/>
        <v>5.2522734280466299</v>
      </c>
      <c r="S807" s="4">
        <f t="shared" si="380"/>
        <v>44.6</v>
      </c>
      <c r="T807" s="4">
        <f t="shared" si="381"/>
        <v>0</v>
      </c>
      <c r="U807" s="4">
        <f t="shared" si="382"/>
        <v>8.1605182474775049</v>
      </c>
      <c r="V807" s="4">
        <f t="shared" si="383"/>
        <v>5.2522734280466299</v>
      </c>
      <c r="W807" s="4">
        <f t="shared" si="384"/>
        <v>44.6</v>
      </c>
      <c r="X807" s="4">
        <f t="shared" si="385"/>
        <v>0</v>
      </c>
      <c r="Y807" s="4">
        <f t="shared" si="386"/>
        <v>8.1605182474775049</v>
      </c>
      <c r="Z807" s="4">
        <f t="shared" si="387"/>
        <v>5.2522734280466299</v>
      </c>
      <c r="AA807" s="4">
        <f t="shared" si="388"/>
        <v>44.6</v>
      </c>
      <c r="AB807" s="4">
        <f t="shared" si="389"/>
        <v>0</v>
      </c>
      <c r="AC807" s="4">
        <f t="shared" si="390"/>
        <v>0</v>
      </c>
      <c r="AD807" s="4">
        <f t="shared" si="391"/>
        <v>0</v>
      </c>
      <c r="AE807" s="4">
        <f t="shared" si="392"/>
        <v>0</v>
      </c>
      <c r="AF807" s="4">
        <f t="shared" si="393"/>
        <v>0</v>
      </c>
      <c r="AG807" s="4">
        <f t="shared" si="394"/>
        <v>8.1605182474775049</v>
      </c>
      <c r="AH807" s="4">
        <f t="shared" si="395"/>
        <v>0</v>
      </c>
      <c r="AI807" s="4">
        <f t="shared" si="396"/>
        <v>0</v>
      </c>
      <c r="AJ807" s="4">
        <f t="shared" si="397"/>
        <v>8.1605182474775049</v>
      </c>
      <c r="AK807" s="4">
        <f t="shared" si="398"/>
        <v>5.2522734280466299</v>
      </c>
      <c r="AL807" s="4">
        <f t="shared" si="399"/>
        <v>0</v>
      </c>
      <c r="AM807" s="4">
        <f>CER!$C$7+CER!$C$8*J807+CER!$C$9*K807+CER!$C$10*L807+CER!$C$11*M807</f>
        <v>3.6256548130669999</v>
      </c>
      <c r="AN807" s="4">
        <f t="shared" si="400"/>
        <v>37.549302885345988</v>
      </c>
      <c r="AO807" s="4">
        <f t="shared" si="401"/>
        <v>3.6138603999997798E-2</v>
      </c>
      <c r="AP807" s="4">
        <f>Alternatives!$F$25+Alternatives!$F$26*J807+Alternatives!$F$27*K807+Alternatives!$F$28*G807+Alternatives!$F$29*O807</f>
        <v>3.4866877598795796</v>
      </c>
      <c r="AQ807" s="4">
        <f t="shared" si="402"/>
        <v>0.17510565718741811</v>
      </c>
    </row>
    <row r="808" spans="1:43" x14ac:dyDescent="0.35">
      <c r="A808" s="2" t="s">
        <v>689</v>
      </c>
      <c r="B808" s="2" t="s">
        <v>683</v>
      </c>
      <c r="C808" s="2" t="s">
        <v>67</v>
      </c>
      <c r="D808" s="2">
        <v>33.509300000000003</v>
      </c>
      <c r="E808" s="2">
        <v>4000</v>
      </c>
      <c r="F808" s="2">
        <v>227</v>
      </c>
      <c r="G808" s="2">
        <v>44.6</v>
      </c>
      <c r="H808" s="2" t="s">
        <v>68</v>
      </c>
      <c r="I808" s="4">
        <f t="shared" si="372"/>
        <v>3.5118230122442551</v>
      </c>
      <c r="J808" s="4">
        <f t="shared" si="373"/>
        <v>8.2940496401020276</v>
      </c>
      <c r="K808" s="4">
        <f t="shared" si="374"/>
        <v>5.4249500174814029</v>
      </c>
      <c r="L808" s="2">
        <v>0</v>
      </c>
      <c r="M808" s="2">
        <v>0</v>
      </c>
      <c r="N808" s="4">
        <f t="shared" si="375"/>
        <v>44.6</v>
      </c>
      <c r="O808" s="4">
        <f t="shared" si="376"/>
        <v>0</v>
      </c>
      <c r="P808" s="4">
        <f t="shared" si="377"/>
        <v>0</v>
      </c>
      <c r="Q808" s="4">
        <f t="shared" si="378"/>
        <v>8.2940496401020276</v>
      </c>
      <c r="R808" s="4">
        <f t="shared" si="379"/>
        <v>5.4249500174814029</v>
      </c>
      <c r="S808" s="4">
        <f t="shared" si="380"/>
        <v>44.6</v>
      </c>
      <c r="T808" s="4">
        <f t="shared" si="381"/>
        <v>0</v>
      </c>
      <c r="U808" s="4">
        <f t="shared" si="382"/>
        <v>8.2940496401020276</v>
      </c>
      <c r="V808" s="4">
        <f t="shared" si="383"/>
        <v>5.4249500174814029</v>
      </c>
      <c r="W808" s="4">
        <f t="shared" si="384"/>
        <v>44.6</v>
      </c>
      <c r="X808" s="4">
        <f t="shared" si="385"/>
        <v>0</v>
      </c>
      <c r="Y808" s="4">
        <f t="shared" si="386"/>
        <v>8.2940496401020276</v>
      </c>
      <c r="Z808" s="4">
        <f t="shared" si="387"/>
        <v>5.4249500174814029</v>
      </c>
      <c r="AA808" s="4">
        <f t="shared" si="388"/>
        <v>44.6</v>
      </c>
      <c r="AB808" s="4">
        <f t="shared" si="389"/>
        <v>0</v>
      </c>
      <c r="AC808" s="4">
        <f t="shared" si="390"/>
        <v>0</v>
      </c>
      <c r="AD808" s="4">
        <f t="shared" si="391"/>
        <v>0</v>
      </c>
      <c r="AE808" s="4">
        <f t="shared" si="392"/>
        <v>0</v>
      </c>
      <c r="AF808" s="4">
        <f t="shared" si="393"/>
        <v>0</v>
      </c>
      <c r="AG808" s="4">
        <f t="shared" si="394"/>
        <v>8.2940496401020276</v>
      </c>
      <c r="AH808" s="4">
        <f t="shared" si="395"/>
        <v>0</v>
      </c>
      <c r="AI808" s="4">
        <f t="shared" si="396"/>
        <v>0</v>
      </c>
      <c r="AJ808" s="4">
        <f t="shared" si="397"/>
        <v>8.2940496401020276</v>
      </c>
      <c r="AK808" s="4">
        <f t="shared" si="398"/>
        <v>5.4249500174814029</v>
      </c>
      <c r="AL808" s="4">
        <f t="shared" si="399"/>
        <v>0</v>
      </c>
      <c r="AM808" s="4">
        <f>CER!$C$7+CER!$C$8*J808+CER!$C$9*K808+CER!$C$10*L808+CER!$C$11*M808</f>
        <v>3.5014959916655894</v>
      </c>
      <c r="AN808" s="4">
        <f t="shared" si="400"/>
        <v>33.165029473352945</v>
      </c>
      <c r="AO808" s="4">
        <f t="shared" si="401"/>
        <v>1.0327020578665635E-2</v>
      </c>
      <c r="AP808" s="4">
        <f>Alternatives!$F$25+Alternatives!$F$26*J808+Alternatives!$F$27*K808+Alternatives!$F$28*G808+Alternatives!$F$29*O808</f>
        <v>3.4901548942520497</v>
      </c>
      <c r="AQ808" s="4">
        <f t="shared" si="402"/>
        <v>2.166811799220536E-2</v>
      </c>
    </row>
    <row r="809" spans="1:43" x14ac:dyDescent="0.35">
      <c r="A809" s="2" t="s">
        <v>690</v>
      </c>
      <c r="B809" s="2" t="s">
        <v>683</v>
      </c>
      <c r="C809" s="2" t="s">
        <v>67</v>
      </c>
      <c r="D809" s="2">
        <v>35.642600000000002</v>
      </c>
      <c r="E809" s="2">
        <v>4000</v>
      </c>
      <c r="F809" s="2">
        <v>187</v>
      </c>
      <c r="G809" s="2">
        <v>50.3</v>
      </c>
      <c r="H809" s="2" t="s">
        <v>68</v>
      </c>
      <c r="I809" s="4">
        <f t="shared" si="372"/>
        <v>3.5735415516813784</v>
      </c>
      <c r="J809" s="4">
        <f t="shared" si="373"/>
        <v>8.2940496401020276</v>
      </c>
      <c r="K809" s="4">
        <f t="shared" si="374"/>
        <v>5.2311086168545868</v>
      </c>
      <c r="L809" s="2">
        <v>0</v>
      </c>
      <c r="M809" s="2">
        <v>0</v>
      </c>
      <c r="N809" s="4">
        <f t="shared" si="375"/>
        <v>50.3</v>
      </c>
      <c r="O809" s="4">
        <f t="shared" si="376"/>
        <v>0</v>
      </c>
      <c r="P809" s="4">
        <f t="shared" si="377"/>
        <v>0</v>
      </c>
      <c r="Q809" s="4">
        <f t="shared" si="378"/>
        <v>8.2940496401020276</v>
      </c>
      <c r="R809" s="4">
        <f t="shared" si="379"/>
        <v>5.2311086168545868</v>
      </c>
      <c r="S809" s="4">
        <f t="shared" si="380"/>
        <v>50.3</v>
      </c>
      <c r="T809" s="4">
        <f t="shared" si="381"/>
        <v>0</v>
      </c>
      <c r="U809" s="4">
        <f t="shared" si="382"/>
        <v>8.2940496401020276</v>
      </c>
      <c r="V809" s="4">
        <f t="shared" si="383"/>
        <v>5.2311086168545868</v>
      </c>
      <c r="W809" s="4">
        <f t="shared" si="384"/>
        <v>50.3</v>
      </c>
      <c r="X809" s="4">
        <f t="shared" si="385"/>
        <v>0</v>
      </c>
      <c r="Y809" s="4">
        <f t="shared" si="386"/>
        <v>8.2940496401020276</v>
      </c>
      <c r="Z809" s="4">
        <f t="shared" si="387"/>
        <v>5.2311086168545868</v>
      </c>
      <c r="AA809" s="4">
        <f t="shared" si="388"/>
        <v>50.3</v>
      </c>
      <c r="AB809" s="4">
        <f t="shared" si="389"/>
        <v>0</v>
      </c>
      <c r="AC809" s="4">
        <f t="shared" si="390"/>
        <v>0</v>
      </c>
      <c r="AD809" s="4">
        <f t="shared" si="391"/>
        <v>0</v>
      </c>
      <c r="AE809" s="4">
        <f t="shared" si="392"/>
        <v>0</v>
      </c>
      <c r="AF809" s="4">
        <f t="shared" si="393"/>
        <v>0</v>
      </c>
      <c r="AG809" s="4">
        <f t="shared" si="394"/>
        <v>8.2940496401020276</v>
      </c>
      <c r="AH809" s="4">
        <f t="shared" si="395"/>
        <v>0</v>
      </c>
      <c r="AI809" s="4">
        <f t="shared" si="396"/>
        <v>0</v>
      </c>
      <c r="AJ809" s="4">
        <f t="shared" si="397"/>
        <v>8.2940496401020276</v>
      </c>
      <c r="AK809" s="4">
        <f t="shared" si="398"/>
        <v>5.2311086168545868</v>
      </c>
      <c r="AL809" s="4">
        <f t="shared" si="399"/>
        <v>0</v>
      </c>
      <c r="AM809" s="4">
        <f>CER!$C$7+CER!$C$8*J809+CER!$C$9*K809+CER!$C$10*L809+CER!$C$11*M809</f>
        <v>3.5730125579141045</v>
      </c>
      <c r="AN809" s="4">
        <f t="shared" si="400"/>
        <v>35.623750272884216</v>
      </c>
      <c r="AO809" s="4">
        <f t="shared" si="401"/>
        <v>5.2899376727388869E-4</v>
      </c>
      <c r="AP809" s="4">
        <f>Alternatives!$F$25+Alternatives!$F$26*J809+Alternatives!$F$27*K809+Alternatives!$F$28*G809+Alternatives!$F$29*O809</f>
        <v>3.4675963302617303</v>
      </c>
      <c r="AQ809" s="4">
        <f t="shared" si="402"/>
        <v>0.10594522141964813</v>
      </c>
    </row>
    <row r="810" spans="1:43" x14ac:dyDescent="0.35">
      <c r="A810" s="2" t="s">
        <v>690</v>
      </c>
      <c r="B810" s="2" t="s">
        <v>683</v>
      </c>
      <c r="C810" s="2" t="s">
        <v>67</v>
      </c>
      <c r="D810" s="2">
        <v>33.315800000000003</v>
      </c>
      <c r="E810" s="2">
        <v>4000</v>
      </c>
      <c r="F810" s="2">
        <v>227</v>
      </c>
      <c r="G810" s="2">
        <v>50.3</v>
      </c>
      <c r="H810" s="2" t="s">
        <v>68</v>
      </c>
      <c r="I810" s="4">
        <f t="shared" si="372"/>
        <v>3.5060317589334522</v>
      </c>
      <c r="J810" s="4">
        <f t="shared" si="373"/>
        <v>8.2940496401020276</v>
      </c>
      <c r="K810" s="4">
        <f t="shared" si="374"/>
        <v>5.4249500174814029</v>
      </c>
      <c r="L810" s="2">
        <v>0</v>
      </c>
      <c r="M810" s="2">
        <v>0</v>
      </c>
      <c r="N810" s="4">
        <f t="shared" si="375"/>
        <v>50.3</v>
      </c>
      <c r="O810" s="4">
        <f t="shared" si="376"/>
        <v>0</v>
      </c>
      <c r="P810" s="4">
        <f t="shared" si="377"/>
        <v>0</v>
      </c>
      <c r="Q810" s="4">
        <f t="shared" si="378"/>
        <v>8.2940496401020276</v>
      </c>
      <c r="R810" s="4">
        <f t="shared" si="379"/>
        <v>5.4249500174814029</v>
      </c>
      <c r="S810" s="4">
        <f t="shared" si="380"/>
        <v>50.3</v>
      </c>
      <c r="T810" s="4">
        <f t="shared" si="381"/>
        <v>0</v>
      </c>
      <c r="U810" s="4">
        <f t="shared" si="382"/>
        <v>8.2940496401020276</v>
      </c>
      <c r="V810" s="4">
        <f t="shared" si="383"/>
        <v>5.4249500174814029</v>
      </c>
      <c r="W810" s="4">
        <f t="shared" si="384"/>
        <v>50.3</v>
      </c>
      <c r="X810" s="4">
        <f t="shared" si="385"/>
        <v>0</v>
      </c>
      <c r="Y810" s="4">
        <f t="shared" si="386"/>
        <v>8.2940496401020276</v>
      </c>
      <c r="Z810" s="4">
        <f t="shared" si="387"/>
        <v>5.4249500174814029</v>
      </c>
      <c r="AA810" s="4">
        <f t="shared" si="388"/>
        <v>50.3</v>
      </c>
      <c r="AB810" s="4">
        <f t="shared" si="389"/>
        <v>0</v>
      </c>
      <c r="AC810" s="4">
        <f t="shared" si="390"/>
        <v>0</v>
      </c>
      <c r="AD810" s="4">
        <f t="shared" si="391"/>
        <v>0</v>
      </c>
      <c r="AE810" s="4">
        <f t="shared" si="392"/>
        <v>0</v>
      </c>
      <c r="AF810" s="4">
        <f t="shared" si="393"/>
        <v>0</v>
      </c>
      <c r="AG810" s="4">
        <f t="shared" si="394"/>
        <v>8.2940496401020276</v>
      </c>
      <c r="AH810" s="4">
        <f t="shared" si="395"/>
        <v>0</v>
      </c>
      <c r="AI810" s="4">
        <f t="shared" si="396"/>
        <v>0</v>
      </c>
      <c r="AJ810" s="4">
        <f t="shared" si="397"/>
        <v>8.2940496401020276</v>
      </c>
      <c r="AK810" s="4">
        <f t="shared" si="398"/>
        <v>5.4249500174814029</v>
      </c>
      <c r="AL810" s="4">
        <f t="shared" si="399"/>
        <v>0</v>
      </c>
      <c r="AM810" s="4">
        <f>CER!$C$7+CER!$C$8*J810+CER!$C$9*K810+CER!$C$10*L810+CER!$C$11*M810</f>
        <v>3.5014959916655894</v>
      </c>
      <c r="AN810" s="4">
        <f t="shared" si="400"/>
        <v>33.165029473352945</v>
      </c>
      <c r="AO810" s="4">
        <f t="shared" si="401"/>
        <v>4.5357672678627559E-3</v>
      </c>
      <c r="AP810" s="4">
        <f>Alternatives!$F$25+Alternatives!$F$26*J810+Alternatives!$F$27*K810+Alternatives!$F$28*G810+Alternatives!$F$29*O810</f>
        <v>3.4160132013613485</v>
      </c>
      <c r="AQ810" s="4">
        <f t="shared" si="402"/>
        <v>9.0018557572103752E-2</v>
      </c>
    </row>
    <row r="811" spans="1:43" x14ac:dyDescent="0.35">
      <c r="A811" s="2" t="s">
        <v>691</v>
      </c>
      <c r="B811" s="2" t="s">
        <v>683</v>
      </c>
      <c r="C811" s="2" t="s">
        <v>33</v>
      </c>
      <c r="D811" s="2">
        <v>34.1357</v>
      </c>
      <c r="E811" s="2">
        <v>5000</v>
      </c>
      <c r="F811" s="2">
        <v>280</v>
      </c>
      <c r="G811" s="2">
        <v>57.3</v>
      </c>
      <c r="H811" s="2" t="s">
        <v>68</v>
      </c>
      <c r="I811" s="4">
        <f t="shared" si="372"/>
        <v>3.5303437574711727</v>
      </c>
      <c r="J811" s="4">
        <f t="shared" si="373"/>
        <v>8.5171931914162382</v>
      </c>
      <c r="K811" s="4">
        <f t="shared" si="374"/>
        <v>5.6347896031692493</v>
      </c>
      <c r="L811" s="2">
        <v>1</v>
      </c>
      <c r="M811" s="2">
        <v>0</v>
      </c>
      <c r="N811" s="4">
        <f t="shared" si="375"/>
        <v>57.3</v>
      </c>
      <c r="O811" s="4">
        <f t="shared" si="376"/>
        <v>1</v>
      </c>
      <c r="P811" s="4">
        <f t="shared" si="377"/>
        <v>1</v>
      </c>
      <c r="Q811" s="4">
        <f t="shared" si="378"/>
        <v>8.5171931914162382</v>
      </c>
      <c r="R811" s="4">
        <f t="shared" si="379"/>
        <v>5.6347896031692493</v>
      </c>
      <c r="S811" s="4">
        <f t="shared" si="380"/>
        <v>57.3</v>
      </c>
      <c r="T811" s="4">
        <f t="shared" si="381"/>
        <v>1</v>
      </c>
      <c r="U811" s="4">
        <f t="shared" si="382"/>
        <v>8.5171931914162382</v>
      </c>
      <c r="V811" s="4">
        <f t="shared" si="383"/>
        <v>5.6347896031692493</v>
      </c>
      <c r="W811" s="4">
        <f t="shared" si="384"/>
        <v>57.3</v>
      </c>
      <c r="X811" s="4">
        <f t="shared" si="385"/>
        <v>1</v>
      </c>
      <c r="Y811" s="4">
        <f t="shared" si="386"/>
        <v>8.5171931914162382</v>
      </c>
      <c r="Z811" s="4">
        <f t="shared" si="387"/>
        <v>5.6347896031692493</v>
      </c>
      <c r="AA811" s="4">
        <f t="shared" si="388"/>
        <v>57.3</v>
      </c>
      <c r="AB811" s="4">
        <f t="shared" si="389"/>
        <v>1</v>
      </c>
      <c r="AC811" s="4">
        <f t="shared" si="390"/>
        <v>0</v>
      </c>
      <c r="AD811" s="4">
        <f t="shared" si="391"/>
        <v>0</v>
      </c>
      <c r="AE811" s="4">
        <f t="shared" si="392"/>
        <v>0</v>
      </c>
      <c r="AF811" s="4">
        <f t="shared" si="393"/>
        <v>0</v>
      </c>
      <c r="AG811" s="4">
        <f t="shared" si="394"/>
        <v>8.5171931914162382</v>
      </c>
      <c r="AH811" s="4">
        <f t="shared" si="395"/>
        <v>1</v>
      </c>
      <c r="AI811" s="4">
        <f t="shared" si="396"/>
        <v>0</v>
      </c>
      <c r="AJ811" s="4">
        <f t="shared" si="397"/>
        <v>8.5171931914162382</v>
      </c>
      <c r="AK811" s="4">
        <f t="shared" si="398"/>
        <v>5.6347896031692493</v>
      </c>
      <c r="AL811" s="4">
        <f t="shared" si="399"/>
        <v>0</v>
      </c>
      <c r="AM811" s="4">
        <f>CER!$C$7+CER!$C$8*J811+CER!$C$9*K811+CER!$C$10*L811+CER!$C$11*M811</f>
        <v>3.5468114449092214</v>
      </c>
      <c r="AN811" s="4">
        <f t="shared" si="400"/>
        <v>34.702490090428185</v>
      </c>
      <c r="AO811" s="4">
        <f t="shared" si="401"/>
        <v>-1.6467687438048717E-2</v>
      </c>
      <c r="AP811" s="4">
        <f>Alternatives!$F$25+Alternatives!$F$26*J811+Alternatives!$F$27*K811+Alternatives!$F$28*G811+Alternatives!$F$29*O811</f>
        <v>4.1964438225041834</v>
      </c>
      <c r="AQ811" s="4">
        <f t="shared" si="402"/>
        <v>-0.66610006503301067</v>
      </c>
    </row>
    <row r="812" spans="1:43" x14ac:dyDescent="0.35">
      <c r="A812" s="2" t="s">
        <v>691</v>
      </c>
      <c r="B812" s="2" t="s">
        <v>683</v>
      </c>
      <c r="C812" s="2" t="s">
        <v>33</v>
      </c>
      <c r="D812" s="2">
        <v>33.081899999999997</v>
      </c>
      <c r="E812" s="2">
        <v>5000</v>
      </c>
      <c r="F812" s="2">
        <v>340</v>
      </c>
      <c r="G812" s="2">
        <v>57.3</v>
      </c>
      <c r="H812" s="2" t="s">
        <v>68</v>
      </c>
      <c r="I812" s="4">
        <f t="shared" si="372"/>
        <v>3.4989863050236103</v>
      </c>
      <c r="J812" s="4">
        <f t="shared" si="373"/>
        <v>8.5171931914162382</v>
      </c>
      <c r="K812" s="4">
        <f t="shared" si="374"/>
        <v>5.8289456176102075</v>
      </c>
      <c r="L812" s="2">
        <v>1</v>
      </c>
      <c r="M812" s="2">
        <v>0</v>
      </c>
      <c r="N812" s="4">
        <f t="shared" si="375"/>
        <v>57.3</v>
      </c>
      <c r="O812" s="4">
        <f t="shared" si="376"/>
        <v>1</v>
      </c>
      <c r="P812" s="4">
        <f t="shared" si="377"/>
        <v>1</v>
      </c>
      <c r="Q812" s="4">
        <f t="shared" si="378"/>
        <v>8.5171931914162382</v>
      </c>
      <c r="R812" s="4">
        <f t="shared" si="379"/>
        <v>5.8289456176102075</v>
      </c>
      <c r="S812" s="4">
        <f t="shared" si="380"/>
        <v>57.3</v>
      </c>
      <c r="T812" s="4">
        <f t="shared" si="381"/>
        <v>1</v>
      </c>
      <c r="U812" s="4">
        <f t="shared" si="382"/>
        <v>8.5171931914162382</v>
      </c>
      <c r="V812" s="4">
        <f t="shared" si="383"/>
        <v>5.8289456176102075</v>
      </c>
      <c r="W812" s="4">
        <f t="shared" si="384"/>
        <v>57.3</v>
      </c>
      <c r="X812" s="4">
        <f t="shared" si="385"/>
        <v>1</v>
      </c>
      <c r="Y812" s="4">
        <f t="shared" si="386"/>
        <v>8.5171931914162382</v>
      </c>
      <c r="Z812" s="4">
        <f t="shared" si="387"/>
        <v>5.8289456176102075</v>
      </c>
      <c r="AA812" s="4">
        <f t="shared" si="388"/>
        <v>57.3</v>
      </c>
      <c r="AB812" s="4">
        <f t="shared" si="389"/>
        <v>1</v>
      </c>
      <c r="AC812" s="4">
        <f t="shared" si="390"/>
        <v>0</v>
      </c>
      <c r="AD812" s="4">
        <f t="shared" si="391"/>
        <v>0</v>
      </c>
      <c r="AE812" s="4">
        <f t="shared" si="392"/>
        <v>0</v>
      </c>
      <c r="AF812" s="4">
        <f t="shared" si="393"/>
        <v>0</v>
      </c>
      <c r="AG812" s="4">
        <f t="shared" si="394"/>
        <v>8.5171931914162382</v>
      </c>
      <c r="AH812" s="4">
        <f t="shared" si="395"/>
        <v>1</v>
      </c>
      <c r="AI812" s="4">
        <f t="shared" si="396"/>
        <v>0</v>
      </c>
      <c r="AJ812" s="4">
        <f t="shared" si="397"/>
        <v>8.5171931914162382</v>
      </c>
      <c r="AK812" s="4">
        <f t="shared" si="398"/>
        <v>5.8289456176102075</v>
      </c>
      <c r="AL812" s="4">
        <f t="shared" si="399"/>
        <v>0</v>
      </c>
      <c r="AM812" s="4">
        <f>CER!$C$7+CER!$C$8*J812+CER!$C$9*K812+CER!$C$10*L812+CER!$C$11*M812</f>
        <v>3.4751788038716831</v>
      </c>
      <c r="AN812" s="4">
        <f t="shared" si="400"/>
        <v>32.303604029724859</v>
      </c>
      <c r="AO812" s="4">
        <f t="shared" si="401"/>
        <v>2.3807501151927202E-2</v>
      </c>
      <c r="AP812" s="4">
        <f>Alternatives!$F$25+Alternatives!$F$26*J812+Alternatives!$F$27*K812+Alternatives!$F$28*G812+Alternatives!$F$29*O812</f>
        <v>4.1447769717318161</v>
      </c>
      <c r="AQ812" s="4">
        <f t="shared" si="402"/>
        <v>-0.64579066670820584</v>
      </c>
    </row>
    <row r="813" spans="1:43" x14ac:dyDescent="0.35">
      <c r="A813" s="2" t="s">
        <v>691</v>
      </c>
      <c r="B813" s="2" t="s">
        <v>683</v>
      </c>
      <c r="C813" s="2" t="s">
        <v>33</v>
      </c>
      <c r="D813" s="2">
        <v>33.579099999999997</v>
      </c>
      <c r="E813" s="2">
        <v>5500</v>
      </c>
      <c r="F813" s="2">
        <v>189</v>
      </c>
      <c r="G813" s="2">
        <v>57.3</v>
      </c>
      <c r="H813" s="2" t="s">
        <v>68</v>
      </c>
      <c r="I813" s="4">
        <f t="shared" si="372"/>
        <v>3.5139038496225643</v>
      </c>
      <c r="J813" s="4">
        <f t="shared" si="373"/>
        <v>8.6125033712205621</v>
      </c>
      <c r="K813" s="4">
        <f t="shared" si="374"/>
        <v>5.2417470150596426</v>
      </c>
      <c r="L813" s="2">
        <v>1</v>
      </c>
      <c r="M813" s="2">
        <v>0</v>
      </c>
      <c r="N813" s="4">
        <f t="shared" si="375"/>
        <v>57.3</v>
      </c>
      <c r="O813" s="4">
        <f t="shared" si="376"/>
        <v>1</v>
      </c>
      <c r="P813" s="4">
        <f t="shared" si="377"/>
        <v>1</v>
      </c>
      <c r="Q813" s="4">
        <f t="shared" si="378"/>
        <v>8.6125033712205621</v>
      </c>
      <c r="R813" s="4">
        <f t="shared" si="379"/>
        <v>5.2417470150596426</v>
      </c>
      <c r="S813" s="4">
        <f t="shared" si="380"/>
        <v>57.3</v>
      </c>
      <c r="T813" s="4">
        <f t="shared" si="381"/>
        <v>1</v>
      </c>
      <c r="U813" s="4">
        <f t="shared" si="382"/>
        <v>8.6125033712205621</v>
      </c>
      <c r="V813" s="4">
        <f t="shared" si="383"/>
        <v>5.2417470150596426</v>
      </c>
      <c r="W813" s="4">
        <f t="shared" si="384"/>
        <v>57.3</v>
      </c>
      <c r="X813" s="4">
        <f t="shared" si="385"/>
        <v>1</v>
      </c>
      <c r="Y813" s="4">
        <f t="shared" si="386"/>
        <v>8.6125033712205621</v>
      </c>
      <c r="Z813" s="4">
        <f t="shared" si="387"/>
        <v>5.2417470150596426</v>
      </c>
      <c r="AA813" s="4">
        <f t="shared" si="388"/>
        <v>57.3</v>
      </c>
      <c r="AB813" s="4">
        <f t="shared" si="389"/>
        <v>1</v>
      </c>
      <c r="AC813" s="4">
        <f t="shared" si="390"/>
        <v>0</v>
      </c>
      <c r="AD813" s="4">
        <f t="shared" si="391"/>
        <v>0</v>
      </c>
      <c r="AE813" s="4">
        <f t="shared" si="392"/>
        <v>0</v>
      </c>
      <c r="AF813" s="4">
        <f t="shared" si="393"/>
        <v>0</v>
      </c>
      <c r="AG813" s="4">
        <f t="shared" si="394"/>
        <v>8.6125033712205621</v>
      </c>
      <c r="AH813" s="4">
        <f t="shared" si="395"/>
        <v>1</v>
      </c>
      <c r="AI813" s="4">
        <f t="shared" si="396"/>
        <v>0</v>
      </c>
      <c r="AJ813" s="4">
        <f t="shared" si="397"/>
        <v>8.6125033712205621</v>
      </c>
      <c r="AK813" s="4">
        <f t="shared" si="398"/>
        <v>5.2417470150596426</v>
      </c>
      <c r="AL813" s="4">
        <f t="shared" si="399"/>
        <v>0</v>
      </c>
      <c r="AM813" s="4">
        <f>CER!$C$7+CER!$C$8*J813+CER!$C$9*K813+CER!$C$10*L813+CER!$C$11*M813</f>
        <v>3.6486742494838866</v>
      </c>
      <c r="AN813" s="4">
        <f t="shared" si="400"/>
        <v>38.423692037537407</v>
      </c>
      <c r="AO813" s="4">
        <f t="shared" si="401"/>
        <v>-0.13477039986132233</v>
      </c>
      <c r="AP813" s="4">
        <f>Alternatives!$F$25+Alternatives!$F$26*J813+Alternatives!$F$27*K813+Alternatives!$F$28*G813+Alternatives!$F$29*O813</f>
        <v>4.3363093341284067</v>
      </c>
      <c r="AQ813" s="4">
        <f t="shared" si="402"/>
        <v>-0.82240548450584239</v>
      </c>
    </row>
    <row r="814" spans="1:43" x14ac:dyDescent="0.35">
      <c r="A814" s="2" t="s">
        <v>692</v>
      </c>
      <c r="B814" s="2" t="s">
        <v>693</v>
      </c>
      <c r="C814" s="2" t="s">
        <v>67</v>
      </c>
      <c r="D814" s="2">
        <v>50.452100000000002</v>
      </c>
      <c r="E814" s="2">
        <v>3000</v>
      </c>
      <c r="F814" s="2">
        <v>169</v>
      </c>
      <c r="G814" s="2">
        <v>44.3</v>
      </c>
      <c r="H814" s="2" t="s">
        <v>68</v>
      </c>
      <c r="I814" s="4">
        <f t="shared" si="372"/>
        <v>3.9210243713049615</v>
      </c>
      <c r="J814" s="4">
        <f t="shared" si="373"/>
        <v>8.0063675676502459</v>
      </c>
      <c r="K814" s="4">
        <f t="shared" si="374"/>
        <v>5.1298987149230735</v>
      </c>
      <c r="L814" s="2">
        <v>0</v>
      </c>
      <c r="M814" s="2">
        <v>0</v>
      </c>
      <c r="N814" s="4">
        <f t="shared" si="375"/>
        <v>44.3</v>
      </c>
      <c r="O814" s="4">
        <f t="shared" si="376"/>
        <v>0</v>
      </c>
      <c r="P814" s="4">
        <f t="shared" si="377"/>
        <v>0</v>
      </c>
      <c r="Q814" s="4">
        <f t="shared" si="378"/>
        <v>8.0063675676502459</v>
      </c>
      <c r="R814" s="4">
        <f t="shared" si="379"/>
        <v>5.1298987149230735</v>
      </c>
      <c r="S814" s="4">
        <f t="shared" si="380"/>
        <v>44.3</v>
      </c>
      <c r="T814" s="4">
        <f t="shared" si="381"/>
        <v>0</v>
      </c>
      <c r="U814" s="4">
        <f t="shared" si="382"/>
        <v>8.0063675676502459</v>
      </c>
      <c r="V814" s="4">
        <f t="shared" si="383"/>
        <v>5.1298987149230735</v>
      </c>
      <c r="W814" s="4">
        <f t="shared" si="384"/>
        <v>44.3</v>
      </c>
      <c r="X814" s="4">
        <f t="shared" si="385"/>
        <v>0</v>
      </c>
      <c r="Y814" s="4">
        <f t="shared" si="386"/>
        <v>8.0063675676502459</v>
      </c>
      <c r="Z814" s="4">
        <f t="shared" si="387"/>
        <v>5.1298987149230735</v>
      </c>
      <c r="AA814" s="4">
        <f t="shared" si="388"/>
        <v>44.3</v>
      </c>
      <c r="AB814" s="4">
        <f t="shared" si="389"/>
        <v>0</v>
      </c>
      <c r="AC814" s="4">
        <f t="shared" si="390"/>
        <v>0</v>
      </c>
      <c r="AD814" s="4">
        <f t="shared" si="391"/>
        <v>0</v>
      </c>
      <c r="AE814" s="4">
        <f t="shared" si="392"/>
        <v>0</v>
      </c>
      <c r="AF814" s="4">
        <f t="shared" si="393"/>
        <v>0</v>
      </c>
      <c r="AG814" s="4">
        <f t="shared" si="394"/>
        <v>8.0063675676502459</v>
      </c>
      <c r="AH814" s="4">
        <f t="shared" si="395"/>
        <v>0</v>
      </c>
      <c r="AI814" s="4">
        <f t="shared" si="396"/>
        <v>0</v>
      </c>
      <c r="AJ814" s="4">
        <f t="shared" si="397"/>
        <v>8.0063675676502459</v>
      </c>
      <c r="AK814" s="4">
        <f t="shared" si="398"/>
        <v>5.1298987149230735</v>
      </c>
      <c r="AL814" s="4">
        <f t="shared" si="399"/>
        <v>0</v>
      </c>
      <c r="AM814" s="4">
        <f>CER!$C$7+CER!$C$8*J814+CER!$C$9*K814+CER!$C$10*L814+CER!$C$11*M814</f>
        <v>3.7405896127645049</v>
      </c>
      <c r="AN814" s="4">
        <f t="shared" si="400"/>
        <v>42.122818996336825</v>
      </c>
      <c r="AO814" s="4">
        <f t="shared" si="401"/>
        <v>0.18043475854045665</v>
      </c>
      <c r="AP814" s="4">
        <f>Alternatives!$F$25+Alternatives!$F$26*J814+Alternatives!$F$27*K814+Alternatives!$F$28*G814+Alternatives!$F$29*O814</f>
        <v>3.4661060801067718</v>
      </c>
      <c r="AQ814" s="4">
        <f t="shared" si="402"/>
        <v>0.45491829119818972</v>
      </c>
    </row>
    <row r="815" spans="1:43" x14ac:dyDescent="0.35">
      <c r="A815" s="2" t="s">
        <v>692</v>
      </c>
      <c r="B815" s="2" t="s">
        <v>693</v>
      </c>
      <c r="C815" s="2" t="s">
        <v>67</v>
      </c>
      <c r="D815" s="2">
        <v>46.505600000000001</v>
      </c>
      <c r="E815" s="2">
        <v>3500</v>
      </c>
      <c r="F815" s="2">
        <v>169</v>
      </c>
      <c r="G815" s="2">
        <v>44.3</v>
      </c>
      <c r="H815" s="2" t="s">
        <v>68</v>
      </c>
      <c r="I815" s="4">
        <f t="shared" si="372"/>
        <v>3.8395727354497144</v>
      </c>
      <c r="J815" s="4">
        <f t="shared" si="373"/>
        <v>8.1605182474775049</v>
      </c>
      <c r="K815" s="4">
        <f t="shared" si="374"/>
        <v>5.1298987149230735</v>
      </c>
      <c r="L815" s="2">
        <v>0</v>
      </c>
      <c r="M815" s="2">
        <v>0</v>
      </c>
      <c r="N815" s="4">
        <f t="shared" si="375"/>
        <v>44.3</v>
      </c>
      <c r="O815" s="4">
        <f t="shared" si="376"/>
        <v>0</v>
      </c>
      <c r="P815" s="4">
        <f t="shared" si="377"/>
        <v>0</v>
      </c>
      <c r="Q815" s="4">
        <f t="shared" si="378"/>
        <v>8.1605182474775049</v>
      </c>
      <c r="R815" s="4">
        <f t="shared" si="379"/>
        <v>5.1298987149230735</v>
      </c>
      <c r="S815" s="4">
        <f t="shared" si="380"/>
        <v>44.3</v>
      </c>
      <c r="T815" s="4">
        <f t="shared" si="381"/>
        <v>0</v>
      </c>
      <c r="U815" s="4">
        <f t="shared" si="382"/>
        <v>8.1605182474775049</v>
      </c>
      <c r="V815" s="4">
        <f t="shared" si="383"/>
        <v>5.1298987149230735</v>
      </c>
      <c r="W815" s="4">
        <f t="shared" si="384"/>
        <v>44.3</v>
      </c>
      <c r="X815" s="4">
        <f t="shared" si="385"/>
        <v>0</v>
      </c>
      <c r="Y815" s="4">
        <f t="shared" si="386"/>
        <v>8.1605182474775049</v>
      </c>
      <c r="Z815" s="4">
        <f t="shared" si="387"/>
        <v>5.1298987149230735</v>
      </c>
      <c r="AA815" s="4">
        <f t="shared" si="388"/>
        <v>44.3</v>
      </c>
      <c r="AB815" s="4">
        <f t="shared" si="389"/>
        <v>0</v>
      </c>
      <c r="AC815" s="4">
        <f t="shared" si="390"/>
        <v>0</v>
      </c>
      <c r="AD815" s="4">
        <f t="shared" si="391"/>
        <v>0</v>
      </c>
      <c r="AE815" s="4">
        <f t="shared" si="392"/>
        <v>0</v>
      </c>
      <c r="AF815" s="4">
        <f t="shared" si="393"/>
        <v>0</v>
      </c>
      <c r="AG815" s="4">
        <f t="shared" si="394"/>
        <v>8.1605182474775049</v>
      </c>
      <c r="AH815" s="4">
        <f t="shared" si="395"/>
        <v>0</v>
      </c>
      <c r="AI815" s="4">
        <f t="shared" si="396"/>
        <v>0</v>
      </c>
      <c r="AJ815" s="4">
        <f t="shared" si="397"/>
        <v>8.1605182474775049</v>
      </c>
      <c r="AK815" s="4">
        <f t="shared" si="398"/>
        <v>5.1298987149230735</v>
      </c>
      <c r="AL815" s="4">
        <f t="shared" si="399"/>
        <v>0</v>
      </c>
      <c r="AM815" s="4">
        <f>CER!$C$7+CER!$C$8*J815+CER!$C$9*K815+CER!$C$10*L815+CER!$C$11*M815</f>
        <v>3.6708041942102616</v>
      </c>
      <c r="AN815" s="4">
        <f t="shared" si="400"/>
        <v>39.283484711801947</v>
      </c>
      <c r="AO815" s="4">
        <f t="shared" si="401"/>
        <v>0.16876854123945284</v>
      </c>
      <c r="AP815" s="4">
        <f>Alternatives!$F$25+Alternatives!$F$26*J815+Alternatives!$F$27*K815+Alternatives!$F$28*G815+Alternatives!$F$29*O815</f>
        <v>3.5231550852245217</v>
      </c>
      <c r="AQ815" s="4">
        <f t="shared" si="402"/>
        <v>0.31641765022519275</v>
      </c>
    </row>
    <row r="816" spans="1:43" x14ac:dyDescent="0.35">
      <c r="A816" s="2" t="s">
        <v>692</v>
      </c>
      <c r="B816" s="2" t="s">
        <v>693</v>
      </c>
      <c r="C816" s="2" t="s">
        <v>67</v>
      </c>
      <c r="D816" s="2">
        <v>47.436700000000002</v>
      </c>
      <c r="E816" s="2">
        <v>3500</v>
      </c>
      <c r="F816" s="2">
        <v>169</v>
      </c>
      <c r="G816" s="2">
        <v>44.3</v>
      </c>
      <c r="H816" s="2" t="s">
        <v>68</v>
      </c>
      <c r="I816" s="4">
        <f t="shared" si="372"/>
        <v>3.8593961907185199</v>
      </c>
      <c r="J816" s="4">
        <f t="shared" si="373"/>
        <v>8.1605182474775049</v>
      </c>
      <c r="K816" s="4">
        <f t="shared" si="374"/>
        <v>5.1298987149230735</v>
      </c>
      <c r="L816" s="2">
        <v>0</v>
      </c>
      <c r="M816" s="2">
        <v>0</v>
      </c>
      <c r="N816" s="4">
        <f t="shared" si="375"/>
        <v>44.3</v>
      </c>
      <c r="O816" s="4">
        <f t="shared" si="376"/>
        <v>0</v>
      </c>
      <c r="P816" s="4">
        <f t="shared" si="377"/>
        <v>0</v>
      </c>
      <c r="Q816" s="4">
        <f t="shared" si="378"/>
        <v>8.1605182474775049</v>
      </c>
      <c r="R816" s="4">
        <f t="shared" si="379"/>
        <v>5.1298987149230735</v>
      </c>
      <c r="S816" s="4">
        <f t="shared" si="380"/>
        <v>44.3</v>
      </c>
      <c r="T816" s="4">
        <f t="shared" si="381"/>
        <v>0</v>
      </c>
      <c r="U816" s="4">
        <f t="shared" si="382"/>
        <v>8.1605182474775049</v>
      </c>
      <c r="V816" s="4">
        <f t="shared" si="383"/>
        <v>5.1298987149230735</v>
      </c>
      <c r="W816" s="4">
        <f t="shared" si="384"/>
        <v>44.3</v>
      </c>
      <c r="X816" s="4">
        <f t="shared" si="385"/>
        <v>0</v>
      </c>
      <c r="Y816" s="4">
        <f t="shared" si="386"/>
        <v>8.1605182474775049</v>
      </c>
      <c r="Z816" s="4">
        <f t="shared" si="387"/>
        <v>5.1298987149230735</v>
      </c>
      <c r="AA816" s="4">
        <f t="shared" si="388"/>
        <v>44.3</v>
      </c>
      <c r="AB816" s="4">
        <f t="shared" si="389"/>
        <v>0</v>
      </c>
      <c r="AC816" s="4">
        <f t="shared" si="390"/>
        <v>0</v>
      </c>
      <c r="AD816" s="4">
        <f t="shared" si="391"/>
        <v>0</v>
      </c>
      <c r="AE816" s="4">
        <f t="shared" si="392"/>
        <v>0</v>
      </c>
      <c r="AF816" s="4">
        <f t="shared" si="393"/>
        <v>0</v>
      </c>
      <c r="AG816" s="4">
        <f t="shared" si="394"/>
        <v>8.1605182474775049</v>
      </c>
      <c r="AH816" s="4">
        <f t="shared" si="395"/>
        <v>0</v>
      </c>
      <c r="AI816" s="4">
        <f t="shared" si="396"/>
        <v>0</v>
      </c>
      <c r="AJ816" s="4">
        <f t="shared" si="397"/>
        <v>8.1605182474775049</v>
      </c>
      <c r="AK816" s="4">
        <f t="shared" si="398"/>
        <v>5.1298987149230735</v>
      </c>
      <c r="AL816" s="4">
        <f t="shared" si="399"/>
        <v>0</v>
      </c>
      <c r="AM816" s="4">
        <f>CER!$C$7+CER!$C$8*J816+CER!$C$9*K816+CER!$C$10*L816+CER!$C$11*M816</f>
        <v>3.6708041942102616</v>
      </c>
      <c r="AN816" s="4">
        <f t="shared" si="400"/>
        <v>39.283484711801947</v>
      </c>
      <c r="AO816" s="4">
        <f t="shared" si="401"/>
        <v>0.18859199650825831</v>
      </c>
      <c r="AP816" s="4">
        <f>Alternatives!$F$25+Alternatives!$F$26*J816+Alternatives!$F$27*K816+Alternatives!$F$28*G816+Alternatives!$F$29*O816</f>
        <v>3.5231550852245217</v>
      </c>
      <c r="AQ816" s="4">
        <f t="shared" si="402"/>
        <v>0.33624110549399822</v>
      </c>
    </row>
    <row r="817" spans="1:43" x14ac:dyDescent="0.35">
      <c r="A817" s="2" t="s">
        <v>694</v>
      </c>
      <c r="B817" s="2" t="s">
        <v>693</v>
      </c>
      <c r="C817" s="2" t="s">
        <v>33</v>
      </c>
      <c r="D817" s="2">
        <v>71.781899999999993</v>
      </c>
      <c r="E817" s="2">
        <v>3500</v>
      </c>
      <c r="F817" s="2">
        <v>176</v>
      </c>
      <c r="G817" s="2">
        <v>48.7</v>
      </c>
      <c r="H817" s="2" t="s">
        <v>68</v>
      </c>
      <c r="I817" s="4">
        <f t="shared" si="372"/>
        <v>4.273632355137881</v>
      </c>
      <c r="J817" s="4">
        <f t="shared" si="373"/>
        <v>8.1605182474775049</v>
      </c>
      <c r="K817" s="4">
        <f t="shared" si="374"/>
        <v>5.1704839950381514</v>
      </c>
      <c r="L817" s="2">
        <v>1</v>
      </c>
      <c r="M817" s="2">
        <v>0</v>
      </c>
      <c r="N817" s="4">
        <f t="shared" si="375"/>
        <v>48.7</v>
      </c>
      <c r="O817" s="4">
        <f t="shared" si="376"/>
        <v>1</v>
      </c>
      <c r="P817" s="4">
        <f t="shared" si="377"/>
        <v>1</v>
      </c>
      <c r="Q817" s="4">
        <f t="shared" si="378"/>
        <v>8.1605182474775049</v>
      </c>
      <c r="R817" s="4">
        <f t="shared" si="379"/>
        <v>5.1704839950381514</v>
      </c>
      <c r="S817" s="4">
        <f t="shared" si="380"/>
        <v>48.7</v>
      </c>
      <c r="T817" s="4">
        <f t="shared" si="381"/>
        <v>1</v>
      </c>
      <c r="U817" s="4">
        <f t="shared" si="382"/>
        <v>8.1605182474775049</v>
      </c>
      <c r="V817" s="4">
        <f t="shared" si="383"/>
        <v>5.1704839950381514</v>
      </c>
      <c r="W817" s="4">
        <f t="shared" si="384"/>
        <v>48.7</v>
      </c>
      <c r="X817" s="4">
        <f t="shared" si="385"/>
        <v>1</v>
      </c>
      <c r="Y817" s="4">
        <f t="shared" si="386"/>
        <v>8.1605182474775049</v>
      </c>
      <c r="Z817" s="4">
        <f t="shared" si="387"/>
        <v>5.1704839950381514</v>
      </c>
      <c r="AA817" s="4">
        <f t="shared" si="388"/>
        <v>48.7</v>
      </c>
      <c r="AB817" s="4">
        <f t="shared" si="389"/>
        <v>1</v>
      </c>
      <c r="AC817" s="4">
        <f t="shared" si="390"/>
        <v>0</v>
      </c>
      <c r="AD817" s="4">
        <f t="shared" si="391"/>
        <v>0</v>
      </c>
      <c r="AE817" s="4">
        <f t="shared" si="392"/>
        <v>0</v>
      </c>
      <c r="AF817" s="4">
        <f t="shared" si="393"/>
        <v>0</v>
      </c>
      <c r="AG817" s="4">
        <f t="shared" si="394"/>
        <v>8.1605182474775049</v>
      </c>
      <c r="AH817" s="4">
        <f t="shared" si="395"/>
        <v>1</v>
      </c>
      <c r="AI817" s="4">
        <f t="shared" si="396"/>
        <v>0</v>
      </c>
      <c r="AJ817" s="4">
        <f t="shared" si="397"/>
        <v>8.1605182474775049</v>
      </c>
      <c r="AK817" s="4">
        <f t="shared" si="398"/>
        <v>5.1704839950381514</v>
      </c>
      <c r="AL817" s="4">
        <f t="shared" si="399"/>
        <v>0</v>
      </c>
      <c r="AM817" s="4">
        <f>CER!$C$7+CER!$C$8*J817+CER!$C$9*K817+CER!$C$10*L817+CER!$C$11*M817</f>
        <v>3.8795840802054826</v>
      </c>
      <c r="AN817" s="4">
        <f t="shared" si="400"/>
        <v>48.404078669617356</v>
      </c>
      <c r="AO817" s="4">
        <f t="shared" si="401"/>
        <v>0.39404827493239836</v>
      </c>
      <c r="AP817" s="4">
        <f>Alternatives!$F$25+Alternatives!$F$26*J817+Alternatives!$F$27*K817+Alternatives!$F$28*G817+Alternatives!$F$29*O817</f>
        <v>4.2998626825581816</v>
      </c>
      <c r="AQ817" s="4">
        <f t="shared" si="402"/>
        <v>-2.6230327420300625E-2</v>
      </c>
    </row>
    <row r="818" spans="1:43" x14ac:dyDescent="0.35">
      <c r="A818" s="2" t="s">
        <v>695</v>
      </c>
      <c r="B818" s="2" t="s">
        <v>693</v>
      </c>
      <c r="C818" s="2" t="s">
        <v>67</v>
      </c>
      <c r="D818" s="2">
        <v>38.578600000000002</v>
      </c>
      <c r="E818" s="2">
        <v>3500</v>
      </c>
      <c r="F818" s="2">
        <v>202</v>
      </c>
      <c r="G818" s="2">
        <v>48.3</v>
      </c>
      <c r="H818" s="2" t="s">
        <v>68</v>
      </c>
      <c r="I818" s="4">
        <f t="shared" si="372"/>
        <v>3.6526977185869045</v>
      </c>
      <c r="J818" s="4">
        <f t="shared" si="373"/>
        <v>8.1605182474775049</v>
      </c>
      <c r="K818" s="4">
        <f t="shared" si="374"/>
        <v>5.3082676974012051</v>
      </c>
      <c r="L818" s="2">
        <v>0</v>
      </c>
      <c r="M818" s="2">
        <v>0</v>
      </c>
      <c r="N818" s="4">
        <f t="shared" si="375"/>
        <v>48.3</v>
      </c>
      <c r="O818" s="4">
        <f t="shared" si="376"/>
        <v>0</v>
      </c>
      <c r="P818" s="4">
        <f t="shared" si="377"/>
        <v>0</v>
      </c>
      <c r="Q818" s="4">
        <f t="shared" si="378"/>
        <v>8.1605182474775049</v>
      </c>
      <c r="R818" s="4">
        <f t="shared" si="379"/>
        <v>5.3082676974012051</v>
      </c>
      <c r="S818" s="4">
        <f t="shared" si="380"/>
        <v>48.3</v>
      </c>
      <c r="T818" s="4">
        <f t="shared" si="381"/>
        <v>0</v>
      </c>
      <c r="U818" s="4">
        <f t="shared" si="382"/>
        <v>8.1605182474775049</v>
      </c>
      <c r="V818" s="4">
        <f t="shared" si="383"/>
        <v>5.3082676974012051</v>
      </c>
      <c r="W818" s="4">
        <f t="shared" si="384"/>
        <v>48.3</v>
      </c>
      <c r="X818" s="4">
        <f t="shared" si="385"/>
        <v>0</v>
      </c>
      <c r="Y818" s="4">
        <f t="shared" si="386"/>
        <v>8.1605182474775049</v>
      </c>
      <c r="Z818" s="4">
        <f t="shared" si="387"/>
        <v>5.3082676974012051</v>
      </c>
      <c r="AA818" s="4">
        <f t="shared" si="388"/>
        <v>48.3</v>
      </c>
      <c r="AB818" s="4">
        <f t="shared" si="389"/>
        <v>0</v>
      </c>
      <c r="AC818" s="4">
        <f t="shared" si="390"/>
        <v>0</v>
      </c>
      <c r="AD818" s="4">
        <f t="shared" si="391"/>
        <v>0</v>
      </c>
      <c r="AE818" s="4">
        <f t="shared" si="392"/>
        <v>0</v>
      </c>
      <c r="AF818" s="4">
        <f t="shared" si="393"/>
        <v>0</v>
      </c>
      <c r="AG818" s="4">
        <f t="shared" si="394"/>
        <v>8.1605182474775049</v>
      </c>
      <c r="AH818" s="4">
        <f t="shared" si="395"/>
        <v>0</v>
      </c>
      <c r="AI818" s="4">
        <f t="shared" si="396"/>
        <v>0</v>
      </c>
      <c r="AJ818" s="4">
        <f t="shared" si="397"/>
        <v>8.1605182474775049</v>
      </c>
      <c r="AK818" s="4">
        <f t="shared" si="398"/>
        <v>5.3082676974012051</v>
      </c>
      <c r="AL818" s="4">
        <f t="shared" si="399"/>
        <v>0</v>
      </c>
      <c r="AM818" s="4">
        <f>CER!$C$7+CER!$C$8*J818+CER!$C$9*K818+CER!$C$10*L818+CER!$C$11*M818</f>
        <v>3.6049960793760318</v>
      </c>
      <c r="AN818" s="4">
        <f t="shared" si="400"/>
        <v>36.781539650375542</v>
      </c>
      <c r="AO818" s="4">
        <f t="shared" si="401"/>
        <v>4.7701639210872671E-2</v>
      </c>
      <c r="AP818" s="4">
        <f>Alternatives!$F$25+Alternatives!$F$26*J818+Alternatives!$F$27*K818+Alternatives!$F$28*G818+Alternatives!$F$29*O818</f>
        <v>3.4236600628522593</v>
      </c>
      <c r="AQ818" s="4">
        <f t="shared" si="402"/>
        <v>0.22903765573464518</v>
      </c>
    </row>
    <row r="819" spans="1:43" x14ac:dyDescent="0.35">
      <c r="A819" s="2" t="s">
        <v>696</v>
      </c>
      <c r="B819" s="2" t="s">
        <v>693</v>
      </c>
      <c r="C819" s="2" t="s">
        <v>33</v>
      </c>
      <c r="D819" s="2">
        <v>62.929299999999998</v>
      </c>
      <c r="E819" s="2">
        <v>4000</v>
      </c>
      <c r="F819" s="2">
        <v>176</v>
      </c>
      <c r="G819" s="2">
        <v>48.2</v>
      </c>
      <c r="H819" s="2" t="s">
        <v>68</v>
      </c>
      <c r="I819" s="4">
        <f t="shared" si="372"/>
        <v>4.1420118740064531</v>
      </c>
      <c r="J819" s="4">
        <f t="shared" si="373"/>
        <v>8.2940496401020276</v>
      </c>
      <c r="K819" s="4">
        <f t="shared" si="374"/>
        <v>5.1704839950381514</v>
      </c>
      <c r="L819" s="2">
        <v>1</v>
      </c>
      <c r="M819" s="2">
        <v>0</v>
      </c>
      <c r="N819" s="4">
        <f t="shared" si="375"/>
        <v>48.2</v>
      </c>
      <c r="O819" s="4">
        <f t="shared" si="376"/>
        <v>1</v>
      </c>
      <c r="P819" s="4">
        <f t="shared" si="377"/>
        <v>1</v>
      </c>
      <c r="Q819" s="4">
        <f t="shared" si="378"/>
        <v>8.2940496401020276</v>
      </c>
      <c r="R819" s="4">
        <f t="shared" si="379"/>
        <v>5.1704839950381514</v>
      </c>
      <c r="S819" s="4">
        <f t="shared" si="380"/>
        <v>48.2</v>
      </c>
      <c r="T819" s="4">
        <f t="shared" si="381"/>
        <v>1</v>
      </c>
      <c r="U819" s="4">
        <f t="shared" si="382"/>
        <v>8.2940496401020276</v>
      </c>
      <c r="V819" s="4">
        <f t="shared" si="383"/>
        <v>5.1704839950381514</v>
      </c>
      <c r="W819" s="4">
        <f t="shared" si="384"/>
        <v>48.2</v>
      </c>
      <c r="X819" s="4">
        <f t="shared" si="385"/>
        <v>1</v>
      </c>
      <c r="Y819" s="4">
        <f t="shared" si="386"/>
        <v>8.2940496401020276</v>
      </c>
      <c r="Z819" s="4">
        <f t="shared" si="387"/>
        <v>5.1704839950381514</v>
      </c>
      <c r="AA819" s="4">
        <f t="shared" si="388"/>
        <v>48.2</v>
      </c>
      <c r="AB819" s="4">
        <f t="shared" si="389"/>
        <v>1</v>
      </c>
      <c r="AC819" s="4">
        <f t="shared" si="390"/>
        <v>0</v>
      </c>
      <c r="AD819" s="4">
        <f t="shared" si="391"/>
        <v>0</v>
      </c>
      <c r="AE819" s="4">
        <f t="shared" si="392"/>
        <v>0</v>
      </c>
      <c r="AF819" s="4">
        <f t="shared" si="393"/>
        <v>0</v>
      </c>
      <c r="AG819" s="4">
        <f t="shared" si="394"/>
        <v>8.2940496401020276</v>
      </c>
      <c r="AH819" s="4">
        <f t="shared" si="395"/>
        <v>1</v>
      </c>
      <c r="AI819" s="4">
        <f t="shared" si="396"/>
        <v>0</v>
      </c>
      <c r="AJ819" s="4">
        <f t="shared" si="397"/>
        <v>8.2940496401020276</v>
      </c>
      <c r="AK819" s="4">
        <f t="shared" si="398"/>
        <v>5.1704839950381514</v>
      </c>
      <c r="AL819" s="4">
        <f t="shared" si="399"/>
        <v>0</v>
      </c>
      <c r="AM819" s="4">
        <f>CER!$C$7+CER!$C$8*J819+CER!$C$9*K819+CER!$C$10*L819+CER!$C$11*M819</f>
        <v>3.8191332010080927</v>
      </c>
      <c r="AN819" s="4">
        <f t="shared" si="400"/>
        <v>45.564695766244697</v>
      </c>
      <c r="AO819" s="4">
        <f t="shared" si="401"/>
        <v>0.32287867299836037</v>
      </c>
      <c r="AP819" s="4">
        <f>Alternatives!$F$25+Alternatives!$F$26*J819+Alternatives!$F$27*K819+Alternatives!$F$28*G819+Alternatives!$F$29*O819</f>
        <v>4.3557844358750177</v>
      </c>
      <c r="AQ819" s="4">
        <f t="shared" si="402"/>
        <v>-0.21377256186856464</v>
      </c>
    </row>
    <row r="820" spans="1:43" x14ac:dyDescent="0.35">
      <c r="A820" s="2" t="s">
        <v>697</v>
      </c>
      <c r="B820" s="2" t="s">
        <v>693</v>
      </c>
      <c r="C820" s="2" t="s">
        <v>67</v>
      </c>
      <c r="D820" s="2">
        <v>38.446899999999999</v>
      </c>
      <c r="E820" s="2">
        <v>4000</v>
      </c>
      <c r="F820" s="2">
        <v>202</v>
      </c>
      <c r="G820" s="2">
        <v>48.2</v>
      </c>
      <c r="H820" s="2" t="s">
        <v>68</v>
      </c>
      <c r="I820" s="4">
        <f t="shared" si="372"/>
        <v>3.6492780685140924</v>
      </c>
      <c r="J820" s="4">
        <f t="shared" si="373"/>
        <v>8.2940496401020276</v>
      </c>
      <c r="K820" s="4">
        <f t="shared" si="374"/>
        <v>5.3082676974012051</v>
      </c>
      <c r="L820" s="2">
        <v>0</v>
      </c>
      <c r="M820" s="2">
        <v>0</v>
      </c>
      <c r="N820" s="4">
        <f t="shared" si="375"/>
        <v>48.2</v>
      </c>
      <c r="O820" s="4">
        <f t="shared" si="376"/>
        <v>0</v>
      </c>
      <c r="P820" s="4">
        <f t="shared" si="377"/>
        <v>0</v>
      </c>
      <c r="Q820" s="4">
        <f t="shared" si="378"/>
        <v>8.2940496401020276</v>
      </c>
      <c r="R820" s="4">
        <f t="shared" si="379"/>
        <v>5.3082676974012051</v>
      </c>
      <c r="S820" s="4">
        <f t="shared" si="380"/>
        <v>48.2</v>
      </c>
      <c r="T820" s="4">
        <f t="shared" si="381"/>
        <v>0</v>
      </c>
      <c r="U820" s="4">
        <f t="shared" si="382"/>
        <v>8.2940496401020276</v>
      </c>
      <c r="V820" s="4">
        <f t="shared" si="383"/>
        <v>5.3082676974012051</v>
      </c>
      <c r="W820" s="4">
        <f t="shared" si="384"/>
        <v>48.2</v>
      </c>
      <c r="X820" s="4">
        <f t="shared" si="385"/>
        <v>0</v>
      </c>
      <c r="Y820" s="4">
        <f t="shared" si="386"/>
        <v>8.2940496401020276</v>
      </c>
      <c r="Z820" s="4">
        <f t="shared" si="387"/>
        <v>5.3082676974012051</v>
      </c>
      <c r="AA820" s="4">
        <f t="shared" si="388"/>
        <v>48.2</v>
      </c>
      <c r="AB820" s="4">
        <f t="shared" si="389"/>
        <v>0</v>
      </c>
      <c r="AC820" s="4">
        <f t="shared" si="390"/>
        <v>0</v>
      </c>
      <c r="AD820" s="4">
        <f t="shared" si="391"/>
        <v>0</v>
      </c>
      <c r="AE820" s="4">
        <f t="shared" si="392"/>
        <v>0</v>
      </c>
      <c r="AF820" s="4">
        <f t="shared" si="393"/>
        <v>0</v>
      </c>
      <c r="AG820" s="4">
        <f t="shared" si="394"/>
        <v>8.2940496401020276</v>
      </c>
      <c r="AH820" s="4">
        <f t="shared" si="395"/>
        <v>0</v>
      </c>
      <c r="AI820" s="4">
        <f t="shared" si="396"/>
        <v>0</v>
      </c>
      <c r="AJ820" s="4">
        <f t="shared" si="397"/>
        <v>8.2940496401020276</v>
      </c>
      <c r="AK820" s="4">
        <f t="shared" si="398"/>
        <v>5.3082676974012051</v>
      </c>
      <c r="AL820" s="4">
        <f t="shared" si="399"/>
        <v>0</v>
      </c>
      <c r="AM820" s="4">
        <f>CER!$C$7+CER!$C$8*J820+CER!$C$9*K820+CER!$C$10*L820+CER!$C$11*M820</f>
        <v>3.5445452001786419</v>
      </c>
      <c r="AN820" s="4">
        <f t="shared" si="400"/>
        <v>34.623934801498343</v>
      </c>
      <c r="AO820" s="4">
        <f t="shared" si="401"/>
        <v>0.10473286833545048</v>
      </c>
      <c r="AP820" s="4">
        <f>Alternatives!$F$25+Alternatives!$F$26*J820+Alternatives!$F$27*K820+Alternatives!$F$28*G820+Alternatives!$F$29*O820</f>
        <v>3.4743788903522042</v>
      </c>
      <c r="AQ820" s="4">
        <f t="shared" si="402"/>
        <v>0.17489917816188827</v>
      </c>
    </row>
    <row r="821" spans="1:43" x14ac:dyDescent="0.35">
      <c r="A821" s="2" t="s">
        <v>698</v>
      </c>
      <c r="B821" s="2" t="s">
        <v>693</v>
      </c>
      <c r="C821" s="2" t="s">
        <v>67</v>
      </c>
      <c r="D821" s="2">
        <v>34.9101</v>
      </c>
      <c r="E821" s="2">
        <v>4000</v>
      </c>
      <c r="F821" s="2">
        <v>301</v>
      </c>
      <c r="G821" s="2">
        <v>48.1</v>
      </c>
      <c r="H821" s="2" t="s">
        <v>68</v>
      </c>
      <c r="I821" s="4">
        <f t="shared" si="372"/>
        <v>3.5527761856215787</v>
      </c>
      <c r="J821" s="4">
        <f t="shared" si="373"/>
        <v>8.2940496401020276</v>
      </c>
      <c r="K821" s="4">
        <f t="shared" si="374"/>
        <v>5.7071102647488754</v>
      </c>
      <c r="L821" s="2">
        <v>0</v>
      </c>
      <c r="M821" s="2">
        <v>0</v>
      </c>
      <c r="N821" s="4">
        <f t="shared" si="375"/>
        <v>48.1</v>
      </c>
      <c r="O821" s="4">
        <f t="shared" si="376"/>
        <v>0</v>
      </c>
      <c r="P821" s="4">
        <f t="shared" si="377"/>
        <v>0</v>
      </c>
      <c r="Q821" s="4">
        <f t="shared" si="378"/>
        <v>8.2940496401020276</v>
      </c>
      <c r="R821" s="4">
        <f t="shared" si="379"/>
        <v>5.7071102647488754</v>
      </c>
      <c r="S821" s="4">
        <f t="shared" si="380"/>
        <v>48.1</v>
      </c>
      <c r="T821" s="4">
        <f t="shared" si="381"/>
        <v>0</v>
      </c>
      <c r="U821" s="4">
        <f t="shared" si="382"/>
        <v>8.2940496401020276</v>
      </c>
      <c r="V821" s="4">
        <f t="shared" si="383"/>
        <v>5.7071102647488754</v>
      </c>
      <c r="W821" s="4">
        <f t="shared" si="384"/>
        <v>48.1</v>
      </c>
      <c r="X821" s="4">
        <f t="shared" si="385"/>
        <v>0</v>
      </c>
      <c r="Y821" s="4">
        <f t="shared" si="386"/>
        <v>8.2940496401020276</v>
      </c>
      <c r="Z821" s="4">
        <f t="shared" si="387"/>
        <v>5.7071102647488754</v>
      </c>
      <c r="AA821" s="4">
        <f t="shared" si="388"/>
        <v>48.1</v>
      </c>
      <c r="AB821" s="4">
        <f t="shared" si="389"/>
        <v>0</v>
      </c>
      <c r="AC821" s="4">
        <f t="shared" si="390"/>
        <v>0</v>
      </c>
      <c r="AD821" s="4">
        <f t="shared" si="391"/>
        <v>0</v>
      </c>
      <c r="AE821" s="4">
        <f t="shared" si="392"/>
        <v>0</v>
      </c>
      <c r="AF821" s="4">
        <f t="shared" si="393"/>
        <v>0</v>
      </c>
      <c r="AG821" s="4">
        <f t="shared" si="394"/>
        <v>8.2940496401020276</v>
      </c>
      <c r="AH821" s="4">
        <f t="shared" si="395"/>
        <v>0</v>
      </c>
      <c r="AI821" s="4">
        <f t="shared" si="396"/>
        <v>0</v>
      </c>
      <c r="AJ821" s="4">
        <f t="shared" si="397"/>
        <v>8.2940496401020276</v>
      </c>
      <c r="AK821" s="4">
        <f t="shared" si="398"/>
        <v>5.7071102647488754</v>
      </c>
      <c r="AL821" s="4">
        <f t="shared" si="399"/>
        <v>0</v>
      </c>
      <c r="AM821" s="4">
        <f>CER!$C$7+CER!$C$8*J821+CER!$C$9*K821+CER!$C$10*L821+CER!$C$11*M821</f>
        <v>3.397394742132986</v>
      </c>
      <c r="AN821" s="4">
        <f t="shared" si="400"/>
        <v>29.8861374404648</v>
      </c>
      <c r="AO821" s="4">
        <f t="shared" si="401"/>
        <v>0.15538144348859273</v>
      </c>
      <c r="AP821" s="4">
        <f>Alternatives!$F$25+Alternatives!$F$26*J821+Alternatives!$F$27*K821+Alternatives!$F$28*G821+Alternatives!$F$29*O821</f>
        <v>3.3695436390084983</v>
      </c>
      <c r="AQ821" s="4">
        <f t="shared" si="402"/>
        <v>0.18323254661308042</v>
      </c>
    </row>
    <row r="822" spans="1:43" x14ac:dyDescent="0.35">
      <c r="A822" s="2" t="s">
        <v>699</v>
      </c>
      <c r="B822" s="2" t="s">
        <v>693</v>
      </c>
      <c r="C822" s="2" t="s">
        <v>67</v>
      </c>
      <c r="D822" s="2">
        <v>33.369</v>
      </c>
      <c r="E822" s="2">
        <v>4000</v>
      </c>
      <c r="F822" s="2">
        <v>301</v>
      </c>
      <c r="G822" s="2">
        <v>48.6</v>
      </c>
      <c r="H822" s="2" t="s">
        <v>68</v>
      </c>
      <c r="I822" s="4">
        <f t="shared" si="372"/>
        <v>3.5076273252780021</v>
      </c>
      <c r="J822" s="4">
        <f t="shared" si="373"/>
        <v>8.2940496401020276</v>
      </c>
      <c r="K822" s="4">
        <f t="shared" si="374"/>
        <v>5.7071102647488754</v>
      </c>
      <c r="L822" s="2">
        <v>0</v>
      </c>
      <c r="M822" s="2">
        <v>0</v>
      </c>
      <c r="N822" s="4">
        <f t="shared" si="375"/>
        <v>48.6</v>
      </c>
      <c r="O822" s="4">
        <f t="shared" si="376"/>
        <v>0</v>
      </c>
      <c r="P822" s="4">
        <f t="shared" si="377"/>
        <v>0</v>
      </c>
      <c r="Q822" s="4">
        <f t="shared" si="378"/>
        <v>8.2940496401020276</v>
      </c>
      <c r="R822" s="4">
        <f t="shared" si="379"/>
        <v>5.7071102647488754</v>
      </c>
      <c r="S822" s="4">
        <f t="shared" si="380"/>
        <v>48.6</v>
      </c>
      <c r="T822" s="4">
        <f t="shared" si="381"/>
        <v>0</v>
      </c>
      <c r="U822" s="4">
        <f t="shared" si="382"/>
        <v>8.2940496401020276</v>
      </c>
      <c r="V822" s="4">
        <f t="shared" si="383"/>
        <v>5.7071102647488754</v>
      </c>
      <c r="W822" s="4">
        <f t="shared" si="384"/>
        <v>48.6</v>
      </c>
      <c r="X822" s="4">
        <f t="shared" si="385"/>
        <v>0</v>
      </c>
      <c r="Y822" s="4">
        <f t="shared" si="386"/>
        <v>8.2940496401020276</v>
      </c>
      <c r="Z822" s="4">
        <f t="shared" si="387"/>
        <v>5.7071102647488754</v>
      </c>
      <c r="AA822" s="4">
        <f t="shared" si="388"/>
        <v>48.6</v>
      </c>
      <c r="AB822" s="4">
        <f t="shared" si="389"/>
        <v>0</v>
      </c>
      <c r="AC822" s="4">
        <f t="shared" si="390"/>
        <v>0</v>
      </c>
      <c r="AD822" s="4">
        <f t="shared" si="391"/>
        <v>0</v>
      </c>
      <c r="AE822" s="4">
        <f t="shared" si="392"/>
        <v>0</v>
      </c>
      <c r="AF822" s="4">
        <f t="shared" si="393"/>
        <v>0</v>
      </c>
      <c r="AG822" s="4">
        <f t="shared" si="394"/>
        <v>8.2940496401020276</v>
      </c>
      <c r="AH822" s="4">
        <f t="shared" si="395"/>
        <v>0</v>
      </c>
      <c r="AI822" s="4">
        <f t="shared" si="396"/>
        <v>0</v>
      </c>
      <c r="AJ822" s="4">
        <f t="shared" si="397"/>
        <v>8.2940496401020276</v>
      </c>
      <c r="AK822" s="4">
        <f t="shared" si="398"/>
        <v>5.7071102647488754</v>
      </c>
      <c r="AL822" s="4">
        <f t="shared" si="399"/>
        <v>0</v>
      </c>
      <c r="AM822" s="4">
        <f>CER!$C$7+CER!$C$8*J822+CER!$C$9*K822+CER!$C$10*L822+CER!$C$11*M822</f>
        <v>3.397394742132986</v>
      </c>
      <c r="AN822" s="4">
        <f t="shared" si="400"/>
        <v>29.8861374404648</v>
      </c>
      <c r="AO822" s="4">
        <f t="shared" si="401"/>
        <v>0.11023258314501616</v>
      </c>
      <c r="AP822" s="4">
        <f>Alternatives!$F$25+Alternatives!$F$26*J822+Alternatives!$F$27*K822+Alternatives!$F$28*G822+Alternatives!$F$29*O822</f>
        <v>3.3630399817373844</v>
      </c>
      <c r="AQ822" s="4">
        <f t="shared" si="402"/>
        <v>0.14458734354061775</v>
      </c>
    </row>
    <row r="823" spans="1:43" x14ac:dyDescent="0.35">
      <c r="A823" s="2" t="s">
        <v>700</v>
      </c>
      <c r="B823" s="2" t="s">
        <v>693</v>
      </c>
      <c r="C823" s="2" t="s">
        <v>67</v>
      </c>
      <c r="D823" s="2">
        <v>43.389099999999999</v>
      </c>
      <c r="E823" s="2">
        <v>3500</v>
      </c>
      <c r="F823" s="2">
        <v>203</v>
      </c>
      <c r="G823" s="2">
        <v>48.1</v>
      </c>
      <c r="H823" s="2" t="s">
        <v>68</v>
      </c>
      <c r="I823" s="4">
        <f t="shared" si="372"/>
        <v>3.7702082574886626</v>
      </c>
      <c r="J823" s="4">
        <f t="shared" si="373"/>
        <v>8.1605182474775049</v>
      </c>
      <c r="K823" s="4">
        <f t="shared" si="374"/>
        <v>5.3132059790417872</v>
      </c>
      <c r="L823" s="2">
        <v>0</v>
      </c>
      <c r="M823" s="2">
        <v>0</v>
      </c>
      <c r="N823" s="4">
        <f t="shared" si="375"/>
        <v>48.1</v>
      </c>
      <c r="O823" s="4">
        <f t="shared" si="376"/>
        <v>0</v>
      </c>
      <c r="P823" s="4">
        <f t="shared" si="377"/>
        <v>0</v>
      </c>
      <c r="Q823" s="4">
        <f t="shared" si="378"/>
        <v>8.1605182474775049</v>
      </c>
      <c r="R823" s="4">
        <f t="shared" si="379"/>
        <v>5.3132059790417872</v>
      </c>
      <c r="S823" s="4">
        <f t="shared" si="380"/>
        <v>48.1</v>
      </c>
      <c r="T823" s="4">
        <f t="shared" si="381"/>
        <v>0</v>
      </c>
      <c r="U823" s="4">
        <f t="shared" si="382"/>
        <v>8.1605182474775049</v>
      </c>
      <c r="V823" s="4">
        <f t="shared" si="383"/>
        <v>5.3132059790417872</v>
      </c>
      <c r="W823" s="4">
        <f t="shared" si="384"/>
        <v>48.1</v>
      </c>
      <c r="X823" s="4">
        <f t="shared" si="385"/>
        <v>0</v>
      </c>
      <c r="Y823" s="4">
        <f t="shared" si="386"/>
        <v>8.1605182474775049</v>
      </c>
      <c r="Z823" s="4">
        <f t="shared" si="387"/>
        <v>5.3132059790417872</v>
      </c>
      <c r="AA823" s="4">
        <f t="shared" si="388"/>
        <v>48.1</v>
      </c>
      <c r="AB823" s="4">
        <f t="shared" si="389"/>
        <v>0</v>
      </c>
      <c r="AC823" s="4">
        <f t="shared" si="390"/>
        <v>0</v>
      </c>
      <c r="AD823" s="4">
        <f t="shared" si="391"/>
        <v>0</v>
      </c>
      <c r="AE823" s="4">
        <f t="shared" si="392"/>
        <v>0</v>
      </c>
      <c r="AF823" s="4">
        <f t="shared" si="393"/>
        <v>0</v>
      </c>
      <c r="AG823" s="4">
        <f t="shared" si="394"/>
        <v>8.1605182474775049</v>
      </c>
      <c r="AH823" s="4">
        <f t="shared" si="395"/>
        <v>0</v>
      </c>
      <c r="AI823" s="4">
        <f t="shared" si="396"/>
        <v>0</v>
      </c>
      <c r="AJ823" s="4">
        <f t="shared" si="397"/>
        <v>8.1605182474775049</v>
      </c>
      <c r="AK823" s="4">
        <f t="shared" si="398"/>
        <v>5.3132059790417872</v>
      </c>
      <c r="AL823" s="4">
        <f t="shared" si="399"/>
        <v>0</v>
      </c>
      <c r="AM823" s="4">
        <f>CER!$C$7+CER!$C$8*J823+CER!$C$9*K823+CER!$C$10*L823+CER!$C$11*M823</f>
        <v>3.6031741314074321</v>
      </c>
      <c r="AN823" s="4">
        <f t="shared" si="400"/>
        <v>36.714586609926442</v>
      </c>
      <c r="AO823" s="4">
        <f t="shared" si="401"/>
        <v>0.16703412608123047</v>
      </c>
      <c r="AP823" s="4">
        <f>Alternatives!$F$25+Alternatives!$F$26*J823+Alternatives!$F$27*K823+Alternatives!$F$28*G823+Alternatives!$F$29*O823</f>
        <v>3.4249473997918005</v>
      </c>
      <c r="AQ823" s="4">
        <f t="shared" si="402"/>
        <v>0.3452608576968621</v>
      </c>
    </row>
    <row r="824" spans="1:43" x14ac:dyDescent="0.35">
      <c r="A824" s="2" t="s">
        <v>700</v>
      </c>
      <c r="B824" s="2" t="s">
        <v>693</v>
      </c>
      <c r="C824" s="2" t="s">
        <v>67</v>
      </c>
      <c r="D824" s="2">
        <v>43.743200000000002</v>
      </c>
      <c r="E824" s="2">
        <v>3500</v>
      </c>
      <c r="F824" s="2">
        <v>203</v>
      </c>
      <c r="G824" s="2">
        <v>48.1</v>
      </c>
      <c r="H824" s="2" t="s">
        <v>68</v>
      </c>
      <c r="I824" s="4">
        <f t="shared" si="372"/>
        <v>3.7783361721519229</v>
      </c>
      <c r="J824" s="4">
        <f t="shared" si="373"/>
        <v>8.1605182474775049</v>
      </c>
      <c r="K824" s="4">
        <f t="shared" si="374"/>
        <v>5.3132059790417872</v>
      </c>
      <c r="L824" s="2">
        <v>0</v>
      </c>
      <c r="M824" s="2">
        <v>0</v>
      </c>
      <c r="N824" s="4">
        <f t="shared" si="375"/>
        <v>48.1</v>
      </c>
      <c r="O824" s="4">
        <f t="shared" si="376"/>
        <v>0</v>
      </c>
      <c r="P824" s="4">
        <f t="shared" si="377"/>
        <v>0</v>
      </c>
      <c r="Q824" s="4">
        <f t="shared" si="378"/>
        <v>8.1605182474775049</v>
      </c>
      <c r="R824" s="4">
        <f t="shared" si="379"/>
        <v>5.3132059790417872</v>
      </c>
      <c r="S824" s="4">
        <f t="shared" si="380"/>
        <v>48.1</v>
      </c>
      <c r="T824" s="4">
        <f t="shared" si="381"/>
        <v>0</v>
      </c>
      <c r="U824" s="4">
        <f t="shared" si="382"/>
        <v>8.1605182474775049</v>
      </c>
      <c r="V824" s="4">
        <f t="shared" si="383"/>
        <v>5.3132059790417872</v>
      </c>
      <c r="W824" s="4">
        <f t="shared" si="384"/>
        <v>48.1</v>
      </c>
      <c r="X824" s="4">
        <f t="shared" si="385"/>
        <v>0</v>
      </c>
      <c r="Y824" s="4">
        <f t="shared" si="386"/>
        <v>8.1605182474775049</v>
      </c>
      <c r="Z824" s="4">
        <f t="shared" si="387"/>
        <v>5.3132059790417872</v>
      </c>
      <c r="AA824" s="4">
        <f t="shared" si="388"/>
        <v>48.1</v>
      </c>
      <c r="AB824" s="4">
        <f t="shared" si="389"/>
        <v>0</v>
      </c>
      <c r="AC824" s="4">
        <f t="shared" si="390"/>
        <v>0</v>
      </c>
      <c r="AD824" s="4">
        <f t="shared" si="391"/>
        <v>0</v>
      </c>
      <c r="AE824" s="4">
        <f t="shared" si="392"/>
        <v>0</v>
      </c>
      <c r="AF824" s="4">
        <f t="shared" si="393"/>
        <v>0</v>
      </c>
      <c r="AG824" s="4">
        <f t="shared" si="394"/>
        <v>8.1605182474775049</v>
      </c>
      <c r="AH824" s="4">
        <f t="shared" si="395"/>
        <v>0</v>
      </c>
      <c r="AI824" s="4">
        <f t="shared" si="396"/>
        <v>0</v>
      </c>
      <c r="AJ824" s="4">
        <f t="shared" si="397"/>
        <v>8.1605182474775049</v>
      </c>
      <c r="AK824" s="4">
        <f t="shared" si="398"/>
        <v>5.3132059790417872</v>
      </c>
      <c r="AL824" s="4">
        <f t="shared" si="399"/>
        <v>0</v>
      </c>
      <c r="AM824" s="4">
        <f>CER!$C$7+CER!$C$8*J824+CER!$C$9*K824+CER!$C$10*L824+CER!$C$11*M824</f>
        <v>3.6031741314074321</v>
      </c>
      <c r="AN824" s="4">
        <f t="shared" si="400"/>
        <v>36.714586609926442</v>
      </c>
      <c r="AO824" s="4">
        <f t="shared" si="401"/>
        <v>0.17516204074449071</v>
      </c>
      <c r="AP824" s="4">
        <f>Alternatives!$F$25+Alternatives!$F$26*J824+Alternatives!$F$27*K824+Alternatives!$F$28*G824+Alternatives!$F$29*O824</f>
        <v>3.4249473997918005</v>
      </c>
      <c r="AQ824" s="4">
        <f t="shared" si="402"/>
        <v>0.35338877236012234</v>
      </c>
    </row>
    <row r="825" spans="1:43" x14ac:dyDescent="0.35">
      <c r="A825" s="2" t="s">
        <v>701</v>
      </c>
      <c r="B825" s="2" t="s">
        <v>693</v>
      </c>
      <c r="C825" s="2" t="s">
        <v>67</v>
      </c>
      <c r="D825" s="2">
        <v>34.105800000000002</v>
      </c>
      <c r="E825" s="2">
        <v>4000</v>
      </c>
      <c r="F825" s="2">
        <v>301</v>
      </c>
      <c r="G825" s="2">
        <v>48.2</v>
      </c>
      <c r="H825" s="2" t="s">
        <v>68</v>
      </c>
      <c r="I825" s="4">
        <f t="shared" si="372"/>
        <v>3.5294674578026908</v>
      </c>
      <c r="J825" s="4">
        <f t="shared" si="373"/>
        <v>8.2940496401020276</v>
      </c>
      <c r="K825" s="4">
        <f t="shared" si="374"/>
        <v>5.7071102647488754</v>
      </c>
      <c r="L825" s="2">
        <v>0</v>
      </c>
      <c r="M825" s="2">
        <v>0</v>
      </c>
      <c r="N825" s="4">
        <f t="shared" si="375"/>
        <v>48.2</v>
      </c>
      <c r="O825" s="4">
        <f t="shared" si="376"/>
        <v>0</v>
      </c>
      <c r="P825" s="4">
        <f t="shared" si="377"/>
        <v>0</v>
      </c>
      <c r="Q825" s="4">
        <f t="shared" si="378"/>
        <v>8.2940496401020276</v>
      </c>
      <c r="R825" s="4">
        <f t="shared" si="379"/>
        <v>5.7071102647488754</v>
      </c>
      <c r="S825" s="4">
        <f t="shared" si="380"/>
        <v>48.2</v>
      </c>
      <c r="T825" s="4">
        <f t="shared" si="381"/>
        <v>0</v>
      </c>
      <c r="U825" s="4">
        <f t="shared" si="382"/>
        <v>8.2940496401020276</v>
      </c>
      <c r="V825" s="4">
        <f t="shared" si="383"/>
        <v>5.7071102647488754</v>
      </c>
      <c r="W825" s="4">
        <f t="shared" si="384"/>
        <v>48.2</v>
      </c>
      <c r="X825" s="4">
        <f t="shared" si="385"/>
        <v>0</v>
      </c>
      <c r="Y825" s="4">
        <f t="shared" si="386"/>
        <v>8.2940496401020276</v>
      </c>
      <c r="Z825" s="4">
        <f t="shared" si="387"/>
        <v>5.7071102647488754</v>
      </c>
      <c r="AA825" s="4">
        <f t="shared" si="388"/>
        <v>48.2</v>
      </c>
      <c r="AB825" s="4">
        <f t="shared" si="389"/>
        <v>0</v>
      </c>
      <c r="AC825" s="4">
        <f t="shared" si="390"/>
        <v>0</v>
      </c>
      <c r="AD825" s="4">
        <f t="shared" si="391"/>
        <v>0</v>
      </c>
      <c r="AE825" s="4">
        <f t="shared" si="392"/>
        <v>0</v>
      </c>
      <c r="AF825" s="4">
        <f t="shared" si="393"/>
        <v>0</v>
      </c>
      <c r="AG825" s="4">
        <f t="shared" si="394"/>
        <v>8.2940496401020276</v>
      </c>
      <c r="AH825" s="4">
        <f t="shared" si="395"/>
        <v>0</v>
      </c>
      <c r="AI825" s="4">
        <f t="shared" si="396"/>
        <v>0</v>
      </c>
      <c r="AJ825" s="4">
        <f t="shared" si="397"/>
        <v>8.2940496401020276</v>
      </c>
      <c r="AK825" s="4">
        <f t="shared" si="398"/>
        <v>5.7071102647488754</v>
      </c>
      <c r="AL825" s="4">
        <f t="shared" si="399"/>
        <v>0</v>
      </c>
      <c r="AM825" s="4">
        <f>CER!$C$7+CER!$C$8*J825+CER!$C$9*K825+CER!$C$10*L825+CER!$C$11*M825</f>
        <v>3.397394742132986</v>
      </c>
      <c r="AN825" s="4">
        <f t="shared" si="400"/>
        <v>29.8861374404648</v>
      </c>
      <c r="AO825" s="4">
        <f t="shared" si="401"/>
        <v>0.1320727156697048</v>
      </c>
      <c r="AP825" s="4">
        <f>Alternatives!$F$25+Alternatives!$F$26*J825+Alternatives!$F$27*K825+Alternatives!$F$28*G825+Alternatives!$F$29*O825</f>
        <v>3.3682429075542757</v>
      </c>
      <c r="AQ825" s="4">
        <f t="shared" si="402"/>
        <v>0.16122455024841509</v>
      </c>
    </row>
    <row r="826" spans="1:43" x14ac:dyDescent="0.35">
      <c r="A826" s="2" t="s">
        <v>702</v>
      </c>
      <c r="B826" s="2" t="s">
        <v>693</v>
      </c>
      <c r="C826" s="2" t="s">
        <v>67</v>
      </c>
      <c r="D826" s="2">
        <v>43.389099999999999</v>
      </c>
      <c r="E826" s="2">
        <v>3500</v>
      </c>
      <c r="F826" s="2">
        <v>203</v>
      </c>
      <c r="G826" s="2">
        <v>48.2</v>
      </c>
      <c r="H826" s="2" t="s">
        <v>68</v>
      </c>
      <c r="I826" s="4">
        <f t="shared" si="372"/>
        <v>3.7702082574886626</v>
      </c>
      <c r="J826" s="4">
        <f t="shared" si="373"/>
        <v>8.1605182474775049</v>
      </c>
      <c r="K826" s="4">
        <f t="shared" si="374"/>
        <v>5.3132059790417872</v>
      </c>
      <c r="L826" s="2">
        <v>0</v>
      </c>
      <c r="M826" s="2">
        <v>0</v>
      </c>
      <c r="N826" s="4">
        <f t="shared" si="375"/>
        <v>48.2</v>
      </c>
      <c r="O826" s="4">
        <f t="shared" si="376"/>
        <v>0</v>
      </c>
      <c r="P826" s="4">
        <f t="shared" si="377"/>
        <v>0</v>
      </c>
      <c r="Q826" s="4">
        <f t="shared" si="378"/>
        <v>8.1605182474775049</v>
      </c>
      <c r="R826" s="4">
        <f t="shared" si="379"/>
        <v>5.3132059790417872</v>
      </c>
      <c r="S826" s="4">
        <f t="shared" si="380"/>
        <v>48.2</v>
      </c>
      <c r="T826" s="4">
        <f t="shared" si="381"/>
        <v>0</v>
      </c>
      <c r="U826" s="4">
        <f t="shared" si="382"/>
        <v>8.1605182474775049</v>
      </c>
      <c r="V826" s="4">
        <f t="shared" si="383"/>
        <v>5.3132059790417872</v>
      </c>
      <c r="W826" s="4">
        <f t="shared" si="384"/>
        <v>48.2</v>
      </c>
      <c r="X826" s="4">
        <f t="shared" si="385"/>
        <v>0</v>
      </c>
      <c r="Y826" s="4">
        <f t="shared" si="386"/>
        <v>8.1605182474775049</v>
      </c>
      <c r="Z826" s="4">
        <f t="shared" si="387"/>
        <v>5.3132059790417872</v>
      </c>
      <c r="AA826" s="4">
        <f t="shared" si="388"/>
        <v>48.2</v>
      </c>
      <c r="AB826" s="4">
        <f t="shared" si="389"/>
        <v>0</v>
      </c>
      <c r="AC826" s="4">
        <f t="shared" si="390"/>
        <v>0</v>
      </c>
      <c r="AD826" s="4">
        <f t="shared" si="391"/>
        <v>0</v>
      </c>
      <c r="AE826" s="4">
        <f t="shared" si="392"/>
        <v>0</v>
      </c>
      <c r="AF826" s="4">
        <f t="shared" si="393"/>
        <v>0</v>
      </c>
      <c r="AG826" s="4">
        <f t="shared" si="394"/>
        <v>8.1605182474775049</v>
      </c>
      <c r="AH826" s="4">
        <f t="shared" si="395"/>
        <v>0</v>
      </c>
      <c r="AI826" s="4">
        <f t="shared" si="396"/>
        <v>0</v>
      </c>
      <c r="AJ826" s="4">
        <f t="shared" si="397"/>
        <v>8.1605182474775049</v>
      </c>
      <c r="AK826" s="4">
        <f t="shared" si="398"/>
        <v>5.3132059790417872</v>
      </c>
      <c r="AL826" s="4">
        <f t="shared" si="399"/>
        <v>0</v>
      </c>
      <c r="AM826" s="4">
        <f>CER!$C$7+CER!$C$8*J826+CER!$C$9*K826+CER!$C$10*L826+CER!$C$11*M826</f>
        <v>3.6031741314074321</v>
      </c>
      <c r="AN826" s="4">
        <f t="shared" si="400"/>
        <v>36.714586609926442</v>
      </c>
      <c r="AO826" s="4">
        <f t="shared" si="401"/>
        <v>0.16703412608123047</v>
      </c>
      <c r="AP826" s="4">
        <f>Alternatives!$F$25+Alternatives!$F$26*J826+Alternatives!$F$27*K826+Alternatives!$F$28*G826+Alternatives!$F$29*O826</f>
        <v>3.4236466683375779</v>
      </c>
      <c r="AQ826" s="4">
        <f t="shared" si="402"/>
        <v>0.3465615891510847</v>
      </c>
    </row>
    <row r="827" spans="1:43" x14ac:dyDescent="0.35">
      <c r="A827" s="2" t="s">
        <v>703</v>
      </c>
      <c r="B827" s="2" t="s">
        <v>693</v>
      </c>
      <c r="C827" s="2" t="s">
        <v>33</v>
      </c>
      <c r="D827" s="2">
        <v>80.472700000000003</v>
      </c>
      <c r="E827" s="2">
        <v>3500</v>
      </c>
      <c r="F827" s="2">
        <v>150</v>
      </c>
      <c r="G827" s="2">
        <v>46.4</v>
      </c>
      <c r="H827" s="2" t="s">
        <v>68</v>
      </c>
      <c r="I827" s="4">
        <f t="shared" si="372"/>
        <v>4.3879179964720052</v>
      </c>
      <c r="J827" s="4">
        <f t="shared" si="373"/>
        <v>8.1605182474775049</v>
      </c>
      <c r="K827" s="4">
        <f t="shared" si="374"/>
        <v>5.0106352940962555</v>
      </c>
      <c r="L827" s="2">
        <v>1</v>
      </c>
      <c r="M827" s="2">
        <v>0</v>
      </c>
      <c r="N827" s="4">
        <f t="shared" si="375"/>
        <v>46.4</v>
      </c>
      <c r="O827" s="4">
        <f t="shared" si="376"/>
        <v>1</v>
      </c>
      <c r="P827" s="4">
        <f t="shared" si="377"/>
        <v>1</v>
      </c>
      <c r="Q827" s="4">
        <f t="shared" si="378"/>
        <v>8.1605182474775049</v>
      </c>
      <c r="R827" s="4">
        <f t="shared" si="379"/>
        <v>5.0106352940962555</v>
      </c>
      <c r="S827" s="4">
        <f t="shared" si="380"/>
        <v>46.4</v>
      </c>
      <c r="T827" s="4">
        <f t="shared" si="381"/>
        <v>1</v>
      </c>
      <c r="U827" s="4">
        <f t="shared" si="382"/>
        <v>8.1605182474775049</v>
      </c>
      <c r="V827" s="4">
        <f t="shared" si="383"/>
        <v>5.0106352940962555</v>
      </c>
      <c r="W827" s="4">
        <f t="shared" si="384"/>
        <v>46.4</v>
      </c>
      <c r="X827" s="4">
        <f t="shared" si="385"/>
        <v>1</v>
      </c>
      <c r="Y827" s="4">
        <f t="shared" si="386"/>
        <v>8.1605182474775049</v>
      </c>
      <c r="Z827" s="4">
        <f t="shared" si="387"/>
        <v>5.0106352940962555</v>
      </c>
      <c r="AA827" s="4">
        <f t="shared" si="388"/>
        <v>46.4</v>
      </c>
      <c r="AB827" s="4">
        <f t="shared" si="389"/>
        <v>1</v>
      </c>
      <c r="AC827" s="4">
        <f t="shared" si="390"/>
        <v>0</v>
      </c>
      <c r="AD827" s="4">
        <f t="shared" si="391"/>
        <v>0</v>
      </c>
      <c r="AE827" s="4">
        <f t="shared" si="392"/>
        <v>0</v>
      </c>
      <c r="AF827" s="4">
        <f t="shared" si="393"/>
        <v>0</v>
      </c>
      <c r="AG827" s="4">
        <f t="shared" si="394"/>
        <v>8.1605182474775049</v>
      </c>
      <c r="AH827" s="4">
        <f t="shared" si="395"/>
        <v>1</v>
      </c>
      <c r="AI827" s="4">
        <f t="shared" si="396"/>
        <v>0</v>
      </c>
      <c r="AJ827" s="4">
        <f t="shared" si="397"/>
        <v>8.1605182474775049</v>
      </c>
      <c r="AK827" s="4">
        <f t="shared" si="398"/>
        <v>5.0106352940962555</v>
      </c>
      <c r="AL827" s="4">
        <f t="shared" si="399"/>
        <v>0</v>
      </c>
      <c r="AM827" s="4">
        <f>CER!$C$7+CER!$C$8*J827+CER!$C$9*K827+CER!$C$10*L827+CER!$C$11*M827</f>
        <v>3.9385592535878637</v>
      </c>
      <c r="AN827" s="4">
        <f t="shared" si="400"/>
        <v>51.344573475652936</v>
      </c>
      <c r="AO827" s="4">
        <f t="shared" si="401"/>
        <v>0.44935874288414146</v>
      </c>
      <c r="AP827" s="4">
        <f>Alternatives!$F$25+Alternatives!$F$26*J827+Alternatives!$F$27*K827+Alternatives!$F$28*G827+Alternatives!$F$29*O827</f>
        <v>4.3723168386833695</v>
      </c>
      <c r="AQ827" s="4">
        <f t="shared" si="402"/>
        <v>1.5601157788635689E-2</v>
      </c>
    </row>
    <row r="828" spans="1:43" x14ac:dyDescent="0.35">
      <c r="A828" s="2" t="s">
        <v>704</v>
      </c>
      <c r="B828" s="2" t="s">
        <v>693</v>
      </c>
      <c r="C828" s="2" t="s">
        <v>33</v>
      </c>
      <c r="D828" s="2">
        <v>76.379599999999996</v>
      </c>
      <c r="E828" s="2">
        <v>3500</v>
      </c>
      <c r="F828" s="2">
        <v>150</v>
      </c>
      <c r="G828" s="2">
        <v>46.4</v>
      </c>
      <c r="H828" s="2" t="s">
        <v>68</v>
      </c>
      <c r="I828" s="4">
        <f t="shared" si="372"/>
        <v>4.3357156448106275</v>
      </c>
      <c r="J828" s="4">
        <f t="shared" si="373"/>
        <v>8.1605182474775049</v>
      </c>
      <c r="K828" s="4">
        <f t="shared" si="374"/>
        <v>5.0106352940962555</v>
      </c>
      <c r="L828" s="2">
        <v>1</v>
      </c>
      <c r="M828" s="2">
        <v>0</v>
      </c>
      <c r="N828" s="4">
        <f t="shared" si="375"/>
        <v>46.4</v>
      </c>
      <c r="O828" s="4">
        <f t="shared" si="376"/>
        <v>1</v>
      </c>
      <c r="P828" s="4">
        <f t="shared" si="377"/>
        <v>1</v>
      </c>
      <c r="Q828" s="4">
        <f t="shared" si="378"/>
        <v>8.1605182474775049</v>
      </c>
      <c r="R828" s="4">
        <f t="shared" si="379"/>
        <v>5.0106352940962555</v>
      </c>
      <c r="S828" s="4">
        <f t="shared" si="380"/>
        <v>46.4</v>
      </c>
      <c r="T828" s="4">
        <f t="shared" si="381"/>
        <v>1</v>
      </c>
      <c r="U828" s="4">
        <f t="shared" si="382"/>
        <v>8.1605182474775049</v>
      </c>
      <c r="V828" s="4">
        <f t="shared" si="383"/>
        <v>5.0106352940962555</v>
      </c>
      <c r="W828" s="4">
        <f t="shared" si="384"/>
        <v>46.4</v>
      </c>
      <c r="X828" s="4">
        <f t="shared" si="385"/>
        <v>1</v>
      </c>
      <c r="Y828" s="4">
        <f t="shared" si="386"/>
        <v>8.1605182474775049</v>
      </c>
      <c r="Z828" s="4">
        <f t="shared" si="387"/>
        <v>5.0106352940962555</v>
      </c>
      <c r="AA828" s="4">
        <f t="shared" si="388"/>
        <v>46.4</v>
      </c>
      <c r="AB828" s="4">
        <f t="shared" si="389"/>
        <v>1</v>
      </c>
      <c r="AC828" s="4">
        <f t="shared" si="390"/>
        <v>0</v>
      </c>
      <c r="AD828" s="4">
        <f t="shared" si="391"/>
        <v>0</v>
      </c>
      <c r="AE828" s="4">
        <f t="shared" si="392"/>
        <v>0</v>
      </c>
      <c r="AF828" s="4">
        <f t="shared" si="393"/>
        <v>0</v>
      </c>
      <c r="AG828" s="4">
        <f t="shared" si="394"/>
        <v>8.1605182474775049</v>
      </c>
      <c r="AH828" s="4">
        <f t="shared" si="395"/>
        <v>1</v>
      </c>
      <c r="AI828" s="4">
        <f t="shared" si="396"/>
        <v>0</v>
      </c>
      <c r="AJ828" s="4">
        <f t="shared" si="397"/>
        <v>8.1605182474775049</v>
      </c>
      <c r="AK828" s="4">
        <f t="shared" si="398"/>
        <v>5.0106352940962555</v>
      </c>
      <c r="AL828" s="4">
        <f t="shared" si="399"/>
        <v>0</v>
      </c>
      <c r="AM828" s="4">
        <f>CER!$C$7+CER!$C$8*J828+CER!$C$9*K828+CER!$C$10*L828+CER!$C$11*M828</f>
        <v>3.9385592535878637</v>
      </c>
      <c r="AN828" s="4">
        <f t="shared" si="400"/>
        <v>51.344573475652936</v>
      </c>
      <c r="AO828" s="4">
        <f t="shared" si="401"/>
        <v>0.3971563912227638</v>
      </c>
      <c r="AP828" s="4">
        <f>Alternatives!$F$25+Alternatives!$F$26*J828+Alternatives!$F$27*K828+Alternatives!$F$28*G828+Alternatives!$F$29*O828</f>
        <v>4.3723168386833695</v>
      </c>
      <c r="AQ828" s="4">
        <f t="shared" si="402"/>
        <v>-3.6601193872741966E-2</v>
      </c>
    </row>
    <row r="829" spans="1:43" x14ac:dyDescent="0.35">
      <c r="A829" s="2" t="s">
        <v>705</v>
      </c>
      <c r="B829" s="2" t="s">
        <v>693</v>
      </c>
      <c r="C829" s="2" t="s">
        <v>33</v>
      </c>
      <c r="D829" s="2">
        <v>74.554199999999994</v>
      </c>
      <c r="E829" s="2">
        <v>3500</v>
      </c>
      <c r="F829" s="2">
        <v>150</v>
      </c>
      <c r="G829" s="2">
        <v>46.4</v>
      </c>
      <c r="H829" s="2" t="s">
        <v>68</v>
      </c>
      <c r="I829" s="4">
        <f t="shared" si="372"/>
        <v>4.3115263776519894</v>
      </c>
      <c r="J829" s="4">
        <f t="shared" si="373"/>
        <v>8.1605182474775049</v>
      </c>
      <c r="K829" s="4">
        <f t="shared" si="374"/>
        <v>5.0106352940962555</v>
      </c>
      <c r="L829" s="2">
        <v>1</v>
      </c>
      <c r="M829" s="2">
        <v>0</v>
      </c>
      <c r="N829" s="4">
        <f t="shared" si="375"/>
        <v>46.4</v>
      </c>
      <c r="O829" s="4">
        <f t="shared" si="376"/>
        <v>1</v>
      </c>
      <c r="P829" s="4">
        <f t="shared" si="377"/>
        <v>1</v>
      </c>
      <c r="Q829" s="4">
        <f t="shared" si="378"/>
        <v>8.1605182474775049</v>
      </c>
      <c r="R829" s="4">
        <f t="shared" si="379"/>
        <v>5.0106352940962555</v>
      </c>
      <c r="S829" s="4">
        <f t="shared" si="380"/>
        <v>46.4</v>
      </c>
      <c r="T829" s="4">
        <f t="shared" si="381"/>
        <v>1</v>
      </c>
      <c r="U829" s="4">
        <f t="shared" si="382"/>
        <v>8.1605182474775049</v>
      </c>
      <c r="V829" s="4">
        <f t="shared" si="383"/>
        <v>5.0106352940962555</v>
      </c>
      <c r="W829" s="4">
        <f t="shared" si="384"/>
        <v>46.4</v>
      </c>
      <c r="X829" s="4">
        <f t="shared" si="385"/>
        <v>1</v>
      </c>
      <c r="Y829" s="4">
        <f t="shared" si="386"/>
        <v>8.1605182474775049</v>
      </c>
      <c r="Z829" s="4">
        <f t="shared" si="387"/>
        <v>5.0106352940962555</v>
      </c>
      <c r="AA829" s="4">
        <f t="shared" si="388"/>
        <v>46.4</v>
      </c>
      <c r="AB829" s="4">
        <f t="shared" si="389"/>
        <v>1</v>
      </c>
      <c r="AC829" s="4">
        <f t="shared" si="390"/>
        <v>0</v>
      </c>
      <c r="AD829" s="4">
        <f t="shared" si="391"/>
        <v>0</v>
      </c>
      <c r="AE829" s="4">
        <f t="shared" si="392"/>
        <v>0</v>
      </c>
      <c r="AF829" s="4">
        <f t="shared" si="393"/>
        <v>0</v>
      </c>
      <c r="AG829" s="4">
        <f t="shared" si="394"/>
        <v>8.1605182474775049</v>
      </c>
      <c r="AH829" s="4">
        <f t="shared" si="395"/>
        <v>1</v>
      </c>
      <c r="AI829" s="4">
        <f t="shared" si="396"/>
        <v>0</v>
      </c>
      <c r="AJ829" s="4">
        <f t="shared" si="397"/>
        <v>8.1605182474775049</v>
      </c>
      <c r="AK829" s="4">
        <f t="shared" si="398"/>
        <v>5.0106352940962555</v>
      </c>
      <c r="AL829" s="4">
        <f t="shared" si="399"/>
        <v>0</v>
      </c>
      <c r="AM829" s="4">
        <f>CER!$C$7+CER!$C$8*J829+CER!$C$9*K829+CER!$C$10*L829+CER!$C$11*M829</f>
        <v>3.9385592535878637</v>
      </c>
      <c r="AN829" s="4">
        <f t="shared" si="400"/>
        <v>51.344573475652936</v>
      </c>
      <c r="AO829" s="4">
        <f t="shared" si="401"/>
        <v>0.37296712406412569</v>
      </c>
      <c r="AP829" s="4">
        <f>Alternatives!$F$25+Alternatives!$F$26*J829+Alternatives!$F$27*K829+Alternatives!$F$28*G829+Alternatives!$F$29*O829</f>
        <v>4.3723168386833695</v>
      </c>
      <c r="AQ829" s="4">
        <f t="shared" si="402"/>
        <v>-6.0790461031380083E-2</v>
      </c>
    </row>
    <row r="830" spans="1:43" x14ac:dyDescent="0.35">
      <c r="A830" s="2" t="s">
        <v>706</v>
      </c>
      <c r="B830" s="2" t="s">
        <v>693</v>
      </c>
      <c r="C830" s="2" t="s">
        <v>33</v>
      </c>
      <c r="D830" s="2">
        <v>70.224800000000002</v>
      </c>
      <c r="E830" s="2">
        <v>3500</v>
      </c>
      <c r="F830" s="2">
        <v>150</v>
      </c>
      <c r="G830" s="2">
        <v>46.4</v>
      </c>
      <c r="H830" s="2" t="s">
        <v>68</v>
      </c>
      <c r="I830" s="4">
        <f t="shared" si="372"/>
        <v>4.2517015249976442</v>
      </c>
      <c r="J830" s="4">
        <f t="shared" si="373"/>
        <v>8.1605182474775049</v>
      </c>
      <c r="K830" s="4">
        <f t="shared" si="374"/>
        <v>5.0106352940962555</v>
      </c>
      <c r="L830" s="2">
        <v>1</v>
      </c>
      <c r="M830" s="2">
        <v>0</v>
      </c>
      <c r="N830" s="4">
        <f t="shared" si="375"/>
        <v>46.4</v>
      </c>
      <c r="O830" s="4">
        <f t="shared" si="376"/>
        <v>1</v>
      </c>
      <c r="P830" s="4">
        <f t="shared" si="377"/>
        <v>1</v>
      </c>
      <c r="Q830" s="4">
        <f t="shared" si="378"/>
        <v>8.1605182474775049</v>
      </c>
      <c r="R830" s="4">
        <f t="shared" si="379"/>
        <v>5.0106352940962555</v>
      </c>
      <c r="S830" s="4">
        <f t="shared" si="380"/>
        <v>46.4</v>
      </c>
      <c r="T830" s="4">
        <f t="shared" si="381"/>
        <v>1</v>
      </c>
      <c r="U830" s="4">
        <f t="shared" si="382"/>
        <v>8.1605182474775049</v>
      </c>
      <c r="V830" s="4">
        <f t="shared" si="383"/>
        <v>5.0106352940962555</v>
      </c>
      <c r="W830" s="4">
        <f t="shared" si="384"/>
        <v>46.4</v>
      </c>
      <c r="X830" s="4">
        <f t="shared" si="385"/>
        <v>1</v>
      </c>
      <c r="Y830" s="4">
        <f t="shared" si="386"/>
        <v>8.1605182474775049</v>
      </c>
      <c r="Z830" s="4">
        <f t="shared" si="387"/>
        <v>5.0106352940962555</v>
      </c>
      <c r="AA830" s="4">
        <f t="shared" si="388"/>
        <v>46.4</v>
      </c>
      <c r="AB830" s="4">
        <f t="shared" si="389"/>
        <v>1</v>
      </c>
      <c r="AC830" s="4">
        <f t="shared" si="390"/>
        <v>0</v>
      </c>
      <c r="AD830" s="4">
        <f t="shared" si="391"/>
        <v>0</v>
      </c>
      <c r="AE830" s="4">
        <f t="shared" si="392"/>
        <v>0</v>
      </c>
      <c r="AF830" s="4">
        <f t="shared" si="393"/>
        <v>0</v>
      </c>
      <c r="AG830" s="4">
        <f t="shared" si="394"/>
        <v>8.1605182474775049</v>
      </c>
      <c r="AH830" s="4">
        <f t="shared" si="395"/>
        <v>1</v>
      </c>
      <c r="AI830" s="4">
        <f t="shared" si="396"/>
        <v>0</v>
      </c>
      <c r="AJ830" s="4">
        <f t="shared" si="397"/>
        <v>8.1605182474775049</v>
      </c>
      <c r="AK830" s="4">
        <f t="shared" si="398"/>
        <v>5.0106352940962555</v>
      </c>
      <c r="AL830" s="4">
        <f t="shared" si="399"/>
        <v>0</v>
      </c>
      <c r="AM830" s="4">
        <f>CER!$C$7+CER!$C$8*J830+CER!$C$9*K830+CER!$C$10*L830+CER!$C$11*M830</f>
        <v>3.9385592535878637</v>
      </c>
      <c r="AN830" s="4">
        <f t="shared" si="400"/>
        <v>51.344573475652936</v>
      </c>
      <c r="AO830" s="4">
        <f t="shared" si="401"/>
        <v>0.31314227140978046</v>
      </c>
      <c r="AP830" s="4">
        <f>Alternatives!$F$25+Alternatives!$F$26*J830+Alternatives!$F$27*K830+Alternatives!$F$28*G830+Alternatives!$F$29*O830</f>
        <v>4.3723168386833695</v>
      </c>
      <c r="AQ830" s="4">
        <f t="shared" si="402"/>
        <v>-0.12061531368572531</v>
      </c>
    </row>
    <row r="831" spans="1:43" x14ac:dyDescent="0.35">
      <c r="A831" s="2" t="s">
        <v>707</v>
      </c>
      <c r="B831" s="2" t="s">
        <v>693</v>
      </c>
      <c r="C831" s="2" t="s">
        <v>33</v>
      </c>
      <c r="D831" s="2">
        <v>75.367400000000004</v>
      </c>
      <c r="E831" s="2">
        <v>3500</v>
      </c>
      <c r="F831" s="2">
        <v>150</v>
      </c>
      <c r="G831" s="2">
        <v>46.4</v>
      </c>
      <c r="H831" s="2" t="s">
        <v>68</v>
      </c>
      <c r="I831" s="4">
        <f t="shared" si="372"/>
        <v>4.322374820776349</v>
      </c>
      <c r="J831" s="4">
        <f t="shared" si="373"/>
        <v>8.1605182474775049</v>
      </c>
      <c r="K831" s="4">
        <f t="shared" si="374"/>
        <v>5.0106352940962555</v>
      </c>
      <c r="L831" s="2">
        <v>1</v>
      </c>
      <c r="M831" s="2">
        <v>0</v>
      </c>
      <c r="N831" s="4">
        <f t="shared" si="375"/>
        <v>46.4</v>
      </c>
      <c r="O831" s="4">
        <f t="shared" si="376"/>
        <v>1</v>
      </c>
      <c r="P831" s="4">
        <f t="shared" si="377"/>
        <v>1</v>
      </c>
      <c r="Q831" s="4">
        <f t="shared" si="378"/>
        <v>8.1605182474775049</v>
      </c>
      <c r="R831" s="4">
        <f t="shared" si="379"/>
        <v>5.0106352940962555</v>
      </c>
      <c r="S831" s="4">
        <f t="shared" si="380"/>
        <v>46.4</v>
      </c>
      <c r="T831" s="4">
        <f t="shared" si="381"/>
        <v>1</v>
      </c>
      <c r="U831" s="4">
        <f t="shared" si="382"/>
        <v>8.1605182474775049</v>
      </c>
      <c r="V831" s="4">
        <f t="shared" si="383"/>
        <v>5.0106352940962555</v>
      </c>
      <c r="W831" s="4">
        <f t="shared" si="384"/>
        <v>46.4</v>
      </c>
      <c r="X831" s="4">
        <f t="shared" si="385"/>
        <v>1</v>
      </c>
      <c r="Y831" s="4">
        <f t="shared" si="386"/>
        <v>8.1605182474775049</v>
      </c>
      <c r="Z831" s="4">
        <f t="shared" si="387"/>
        <v>5.0106352940962555</v>
      </c>
      <c r="AA831" s="4">
        <f t="shared" si="388"/>
        <v>46.4</v>
      </c>
      <c r="AB831" s="4">
        <f t="shared" si="389"/>
        <v>1</v>
      </c>
      <c r="AC831" s="4">
        <f t="shared" si="390"/>
        <v>0</v>
      </c>
      <c r="AD831" s="4">
        <f t="shared" si="391"/>
        <v>0</v>
      </c>
      <c r="AE831" s="4">
        <f t="shared" si="392"/>
        <v>0</v>
      </c>
      <c r="AF831" s="4">
        <f t="shared" si="393"/>
        <v>0</v>
      </c>
      <c r="AG831" s="4">
        <f t="shared" si="394"/>
        <v>8.1605182474775049</v>
      </c>
      <c r="AH831" s="4">
        <f t="shared" si="395"/>
        <v>1</v>
      </c>
      <c r="AI831" s="4">
        <f t="shared" si="396"/>
        <v>0</v>
      </c>
      <c r="AJ831" s="4">
        <f t="shared" si="397"/>
        <v>8.1605182474775049</v>
      </c>
      <c r="AK831" s="4">
        <f t="shared" si="398"/>
        <v>5.0106352940962555</v>
      </c>
      <c r="AL831" s="4">
        <f t="shared" si="399"/>
        <v>0</v>
      </c>
      <c r="AM831" s="4">
        <f>CER!$C$7+CER!$C$8*J831+CER!$C$9*K831+CER!$C$10*L831+CER!$C$11*M831</f>
        <v>3.9385592535878637</v>
      </c>
      <c r="AN831" s="4">
        <f t="shared" si="400"/>
        <v>51.344573475652936</v>
      </c>
      <c r="AO831" s="4">
        <f t="shared" si="401"/>
        <v>0.38381556718848531</v>
      </c>
      <c r="AP831" s="4">
        <f>Alternatives!$F$25+Alternatives!$F$26*J831+Alternatives!$F$27*K831+Alternatives!$F$28*G831+Alternatives!$F$29*O831</f>
        <v>4.3723168386833695</v>
      </c>
      <c r="AQ831" s="4">
        <f t="shared" si="402"/>
        <v>-4.9942017907020464E-2</v>
      </c>
    </row>
    <row r="832" spans="1:43" x14ac:dyDescent="0.35">
      <c r="A832" s="2" t="s">
        <v>708</v>
      </c>
      <c r="B832" s="2" t="s">
        <v>693</v>
      </c>
      <c r="C832" s="2" t="s">
        <v>33</v>
      </c>
      <c r="D832" s="2">
        <v>68.345799999999997</v>
      </c>
      <c r="E832" s="2">
        <v>4000</v>
      </c>
      <c r="F832" s="2">
        <v>150</v>
      </c>
      <c r="G832" s="2">
        <v>46.4</v>
      </c>
      <c r="H832" s="2" t="s">
        <v>68</v>
      </c>
      <c r="I832" s="4">
        <f t="shared" si="372"/>
        <v>4.2245801128547136</v>
      </c>
      <c r="J832" s="4">
        <f t="shared" si="373"/>
        <v>8.2940496401020276</v>
      </c>
      <c r="K832" s="4">
        <f t="shared" si="374"/>
        <v>5.0106352940962555</v>
      </c>
      <c r="L832" s="2">
        <v>1</v>
      </c>
      <c r="M832" s="2">
        <v>0</v>
      </c>
      <c r="N832" s="4">
        <f t="shared" si="375"/>
        <v>46.4</v>
      </c>
      <c r="O832" s="4">
        <f t="shared" si="376"/>
        <v>1</v>
      </c>
      <c r="P832" s="4">
        <f t="shared" si="377"/>
        <v>1</v>
      </c>
      <c r="Q832" s="4">
        <f t="shared" si="378"/>
        <v>8.2940496401020276</v>
      </c>
      <c r="R832" s="4">
        <f t="shared" si="379"/>
        <v>5.0106352940962555</v>
      </c>
      <c r="S832" s="4">
        <f t="shared" si="380"/>
        <v>46.4</v>
      </c>
      <c r="T832" s="4">
        <f t="shared" si="381"/>
        <v>1</v>
      </c>
      <c r="U832" s="4">
        <f t="shared" si="382"/>
        <v>8.2940496401020276</v>
      </c>
      <c r="V832" s="4">
        <f t="shared" si="383"/>
        <v>5.0106352940962555</v>
      </c>
      <c r="W832" s="4">
        <f t="shared" si="384"/>
        <v>46.4</v>
      </c>
      <c r="X832" s="4">
        <f t="shared" si="385"/>
        <v>1</v>
      </c>
      <c r="Y832" s="4">
        <f t="shared" si="386"/>
        <v>8.2940496401020276</v>
      </c>
      <c r="Z832" s="4">
        <f t="shared" si="387"/>
        <v>5.0106352940962555</v>
      </c>
      <c r="AA832" s="4">
        <f t="shared" si="388"/>
        <v>46.4</v>
      </c>
      <c r="AB832" s="4">
        <f t="shared" si="389"/>
        <v>1</v>
      </c>
      <c r="AC832" s="4">
        <f t="shared" si="390"/>
        <v>0</v>
      </c>
      <c r="AD832" s="4">
        <f t="shared" si="391"/>
        <v>0</v>
      </c>
      <c r="AE832" s="4">
        <f t="shared" si="392"/>
        <v>0</v>
      </c>
      <c r="AF832" s="4">
        <f t="shared" si="393"/>
        <v>0</v>
      </c>
      <c r="AG832" s="4">
        <f t="shared" si="394"/>
        <v>8.2940496401020276</v>
      </c>
      <c r="AH832" s="4">
        <f t="shared" si="395"/>
        <v>1</v>
      </c>
      <c r="AI832" s="4">
        <f t="shared" si="396"/>
        <v>0</v>
      </c>
      <c r="AJ832" s="4">
        <f t="shared" si="397"/>
        <v>8.2940496401020276</v>
      </c>
      <c r="AK832" s="4">
        <f t="shared" si="398"/>
        <v>5.0106352940962555</v>
      </c>
      <c r="AL832" s="4">
        <f t="shared" si="399"/>
        <v>0</v>
      </c>
      <c r="AM832" s="4">
        <f>CER!$C$7+CER!$C$8*J832+CER!$C$9*K832+CER!$C$10*L832+CER!$C$11*M832</f>
        <v>3.8781083743904738</v>
      </c>
      <c r="AN832" s="4">
        <f t="shared" si="400"/>
        <v>48.332701168304609</v>
      </c>
      <c r="AO832" s="4">
        <f t="shared" si="401"/>
        <v>0.34647173846423973</v>
      </c>
      <c r="AP832" s="4">
        <f>Alternatives!$F$25+Alternatives!$F$26*J832+Alternatives!$F$27*K832+Alternatives!$F$28*G832+Alternatives!$F$29*O832</f>
        <v>4.4217349347290913</v>
      </c>
      <c r="AQ832" s="4">
        <f t="shared" si="402"/>
        <v>-0.19715482187437772</v>
      </c>
    </row>
    <row r="833" spans="1:43" x14ac:dyDescent="0.35">
      <c r="A833" s="2" t="s">
        <v>709</v>
      </c>
      <c r="B833" s="2" t="s">
        <v>693</v>
      </c>
      <c r="C833" s="2" t="s">
        <v>33</v>
      </c>
      <c r="D833" s="2">
        <v>74.815100000000001</v>
      </c>
      <c r="E833" s="2">
        <v>3500</v>
      </c>
      <c r="F833" s="2">
        <v>97</v>
      </c>
      <c r="G833" s="2">
        <v>44.6</v>
      </c>
      <c r="H833" s="2" t="s">
        <v>68</v>
      </c>
      <c r="I833" s="4">
        <f t="shared" si="372"/>
        <v>4.3150197362648441</v>
      </c>
      <c r="J833" s="4">
        <f t="shared" si="373"/>
        <v>8.1605182474775049</v>
      </c>
      <c r="K833" s="4">
        <f t="shared" si="374"/>
        <v>4.5747109785033828</v>
      </c>
      <c r="L833" s="2">
        <v>1</v>
      </c>
      <c r="M833" s="2">
        <v>0</v>
      </c>
      <c r="N833" s="4">
        <f t="shared" si="375"/>
        <v>44.6</v>
      </c>
      <c r="O833" s="4">
        <f t="shared" si="376"/>
        <v>1</v>
      </c>
      <c r="P833" s="4">
        <f t="shared" si="377"/>
        <v>1</v>
      </c>
      <c r="Q833" s="4">
        <f t="shared" si="378"/>
        <v>8.1605182474775049</v>
      </c>
      <c r="R833" s="4">
        <f t="shared" si="379"/>
        <v>4.5747109785033828</v>
      </c>
      <c r="S833" s="4">
        <f t="shared" si="380"/>
        <v>44.6</v>
      </c>
      <c r="T833" s="4">
        <f t="shared" si="381"/>
        <v>1</v>
      </c>
      <c r="U833" s="4">
        <f t="shared" si="382"/>
        <v>8.1605182474775049</v>
      </c>
      <c r="V833" s="4">
        <f t="shared" si="383"/>
        <v>4.5747109785033828</v>
      </c>
      <c r="W833" s="4">
        <f t="shared" si="384"/>
        <v>44.6</v>
      </c>
      <c r="X833" s="4">
        <f t="shared" si="385"/>
        <v>1</v>
      </c>
      <c r="Y833" s="4">
        <f t="shared" si="386"/>
        <v>8.1605182474775049</v>
      </c>
      <c r="Z833" s="4">
        <f t="shared" si="387"/>
        <v>4.5747109785033828</v>
      </c>
      <c r="AA833" s="4">
        <f t="shared" si="388"/>
        <v>44.6</v>
      </c>
      <c r="AB833" s="4">
        <f t="shared" si="389"/>
        <v>1</v>
      </c>
      <c r="AC833" s="4">
        <f t="shared" si="390"/>
        <v>0</v>
      </c>
      <c r="AD833" s="4">
        <f t="shared" si="391"/>
        <v>0</v>
      </c>
      <c r="AE833" s="4">
        <f t="shared" si="392"/>
        <v>0</v>
      </c>
      <c r="AF833" s="4">
        <f t="shared" si="393"/>
        <v>0</v>
      </c>
      <c r="AG833" s="4">
        <f t="shared" si="394"/>
        <v>8.1605182474775049</v>
      </c>
      <c r="AH833" s="4">
        <f t="shared" si="395"/>
        <v>1</v>
      </c>
      <c r="AI833" s="4">
        <f t="shared" si="396"/>
        <v>0</v>
      </c>
      <c r="AJ833" s="4">
        <f t="shared" si="397"/>
        <v>8.1605182474775049</v>
      </c>
      <c r="AK833" s="4">
        <f t="shared" si="398"/>
        <v>4.5747109785033828</v>
      </c>
      <c r="AL833" s="4">
        <f t="shared" si="399"/>
        <v>0</v>
      </c>
      <c r="AM833" s="4">
        <f>CER!$C$7+CER!$C$8*J833+CER!$C$9*K833+CER!$C$10*L833+CER!$C$11*M833</f>
        <v>4.0993907895478001</v>
      </c>
      <c r="AN833" s="4">
        <f t="shared" si="400"/>
        <v>60.303538858463398</v>
      </c>
      <c r="AO833" s="4">
        <f t="shared" si="401"/>
        <v>0.21562894671704402</v>
      </c>
      <c r="AP833" s="4">
        <f>Alternatives!$F$25+Alternatives!$F$26*J833+Alternatives!$F$27*K833+Alternatives!$F$28*G833+Alternatives!$F$29*O833</f>
        <v>4.5117338104928759</v>
      </c>
      <c r="AQ833" s="4">
        <f t="shared" si="402"/>
        <v>-0.19671407422803178</v>
      </c>
    </row>
    <row r="834" spans="1:43" x14ac:dyDescent="0.35">
      <c r="A834" s="2" t="s">
        <v>709</v>
      </c>
      <c r="B834" s="2" t="s">
        <v>693</v>
      </c>
      <c r="C834" s="2" t="s">
        <v>33</v>
      </c>
      <c r="D834" s="2">
        <v>67.669499999999999</v>
      </c>
      <c r="E834" s="2">
        <v>3500</v>
      </c>
      <c r="F834" s="2">
        <v>97</v>
      </c>
      <c r="G834" s="2">
        <v>44.6</v>
      </c>
      <c r="H834" s="2" t="s">
        <v>68</v>
      </c>
      <c r="I834" s="4">
        <f t="shared" ref="I834:I897" si="403">LN(D834)</f>
        <v>4.2146355614182553</v>
      </c>
      <c r="J834" s="4">
        <f t="shared" ref="J834:J897" si="404">LN(E834)</f>
        <v>8.1605182474775049</v>
      </c>
      <c r="K834" s="4">
        <f t="shared" ref="K834:K897" si="405">LN(F834)</f>
        <v>4.5747109785033828</v>
      </c>
      <c r="L834" s="2">
        <v>1</v>
      </c>
      <c r="M834" s="2">
        <v>0</v>
      </c>
      <c r="N834" s="4">
        <f t="shared" ref="N834:N897" si="406">G834</f>
        <v>44.6</v>
      </c>
      <c r="O834" s="4">
        <f t="shared" ref="O834:O897" si="407">L834+M834</f>
        <v>1</v>
      </c>
      <c r="P834" s="4">
        <f t="shared" ref="P834:P897" si="408">L834+2*M834</f>
        <v>1</v>
      </c>
      <c r="Q834" s="4">
        <f t="shared" ref="Q834:Q897" si="409">J834</f>
        <v>8.1605182474775049</v>
      </c>
      <c r="R834" s="4">
        <f t="shared" ref="R834:R897" si="410">K834</f>
        <v>4.5747109785033828</v>
      </c>
      <c r="S834" s="4">
        <f t="shared" ref="S834:S897" si="411">G834</f>
        <v>44.6</v>
      </c>
      <c r="T834" s="4">
        <f t="shared" ref="T834:T897" si="412">O834</f>
        <v>1</v>
      </c>
      <c r="U834" s="4">
        <f t="shared" ref="U834:U897" si="413">J834</f>
        <v>8.1605182474775049</v>
      </c>
      <c r="V834" s="4">
        <f t="shared" ref="V834:V897" si="414">K834</f>
        <v>4.5747109785033828</v>
      </c>
      <c r="W834" s="4">
        <f t="shared" ref="W834:W897" si="415">G834</f>
        <v>44.6</v>
      </c>
      <c r="X834" s="4">
        <f t="shared" ref="X834:X897" si="416">P834</f>
        <v>1</v>
      </c>
      <c r="Y834" s="4">
        <f t="shared" ref="Y834:Y897" si="417">J834</f>
        <v>8.1605182474775049</v>
      </c>
      <c r="Z834" s="4">
        <f t="shared" ref="Z834:Z897" si="418">K834</f>
        <v>4.5747109785033828</v>
      </c>
      <c r="AA834" s="4">
        <f t="shared" ref="AA834:AA897" si="419">G834</f>
        <v>44.6</v>
      </c>
      <c r="AB834" s="4">
        <f t="shared" ref="AB834:AB897" si="420">L834</f>
        <v>1</v>
      </c>
      <c r="AC834" s="4">
        <f t="shared" ref="AC834:AC897" si="421">M834</f>
        <v>0</v>
      </c>
      <c r="AD834" s="4">
        <f t="shared" ref="AD834:AD897" si="422">M834*J834</f>
        <v>0</v>
      </c>
      <c r="AE834" s="4">
        <f t="shared" ref="AE834:AE897" si="423">M834*K834</f>
        <v>0</v>
      </c>
      <c r="AF834" s="4">
        <f t="shared" ref="AF834:AF897" si="424">M834*G834</f>
        <v>0</v>
      </c>
      <c r="AG834" s="4">
        <f t="shared" ref="AG834:AG897" si="425">J834</f>
        <v>8.1605182474775049</v>
      </c>
      <c r="AH834" s="4">
        <f t="shared" ref="AH834:AH897" si="426">L834</f>
        <v>1</v>
      </c>
      <c r="AI834" s="4">
        <f t="shared" ref="AI834:AI897" si="427">M834</f>
        <v>0</v>
      </c>
      <c r="AJ834" s="4">
        <f t="shared" ref="AJ834:AJ897" si="428">J834</f>
        <v>8.1605182474775049</v>
      </c>
      <c r="AK834" s="4">
        <f t="shared" ref="AK834:AK897" si="429">K834</f>
        <v>4.5747109785033828</v>
      </c>
      <c r="AL834" s="4">
        <f t="shared" ref="AL834:AL897" si="430">M834</f>
        <v>0</v>
      </c>
      <c r="AM834" s="4">
        <f>CER!$C$7+CER!$C$8*J834+CER!$C$9*K834+CER!$C$10*L834+CER!$C$11*M834</f>
        <v>4.0993907895478001</v>
      </c>
      <c r="AN834" s="4">
        <f t="shared" ref="AN834:AN897" si="431">EXP(AM834)</f>
        <v>60.303538858463398</v>
      </c>
      <c r="AO834" s="4">
        <f t="shared" ref="AO834:AO897" si="432">I834-AM834</f>
        <v>0.11524477187045523</v>
      </c>
      <c r="AP834" s="4">
        <f>Alternatives!$F$25+Alternatives!$F$26*J834+Alternatives!$F$27*K834+Alternatives!$F$28*G834+Alternatives!$F$29*O834</f>
        <v>4.5117338104928759</v>
      </c>
      <c r="AQ834" s="4">
        <f t="shared" ref="AQ834:AQ897" si="433">I834-AP834</f>
        <v>-0.29709824907462057</v>
      </c>
    </row>
    <row r="835" spans="1:43" x14ac:dyDescent="0.35">
      <c r="A835" s="2" t="s">
        <v>710</v>
      </c>
      <c r="B835" s="2" t="s">
        <v>693</v>
      </c>
      <c r="C835" s="2" t="s">
        <v>33</v>
      </c>
      <c r="D835" s="2">
        <v>70.117500000000007</v>
      </c>
      <c r="E835" s="2">
        <v>3500</v>
      </c>
      <c r="F835" s="2">
        <v>97</v>
      </c>
      <c r="G835" s="2">
        <v>44.6</v>
      </c>
      <c r="H835" s="2" t="s">
        <v>68</v>
      </c>
      <c r="I835" s="4">
        <f t="shared" si="403"/>
        <v>4.2501724062514432</v>
      </c>
      <c r="J835" s="4">
        <f t="shared" si="404"/>
        <v>8.1605182474775049</v>
      </c>
      <c r="K835" s="4">
        <f t="shared" si="405"/>
        <v>4.5747109785033828</v>
      </c>
      <c r="L835" s="2">
        <v>1</v>
      </c>
      <c r="M835" s="2">
        <v>0</v>
      </c>
      <c r="N835" s="4">
        <f t="shared" si="406"/>
        <v>44.6</v>
      </c>
      <c r="O835" s="4">
        <f t="shared" si="407"/>
        <v>1</v>
      </c>
      <c r="P835" s="4">
        <f t="shared" si="408"/>
        <v>1</v>
      </c>
      <c r="Q835" s="4">
        <f t="shared" si="409"/>
        <v>8.1605182474775049</v>
      </c>
      <c r="R835" s="4">
        <f t="shared" si="410"/>
        <v>4.5747109785033828</v>
      </c>
      <c r="S835" s="4">
        <f t="shared" si="411"/>
        <v>44.6</v>
      </c>
      <c r="T835" s="4">
        <f t="shared" si="412"/>
        <v>1</v>
      </c>
      <c r="U835" s="4">
        <f t="shared" si="413"/>
        <v>8.1605182474775049</v>
      </c>
      <c r="V835" s="4">
        <f t="shared" si="414"/>
        <v>4.5747109785033828</v>
      </c>
      <c r="W835" s="4">
        <f t="shared" si="415"/>
        <v>44.6</v>
      </c>
      <c r="X835" s="4">
        <f t="shared" si="416"/>
        <v>1</v>
      </c>
      <c r="Y835" s="4">
        <f t="shared" si="417"/>
        <v>8.1605182474775049</v>
      </c>
      <c r="Z835" s="4">
        <f t="shared" si="418"/>
        <v>4.5747109785033828</v>
      </c>
      <c r="AA835" s="4">
        <f t="shared" si="419"/>
        <v>44.6</v>
      </c>
      <c r="AB835" s="4">
        <f t="shared" si="420"/>
        <v>1</v>
      </c>
      <c r="AC835" s="4">
        <f t="shared" si="421"/>
        <v>0</v>
      </c>
      <c r="AD835" s="4">
        <f t="shared" si="422"/>
        <v>0</v>
      </c>
      <c r="AE835" s="4">
        <f t="shared" si="423"/>
        <v>0</v>
      </c>
      <c r="AF835" s="4">
        <f t="shared" si="424"/>
        <v>0</v>
      </c>
      <c r="AG835" s="4">
        <f t="shared" si="425"/>
        <v>8.1605182474775049</v>
      </c>
      <c r="AH835" s="4">
        <f t="shared" si="426"/>
        <v>1</v>
      </c>
      <c r="AI835" s="4">
        <f t="shared" si="427"/>
        <v>0</v>
      </c>
      <c r="AJ835" s="4">
        <f t="shared" si="428"/>
        <v>8.1605182474775049</v>
      </c>
      <c r="AK835" s="4">
        <f t="shared" si="429"/>
        <v>4.5747109785033828</v>
      </c>
      <c r="AL835" s="4">
        <f t="shared" si="430"/>
        <v>0</v>
      </c>
      <c r="AM835" s="4">
        <f>CER!$C$7+CER!$C$8*J835+CER!$C$9*K835+CER!$C$10*L835+CER!$C$11*M835</f>
        <v>4.0993907895478001</v>
      </c>
      <c r="AN835" s="4">
        <f t="shared" si="431"/>
        <v>60.303538858463398</v>
      </c>
      <c r="AO835" s="4">
        <f t="shared" si="432"/>
        <v>0.1507816167036431</v>
      </c>
      <c r="AP835" s="4">
        <f>Alternatives!$F$25+Alternatives!$F$26*J835+Alternatives!$F$27*K835+Alternatives!$F$28*G835+Alternatives!$F$29*O835</f>
        <v>4.5117338104928759</v>
      </c>
      <c r="AQ835" s="4">
        <f t="shared" si="433"/>
        <v>-0.2615614042414327</v>
      </c>
    </row>
    <row r="836" spans="1:43" x14ac:dyDescent="0.35">
      <c r="A836" s="2" t="s">
        <v>710</v>
      </c>
      <c r="B836" s="2" t="s">
        <v>693</v>
      </c>
      <c r="C836" s="2" t="s">
        <v>33</v>
      </c>
      <c r="D836" s="2">
        <v>63.395499999999998</v>
      </c>
      <c r="E836" s="2">
        <v>3500</v>
      </c>
      <c r="F836" s="2">
        <v>97</v>
      </c>
      <c r="G836" s="2">
        <v>44.6</v>
      </c>
      <c r="H836" s="2" t="s">
        <v>68</v>
      </c>
      <c r="I836" s="4">
        <f t="shared" si="403"/>
        <v>4.1493928810061478</v>
      </c>
      <c r="J836" s="4">
        <f t="shared" si="404"/>
        <v>8.1605182474775049</v>
      </c>
      <c r="K836" s="4">
        <f t="shared" si="405"/>
        <v>4.5747109785033828</v>
      </c>
      <c r="L836" s="2">
        <v>1</v>
      </c>
      <c r="M836" s="2">
        <v>0</v>
      </c>
      <c r="N836" s="4">
        <f t="shared" si="406"/>
        <v>44.6</v>
      </c>
      <c r="O836" s="4">
        <f t="shared" si="407"/>
        <v>1</v>
      </c>
      <c r="P836" s="4">
        <f t="shared" si="408"/>
        <v>1</v>
      </c>
      <c r="Q836" s="4">
        <f t="shared" si="409"/>
        <v>8.1605182474775049</v>
      </c>
      <c r="R836" s="4">
        <f t="shared" si="410"/>
        <v>4.5747109785033828</v>
      </c>
      <c r="S836" s="4">
        <f t="shared" si="411"/>
        <v>44.6</v>
      </c>
      <c r="T836" s="4">
        <f t="shared" si="412"/>
        <v>1</v>
      </c>
      <c r="U836" s="4">
        <f t="shared" si="413"/>
        <v>8.1605182474775049</v>
      </c>
      <c r="V836" s="4">
        <f t="shared" si="414"/>
        <v>4.5747109785033828</v>
      </c>
      <c r="W836" s="4">
        <f t="shared" si="415"/>
        <v>44.6</v>
      </c>
      <c r="X836" s="4">
        <f t="shared" si="416"/>
        <v>1</v>
      </c>
      <c r="Y836" s="4">
        <f t="shared" si="417"/>
        <v>8.1605182474775049</v>
      </c>
      <c r="Z836" s="4">
        <f t="shared" si="418"/>
        <v>4.5747109785033828</v>
      </c>
      <c r="AA836" s="4">
        <f t="shared" si="419"/>
        <v>44.6</v>
      </c>
      <c r="AB836" s="4">
        <f t="shared" si="420"/>
        <v>1</v>
      </c>
      <c r="AC836" s="4">
        <f t="shared" si="421"/>
        <v>0</v>
      </c>
      <c r="AD836" s="4">
        <f t="shared" si="422"/>
        <v>0</v>
      </c>
      <c r="AE836" s="4">
        <f t="shared" si="423"/>
        <v>0</v>
      </c>
      <c r="AF836" s="4">
        <f t="shared" si="424"/>
        <v>0</v>
      </c>
      <c r="AG836" s="4">
        <f t="shared" si="425"/>
        <v>8.1605182474775049</v>
      </c>
      <c r="AH836" s="4">
        <f t="shared" si="426"/>
        <v>1</v>
      </c>
      <c r="AI836" s="4">
        <f t="shared" si="427"/>
        <v>0</v>
      </c>
      <c r="AJ836" s="4">
        <f t="shared" si="428"/>
        <v>8.1605182474775049</v>
      </c>
      <c r="AK836" s="4">
        <f t="shared" si="429"/>
        <v>4.5747109785033828</v>
      </c>
      <c r="AL836" s="4">
        <f t="shared" si="430"/>
        <v>0</v>
      </c>
      <c r="AM836" s="4">
        <f>CER!$C$7+CER!$C$8*J836+CER!$C$9*K836+CER!$C$10*L836+CER!$C$11*M836</f>
        <v>4.0993907895478001</v>
      </c>
      <c r="AN836" s="4">
        <f t="shared" si="431"/>
        <v>60.303538858463398</v>
      </c>
      <c r="AO836" s="4">
        <f t="shared" si="432"/>
        <v>5.0002091458347664E-2</v>
      </c>
      <c r="AP836" s="4">
        <f>Alternatives!$F$25+Alternatives!$F$26*J836+Alternatives!$F$27*K836+Alternatives!$F$28*G836+Alternatives!$F$29*O836</f>
        <v>4.5117338104928759</v>
      </c>
      <c r="AQ836" s="4">
        <f t="shared" si="433"/>
        <v>-0.36234092948672814</v>
      </c>
    </row>
    <row r="837" spans="1:43" x14ac:dyDescent="0.35">
      <c r="A837" s="2" t="s">
        <v>711</v>
      </c>
      <c r="B837" s="2" t="s">
        <v>693</v>
      </c>
      <c r="C837" s="2" t="s">
        <v>67</v>
      </c>
      <c r="D837" s="2">
        <v>46.055999999999997</v>
      </c>
      <c r="E837" s="2">
        <v>3500</v>
      </c>
      <c r="F837" s="2">
        <v>169</v>
      </c>
      <c r="G837" s="2">
        <v>44.4</v>
      </c>
      <c r="H837" s="2" t="s">
        <v>68</v>
      </c>
      <c r="I837" s="4">
        <f t="shared" si="403"/>
        <v>3.8298580473735084</v>
      </c>
      <c r="J837" s="4">
        <f t="shared" si="404"/>
        <v>8.1605182474775049</v>
      </c>
      <c r="K837" s="4">
        <f t="shared" si="405"/>
        <v>5.1298987149230735</v>
      </c>
      <c r="L837" s="2">
        <v>0</v>
      </c>
      <c r="M837" s="2">
        <v>0</v>
      </c>
      <c r="N837" s="4">
        <f t="shared" si="406"/>
        <v>44.4</v>
      </c>
      <c r="O837" s="4">
        <f t="shared" si="407"/>
        <v>0</v>
      </c>
      <c r="P837" s="4">
        <f t="shared" si="408"/>
        <v>0</v>
      </c>
      <c r="Q837" s="4">
        <f t="shared" si="409"/>
        <v>8.1605182474775049</v>
      </c>
      <c r="R837" s="4">
        <f t="shared" si="410"/>
        <v>5.1298987149230735</v>
      </c>
      <c r="S837" s="4">
        <f t="shared" si="411"/>
        <v>44.4</v>
      </c>
      <c r="T837" s="4">
        <f t="shared" si="412"/>
        <v>0</v>
      </c>
      <c r="U837" s="4">
        <f t="shared" si="413"/>
        <v>8.1605182474775049</v>
      </c>
      <c r="V837" s="4">
        <f t="shared" si="414"/>
        <v>5.1298987149230735</v>
      </c>
      <c r="W837" s="4">
        <f t="shared" si="415"/>
        <v>44.4</v>
      </c>
      <c r="X837" s="4">
        <f t="shared" si="416"/>
        <v>0</v>
      </c>
      <c r="Y837" s="4">
        <f t="shared" si="417"/>
        <v>8.1605182474775049</v>
      </c>
      <c r="Z837" s="4">
        <f t="shared" si="418"/>
        <v>5.1298987149230735</v>
      </c>
      <c r="AA837" s="4">
        <f t="shared" si="419"/>
        <v>44.4</v>
      </c>
      <c r="AB837" s="4">
        <f t="shared" si="420"/>
        <v>0</v>
      </c>
      <c r="AC837" s="4">
        <f t="shared" si="421"/>
        <v>0</v>
      </c>
      <c r="AD837" s="4">
        <f t="shared" si="422"/>
        <v>0</v>
      </c>
      <c r="AE837" s="4">
        <f t="shared" si="423"/>
        <v>0</v>
      </c>
      <c r="AF837" s="4">
        <f t="shared" si="424"/>
        <v>0</v>
      </c>
      <c r="AG837" s="4">
        <f t="shared" si="425"/>
        <v>8.1605182474775049</v>
      </c>
      <c r="AH837" s="4">
        <f t="shared" si="426"/>
        <v>0</v>
      </c>
      <c r="AI837" s="4">
        <f t="shared" si="427"/>
        <v>0</v>
      </c>
      <c r="AJ837" s="4">
        <f t="shared" si="428"/>
        <v>8.1605182474775049</v>
      </c>
      <c r="AK837" s="4">
        <f t="shared" si="429"/>
        <v>5.1298987149230735</v>
      </c>
      <c r="AL837" s="4">
        <f t="shared" si="430"/>
        <v>0</v>
      </c>
      <c r="AM837" s="4">
        <f>CER!$C$7+CER!$C$8*J837+CER!$C$9*K837+CER!$C$10*L837+CER!$C$11*M837</f>
        <v>3.6708041942102616</v>
      </c>
      <c r="AN837" s="4">
        <f t="shared" si="431"/>
        <v>39.283484711801947</v>
      </c>
      <c r="AO837" s="4">
        <f t="shared" si="432"/>
        <v>0.15905385316324683</v>
      </c>
      <c r="AP837" s="4">
        <f>Alternatives!$F$25+Alternatives!$F$26*J837+Alternatives!$F$27*K837+Alternatives!$F$28*G837+Alternatives!$F$29*O837</f>
        <v>3.5218543537702991</v>
      </c>
      <c r="AQ837" s="4">
        <f t="shared" si="433"/>
        <v>0.30800369360320934</v>
      </c>
    </row>
    <row r="838" spans="1:43" x14ac:dyDescent="0.35">
      <c r="A838" s="2" t="s">
        <v>712</v>
      </c>
      <c r="B838" s="2" t="s">
        <v>693</v>
      </c>
      <c r="C838" s="2" t="s">
        <v>67</v>
      </c>
      <c r="D838" s="2">
        <v>43.955800000000004</v>
      </c>
      <c r="E838" s="2">
        <v>3500</v>
      </c>
      <c r="F838" s="2">
        <v>169</v>
      </c>
      <c r="G838" s="2">
        <v>44.2</v>
      </c>
      <c r="H838" s="2" t="s">
        <v>68</v>
      </c>
      <c r="I838" s="4">
        <f t="shared" si="403"/>
        <v>3.7831845835697764</v>
      </c>
      <c r="J838" s="4">
        <f t="shared" si="404"/>
        <v>8.1605182474775049</v>
      </c>
      <c r="K838" s="4">
        <f t="shared" si="405"/>
        <v>5.1298987149230735</v>
      </c>
      <c r="L838" s="2">
        <v>0</v>
      </c>
      <c r="M838" s="2">
        <v>0</v>
      </c>
      <c r="N838" s="4">
        <f t="shared" si="406"/>
        <v>44.2</v>
      </c>
      <c r="O838" s="4">
        <f t="shared" si="407"/>
        <v>0</v>
      </c>
      <c r="P838" s="4">
        <f t="shared" si="408"/>
        <v>0</v>
      </c>
      <c r="Q838" s="4">
        <f t="shared" si="409"/>
        <v>8.1605182474775049</v>
      </c>
      <c r="R838" s="4">
        <f t="shared" si="410"/>
        <v>5.1298987149230735</v>
      </c>
      <c r="S838" s="4">
        <f t="shared" si="411"/>
        <v>44.2</v>
      </c>
      <c r="T838" s="4">
        <f t="shared" si="412"/>
        <v>0</v>
      </c>
      <c r="U838" s="4">
        <f t="shared" si="413"/>
        <v>8.1605182474775049</v>
      </c>
      <c r="V838" s="4">
        <f t="shared" si="414"/>
        <v>5.1298987149230735</v>
      </c>
      <c r="W838" s="4">
        <f t="shared" si="415"/>
        <v>44.2</v>
      </c>
      <c r="X838" s="4">
        <f t="shared" si="416"/>
        <v>0</v>
      </c>
      <c r="Y838" s="4">
        <f t="shared" si="417"/>
        <v>8.1605182474775049</v>
      </c>
      <c r="Z838" s="4">
        <f t="shared" si="418"/>
        <v>5.1298987149230735</v>
      </c>
      <c r="AA838" s="4">
        <f t="shared" si="419"/>
        <v>44.2</v>
      </c>
      <c r="AB838" s="4">
        <f t="shared" si="420"/>
        <v>0</v>
      </c>
      <c r="AC838" s="4">
        <f t="shared" si="421"/>
        <v>0</v>
      </c>
      <c r="AD838" s="4">
        <f t="shared" si="422"/>
        <v>0</v>
      </c>
      <c r="AE838" s="4">
        <f t="shared" si="423"/>
        <v>0</v>
      </c>
      <c r="AF838" s="4">
        <f t="shared" si="424"/>
        <v>0</v>
      </c>
      <c r="AG838" s="4">
        <f t="shared" si="425"/>
        <v>8.1605182474775049</v>
      </c>
      <c r="AH838" s="4">
        <f t="shared" si="426"/>
        <v>0</v>
      </c>
      <c r="AI838" s="4">
        <f t="shared" si="427"/>
        <v>0</v>
      </c>
      <c r="AJ838" s="4">
        <f t="shared" si="428"/>
        <v>8.1605182474775049</v>
      </c>
      <c r="AK838" s="4">
        <f t="shared" si="429"/>
        <v>5.1298987149230735</v>
      </c>
      <c r="AL838" s="4">
        <f t="shared" si="430"/>
        <v>0</v>
      </c>
      <c r="AM838" s="4">
        <f>CER!$C$7+CER!$C$8*J838+CER!$C$9*K838+CER!$C$10*L838+CER!$C$11*M838</f>
        <v>3.6708041942102616</v>
      </c>
      <c r="AN838" s="4">
        <f t="shared" si="431"/>
        <v>39.283484711801947</v>
      </c>
      <c r="AO838" s="4">
        <f t="shared" si="432"/>
        <v>0.11238038935951478</v>
      </c>
      <c r="AP838" s="4">
        <f>Alternatives!$F$25+Alternatives!$F$26*J838+Alternatives!$F$27*K838+Alternatives!$F$28*G838+Alternatives!$F$29*O838</f>
        <v>3.5244558166787447</v>
      </c>
      <c r="AQ838" s="4">
        <f t="shared" si="433"/>
        <v>0.25872876689103164</v>
      </c>
    </row>
    <row r="839" spans="1:43" x14ac:dyDescent="0.35">
      <c r="A839" s="2" t="s">
        <v>713</v>
      </c>
      <c r="B839" s="2" t="s">
        <v>693</v>
      </c>
      <c r="C839" s="2" t="s">
        <v>33</v>
      </c>
      <c r="D839" s="2">
        <v>62.0916</v>
      </c>
      <c r="E839" s="2">
        <v>3500</v>
      </c>
      <c r="F839" s="2">
        <v>150</v>
      </c>
      <c r="G839" s="2">
        <v>44.2</v>
      </c>
      <c r="H839" s="2" t="s">
        <v>68</v>
      </c>
      <c r="I839" s="4">
        <f t="shared" si="403"/>
        <v>4.1286107140897199</v>
      </c>
      <c r="J839" s="4">
        <f t="shared" si="404"/>
        <v>8.1605182474775049</v>
      </c>
      <c r="K839" s="4">
        <f t="shared" si="405"/>
        <v>5.0106352940962555</v>
      </c>
      <c r="L839" s="2">
        <v>1</v>
      </c>
      <c r="M839" s="2">
        <v>0</v>
      </c>
      <c r="N839" s="4">
        <f t="shared" si="406"/>
        <v>44.2</v>
      </c>
      <c r="O839" s="4">
        <f t="shared" si="407"/>
        <v>1</v>
      </c>
      <c r="P839" s="4">
        <f t="shared" si="408"/>
        <v>1</v>
      </c>
      <c r="Q839" s="4">
        <f t="shared" si="409"/>
        <v>8.1605182474775049</v>
      </c>
      <c r="R839" s="4">
        <f t="shared" si="410"/>
        <v>5.0106352940962555</v>
      </c>
      <c r="S839" s="4">
        <f t="shared" si="411"/>
        <v>44.2</v>
      </c>
      <c r="T839" s="4">
        <f t="shared" si="412"/>
        <v>1</v>
      </c>
      <c r="U839" s="4">
        <f t="shared" si="413"/>
        <v>8.1605182474775049</v>
      </c>
      <c r="V839" s="4">
        <f t="shared" si="414"/>
        <v>5.0106352940962555</v>
      </c>
      <c r="W839" s="4">
        <f t="shared" si="415"/>
        <v>44.2</v>
      </c>
      <c r="X839" s="4">
        <f t="shared" si="416"/>
        <v>1</v>
      </c>
      <c r="Y839" s="4">
        <f t="shared" si="417"/>
        <v>8.1605182474775049</v>
      </c>
      <c r="Z839" s="4">
        <f t="shared" si="418"/>
        <v>5.0106352940962555</v>
      </c>
      <c r="AA839" s="4">
        <f t="shared" si="419"/>
        <v>44.2</v>
      </c>
      <c r="AB839" s="4">
        <f t="shared" si="420"/>
        <v>1</v>
      </c>
      <c r="AC839" s="4">
        <f t="shared" si="421"/>
        <v>0</v>
      </c>
      <c r="AD839" s="4">
        <f t="shared" si="422"/>
        <v>0</v>
      </c>
      <c r="AE839" s="4">
        <f t="shared" si="423"/>
        <v>0</v>
      </c>
      <c r="AF839" s="4">
        <f t="shared" si="424"/>
        <v>0</v>
      </c>
      <c r="AG839" s="4">
        <f t="shared" si="425"/>
        <v>8.1605182474775049</v>
      </c>
      <c r="AH839" s="4">
        <f t="shared" si="426"/>
        <v>1</v>
      </c>
      <c r="AI839" s="4">
        <f t="shared" si="427"/>
        <v>0</v>
      </c>
      <c r="AJ839" s="4">
        <f t="shared" si="428"/>
        <v>8.1605182474775049</v>
      </c>
      <c r="AK839" s="4">
        <f t="shared" si="429"/>
        <v>5.0106352940962555</v>
      </c>
      <c r="AL839" s="4">
        <f t="shared" si="430"/>
        <v>0</v>
      </c>
      <c r="AM839" s="4">
        <f>CER!$C$7+CER!$C$8*J839+CER!$C$9*K839+CER!$C$10*L839+CER!$C$11*M839</f>
        <v>3.9385592535878637</v>
      </c>
      <c r="AN839" s="4">
        <f t="shared" si="431"/>
        <v>51.344573475652936</v>
      </c>
      <c r="AO839" s="4">
        <f t="shared" si="432"/>
        <v>0.19005146050185617</v>
      </c>
      <c r="AP839" s="4">
        <f>Alternatives!$F$25+Alternatives!$F$26*J839+Alternatives!$F$27*K839+Alternatives!$F$28*G839+Alternatives!$F$29*O839</f>
        <v>4.4009329306762712</v>
      </c>
      <c r="AQ839" s="4">
        <f t="shared" si="433"/>
        <v>-0.27232221658655131</v>
      </c>
    </row>
    <row r="840" spans="1:43" x14ac:dyDescent="0.35">
      <c r="A840" s="2" t="s">
        <v>714</v>
      </c>
      <c r="B840" s="2" t="s">
        <v>693</v>
      </c>
      <c r="C840" s="2" t="s">
        <v>67</v>
      </c>
      <c r="D840" s="2">
        <v>23.452000000000002</v>
      </c>
      <c r="E840" s="2">
        <v>4500</v>
      </c>
      <c r="F840" s="2">
        <v>270</v>
      </c>
      <c r="G840" s="2">
        <v>48.2</v>
      </c>
      <c r="H840" s="2" t="s">
        <v>68</v>
      </c>
      <c r="I840" s="4">
        <f t="shared" si="403"/>
        <v>3.1549557791019689</v>
      </c>
      <c r="J840" s="4">
        <f t="shared" si="404"/>
        <v>8.4118326757584114</v>
      </c>
      <c r="K840" s="4">
        <f t="shared" si="405"/>
        <v>5.598421958998375</v>
      </c>
      <c r="L840" s="2">
        <v>0</v>
      </c>
      <c r="M840" s="2">
        <v>0</v>
      </c>
      <c r="N840" s="4">
        <f t="shared" si="406"/>
        <v>48.2</v>
      </c>
      <c r="O840" s="4">
        <f t="shared" si="407"/>
        <v>0</v>
      </c>
      <c r="P840" s="4">
        <f t="shared" si="408"/>
        <v>0</v>
      </c>
      <c r="Q840" s="4">
        <f t="shared" si="409"/>
        <v>8.4118326757584114</v>
      </c>
      <c r="R840" s="4">
        <f t="shared" si="410"/>
        <v>5.598421958998375</v>
      </c>
      <c r="S840" s="4">
        <f t="shared" si="411"/>
        <v>48.2</v>
      </c>
      <c r="T840" s="4">
        <f t="shared" si="412"/>
        <v>0</v>
      </c>
      <c r="U840" s="4">
        <f t="shared" si="413"/>
        <v>8.4118326757584114</v>
      </c>
      <c r="V840" s="4">
        <f t="shared" si="414"/>
        <v>5.598421958998375</v>
      </c>
      <c r="W840" s="4">
        <f t="shared" si="415"/>
        <v>48.2</v>
      </c>
      <c r="X840" s="4">
        <f t="shared" si="416"/>
        <v>0</v>
      </c>
      <c r="Y840" s="4">
        <f t="shared" si="417"/>
        <v>8.4118326757584114</v>
      </c>
      <c r="Z840" s="4">
        <f t="shared" si="418"/>
        <v>5.598421958998375</v>
      </c>
      <c r="AA840" s="4">
        <f t="shared" si="419"/>
        <v>48.2</v>
      </c>
      <c r="AB840" s="4">
        <f t="shared" si="420"/>
        <v>0</v>
      </c>
      <c r="AC840" s="4">
        <f t="shared" si="421"/>
        <v>0</v>
      </c>
      <c r="AD840" s="4">
        <f t="shared" si="422"/>
        <v>0</v>
      </c>
      <c r="AE840" s="4">
        <f t="shared" si="423"/>
        <v>0</v>
      </c>
      <c r="AF840" s="4">
        <f t="shared" si="424"/>
        <v>0</v>
      </c>
      <c r="AG840" s="4">
        <f t="shared" si="425"/>
        <v>8.4118326757584114</v>
      </c>
      <c r="AH840" s="4">
        <f t="shared" si="426"/>
        <v>0</v>
      </c>
      <c r="AI840" s="4">
        <f t="shared" si="427"/>
        <v>0</v>
      </c>
      <c r="AJ840" s="4">
        <f t="shared" si="428"/>
        <v>8.4118326757584114</v>
      </c>
      <c r="AK840" s="4">
        <f t="shared" si="429"/>
        <v>5.598421958998375</v>
      </c>
      <c r="AL840" s="4">
        <f t="shared" si="430"/>
        <v>0</v>
      </c>
      <c r="AM840" s="4">
        <f>CER!$C$7+CER!$C$8*J840+CER!$C$9*K840+CER!$C$10*L840+CER!$C$11*M840</f>
        <v>3.3841731549317307</v>
      </c>
      <c r="AN840" s="4">
        <f t="shared" si="431"/>
        <v>29.49359599699234</v>
      </c>
      <c r="AO840" s="4">
        <f t="shared" si="432"/>
        <v>-0.22921737582976176</v>
      </c>
      <c r="AP840" s="4">
        <f>Alternatives!$F$25+Alternatives!$F$26*J840+Alternatives!$F$27*K840+Alternatives!$F$28*G840+Alternatives!$F$29*O840</f>
        <v>3.4407557990634974</v>
      </c>
      <c r="AQ840" s="4">
        <f t="shared" si="433"/>
        <v>-0.28580001996152848</v>
      </c>
    </row>
    <row r="841" spans="1:43" x14ac:dyDescent="0.35">
      <c r="A841" s="2" t="s">
        <v>715</v>
      </c>
      <c r="B841" s="2" t="s">
        <v>693</v>
      </c>
      <c r="C841" s="2" t="s">
        <v>67</v>
      </c>
      <c r="D841" s="2">
        <v>22.747900000000001</v>
      </c>
      <c r="E841" s="2">
        <v>5000</v>
      </c>
      <c r="F841" s="2">
        <v>270</v>
      </c>
      <c r="G841" s="2">
        <v>48.2</v>
      </c>
      <c r="H841" s="2" t="s">
        <v>68</v>
      </c>
      <c r="I841" s="4">
        <f t="shared" si="403"/>
        <v>3.1244728334440346</v>
      </c>
      <c r="J841" s="4">
        <f t="shared" si="404"/>
        <v>8.5171931914162382</v>
      </c>
      <c r="K841" s="4">
        <f t="shared" si="405"/>
        <v>5.598421958998375</v>
      </c>
      <c r="L841" s="2">
        <v>0</v>
      </c>
      <c r="M841" s="2">
        <v>0</v>
      </c>
      <c r="N841" s="4">
        <f t="shared" si="406"/>
        <v>48.2</v>
      </c>
      <c r="O841" s="4">
        <f t="shared" si="407"/>
        <v>0</v>
      </c>
      <c r="P841" s="4">
        <f t="shared" si="408"/>
        <v>0</v>
      </c>
      <c r="Q841" s="4">
        <f t="shared" si="409"/>
        <v>8.5171931914162382</v>
      </c>
      <c r="R841" s="4">
        <f t="shared" si="410"/>
        <v>5.598421958998375</v>
      </c>
      <c r="S841" s="4">
        <f t="shared" si="411"/>
        <v>48.2</v>
      </c>
      <c r="T841" s="4">
        <f t="shared" si="412"/>
        <v>0</v>
      </c>
      <c r="U841" s="4">
        <f t="shared" si="413"/>
        <v>8.5171931914162382</v>
      </c>
      <c r="V841" s="4">
        <f t="shared" si="414"/>
        <v>5.598421958998375</v>
      </c>
      <c r="W841" s="4">
        <f t="shared" si="415"/>
        <v>48.2</v>
      </c>
      <c r="X841" s="4">
        <f t="shared" si="416"/>
        <v>0</v>
      </c>
      <c r="Y841" s="4">
        <f t="shared" si="417"/>
        <v>8.5171931914162382</v>
      </c>
      <c r="Z841" s="4">
        <f t="shared" si="418"/>
        <v>5.598421958998375</v>
      </c>
      <c r="AA841" s="4">
        <f t="shared" si="419"/>
        <v>48.2</v>
      </c>
      <c r="AB841" s="4">
        <f t="shared" si="420"/>
        <v>0</v>
      </c>
      <c r="AC841" s="4">
        <f t="shared" si="421"/>
        <v>0</v>
      </c>
      <c r="AD841" s="4">
        <f t="shared" si="422"/>
        <v>0</v>
      </c>
      <c r="AE841" s="4">
        <f t="shared" si="423"/>
        <v>0</v>
      </c>
      <c r="AF841" s="4">
        <f t="shared" si="424"/>
        <v>0</v>
      </c>
      <c r="AG841" s="4">
        <f t="shared" si="425"/>
        <v>8.5171931914162382</v>
      </c>
      <c r="AH841" s="4">
        <f t="shared" si="426"/>
        <v>0</v>
      </c>
      <c r="AI841" s="4">
        <f t="shared" si="427"/>
        <v>0</v>
      </c>
      <c r="AJ841" s="4">
        <f t="shared" si="428"/>
        <v>8.5171931914162382</v>
      </c>
      <c r="AK841" s="4">
        <f t="shared" si="429"/>
        <v>5.598421958998375</v>
      </c>
      <c r="AL841" s="4">
        <f t="shared" si="430"/>
        <v>0</v>
      </c>
      <c r="AM841" s="4">
        <f>CER!$C$7+CER!$C$8*J841+CER!$C$9*K841+CER!$C$10*L841+CER!$C$11*M841</f>
        <v>3.3364754886450059</v>
      </c>
      <c r="AN841" s="4">
        <f t="shared" si="431"/>
        <v>28.119843138712984</v>
      </c>
      <c r="AO841" s="4">
        <f t="shared" si="432"/>
        <v>-0.21200265520097128</v>
      </c>
      <c r="AP841" s="4">
        <f>Alternatives!$F$25+Alternatives!$F$26*J841+Alternatives!$F$27*K841+Alternatives!$F$28*G841+Alternatives!$F$29*O841</f>
        <v>3.4797482485532285</v>
      </c>
      <c r="AQ841" s="4">
        <f t="shared" si="433"/>
        <v>-0.35527541510919391</v>
      </c>
    </row>
    <row r="842" spans="1:43" x14ac:dyDescent="0.35">
      <c r="A842" s="2" t="s">
        <v>715</v>
      </c>
      <c r="B842" s="2" t="s">
        <v>693</v>
      </c>
      <c r="C842" s="2" t="s">
        <v>67</v>
      </c>
      <c r="D842" s="2">
        <v>22.569900000000001</v>
      </c>
      <c r="E842" s="2">
        <v>5000</v>
      </c>
      <c r="F842" s="2">
        <v>270</v>
      </c>
      <c r="G842" s="2">
        <v>48.2</v>
      </c>
      <c r="H842" s="2" t="s">
        <v>68</v>
      </c>
      <c r="I842" s="4">
        <f t="shared" si="403"/>
        <v>3.1166171601594606</v>
      </c>
      <c r="J842" s="4">
        <f t="shared" si="404"/>
        <v>8.5171931914162382</v>
      </c>
      <c r="K842" s="4">
        <f t="shared" si="405"/>
        <v>5.598421958998375</v>
      </c>
      <c r="L842" s="2">
        <v>0</v>
      </c>
      <c r="M842" s="2">
        <v>0</v>
      </c>
      <c r="N842" s="4">
        <f t="shared" si="406"/>
        <v>48.2</v>
      </c>
      <c r="O842" s="4">
        <f t="shared" si="407"/>
        <v>0</v>
      </c>
      <c r="P842" s="4">
        <f t="shared" si="408"/>
        <v>0</v>
      </c>
      <c r="Q842" s="4">
        <f t="shared" si="409"/>
        <v>8.5171931914162382</v>
      </c>
      <c r="R842" s="4">
        <f t="shared" si="410"/>
        <v>5.598421958998375</v>
      </c>
      <c r="S842" s="4">
        <f t="shared" si="411"/>
        <v>48.2</v>
      </c>
      <c r="T842" s="4">
        <f t="shared" si="412"/>
        <v>0</v>
      </c>
      <c r="U842" s="4">
        <f t="shared" si="413"/>
        <v>8.5171931914162382</v>
      </c>
      <c r="V842" s="4">
        <f t="shared" si="414"/>
        <v>5.598421958998375</v>
      </c>
      <c r="W842" s="4">
        <f t="shared" si="415"/>
        <v>48.2</v>
      </c>
      <c r="X842" s="4">
        <f t="shared" si="416"/>
        <v>0</v>
      </c>
      <c r="Y842" s="4">
        <f t="shared" si="417"/>
        <v>8.5171931914162382</v>
      </c>
      <c r="Z842" s="4">
        <f t="shared" si="418"/>
        <v>5.598421958998375</v>
      </c>
      <c r="AA842" s="4">
        <f t="shared" si="419"/>
        <v>48.2</v>
      </c>
      <c r="AB842" s="4">
        <f t="shared" si="420"/>
        <v>0</v>
      </c>
      <c r="AC842" s="4">
        <f t="shared" si="421"/>
        <v>0</v>
      </c>
      <c r="AD842" s="4">
        <f t="shared" si="422"/>
        <v>0</v>
      </c>
      <c r="AE842" s="4">
        <f t="shared" si="423"/>
        <v>0</v>
      </c>
      <c r="AF842" s="4">
        <f t="shared" si="424"/>
        <v>0</v>
      </c>
      <c r="AG842" s="4">
        <f t="shared" si="425"/>
        <v>8.5171931914162382</v>
      </c>
      <c r="AH842" s="4">
        <f t="shared" si="426"/>
        <v>0</v>
      </c>
      <c r="AI842" s="4">
        <f t="shared" si="427"/>
        <v>0</v>
      </c>
      <c r="AJ842" s="4">
        <f t="shared" si="428"/>
        <v>8.5171931914162382</v>
      </c>
      <c r="AK842" s="4">
        <f t="shared" si="429"/>
        <v>5.598421958998375</v>
      </c>
      <c r="AL842" s="4">
        <f t="shared" si="430"/>
        <v>0</v>
      </c>
      <c r="AM842" s="4">
        <f>CER!$C$7+CER!$C$8*J842+CER!$C$9*K842+CER!$C$10*L842+CER!$C$11*M842</f>
        <v>3.3364754886450059</v>
      </c>
      <c r="AN842" s="4">
        <f t="shared" si="431"/>
        <v>28.119843138712984</v>
      </c>
      <c r="AO842" s="4">
        <f t="shared" si="432"/>
        <v>-0.21985832848554532</v>
      </c>
      <c r="AP842" s="4">
        <f>Alternatives!$F$25+Alternatives!$F$26*J842+Alternatives!$F$27*K842+Alternatives!$F$28*G842+Alternatives!$F$29*O842</f>
        <v>3.4797482485532285</v>
      </c>
      <c r="AQ842" s="4">
        <f t="shared" si="433"/>
        <v>-0.36313108839376795</v>
      </c>
    </row>
    <row r="843" spans="1:43" x14ac:dyDescent="0.35">
      <c r="A843" s="2" t="s">
        <v>716</v>
      </c>
      <c r="B843" s="2" t="s">
        <v>693</v>
      </c>
      <c r="C843" s="2" t="s">
        <v>67</v>
      </c>
      <c r="D843" s="2">
        <v>29.853300000000001</v>
      </c>
      <c r="E843" s="2">
        <v>4500</v>
      </c>
      <c r="F843" s="2">
        <v>228</v>
      </c>
      <c r="G843" s="2">
        <v>60.7</v>
      </c>
      <c r="H843" s="2" t="s">
        <v>68</v>
      </c>
      <c r="I843" s="4">
        <f t="shared" si="403"/>
        <v>3.3962953864919236</v>
      </c>
      <c r="J843" s="4">
        <f t="shared" si="404"/>
        <v>8.4118326757584114</v>
      </c>
      <c r="K843" s="4">
        <f t="shared" si="405"/>
        <v>5.4293456289544411</v>
      </c>
      <c r="L843" s="2">
        <v>0</v>
      </c>
      <c r="M843" s="2">
        <v>0</v>
      </c>
      <c r="N843" s="4">
        <f t="shared" si="406"/>
        <v>60.7</v>
      </c>
      <c r="O843" s="4">
        <f t="shared" si="407"/>
        <v>0</v>
      </c>
      <c r="P843" s="4">
        <f t="shared" si="408"/>
        <v>0</v>
      </c>
      <c r="Q843" s="4">
        <f t="shared" si="409"/>
        <v>8.4118326757584114</v>
      </c>
      <c r="R843" s="4">
        <f t="shared" si="410"/>
        <v>5.4293456289544411</v>
      </c>
      <c r="S843" s="4">
        <f t="shared" si="411"/>
        <v>60.7</v>
      </c>
      <c r="T843" s="4">
        <f t="shared" si="412"/>
        <v>0</v>
      </c>
      <c r="U843" s="4">
        <f t="shared" si="413"/>
        <v>8.4118326757584114</v>
      </c>
      <c r="V843" s="4">
        <f t="shared" si="414"/>
        <v>5.4293456289544411</v>
      </c>
      <c r="W843" s="4">
        <f t="shared" si="415"/>
        <v>60.7</v>
      </c>
      <c r="X843" s="4">
        <f t="shared" si="416"/>
        <v>0</v>
      </c>
      <c r="Y843" s="4">
        <f t="shared" si="417"/>
        <v>8.4118326757584114</v>
      </c>
      <c r="Z843" s="4">
        <f t="shared" si="418"/>
        <v>5.4293456289544411</v>
      </c>
      <c r="AA843" s="4">
        <f t="shared" si="419"/>
        <v>60.7</v>
      </c>
      <c r="AB843" s="4">
        <f t="shared" si="420"/>
        <v>0</v>
      </c>
      <c r="AC843" s="4">
        <f t="shared" si="421"/>
        <v>0</v>
      </c>
      <c r="AD843" s="4">
        <f t="shared" si="422"/>
        <v>0</v>
      </c>
      <c r="AE843" s="4">
        <f t="shared" si="423"/>
        <v>0</v>
      </c>
      <c r="AF843" s="4">
        <f t="shared" si="424"/>
        <v>0</v>
      </c>
      <c r="AG843" s="4">
        <f t="shared" si="425"/>
        <v>8.4118326757584114</v>
      </c>
      <c r="AH843" s="4">
        <f t="shared" si="426"/>
        <v>0</v>
      </c>
      <c r="AI843" s="4">
        <f t="shared" si="427"/>
        <v>0</v>
      </c>
      <c r="AJ843" s="4">
        <f t="shared" si="428"/>
        <v>8.4118326757584114</v>
      </c>
      <c r="AK843" s="4">
        <f t="shared" si="429"/>
        <v>5.4293456289544411</v>
      </c>
      <c r="AL843" s="4">
        <f t="shared" si="430"/>
        <v>0</v>
      </c>
      <c r="AM843" s="4">
        <f>CER!$C$7+CER!$C$8*J843+CER!$C$9*K843+CER!$C$10*L843+CER!$C$11*M843</f>
        <v>3.4465528040652087</v>
      </c>
      <c r="AN843" s="4">
        <f t="shared" si="431"/>
        <v>31.391991231658608</v>
      </c>
      <c r="AO843" s="4">
        <f t="shared" si="432"/>
        <v>-5.0257417573285057E-2</v>
      </c>
      <c r="AP843" s="4">
        <f>Alternatives!$F$25+Alternatives!$F$26*J843+Alternatives!$F$27*K843+Alternatives!$F$28*G843+Alternatives!$F$29*O843</f>
        <v>3.323157264047933</v>
      </c>
      <c r="AQ843" s="4">
        <f t="shared" si="433"/>
        <v>7.313812244399065E-2</v>
      </c>
    </row>
    <row r="844" spans="1:43" x14ac:dyDescent="0.35">
      <c r="A844" s="2" t="s">
        <v>717</v>
      </c>
      <c r="B844" s="2" t="s">
        <v>693</v>
      </c>
      <c r="C844" s="2" t="s">
        <v>67</v>
      </c>
      <c r="D844" s="2">
        <v>28.973500000000001</v>
      </c>
      <c r="E844" s="2">
        <v>4500</v>
      </c>
      <c r="F844" s="2">
        <v>278</v>
      </c>
      <c r="G844" s="2">
        <v>60.7</v>
      </c>
      <c r="H844" s="2" t="s">
        <v>68</v>
      </c>
      <c r="I844" s="4">
        <f t="shared" si="403"/>
        <v>3.366381619119589</v>
      </c>
      <c r="J844" s="4">
        <f t="shared" si="404"/>
        <v>8.4118326757584114</v>
      </c>
      <c r="K844" s="4">
        <f t="shared" si="405"/>
        <v>5.6276211136906369</v>
      </c>
      <c r="L844" s="2">
        <v>0</v>
      </c>
      <c r="M844" s="2">
        <v>0</v>
      </c>
      <c r="N844" s="4">
        <f t="shared" si="406"/>
        <v>60.7</v>
      </c>
      <c r="O844" s="4">
        <f t="shared" si="407"/>
        <v>0</v>
      </c>
      <c r="P844" s="4">
        <f t="shared" si="408"/>
        <v>0</v>
      </c>
      <c r="Q844" s="4">
        <f t="shared" si="409"/>
        <v>8.4118326757584114</v>
      </c>
      <c r="R844" s="4">
        <f t="shared" si="410"/>
        <v>5.6276211136906369</v>
      </c>
      <c r="S844" s="4">
        <f t="shared" si="411"/>
        <v>60.7</v>
      </c>
      <c r="T844" s="4">
        <f t="shared" si="412"/>
        <v>0</v>
      </c>
      <c r="U844" s="4">
        <f t="shared" si="413"/>
        <v>8.4118326757584114</v>
      </c>
      <c r="V844" s="4">
        <f t="shared" si="414"/>
        <v>5.6276211136906369</v>
      </c>
      <c r="W844" s="4">
        <f t="shared" si="415"/>
        <v>60.7</v>
      </c>
      <c r="X844" s="4">
        <f t="shared" si="416"/>
        <v>0</v>
      </c>
      <c r="Y844" s="4">
        <f t="shared" si="417"/>
        <v>8.4118326757584114</v>
      </c>
      <c r="Z844" s="4">
        <f t="shared" si="418"/>
        <v>5.6276211136906369</v>
      </c>
      <c r="AA844" s="4">
        <f t="shared" si="419"/>
        <v>60.7</v>
      </c>
      <c r="AB844" s="4">
        <f t="shared" si="420"/>
        <v>0</v>
      </c>
      <c r="AC844" s="4">
        <f t="shared" si="421"/>
        <v>0</v>
      </c>
      <c r="AD844" s="4">
        <f t="shared" si="422"/>
        <v>0</v>
      </c>
      <c r="AE844" s="4">
        <f t="shared" si="423"/>
        <v>0</v>
      </c>
      <c r="AF844" s="4">
        <f t="shared" si="424"/>
        <v>0</v>
      </c>
      <c r="AG844" s="4">
        <f t="shared" si="425"/>
        <v>8.4118326757584114</v>
      </c>
      <c r="AH844" s="4">
        <f t="shared" si="426"/>
        <v>0</v>
      </c>
      <c r="AI844" s="4">
        <f t="shared" si="427"/>
        <v>0</v>
      </c>
      <c r="AJ844" s="4">
        <f t="shared" si="428"/>
        <v>8.4118326757584114</v>
      </c>
      <c r="AK844" s="4">
        <f t="shared" si="429"/>
        <v>5.6276211136906369</v>
      </c>
      <c r="AL844" s="4">
        <f t="shared" si="430"/>
        <v>0</v>
      </c>
      <c r="AM844" s="4">
        <f>CER!$C$7+CER!$C$8*J844+CER!$C$9*K844+CER!$C$10*L844+CER!$C$11*M844</f>
        <v>3.3734003103577788</v>
      </c>
      <c r="AN844" s="4">
        <f t="shared" si="431"/>
        <v>29.177571369810572</v>
      </c>
      <c r="AO844" s="4">
        <f t="shared" si="432"/>
        <v>-7.018691238189767E-3</v>
      </c>
      <c r="AP844" s="4">
        <f>Alternatives!$F$25+Alternatives!$F$26*J844+Alternatives!$F$27*K844+Alternatives!$F$28*G844+Alternatives!$F$29*O844</f>
        <v>3.2703941811674948</v>
      </c>
      <c r="AQ844" s="4">
        <f t="shared" si="433"/>
        <v>9.598743795209419E-2</v>
      </c>
    </row>
    <row r="845" spans="1:43" x14ac:dyDescent="0.35">
      <c r="A845" s="2" t="s">
        <v>717</v>
      </c>
      <c r="B845" s="2" t="s">
        <v>693</v>
      </c>
      <c r="C845" s="2" t="s">
        <v>67</v>
      </c>
      <c r="D845" s="2">
        <v>29.9192</v>
      </c>
      <c r="E845" s="2">
        <v>4500</v>
      </c>
      <c r="F845" s="2">
        <v>278</v>
      </c>
      <c r="G845" s="2">
        <v>60.7</v>
      </c>
      <c r="H845" s="2" t="s">
        <v>68</v>
      </c>
      <c r="I845" s="4">
        <f t="shared" si="403"/>
        <v>3.3985004147808962</v>
      </c>
      <c r="J845" s="4">
        <f t="shared" si="404"/>
        <v>8.4118326757584114</v>
      </c>
      <c r="K845" s="4">
        <f t="shared" si="405"/>
        <v>5.6276211136906369</v>
      </c>
      <c r="L845" s="2">
        <v>0</v>
      </c>
      <c r="M845" s="2">
        <v>0</v>
      </c>
      <c r="N845" s="4">
        <f t="shared" si="406"/>
        <v>60.7</v>
      </c>
      <c r="O845" s="4">
        <f t="shared" si="407"/>
        <v>0</v>
      </c>
      <c r="P845" s="4">
        <f t="shared" si="408"/>
        <v>0</v>
      </c>
      <c r="Q845" s="4">
        <f t="shared" si="409"/>
        <v>8.4118326757584114</v>
      </c>
      <c r="R845" s="4">
        <f t="shared" si="410"/>
        <v>5.6276211136906369</v>
      </c>
      <c r="S845" s="4">
        <f t="shared" si="411"/>
        <v>60.7</v>
      </c>
      <c r="T845" s="4">
        <f t="shared" si="412"/>
        <v>0</v>
      </c>
      <c r="U845" s="4">
        <f t="shared" si="413"/>
        <v>8.4118326757584114</v>
      </c>
      <c r="V845" s="4">
        <f t="shared" si="414"/>
        <v>5.6276211136906369</v>
      </c>
      <c r="W845" s="4">
        <f t="shared" si="415"/>
        <v>60.7</v>
      </c>
      <c r="X845" s="4">
        <f t="shared" si="416"/>
        <v>0</v>
      </c>
      <c r="Y845" s="4">
        <f t="shared" si="417"/>
        <v>8.4118326757584114</v>
      </c>
      <c r="Z845" s="4">
        <f t="shared" si="418"/>
        <v>5.6276211136906369</v>
      </c>
      <c r="AA845" s="4">
        <f t="shared" si="419"/>
        <v>60.7</v>
      </c>
      <c r="AB845" s="4">
        <f t="shared" si="420"/>
        <v>0</v>
      </c>
      <c r="AC845" s="4">
        <f t="shared" si="421"/>
        <v>0</v>
      </c>
      <c r="AD845" s="4">
        <f t="shared" si="422"/>
        <v>0</v>
      </c>
      <c r="AE845" s="4">
        <f t="shared" si="423"/>
        <v>0</v>
      </c>
      <c r="AF845" s="4">
        <f t="shared" si="424"/>
        <v>0</v>
      </c>
      <c r="AG845" s="4">
        <f t="shared" si="425"/>
        <v>8.4118326757584114</v>
      </c>
      <c r="AH845" s="4">
        <f t="shared" si="426"/>
        <v>0</v>
      </c>
      <c r="AI845" s="4">
        <f t="shared" si="427"/>
        <v>0</v>
      </c>
      <c r="AJ845" s="4">
        <f t="shared" si="428"/>
        <v>8.4118326757584114</v>
      </c>
      <c r="AK845" s="4">
        <f t="shared" si="429"/>
        <v>5.6276211136906369</v>
      </c>
      <c r="AL845" s="4">
        <f t="shared" si="430"/>
        <v>0</v>
      </c>
      <c r="AM845" s="4">
        <f>CER!$C$7+CER!$C$8*J845+CER!$C$9*K845+CER!$C$10*L845+CER!$C$11*M845</f>
        <v>3.3734003103577788</v>
      </c>
      <c r="AN845" s="4">
        <f t="shared" si="431"/>
        <v>29.177571369810572</v>
      </c>
      <c r="AO845" s="4">
        <f t="shared" si="432"/>
        <v>2.5100104423117386E-2</v>
      </c>
      <c r="AP845" s="4">
        <f>Alternatives!$F$25+Alternatives!$F$26*J845+Alternatives!$F$27*K845+Alternatives!$F$28*G845+Alternatives!$F$29*O845</f>
        <v>3.2703941811674948</v>
      </c>
      <c r="AQ845" s="4">
        <f t="shared" si="433"/>
        <v>0.12810623361340134</v>
      </c>
    </row>
    <row r="846" spans="1:43" x14ac:dyDescent="0.35">
      <c r="A846" s="2" t="s">
        <v>718</v>
      </c>
      <c r="B846" s="2" t="s">
        <v>693</v>
      </c>
      <c r="C846" s="2" t="s">
        <v>67</v>
      </c>
      <c r="D846" s="2">
        <v>27.5318</v>
      </c>
      <c r="E846" s="2">
        <v>4500</v>
      </c>
      <c r="F846" s="2">
        <v>228</v>
      </c>
      <c r="G846" s="2">
        <v>60.7</v>
      </c>
      <c r="H846" s="2" t="s">
        <v>68</v>
      </c>
      <c r="I846" s="4">
        <f t="shared" si="403"/>
        <v>3.3153417002354337</v>
      </c>
      <c r="J846" s="4">
        <f t="shared" si="404"/>
        <v>8.4118326757584114</v>
      </c>
      <c r="K846" s="4">
        <f t="shared" si="405"/>
        <v>5.4293456289544411</v>
      </c>
      <c r="L846" s="2">
        <v>0</v>
      </c>
      <c r="M846" s="2">
        <v>0</v>
      </c>
      <c r="N846" s="4">
        <f t="shared" si="406"/>
        <v>60.7</v>
      </c>
      <c r="O846" s="4">
        <f t="shared" si="407"/>
        <v>0</v>
      </c>
      <c r="P846" s="4">
        <f t="shared" si="408"/>
        <v>0</v>
      </c>
      <c r="Q846" s="4">
        <f t="shared" si="409"/>
        <v>8.4118326757584114</v>
      </c>
      <c r="R846" s="4">
        <f t="shared" si="410"/>
        <v>5.4293456289544411</v>
      </c>
      <c r="S846" s="4">
        <f t="shared" si="411"/>
        <v>60.7</v>
      </c>
      <c r="T846" s="4">
        <f t="shared" si="412"/>
        <v>0</v>
      </c>
      <c r="U846" s="4">
        <f t="shared" si="413"/>
        <v>8.4118326757584114</v>
      </c>
      <c r="V846" s="4">
        <f t="shared" si="414"/>
        <v>5.4293456289544411</v>
      </c>
      <c r="W846" s="4">
        <f t="shared" si="415"/>
        <v>60.7</v>
      </c>
      <c r="X846" s="4">
        <f t="shared" si="416"/>
        <v>0</v>
      </c>
      <c r="Y846" s="4">
        <f t="shared" si="417"/>
        <v>8.4118326757584114</v>
      </c>
      <c r="Z846" s="4">
        <f t="shared" si="418"/>
        <v>5.4293456289544411</v>
      </c>
      <c r="AA846" s="4">
        <f t="shared" si="419"/>
        <v>60.7</v>
      </c>
      <c r="AB846" s="4">
        <f t="shared" si="420"/>
        <v>0</v>
      </c>
      <c r="AC846" s="4">
        <f t="shared" si="421"/>
        <v>0</v>
      </c>
      <c r="AD846" s="4">
        <f t="shared" si="422"/>
        <v>0</v>
      </c>
      <c r="AE846" s="4">
        <f t="shared" si="423"/>
        <v>0</v>
      </c>
      <c r="AF846" s="4">
        <f t="shared" si="424"/>
        <v>0</v>
      </c>
      <c r="AG846" s="4">
        <f t="shared" si="425"/>
        <v>8.4118326757584114</v>
      </c>
      <c r="AH846" s="4">
        <f t="shared" si="426"/>
        <v>0</v>
      </c>
      <c r="AI846" s="4">
        <f t="shared" si="427"/>
        <v>0</v>
      </c>
      <c r="AJ846" s="4">
        <f t="shared" si="428"/>
        <v>8.4118326757584114</v>
      </c>
      <c r="AK846" s="4">
        <f t="shared" si="429"/>
        <v>5.4293456289544411</v>
      </c>
      <c r="AL846" s="4">
        <f t="shared" si="430"/>
        <v>0</v>
      </c>
      <c r="AM846" s="4">
        <f>CER!$C$7+CER!$C$8*J846+CER!$C$9*K846+CER!$C$10*L846+CER!$C$11*M846</f>
        <v>3.4465528040652087</v>
      </c>
      <c r="AN846" s="4">
        <f t="shared" si="431"/>
        <v>31.391991231658608</v>
      </c>
      <c r="AO846" s="4">
        <f t="shared" si="432"/>
        <v>-0.13121110382977497</v>
      </c>
      <c r="AP846" s="4">
        <f>Alternatives!$F$25+Alternatives!$F$26*J846+Alternatives!$F$27*K846+Alternatives!$F$28*G846+Alternatives!$F$29*O846</f>
        <v>3.323157264047933</v>
      </c>
      <c r="AQ846" s="4">
        <f t="shared" si="433"/>
        <v>-7.8155638124992599E-3</v>
      </c>
    </row>
    <row r="847" spans="1:43" x14ac:dyDescent="0.35">
      <c r="A847" s="2" t="s">
        <v>719</v>
      </c>
      <c r="B847" s="2" t="s">
        <v>693</v>
      </c>
      <c r="C847" s="2" t="s">
        <v>67</v>
      </c>
      <c r="D847" s="2">
        <v>25.7042</v>
      </c>
      <c r="E847" s="2">
        <v>5000</v>
      </c>
      <c r="F847" s="2">
        <v>270</v>
      </c>
      <c r="G847" s="2">
        <v>60.7</v>
      </c>
      <c r="H847" s="2" t="s">
        <v>68</v>
      </c>
      <c r="I847" s="4">
        <f t="shared" si="403"/>
        <v>3.2466544026734203</v>
      </c>
      <c r="J847" s="4">
        <f t="shared" si="404"/>
        <v>8.5171931914162382</v>
      </c>
      <c r="K847" s="4">
        <f t="shared" si="405"/>
        <v>5.598421958998375</v>
      </c>
      <c r="L847" s="2">
        <v>0</v>
      </c>
      <c r="M847" s="2">
        <v>0</v>
      </c>
      <c r="N847" s="4">
        <f t="shared" si="406"/>
        <v>60.7</v>
      </c>
      <c r="O847" s="4">
        <f t="shared" si="407"/>
        <v>0</v>
      </c>
      <c r="P847" s="4">
        <f t="shared" si="408"/>
        <v>0</v>
      </c>
      <c r="Q847" s="4">
        <f t="shared" si="409"/>
        <v>8.5171931914162382</v>
      </c>
      <c r="R847" s="4">
        <f t="shared" si="410"/>
        <v>5.598421958998375</v>
      </c>
      <c r="S847" s="4">
        <f t="shared" si="411"/>
        <v>60.7</v>
      </c>
      <c r="T847" s="4">
        <f t="shared" si="412"/>
        <v>0</v>
      </c>
      <c r="U847" s="4">
        <f t="shared" si="413"/>
        <v>8.5171931914162382</v>
      </c>
      <c r="V847" s="4">
        <f t="shared" si="414"/>
        <v>5.598421958998375</v>
      </c>
      <c r="W847" s="4">
        <f t="shared" si="415"/>
        <v>60.7</v>
      </c>
      <c r="X847" s="4">
        <f t="shared" si="416"/>
        <v>0</v>
      </c>
      <c r="Y847" s="4">
        <f t="shared" si="417"/>
        <v>8.5171931914162382</v>
      </c>
      <c r="Z847" s="4">
        <f t="shared" si="418"/>
        <v>5.598421958998375</v>
      </c>
      <c r="AA847" s="4">
        <f t="shared" si="419"/>
        <v>60.7</v>
      </c>
      <c r="AB847" s="4">
        <f t="shared" si="420"/>
        <v>0</v>
      </c>
      <c r="AC847" s="4">
        <f t="shared" si="421"/>
        <v>0</v>
      </c>
      <c r="AD847" s="4">
        <f t="shared" si="422"/>
        <v>0</v>
      </c>
      <c r="AE847" s="4">
        <f t="shared" si="423"/>
        <v>0</v>
      </c>
      <c r="AF847" s="4">
        <f t="shared" si="424"/>
        <v>0</v>
      </c>
      <c r="AG847" s="4">
        <f t="shared" si="425"/>
        <v>8.5171931914162382</v>
      </c>
      <c r="AH847" s="4">
        <f t="shared" si="426"/>
        <v>0</v>
      </c>
      <c r="AI847" s="4">
        <f t="shared" si="427"/>
        <v>0</v>
      </c>
      <c r="AJ847" s="4">
        <f t="shared" si="428"/>
        <v>8.5171931914162382</v>
      </c>
      <c r="AK847" s="4">
        <f t="shared" si="429"/>
        <v>5.598421958998375</v>
      </c>
      <c r="AL847" s="4">
        <f t="shared" si="430"/>
        <v>0</v>
      </c>
      <c r="AM847" s="4">
        <f>CER!$C$7+CER!$C$8*J847+CER!$C$9*K847+CER!$C$10*L847+CER!$C$11*M847</f>
        <v>3.3364754886450059</v>
      </c>
      <c r="AN847" s="4">
        <f t="shared" si="431"/>
        <v>28.119843138712984</v>
      </c>
      <c r="AO847" s="4">
        <f t="shared" si="432"/>
        <v>-8.9821085971585557E-2</v>
      </c>
      <c r="AP847" s="4">
        <f>Alternatives!$F$25+Alternatives!$F$26*J847+Alternatives!$F$27*K847+Alternatives!$F$28*G847+Alternatives!$F$29*O847</f>
        <v>3.3171568167753751</v>
      </c>
      <c r="AQ847" s="4">
        <f t="shared" si="433"/>
        <v>-7.0502414101954791E-2</v>
      </c>
    </row>
    <row r="848" spans="1:43" x14ac:dyDescent="0.35">
      <c r="A848" s="2" t="s">
        <v>720</v>
      </c>
      <c r="B848" s="2" t="s">
        <v>693</v>
      </c>
      <c r="C848" s="2" t="s">
        <v>33</v>
      </c>
      <c r="D848" s="2">
        <v>31.281500000000001</v>
      </c>
      <c r="E848" s="2">
        <v>5500</v>
      </c>
      <c r="F848" s="2">
        <v>278</v>
      </c>
      <c r="G848" s="2">
        <v>61.1</v>
      </c>
      <c r="H848" s="2" t="s">
        <v>68</v>
      </c>
      <c r="I848" s="4">
        <f t="shared" si="403"/>
        <v>3.4430268684915504</v>
      </c>
      <c r="J848" s="4">
        <f t="shared" si="404"/>
        <v>8.6125033712205621</v>
      </c>
      <c r="K848" s="4">
        <f t="shared" si="405"/>
        <v>5.6276211136906369</v>
      </c>
      <c r="L848" s="2">
        <v>1</v>
      </c>
      <c r="M848" s="2">
        <v>0</v>
      </c>
      <c r="N848" s="4">
        <f t="shared" si="406"/>
        <v>61.1</v>
      </c>
      <c r="O848" s="4">
        <f t="shared" si="407"/>
        <v>1</v>
      </c>
      <c r="P848" s="4">
        <f t="shared" si="408"/>
        <v>1</v>
      </c>
      <c r="Q848" s="4">
        <f t="shared" si="409"/>
        <v>8.6125033712205621</v>
      </c>
      <c r="R848" s="4">
        <f t="shared" si="410"/>
        <v>5.6276211136906369</v>
      </c>
      <c r="S848" s="4">
        <f t="shared" si="411"/>
        <v>61.1</v>
      </c>
      <c r="T848" s="4">
        <f t="shared" si="412"/>
        <v>1</v>
      </c>
      <c r="U848" s="4">
        <f t="shared" si="413"/>
        <v>8.6125033712205621</v>
      </c>
      <c r="V848" s="4">
        <f t="shared" si="414"/>
        <v>5.6276211136906369</v>
      </c>
      <c r="W848" s="4">
        <f t="shared" si="415"/>
        <v>61.1</v>
      </c>
      <c r="X848" s="4">
        <f t="shared" si="416"/>
        <v>1</v>
      </c>
      <c r="Y848" s="4">
        <f t="shared" si="417"/>
        <v>8.6125033712205621</v>
      </c>
      <c r="Z848" s="4">
        <f t="shared" si="418"/>
        <v>5.6276211136906369</v>
      </c>
      <c r="AA848" s="4">
        <f t="shared" si="419"/>
        <v>61.1</v>
      </c>
      <c r="AB848" s="4">
        <f t="shared" si="420"/>
        <v>1</v>
      </c>
      <c r="AC848" s="4">
        <f t="shared" si="421"/>
        <v>0</v>
      </c>
      <c r="AD848" s="4">
        <f t="shared" si="422"/>
        <v>0</v>
      </c>
      <c r="AE848" s="4">
        <f t="shared" si="423"/>
        <v>0</v>
      </c>
      <c r="AF848" s="4">
        <f t="shared" si="424"/>
        <v>0</v>
      </c>
      <c r="AG848" s="4">
        <f t="shared" si="425"/>
        <v>8.6125033712205621</v>
      </c>
      <c r="AH848" s="4">
        <f t="shared" si="426"/>
        <v>1</v>
      </c>
      <c r="AI848" s="4">
        <f t="shared" si="427"/>
        <v>0</v>
      </c>
      <c r="AJ848" s="4">
        <f t="shared" si="428"/>
        <v>8.6125033712205621</v>
      </c>
      <c r="AK848" s="4">
        <f t="shared" si="429"/>
        <v>5.6276211136906369</v>
      </c>
      <c r="AL848" s="4">
        <f t="shared" si="430"/>
        <v>0</v>
      </c>
      <c r="AM848" s="4">
        <f>CER!$C$7+CER!$C$8*J848+CER!$C$9*K848+CER!$C$10*L848+CER!$C$11*M848</f>
        <v>3.506308426449734</v>
      </c>
      <c r="AN848" s="4">
        <f t="shared" si="431"/>
        <v>33.325018674834077</v>
      </c>
      <c r="AO848" s="4">
        <f t="shared" si="432"/>
        <v>-6.3281557958183576E-2</v>
      </c>
      <c r="AP848" s="4">
        <f>Alternatives!$F$25+Alternatives!$F$26*J848+Alternatives!$F$27*K848+Alternatives!$F$28*G848+Alternatives!$F$29*O848</f>
        <v>4.1841965948640443</v>
      </c>
      <c r="AQ848" s="4">
        <f t="shared" si="433"/>
        <v>-0.7411697263724939</v>
      </c>
    </row>
    <row r="849" spans="1:43" x14ac:dyDescent="0.35">
      <c r="A849" s="2" t="s">
        <v>720</v>
      </c>
      <c r="B849" s="2" t="s">
        <v>693</v>
      </c>
      <c r="C849" s="2" t="s">
        <v>33</v>
      </c>
      <c r="D849" s="2">
        <v>30.463699999999999</v>
      </c>
      <c r="E849" s="2">
        <v>5500</v>
      </c>
      <c r="F849" s="2">
        <v>278</v>
      </c>
      <c r="G849" s="2">
        <v>61.1</v>
      </c>
      <c r="H849" s="2" t="s">
        <v>68</v>
      </c>
      <c r="I849" s="4">
        <f t="shared" si="403"/>
        <v>3.4165358108713901</v>
      </c>
      <c r="J849" s="4">
        <f t="shared" si="404"/>
        <v>8.6125033712205621</v>
      </c>
      <c r="K849" s="4">
        <f t="shared" si="405"/>
        <v>5.6276211136906369</v>
      </c>
      <c r="L849" s="2">
        <v>1</v>
      </c>
      <c r="M849" s="2">
        <v>0</v>
      </c>
      <c r="N849" s="4">
        <f t="shared" si="406"/>
        <v>61.1</v>
      </c>
      <c r="O849" s="4">
        <f t="shared" si="407"/>
        <v>1</v>
      </c>
      <c r="P849" s="4">
        <f t="shared" si="408"/>
        <v>1</v>
      </c>
      <c r="Q849" s="4">
        <f t="shared" si="409"/>
        <v>8.6125033712205621</v>
      </c>
      <c r="R849" s="4">
        <f t="shared" si="410"/>
        <v>5.6276211136906369</v>
      </c>
      <c r="S849" s="4">
        <f t="shared" si="411"/>
        <v>61.1</v>
      </c>
      <c r="T849" s="4">
        <f t="shared" si="412"/>
        <v>1</v>
      </c>
      <c r="U849" s="4">
        <f t="shared" si="413"/>
        <v>8.6125033712205621</v>
      </c>
      <c r="V849" s="4">
        <f t="shared" si="414"/>
        <v>5.6276211136906369</v>
      </c>
      <c r="W849" s="4">
        <f t="shared" si="415"/>
        <v>61.1</v>
      </c>
      <c r="X849" s="4">
        <f t="shared" si="416"/>
        <v>1</v>
      </c>
      <c r="Y849" s="4">
        <f t="shared" si="417"/>
        <v>8.6125033712205621</v>
      </c>
      <c r="Z849" s="4">
        <f t="shared" si="418"/>
        <v>5.6276211136906369</v>
      </c>
      <c r="AA849" s="4">
        <f t="shared" si="419"/>
        <v>61.1</v>
      </c>
      <c r="AB849" s="4">
        <f t="shared" si="420"/>
        <v>1</v>
      </c>
      <c r="AC849" s="4">
        <f t="shared" si="421"/>
        <v>0</v>
      </c>
      <c r="AD849" s="4">
        <f t="shared" si="422"/>
        <v>0</v>
      </c>
      <c r="AE849" s="4">
        <f t="shared" si="423"/>
        <v>0</v>
      </c>
      <c r="AF849" s="4">
        <f t="shared" si="424"/>
        <v>0</v>
      </c>
      <c r="AG849" s="4">
        <f t="shared" si="425"/>
        <v>8.6125033712205621</v>
      </c>
      <c r="AH849" s="4">
        <f t="shared" si="426"/>
        <v>1</v>
      </c>
      <c r="AI849" s="4">
        <f t="shared" si="427"/>
        <v>0</v>
      </c>
      <c r="AJ849" s="4">
        <f t="shared" si="428"/>
        <v>8.6125033712205621</v>
      </c>
      <c r="AK849" s="4">
        <f t="shared" si="429"/>
        <v>5.6276211136906369</v>
      </c>
      <c r="AL849" s="4">
        <f t="shared" si="430"/>
        <v>0</v>
      </c>
      <c r="AM849" s="4">
        <f>CER!$C$7+CER!$C$8*J849+CER!$C$9*K849+CER!$C$10*L849+CER!$C$11*M849</f>
        <v>3.506308426449734</v>
      </c>
      <c r="AN849" s="4">
        <f t="shared" si="431"/>
        <v>33.325018674834077</v>
      </c>
      <c r="AO849" s="4">
        <f t="shared" si="432"/>
        <v>-8.9772615578343817E-2</v>
      </c>
      <c r="AP849" s="4">
        <f>Alternatives!$F$25+Alternatives!$F$26*J849+Alternatives!$F$27*K849+Alternatives!$F$28*G849+Alternatives!$F$29*O849</f>
        <v>4.1841965948640443</v>
      </c>
      <c r="AQ849" s="4">
        <f t="shared" si="433"/>
        <v>-0.76766078399265414</v>
      </c>
    </row>
    <row r="850" spans="1:43" x14ac:dyDescent="0.35">
      <c r="A850" s="2" t="s">
        <v>721</v>
      </c>
      <c r="B850" s="2" t="s">
        <v>693</v>
      </c>
      <c r="C850" s="2" t="s">
        <v>67</v>
      </c>
      <c r="D850" s="2">
        <v>26.986799999999999</v>
      </c>
      <c r="E850" s="2">
        <v>4500</v>
      </c>
      <c r="F850" s="2">
        <v>278</v>
      </c>
      <c r="G850" s="2">
        <v>60.7</v>
      </c>
      <c r="H850" s="2" t="s">
        <v>68</v>
      </c>
      <c r="I850" s="4">
        <f t="shared" si="403"/>
        <v>3.2953478575703028</v>
      </c>
      <c r="J850" s="4">
        <f t="shared" si="404"/>
        <v>8.4118326757584114</v>
      </c>
      <c r="K850" s="4">
        <f t="shared" si="405"/>
        <v>5.6276211136906369</v>
      </c>
      <c r="L850" s="2">
        <v>0</v>
      </c>
      <c r="M850" s="2">
        <v>0</v>
      </c>
      <c r="N850" s="4">
        <f t="shared" si="406"/>
        <v>60.7</v>
      </c>
      <c r="O850" s="4">
        <f t="shared" si="407"/>
        <v>0</v>
      </c>
      <c r="P850" s="4">
        <f t="shared" si="408"/>
        <v>0</v>
      </c>
      <c r="Q850" s="4">
        <f t="shared" si="409"/>
        <v>8.4118326757584114</v>
      </c>
      <c r="R850" s="4">
        <f t="shared" si="410"/>
        <v>5.6276211136906369</v>
      </c>
      <c r="S850" s="4">
        <f t="shared" si="411"/>
        <v>60.7</v>
      </c>
      <c r="T850" s="4">
        <f t="shared" si="412"/>
        <v>0</v>
      </c>
      <c r="U850" s="4">
        <f t="shared" si="413"/>
        <v>8.4118326757584114</v>
      </c>
      <c r="V850" s="4">
        <f t="shared" si="414"/>
        <v>5.6276211136906369</v>
      </c>
      <c r="W850" s="4">
        <f t="shared" si="415"/>
        <v>60.7</v>
      </c>
      <c r="X850" s="4">
        <f t="shared" si="416"/>
        <v>0</v>
      </c>
      <c r="Y850" s="4">
        <f t="shared" si="417"/>
        <v>8.4118326757584114</v>
      </c>
      <c r="Z850" s="4">
        <f t="shared" si="418"/>
        <v>5.6276211136906369</v>
      </c>
      <c r="AA850" s="4">
        <f t="shared" si="419"/>
        <v>60.7</v>
      </c>
      <c r="AB850" s="4">
        <f t="shared" si="420"/>
        <v>0</v>
      </c>
      <c r="AC850" s="4">
        <f t="shared" si="421"/>
        <v>0</v>
      </c>
      <c r="AD850" s="4">
        <f t="shared" si="422"/>
        <v>0</v>
      </c>
      <c r="AE850" s="4">
        <f t="shared" si="423"/>
        <v>0</v>
      </c>
      <c r="AF850" s="4">
        <f t="shared" si="424"/>
        <v>0</v>
      </c>
      <c r="AG850" s="4">
        <f t="shared" si="425"/>
        <v>8.4118326757584114</v>
      </c>
      <c r="AH850" s="4">
        <f t="shared" si="426"/>
        <v>0</v>
      </c>
      <c r="AI850" s="4">
        <f t="shared" si="427"/>
        <v>0</v>
      </c>
      <c r="AJ850" s="4">
        <f t="shared" si="428"/>
        <v>8.4118326757584114</v>
      </c>
      <c r="AK850" s="4">
        <f t="shared" si="429"/>
        <v>5.6276211136906369</v>
      </c>
      <c r="AL850" s="4">
        <f t="shared" si="430"/>
        <v>0</v>
      </c>
      <c r="AM850" s="4">
        <f>CER!$C$7+CER!$C$8*J850+CER!$C$9*K850+CER!$C$10*L850+CER!$C$11*M850</f>
        <v>3.3734003103577788</v>
      </c>
      <c r="AN850" s="4">
        <f t="shared" si="431"/>
        <v>29.177571369810572</v>
      </c>
      <c r="AO850" s="4">
        <f t="shared" si="432"/>
        <v>-7.8052452787475968E-2</v>
      </c>
      <c r="AP850" s="4">
        <f>Alternatives!$F$25+Alternatives!$F$26*J850+Alternatives!$F$27*K850+Alternatives!$F$28*G850+Alternatives!$F$29*O850</f>
        <v>3.2703941811674948</v>
      </c>
      <c r="AQ850" s="4">
        <f t="shared" si="433"/>
        <v>2.4953676402807989E-2</v>
      </c>
    </row>
    <row r="851" spans="1:43" x14ac:dyDescent="0.35">
      <c r="A851" s="2" t="s">
        <v>721</v>
      </c>
      <c r="B851" s="2" t="s">
        <v>693</v>
      </c>
      <c r="C851" s="2" t="s">
        <v>67</v>
      </c>
      <c r="D851" s="2">
        <v>27.864899999999999</v>
      </c>
      <c r="E851" s="2">
        <v>4500</v>
      </c>
      <c r="F851" s="2">
        <v>278</v>
      </c>
      <c r="G851" s="2">
        <v>60.7</v>
      </c>
      <c r="H851" s="2" t="s">
        <v>68</v>
      </c>
      <c r="I851" s="4">
        <f t="shared" si="403"/>
        <v>3.3273678322836768</v>
      </c>
      <c r="J851" s="4">
        <f t="shared" si="404"/>
        <v>8.4118326757584114</v>
      </c>
      <c r="K851" s="4">
        <f t="shared" si="405"/>
        <v>5.6276211136906369</v>
      </c>
      <c r="L851" s="2">
        <v>0</v>
      </c>
      <c r="M851" s="2">
        <v>0</v>
      </c>
      <c r="N851" s="4">
        <f t="shared" si="406"/>
        <v>60.7</v>
      </c>
      <c r="O851" s="4">
        <f t="shared" si="407"/>
        <v>0</v>
      </c>
      <c r="P851" s="4">
        <f t="shared" si="408"/>
        <v>0</v>
      </c>
      <c r="Q851" s="4">
        <f t="shared" si="409"/>
        <v>8.4118326757584114</v>
      </c>
      <c r="R851" s="4">
        <f t="shared" si="410"/>
        <v>5.6276211136906369</v>
      </c>
      <c r="S851" s="4">
        <f t="shared" si="411"/>
        <v>60.7</v>
      </c>
      <c r="T851" s="4">
        <f t="shared" si="412"/>
        <v>0</v>
      </c>
      <c r="U851" s="4">
        <f t="shared" si="413"/>
        <v>8.4118326757584114</v>
      </c>
      <c r="V851" s="4">
        <f t="shared" si="414"/>
        <v>5.6276211136906369</v>
      </c>
      <c r="W851" s="4">
        <f t="shared" si="415"/>
        <v>60.7</v>
      </c>
      <c r="X851" s="4">
        <f t="shared" si="416"/>
        <v>0</v>
      </c>
      <c r="Y851" s="4">
        <f t="shared" si="417"/>
        <v>8.4118326757584114</v>
      </c>
      <c r="Z851" s="4">
        <f t="shared" si="418"/>
        <v>5.6276211136906369</v>
      </c>
      <c r="AA851" s="4">
        <f t="shared" si="419"/>
        <v>60.7</v>
      </c>
      <c r="AB851" s="4">
        <f t="shared" si="420"/>
        <v>0</v>
      </c>
      <c r="AC851" s="4">
        <f t="shared" si="421"/>
        <v>0</v>
      </c>
      <c r="AD851" s="4">
        <f t="shared" si="422"/>
        <v>0</v>
      </c>
      <c r="AE851" s="4">
        <f t="shared" si="423"/>
        <v>0</v>
      </c>
      <c r="AF851" s="4">
        <f t="shared" si="424"/>
        <v>0</v>
      </c>
      <c r="AG851" s="4">
        <f t="shared" si="425"/>
        <v>8.4118326757584114</v>
      </c>
      <c r="AH851" s="4">
        <f t="shared" si="426"/>
        <v>0</v>
      </c>
      <c r="AI851" s="4">
        <f t="shared" si="427"/>
        <v>0</v>
      </c>
      <c r="AJ851" s="4">
        <f t="shared" si="428"/>
        <v>8.4118326757584114</v>
      </c>
      <c r="AK851" s="4">
        <f t="shared" si="429"/>
        <v>5.6276211136906369</v>
      </c>
      <c r="AL851" s="4">
        <f t="shared" si="430"/>
        <v>0</v>
      </c>
      <c r="AM851" s="4">
        <f>CER!$C$7+CER!$C$8*J851+CER!$C$9*K851+CER!$C$10*L851+CER!$C$11*M851</f>
        <v>3.3734003103577788</v>
      </c>
      <c r="AN851" s="4">
        <f t="shared" si="431"/>
        <v>29.177571369810572</v>
      </c>
      <c r="AO851" s="4">
        <f t="shared" si="432"/>
        <v>-4.6032478074101935E-2</v>
      </c>
      <c r="AP851" s="4">
        <f>Alternatives!$F$25+Alternatives!$F$26*J851+Alternatives!$F$27*K851+Alternatives!$F$28*G851+Alternatives!$F$29*O851</f>
        <v>3.2703941811674948</v>
      </c>
      <c r="AQ851" s="4">
        <f t="shared" si="433"/>
        <v>5.6973651116182022E-2</v>
      </c>
    </row>
    <row r="852" spans="1:43" x14ac:dyDescent="0.35">
      <c r="A852" s="2" t="s">
        <v>721</v>
      </c>
      <c r="B852" s="2" t="s">
        <v>693</v>
      </c>
      <c r="C852" s="2" t="s">
        <v>67</v>
      </c>
      <c r="D852" s="2">
        <v>27.528300000000002</v>
      </c>
      <c r="E852" s="2">
        <v>4500</v>
      </c>
      <c r="F852" s="2">
        <v>278</v>
      </c>
      <c r="G852" s="2">
        <v>60.7</v>
      </c>
      <c r="H852" s="2" t="s">
        <v>68</v>
      </c>
      <c r="I852" s="4">
        <f t="shared" si="403"/>
        <v>3.3152145664305657</v>
      </c>
      <c r="J852" s="4">
        <f t="shared" si="404"/>
        <v>8.4118326757584114</v>
      </c>
      <c r="K852" s="4">
        <f t="shared" si="405"/>
        <v>5.6276211136906369</v>
      </c>
      <c r="L852" s="2">
        <v>0</v>
      </c>
      <c r="M852" s="2">
        <v>0</v>
      </c>
      <c r="N852" s="4">
        <f t="shared" si="406"/>
        <v>60.7</v>
      </c>
      <c r="O852" s="4">
        <f t="shared" si="407"/>
        <v>0</v>
      </c>
      <c r="P852" s="4">
        <f t="shared" si="408"/>
        <v>0</v>
      </c>
      <c r="Q852" s="4">
        <f t="shared" si="409"/>
        <v>8.4118326757584114</v>
      </c>
      <c r="R852" s="4">
        <f t="shared" si="410"/>
        <v>5.6276211136906369</v>
      </c>
      <c r="S852" s="4">
        <f t="shared" si="411"/>
        <v>60.7</v>
      </c>
      <c r="T852" s="4">
        <f t="shared" si="412"/>
        <v>0</v>
      </c>
      <c r="U852" s="4">
        <f t="shared" si="413"/>
        <v>8.4118326757584114</v>
      </c>
      <c r="V852" s="4">
        <f t="shared" si="414"/>
        <v>5.6276211136906369</v>
      </c>
      <c r="W852" s="4">
        <f t="shared" si="415"/>
        <v>60.7</v>
      </c>
      <c r="X852" s="4">
        <f t="shared" si="416"/>
        <v>0</v>
      </c>
      <c r="Y852" s="4">
        <f t="shared" si="417"/>
        <v>8.4118326757584114</v>
      </c>
      <c r="Z852" s="4">
        <f t="shared" si="418"/>
        <v>5.6276211136906369</v>
      </c>
      <c r="AA852" s="4">
        <f t="shared" si="419"/>
        <v>60.7</v>
      </c>
      <c r="AB852" s="4">
        <f t="shared" si="420"/>
        <v>0</v>
      </c>
      <c r="AC852" s="4">
        <f t="shared" si="421"/>
        <v>0</v>
      </c>
      <c r="AD852" s="4">
        <f t="shared" si="422"/>
        <v>0</v>
      </c>
      <c r="AE852" s="4">
        <f t="shared" si="423"/>
        <v>0</v>
      </c>
      <c r="AF852" s="4">
        <f t="shared" si="424"/>
        <v>0</v>
      </c>
      <c r="AG852" s="4">
        <f t="shared" si="425"/>
        <v>8.4118326757584114</v>
      </c>
      <c r="AH852" s="4">
        <f t="shared" si="426"/>
        <v>0</v>
      </c>
      <c r="AI852" s="4">
        <f t="shared" si="427"/>
        <v>0</v>
      </c>
      <c r="AJ852" s="4">
        <f t="shared" si="428"/>
        <v>8.4118326757584114</v>
      </c>
      <c r="AK852" s="4">
        <f t="shared" si="429"/>
        <v>5.6276211136906369</v>
      </c>
      <c r="AL852" s="4">
        <f t="shared" si="430"/>
        <v>0</v>
      </c>
      <c r="AM852" s="4">
        <f>CER!$C$7+CER!$C$8*J852+CER!$C$9*K852+CER!$C$10*L852+CER!$C$11*M852</f>
        <v>3.3734003103577788</v>
      </c>
      <c r="AN852" s="4">
        <f t="shared" si="431"/>
        <v>29.177571369810572</v>
      </c>
      <c r="AO852" s="4">
        <f t="shared" si="432"/>
        <v>-5.8185743927213096E-2</v>
      </c>
      <c r="AP852" s="4">
        <f>Alternatives!$F$25+Alternatives!$F$26*J852+Alternatives!$F$27*K852+Alternatives!$F$28*G852+Alternatives!$F$29*O852</f>
        <v>3.2703941811674948</v>
      </c>
      <c r="AQ852" s="4">
        <f t="shared" si="433"/>
        <v>4.4820385263070861E-2</v>
      </c>
    </row>
    <row r="853" spans="1:43" x14ac:dyDescent="0.35">
      <c r="A853" s="2" t="s">
        <v>722</v>
      </c>
      <c r="B853" s="2" t="s">
        <v>693</v>
      </c>
      <c r="C853" s="2" t="s">
        <v>33</v>
      </c>
      <c r="D853" s="2">
        <v>30.7256</v>
      </c>
      <c r="E853" s="2">
        <v>5500</v>
      </c>
      <c r="F853" s="2">
        <v>278</v>
      </c>
      <c r="G853" s="2">
        <v>50.5</v>
      </c>
      <c r="H853" s="2" t="s">
        <v>68</v>
      </c>
      <c r="I853" s="4">
        <f t="shared" si="403"/>
        <v>3.4250961833330313</v>
      </c>
      <c r="J853" s="4">
        <f t="shared" si="404"/>
        <v>8.6125033712205621</v>
      </c>
      <c r="K853" s="4">
        <f t="shared" si="405"/>
        <v>5.6276211136906369</v>
      </c>
      <c r="L853" s="2">
        <v>1</v>
      </c>
      <c r="M853" s="2">
        <v>0</v>
      </c>
      <c r="N853" s="4">
        <f t="shared" si="406"/>
        <v>50.5</v>
      </c>
      <c r="O853" s="4">
        <f t="shared" si="407"/>
        <v>1</v>
      </c>
      <c r="P853" s="4">
        <f t="shared" si="408"/>
        <v>1</v>
      </c>
      <c r="Q853" s="4">
        <f t="shared" si="409"/>
        <v>8.6125033712205621</v>
      </c>
      <c r="R853" s="4">
        <f t="shared" si="410"/>
        <v>5.6276211136906369</v>
      </c>
      <c r="S853" s="4">
        <f t="shared" si="411"/>
        <v>50.5</v>
      </c>
      <c r="T853" s="4">
        <f t="shared" si="412"/>
        <v>1</v>
      </c>
      <c r="U853" s="4">
        <f t="shared" si="413"/>
        <v>8.6125033712205621</v>
      </c>
      <c r="V853" s="4">
        <f t="shared" si="414"/>
        <v>5.6276211136906369</v>
      </c>
      <c r="W853" s="4">
        <f t="shared" si="415"/>
        <v>50.5</v>
      </c>
      <c r="X853" s="4">
        <f t="shared" si="416"/>
        <v>1</v>
      </c>
      <c r="Y853" s="4">
        <f t="shared" si="417"/>
        <v>8.6125033712205621</v>
      </c>
      <c r="Z853" s="4">
        <f t="shared" si="418"/>
        <v>5.6276211136906369</v>
      </c>
      <c r="AA853" s="4">
        <f t="shared" si="419"/>
        <v>50.5</v>
      </c>
      <c r="AB853" s="4">
        <f t="shared" si="420"/>
        <v>1</v>
      </c>
      <c r="AC853" s="4">
        <f t="shared" si="421"/>
        <v>0</v>
      </c>
      <c r="AD853" s="4">
        <f t="shared" si="422"/>
        <v>0</v>
      </c>
      <c r="AE853" s="4">
        <f t="shared" si="423"/>
        <v>0</v>
      </c>
      <c r="AF853" s="4">
        <f t="shared" si="424"/>
        <v>0</v>
      </c>
      <c r="AG853" s="4">
        <f t="shared" si="425"/>
        <v>8.6125033712205621</v>
      </c>
      <c r="AH853" s="4">
        <f t="shared" si="426"/>
        <v>1</v>
      </c>
      <c r="AI853" s="4">
        <f t="shared" si="427"/>
        <v>0</v>
      </c>
      <c r="AJ853" s="4">
        <f t="shared" si="428"/>
        <v>8.6125033712205621</v>
      </c>
      <c r="AK853" s="4">
        <f t="shared" si="429"/>
        <v>5.6276211136906369</v>
      </c>
      <c r="AL853" s="4">
        <f t="shared" si="430"/>
        <v>0</v>
      </c>
      <c r="AM853" s="4">
        <f>CER!$C$7+CER!$C$8*J853+CER!$C$9*K853+CER!$C$10*L853+CER!$C$11*M853</f>
        <v>3.506308426449734</v>
      </c>
      <c r="AN853" s="4">
        <f t="shared" si="431"/>
        <v>33.325018674834077</v>
      </c>
      <c r="AO853" s="4">
        <f t="shared" si="432"/>
        <v>-8.1212243116702609E-2</v>
      </c>
      <c r="AP853" s="4">
        <f>Alternatives!$F$25+Alternatives!$F$26*J853+Alternatives!$F$27*K853+Alternatives!$F$28*G853+Alternatives!$F$29*O853</f>
        <v>4.3220741290116633</v>
      </c>
      <c r="AQ853" s="4">
        <f t="shared" si="433"/>
        <v>-0.89697794567863198</v>
      </c>
    </row>
    <row r="854" spans="1:43" x14ac:dyDescent="0.35">
      <c r="A854" s="2" t="s">
        <v>723</v>
      </c>
      <c r="B854" s="2" t="s">
        <v>693</v>
      </c>
      <c r="C854" s="2" t="s">
        <v>67</v>
      </c>
      <c r="D854" s="2">
        <v>32.877099999999999</v>
      </c>
      <c r="E854" s="2">
        <v>4500</v>
      </c>
      <c r="F854" s="2">
        <v>265</v>
      </c>
      <c r="G854" s="2">
        <v>51</v>
      </c>
      <c r="H854" s="2" t="s">
        <v>68</v>
      </c>
      <c r="I854" s="4">
        <f t="shared" si="403"/>
        <v>3.4927763667847915</v>
      </c>
      <c r="J854" s="4">
        <f t="shared" si="404"/>
        <v>8.4118326757584114</v>
      </c>
      <c r="K854" s="4">
        <f t="shared" si="405"/>
        <v>5.579729825986222</v>
      </c>
      <c r="L854" s="2">
        <v>0</v>
      </c>
      <c r="M854" s="2">
        <v>0</v>
      </c>
      <c r="N854" s="4">
        <f t="shared" si="406"/>
        <v>51</v>
      </c>
      <c r="O854" s="4">
        <f t="shared" si="407"/>
        <v>0</v>
      </c>
      <c r="P854" s="4">
        <f t="shared" si="408"/>
        <v>0</v>
      </c>
      <c r="Q854" s="4">
        <f t="shared" si="409"/>
        <v>8.4118326757584114</v>
      </c>
      <c r="R854" s="4">
        <f t="shared" si="410"/>
        <v>5.579729825986222</v>
      </c>
      <c r="S854" s="4">
        <f t="shared" si="411"/>
        <v>51</v>
      </c>
      <c r="T854" s="4">
        <f t="shared" si="412"/>
        <v>0</v>
      </c>
      <c r="U854" s="4">
        <f t="shared" si="413"/>
        <v>8.4118326757584114</v>
      </c>
      <c r="V854" s="4">
        <f t="shared" si="414"/>
        <v>5.579729825986222</v>
      </c>
      <c r="W854" s="4">
        <f t="shared" si="415"/>
        <v>51</v>
      </c>
      <c r="X854" s="4">
        <f t="shared" si="416"/>
        <v>0</v>
      </c>
      <c r="Y854" s="4">
        <f t="shared" si="417"/>
        <v>8.4118326757584114</v>
      </c>
      <c r="Z854" s="4">
        <f t="shared" si="418"/>
        <v>5.579729825986222</v>
      </c>
      <c r="AA854" s="4">
        <f t="shared" si="419"/>
        <v>51</v>
      </c>
      <c r="AB854" s="4">
        <f t="shared" si="420"/>
        <v>0</v>
      </c>
      <c r="AC854" s="4">
        <f t="shared" si="421"/>
        <v>0</v>
      </c>
      <c r="AD854" s="4">
        <f t="shared" si="422"/>
        <v>0</v>
      </c>
      <c r="AE854" s="4">
        <f t="shared" si="423"/>
        <v>0</v>
      </c>
      <c r="AF854" s="4">
        <f t="shared" si="424"/>
        <v>0</v>
      </c>
      <c r="AG854" s="4">
        <f t="shared" si="425"/>
        <v>8.4118326757584114</v>
      </c>
      <c r="AH854" s="4">
        <f t="shared" si="426"/>
        <v>0</v>
      </c>
      <c r="AI854" s="4">
        <f t="shared" si="427"/>
        <v>0</v>
      </c>
      <c r="AJ854" s="4">
        <f t="shared" si="428"/>
        <v>8.4118326757584114</v>
      </c>
      <c r="AK854" s="4">
        <f t="shared" si="429"/>
        <v>5.579729825986222</v>
      </c>
      <c r="AL854" s="4">
        <f t="shared" si="430"/>
        <v>0</v>
      </c>
      <c r="AM854" s="4">
        <f>CER!$C$7+CER!$C$8*J854+CER!$C$9*K854+CER!$C$10*L854+CER!$C$11*M854</f>
        <v>3.3910694999053375</v>
      </c>
      <c r="AN854" s="4">
        <f t="shared" si="431"/>
        <v>29.697696975967695</v>
      </c>
      <c r="AO854" s="4">
        <f t="shared" si="432"/>
        <v>0.10170686687945407</v>
      </c>
      <c r="AP854" s="4">
        <f>Alternatives!$F$25+Alternatives!$F$26*J854+Alternatives!$F$27*K854+Alternatives!$F$28*G854+Alternatives!$F$29*O854</f>
        <v>3.4093094812612872</v>
      </c>
      <c r="AQ854" s="4">
        <f t="shared" si="433"/>
        <v>8.3466885523504342E-2</v>
      </c>
    </row>
    <row r="855" spans="1:43" x14ac:dyDescent="0.35">
      <c r="A855" s="2" t="s">
        <v>723</v>
      </c>
      <c r="B855" s="2" t="s">
        <v>693</v>
      </c>
      <c r="C855" s="2" t="s">
        <v>67</v>
      </c>
      <c r="D855" s="2">
        <v>31.4314</v>
      </c>
      <c r="E855" s="2">
        <v>4500</v>
      </c>
      <c r="F855" s="2">
        <v>265</v>
      </c>
      <c r="G855" s="2">
        <v>51</v>
      </c>
      <c r="H855" s="2" t="s">
        <v>68</v>
      </c>
      <c r="I855" s="4">
        <f t="shared" si="403"/>
        <v>3.4478073932472912</v>
      </c>
      <c r="J855" s="4">
        <f t="shared" si="404"/>
        <v>8.4118326757584114</v>
      </c>
      <c r="K855" s="4">
        <f t="shared" si="405"/>
        <v>5.579729825986222</v>
      </c>
      <c r="L855" s="2">
        <v>0</v>
      </c>
      <c r="M855" s="2">
        <v>0</v>
      </c>
      <c r="N855" s="4">
        <f t="shared" si="406"/>
        <v>51</v>
      </c>
      <c r="O855" s="4">
        <f t="shared" si="407"/>
        <v>0</v>
      </c>
      <c r="P855" s="4">
        <f t="shared" si="408"/>
        <v>0</v>
      </c>
      <c r="Q855" s="4">
        <f t="shared" si="409"/>
        <v>8.4118326757584114</v>
      </c>
      <c r="R855" s="4">
        <f t="shared" si="410"/>
        <v>5.579729825986222</v>
      </c>
      <c r="S855" s="4">
        <f t="shared" si="411"/>
        <v>51</v>
      </c>
      <c r="T855" s="4">
        <f t="shared" si="412"/>
        <v>0</v>
      </c>
      <c r="U855" s="4">
        <f t="shared" si="413"/>
        <v>8.4118326757584114</v>
      </c>
      <c r="V855" s="4">
        <f t="shared" si="414"/>
        <v>5.579729825986222</v>
      </c>
      <c r="W855" s="4">
        <f t="shared" si="415"/>
        <v>51</v>
      </c>
      <c r="X855" s="4">
        <f t="shared" si="416"/>
        <v>0</v>
      </c>
      <c r="Y855" s="4">
        <f t="shared" si="417"/>
        <v>8.4118326757584114</v>
      </c>
      <c r="Z855" s="4">
        <f t="shared" si="418"/>
        <v>5.579729825986222</v>
      </c>
      <c r="AA855" s="4">
        <f t="shared" si="419"/>
        <v>51</v>
      </c>
      <c r="AB855" s="4">
        <f t="shared" si="420"/>
        <v>0</v>
      </c>
      <c r="AC855" s="4">
        <f t="shared" si="421"/>
        <v>0</v>
      </c>
      <c r="AD855" s="4">
        <f t="shared" si="422"/>
        <v>0</v>
      </c>
      <c r="AE855" s="4">
        <f t="shared" si="423"/>
        <v>0</v>
      </c>
      <c r="AF855" s="4">
        <f t="shared" si="424"/>
        <v>0</v>
      </c>
      <c r="AG855" s="4">
        <f t="shared" si="425"/>
        <v>8.4118326757584114</v>
      </c>
      <c r="AH855" s="4">
        <f t="shared" si="426"/>
        <v>0</v>
      </c>
      <c r="AI855" s="4">
        <f t="shared" si="427"/>
        <v>0</v>
      </c>
      <c r="AJ855" s="4">
        <f t="shared" si="428"/>
        <v>8.4118326757584114</v>
      </c>
      <c r="AK855" s="4">
        <f t="shared" si="429"/>
        <v>5.579729825986222</v>
      </c>
      <c r="AL855" s="4">
        <f t="shared" si="430"/>
        <v>0</v>
      </c>
      <c r="AM855" s="4">
        <f>CER!$C$7+CER!$C$8*J855+CER!$C$9*K855+CER!$C$10*L855+CER!$C$11*M855</f>
        <v>3.3910694999053375</v>
      </c>
      <c r="AN855" s="4">
        <f t="shared" si="431"/>
        <v>29.697696975967695</v>
      </c>
      <c r="AO855" s="4">
        <f t="shared" si="432"/>
        <v>5.6737893341953782E-2</v>
      </c>
      <c r="AP855" s="4">
        <f>Alternatives!$F$25+Alternatives!$F$26*J855+Alternatives!$F$27*K855+Alternatives!$F$28*G855+Alternatives!$F$29*O855</f>
        <v>3.4093094812612872</v>
      </c>
      <c r="AQ855" s="4">
        <f t="shared" si="433"/>
        <v>3.8497911986004052E-2</v>
      </c>
    </row>
    <row r="856" spans="1:43" x14ac:dyDescent="0.35">
      <c r="A856" s="2" t="s">
        <v>724</v>
      </c>
      <c r="B856" s="2" t="s">
        <v>693</v>
      </c>
      <c r="C856" s="2" t="s">
        <v>67</v>
      </c>
      <c r="D856" s="2">
        <v>31.425999999999998</v>
      </c>
      <c r="E856" s="2">
        <v>4500</v>
      </c>
      <c r="F856" s="2">
        <v>265</v>
      </c>
      <c r="G856" s="2">
        <v>51</v>
      </c>
      <c r="H856" s="2" t="s">
        <v>68</v>
      </c>
      <c r="I856" s="4">
        <f t="shared" si="403"/>
        <v>3.44763557576794</v>
      </c>
      <c r="J856" s="4">
        <f t="shared" si="404"/>
        <v>8.4118326757584114</v>
      </c>
      <c r="K856" s="4">
        <f t="shared" si="405"/>
        <v>5.579729825986222</v>
      </c>
      <c r="L856" s="2">
        <v>0</v>
      </c>
      <c r="M856" s="2">
        <v>0</v>
      </c>
      <c r="N856" s="4">
        <f t="shared" si="406"/>
        <v>51</v>
      </c>
      <c r="O856" s="4">
        <f t="shared" si="407"/>
        <v>0</v>
      </c>
      <c r="P856" s="4">
        <f t="shared" si="408"/>
        <v>0</v>
      </c>
      <c r="Q856" s="4">
        <f t="shared" si="409"/>
        <v>8.4118326757584114</v>
      </c>
      <c r="R856" s="4">
        <f t="shared" si="410"/>
        <v>5.579729825986222</v>
      </c>
      <c r="S856" s="4">
        <f t="shared" si="411"/>
        <v>51</v>
      </c>
      <c r="T856" s="4">
        <f t="shared" si="412"/>
        <v>0</v>
      </c>
      <c r="U856" s="4">
        <f t="shared" si="413"/>
        <v>8.4118326757584114</v>
      </c>
      <c r="V856" s="4">
        <f t="shared" si="414"/>
        <v>5.579729825986222</v>
      </c>
      <c r="W856" s="4">
        <f t="shared" si="415"/>
        <v>51</v>
      </c>
      <c r="X856" s="4">
        <f t="shared" si="416"/>
        <v>0</v>
      </c>
      <c r="Y856" s="4">
        <f t="shared" si="417"/>
        <v>8.4118326757584114</v>
      </c>
      <c r="Z856" s="4">
        <f t="shared" si="418"/>
        <v>5.579729825986222</v>
      </c>
      <c r="AA856" s="4">
        <f t="shared" si="419"/>
        <v>51</v>
      </c>
      <c r="AB856" s="4">
        <f t="shared" si="420"/>
        <v>0</v>
      </c>
      <c r="AC856" s="4">
        <f t="shared" si="421"/>
        <v>0</v>
      </c>
      <c r="AD856" s="4">
        <f t="shared" si="422"/>
        <v>0</v>
      </c>
      <c r="AE856" s="4">
        <f t="shared" si="423"/>
        <v>0</v>
      </c>
      <c r="AF856" s="4">
        <f t="shared" si="424"/>
        <v>0</v>
      </c>
      <c r="AG856" s="4">
        <f t="shared" si="425"/>
        <v>8.4118326757584114</v>
      </c>
      <c r="AH856" s="4">
        <f t="shared" si="426"/>
        <v>0</v>
      </c>
      <c r="AI856" s="4">
        <f t="shared" si="427"/>
        <v>0</v>
      </c>
      <c r="AJ856" s="4">
        <f t="shared" si="428"/>
        <v>8.4118326757584114</v>
      </c>
      <c r="AK856" s="4">
        <f t="shared" si="429"/>
        <v>5.579729825986222</v>
      </c>
      <c r="AL856" s="4">
        <f t="shared" si="430"/>
        <v>0</v>
      </c>
      <c r="AM856" s="4">
        <f>CER!$C$7+CER!$C$8*J856+CER!$C$9*K856+CER!$C$10*L856+CER!$C$11*M856</f>
        <v>3.3910694999053375</v>
      </c>
      <c r="AN856" s="4">
        <f t="shared" si="431"/>
        <v>29.697696975967695</v>
      </c>
      <c r="AO856" s="4">
        <f t="shared" si="432"/>
        <v>5.6566075862602538E-2</v>
      </c>
      <c r="AP856" s="4">
        <f>Alternatives!$F$25+Alternatives!$F$26*J856+Alternatives!$F$27*K856+Alternatives!$F$28*G856+Alternatives!$F$29*O856</f>
        <v>3.4093094812612872</v>
      </c>
      <c r="AQ856" s="4">
        <f t="shared" si="433"/>
        <v>3.8326094506652808E-2</v>
      </c>
    </row>
    <row r="857" spans="1:43" x14ac:dyDescent="0.35">
      <c r="A857" s="2" t="s">
        <v>725</v>
      </c>
      <c r="B857" s="2" t="s">
        <v>693</v>
      </c>
      <c r="C857" s="2" t="s">
        <v>33</v>
      </c>
      <c r="D857" s="2">
        <v>47.052399999999999</v>
      </c>
      <c r="E857" s="2">
        <v>4500</v>
      </c>
      <c r="F857" s="2">
        <v>186</v>
      </c>
      <c r="G857" s="2">
        <v>51</v>
      </c>
      <c r="H857" s="2" t="s">
        <v>68</v>
      </c>
      <c r="I857" s="4">
        <f t="shared" si="403"/>
        <v>3.8512618742947384</v>
      </c>
      <c r="J857" s="4">
        <f t="shared" si="404"/>
        <v>8.4118326757584114</v>
      </c>
      <c r="K857" s="4">
        <f t="shared" si="405"/>
        <v>5.2257466737132017</v>
      </c>
      <c r="L857" s="2">
        <v>1</v>
      </c>
      <c r="M857" s="2">
        <v>0</v>
      </c>
      <c r="N857" s="4">
        <f t="shared" si="406"/>
        <v>51</v>
      </c>
      <c r="O857" s="4">
        <f t="shared" si="407"/>
        <v>1</v>
      </c>
      <c r="P857" s="4">
        <f t="shared" si="408"/>
        <v>1</v>
      </c>
      <c r="Q857" s="4">
        <f t="shared" si="409"/>
        <v>8.4118326757584114</v>
      </c>
      <c r="R857" s="4">
        <f t="shared" si="410"/>
        <v>5.2257466737132017</v>
      </c>
      <c r="S857" s="4">
        <f t="shared" si="411"/>
        <v>51</v>
      </c>
      <c r="T857" s="4">
        <f t="shared" si="412"/>
        <v>1</v>
      </c>
      <c r="U857" s="4">
        <f t="shared" si="413"/>
        <v>8.4118326757584114</v>
      </c>
      <c r="V857" s="4">
        <f t="shared" si="414"/>
        <v>5.2257466737132017</v>
      </c>
      <c r="W857" s="4">
        <f t="shared" si="415"/>
        <v>51</v>
      </c>
      <c r="X857" s="4">
        <f t="shared" si="416"/>
        <v>1</v>
      </c>
      <c r="Y857" s="4">
        <f t="shared" si="417"/>
        <v>8.4118326757584114</v>
      </c>
      <c r="Z857" s="4">
        <f t="shared" si="418"/>
        <v>5.2257466737132017</v>
      </c>
      <c r="AA857" s="4">
        <f t="shared" si="419"/>
        <v>51</v>
      </c>
      <c r="AB857" s="4">
        <f t="shared" si="420"/>
        <v>1</v>
      </c>
      <c r="AC857" s="4">
        <f t="shared" si="421"/>
        <v>0</v>
      </c>
      <c r="AD857" s="4">
        <f t="shared" si="422"/>
        <v>0</v>
      </c>
      <c r="AE857" s="4">
        <f t="shared" si="423"/>
        <v>0</v>
      </c>
      <c r="AF857" s="4">
        <f t="shared" si="424"/>
        <v>0</v>
      </c>
      <c r="AG857" s="4">
        <f t="shared" si="425"/>
        <v>8.4118326757584114</v>
      </c>
      <c r="AH857" s="4">
        <f t="shared" si="426"/>
        <v>1</v>
      </c>
      <c r="AI857" s="4">
        <f t="shared" si="427"/>
        <v>0</v>
      </c>
      <c r="AJ857" s="4">
        <f t="shared" si="428"/>
        <v>8.4118326757584114</v>
      </c>
      <c r="AK857" s="4">
        <f t="shared" si="429"/>
        <v>5.2257466737132017</v>
      </c>
      <c r="AL857" s="4">
        <f t="shared" si="430"/>
        <v>0</v>
      </c>
      <c r="AM857" s="4">
        <f>CER!$C$7+CER!$C$8*J857+CER!$C$9*K857+CER!$C$10*L857+CER!$C$11*M857</f>
        <v>3.7454229287206591</v>
      </c>
      <c r="AN857" s="4">
        <f t="shared" si="431"/>
        <v>42.326904697545338</v>
      </c>
      <c r="AO857" s="4">
        <f t="shared" si="432"/>
        <v>0.10583894557407936</v>
      </c>
      <c r="AP857" s="4">
        <f>Alternatives!$F$25+Alternatives!$F$26*J857+Alternatives!$F$27*K857+Alternatives!$F$28*G857+Alternatives!$F$29*O857</f>
        <v>4.3482478554617465</v>
      </c>
      <c r="AQ857" s="4">
        <f t="shared" si="433"/>
        <v>-0.4969859811670081</v>
      </c>
    </row>
    <row r="858" spans="1:43" x14ac:dyDescent="0.35">
      <c r="A858" s="2" t="s">
        <v>726</v>
      </c>
      <c r="B858" s="2" t="s">
        <v>693</v>
      </c>
      <c r="C858" s="2" t="s">
        <v>33</v>
      </c>
      <c r="D858" s="2">
        <v>47.652500000000003</v>
      </c>
      <c r="E858" s="2">
        <v>5000</v>
      </c>
      <c r="F858" s="2">
        <v>186</v>
      </c>
      <c r="G858" s="2">
        <v>51</v>
      </c>
      <c r="H858" s="2" t="s">
        <v>68</v>
      </c>
      <c r="I858" s="4">
        <f t="shared" si="403"/>
        <v>3.8639350946210911</v>
      </c>
      <c r="J858" s="4">
        <f t="shared" si="404"/>
        <v>8.5171931914162382</v>
      </c>
      <c r="K858" s="4">
        <f t="shared" si="405"/>
        <v>5.2257466737132017</v>
      </c>
      <c r="L858" s="2">
        <v>1</v>
      </c>
      <c r="M858" s="2">
        <v>0</v>
      </c>
      <c r="N858" s="4">
        <f t="shared" si="406"/>
        <v>51</v>
      </c>
      <c r="O858" s="4">
        <f t="shared" si="407"/>
        <v>1</v>
      </c>
      <c r="P858" s="4">
        <f t="shared" si="408"/>
        <v>1</v>
      </c>
      <c r="Q858" s="4">
        <f t="shared" si="409"/>
        <v>8.5171931914162382</v>
      </c>
      <c r="R858" s="4">
        <f t="shared" si="410"/>
        <v>5.2257466737132017</v>
      </c>
      <c r="S858" s="4">
        <f t="shared" si="411"/>
        <v>51</v>
      </c>
      <c r="T858" s="4">
        <f t="shared" si="412"/>
        <v>1</v>
      </c>
      <c r="U858" s="4">
        <f t="shared" si="413"/>
        <v>8.5171931914162382</v>
      </c>
      <c r="V858" s="4">
        <f t="shared" si="414"/>
        <v>5.2257466737132017</v>
      </c>
      <c r="W858" s="4">
        <f t="shared" si="415"/>
        <v>51</v>
      </c>
      <c r="X858" s="4">
        <f t="shared" si="416"/>
        <v>1</v>
      </c>
      <c r="Y858" s="4">
        <f t="shared" si="417"/>
        <v>8.5171931914162382</v>
      </c>
      <c r="Z858" s="4">
        <f t="shared" si="418"/>
        <v>5.2257466737132017</v>
      </c>
      <c r="AA858" s="4">
        <f t="shared" si="419"/>
        <v>51</v>
      </c>
      <c r="AB858" s="4">
        <f t="shared" si="420"/>
        <v>1</v>
      </c>
      <c r="AC858" s="4">
        <f t="shared" si="421"/>
        <v>0</v>
      </c>
      <c r="AD858" s="4">
        <f t="shared" si="422"/>
        <v>0</v>
      </c>
      <c r="AE858" s="4">
        <f t="shared" si="423"/>
        <v>0</v>
      </c>
      <c r="AF858" s="4">
        <f t="shared" si="424"/>
        <v>0</v>
      </c>
      <c r="AG858" s="4">
        <f t="shared" si="425"/>
        <v>8.5171931914162382</v>
      </c>
      <c r="AH858" s="4">
        <f t="shared" si="426"/>
        <v>1</v>
      </c>
      <c r="AI858" s="4">
        <f t="shared" si="427"/>
        <v>0</v>
      </c>
      <c r="AJ858" s="4">
        <f t="shared" si="428"/>
        <v>8.5171931914162382</v>
      </c>
      <c r="AK858" s="4">
        <f t="shared" si="429"/>
        <v>5.2257466737132017</v>
      </c>
      <c r="AL858" s="4">
        <f t="shared" si="430"/>
        <v>0</v>
      </c>
      <c r="AM858" s="4">
        <f>CER!$C$7+CER!$C$8*J858+CER!$C$9*K858+CER!$C$10*L858+CER!$C$11*M858</f>
        <v>3.6977252624339343</v>
      </c>
      <c r="AN858" s="4">
        <f t="shared" si="431"/>
        <v>40.355401923983905</v>
      </c>
      <c r="AO858" s="4">
        <f t="shared" si="432"/>
        <v>0.16620983218715679</v>
      </c>
      <c r="AP858" s="4">
        <f>Alternatives!$F$25+Alternatives!$F$26*J858+Alternatives!$F$27*K858+Alternatives!$F$28*G858+Alternatives!$F$29*O858</f>
        <v>4.3872403049514777</v>
      </c>
      <c r="AQ858" s="4">
        <f t="shared" si="433"/>
        <v>-0.52330521033038657</v>
      </c>
    </row>
    <row r="859" spans="1:43" x14ac:dyDescent="0.35">
      <c r="A859" s="2" t="s">
        <v>727</v>
      </c>
      <c r="B859" s="2" t="s">
        <v>693</v>
      </c>
      <c r="C859" s="2" t="s">
        <v>33</v>
      </c>
      <c r="D859" s="2">
        <v>48.7988</v>
      </c>
      <c r="E859" s="2">
        <v>4500</v>
      </c>
      <c r="F859" s="2">
        <v>186</v>
      </c>
      <c r="G859" s="2">
        <v>51</v>
      </c>
      <c r="H859" s="2" t="s">
        <v>68</v>
      </c>
      <c r="I859" s="4">
        <f t="shared" si="403"/>
        <v>3.8877057223928242</v>
      </c>
      <c r="J859" s="4">
        <f t="shared" si="404"/>
        <v>8.4118326757584114</v>
      </c>
      <c r="K859" s="4">
        <f t="shared" si="405"/>
        <v>5.2257466737132017</v>
      </c>
      <c r="L859" s="2">
        <v>1</v>
      </c>
      <c r="M859" s="2">
        <v>0</v>
      </c>
      <c r="N859" s="4">
        <f t="shared" si="406"/>
        <v>51</v>
      </c>
      <c r="O859" s="4">
        <f t="shared" si="407"/>
        <v>1</v>
      </c>
      <c r="P859" s="4">
        <f t="shared" si="408"/>
        <v>1</v>
      </c>
      <c r="Q859" s="4">
        <f t="shared" si="409"/>
        <v>8.4118326757584114</v>
      </c>
      <c r="R859" s="4">
        <f t="shared" si="410"/>
        <v>5.2257466737132017</v>
      </c>
      <c r="S859" s="4">
        <f t="shared" si="411"/>
        <v>51</v>
      </c>
      <c r="T859" s="4">
        <f t="shared" si="412"/>
        <v>1</v>
      </c>
      <c r="U859" s="4">
        <f t="shared" si="413"/>
        <v>8.4118326757584114</v>
      </c>
      <c r="V859" s="4">
        <f t="shared" si="414"/>
        <v>5.2257466737132017</v>
      </c>
      <c r="W859" s="4">
        <f t="shared" si="415"/>
        <v>51</v>
      </c>
      <c r="X859" s="4">
        <f t="shared" si="416"/>
        <v>1</v>
      </c>
      <c r="Y859" s="4">
        <f t="shared" si="417"/>
        <v>8.4118326757584114</v>
      </c>
      <c r="Z859" s="4">
        <f t="shared" si="418"/>
        <v>5.2257466737132017</v>
      </c>
      <c r="AA859" s="4">
        <f t="shared" si="419"/>
        <v>51</v>
      </c>
      <c r="AB859" s="4">
        <f t="shared" si="420"/>
        <v>1</v>
      </c>
      <c r="AC859" s="4">
        <f t="shared" si="421"/>
        <v>0</v>
      </c>
      <c r="AD859" s="4">
        <f t="shared" si="422"/>
        <v>0</v>
      </c>
      <c r="AE859" s="4">
        <f t="shared" si="423"/>
        <v>0</v>
      </c>
      <c r="AF859" s="4">
        <f t="shared" si="424"/>
        <v>0</v>
      </c>
      <c r="AG859" s="4">
        <f t="shared" si="425"/>
        <v>8.4118326757584114</v>
      </c>
      <c r="AH859" s="4">
        <f t="shared" si="426"/>
        <v>1</v>
      </c>
      <c r="AI859" s="4">
        <f t="shared" si="427"/>
        <v>0</v>
      </c>
      <c r="AJ859" s="4">
        <f t="shared" si="428"/>
        <v>8.4118326757584114</v>
      </c>
      <c r="AK859" s="4">
        <f t="shared" si="429"/>
        <v>5.2257466737132017</v>
      </c>
      <c r="AL859" s="4">
        <f t="shared" si="430"/>
        <v>0</v>
      </c>
      <c r="AM859" s="4">
        <f>CER!$C$7+CER!$C$8*J859+CER!$C$9*K859+CER!$C$10*L859+CER!$C$11*M859</f>
        <v>3.7454229287206591</v>
      </c>
      <c r="AN859" s="4">
        <f t="shared" si="431"/>
        <v>42.326904697545338</v>
      </c>
      <c r="AO859" s="4">
        <f t="shared" si="432"/>
        <v>0.14228279367216512</v>
      </c>
      <c r="AP859" s="4">
        <f>Alternatives!$F$25+Alternatives!$F$26*J859+Alternatives!$F$27*K859+Alternatives!$F$28*G859+Alternatives!$F$29*O859</f>
        <v>4.3482478554617465</v>
      </c>
      <c r="AQ859" s="4">
        <f t="shared" si="433"/>
        <v>-0.46054213306892233</v>
      </c>
    </row>
    <row r="860" spans="1:43" x14ac:dyDescent="0.35">
      <c r="A860" s="2" t="s">
        <v>728</v>
      </c>
      <c r="B860" s="2" t="s">
        <v>693</v>
      </c>
      <c r="C860" s="2" t="s">
        <v>67</v>
      </c>
      <c r="D860" s="2">
        <v>25.7271</v>
      </c>
      <c r="E860" s="2">
        <v>5500</v>
      </c>
      <c r="F860" s="2">
        <v>358</v>
      </c>
      <c r="G860" s="2">
        <v>69.5</v>
      </c>
      <c r="H860" s="2" t="s">
        <v>68</v>
      </c>
      <c r="I860" s="4">
        <f t="shared" si="403"/>
        <v>3.2475449110414107</v>
      </c>
      <c r="J860" s="4">
        <f t="shared" si="404"/>
        <v>8.6125033712205621</v>
      </c>
      <c r="K860" s="4">
        <f t="shared" si="405"/>
        <v>5.8805329864007003</v>
      </c>
      <c r="L860" s="2">
        <v>0</v>
      </c>
      <c r="M860" s="2">
        <v>0</v>
      </c>
      <c r="N860" s="4">
        <f t="shared" si="406"/>
        <v>69.5</v>
      </c>
      <c r="O860" s="4">
        <f t="shared" si="407"/>
        <v>0</v>
      </c>
      <c r="P860" s="4">
        <f t="shared" si="408"/>
        <v>0</v>
      </c>
      <c r="Q860" s="4">
        <f t="shared" si="409"/>
        <v>8.6125033712205621</v>
      </c>
      <c r="R860" s="4">
        <f t="shared" si="410"/>
        <v>5.8805329864007003</v>
      </c>
      <c r="S860" s="4">
        <f t="shared" si="411"/>
        <v>69.5</v>
      </c>
      <c r="T860" s="4">
        <f t="shared" si="412"/>
        <v>0</v>
      </c>
      <c r="U860" s="4">
        <f t="shared" si="413"/>
        <v>8.6125033712205621</v>
      </c>
      <c r="V860" s="4">
        <f t="shared" si="414"/>
        <v>5.8805329864007003</v>
      </c>
      <c r="W860" s="4">
        <f t="shared" si="415"/>
        <v>69.5</v>
      </c>
      <c r="X860" s="4">
        <f t="shared" si="416"/>
        <v>0</v>
      </c>
      <c r="Y860" s="4">
        <f t="shared" si="417"/>
        <v>8.6125033712205621</v>
      </c>
      <c r="Z860" s="4">
        <f t="shared" si="418"/>
        <v>5.8805329864007003</v>
      </c>
      <c r="AA860" s="4">
        <f t="shared" si="419"/>
        <v>69.5</v>
      </c>
      <c r="AB860" s="4">
        <f t="shared" si="420"/>
        <v>0</v>
      </c>
      <c r="AC860" s="4">
        <f t="shared" si="421"/>
        <v>0</v>
      </c>
      <c r="AD860" s="4">
        <f t="shared" si="422"/>
        <v>0</v>
      </c>
      <c r="AE860" s="4">
        <f t="shared" si="423"/>
        <v>0</v>
      </c>
      <c r="AF860" s="4">
        <f t="shared" si="424"/>
        <v>0</v>
      </c>
      <c r="AG860" s="4">
        <f t="shared" si="425"/>
        <v>8.6125033712205621</v>
      </c>
      <c r="AH860" s="4">
        <f t="shared" si="426"/>
        <v>0</v>
      </c>
      <c r="AI860" s="4">
        <f t="shared" si="427"/>
        <v>0</v>
      </c>
      <c r="AJ860" s="4">
        <f t="shared" si="428"/>
        <v>8.6125033712205621</v>
      </c>
      <c r="AK860" s="4">
        <f t="shared" si="429"/>
        <v>5.8805329864007003</v>
      </c>
      <c r="AL860" s="4">
        <f t="shared" si="430"/>
        <v>0</v>
      </c>
      <c r="AM860" s="4">
        <f>CER!$C$7+CER!$C$8*J860+CER!$C$9*K860+CER!$C$10*L860+CER!$C$11*M860</f>
        <v>3.1892446108816999</v>
      </c>
      <c r="AN860" s="4">
        <f t="shared" si="431"/>
        <v>24.270087157201715</v>
      </c>
      <c r="AO860" s="4">
        <f t="shared" si="432"/>
        <v>5.8300300159710883E-2</v>
      </c>
      <c r="AP860" s="4">
        <f>Alternatives!$F$25+Alternatives!$F$26*J860+Alternatives!$F$27*K860+Alternatives!$F$28*G860+Alternatives!$F$29*O860</f>
        <v>3.1628928534699625</v>
      </c>
      <c r="AQ860" s="4">
        <f t="shared" si="433"/>
        <v>8.4652057571448225E-2</v>
      </c>
    </row>
    <row r="861" spans="1:43" x14ac:dyDescent="0.35">
      <c r="A861" s="2" t="s">
        <v>728</v>
      </c>
      <c r="B861" s="2" t="s">
        <v>693</v>
      </c>
      <c r="C861" s="2" t="s">
        <v>67</v>
      </c>
      <c r="D861" s="2">
        <v>26.2715</v>
      </c>
      <c r="E861" s="2">
        <v>5500</v>
      </c>
      <c r="F861" s="2">
        <v>389</v>
      </c>
      <c r="G861" s="2">
        <v>69.5</v>
      </c>
      <c r="H861" s="2" t="s">
        <v>68</v>
      </c>
      <c r="I861" s="4">
        <f t="shared" si="403"/>
        <v>3.2684847014202165</v>
      </c>
      <c r="J861" s="4">
        <f t="shared" si="404"/>
        <v>8.6125033712205621</v>
      </c>
      <c r="K861" s="4">
        <f t="shared" si="405"/>
        <v>5.9635793436184459</v>
      </c>
      <c r="L861" s="2">
        <v>0</v>
      </c>
      <c r="M861" s="2">
        <v>0</v>
      </c>
      <c r="N861" s="4">
        <f t="shared" si="406"/>
        <v>69.5</v>
      </c>
      <c r="O861" s="4">
        <f t="shared" si="407"/>
        <v>0</v>
      </c>
      <c r="P861" s="4">
        <f t="shared" si="408"/>
        <v>0</v>
      </c>
      <c r="Q861" s="4">
        <f t="shared" si="409"/>
        <v>8.6125033712205621</v>
      </c>
      <c r="R861" s="4">
        <f t="shared" si="410"/>
        <v>5.9635793436184459</v>
      </c>
      <c r="S861" s="4">
        <f t="shared" si="411"/>
        <v>69.5</v>
      </c>
      <c r="T861" s="4">
        <f t="shared" si="412"/>
        <v>0</v>
      </c>
      <c r="U861" s="4">
        <f t="shared" si="413"/>
        <v>8.6125033712205621</v>
      </c>
      <c r="V861" s="4">
        <f t="shared" si="414"/>
        <v>5.9635793436184459</v>
      </c>
      <c r="W861" s="4">
        <f t="shared" si="415"/>
        <v>69.5</v>
      </c>
      <c r="X861" s="4">
        <f t="shared" si="416"/>
        <v>0</v>
      </c>
      <c r="Y861" s="4">
        <f t="shared" si="417"/>
        <v>8.6125033712205621</v>
      </c>
      <c r="Z861" s="4">
        <f t="shared" si="418"/>
        <v>5.9635793436184459</v>
      </c>
      <c r="AA861" s="4">
        <f t="shared" si="419"/>
        <v>69.5</v>
      </c>
      <c r="AB861" s="4">
        <f t="shared" si="420"/>
        <v>0</v>
      </c>
      <c r="AC861" s="4">
        <f t="shared" si="421"/>
        <v>0</v>
      </c>
      <c r="AD861" s="4">
        <f t="shared" si="422"/>
        <v>0</v>
      </c>
      <c r="AE861" s="4">
        <f t="shared" si="423"/>
        <v>0</v>
      </c>
      <c r="AF861" s="4">
        <f t="shared" si="424"/>
        <v>0</v>
      </c>
      <c r="AG861" s="4">
        <f t="shared" si="425"/>
        <v>8.6125033712205621</v>
      </c>
      <c r="AH861" s="4">
        <f t="shared" si="426"/>
        <v>0</v>
      </c>
      <c r="AI861" s="4">
        <f t="shared" si="427"/>
        <v>0</v>
      </c>
      <c r="AJ861" s="4">
        <f t="shared" si="428"/>
        <v>8.6125033712205621</v>
      </c>
      <c r="AK861" s="4">
        <f t="shared" si="429"/>
        <v>5.9635793436184459</v>
      </c>
      <c r="AL861" s="4">
        <f t="shared" si="430"/>
        <v>0</v>
      </c>
      <c r="AM861" s="4">
        <f>CER!$C$7+CER!$C$8*J861+CER!$C$9*K861+CER!$C$10*L861+CER!$C$11*M861</f>
        <v>3.1586051794266266</v>
      </c>
      <c r="AN861" s="4">
        <f t="shared" si="431"/>
        <v>23.537742094868012</v>
      </c>
      <c r="AO861" s="4">
        <f t="shared" si="432"/>
        <v>0.10987952199358997</v>
      </c>
      <c r="AP861" s="4">
        <f>Alternatives!$F$25+Alternatives!$F$26*J861+Alternatives!$F$27*K861+Alternatives!$F$28*G861+Alternatives!$F$29*O861</f>
        <v>3.1407933900157268</v>
      </c>
      <c r="AQ861" s="4">
        <f t="shared" si="433"/>
        <v>0.12769131140448975</v>
      </c>
    </row>
    <row r="862" spans="1:43" x14ac:dyDescent="0.35">
      <c r="A862" s="2" t="s">
        <v>728</v>
      </c>
      <c r="B862" s="2" t="s">
        <v>693</v>
      </c>
      <c r="C862" s="2" t="s">
        <v>33</v>
      </c>
      <c r="D862" s="2">
        <v>29.486599999999999</v>
      </c>
      <c r="E862" s="2">
        <v>6000</v>
      </c>
      <c r="F862" s="2">
        <v>389</v>
      </c>
      <c r="G862" s="2">
        <v>69.5</v>
      </c>
      <c r="H862" s="2" t="s">
        <v>68</v>
      </c>
      <c r="I862" s="4">
        <f t="shared" si="403"/>
        <v>3.3839359228606298</v>
      </c>
      <c r="J862" s="4">
        <f t="shared" si="404"/>
        <v>8.6995147482101913</v>
      </c>
      <c r="K862" s="4">
        <f t="shared" si="405"/>
        <v>5.9635793436184459</v>
      </c>
      <c r="L862" s="2">
        <v>1</v>
      </c>
      <c r="M862" s="2">
        <v>0</v>
      </c>
      <c r="N862" s="4">
        <f t="shared" si="406"/>
        <v>69.5</v>
      </c>
      <c r="O862" s="4">
        <f t="shared" si="407"/>
        <v>1</v>
      </c>
      <c r="P862" s="4">
        <f t="shared" si="408"/>
        <v>1</v>
      </c>
      <c r="Q862" s="4">
        <f t="shared" si="409"/>
        <v>8.6995147482101913</v>
      </c>
      <c r="R862" s="4">
        <f t="shared" si="410"/>
        <v>5.9635793436184459</v>
      </c>
      <c r="S862" s="4">
        <f t="shared" si="411"/>
        <v>69.5</v>
      </c>
      <c r="T862" s="4">
        <f t="shared" si="412"/>
        <v>1</v>
      </c>
      <c r="U862" s="4">
        <f t="shared" si="413"/>
        <v>8.6995147482101913</v>
      </c>
      <c r="V862" s="4">
        <f t="shared" si="414"/>
        <v>5.9635793436184459</v>
      </c>
      <c r="W862" s="4">
        <f t="shared" si="415"/>
        <v>69.5</v>
      </c>
      <c r="X862" s="4">
        <f t="shared" si="416"/>
        <v>1</v>
      </c>
      <c r="Y862" s="4">
        <f t="shared" si="417"/>
        <v>8.6995147482101913</v>
      </c>
      <c r="Z862" s="4">
        <f t="shared" si="418"/>
        <v>5.9635793436184459</v>
      </c>
      <c r="AA862" s="4">
        <f t="shared" si="419"/>
        <v>69.5</v>
      </c>
      <c r="AB862" s="4">
        <f t="shared" si="420"/>
        <v>1</v>
      </c>
      <c r="AC862" s="4">
        <f t="shared" si="421"/>
        <v>0</v>
      </c>
      <c r="AD862" s="4">
        <f t="shared" si="422"/>
        <v>0</v>
      </c>
      <c r="AE862" s="4">
        <f t="shared" si="423"/>
        <v>0</v>
      </c>
      <c r="AF862" s="4">
        <f t="shared" si="424"/>
        <v>0</v>
      </c>
      <c r="AG862" s="4">
        <f t="shared" si="425"/>
        <v>8.6995147482101913</v>
      </c>
      <c r="AH862" s="4">
        <f t="shared" si="426"/>
        <v>1</v>
      </c>
      <c r="AI862" s="4">
        <f t="shared" si="427"/>
        <v>0</v>
      </c>
      <c r="AJ862" s="4">
        <f t="shared" si="428"/>
        <v>8.6995147482101913</v>
      </c>
      <c r="AK862" s="4">
        <f t="shared" si="429"/>
        <v>5.9635793436184459</v>
      </c>
      <c r="AL862" s="4">
        <f t="shared" si="430"/>
        <v>0</v>
      </c>
      <c r="AM862" s="4">
        <f>CER!$C$7+CER!$C$8*J862+CER!$C$9*K862+CER!$C$10*L862+CER!$C$11*M862</f>
        <v>3.34296790552149</v>
      </c>
      <c r="AN862" s="4">
        <f t="shared" si="431"/>
        <v>28.303002813983809</v>
      </c>
      <c r="AO862" s="4">
        <f t="shared" si="432"/>
        <v>4.0968017339139795E-2</v>
      </c>
      <c r="AP862" s="4">
        <f>Alternatives!$F$25+Alternatives!$F$26*J862+Alternatives!$F$27*K862+Alternatives!$F$28*G862+Alternatives!$F$29*O862</f>
        <v>4.0177350094827489</v>
      </c>
      <c r="AQ862" s="4">
        <f t="shared" si="433"/>
        <v>-0.63379908662211903</v>
      </c>
    </row>
    <row r="863" spans="1:43" x14ac:dyDescent="0.35">
      <c r="A863" s="2" t="s">
        <v>729</v>
      </c>
      <c r="B863" s="2" t="s">
        <v>693</v>
      </c>
      <c r="C863" s="2" t="s">
        <v>67</v>
      </c>
      <c r="D863" s="2">
        <v>24.659400000000002</v>
      </c>
      <c r="E863" s="2">
        <v>6000</v>
      </c>
      <c r="F863" s="2">
        <v>358</v>
      </c>
      <c r="G863" s="2">
        <v>69.5</v>
      </c>
      <c r="H863" s="2" t="s">
        <v>68</v>
      </c>
      <c r="I863" s="4">
        <f t="shared" si="403"/>
        <v>3.2051581665399538</v>
      </c>
      <c r="J863" s="4">
        <f t="shared" si="404"/>
        <v>8.6995147482101913</v>
      </c>
      <c r="K863" s="4">
        <f t="shared" si="405"/>
        <v>5.8805329864007003</v>
      </c>
      <c r="L863" s="2">
        <v>0</v>
      </c>
      <c r="M863" s="2">
        <v>0</v>
      </c>
      <c r="N863" s="4">
        <f t="shared" si="406"/>
        <v>69.5</v>
      </c>
      <c r="O863" s="4">
        <f t="shared" si="407"/>
        <v>0</v>
      </c>
      <c r="P863" s="4">
        <f t="shared" si="408"/>
        <v>0</v>
      </c>
      <c r="Q863" s="4">
        <f t="shared" si="409"/>
        <v>8.6995147482101913</v>
      </c>
      <c r="R863" s="4">
        <f t="shared" si="410"/>
        <v>5.8805329864007003</v>
      </c>
      <c r="S863" s="4">
        <f t="shared" si="411"/>
        <v>69.5</v>
      </c>
      <c r="T863" s="4">
        <f t="shared" si="412"/>
        <v>0</v>
      </c>
      <c r="U863" s="4">
        <f t="shared" si="413"/>
        <v>8.6995147482101913</v>
      </c>
      <c r="V863" s="4">
        <f t="shared" si="414"/>
        <v>5.8805329864007003</v>
      </c>
      <c r="W863" s="4">
        <f t="shared" si="415"/>
        <v>69.5</v>
      </c>
      <c r="X863" s="4">
        <f t="shared" si="416"/>
        <v>0</v>
      </c>
      <c r="Y863" s="4">
        <f t="shared" si="417"/>
        <v>8.6995147482101913</v>
      </c>
      <c r="Z863" s="4">
        <f t="shared" si="418"/>
        <v>5.8805329864007003</v>
      </c>
      <c r="AA863" s="4">
        <f t="shared" si="419"/>
        <v>69.5</v>
      </c>
      <c r="AB863" s="4">
        <f t="shared" si="420"/>
        <v>0</v>
      </c>
      <c r="AC863" s="4">
        <f t="shared" si="421"/>
        <v>0</v>
      </c>
      <c r="AD863" s="4">
        <f t="shared" si="422"/>
        <v>0</v>
      </c>
      <c r="AE863" s="4">
        <f t="shared" si="423"/>
        <v>0</v>
      </c>
      <c r="AF863" s="4">
        <f t="shared" si="424"/>
        <v>0</v>
      </c>
      <c r="AG863" s="4">
        <f t="shared" si="425"/>
        <v>8.6995147482101913</v>
      </c>
      <c r="AH863" s="4">
        <f t="shared" si="426"/>
        <v>0</v>
      </c>
      <c r="AI863" s="4">
        <f t="shared" si="427"/>
        <v>0</v>
      </c>
      <c r="AJ863" s="4">
        <f t="shared" si="428"/>
        <v>8.6995147482101913</v>
      </c>
      <c r="AK863" s="4">
        <f t="shared" si="429"/>
        <v>5.8805329864007003</v>
      </c>
      <c r="AL863" s="4">
        <f t="shared" si="430"/>
        <v>0</v>
      </c>
      <c r="AM863" s="4">
        <f>CER!$C$7+CER!$C$8*J863+CER!$C$9*K863+CER!$C$10*L863+CER!$C$11*M863</f>
        <v>3.1498537670073374</v>
      </c>
      <c r="AN863" s="4">
        <f t="shared" si="431"/>
        <v>23.332652327880144</v>
      </c>
      <c r="AO863" s="4">
        <f t="shared" si="432"/>
        <v>5.5304399532616344E-2</v>
      </c>
      <c r="AP863" s="4">
        <f>Alternatives!$F$25+Alternatives!$F$26*J863+Alternatives!$F$27*K863+Alternatives!$F$28*G863+Alternatives!$F$29*O863</f>
        <v>3.195094544028489</v>
      </c>
      <c r="AQ863" s="4">
        <f t="shared" si="433"/>
        <v>1.0063622511464754E-2</v>
      </c>
    </row>
    <row r="864" spans="1:43" x14ac:dyDescent="0.35">
      <c r="A864" s="2" t="s">
        <v>729</v>
      </c>
      <c r="B864" s="2" t="s">
        <v>693</v>
      </c>
      <c r="C864" s="2" t="s">
        <v>67</v>
      </c>
      <c r="D864" s="2">
        <v>25.1706</v>
      </c>
      <c r="E864" s="2">
        <v>6000</v>
      </c>
      <c r="F864" s="2">
        <v>389</v>
      </c>
      <c r="G864" s="2">
        <v>69.5</v>
      </c>
      <c r="H864" s="2" t="s">
        <v>68</v>
      </c>
      <c r="I864" s="4">
        <f t="shared" si="403"/>
        <v>3.225676646765371</v>
      </c>
      <c r="J864" s="4">
        <f t="shared" si="404"/>
        <v>8.6995147482101913</v>
      </c>
      <c r="K864" s="4">
        <f t="shared" si="405"/>
        <v>5.9635793436184459</v>
      </c>
      <c r="L864" s="2">
        <v>0</v>
      </c>
      <c r="M864" s="2">
        <v>0</v>
      </c>
      <c r="N864" s="4">
        <f t="shared" si="406"/>
        <v>69.5</v>
      </c>
      <c r="O864" s="4">
        <f t="shared" si="407"/>
        <v>0</v>
      </c>
      <c r="P864" s="4">
        <f t="shared" si="408"/>
        <v>0</v>
      </c>
      <c r="Q864" s="4">
        <f t="shared" si="409"/>
        <v>8.6995147482101913</v>
      </c>
      <c r="R864" s="4">
        <f t="shared" si="410"/>
        <v>5.9635793436184459</v>
      </c>
      <c r="S864" s="4">
        <f t="shared" si="411"/>
        <v>69.5</v>
      </c>
      <c r="T864" s="4">
        <f t="shared" si="412"/>
        <v>0</v>
      </c>
      <c r="U864" s="4">
        <f t="shared" si="413"/>
        <v>8.6995147482101913</v>
      </c>
      <c r="V864" s="4">
        <f t="shared" si="414"/>
        <v>5.9635793436184459</v>
      </c>
      <c r="W864" s="4">
        <f t="shared" si="415"/>
        <v>69.5</v>
      </c>
      <c r="X864" s="4">
        <f t="shared" si="416"/>
        <v>0</v>
      </c>
      <c r="Y864" s="4">
        <f t="shared" si="417"/>
        <v>8.6995147482101913</v>
      </c>
      <c r="Z864" s="4">
        <f t="shared" si="418"/>
        <v>5.9635793436184459</v>
      </c>
      <c r="AA864" s="4">
        <f t="shared" si="419"/>
        <v>69.5</v>
      </c>
      <c r="AB864" s="4">
        <f t="shared" si="420"/>
        <v>0</v>
      </c>
      <c r="AC864" s="4">
        <f t="shared" si="421"/>
        <v>0</v>
      </c>
      <c r="AD864" s="4">
        <f t="shared" si="422"/>
        <v>0</v>
      </c>
      <c r="AE864" s="4">
        <f t="shared" si="423"/>
        <v>0</v>
      </c>
      <c r="AF864" s="4">
        <f t="shared" si="424"/>
        <v>0</v>
      </c>
      <c r="AG864" s="4">
        <f t="shared" si="425"/>
        <v>8.6995147482101913</v>
      </c>
      <c r="AH864" s="4">
        <f t="shared" si="426"/>
        <v>0</v>
      </c>
      <c r="AI864" s="4">
        <f t="shared" si="427"/>
        <v>0</v>
      </c>
      <c r="AJ864" s="4">
        <f t="shared" si="428"/>
        <v>8.6995147482101913</v>
      </c>
      <c r="AK864" s="4">
        <f t="shared" si="429"/>
        <v>5.9635793436184459</v>
      </c>
      <c r="AL864" s="4">
        <f t="shared" si="430"/>
        <v>0</v>
      </c>
      <c r="AM864" s="4">
        <f>CER!$C$7+CER!$C$8*J864+CER!$C$9*K864+CER!$C$10*L864+CER!$C$11*M864</f>
        <v>3.1192143355522641</v>
      </c>
      <c r="AN864" s="4">
        <f t="shared" si="431"/>
        <v>22.628594175439535</v>
      </c>
      <c r="AO864" s="4">
        <f t="shared" si="432"/>
        <v>0.1064623112131069</v>
      </c>
      <c r="AP864" s="4">
        <f>Alternatives!$F$25+Alternatives!$F$26*J864+Alternatives!$F$27*K864+Alternatives!$F$28*G864+Alternatives!$F$29*O864</f>
        <v>3.1729950805742533</v>
      </c>
      <c r="AQ864" s="4">
        <f t="shared" si="433"/>
        <v>5.2681566191117746E-2</v>
      </c>
    </row>
    <row r="865" spans="1:43" x14ac:dyDescent="0.35">
      <c r="A865" s="2" t="s">
        <v>729</v>
      </c>
      <c r="B865" s="2" t="s">
        <v>693</v>
      </c>
      <c r="C865" s="2" t="s">
        <v>33</v>
      </c>
      <c r="D865" s="2">
        <v>26.407399999999999</v>
      </c>
      <c r="E865" s="2">
        <v>6500</v>
      </c>
      <c r="F865" s="2">
        <v>389</v>
      </c>
      <c r="G865" s="2">
        <v>69.5</v>
      </c>
      <c r="H865" s="2" t="s">
        <v>68</v>
      </c>
      <c r="I865" s="4">
        <f t="shared" si="403"/>
        <v>3.2736442739050187</v>
      </c>
      <c r="J865" s="4">
        <f t="shared" si="404"/>
        <v>8.7795574558837277</v>
      </c>
      <c r="K865" s="4">
        <f t="shared" si="405"/>
        <v>5.9635793436184459</v>
      </c>
      <c r="L865" s="2">
        <v>1</v>
      </c>
      <c r="M865" s="2">
        <v>0</v>
      </c>
      <c r="N865" s="4">
        <f t="shared" si="406"/>
        <v>69.5</v>
      </c>
      <c r="O865" s="4">
        <f t="shared" si="407"/>
        <v>1</v>
      </c>
      <c r="P865" s="4">
        <f t="shared" si="408"/>
        <v>1</v>
      </c>
      <c r="Q865" s="4">
        <f t="shared" si="409"/>
        <v>8.7795574558837277</v>
      </c>
      <c r="R865" s="4">
        <f t="shared" si="410"/>
        <v>5.9635793436184459</v>
      </c>
      <c r="S865" s="4">
        <f t="shared" si="411"/>
        <v>69.5</v>
      </c>
      <c r="T865" s="4">
        <f t="shared" si="412"/>
        <v>1</v>
      </c>
      <c r="U865" s="4">
        <f t="shared" si="413"/>
        <v>8.7795574558837277</v>
      </c>
      <c r="V865" s="4">
        <f t="shared" si="414"/>
        <v>5.9635793436184459</v>
      </c>
      <c r="W865" s="4">
        <f t="shared" si="415"/>
        <v>69.5</v>
      </c>
      <c r="X865" s="4">
        <f t="shared" si="416"/>
        <v>1</v>
      </c>
      <c r="Y865" s="4">
        <f t="shared" si="417"/>
        <v>8.7795574558837277</v>
      </c>
      <c r="Z865" s="4">
        <f t="shared" si="418"/>
        <v>5.9635793436184459</v>
      </c>
      <c r="AA865" s="4">
        <f t="shared" si="419"/>
        <v>69.5</v>
      </c>
      <c r="AB865" s="4">
        <f t="shared" si="420"/>
        <v>1</v>
      </c>
      <c r="AC865" s="4">
        <f t="shared" si="421"/>
        <v>0</v>
      </c>
      <c r="AD865" s="4">
        <f t="shared" si="422"/>
        <v>0</v>
      </c>
      <c r="AE865" s="4">
        <f t="shared" si="423"/>
        <v>0</v>
      </c>
      <c r="AF865" s="4">
        <f t="shared" si="424"/>
        <v>0</v>
      </c>
      <c r="AG865" s="4">
        <f t="shared" si="425"/>
        <v>8.7795574558837277</v>
      </c>
      <c r="AH865" s="4">
        <f t="shared" si="426"/>
        <v>1</v>
      </c>
      <c r="AI865" s="4">
        <f t="shared" si="427"/>
        <v>0</v>
      </c>
      <c r="AJ865" s="4">
        <f t="shared" si="428"/>
        <v>8.7795574558837277</v>
      </c>
      <c r="AK865" s="4">
        <f t="shared" si="429"/>
        <v>5.9635793436184459</v>
      </c>
      <c r="AL865" s="4">
        <f t="shared" si="430"/>
        <v>0</v>
      </c>
      <c r="AM865" s="4">
        <f>CER!$C$7+CER!$C$8*J865+CER!$C$9*K865+CER!$C$10*L865+CER!$C$11*M865</f>
        <v>3.3067318417981766</v>
      </c>
      <c r="AN865" s="4">
        <f t="shared" si="431"/>
        <v>27.295772638612139</v>
      </c>
      <c r="AO865" s="4">
        <f t="shared" si="432"/>
        <v>-3.3087567893157921E-2</v>
      </c>
      <c r="AP865" s="4">
        <f>Alternatives!$F$25+Alternatives!$F$26*J865+Alternatives!$F$27*K865+Alternatives!$F$28*G865+Alternatives!$F$29*O865</f>
        <v>4.0473576932414144</v>
      </c>
      <c r="AQ865" s="4">
        <f t="shared" si="433"/>
        <v>-0.7737134193363957</v>
      </c>
    </row>
    <row r="866" spans="1:43" x14ac:dyDescent="0.35">
      <c r="A866" s="2" t="s">
        <v>730</v>
      </c>
      <c r="B866" s="2" t="s">
        <v>693</v>
      </c>
      <c r="C866" s="2" t="s">
        <v>33</v>
      </c>
      <c r="D866" s="2">
        <v>24.9802</v>
      </c>
      <c r="E866" s="2">
        <v>6500</v>
      </c>
      <c r="F866" s="2">
        <v>389</v>
      </c>
      <c r="G866" s="2">
        <v>69.8</v>
      </c>
      <c r="H866" s="2" t="s">
        <v>68</v>
      </c>
      <c r="I866" s="4">
        <f t="shared" si="403"/>
        <v>3.2180835110705046</v>
      </c>
      <c r="J866" s="4">
        <f t="shared" si="404"/>
        <v>8.7795574558837277</v>
      </c>
      <c r="K866" s="4">
        <f t="shared" si="405"/>
        <v>5.9635793436184459</v>
      </c>
      <c r="L866" s="2">
        <v>1</v>
      </c>
      <c r="M866" s="2">
        <v>0</v>
      </c>
      <c r="N866" s="4">
        <f t="shared" si="406"/>
        <v>69.8</v>
      </c>
      <c r="O866" s="4">
        <f t="shared" si="407"/>
        <v>1</v>
      </c>
      <c r="P866" s="4">
        <f t="shared" si="408"/>
        <v>1</v>
      </c>
      <c r="Q866" s="4">
        <f t="shared" si="409"/>
        <v>8.7795574558837277</v>
      </c>
      <c r="R866" s="4">
        <f t="shared" si="410"/>
        <v>5.9635793436184459</v>
      </c>
      <c r="S866" s="4">
        <f t="shared" si="411"/>
        <v>69.8</v>
      </c>
      <c r="T866" s="4">
        <f t="shared" si="412"/>
        <v>1</v>
      </c>
      <c r="U866" s="4">
        <f t="shared" si="413"/>
        <v>8.7795574558837277</v>
      </c>
      <c r="V866" s="4">
        <f t="shared" si="414"/>
        <v>5.9635793436184459</v>
      </c>
      <c r="W866" s="4">
        <f t="shared" si="415"/>
        <v>69.8</v>
      </c>
      <c r="X866" s="4">
        <f t="shared" si="416"/>
        <v>1</v>
      </c>
      <c r="Y866" s="4">
        <f t="shared" si="417"/>
        <v>8.7795574558837277</v>
      </c>
      <c r="Z866" s="4">
        <f t="shared" si="418"/>
        <v>5.9635793436184459</v>
      </c>
      <c r="AA866" s="4">
        <f t="shared" si="419"/>
        <v>69.8</v>
      </c>
      <c r="AB866" s="4">
        <f t="shared" si="420"/>
        <v>1</v>
      </c>
      <c r="AC866" s="4">
        <f t="shared" si="421"/>
        <v>0</v>
      </c>
      <c r="AD866" s="4">
        <f t="shared" si="422"/>
        <v>0</v>
      </c>
      <c r="AE866" s="4">
        <f t="shared" si="423"/>
        <v>0</v>
      </c>
      <c r="AF866" s="4">
        <f t="shared" si="424"/>
        <v>0</v>
      </c>
      <c r="AG866" s="4">
        <f t="shared" si="425"/>
        <v>8.7795574558837277</v>
      </c>
      <c r="AH866" s="4">
        <f t="shared" si="426"/>
        <v>1</v>
      </c>
      <c r="AI866" s="4">
        <f t="shared" si="427"/>
        <v>0</v>
      </c>
      <c r="AJ866" s="4">
        <f t="shared" si="428"/>
        <v>8.7795574558837277</v>
      </c>
      <c r="AK866" s="4">
        <f t="shared" si="429"/>
        <v>5.9635793436184459</v>
      </c>
      <c r="AL866" s="4">
        <f t="shared" si="430"/>
        <v>0</v>
      </c>
      <c r="AM866" s="4">
        <f>CER!$C$7+CER!$C$8*J866+CER!$C$9*K866+CER!$C$10*L866+CER!$C$11*M866</f>
        <v>3.3067318417981766</v>
      </c>
      <c r="AN866" s="4">
        <f t="shared" si="431"/>
        <v>27.295772638612139</v>
      </c>
      <c r="AO866" s="4">
        <f t="shared" si="432"/>
        <v>-8.8648330727671976E-2</v>
      </c>
      <c r="AP866" s="4">
        <f>Alternatives!$F$25+Alternatives!$F$26*J866+Alternatives!$F$27*K866+Alternatives!$F$28*G866+Alternatives!$F$29*O866</f>
        <v>4.0434554988787452</v>
      </c>
      <c r="AQ866" s="4">
        <f t="shared" si="433"/>
        <v>-0.82537198780824061</v>
      </c>
    </row>
    <row r="867" spans="1:43" x14ac:dyDescent="0.35">
      <c r="A867" s="2" t="s">
        <v>731</v>
      </c>
      <c r="B867" s="2" t="s">
        <v>693</v>
      </c>
      <c r="C867" s="2" t="s">
        <v>33</v>
      </c>
      <c r="D867" s="2">
        <v>53.746899999999997</v>
      </c>
      <c r="E867" s="2">
        <v>4500</v>
      </c>
      <c r="F867" s="2">
        <v>177</v>
      </c>
      <c r="G867" s="2">
        <v>46.3</v>
      </c>
      <c r="H867" s="2" t="s">
        <v>68</v>
      </c>
      <c r="I867" s="4">
        <f t="shared" si="403"/>
        <v>3.9842859909259341</v>
      </c>
      <c r="J867" s="4">
        <f t="shared" si="404"/>
        <v>8.4118326757584114</v>
      </c>
      <c r="K867" s="4">
        <f t="shared" si="405"/>
        <v>5.1761497325738288</v>
      </c>
      <c r="L867" s="2">
        <v>1</v>
      </c>
      <c r="M867" s="2">
        <v>0</v>
      </c>
      <c r="N867" s="4">
        <f t="shared" si="406"/>
        <v>46.3</v>
      </c>
      <c r="O867" s="4">
        <f t="shared" si="407"/>
        <v>1</v>
      </c>
      <c r="P867" s="4">
        <f t="shared" si="408"/>
        <v>1</v>
      </c>
      <c r="Q867" s="4">
        <f t="shared" si="409"/>
        <v>8.4118326757584114</v>
      </c>
      <c r="R867" s="4">
        <f t="shared" si="410"/>
        <v>5.1761497325738288</v>
      </c>
      <c r="S867" s="4">
        <f t="shared" si="411"/>
        <v>46.3</v>
      </c>
      <c r="T867" s="4">
        <f t="shared" si="412"/>
        <v>1</v>
      </c>
      <c r="U867" s="4">
        <f t="shared" si="413"/>
        <v>8.4118326757584114</v>
      </c>
      <c r="V867" s="4">
        <f t="shared" si="414"/>
        <v>5.1761497325738288</v>
      </c>
      <c r="W867" s="4">
        <f t="shared" si="415"/>
        <v>46.3</v>
      </c>
      <c r="X867" s="4">
        <f t="shared" si="416"/>
        <v>1</v>
      </c>
      <c r="Y867" s="4">
        <f t="shared" si="417"/>
        <v>8.4118326757584114</v>
      </c>
      <c r="Z867" s="4">
        <f t="shared" si="418"/>
        <v>5.1761497325738288</v>
      </c>
      <c r="AA867" s="4">
        <f t="shared" si="419"/>
        <v>46.3</v>
      </c>
      <c r="AB867" s="4">
        <f t="shared" si="420"/>
        <v>1</v>
      </c>
      <c r="AC867" s="4">
        <f t="shared" si="421"/>
        <v>0</v>
      </c>
      <c r="AD867" s="4">
        <f t="shared" si="422"/>
        <v>0</v>
      </c>
      <c r="AE867" s="4">
        <f t="shared" si="423"/>
        <v>0</v>
      </c>
      <c r="AF867" s="4">
        <f t="shared" si="424"/>
        <v>0</v>
      </c>
      <c r="AG867" s="4">
        <f t="shared" si="425"/>
        <v>8.4118326757584114</v>
      </c>
      <c r="AH867" s="4">
        <f t="shared" si="426"/>
        <v>1</v>
      </c>
      <c r="AI867" s="4">
        <f t="shared" si="427"/>
        <v>0</v>
      </c>
      <c r="AJ867" s="4">
        <f t="shared" si="428"/>
        <v>8.4118326757584114</v>
      </c>
      <c r="AK867" s="4">
        <f t="shared" si="429"/>
        <v>5.1761497325738288</v>
      </c>
      <c r="AL867" s="4">
        <f t="shared" si="430"/>
        <v>0</v>
      </c>
      <c r="AM867" s="4">
        <f>CER!$C$7+CER!$C$8*J867+CER!$C$9*K867+CER!$C$10*L867+CER!$C$11*M867</f>
        <v>3.7637214083810822</v>
      </c>
      <c r="AN867" s="4">
        <f t="shared" si="431"/>
        <v>43.108552374212145</v>
      </c>
      <c r="AO867" s="4">
        <f t="shared" si="432"/>
        <v>0.22056458254485189</v>
      </c>
      <c r="AP867" s="4">
        <f>Alternatives!$F$25+Alternatives!$F$26*J867+Alternatives!$F$27*K867+Alternatives!$F$28*G867+Alternatives!$F$29*O867</f>
        <v>4.4225804742252386</v>
      </c>
      <c r="AQ867" s="4">
        <f t="shared" si="433"/>
        <v>-0.43829448329930454</v>
      </c>
    </row>
    <row r="868" spans="1:43" x14ac:dyDescent="0.35">
      <c r="A868" s="2" t="s">
        <v>732</v>
      </c>
      <c r="B868" s="2" t="s">
        <v>693</v>
      </c>
      <c r="C868" s="2" t="s">
        <v>67</v>
      </c>
      <c r="D868" s="2">
        <v>41.232100000000003</v>
      </c>
      <c r="E868" s="2">
        <v>3500</v>
      </c>
      <c r="F868" s="2">
        <v>203</v>
      </c>
      <c r="G868" s="2">
        <v>46.3</v>
      </c>
      <c r="H868" s="2" t="s">
        <v>68</v>
      </c>
      <c r="I868" s="4">
        <f t="shared" si="403"/>
        <v>3.7192170792078056</v>
      </c>
      <c r="J868" s="4">
        <f t="shared" si="404"/>
        <v>8.1605182474775049</v>
      </c>
      <c r="K868" s="4">
        <f t="shared" si="405"/>
        <v>5.3132059790417872</v>
      </c>
      <c r="L868" s="2">
        <v>0</v>
      </c>
      <c r="M868" s="2">
        <v>0</v>
      </c>
      <c r="N868" s="4">
        <f t="shared" si="406"/>
        <v>46.3</v>
      </c>
      <c r="O868" s="4">
        <f t="shared" si="407"/>
        <v>0</v>
      </c>
      <c r="P868" s="4">
        <f t="shared" si="408"/>
        <v>0</v>
      </c>
      <c r="Q868" s="4">
        <f t="shared" si="409"/>
        <v>8.1605182474775049</v>
      </c>
      <c r="R868" s="4">
        <f t="shared" si="410"/>
        <v>5.3132059790417872</v>
      </c>
      <c r="S868" s="4">
        <f t="shared" si="411"/>
        <v>46.3</v>
      </c>
      <c r="T868" s="4">
        <f t="shared" si="412"/>
        <v>0</v>
      </c>
      <c r="U868" s="4">
        <f t="shared" si="413"/>
        <v>8.1605182474775049</v>
      </c>
      <c r="V868" s="4">
        <f t="shared" si="414"/>
        <v>5.3132059790417872</v>
      </c>
      <c r="W868" s="4">
        <f t="shared" si="415"/>
        <v>46.3</v>
      </c>
      <c r="X868" s="4">
        <f t="shared" si="416"/>
        <v>0</v>
      </c>
      <c r="Y868" s="4">
        <f t="shared" si="417"/>
        <v>8.1605182474775049</v>
      </c>
      <c r="Z868" s="4">
        <f t="shared" si="418"/>
        <v>5.3132059790417872</v>
      </c>
      <c r="AA868" s="4">
        <f t="shared" si="419"/>
        <v>46.3</v>
      </c>
      <c r="AB868" s="4">
        <f t="shared" si="420"/>
        <v>0</v>
      </c>
      <c r="AC868" s="4">
        <f t="shared" si="421"/>
        <v>0</v>
      </c>
      <c r="AD868" s="4">
        <f t="shared" si="422"/>
        <v>0</v>
      </c>
      <c r="AE868" s="4">
        <f t="shared" si="423"/>
        <v>0</v>
      </c>
      <c r="AF868" s="4">
        <f t="shared" si="424"/>
        <v>0</v>
      </c>
      <c r="AG868" s="4">
        <f t="shared" si="425"/>
        <v>8.1605182474775049</v>
      </c>
      <c r="AH868" s="4">
        <f t="shared" si="426"/>
        <v>0</v>
      </c>
      <c r="AI868" s="4">
        <f t="shared" si="427"/>
        <v>0</v>
      </c>
      <c r="AJ868" s="4">
        <f t="shared" si="428"/>
        <v>8.1605182474775049</v>
      </c>
      <c r="AK868" s="4">
        <f t="shared" si="429"/>
        <v>5.3132059790417872</v>
      </c>
      <c r="AL868" s="4">
        <f t="shared" si="430"/>
        <v>0</v>
      </c>
      <c r="AM868" s="4">
        <f>CER!$C$7+CER!$C$8*J868+CER!$C$9*K868+CER!$C$10*L868+CER!$C$11*M868</f>
        <v>3.6031741314074321</v>
      </c>
      <c r="AN868" s="4">
        <f t="shared" si="431"/>
        <v>36.714586609926442</v>
      </c>
      <c r="AO868" s="4">
        <f t="shared" si="432"/>
        <v>0.1160429478003735</v>
      </c>
      <c r="AP868" s="4">
        <f>Alternatives!$F$25+Alternatives!$F$26*J868+Alternatives!$F$27*K868+Alternatives!$F$28*G868+Alternatives!$F$29*O868</f>
        <v>3.4483605659678114</v>
      </c>
      <c r="AQ868" s="4">
        <f t="shared" si="433"/>
        <v>0.27085651323999427</v>
      </c>
    </row>
    <row r="869" spans="1:43" x14ac:dyDescent="0.35">
      <c r="A869" s="2" t="s">
        <v>733</v>
      </c>
      <c r="B869" s="2" t="s">
        <v>693</v>
      </c>
      <c r="C869" s="2" t="s">
        <v>33</v>
      </c>
      <c r="D869" s="2">
        <v>50.809899999999999</v>
      </c>
      <c r="E869" s="2">
        <v>4000</v>
      </c>
      <c r="F869" s="2">
        <v>176</v>
      </c>
      <c r="G869" s="2">
        <v>46.6</v>
      </c>
      <c r="H869" s="2" t="s">
        <v>68</v>
      </c>
      <c r="I869" s="4">
        <f t="shared" si="403"/>
        <v>3.9280912174871911</v>
      </c>
      <c r="J869" s="4">
        <f t="shared" si="404"/>
        <v>8.2940496401020276</v>
      </c>
      <c r="K869" s="4">
        <f t="shared" si="405"/>
        <v>5.1704839950381514</v>
      </c>
      <c r="L869" s="2">
        <v>1</v>
      </c>
      <c r="M869" s="2">
        <v>0</v>
      </c>
      <c r="N869" s="4">
        <f t="shared" si="406"/>
        <v>46.6</v>
      </c>
      <c r="O869" s="4">
        <f t="shared" si="407"/>
        <v>1</v>
      </c>
      <c r="P869" s="4">
        <f t="shared" si="408"/>
        <v>1</v>
      </c>
      <c r="Q869" s="4">
        <f t="shared" si="409"/>
        <v>8.2940496401020276</v>
      </c>
      <c r="R869" s="4">
        <f t="shared" si="410"/>
        <v>5.1704839950381514</v>
      </c>
      <c r="S869" s="4">
        <f t="shared" si="411"/>
        <v>46.6</v>
      </c>
      <c r="T869" s="4">
        <f t="shared" si="412"/>
        <v>1</v>
      </c>
      <c r="U869" s="4">
        <f t="shared" si="413"/>
        <v>8.2940496401020276</v>
      </c>
      <c r="V869" s="4">
        <f t="shared" si="414"/>
        <v>5.1704839950381514</v>
      </c>
      <c r="W869" s="4">
        <f t="shared" si="415"/>
        <v>46.6</v>
      </c>
      <c r="X869" s="4">
        <f t="shared" si="416"/>
        <v>1</v>
      </c>
      <c r="Y869" s="4">
        <f t="shared" si="417"/>
        <v>8.2940496401020276</v>
      </c>
      <c r="Z869" s="4">
        <f t="shared" si="418"/>
        <v>5.1704839950381514</v>
      </c>
      <c r="AA869" s="4">
        <f t="shared" si="419"/>
        <v>46.6</v>
      </c>
      <c r="AB869" s="4">
        <f t="shared" si="420"/>
        <v>1</v>
      </c>
      <c r="AC869" s="4">
        <f t="shared" si="421"/>
        <v>0</v>
      </c>
      <c r="AD869" s="4">
        <f t="shared" si="422"/>
        <v>0</v>
      </c>
      <c r="AE869" s="4">
        <f t="shared" si="423"/>
        <v>0</v>
      </c>
      <c r="AF869" s="4">
        <f t="shared" si="424"/>
        <v>0</v>
      </c>
      <c r="AG869" s="4">
        <f t="shared" si="425"/>
        <v>8.2940496401020276</v>
      </c>
      <c r="AH869" s="4">
        <f t="shared" si="426"/>
        <v>1</v>
      </c>
      <c r="AI869" s="4">
        <f t="shared" si="427"/>
        <v>0</v>
      </c>
      <c r="AJ869" s="4">
        <f t="shared" si="428"/>
        <v>8.2940496401020276</v>
      </c>
      <c r="AK869" s="4">
        <f t="shared" si="429"/>
        <v>5.1704839950381514</v>
      </c>
      <c r="AL869" s="4">
        <f t="shared" si="430"/>
        <v>0</v>
      </c>
      <c r="AM869" s="4">
        <f>CER!$C$7+CER!$C$8*J869+CER!$C$9*K869+CER!$C$10*L869+CER!$C$11*M869</f>
        <v>3.8191332010080927</v>
      </c>
      <c r="AN869" s="4">
        <f t="shared" si="431"/>
        <v>45.564695766244697</v>
      </c>
      <c r="AO869" s="4">
        <f t="shared" si="432"/>
        <v>0.10895801647909842</v>
      </c>
      <c r="AP869" s="4">
        <f>Alternatives!$F$25+Alternatives!$F$26*J869+Alternatives!$F$27*K869+Alternatives!$F$28*G869+Alternatives!$F$29*O869</f>
        <v>4.3765961391425829</v>
      </c>
      <c r="AQ869" s="4">
        <f t="shared" si="433"/>
        <v>-0.4485049216553918</v>
      </c>
    </row>
    <row r="870" spans="1:43" x14ac:dyDescent="0.35">
      <c r="A870" s="2" t="s">
        <v>734</v>
      </c>
      <c r="B870" s="2" t="s">
        <v>693</v>
      </c>
      <c r="C870" s="2" t="s">
        <v>67</v>
      </c>
      <c r="D870" s="2">
        <v>39.714700000000001</v>
      </c>
      <c r="E870" s="2">
        <v>4000</v>
      </c>
      <c r="F870" s="2">
        <v>203</v>
      </c>
      <c r="G870" s="2">
        <v>46.3</v>
      </c>
      <c r="H870" s="2" t="s">
        <v>68</v>
      </c>
      <c r="I870" s="4">
        <f t="shared" si="403"/>
        <v>3.6817213962355906</v>
      </c>
      <c r="J870" s="4">
        <f t="shared" si="404"/>
        <v>8.2940496401020276</v>
      </c>
      <c r="K870" s="4">
        <f t="shared" si="405"/>
        <v>5.3132059790417872</v>
      </c>
      <c r="L870" s="2">
        <v>0</v>
      </c>
      <c r="M870" s="2">
        <v>0</v>
      </c>
      <c r="N870" s="4">
        <f t="shared" si="406"/>
        <v>46.3</v>
      </c>
      <c r="O870" s="4">
        <f t="shared" si="407"/>
        <v>0</v>
      </c>
      <c r="P870" s="4">
        <f t="shared" si="408"/>
        <v>0</v>
      </c>
      <c r="Q870" s="4">
        <f t="shared" si="409"/>
        <v>8.2940496401020276</v>
      </c>
      <c r="R870" s="4">
        <f t="shared" si="410"/>
        <v>5.3132059790417872</v>
      </c>
      <c r="S870" s="4">
        <f t="shared" si="411"/>
        <v>46.3</v>
      </c>
      <c r="T870" s="4">
        <f t="shared" si="412"/>
        <v>0</v>
      </c>
      <c r="U870" s="4">
        <f t="shared" si="413"/>
        <v>8.2940496401020276</v>
      </c>
      <c r="V870" s="4">
        <f t="shared" si="414"/>
        <v>5.3132059790417872</v>
      </c>
      <c r="W870" s="4">
        <f t="shared" si="415"/>
        <v>46.3</v>
      </c>
      <c r="X870" s="4">
        <f t="shared" si="416"/>
        <v>0</v>
      </c>
      <c r="Y870" s="4">
        <f t="shared" si="417"/>
        <v>8.2940496401020276</v>
      </c>
      <c r="Z870" s="4">
        <f t="shared" si="418"/>
        <v>5.3132059790417872</v>
      </c>
      <c r="AA870" s="4">
        <f t="shared" si="419"/>
        <v>46.3</v>
      </c>
      <c r="AB870" s="4">
        <f t="shared" si="420"/>
        <v>0</v>
      </c>
      <c r="AC870" s="4">
        <f t="shared" si="421"/>
        <v>0</v>
      </c>
      <c r="AD870" s="4">
        <f t="shared" si="422"/>
        <v>0</v>
      </c>
      <c r="AE870" s="4">
        <f t="shared" si="423"/>
        <v>0</v>
      </c>
      <c r="AF870" s="4">
        <f t="shared" si="424"/>
        <v>0</v>
      </c>
      <c r="AG870" s="4">
        <f t="shared" si="425"/>
        <v>8.2940496401020276</v>
      </c>
      <c r="AH870" s="4">
        <f t="shared" si="426"/>
        <v>0</v>
      </c>
      <c r="AI870" s="4">
        <f t="shared" si="427"/>
        <v>0</v>
      </c>
      <c r="AJ870" s="4">
        <f t="shared" si="428"/>
        <v>8.2940496401020276</v>
      </c>
      <c r="AK870" s="4">
        <f t="shared" si="429"/>
        <v>5.3132059790417872</v>
      </c>
      <c r="AL870" s="4">
        <f t="shared" si="430"/>
        <v>0</v>
      </c>
      <c r="AM870" s="4">
        <f>CER!$C$7+CER!$C$8*J870+CER!$C$9*K870+CER!$C$10*L870+CER!$C$11*M870</f>
        <v>3.5427232522100423</v>
      </c>
      <c r="AN870" s="4">
        <f t="shared" si="431"/>
        <v>34.560909225915942</v>
      </c>
      <c r="AO870" s="4">
        <f t="shared" si="432"/>
        <v>0.13899814402554833</v>
      </c>
      <c r="AP870" s="4">
        <f>Alternatives!$F$25+Alternatives!$F$26*J870+Alternatives!$F$27*K870+Alternatives!$F$28*G870+Alternatives!$F$29*O870</f>
        <v>3.4977786620135332</v>
      </c>
      <c r="AQ870" s="4">
        <f t="shared" si="433"/>
        <v>0.18394273422205742</v>
      </c>
    </row>
    <row r="871" spans="1:43" x14ac:dyDescent="0.35">
      <c r="A871" s="2" t="s">
        <v>734</v>
      </c>
      <c r="B871" s="2" t="s">
        <v>693</v>
      </c>
      <c r="C871" s="2" t="s">
        <v>67</v>
      </c>
      <c r="D871" s="2">
        <v>37.4878</v>
      </c>
      <c r="E871" s="2">
        <v>4000</v>
      </c>
      <c r="F871" s="2">
        <v>203</v>
      </c>
      <c r="G871" s="2">
        <v>46.3</v>
      </c>
      <c r="H871" s="2" t="s">
        <v>68</v>
      </c>
      <c r="I871" s="4">
        <f t="shared" si="403"/>
        <v>3.6240155467106621</v>
      </c>
      <c r="J871" s="4">
        <f t="shared" si="404"/>
        <v>8.2940496401020276</v>
      </c>
      <c r="K871" s="4">
        <f t="shared" si="405"/>
        <v>5.3132059790417872</v>
      </c>
      <c r="L871" s="2">
        <v>0</v>
      </c>
      <c r="M871" s="2">
        <v>0</v>
      </c>
      <c r="N871" s="4">
        <f t="shared" si="406"/>
        <v>46.3</v>
      </c>
      <c r="O871" s="4">
        <f t="shared" si="407"/>
        <v>0</v>
      </c>
      <c r="P871" s="4">
        <f t="shared" si="408"/>
        <v>0</v>
      </c>
      <c r="Q871" s="4">
        <f t="shared" si="409"/>
        <v>8.2940496401020276</v>
      </c>
      <c r="R871" s="4">
        <f t="shared" si="410"/>
        <v>5.3132059790417872</v>
      </c>
      <c r="S871" s="4">
        <f t="shared" si="411"/>
        <v>46.3</v>
      </c>
      <c r="T871" s="4">
        <f t="shared" si="412"/>
        <v>0</v>
      </c>
      <c r="U871" s="4">
        <f t="shared" si="413"/>
        <v>8.2940496401020276</v>
      </c>
      <c r="V871" s="4">
        <f t="shared" si="414"/>
        <v>5.3132059790417872</v>
      </c>
      <c r="W871" s="4">
        <f t="shared" si="415"/>
        <v>46.3</v>
      </c>
      <c r="X871" s="4">
        <f t="shared" si="416"/>
        <v>0</v>
      </c>
      <c r="Y871" s="4">
        <f t="shared" si="417"/>
        <v>8.2940496401020276</v>
      </c>
      <c r="Z871" s="4">
        <f t="shared" si="418"/>
        <v>5.3132059790417872</v>
      </c>
      <c r="AA871" s="4">
        <f t="shared" si="419"/>
        <v>46.3</v>
      </c>
      <c r="AB871" s="4">
        <f t="shared" si="420"/>
        <v>0</v>
      </c>
      <c r="AC871" s="4">
        <f t="shared" si="421"/>
        <v>0</v>
      </c>
      <c r="AD871" s="4">
        <f t="shared" si="422"/>
        <v>0</v>
      </c>
      <c r="AE871" s="4">
        <f t="shared" si="423"/>
        <v>0</v>
      </c>
      <c r="AF871" s="4">
        <f t="shared" si="424"/>
        <v>0</v>
      </c>
      <c r="AG871" s="4">
        <f t="shared" si="425"/>
        <v>8.2940496401020276</v>
      </c>
      <c r="AH871" s="4">
        <f t="shared" si="426"/>
        <v>0</v>
      </c>
      <c r="AI871" s="4">
        <f t="shared" si="427"/>
        <v>0</v>
      </c>
      <c r="AJ871" s="4">
        <f t="shared" si="428"/>
        <v>8.2940496401020276</v>
      </c>
      <c r="AK871" s="4">
        <f t="shared" si="429"/>
        <v>5.3132059790417872</v>
      </c>
      <c r="AL871" s="4">
        <f t="shared" si="430"/>
        <v>0</v>
      </c>
      <c r="AM871" s="4">
        <f>CER!$C$7+CER!$C$8*J871+CER!$C$9*K871+CER!$C$10*L871+CER!$C$11*M871</f>
        <v>3.5427232522100423</v>
      </c>
      <c r="AN871" s="4">
        <f t="shared" si="431"/>
        <v>34.560909225915942</v>
      </c>
      <c r="AO871" s="4">
        <f t="shared" si="432"/>
        <v>8.1292294500619811E-2</v>
      </c>
      <c r="AP871" s="4">
        <f>Alternatives!$F$25+Alternatives!$F$26*J871+Alternatives!$F$27*K871+Alternatives!$F$28*G871+Alternatives!$F$29*O871</f>
        <v>3.4977786620135332</v>
      </c>
      <c r="AQ871" s="4">
        <f t="shared" si="433"/>
        <v>0.1262368846971289</v>
      </c>
    </row>
    <row r="872" spans="1:43" x14ac:dyDescent="0.35">
      <c r="A872" s="2" t="s">
        <v>735</v>
      </c>
      <c r="B872" s="2" t="s">
        <v>693</v>
      </c>
      <c r="C872" s="2" t="s">
        <v>67</v>
      </c>
      <c r="D872" s="2">
        <v>37.063400000000001</v>
      </c>
      <c r="E872" s="2">
        <v>4000</v>
      </c>
      <c r="F872" s="2">
        <v>203</v>
      </c>
      <c r="G872" s="2">
        <v>46.6</v>
      </c>
      <c r="H872" s="2" t="s">
        <v>68</v>
      </c>
      <c r="I872" s="4">
        <f t="shared" si="403"/>
        <v>3.6126299597683373</v>
      </c>
      <c r="J872" s="4">
        <f t="shared" si="404"/>
        <v>8.2940496401020276</v>
      </c>
      <c r="K872" s="4">
        <f t="shared" si="405"/>
        <v>5.3132059790417872</v>
      </c>
      <c r="L872" s="2">
        <v>0</v>
      </c>
      <c r="M872" s="2">
        <v>0</v>
      </c>
      <c r="N872" s="4">
        <f t="shared" si="406"/>
        <v>46.6</v>
      </c>
      <c r="O872" s="4">
        <f t="shared" si="407"/>
        <v>0</v>
      </c>
      <c r="P872" s="4">
        <f t="shared" si="408"/>
        <v>0</v>
      </c>
      <c r="Q872" s="4">
        <f t="shared" si="409"/>
        <v>8.2940496401020276</v>
      </c>
      <c r="R872" s="4">
        <f t="shared" si="410"/>
        <v>5.3132059790417872</v>
      </c>
      <c r="S872" s="4">
        <f t="shared" si="411"/>
        <v>46.6</v>
      </c>
      <c r="T872" s="4">
        <f t="shared" si="412"/>
        <v>0</v>
      </c>
      <c r="U872" s="4">
        <f t="shared" si="413"/>
        <v>8.2940496401020276</v>
      </c>
      <c r="V872" s="4">
        <f t="shared" si="414"/>
        <v>5.3132059790417872</v>
      </c>
      <c r="W872" s="4">
        <f t="shared" si="415"/>
        <v>46.6</v>
      </c>
      <c r="X872" s="4">
        <f t="shared" si="416"/>
        <v>0</v>
      </c>
      <c r="Y872" s="4">
        <f t="shared" si="417"/>
        <v>8.2940496401020276</v>
      </c>
      <c r="Z872" s="4">
        <f t="shared" si="418"/>
        <v>5.3132059790417872</v>
      </c>
      <c r="AA872" s="4">
        <f t="shared" si="419"/>
        <v>46.6</v>
      </c>
      <c r="AB872" s="4">
        <f t="shared" si="420"/>
        <v>0</v>
      </c>
      <c r="AC872" s="4">
        <f t="shared" si="421"/>
        <v>0</v>
      </c>
      <c r="AD872" s="4">
        <f t="shared" si="422"/>
        <v>0</v>
      </c>
      <c r="AE872" s="4">
        <f t="shared" si="423"/>
        <v>0</v>
      </c>
      <c r="AF872" s="4">
        <f t="shared" si="424"/>
        <v>0</v>
      </c>
      <c r="AG872" s="4">
        <f t="shared" si="425"/>
        <v>8.2940496401020276</v>
      </c>
      <c r="AH872" s="4">
        <f t="shared" si="426"/>
        <v>0</v>
      </c>
      <c r="AI872" s="4">
        <f t="shared" si="427"/>
        <v>0</v>
      </c>
      <c r="AJ872" s="4">
        <f t="shared" si="428"/>
        <v>8.2940496401020276</v>
      </c>
      <c r="AK872" s="4">
        <f t="shared" si="429"/>
        <v>5.3132059790417872</v>
      </c>
      <c r="AL872" s="4">
        <f t="shared" si="430"/>
        <v>0</v>
      </c>
      <c r="AM872" s="4">
        <f>CER!$C$7+CER!$C$8*J872+CER!$C$9*K872+CER!$C$10*L872+CER!$C$11*M872</f>
        <v>3.5427232522100423</v>
      </c>
      <c r="AN872" s="4">
        <f t="shared" si="431"/>
        <v>34.560909225915942</v>
      </c>
      <c r="AO872" s="4">
        <f t="shared" si="432"/>
        <v>6.9906707558295089E-2</v>
      </c>
      <c r="AP872" s="4">
        <f>Alternatives!$F$25+Alternatives!$F$26*J872+Alternatives!$F$27*K872+Alternatives!$F$28*G872+Alternatives!$F$29*O872</f>
        <v>3.4938764676508649</v>
      </c>
      <c r="AQ872" s="4">
        <f t="shared" si="433"/>
        <v>0.11875349211747244</v>
      </c>
    </row>
    <row r="873" spans="1:43" x14ac:dyDescent="0.35">
      <c r="A873" s="2" t="s">
        <v>736</v>
      </c>
      <c r="B873" s="2" t="s">
        <v>693</v>
      </c>
      <c r="C873" s="2" t="s">
        <v>67</v>
      </c>
      <c r="D873" s="2">
        <v>40.539700000000003</v>
      </c>
      <c r="E873" s="2">
        <v>3500</v>
      </c>
      <c r="F873" s="2">
        <v>203</v>
      </c>
      <c r="G873" s="2">
        <v>46.6</v>
      </c>
      <c r="H873" s="2" t="s">
        <v>68</v>
      </c>
      <c r="I873" s="4">
        <f t="shared" si="403"/>
        <v>3.702281740897805</v>
      </c>
      <c r="J873" s="4">
        <f t="shared" si="404"/>
        <v>8.1605182474775049</v>
      </c>
      <c r="K873" s="4">
        <f t="shared" si="405"/>
        <v>5.3132059790417872</v>
      </c>
      <c r="L873" s="2">
        <v>0</v>
      </c>
      <c r="M873" s="2">
        <v>0</v>
      </c>
      <c r="N873" s="4">
        <f t="shared" si="406"/>
        <v>46.6</v>
      </c>
      <c r="O873" s="4">
        <f t="shared" si="407"/>
        <v>0</v>
      </c>
      <c r="P873" s="4">
        <f t="shared" si="408"/>
        <v>0</v>
      </c>
      <c r="Q873" s="4">
        <f t="shared" si="409"/>
        <v>8.1605182474775049</v>
      </c>
      <c r="R873" s="4">
        <f t="shared" si="410"/>
        <v>5.3132059790417872</v>
      </c>
      <c r="S873" s="4">
        <f t="shared" si="411"/>
        <v>46.6</v>
      </c>
      <c r="T873" s="4">
        <f t="shared" si="412"/>
        <v>0</v>
      </c>
      <c r="U873" s="4">
        <f t="shared" si="413"/>
        <v>8.1605182474775049</v>
      </c>
      <c r="V873" s="4">
        <f t="shared" si="414"/>
        <v>5.3132059790417872</v>
      </c>
      <c r="W873" s="4">
        <f t="shared" si="415"/>
        <v>46.6</v>
      </c>
      <c r="X873" s="4">
        <f t="shared" si="416"/>
        <v>0</v>
      </c>
      <c r="Y873" s="4">
        <f t="shared" si="417"/>
        <v>8.1605182474775049</v>
      </c>
      <c r="Z873" s="4">
        <f t="shared" si="418"/>
        <v>5.3132059790417872</v>
      </c>
      <c r="AA873" s="4">
        <f t="shared" si="419"/>
        <v>46.6</v>
      </c>
      <c r="AB873" s="4">
        <f t="shared" si="420"/>
        <v>0</v>
      </c>
      <c r="AC873" s="4">
        <f t="shared" si="421"/>
        <v>0</v>
      </c>
      <c r="AD873" s="4">
        <f t="shared" si="422"/>
        <v>0</v>
      </c>
      <c r="AE873" s="4">
        <f t="shared" si="423"/>
        <v>0</v>
      </c>
      <c r="AF873" s="4">
        <f t="shared" si="424"/>
        <v>0</v>
      </c>
      <c r="AG873" s="4">
        <f t="shared" si="425"/>
        <v>8.1605182474775049</v>
      </c>
      <c r="AH873" s="4">
        <f t="shared" si="426"/>
        <v>0</v>
      </c>
      <c r="AI873" s="4">
        <f t="shared" si="427"/>
        <v>0</v>
      </c>
      <c r="AJ873" s="4">
        <f t="shared" si="428"/>
        <v>8.1605182474775049</v>
      </c>
      <c r="AK873" s="4">
        <f t="shared" si="429"/>
        <v>5.3132059790417872</v>
      </c>
      <c r="AL873" s="4">
        <f t="shared" si="430"/>
        <v>0</v>
      </c>
      <c r="AM873" s="4">
        <f>CER!$C$7+CER!$C$8*J873+CER!$C$9*K873+CER!$C$10*L873+CER!$C$11*M873</f>
        <v>3.6031741314074321</v>
      </c>
      <c r="AN873" s="4">
        <f t="shared" si="431"/>
        <v>36.714586609926442</v>
      </c>
      <c r="AO873" s="4">
        <f t="shared" si="432"/>
        <v>9.9107609490372894E-2</v>
      </c>
      <c r="AP873" s="4">
        <f>Alternatives!$F$25+Alternatives!$F$26*J873+Alternatives!$F$27*K873+Alternatives!$F$28*G873+Alternatives!$F$29*O873</f>
        <v>3.4444583716051431</v>
      </c>
      <c r="AQ873" s="4">
        <f t="shared" si="433"/>
        <v>0.25782336929266192</v>
      </c>
    </row>
    <row r="874" spans="1:43" x14ac:dyDescent="0.35">
      <c r="A874" s="2" t="s">
        <v>737</v>
      </c>
      <c r="B874" s="2" t="s">
        <v>693</v>
      </c>
      <c r="C874" s="2" t="s">
        <v>33</v>
      </c>
      <c r="D874" s="2">
        <v>54.289499999999997</v>
      </c>
      <c r="E874" s="2">
        <v>4000</v>
      </c>
      <c r="F874" s="2">
        <v>176</v>
      </c>
      <c r="G874" s="2">
        <v>46.6</v>
      </c>
      <c r="H874" s="2" t="s">
        <v>68</v>
      </c>
      <c r="I874" s="4">
        <f t="shared" si="403"/>
        <v>3.9943308380757228</v>
      </c>
      <c r="J874" s="4">
        <f t="shared" si="404"/>
        <v>8.2940496401020276</v>
      </c>
      <c r="K874" s="4">
        <f t="shared" si="405"/>
        <v>5.1704839950381514</v>
      </c>
      <c r="L874" s="2">
        <v>1</v>
      </c>
      <c r="M874" s="2">
        <v>0</v>
      </c>
      <c r="N874" s="4">
        <f t="shared" si="406"/>
        <v>46.6</v>
      </c>
      <c r="O874" s="4">
        <f t="shared" si="407"/>
        <v>1</v>
      </c>
      <c r="P874" s="4">
        <f t="shared" si="408"/>
        <v>1</v>
      </c>
      <c r="Q874" s="4">
        <f t="shared" si="409"/>
        <v>8.2940496401020276</v>
      </c>
      <c r="R874" s="4">
        <f t="shared" si="410"/>
        <v>5.1704839950381514</v>
      </c>
      <c r="S874" s="4">
        <f t="shared" si="411"/>
        <v>46.6</v>
      </c>
      <c r="T874" s="4">
        <f t="shared" si="412"/>
        <v>1</v>
      </c>
      <c r="U874" s="4">
        <f t="shared" si="413"/>
        <v>8.2940496401020276</v>
      </c>
      <c r="V874" s="4">
        <f t="shared" si="414"/>
        <v>5.1704839950381514</v>
      </c>
      <c r="W874" s="4">
        <f t="shared" si="415"/>
        <v>46.6</v>
      </c>
      <c r="X874" s="4">
        <f t="shared" si="416"/>
        <v>1</v>
      </c>
      <c r="Y874" s="4">
        <f t="shared" si="417"/>
        <v>8.2940496401020276</v>
      </c>
      <c r="Z874" s="4">
        <f t="shared" si="418"/>
        <v>5.1704839950381514</v>
      </c>
      <c r="AA874" s="4">
        <f t="shared" si="419"/>
        <v>46.6</v>
      </c>
      <c r="AB874" s="4">
        <f t="shared" si="420"/>
        <v>1</v>
      </c>
      <c r="AC874" s="4">
        <f t="shared" si="421"/>
        <v>0</v>
      </c>
      <c r="AD874" s="4">
        <f t="shared" si="422"/>
        <v>0</v>
      </c>
      <c r="AE874" s="4">
        <f t="shared" si="423"/>
        <v>0</v>
      </c>
      <c r="AF874" s="4">
        <f t="shared" si="424"/>
        <v>0</v>
      </c>
      <c r="AG874" s="4">
        <f t="shared" si="425"/>
        <v>8.2940496401020276</v>
      </c>
      <c r="AH874" s="4">
        <f t="shared" si="426"/>
        <v>1</v>
      </c>
      <c r="AI874" s="4">
        <f t="shared" si="427"/>
        <v>0</v>
      </c>
      <c r="AJ874" s="4">
        <f t="shared" si="428"/>
        <v>8.2940496401020276</v>
      </c>
      <c r="AK874" s="4">
        <f t="shared" si="429"/>
        <v>5.1704839950381514</v>
      </c>
      <c r="AL874" s="4">
        <f t="shared" si="430"/>
        <v>0</v>
      </c>
      <c r="AM874" s="4">
        <f>CER!$C$7+CER!$C$8*J874+CER!$C$9*K874+CER!$C$10*L874+CER!$C$11*M874</f>
        <v>3.8191332010080927</v>
      </c>
      <c r="AN874" s="4">
        <f t="shared" si="431"/>
        <v>45.564695766244697</v>
      </c>
      <c r="AO874" s="4">
        <f t="shared" si="432"/>
        <v>0.17519763706763003</v>
      </c>
      <c r="AP874" s="4">
        <f>Alternatives!$F$25+Alternatives!$F$26*J874+Alternatives!$F$27*K874+Alternatives!$F$28*G874+Alternatives!$F$29*O874</f>
        <v>4.3765961391425829</v>
      </c>
      <c r="AQ874" s="4">
        <f t="shared" si="433"/>
        <v>-0.38226530106686019</v>
      </c>
    </row>
    <row r="875" spans="1:43" x14ac:dyDescent="0.35">
      <c r="A875" s="2" t="s">
        <v>738</v>
      </c>
      <c r="B875" s="2" t="s">
        <v>693</v>
      </c>
      <c r="C875" s="2" t="s">
        <v>33</v>
      </c>
      <c r="D875" s="2">
        <v>49.081099999999999</v>
      </c>
      <c r="E875" s="2">
        <v>5000</v>
      </c>
      <c r="F875" s="2">
        <v>189</v>
      </c>
      <c r="G875" s="2">
        <v>56.9</v>
      </c>
      <c r="H875" s="2" t="s">
        <v>68</v>
      </c>
      <c r="I875" s="4">
        <f t="shared" si="403"/>
        <v>3.8934740319794949</v>
      </c>
      <c r="J875" s="4">
        <f t="shared" si="404"/>
        <v>8.5171931914162382</v>
      </c>
      <c r="K875" s="4">
        <f t="shared" si="405"/>
        <v>5.2417470150596426</v>
      </c>
      <c r="L875" s="2">
        <v>1</v>
      </c>
      <c r="M875" s="2">
        <v>0</v>
      </c>
      <c r="N875" s="4">
        <f t="shared" si="406"/>
        <v>56.9</v>
      </c>
      <c r="O875" s="4">
        <f t="shared" si="407"/>
        <v>1</v>
      </c>
      <c r="P875" s="4">
        <f t="shared" si="408"/>
        <v>1</v>
      </c>
      <c r="Q875" s="4">
        <f t="shared" si="409"/>
        <v>8.5171931914162382</v>
      </c>
      <c r="R875" s="4">
        <f t="shared" si="410"/>
        <v>5.2417470150596426</v>
      </c>
      <c r="S875" s="4">
        <f t="shared" si="411"/>
        <v>56.9</v>
      </c>
      <c r="T875" s="4">
        <f t="shared" si="412"/>
        <v>1</v>
      </c>
      <c r="U875" s="4">
        <f t="shared" si="413"/>
        <v>8.5171931914162382</v>
      </c>
      <c r="V875" s="4">
        <f t="shared" si="414"/>
        <v>5.2417470150596426</v>
      </c>
      <c r="W875" s="4">
        <f t="shared" si="415"/>
        <v>56.9</v>
      </c>
      <c r="X875" s="4">
        <f t="shared" si="416"/>
        <v>1</v>
      </c>
      <c r="Y875" s="4">
        <f t="shared" si="417"/>
        <v>8.5171931914162382</v>
      </c>
      <c r="Z875" s="4">
        <f t="shared" si="418"/>
        <v>5.2417470150596426</v>
      </c>
      <c r="AA875" s="4">
        <f t="shared" si="419"/>
        <v>56.9</v>
      </c>
      <c r="AB875" s="4">
        <f t="shared" si="420"/>
        <v>1</v>
      </c>
      <c r="AC875" s="4">
        <f t="shared" si="421"/>
        <v>0</v>
      </c>
      <c r="AD875" s="4">
        <f t="shared" si="422"/>
        <v>0</v>
      </c>
      <c r="AE875" s="4">
        <f t="shared" si="423"/>
        <v>0</v>
      </c>
      <c r="AF875" s="4">
        <f t="shared" si="424"/>
        <v>0</v>
      </c>
      <c r="AG875" s="4">
        <f t="shared" si="425"/>
        <v>8.5171931914162382</v>
      </c>
      <c r="AH875" s="4">
        <f t="shared" si="426"/>
        <v>1</v>
      </c>
      <c r="AI875" s="4">
        <f t="shared" si="427"/>
        <v>0</v>
      </c>
      <c r="AJ875" s="4">
        <f t="shared" si="428"/>
        <v>8.5171931914162382</v>
      </c>
      <c r="AK875" s="4">
        <f t="shared" si="429"/>
        <v>5.2417470150596426</v>
      </c>
      <c r="AL875" s="4">
        <f t="shared" si="430"/>
        <v>0</v>
      </c>
      <c r="AM875" s="4">
        <f>CER!$C$7+CER!$C$8*J875+CER!$C$9*K875+CER!$C$10*L875+CER!$C$11*M875</f>
        <v>3.6918220370744326</v>
      </c>
      <c r="AN875" s="4">
        <f t="shared" si="431"/>
        <v>40.117876664295942</v>
      </c>
      <c r="AO875" s="4">
        <f t="shared" si="432"/>
        <v>0.20165199490506236</v>
      </c>
      <c r="AP875" s="4">
        <f>Alternatives!$F$25+Alternatives!$F$26*J875+Alternatives!$F$27*K875+Alternatives!$F$28*G875+Alternatives!$F$29*O875</f>
        <v>4.3062392988300848</v>
      </c>
      <c r="AQ875" s="4">
        <f t="shared" si="433"/>
        <v>-0.4127652668505899</v>
      </c>
    </row>
    <row r="876" spans="1:43" x14ac:dyDescent="0.35">
      <c r="A876" s="2" t="s">
        <v>739</v>
      </c>
      <c r="B876" s="2" t="s">
        <v>693</v>
      </c>
      <c r="C876" s="2" t="s">
        <v>33</v>
      </c>
      <c r="D876" s="2">
        <v>47.673699999999997</v>
      </c>
      <c r="E876" s="2">
        <v>5000</v>
      </c>
      <c r="F876" s="2">
        <v>189</v>
      </c>
      <c r="G876" s="2">
        <v>57.1</v>
      </c>
      <c r="H876" s="2" t="s">
        <v>68</v>
      </c>
      <c r="I876" s="4">
        <f t="shared" si="403"/>
        <v>3.8643798831545584</v>
      </c>
      <c r="J876" s="4">
        <f t="shared" si="404"/>
        <v>8.5171931914162382</v>
      </c>
      <c r="K876" s="4">
        <f t="shared" si="405"/>
        <v>5.2417470150596426</v>
      </c>
      <c r="L876" s="2">
        <v>1</v>
      </c>
      <c r="M876" s="2">
        <v>0</v>
      </c>
      <c r="N876" s="4">
        <f t="shared" si="406"/>
        <v>57.1</v>
      </c>
      <c r="O876" s="4">
        <f t="shared" si="407"/>
        <v>1</v>
      </c>
      <c r="P876" s="4">
        <f t="shared" si="408"/>
        <v>1</v>
      </c>
      <c r="Q876" s="4">
        <f t="shared" si="409"/>
        <v>8.5171931914162382</v>
      </c>
      <c r="R876" s="4">
        <f t="shared" si="410"/>
        <v>5.2417470150596426</v>
      </c>
      <c r="S876" s="4">
        <f t="shared" si="411"/>
        <v>57.1</v>
      </c>
      <c r="T876" s="4">
        <f t="shared" si="412"/>
        <v>1</v>
      </c>
      <c r="U876" s="4">
        <f t="shared" si="413"/>
        <v>8.5171931914162382</v>
      </c>
      <c r="V876" s="4">
        <f t="shared" si="414"/>
        <v>5.2417470150596426</v>
      </c>
      <c r="W876" s="4">
        <f t="shared" si="415"/>
        <v>57.1</v>
      </c>
      <c r="X876" s="4">
        <f t="shared" si="416"/>
        <v>1</v>
      </c>
      <c r="Y876" s="4">
        <f t="shared" si="417"/>
        <v>8.5171931914162382</v>
      </c>
      <c r="Z876" s="4">
        <f t="shared" si="418"/>
        <v>5.2417470150596426</v>
      </c>
      <c r="AA876" s="4">
        <f t="shared" si="419"/>
        <v>57.1</v>
      </c>
      <c r="AB876" s="4">
        <f t="shared" si="420"/>
        <v>1</v>
      </c>
      <c r="AC876" s="4">
        <f t="shared" si="421"/>
        <v>0</v>
      </c>
      <c r="AD876" s="4">
        <f t="shared" si="422"/>
        <v>0</v>
      </c>
      <c r="AE876" s="4">
        <f t="shared" si="423"/>
        <v>0</v>
      </c>
      <c r="AF876" s="4">
        <f t="shared" si="424"/>
        <v>0</v>
      </c>
      <c r="AG876" s="4">
        <f t="shared" si="425"/>
        <v>8.5171931914162382</v>
      </c>
      <c r="AH876" s="4">
        <f t="shared" si="426"/>
        <v>1</v>
      </c>
      <c r="AI876" s="4">
        <f t="shared" si="427"/>
        <v>0</v>
      </c>
      <c r="AJ876" s="4">
        <f t="shared" si="428"/>
        <v>8.5171931914162382</v>
      </c>
      <c r="AK876" s="4">
        <f t="shared" si="429"/>
        <v>5.2417470150596426</v>
      </c>
      <c r="AL876" s="4">
        <f t="shared" si="430"/>
        <v>0</v>
      </c>
      <c r="AM876" s="4">
        <f>CER!$C$7+CER!$C$8*J876+CER!$C$9*K876+CER!$C$10*L876+CER!$C$11*M876</f>
        <v>3.6918220370744326</v>
      </c>
      <c r="AN876" s="4">
        <f t="shared" si="431"/>
        <v>40.117876664295942</v>
      </c>
      <c r="AO876" s="4">
        <f t="shared" si="432"/>
        <v>0.17255784608012581</v>
      </c>
      <c r="AP876" s="4">
        <f>Alternatives!$F$25+Alternatives!$F$26*J876+Alternatives!$F$27*K876+Alternatives!$F$28*G876+Alternatives!$F$29*O876</f>
        <v>4.3036378359216396</v>
      </c>
      <c r="AQ876" s="4">
        <f t="shared" si="433"/>
        <v>-0.43925795276708124</v>
      </c>
    </row>
    <row r="877" spans="1:43" x14ac:dyDescent="0.35">
      <c r="A877" s="2" t="s">
        <v>740</v>
      </c>
      <c r="B877" s="2" t="s">
        <v>693</v>
      </c>
      <c r="C877" s="2" t="s">
        <v>33</v>
      </c>
      <c r="D877" s="2">
        <v>29.554300000000001</v>
      </c>
      <c r="E877" s="2">
        <v>6000</v>
      </c>
      <c r="F877" s="2">
        <v>389</v>
      </c>
      <c r="G877" s="2">
        <v>58.2</v>
      </c>
      <c r="H877" s="2" t="s">
        <v>68</v>
      </c>
      <c r="I877" s="4">
        <f t="shared" si="403"/>
        <v>3.3862292493401203</v>
      </c>
      <c r="J877" s="4">
        <f t="shared" si="404"/>
        <v>8.6995147482101913</v>
      </c>
      <c r="K877" s="4">
        <f t="shared" si="405"/>
        <v>5.9635793436184459</v>
      </c>
      <c r="L877" s="2">
        <v>1</v>
      </c>
      <c r="M877" s="2">
        <v>0</v>
      </c>
      <c r="N877" s="4">
        <f t="shared" si="406"/>
        <v>58.2</v>
      </c>
      <c r="O877" s="4">
        <f t="shared" si="407"/>
        <v>1</v>
      </c>
      <c r="P877" s="4">
        <f t="shared" si="408"/>
        <v>1</v>
      </c>
      <c r="Q877" s="4">
        <f t="shared" si="409"/>
        <v>8.6995147482101913</v>
      </c>
      <c r="R877" s="4">
        <f t="shared" si="410"/>
        <v>5.9635793436184459</v>
      </c>
      <c r="S877" s="4">
        <f t="shared" si="411"/>
        <v>58.2</v>
      </c>
      <c r="T877" s="4">
        <f t="shared" si="412"/>
        <v>1</v>
      </c>
      <c r="U877" s="4">
        <f t="shared" si="413"/>
        <v>8.6995147482101913</v>
      </c>
      <c r="V877" s="4">
        <f t="shared" si="414"/>
        <v>5.9635793436184459</v>
      </c>
      <c r="W877" s="4">
        <f t="shared" si="415"/>
        <v>58.2</v>
      </c>
      <c r="X877" s="4">
        <f t="shared" si="416"/>
        <v>1</v>
      </c>
      <c r="Y877" s="4">
        <f t="shared" si="417"/>
        <v>8.6995147482101913</v>
      </c>
      <c r="Z877" s="4">
        <f t="shared" si="418"/>
        <v>5.9635793436184459</v>
      </c>
      <c r="AA877" s="4">
        <f t="shared" si="419"/>
        <v>58.2</v>
      </c>
      <c r="AB877" s="4">
        <f t="shared" si="420"/>
        <v>1</v>
      </c>
      <c r="AC877" s="4">
        <f t="shared" si="421"/>
        <v>0</v>
      </c>
      <c r="AD877" s="4">
        <f t="shared" si="422"/>
        <v>0</v>
      </c>
      <c r="AE877" s="4">
        <f t="shared" si="423"/>
        <v>0</v>
      </c>
      <c r="AF877" s="4">
        <f t="shared" si="424"/>
        <v>0</v>
      </c>
      <c r="AG877" s="4">
        <f t="shared" si="425"/>
        <v>8.6995147482101913</v>
      </c>
      <c r="AH877" s="4">
        <f t="shared" si="426"/>
        <v>1</v>
      </c>
      <c r="AI877" s="4">
        <f t="shared" si="427"/>
        <v>0</v>
      </c>
      <c r="AJ877" s="4">
        <f t="shared" si="428"/>
        <v>8.6995147482101913</v>
      </c>
      <c r="AK877" s="4">
        <f t="shared" si="429"/>
        <v>5.9635793436184459</v>
      </c>
      <c r="AL877" s="4">
        <f t="shared" si="430"/>
        <v>0</v>
      </c>
      <c r="AM877" s="4">
        <f>CER!$C$7+CER!$C$8*J877+CER!$C$9*K877+CER!$C$10*L877+CER!$C$11*M877</f>
        <v>3.34296790552149</v>
      </c>
      <c r="AN877" s="4">
        <f t="shared" si="431"/>
        <v>28.303002813983809</v>
      </c>
      <c r="AO877" s="4">
        <f t="shared" si="432"/>
        <v>4.3261343818630227E-2</v>
      </c>
      <c r="AP877" s="4">
        <f>Alternatives!$F$25+Alternatives!$F$26*J877+Alternatives!$F$27*K877+Alternatives!$F$28*G877+Alternatives!$F$29*O877</f>
        <v>4.1647176638099284</v>
      </c>
      <c r="AQ877" s="4">
        <f t="shared" si="433"/>
        <v>-0.7784884144698081</v>
      </c>
    </row>
    <row r="878" spans="1:43" x14ac:dyDescent="0.35">
      <c r="A878" s="2" t="s">
        <v>741</v>
      </c>
      <c r="B878" s="2" t="s">
        <v>693</v>
      </c>
      <c r="C878" s="2" t="s">
        <v>33</v>
      </c>
      <c r="D878" s="2">
        <v>26.407399999999999</v>
      </c>
      <c r="E878" s="2">
        <v>6500</v>
      </c>
      <c r="F878" s="2">
        <v>389</v>
      </c>
      <c r="G878" s="2">
        <v>58.2</v>
      </c>
      <c r="H878" s="2" t="s">
        <v>68</v>
      </c>
      <c r="I878" s="4">
        <f t="shared" si="403"/>
        <v>3.2736442739050187</v>
      </c>
      <c r="J878" s="4">
        <f t="shared" si="404"/>
        <v>8.7795574558837277</v>
      </c>
      <c r="K878" s="4">
        <f t="shared" si="405"/>
        <v>5.9635793436184459</v>
      </c>
      <c r="L878" s="2">
        <v>1</v>
      </c>
      <c r="M878" s="2">
        <v>0</v>
      </c>
      <c r="N878" s="4">
        <f t="shared" si="406"/>
        <v>58.2</v>
      </c>
      <c r="O878" s="4">
        <f t="shared" si="407"/>
        <v>1</v>
      </c>
      <c r="P878" s="4">
        <f t="shared" si="408"/>
        <v>1</v>
      </c>
      <c r="Q878" s="4">
        <f t="shared" si="409"/>
        <v>8.7795574558837277</v>
      </c>
      <c r="R878" s="4">
        <f t="shared" si="410"/>
        <v>5.9635793436184459</v>
      </c>
      <c r="S878" s="4">
        <f t="shared" si="411"/>
        <v>58.2</v>
      </c>
      <c r="T878" s="4">
        <f t="shared" si="412"/>
        <v>1</v>
      </c>
      <c r="U878" s="4">
        <f t="shared" si="413"/>
        <v>8.7795574558837277</v>
      </c>
      <c r="V878" s="4">
        <f t="shared" si="414"/>
        <v>5.9635793436184459</v>
      </c>
      <c r="W878" s="4">
        <f t="shared" si="415"/>
        <v>58.2</v>
      </c>
      <c r="X878" s="4">
        <f t="shared" si="416"/>
        <v>1</v>
      </c>
      <c r="Y878" s="4">
        <f t="shared" si="417"/>
        <v>8.7795574558837277</v>
      </c>
      <c r="Z878" s="4">
        <f t="shared" si="418"/>
        <v>5.9635793436184459</v>
      </c>
      <c r="AA878" s="4">
        <f t="shared" si="419"/>
        <v>58.2</v>
      </c>
      <c r="AB878" s="4">
        <f t="shared" si="420"/>
        <v>1</v>
      </c>
      <c r="AC878" s="4">
        <f t="shared" si="421"/>
        <v>0</v>
      </c>
      <c r="AD878" s="4">
        <f t="shared" si="422"/>
        <v>0</v>
      </c>
      <c r="AE878" s="4">
        <f t="shared" si="423"/>
        <v>0</v>
      </c>
      <c r="AF878" s="4">
        <f t="shared" si="424"/>
        <v>0</v>
      </c>
      <c r="AG878" s="4">
        <f t="shared" si="425"/>
        <v>8.7795574558837277</v>
      </c>
      <c r="AH878" s="4">
        <f t="shared" si="426"/>
        <v>1</v>
      </c>
      <c r="AI878" s="4">
        <f t="shared" si="427"/>
        <v>0</v>
      </c>
      <c r="AJ878" s="4">
        <f t="shared" si="428"/>
        <v>8.7795574558837277</v>
      </c>
      <c r="AK878" s="4">
        <f t="shared" si="429"/>
        <v>5.9635793436184459</v>
      </c>
      <c r="AL878" s="4">
        <f t="shared" si="430"/>
        <v>0</v>
      </c>
      <c r="AM878" s="4">
        <f>CER!$C$7+CER!$C$8*J878+CER!$C$9*K878+CER!$C$10*L878+CER!$C$11*M878</f>
        <v>3.3067318417981766</v>
      </c>
      <c r="AN878" s="4">
        <f t="shared" si="431"/>
        <v>27.295772638612139</v>
      </c>
      <c r="AO878" s="4">
        <f t="shared" si="432"/>
        <v>-3.3087567893157921E-2</v>
      </c>
      <c r="AP878" s="4">
        <f>Alternatives!$F$25+Alternatives!$F$26*J878+Alternatives!$F$27*K878+Alternatives!$F$28*G878+Alternatives!$F$29*O878</f>
        <v>4.194340347568593</v>
      </c>
      <c r="AQ878" s="4">
        <f t="shared" si="433"/>
        <v>-0.92069607366357431</v>
      </c>
    </row>
    <row r="879" spans="1:43" x14ac:dyDescent="0.35">
      <c r="A879" s="2" t="s">
        <v>742</v>
      </c>
      <c r="B879" s="2" t="s">
        <v>693</v>
      </c>
      <c r="C879" s="2" t="s">
        <v>33</v>
      </c>
      <c r="D879" s="2">
        <v>53.340899999999998</v>
      </c>
      <c r="E879" s="2">
        <v>4000</v>
      </c>
      <c r="F879" s="2">
        <v>176</v>
      </c>
      <c r="G879" s="2">
        <v>46.6</v>
      </c>
      <c r="H879" s="2" t="s">
        <v>68</v>
      </c>
      <c r="I879" s="4">
        <f t="shared" si="403"/>
        <v>3.976703391502411</v>
      </c>
      <c r="J879" s="4">
        <f t="shared" si="404"/>
        <v>8.2940496401020276</v>
      </c>
      <c r="K879" s="4">
        <f t="shared" si="405"/>
        <v>5.1704839950381514</v>
      </c>
      <c r="L879" s="2">
        <v>1</v>
      </c>
      <c r="M879" s="2">
        <v>0</v>
      </c>
      <c r="N879" s="4">
        <f t="shared" si="406"/>
        <v>46.6</v>
      </c>
      <c r="O879" s="4">
        <f t="shared" si="407"/>
        <v>1</v>
      </c>
      <c r="P879" s="4">
        <f t="shared" si="408"/>
        <v>1</v>
      </c>
      <c r="Q879" s="4">
        <f t="shared" si="409"/>
        <v>8.2940496401020276</v>
      </c>
      <c r="R879" s="4">
        <f t="shared" si="410"/>
        <v>5.1704839950381514</v>
      </c>
      <c r="S879" s="4">
        <f t="shared" si="411"/>
        <v>46.6</v>
      </c>
      <c r="T879" s="4">
        <f t="shared" si="412"/>
        <v>1</v>
      </c>
      <c r="U879" s="4">
        <f t="shared" si="413"/>
        <v>8.2940496401020276</v>
      </c>
      <c r="V879" s="4">
        <f t="shared" si="414"/>
        <v>5.1704839950381514</v>
      </c>
      <c r="W879" s="4">
        <f t="shared" si="415"/>
        <v>46.6</v>
      </c>
      <c r="X879" s="4">
        <f t="shared" si="416"/>
        <v>1</v>
      </c>
      <c r="Y879" s="4">
        <f t="shared" si="417"/>
        <v>8.2940496401020276</v>
      </c>
      <c r="Z879" s="4">
        <f t="shared" si="418"/>
        <v>5.1704839950381514</v>
      </c>
      <c r="AA879" s="4">
        <f t="shared" si="419"/>
        <v>46.6</v>
      </c>
      <c r="AB879" s="4">
        <f t="shared" si="420"/>
        <v>1</v>
      </c>
      <c r="AC879" s="4">
        <f t="shared" si="421"/>
        <v>0</v>
      </c>
      <c r="AD879" s="4">
        <f t="shared" si="422"/>
        <v>0</v>
      </c>
      <c r="AE879" s="4">
        <f t="shared" si="423"/>
        <v>0</v>
      </c>
      <c r="AF879" s="4">
        <f t="shared" si="424"/>
        <v>0</v>
      </c>
      <c r="AG879" s="4">
        <f t="shared" si="425"/>
        <v>8.2940496401020276</v>
      </c>
      <c r="AH879" s="4">
        <f t="shared" si="426"/>
        <v>1</v>
      </c>
      <c r="AI879" s="4">
        <f t="shared" si="427"/>
        <v>0</v>
      </c>
      <c r="AJ879" s="4">
        <f t="shared" si="428"/>
        <v>8.2940496401020276</v>
      </c>
      <c r="AK879" s="4">
        <f t="shared" si="429"/>
        <v>5.1704839950381514</v>
      </c>
      <c r="AL879" s="4">
        <f t="shared" si="430"/>
        <v>0</v>
      </c>
      <c r="AM879" s="4">
        <f>CER!$C$7+CER!$C$8*J879+CER!$C$9*K879+CER!$C$10*L879+CER!$C$11*M879</f>
        <v>3.8191332010080927</v>
      </c>
      <c r="AN879" s="4">
        <f t="shared" si="431"/>
        <v>45.564695766244697</v>
      </c>
      <c r="AO879" s="4">
        <f t="shared" si="432"/>
        <v>0.15757019049431831</v>
      </c>
      <c r="AP879" s="4">
        <f>Alternatives!$F$25+Alternatives!$F$26*J879+Alternatives!$F$27*K879+Alternatives!$F$28*G879+Alternatives!$F$29*O879</f>
        <v>4.3765961391425829</v>
      </c>
      <c r="AQ879" s="4">
        <f t="shared" si="433"/>
        <v>-0.39989274764017191</v>
      </c>
    </row>
    <row r="880" spans="1:43" x14ac:dyDescent="0.35">
      <c r="A880" s="2" t="s">
        <v>743</v>
      </c>
      <c r="B880" s="2" t="s">
        <v>693</v>
      </c>
      <c r="C880" s="2" t="s">
        <v>67</v>
      </c>
      <c r="D880" s="2">
        <v>31.9254</v>
      </c>
      <c r="E880" s="2">
        <v>4500</v>
      </c>
      <c r="F880" s="2">
        <v>265</v>
      </c>
      <c r="G880" s="2">
        <v>54.6</v>
      </c>
      <c r="H880" s="2" t="s">
        <v>68</v>
      </c>
      <c r="I880" s="4">
        <f t="shared" si="403"/>
        <v>3.4634019312058122</v>
      </c>
      <c r="J880" s="4">
        <f t="shared" si="404"/>
        <v>8.4118326757584114</v>
      </c>
      <c r="K880" s="4">
        <f t="shared" si="405"/>
        <v>5.579729825986222</v>
      </c>
      <c r="L880" s="2">
        <v>0</v>
      </c>
      <c r="M880" s="2">
        <v>0</v>
      </c>
      <c r="N880" s="4">
        <f t="shared" si="406"/>
        <v>54.6</v>
      </c>
      <c r="O880" s="4">
        <f t="shared" si="407"/>
        <v>0</v>
      </c>
      <c r="P880" s="4">
        <f t="shared" si="408"/>
        <v>0</v>
      </c>
      <c r="Q880" s="4">
        <f t="shared" si="409"/>
        <v>8.4118326757584114</v>
      </c>
      <c r="R880" s="4">
        <f t="shared" si="410"/>
        <v>5.579729825986222</v>
      </c>
      <c r="S880" s="4">
        <f t="shared" si="411"/>
        <v>54.6</v>
      </c>
      <c r="T880" s="4">
        <f t="shared" si="412"/>
        <v>0</v>
      </c>
      <c r="U880" s="4">
        <f t="shared" si="413"/>
        <v>8.4118326757584114</v>
      </c>
      <c r="V880" s="4">
        <f t="shared" si="414"/>
        <v>5.579729825986222</v>
      </c>
      <c r="W880" s="4">
        <f t="shared" si="415"/>
        <v>54.6</v>
      </c>
      <c r="X880" s="4">
        <f t="shared" si="416"/>
        <v>0</v>
      </c>
      <c r="Y880" s="4">
        <f t="shared" si="417"/>
        <v>8.4118326757584114</v>
      </c>
      <c r="Z880" s="4">
        <f t="shared" si="418"/>
        <v>5.579729825986222</v>
      </c>
      <c r="AA880" s="4">
        <f t="shared" si="419"/>
        <v>54.6</v>
      </c>
      <c r="AB880" s="4">
        <f t="shared" si="420"/>
        <v>0</v>
      </c>
      <c r="AC880" s="4">
        <f t="shared" si="421"/>
        <v>0</v>
      </c>
      <c r="AD880" s="4">
        <f t="shared" si="422"/>
        <v>0</v>
      </c>
      <c r="AE880" s="4">
        <f t="shared" si="423"/>
        <v>0</v>
      </c>
      <c r="AF880" s="4">
        <f t="shared" si="424"/>
        <v>0</v>
      </c>
      <c r="AG880" s="4">
        <f t="shared" si="425"/>
        <v>8.4118326757584114</v>
      </c>
      <c r="AH880" s="4">
        <f t="shared" si="426"/>
        <v>0</v>
      </c>
      <c r="AI880" s="4">
        <f t="shared" si="427"/>
        <v>0</v>
      </c>
      <c r="AJ880" s="4">
        <f t="shared" si="428"/>
        <v>8.4118326757584114</v>
      </c>
      <c r="AK880" s="4">
        <f t="shared" si="429"/>
        <v>5.579729825986222</v>
      </c>
      <c r="AL880" s="4">
        <f t="shared" si="430"/>
        <v>0</v>
      </c>
      <c r="AM880" s="4">
        <f>CER!$C$7+CER!$C$8*J880+CER!$C$9*K880+CER!$C$10*L880+CER!$C$11*M880</f>
        <v>3.3910694999053375</v>
      </c>
      <c r="AN880" s="4">
        <f t="shared" si="431"/>
        <v>29.697696975967695</v>
      </c>
      <c r="AO880" s="4">
        <f t="shared" si="432"/>
        <v>7.2332431300474731E-2</v>
      </c>
      <c r="AP880" s="4">
        <f>Alternatives!$F$25+Alternatives!$F$26*J880+Alternatives!$F$27*K880+Alternatives!$F$28*G880+Alternatives!$F$29*O880</f>
        <v>3.3624831489092655</v>
      </c>
      <c r="AQ880" s="4">
        <f t="shared" si="433"/>
        <v>0.10091878229654672</v>
      </c>
    </row>
    <row r="881" spans="1:43" x14ac:dyDescent="0.35">
      <c r="A881" s="2" t="s">
        <v>744</v>
      </c>
      <c r="B881" s="2" t="s">
        <v>693</v>
      </c>
      <c r="C881" s="2" t="s">
        <v>67</v>
      </c>
      <c r="D881" s="2">
        <v>31.907499999999999</v>
      </c>
      <c r="E881" s="2">
        <v>4500</v>
      </c>
      <c r="F881" s="2">
        <v>265</v>
      </c>
      <c r="G881" s="2">
        <v>54.3</v>
      </c>
      <c r="H881" s="2" t="s">
        <v>68</v>
      </c>
      <c r="I881" s="4">
        <f t="shared" si="403"/>
        <v>3.4628410918747088</v>
      </c>
      <c r="J881" s="4">
        <f t="shared" si="404"/>
        <v>8.4118326757584114</v>
      </c>
      <c r="K881" s="4">
        <f t="shared" si="405"/>
        <v>5.579729825986222</v>
      </c>
      <c r="L881" s="2">
        <v>0</v>
      </c>
      <c r="M881" s="2">
        <v>0</v>
      </c>
      <c r="N881" s="4">
        <f t="shared" si="406"/>
        <v>54.3</v>
      </c>
      <c r="O881" s="4">
        <f t="shared" si="407"/>
        <v>0</v>
      </c>
      <c r="P881" s="4">
        <f t="shared" si="408"/>
        <v>0</v>
      </c>
      <c r="Q881" s="4">
        <f t="shared" si="409"/>
        <v>8.4118326757584114</v>
      </c>
      <c r="R881" s="4">
        <f t="shared" si="410"/>
        <v>5.579729825986222</v>
      </c>
      <c r="S881" s="4">
        <f t="shared" si="411"/>
        <v>54.3</v>
      </c>
      <c r="T881" s="4">
        <f t="shared" si="412"/>
        <v>0</v>
      </c>
      <c r="U881" s="4">
        <f t="shared" si="413"/>
        <v>8.4118326757584114</v>
      </c>
      <c r="V881" s="4">
        <f t="shared" si="414"/>
        <v>5.579729825986222</v>
      </c>
      <c r="W881" s="4">
        <f t="shared" si="415"/>
        <v>54.3</v>
      </c>
      <c r="X881" s="4">
        <f t="shared" si="416"/>
        <v>0</v>
      </c>
      <c r="Y881" s="4">
        <f t="shared" si="417"/>
        <v>8.4118326757584114</v>
      </c>
      <c r="Z881" s="4">
        <f t="shared" si="418"/>
        <v>5.579729825986222</v>
      </c>
      <c r="AA881" s="4">
        <f t="shared" si="419"/>
        <v>54.3</v>
      </c>
      <c r="AB881" s="4">
        <f t="shared" si="420"/>
        <v>0</v>
      </c>
      <c r="AC881" s="4">
        <f t="shared" si="421"/>
        <v>0</v>
      </c>
      <c r="AD881" s="4">
        <f t="shared" si="422"/>
        <v>0</v>
      </c>
      <c r="AE881" s="4">
        <f t="shared" si="423"/>
        <v>0</v>
      </c>
      <c r="AF881" s="4">
        <f t="shared" si="424"/>
        <v>0</v>
      </c>
      <c r="AG881" s="4">
        <f t="shared" si="425"/>
        <v>8.4118326757584114</v>
      </c>
      <c r="AH881" s="4">
        <f t="shared" si="426"/>
        <v>0</v>
      </c>
      <c r="AI881" s="4">
        <f t="shared" si="427"/>
        <v>0</v>
      </c>
      <c r="AJ881" s="4">
        <f t="shared" si="428"/>
        <v>8.4118326757584114</v>
      </c>
      <c r="AK881" s="4">
        <f t="shared" si="429"/>
        <v>5.579729825986222</v>
      </c>
      <c r="AL881" s="4">
        <f t="shared" si="430"/>
        <v>0</v>
      </c>
      <c r="AM881" s="4">
        <f>CER!$C$7+CER!$C$8*J881+CER!$C$9*K881+CER!$C$10*L881+CER!$C$11*M881</f>
        <v>3.3910694999053375</v>
      </c>
      <c r="AN881" s="4">
        <f t="shared" si="431"/>
        <v>29.697696975967695</v>
      </c>
      <c r="AO881" s="4">
        <f t="shared" si="432"/>
        <v>7.1771591969371329E-2</v>
      </c>
      <c r="AP881" s="4">
        <f>Alternatives!$F$25+Alternatives!$F$26*J881+Alternatives!$F$27*K881+Alternatives!$F$28*G881+Alternatives!$F$29*O881</f>
        <v>3.3663853432719337</v>
      </c>
      <c r="AQ881" s="4">
        <f t="shared" si="433"/>
        <v>9.645574860277506E-2</v>
      </c>
    </row>
    <row r="882" spans="1:43" x14ac:dyDescent="0.35">
      <c r="A882" s="2" t="s">
        <v>745</v>
      </c>
      <c r="B882" s="2" t="s">
        <v>693</v>
      </c>
      <c r="C882" s="2" t="s">
        <v>67</v>
      </c>
      <c r="D882" s="2">
        <v>30.955300000000001</v>
      </c>
      <c r="E882" s="2">
        <v>4500</v>
      </c>
      <c r="F882" s="2">
        <v>265</v>
      </c>
      <c r="G882" s="2">
        <v>54.6</v>
      </c>
      <c r="H882" s="2" t="s">
        <v>68</v>
      </c>
      <c r="I882" s="4">
        <f t="shared" si="403"/>
        <v>3.4325442284118766</v>
      </c>
      <c r="J882" s="4">
        <f t="shared" si="404"/>
        <v>8.4118326757584114</v>
      </c>
      <c r="K882" s="4">
        <f t="shared" si="405"/>
        <v>5.579729825986222</v>
      </c>
      <c r="L882" s="2">
        <v>0</v>
      </c>
      <c r="M882" s="2">
        <v>0</v>
      </c>
      <c r="N882" s="4">
        <f t="shared" si="406"/>
        <v>54.6</v>
      </c>
      <c r="O882" s="4">
        <f t="shared" si="407"/>
        <v>0</v>
      </c>
      <c r="P882" s="4">
        <f t="shared" si="408"/>
        <v>0</v>
      </c>
      <c r="Q882" s="4">
        <f t="shared" si="409"/>
        <v>8.4118326757584114</v>
      </c>
      <c r="R882" s="4">
        <f t="shared" si="410"/>
        <v>5.579729825986222</v>
      </c>
      <c r="S882" s="4">
        <f t="shared" si="411"/>
        <v>54.6</v>
      </c>
      <c r="T882" s="4">
        <f t="shared" si="412"/>
        <v>0</v>
      </c>
      <c r="U882" s="4">
        <f t="shared" si="413"/>
        <v>8.4118326757584114</v>
      </c>
      <c r="V882" s="4">
        <f t="shared" si="414"/>
        <v>5.579729825986222</v>
      </c>
      <c r="W882" s="4">
        <f t="shared" si="415"/>
        <v>54.6</v>
      </c>
      <c r="X882" s="4">
        <f t="shared" si="416"/>
        <v>0</v>
      </c>
      <c r="Y882" s="4">
        <f t="shared" si="417"/>
        <v>8.4118326757584114</v>
      </c>
      <c r="Z882" s="4">
        <f t="shared" si="418"/>
        <v>5.579729825986222</v>
      </c>
      <c r="AA882" s="4">
        <f t="shared" si="419"/>
        <v>54.6</v>
      </c>
      <c r="AB882" s="4">
        <f t="shared" si="420"/>
        <v>0</v>
      </c>
      <c r="AC882" s="4">
        <f t="shared" si="421"/>
        <v>0</v>
      </c>
      <c r="AD882" s="4">
        <f t="shared" si="422"/>
        <v>0</v>
      </c>
      <c r="AE882" s="4">
        <f t="shared" si="423"/>
        <v>0</v>
      </c>
      <c r="AF882" s="4">
        <f t="shared" si="424"/>
        <v>0</v>
      </c>
      <c r="AG882" s="4">
        <f t="shared" si="425"/>
        <v>8.4118326757584114</v>
      </c>
      <c r="AH882" s="4">
        <f t="shared" si="426"/>
        <v>0</v>
      </c>
      <c r="AI882" s="4">
        <f t="shared" si="427"/>
        <v>0</v>
      </c>
      <c r="AJ882" s="4">
        <f t="shared" si="428"/>
        <v>8.4118326757584114</v>
      </c>
      <c r="AK882" s="4">
        <f t="shared" si="429"/>
        <v>5.579729825986222</v>
      </c>
      <c r="AL882" s="4">
        <f t="shared" si="430"/>
        <v>0</v>
      </c>
      <c r="AM882" s="4">
        <f>CER!$C$7+CER!$C$8*J882+CER!$C$9*K882+CER!$C$10*L882+CER!$C$11*M882</f>
        <v>3.3910694999053375</v>
      </c>
      <c r="AN882" s="4">
        <f t="shared" si="431"/>
        <v>29.697696975967695</v>
      </c>
      <c r="AO882" s="4">
        <f t="shared" si="432"/>
        <v>4.1474728506539105E-2</v>
      </c>
      <c r="AP882" s="4">
        <f>Alternatives!$F$25+Alternatives!$F$26*J882+Alternatives!$F$27*K882+Alternatives!$F$28*G882+Alternatives!$F$29*O882</f>
        <v>3.3624831489092655</v>
      </c>
      <c r="AQ882" s="4">
        <f t="shared" si="433"/>
        <v>7.006107950261109E-2</v>
      </c>
    </row>
    <row r="883" spans="1:43" x14ac:dyDescent="0.35">
      <c r="A883" s="2" t="s">
        <v>746</v>
      </c>
      <c r="B883" s="2" t="s">
        <v>693</v>
      </c>
      <c r="C883" s="2" t="s">
        <v>67</v>
      </c>
      <c r="D883" s="2">
        <v>29.7362</v>
      </c>
      <c r="E883" s="2">
        <v>5000</v>
      </c>
      <c r="F883" s="2">
        <v>265</v>
      </c>
      <c r="G883" s="2">
        <v>54.3</v>
      </c>
      <c r="H883" s="2" t="s">
        <v>68</v>
      </c>
      <c r="I883" s="4">
        <f t="shared" si="403"/>
        <v>3.3923651588265162</v>
      </c>
      <c r="J883" s="4">
        <f t="shared" si="404"/>
        <v>8.5171931914162382</v>
      </c>
      <c r="K883" s="4">
        <f t="shared" si="405"/>
        <v>5.579729825986222</v>
      </c>
      <c r="L883" s="2">
        <v>0</v>
      </c>
      <c r="M883" s="2">
        <v>0</v>
      </c>
      <c r="N883" s="4">
        <f t="shared" si="406"/>
        <v>54.3</v>
      </c>
      <c r="O883" s="4">
        <f t="shared" si="407"/>
        <v>0</v>
      </c>
      <c r="P883" s="4">
        <f t="shared" si="408"/>
        <v>0</v>
      </c>
      <c r="Q883" s="4">
        <f t="shared" si="409"/>
        <v>8.5171931914162382</v>
      </c>
      <c r="R883" s="4">
        <f t="shared" si="410"/>
        <v>5.579729825986222</v>
      </c>
      <c r="S883" s="4">
        <f t="shared" si="411"/>
        <v>54.3</v>
      </c>
      <c r="T883" s="4">
        <f t="shared" si="412"/>
        <v>0</v>
      </c>
      <c r="U883" s="4">
        <f t="shared" si="413"/>
        <v>8.5171931914162382</v>
      </c>
      <c r="V883" s="4">
        <f t="shared" si="414"/>
        <v>5.579729825986222</v>
      </c>
      <c r="W883" s="4">
        <f t="shared" si="415"/>
        <v>54.3</v>
      </c>
      <c r="X883" s="4">
        <f t="shared" si="416"/>
        <v>0</v>
      </c>
      <c r="Y883" s="4">
        <f t="shared" si="417"/>
        <v>8.5171931914162382</v>
      </c>
      <c r="Z883" s="4">
        <f t="shared" si="418"/>
        <v>5.579729825986222</v>
      </c>
      <c r="AA883" s="4">
        <f t="shared" si="419"/>
        <v>54.3</v>
      </c>
      <c r="AB883" s="4">
        <f t="shared" si="420"/>
        <v>0</v>
      </c>
      <c r="AC883" s="4">
        <f t="shared" si="421"/>
        <v>0</v>
      </c>
      <c r="AD883" s="4">
        <f t="shared" si="422"/>
        <v>0</v>
      </c>
      <c r="AE883" s="4">
        <f t="shared" si="423"/>
        <v>0</v>
      </c>
      <c r="AF883" s="4">
        <f t="shared" si="424"/>
        <v>0</v>
      </c>
      <c r="AG883" s="4">
        <f t="shared" si="425"/>
        <v>8.5171931914162382</v>
      </c>
      <c r="AH883" s="4">
        <f t="shared" si="426"/>
        <v>0</v>
      </c>
      <c r="AI883" s="4">
        <f t="shared" si="427"/>
        <v>0</v>
      </c>
      <c r="AJ883" s="4">
        <f t="shared" si="428"/>
        <v>8.5171931914162382</v>
      </c>
      <c r="AK883" s="4">
        <f t="shared" si="429"/>
        <v>5.579729825986222</v>
      </c>
      <c r="AL883" s="4">
        <f t="shared" si="430"/>
        <v>0</v>
      </c>
      <c r="AM883" s="4">
        <f>CER!$C$7+CER!$C$8*J883+CER!$C$9*K883+CER!$C$10*L883+CER!$C$11*M883</f>
        <v>3.3433718336186127</v>
      </c>
      <c r="AN883" s="4">
        <f t="shared" si="431"/>
        <v>28.31443750129359</v>
      </c>
      <c r="AO883" s="4">
        <f t="shared" si="432"/>
        <v>4.899332520790356E-2</v>
      </c>
      <c r="AP883" s="4">
        <f>Alternatives!$F$25+Alternatives!$F$26*J883+Alternatives!$F$27*K883+Alternatives!$F$28*G883+Alternatives!$F$29*O883</f>
        <v>3.4053777927616649</v>
      </c>
      <c r="AQ883" s="4">
        <f t="shared" si="433"/>
        <v>-1.3012633935148621E-2</v>
      </c>
    </row>
    <row r="884" spans="1:43" x14ac:dyDescent="0.35">
      <c r="A884" s="2" t="s">
        <v>747</v>
      </c>
      <c r="B884" s="2" t="s">
        <v>693</v>
      </c>
      <c r="C884" s="2" t="s">
        <v>33</v>
      </c>
      <c r="D884" s="2">
        <v>50.566699999999997</v>
      </c>
      <c r="E884" s="2">
        <v>4500</v>
      </c>
      <c r="F884" s="2">
        <v>187</v>
      </c>
      <c r="G884" s="2">
        <v>54.6</v>
      </c>
      <c r="H884" s="2" t="s">
        <v>68</v>
      </c>
      <c r="I884" s="4">
        <f t="shared" si="403"/>
        <v>3.9232932568819407</v>
      </c>
      <c r="J884" s="4">
        <f t="shared" si="404"/>
        <v>8.4118326757584114</v>
      </c>
      <c r="K884" s="4">
        <f t="shared" si="405"/>
        <v>5.2311086168545868</v>
      </c>
      <c r="L884" s="2">
        <v>1</v>
      </c>
      <c r="M884" s="2">
        <v>0</v>
      </c>
      <c r="N884" s="4">
        <f t="shared" si="406"/>
        <v>54.6</v>
      </c>
      <c r="O884" s="4">
        <f t="shared" si="407"/>
        <v>1</v>
      </c>
      <c r="P884" s="4">
        <f t="shared" si="408"/>
        <v>1</v>
      </c>
      <c r="Q884" s="4">
        <f t="shared" si="409"/>
        <v>8.4118326757584114</v>
      </c>
      <c r="R884" s="4">
        <f t="shared" si="410"/>
        <v>5.2311086168545868</v>
      </c>
      <c r="S884" s="4">
        <f t="shared" si="411"/>
        <v>54.6</v>
      </c>
      <c r="T884" s="4">
        <f t="shared" si="412"/>
        <v>1</v>
      </c>
      <c r="U884" s="4">
        <f t="shared" si="413"/>
        <v>8.4118326757584114</v>
      </c>
      <c r="V884" s="4">
        <f t="shared" si="414"/>
        <v>5.2311086168545868</v>
      </c>
      <c r="W884" s="4">
        <f t="shared" si="415"/>
        <v>54.6</v>
      </c>
      <c r="X884" s="4">
        <f t="shared" si="416"/>
        <v>1</v>
      </c>
      <c r="Y884" s="4">
        <f t="shared" si="417"/>
        <v>8.4118326757584114</v>
      </c>
      <c r="Z884" s="4">
        <f t="shared" si="418"/>
        <v>5.2311086168545868</v>
      </c>
      <c r="AA884" s="4">
        <f t="shared" si="419"/>
        <v>54.6</v>
      </c>
      <c r="AB884" s="4">
        <f t="shared" si="420"/>
        <v>1</v>
      </c>
      <c r="AC884" s="4">
        <f t="shared" si="421"/>
        <v>0</v>
      </c>
      <c r="AD884" s="4">
        <f t="shared" si="422"/>
        <v>0</v>
      </c>
      <c r="AE884" s="4">
        <f t="shared" si="423"/>
        <v>0</v>
      </c>
      <c r="AF884" s="4">
        <f t="shared" si="424"/>
        <v>0</v>
      </c>
      <c r="AG884" s="4">
        <f t="shared" si="425"/>
        <v>8.4118326757584114</v>
      </c>
      <c r="AH884" s="4">
        <f t="shared" si="426"/>
        <v>1</v>
      </c>
      <c r="AI884" s="4">
        <f t="shared" si="427"/>
        <v>0</v>
      </c>
      <c r="AJ884" s="4">
        <f t="shared" si="428"/>
        <v>8.4118326757584114</v>
      </c>
      <c r="AK884" s="4">
        <f t="shared" si="429"/>
        <v>5.2311086168545868</v>
      </c>
      <c r="AL884" s="4">
        <f t="shared" si="430"/>
        <v>0</v>
      </c>
      <c r="AM884" s="4">
        <f>CER!$C$7+CER!$C$8*J884+CER!$C$9*K884+CER!$C$10*L884+CER!$C$11*M884</f>
        <v>3.7434446735045306</v>
      </c>
      <c r="AN884" s="4">
        <f t="shared" si="431"/>
        <v>42.243254045994249</v>
      </c>
      <c r="AO884" s="4">
        <f t="shared" si="432"/>
        <v>0.17984858337741016</v>
      </c>
      <c r="AP884" s="4">
        <f>Alternatives!$F$25+Alternatives!$F$26*J884+Alternatives!$F$27*K884+Alternatives!$F$28*G884+Alternatives!$F$29*O884</f>
        <v>4.2999946565924372</v>
      </c>
      <c r="AQ884" s="4">
        <f t="shared" si="433"/>
        <v>-0.37670139971049643</v>
      </c>
    </row>
    <row r="885" spans="1:43" x14ac:dyDescent="0.35">
      <c r="A885" s="2" t="s">
        <v>748</v>
      </c>
      <c r="B885" s="2" t="s">
        <v>693</v>
      </c>
      <c r="C885" s="2" t="s">
        <v>33</v>
      </c>
      <c r="D885" s="2">
        <v>47.7181</v>
      </c>
      <c r="E885" s="2">
        <v>5000</v>
      </c>
      <c r="F885" s="2">
        <v>187</v>
      </c>
      <c r="G885" s="2">
        <v>54.3</v>
      </c>
      <c r="H885" s="2" t="s">
        <v>68</v>
      </c>
      <c r="I885" s="4">
        <f t="shared" si="403"/>
        <v>3.8653107808461065</v>
      </c>
      <c r="J885" s="4">
        <f t="shared" si="404"/>
        <v>8.5171931914162382</v>
      </c>
      <c r="K885" s="4">
        <f t="shared" si="405"/>
        <v>5.2311086168545868</v>
      </c>
      <c r="L885" s="2">
        <v>1</v>
      </c>
      <c r="M885" s="2">
        <v>0</v>
      </c>
      <c r="N885" s="4">
        <f t="shared" si="406"/>
        <v>54.3</v>
      </c>
      <c r="O885" s="4">
        <f t="shared" si="407"/>
        <v>1</v>
      </c>
      <c r="P885" s="4">
        <f t="shared" si="408"/>
        <v>1</v>
      </c>
      <c r="Q885" s="4">
        <f t="shared" si="409"/>
        <v>8.5171931914162382</v>
      </c>
      <c r="R885" s="4">
        <f t="shared" si="410"/>
        <v>5.2311086168545868</v>
      </c>
      <c r="S885" s="4">
        <f t="shared" si="411"/>
        <v>54.3</v>
      </c>
      <c r="T885" s="4">
        <f t="shared" si="412"/>
        <v>1</v>
      </c>
      <c r="U885" s="4">
        <f t="shared" si="413"/>
        <v>8.5171931914162382</v>
      </c>
      <c r="V885" s="4">
        <f t="shared" si="414"/>
        <v>5.2311086168545868</v>
      </c>
      <c r="W885" s="4">
        <f t="shared" si="415"/>
        <v>54.3</v>
      </c>
      <c r="X885" s="4">
        <f t="shared" si="416"/>
        <v>1</v>
      </c>
      <c r="Y885" s="4">
        <f t="shared" si="417"/>
        <v>8.5171931914162382</v>
      </c>
      <c r="Z885" s="4">
        <f t="shared" si="418"/>
        <v>5.2311086168545868</v>
      </c>
      <c r="AA885" s="4">
        <f t="shared" si="419"/>
        <v>54.3</v>
      </c>
      <c r="AB885" s="4">
        <f t="shared" si="420"/>
        <v>1</v>
      </c>
      <c r="AC885" s="4">
        <f t="shared" si="421"/>
        <v>0</v>
      </c>
      <c r="AD885" s="4">
        <f t="shared" si="422"/>
        <v>0</v>
      </c>
      <c r="AE885" s="4">
        <f t="shared" si="423"/>
        <v>0</v>
      </c>
      <c r="AF885" s="4">
        <f t="shared" si="424"/>
        <v>0</v>
      </c>
      <c r="AG885" s="4">
        <f t="shared" si="425"/>
        <v>8.5171931914162382</v>
      </c>
      <c r="AH885" s="4">
        <f t="shared" si="426"/>
        <v>1</v>
      </c>
      <c r="AI885" s="4">
        <f t="shared" si="427"/>
        <v>0</v>
      </c>
      <c r="AJ885" s="4">
        <f t="shared" si="428"/>
        <v>8.5171931914162382</v>
      </c>
      <c r="AK885" s="4">
        <f t="shared" si="429"/>
        <v>5.2311086168545868</v>
      </c>
      <c r="AL885" s="4">
        <f t="shared" si="430"/>
        <v>0</v>
      </c>
      <c r="AM885" s="4">
        <f>CER!$C$7+CER!$C$8*J885+CER!$C$9*K885+CER!$C$10*L885+CER!$C$11*M885</f>
        <v>3.6957470072178058</v>
      </c>
      <c r="AN885" s="4">
        <f t="shared" si="431"/>
        <v>40.275647552888984</v>
      </c>
      <c r="AO885" s="4">
        <f t="shared" si="432"/>
        <v>0.16956377362830066</v>
      </c>
      <c r="AP885" s="4">
        <f>Alternatives!$F$25+Alternatives!$F$26*J885+Alternatives!$F$27*K885+Alternatives!$F$28*G885+Alternatives!$F$29*O885</f>
        <v>4.3428893004448366</v>
      </c>
      <c r="AQ885" s="4">
        <f t="shared" si="433"/>
        <v>-0.4775785195987301</v>
      </c>
    </row>
    <row r="886" spans="1:43" x14ac:dyDescent="0.35">
      <c r="A886" s="2" t="s">
        <v>748</v>
      </c>
      <c r="B886" s="2" t="s">
        <v>693</v>
      </c>
      <c r="C886" s="2" t="s">
        <v>33</v>
      </c>
      <c r="D886" s="2">
        <v>36.027000000000001</v>
      </c>
      <c r="E886" s="2">
        <v>5000</v>
      </c>
      <c r="F886" s="2">
        <v>265</v>
      </c>
      <c r="G886" s="2">
        <v>54.3</v>
      </c>
      <c r="H886" s="2" t="s">
        <v>68</v>
      </c>
      <c r="I886" s="4">
        <f t="shared" si="403"/>
        <v>3.584268657346656</v>
      </c>
      <c r="J886" s="4">
        <f t="shared" si="404"/>
        <v>8.5171931914162382</v>
      </c>
      <c r="K886" s="4">
        <f t="shared" si="405"/>
        <v>5.579729825986222</v>
      </c>
      <c r="L886" s="2">
        <v>1</v>
      </c>
      <c r="M886" s="2">
        <v>0</v>
      </c>
      <c r="N886" s="4">
        <f t="shared" si="406"/>
        <v>54.3</v>
      </c>
      <c r="O886" s="4">
        <f t="shared" si="407"/>
        <v>1</v>
      </c>
      <c r="P886" s="4">
        <f t="shared" si="408"/>
        <v>1</v>
      </c>
      <c r="Q886" s="4">
        <f t="shared" si="409"/>
        <v>8.5171931914162382</v>
      </c>
      <c r="R886" s="4">
        <f t="shared" si="410"/>
        <v>5.579729825986222</v>
      </c>
      <c r="S886" s="4">
        <f t="shared" si="411"/>
        <v>54.3</v>
      </c>
      <c r="T886" s="4">
        <f t="shared" si="412"/>
        <v>1</v>
      </c>
      <c r="U886" s="4">
        <f t="shared" si="413"/>
        <v>8.5171931914162382</v>
      </c>
      <c r="V886" s="4">
        <f t="shared" si="414"/>
        <v>5.579729825986222</v>
      </c>
      <c r="W886" s="4">
        <f t="shared" si="415"/>
        <v>54.3</v>
      </c>
      <c r="X886" s="4">
        <f t="shared" si="416"/>
        <v>1</v>
      </c>
      <c r="Y886" s="4">
        <f t="shared" si="417"/>
        <v>8.5171931914162382</v>
      </c>
      <c r="Z886" s="4">
        <f t="shared" si="418"/>
        <v>5.579729825986222</v>
      </c>
      <c r="AA886" s="4">
        <f t="shared" si="419"/>
        <v>54.3</v>
      </c>
      <c r="AB886" s="4">
        <f t="shared" si="420"/>
        <v>1</v>
      </c>
      <c r="AC886" s="4">
        <f t="shared" si="421"/>
        <v>0</v>
      </c>
      <c r="AD886" s="4">
        <f t="shared" si="422"/>
        <v>0</v>
      </c>
      <c r="AE886" s="4">
        <f t="shared" si="423"/>
        <v>0</v>
      </c>
      <c r="AF886" s="4">
        <f t="shared" si="424"/>
        <v>0</v>
      </c>
      <c r="AG886" s="4">
        <f t="shared" si="425"/>
        <v>8.5171931914162382</v>
      </c>
      <c r="AH886" s="4">
        <f t="shared" si="426"/>
        <v>1</v>
      </c>
      <c r="AI886" s="4">
        <f t="shared" si="427"/>
        <v>0</v>
      </c>
      <c r="AJ886" s="4">
        <f t="shared" si="428"/>
        <v>8.5171931914162382</v>
      </c>
      <c r="AK886" s="4">
        <f t="shared" si="429"/>
        <v>5.579729825986222</v>
      </c>
      <c r="AL886" s="4">
        <f t="shared" si="430"/>
        <v>0</v>
      </c>
      <c r="AM886" s="4">
        <f>CER!$C$7+CER!$C$8*J886+CER!$C$9*K886+CER!$C$10*L886+CER!$C$11*M886</f>
        <v>3.5671254035878386</v>
      </c>
      <c r="AN886" s="4">
        <f t="shared" si="431"/>
        <v>35.414643882087972</v>
      </c>
      <c r="AO886" s="4">
        <f t="shared" si="432"/>
        <v>1.7143253758817423E-2</v>
      </c>
      <c r="AP886" s="4">
        <f>Alternatives!$F$25+Alternatives!$F$26*J886+Alternatives!$F$27*K886+Alternatives!$F$28*G886+Alternatives!$F$29*O886</f>
        <v>4.2501177216701613</v>
      </c>
      <c r="AQ886" s="4">
        <f t="shared" si="433"/>
        <v>-0.66584906432350532</v>
      </c>
    </row>
    <row r="887" spans="1:43" x14ac:dyDescent="0.35">
      <c r="A887" s="2" t="s">
        <v>749</v>
      </c>
      <c r="B887" s="2" t="s">
        <v>693</v>
      </c>
      <c r="C887" s="2" t="s">
        <v>67</v>
      </c>
      <c r="D887" s="2">
        <v>49.785200000000003</v>
      </c>
      <c r="E887" s="2">
        <v>3500</v>
      </c>
      <c r="F887" s="2">
        <v>169</v>
      </c>
      <c r="G887" s="2">
        <v>43.7</v>
      </c>
      <c r="H887" s="2" t="s">
        <v>68</v>
      </c>
      <c r="I887" s="4">
        <f t="shared" si="403"/>
        <v>3.907717751106258</v>
      </c>
      <c r="J887" s="4">
        <f t="shared" si="404"/>
        <v>8.1605182474775049</v>
      </c>
      <c r="K887" s="4">
        <f t="shared" si="405"/>
        <v>5.1298987149230735</v>
      </c>
      <c r="L887" s="2">
        <v>0</v>
      </c>
      <c r="M887" s="2">
        <v>0</v>
      </c>
      <c r="N887" s="4">
        <f t="shared" si="406"/>
        <v>43.7</v>
      </c>
      <c r="O887" s="4">
        <f t="shared" si="407"/>
        <v>0</v>
      </c>
      <c r="P887" s="4">
        <f t="shared" si="408"/>
        <v>0</v>
      </c>
      <c r="Q887" s="4">
        <f t="shared" si="409"/>
        <v>8.1605182474775049</v>
      </c>
      <c r="R887" s="4">
        <f t="shared" si="410"/>
        <v>5.1298987149230735</v>
      </c>
      <c r="S887" s="4">
        <f t="shared" si="411"/>
        <v>43.7</v>
      </c>
      <c r="T887" s="4">
        <f t="shared" si="412"/>
        <v>0</v>
      </c>
      <c r="U887" s="4">
        <f t="shared" si="413"/>
        <v>8.1605182474775049</v>
      </c>
      <c r="V887" s="4">
        <f t="shared" si="414"/>
        <v>5.1298987149230735</v>
      </c>
      <c r="W887" s="4">
        <f t="shared" si="415"/>
        <v>43.7</v>
      </c>
      <c r="X887" s="4">
        <f t="shared" si="416"/>
        <v>0</v>
      </c>
      <c r="Y887" s="4">
        <f t="shared" si="417"/>
        <v>8.1605182474775049</v>
      </c>
      <c r="Z887" s="4">
        <f t="shared" si="418"/>
        <v>5.1298987149230735</v>
      </c>
      <c r="AA887" s="4">
        <f t="shared" si="419"/>
        <v>43.7</v>
      </c>
      <c r="AB887" s="4">
        <f t="shared" si="420"/>
        <v>0</v>
      </c>
      <c r="AC887" s="4">
        <f t="shared" si="421"/>
        <v>0</v>
      </c>
      <c r="AD887" s="4">
        <f t="shared" si="422"/>
        <v>0</v>
      </c>
      <c r="AE887" s="4">
        <f t="shared" si="423"/>
        <v>0</v>
      </c>
      <c r="AF887" s="4">
        <f t="shared" si="424"/>
        <v>0</v>
      </c>
      <c r="AG887" s="4">
        <f t="shared" si="425"/>
        <v>8.1605182474775049</v>
      </c>
      <c r="AH887" s="4">
        <f t="shared" si="426"/>
        <v>0</v>
      </c>
      <c r="AI887" s="4">
        <f t="shared" si="427"/>
        <v>0</v>
      </c>
      <c r="AJ887" s="4">
        <f t="shared" si="428"/>
        <v>8.1605182474775049</v>
      </c>
      <c r="AK887" s="4">
        <f t="shared" si="429"/>
        <v>5.1298987149230735</v>
      </c>
      <c r="AL887" s="4">
        <f t="shared" si="430"/>
        <v>0</v>
      </c>
      <c r="AM887" s="4">
        <f>CER!$C$7+CER!$C$8*J887+CER!$C$9*K887+CER!$C$10*L887+CER!$C$11*M887</f>
        <v>3.6708041942102616</v>
      </c>
      <c r="AN887" s="4">
        <f t="shared" si="431"/>
        <v>39.283484711801947</v>
      </c>
      <c r="AO887" s="4">
        <f t="shared" si="432"/>
        <v>0.23691355689599636</v>
      </c>
      <c r="AP887" s="4">
        <f>Alternatives!$F$25+Alternatives!$F$26*J887+Alternatives!$F$27*K887+Alternatives!$F$28*G887+Alternatives!$F$29*O887</f>
        <v>3.5309594739498587</v>
      </c>
      <c r="AQ887" s="4">
        <f t="shared" si="433"/>
        <v>0.37675827715639931</v>
      </c>
    </row>
    <row r="888" spans="1:43" x14ac:dyDescent="0.35">
      <c r="A888" s="2" t="s">
        <v>750</v>
      </c>
      <c r="B888" s="2" t="s">
        <v>693</v>
      </c>
      <c r="C888" s="2" t="s">
        <v>67</v>
      </c>
      <c r="D888" s="2">
        <v>45.6858</v>
      </c>
      <c r="E888" s="2">
        <v>3500</v>
      </c>
      <c r="F888" s="2">
        <v>169</v>
      </c>
      <c r="G888" s="2">
        <v>43.7</v>
      </c>
      <c r="H888" s="2" t="s">
        <v>68</v>
      </c>
      <c r="I888" s="4">
        <f t="shared" si="403"/>
        <v>3.8217875275153883</v>
      </c>
      <c r="J888" s="4">
        <f t="shared" si="404"/>
        <v>8.1605182474775049</v>
      </c>
      <c r="K888" s="4">
        <f t="shared" si="405"/>
        <v>5.1298987149230735</v>
      </c>
      <c r="L888" s="2">
        <v>0</v>
      </c>
      <c r="M888" s="2">
        <v>0</v>
      </c>
      <c r="N888" s="4">
        <f t="shared" si="406"/>
        <v>43.7</v>
      </c>
      <c r="O888" s="4">
        <f t="shared" si="407"/>
        <v>0</v>
      </c>
      <c r="P888" s="4">
        <f t="shared" si="408"/>
        <v>0</v>
      </c>
      <c r="Q888" s="4">
        <f t="shared" si="409"/>
        <v>8.1605182474775049</v>
      </c>
      <c r="R888" s="4">
        <f t="shared" si="410"/>
        <v>5.1298987149230735</v>
      </c>
      <c r="S888" s="4">
        <f t="shared" si="411"/>
        <v>43.7</v>
      </c>
      <c r="T888" s="4">
        <f t="shared" si="412"/>
        <v>0</v>
      </c>
      <c r="U888" s="4">
        <f t="shared" si="413"/>
        <v>8.1605182474775049</v>
      </c>
      <c r="V888" s="4">
        <f t="shared" si="414"/>
        <v>5.1298987149230735</v>
      </c>
      <c r="W888" s="4">
        <f t="shared" si="415"/>
        <v>43.7</v>
      </c>
      <c r="X888" s="4">
        <f t="shared" si="416"/>
        <v>0</v>
      </c>
      <c r="Y888" s="4">
        <f t="shared" si="417"/>
        <v>8.1605182474775049</v>
      </c>
      <c r="Z888" s="4">
        <f t="shared" si="418"/>
        <v>5.1298987149230735</v>
      </c>
      <c r="AA888" s="4">
        <f t="shared" si="419"/>
        <v>43.7</v>
      </c>
      <c r="AB888" s="4">
        <f t="shared" si="420"/>
        <v>0</v>
      </c>
      <c r="AC888" s="4">
        <f t="shared" si="421"/>
        <v>0</v>
      </c>
      <c r="AD888" s="4">
        <f t="shared" si="422"/>
        <v>0</v>
      </c>
      <c r="AE888" s="4">
        <f t="shared" si="423"/>
        <v>0</v>
      </c>
      <c r="AF888" s="4">
        <f t="shared" si="424"/>
        <v>0</v>
      </c>
      <c r="AG888" s="4">
        <f t="shared" si="425"/>
        <v>8.1605182474775049</v>
      </c>
      <c r="AH888" s="4">
        <f t="shared" si="426"/>
        <v>0</v>
      </c>
      <c r="AI888" s="4">
        <f t="shared" si="427"/>
        <v>0</v>
      </c>
      <c r="AJ888" s="4">
        <f t="shared" si="428"/>
        <v>8.1605182474775049</v>
      </c>
      <c r="AK888" s="4">
        <f t="shared" si="429"/>
        <v>5.1298987149230735</v>
      </c>
      <c r="AL888" s="4">
        <f t="shared" si="430"/>
        <v>0</v>
      </c>
      <c r="AM888" s="4">
        <f>CER!$C$7+CER!$C$8*J888+CER!$C$9*K888+CER!$C$10*L888+CER!$C$11*M888</f>
        <v>3.6708041942102616</v>
      </c>
      <c r="AN888" s="4">
        <f t="shared" si="431"/>
        <v>39.283484711801947</v>
      </c>
      <c r="AO888" s="4">
        <f t="shared" si="432"/>
        <v>0.1509833333051267</v>
      </c>
      <c r="AP888" s="4">
        <f>Alternatives!$F$25+Alternatives!$F$26*J888+Alternatives!$F$27*K888+Alternatives!$F$28*G888+Alternatives!$F$29*O888</f>
        <v>3.5309594739498587</v>
      </c>
      <c r="AQ888" s="4">
        <f t="shared" si="433"/>
        <v>0.29082805356552965</v>
      </c>
    </row>
    <row r="889" spans="1:43" x14ac:dyDescent="0.35">
      <c r="A889" s="2" t="s">
        <v>751</v>
      </c>
      <c r="B889" s="2" t="s">
        <v>693</v>
      </c>
      <c r="C889" s="2" t="s">
        <v>67</v>
      </c>
      <c r="D889" s="2">
        <v>31.633199999999999</v>
      </c>
      <c r="E889" s="2">
        <v>3500</v>
      </c>
      <c r="F889" s="2">
        <v>300</v>
      </c>
      <c r="G889" s="2">
        <v>45.6</v>
      </c>
      <c r="H889" s="2" t="s">
        <v>68</v>
      </c>
      <c r="I889" s="4">
        <f t="shared" si="403"/>
        <v>3.4542072019757706</v>
      </c>
      <c r="J889" s="4">
        <f t="shared" si="404"/>
        <v>8.1605182474775049</v>
      </c>
      <c r="K889" s="4">
        <f t="shared" si="405"/>
        <v>5.7037824746562009</v>
      </c>
      <c r="L889" s="2">
        <v>0</v>
      </c>
      <c r="M889" s="2">
        <v>0</v>
      </c>
      <c r="N889" s="4">
        <f t="shared" si="406"/>
        <v>45.6</v>
      </c>
      <c r="O889" s="4">
        <f t="shared" si="407"/>
        <v>0</v>
      </c>
      <c r="P889" s="4">
        <f t="shared" si="408"/>
        <v>0</v>
      </c>
      <c r="Q889" s="4">
        <f t="shared" si="409"/>
        <v>8.1605182474775049</v>
      </c>
      <c r="R889" s="4">
        <f t="shared" si="410"/>
        <v>5.7037824746562009</v>
      </c>
      <c r="S889" s="4">
        <f t="shared" si="411"/>
        <v>45.6</v>
      </c>
      <c r="T889" s="4">
        <f t="shared" si="412"/>
        <v>0</v>
      </c>
      <c r="U889" s="4">
        <f t="shared" si="413"/>
        <v>8.1605182474775049</v>
      </c>
      <c r="V889" s="4">
        <f t="shared" si="414"/>
        <v>5.7037824746562009</v>
      </c>
      <c r="W889" s="4">
        <f t="shared" si="415"/>
        <v>45.6</v>
      </c>
      <c r="X889" s="4">
        <f t="shared" si="416"/>
        <v>0</v>
      </c>
      <c r="Y889" s="4">
        <f t="shared" si="417"/>
        <v>8.1605182474775049</v>
      </c>
      <c r="Z889" s="4">
        <f t="shared" si="418"/>
        <v>5.7037824746562009</v>
      </c>
      <c r="AA889" s="4">
        <f t="shared" si="419"/>
        <v>45.6</v>
      </c>
      <c r="AB889" s="4">
        <f t="shared" si="420"/>
        <v>0</v>
      </c>
      <c r="AC889" s="4">
        <f t="shared" si="421"/>
        <v>0</v>
      </c>
      <c r="AD889" s="4">
        <f t="shared" si="422"/>
        <v>0</v>
      </c>
      <c r="AE889" s="4">
        <f t="shared" si="423"/>
        <v>0</v>
      </c>
      <c r="AF889" s="4">
        <f t="shared" si="424"/>
        <v>0</v>
      </c>
      <c r="AG889" s="4">
        <f t="shared" si="425"/>
        <v>8.1605182474775049</v>
      </c>
      <c r="AH889" s="4">
        <f t="shared" si="426"/>
        <v>0</v>
      </c>
      <c r="AI889" s="4">
        <f t="shared" si="427"/>
        <v>0</v>
      </c>
      <c r="AJ889" s="4">
        <f t="shared" si="428"/>
        <v>8.1605182474775049</v>
      </c>
      <c r="AK889" s="4">
        <f t="shared" si="429"/>
        <v>5.7037824746562009</v>
      </c>
      <c r="AL889" s="4">
        <f t="shared" si="430"/>
        <v>0</v>
      </c>
      <c r="AM889" s="4">
        <f>CER!$C$7+CER!$C$8*J889+CER!$C$9*K889+CER!$C$10*L889+CER!$C$11*M889</f>
        <v>3.4590733885661384</v>
      </c>
      <c r="AN889" s="4">
        <f t="shared" si="431"/>
        <v>31.787508195387566</v>
      </c>
      <c r="AO889" s="4">
        <f t="shared" si="432"/>
        <v>-4.8661865903678603E-3</v>
      </c>
      <c r="AP889" s="4">
        <f>Alternatives!$F$25+Alternatives!$F$26*J889+Alternatives!$F$27*K889+Alternatives!$F$28*G889+Alternatives!$F$29*O889</f>
        <v>3.3535293874331198</v>
      </c>
      <c r="AQ889" s="4">
        <f t="shared" si="433"/>
        <v>0.10067781454265079</v>
      </c>
    </row>
    <row r="890" spans="1:43" x14ac:dyDescent="0.35">
      <c r="A890" s="2" t="s">
        <v>752</v>
      </c>
      <c r="B890" s="2" t="s">
        <v>693</v>
      </c>
      <c r="C890" s="2" t="s">
        <v>67</v>
      </c>
      <c r="D890" s="2">
        <v>29.155100000000001</v>
      </c>
      <c r="E890" s="2">
        <v>3000</v>
      </c>
      <c r="F890" s="2">
        <v>228</v>
      </c>
      <c r="G890" s="2">
        <v>42.5</v>
      </c>
      <c r="H890" s="2" t="s">
        <v>68</v>
      </c>
      <c r="I890" s="4">
        <f t="shared" si="403"/>
        <v>3.3726298546116431</v>
      </c>
      <c r="J890" s="4">
        <f t="shared" si="404"/>
        <v>8.0063675676502459</v>
      </c>
      <c r="K890" s="4">
        <f t="shared" si="405"/>
        <v>5.4293456289544411</v>
      </c>
      <c r="L890" s="2">
        <v>0</v>
      </c>
      <c r="M890" s="2">
        <v>0</v>
      </c>
      <c r="N890" s="4">
        <f t="shared" si="406"/>
        <v>42.5</v>
      </c>
      <c r="O890" s="4">
        <f t="shared" si="407"/>
        <v>0</v>
      </c>
      <c r="P890" s="4">
        <f t="shared" si="408"/>
        <v>0</v>
      </c>
      <c r="Q890" s="4">
        <f t="shared" si="409"/>
        <v>8.0063675676502459</v>
      </c>
      <c r="R890" s="4">
        <f t="shared" si="410"/>
        <v>5.4293456289544411</v>
      </c>
      <c r="S890" s="4">
        <f t="shared" si="411"/>
        <v>42.5</v>
      </c>
      <c r="T890" s="4">
        <f t="shared" si="412"/>
        <v>0</v>
      </c>
      <c r="U890" s="4">
        <f t="shared" si="413"/>
        <v>8.0063675676502459</v>
      </c>
      <c r="V890" s="4">
        <f t="shared" si="414"/>
        <v>5.4293456289544411</v>
      </c>
      <c r="W890" s="4">
        <f t="shared" si="415"/>
        <v>42.5</v>
      </c>
      <c r="X890" s="4">
        <f t="shared" si="416"/>
        <v>0</v>
      </c>
      <c r="Y890" s="4">
        <f t="shared" si="417"/>
        <v>8.0063675676502459</v>
      </c>
      <c r="Z890" s="4">
        <f t="shared" si="418"/>
        <v>5.4293456289544411</v>
      </c>
      <c r="AA890" s="4">
        <f t="shared" si="419"/>
        <v>42.5</v>
      </c>
      <c r="AB890" s="4">
        <f t="shared" si="420"/>
        <v>0</v>
      </c>
      <c r="AC890" s="4">
        <f t="shared" si="421"/>
        <v>0</v>
      </c>
      <c r="AD890" s="4">
        <f t="shared" si="422"/>
        <v>0</v>
      </c>
      <c r="AE890" s="4">
        <f t="shared" si="423"/>
        <v>0</v>
      </c>
      <c r="AF890" s="4">
        <f t="shared" si="424"/>
        <v>0</v>
      </c>
      <c r="AG890" s="4">
        <f t="shared" si="425"/>
        <v>8.0063675676502459</v>
      </c>
      <c r="AH890" s="4">
        <f t="shared" si="426"/>
        <v>0</v>
      </c>
      <c r="AI890" s="4">
        <f t="shared" si="427"/>
        <v>0</v>
      </c>
      <c r="AJ890" s="4">
        <f t="shared" si="428"/>
        <v>8.0063675676502459</v>
      </c>
      <c r="AK890" s="4">
        <f t="shared" si="429"/>
        <v>5.4293456289544411</v>
      </c>
      <c r="AL890" s="4">
        <f t="shared" si="430"/>
        <v>0</v>
      </c>
      <c r="AM890" s="4">
        <f>CER!$C$7+CER!$C$8*J890+CER!$C$9*K890+CER!$C$10*L890+CER!$C$11*M890</f>
        <v>3.6301105561956417</v>
      </c>
      <c r="AN890" s="4">
        <f t="shared" si="431"/>
        <v>37.716986233198071</v>
      </c>
      <c r="AO890" s="4">
        <f t="shared" si="432"/>
        <v>-0.25748070158399861</v>
      </c>
      <c r="AP890" s="4">
        <f>Alternatives!$F$25+Alternatives!$F$26*J890+Alternatives!$F$27*K890+Alternatives!$F$28*G890+Alternatives!$F$29*O890</f>
        <v>3.4098334375992239</v>
      </c>
      <c r="AQ890" s="4">
        <f t="shared" si="433"/>
        <v>-3.7203582987580752E-2</v>
      </c>
    </row>
    <row r="891" spans="1:43" x14ac:dyDescent="0.35">
      <c r="A891" s="2" t="s">
        <v>752</v>
      </c>
      <c r="B891" s="2" t="s">
        <v>693</v>
      </c>
      <c r="C891" s="2" t="s">
        <v>67</v>
      </c>
      <c r="D891" s="2">
        <v>32.161900000000003</v>
      </c>
      <c r="E891" s="2">
        <v>3000</v>
      </c>
      <c r="F891" s="2">
        <v>228</v>
      </c>
      <c r="G891" s="2">
        <v>42.5</v>
      </c>
      <c r="H891" s="2" t="s">
        <v>68</v>
      </c>
      <c r="I891" s="4">
        <f t="shared" si="403"/>
        <v>3.470782522167625</v>
      </c>
      <c r="J891" s="4">
        <f t="shared" si="404"/>
        <v>8.0063675676502459</v>
      </c>
      <c r="K891" s="4">
        <f t="shared" si="405"/>
        <v>5.4293456289544411</v>
      </c>
      <c r="L891" s="2">
        <v>0</v>
      </c>
      <c r="M891" s="2">
        <v>0</v>
      </c>
      <c r="N891" s="4">
        <f t="shared" si="406"/>
        <v>42.5</v>
      </c>
      <c r="O891" s="4">
        <f t="shared" si="407"/>
        <v>0</v>
      </c>
      <c r="P891" s="4">
        <f t="shared" si="408"/>
        <v>0</v>
      </c>
      <c r="Q891" s="4">
        <f t="shared" si="409"/>
        <v>8.0063675676502459</v>
      </c>
      <c r="R891" s="4">
        <f t="shared" si="410"/>
        <v>5.4293456289544411</v>
      </c>
      <c r="S891" s="4">
        <f t="shared" si="411"/>
        <v>42.5</v>
      </c>
      <c r="T891" s="4">
        <f t="shared" si="412"/>
        <v>0</v>
      </c>
      <c r="U891" s="4">
        <f t="shared" si="413"/>
        <v>8.0063675676502459</v>
      </c>
      <c r="V891" s="4">
        <f t="shared" si="414"/>
        <v>5.4293456289544411</v>
      </c>
      <c r="W891" s="4">
        <f t="shared" si="415"/>
        <v>42.5</v>
      </c>
      <c r="X891" s="4">
        <f t="shared" si="416"/>
        <v>0</v>
      </c>
      <c r="Y891" s="4">
        <f t="shared" si="417"/>
        <v>8.0063675676502459</v>
      </c>
      <c r="Z891" s="4">
        <f t="shared" si="418"/>
        <v>5.4293456289544411</v>
      </c>
      <c r="AA891" s="4">
        <f t="shared" si="419"/>
        <v>42.5</v>
      </c>
      <c r="AB891" s="4">
        <f t="shared" si="420"/>
        <v>0</v>
      </c>
      <c r="AC891" s="4">
        <f t="shared" si="421"/>
        <v>0</v>
      </c>
      <c r="AD891" s="4">
        <f t="shared" si="422"/>
        <v>0</v>
      </c>
      <c r="AE891" s="4">
        <f t="shared" si="423"/>
        <v>0</v>
      </c>
      <c r="AF891" s="4">
        <f t="shared" si="424"/>
        <v>0</v>
      </c>
      <c r="AG891" s="4">
        <f t="shared" si="425"/>
        <v>8.0063675676502459</v>
      </c>
      <c r="AH891" s="4">
        <f t="shared" si="426"/>
        <v>0</v>
      </c>
      <c r="AI891" s="4">
        <f t="shared" si="427"/>
        <v>0</v>
      </c>
      <c r="AJ891" s="4">
        <f t="shared" si="428"/>
        <v>8.0063675676502459</v>
      </c>
      <c r="AK891" s="4">
        <f t="shared" si="429"/>
        <v>5.4293456289544411</v>
      </c>
      <c r="AL891" s="4">
        <f t="shared" si="430"/>
        <v>0</v>
      </c>
      <c r="AM891" s="4">
        <f>CER!$C$7+CER!$C$8*J891+CER!$C$9*K891+CER!$C$10*L891+CER!$C$11*M891</f>
        <v>3.6301105561956417</v>
      </c>
      <c r="AN891" s="4">
        <f t="shared" si="431"/>
        <v>37.716986233198071</v>
      </c>
      <c r="AO891" s="4">
        <f t="shared" si="432"/>
        <v>-0.15932803402801676</v>
      </c>
      <c r="AP891" s="4">
        <f>Alternatives!$F$25+Alternatives!$F$26*J891+Alternatives!$F$27*K891+Alternatives!$F$28*G891+Alternatives!$F$29*O891</f>
        <v>3.4098334375992239</v>
      </c>
      <c r="AQ891" s="4">
        <f t="shared" si="433"/>
        <v>6.0949084568401091E-2</v>
      </c>
    </row>
    <row r="892" spans="1:43" x14ac:dyDescent="0.35">
      <c r="A892" s="2" t="s">
        <v>753</v>
      </c>
      <c r="B892" s="2" t="s">
        <v>693</v>
      </c>
      <c r="C892" s="2" t="s">
        <v>33</v>
      </c>
      <c r="D892" s="2">
        <v>58.436</v>
      </c>
      <c r="E892" s="2">
        <v>4000</v>
      </c>
      <c r="F892" s="2">
        <v>184</v>
      </c>
      <c r="G892" s="2">
        <v>49.2</v>
      </c>
      <c r="H892" s="2" t="s">
        <v>68</v>
      </c>
      <c r="I892" s="4">
        <f t="shared" si="403"/>
        <v>4.067932138270268</v>
      </c>
      <c r="J892" s="4">
        <f t="shared" si="404"/>
        <v>8.2940496401020276</v>
      </c>
      <c r="K892" s="4">
        <f t="shared" si="405"/>
        <v>5.2149357576089859</v>
      </c>
      <c r="L892" s="2">
        <v>1</v>
      </c>
      <c r="M892" s="2">
        <v>0</v>
      </c>
      <c r="N892" s="4">
        <f t="shared" si="406"/>
        <v>49.2</v>
      </c>
      <c r="O892" s="4">
        <f t="shared" si="407"/>
        <v>1</v>
      </c>
      <c r="P892" s="4">
        <f t="shared" si="408"/>
        <v>1</v>
      </c>
      <c r="Q892" s="4">
        <f t="shared" si="409"/>
        <v>8.2940496401020276</v>
      </c>
      <c r="R892" s="4">
        <f t="shared" si="410"/>
        <v>5.2149357576089859</v>
      </c>
      <c r="S892" s="4">
        <f t="shared" si="411"/>
        <v>49.2</v>
      </c>
      <c r="T892" s="4">
        <f t="shared" si="412"/>
        <v>1</v>
      </c>
      <c r="U892" s="4">
        <f t="shared" si="413"/>
        <v>8.2940496401020276</v>
      </c>
      <c r="V892" s="4">
        <f t="shared" si="414"/>
        <v>5.2149357576089859</v>
      </c>
      <c r="W892" s="4">
        <f t="shared" si="415"/>
        <v>49.2</v>
      </c>
      <c r="X892" s="4">
        <f t="shared" si="416"/>
        <v>1</v>
      </c>
      <c r="Y892" s="4">
        <f t="shared" si="417"/>
        <v>8.2940496401020276</v>
      </c>
      <c r="Z892" s="4">
        <f t="shared" si="418"/>
        <v>5.2149357576089859</v>
      </c>
      <c r="AA892" s="4">
        <f t="shared" si="419"/>
        <v>49.2</v>
      </c>
      <c r="AB892" s="4">
        <f t="shared" si="420"/>
        <v>1</v>
      </c>
      <c r="AC892" s="4">
        <f t="shared" si="421"/>
        <v>0</v>
      </c>
      <c r="AD892" s="4">
        <f t="shared" si="422"/>
        <v>0</v>
      </c>
      <c r="AE892" s="4">
        <f t="shared" si="423"/>
        <v>0</v>
      </c>
      <c r="AF892" s="4">
        <f t="shared" si="424"/>
        <v>0</v>
      </c>
      <c r="AG892" s="4">
        <f t="shared" si="425"/>
        <v>8.2940496401020276</v>
      </c>
      <c r="AH892" s="4">
        <f t="shared" si="426"/>
        <v>1</v>
      </c>
      <c r="AI892" s="4">
        <f t="shared" si="427"/>
        <v>0</v>
      </c>
      <c r="AJ892" s="4">
        <f t="shared" si="428"/>
        <v>8.2940496401020276</v>
      </c>
      <c r="AK892" s="4">
        <f t="shared" si="429"/>
        <v>5.2149357576089859</v>
      </c>
      <c r="AL892" s="4">
        <f t="shared" si="430"/>
        <v>0</v>
      </c>
      <c r="AM892" s="4">
        <f>CER!$C$7+CER!$C$8*J892+CER!$C$9*K892+CER!$C$10*L892+CER!$C$11*M892</f>
        <v>3.8027330026372574</v>
      </c>
      <c r="AN892" s="4">
        <f t="shared" si="431"/>
        <v>44.823520043954062</v>
      </c>
      <c r="AO892" s="4">
        <f t="shared" si="432"/>
        <v>0.26519913563301056</v>
      </c>
      <c r="AP892" s="4">
        <f>Alternatives!$F$25+Alternatives!$F$26*J892+Alternatives!$F$27*K892+Alternatives!$F$28*G892+Alternatives!$F$29*O892</f>
        <v>4.3309480642215323</v>
      </c>
      <c r="AQ892" s="4">
        <f t="shared" si="433"/>
        <v>-0.26301592595126433</v>
      </c>
    </row>
    <row r="893" spans="1:43" x14ac:dyDescent="0.35">
      <c r="A893" s="2" t="s">
        <v>753</v>
      </c>
      <c r="B893" s="2" t="s">
        <v>693</v>
      </c>
      <c r="C893" s="2" t="s">
        <v>33</v>
      </c>
      <c r="D893" s="2">
        <v>42.290500000000002</v>
      </c>
      <c r="E893" s="2">
        <v>4500</v>
      </c>
      <c r="F893" s="2">
        <v>264</v>
      </c>
      <c r="G893" s="2">
        <v>49.2</v>
      </c>
      <c r="H893" s="2" t="s">
        <v>68</v>
      </c>
      <c r="I893" s="4">
        <f t="shared" si="403"/>
        <v>3.744562474540539</v>
      </c>
      <c r="J893" s="4">
        <f t="shared" si="404"/>
        <v>8.4118326757584114</v>
      </c>
      <c r="K893" s="4">
        <f t="shared" si="405"/>
        <v>5.575949103146316</v>
      </c>
      <c r="L893" s="2">
        <v>1</v>
      </c>
      <c r="M893" s="2">
        <v>0</v>
      </c>
      <c r="N893" s="4">
        <f t="shared" si="406"/>
        <v>49.2</v>
      </c>
      <c r="O893" s="4">
        <f t="shared" si="407"/>
        <v>1</v>
      </c>
      <c r="P893" s="4">
        <f t="shared" si="408"/>
        <v>1</v>
      </c>
      <c r="Q893" s="4">
        <f t="shared" si="409"/>
        <v>8.4118326757584114</v>
      </c>
      <c r="R893" s="4">
        <f t="shared" si="410"/>
        <v>5.575949103146316</v>
      </c>
      <c r="S893" s="4">
        <f t="shared" si="411"/>
        <v>49.2</v>
      </c>
      <c r="T893" s="4">
        <f t="shared" si="412"/>
        <v>1</v>
      </c>
      <c r="U893" s="4">
        <f t="shared" si="413"/>
        <v>8.4118326757584114</v>
      </c>
      <c r="V893" s="4">
        <f t="shared" si="414"/>
        <v>5.575949103146316</v>
      </c>
      <c r="W893" s="4">
        <f t="shared" si="415"/>
        <v>49.2</v>
      </c>
      <c r="X893" s="4">
        <f t="shared" si="416"/>
        <v>1</v>
      </c>
      <c r="Y893" s="4">
        <f t="shared" si="417"/>
        <v>8.4118326757584114</v>
      </c>
      <c r="Z893" s="4">
        <f t="shared" si="418"/>
        <v>5.575949103146316</v>
      </c>
      <c r="AA893" s="4">
        <f t="shared" si="419"/>
        <v>49.2</v>
      </c>
      <c r="AB893" s="4">
        <f t="shared" si="420"/>
        <v>1</v>
      </c>
      <c r="AC893" s="4">
        <f t="shared" si="421"/>
        <v>0</v>
      </c>
      <c r="AD893" s="4">
        <f t="shared" si="422"/>
        <v>0</v>
      </c>
      <c r="AE893" s="4">
        <f t="shared" si="423"/>
        <v>0</v>
      </c>
      <c r="AF893" s="4">
        <f t="shared" si="424"/>
        <v>0</v>
      </c>
      <c r="AG893" s="4">
        <f t="shared" si="425"/>
        <v>8.4118326757584114</v>
      </c>
      <c r="AH893" s="4">
        <f t="shared" si="426"/>
        <v>1</v>
      </c>
      <c r="AI893" s="4">
        <f t="shared" si="427"/>
        <v>0</v>
      </c>
      <c r="AJ893" s="4">
        <f t="shared" si="428"/>
        <v>8.4118326757584114</v>
      </c>
      <c r="AK893" s="4">
        <f t="shared" si="429"/>
        <v>5.575949103146316</v>
      </c>
      <c r="AL893" s="4">
        <f t="shared" si="430"/>
        <v>0</v>
      </c>
      <c r="AM893" s="4">
        <f>CER!$C$7+CER!$C$8*J893+CER!$C$9*K893+CER!$C$10*L893+CER!$C$11*M893</f>
        <v>3.6162179438002218</v>
      </c>
      <c r="AN893" s="4">
        <f t="shared" si="431"/>
        <v>37.196621743190406</v>
      </c>
      <c r="AO893" s="4">
        <f t="shared" si="432"/>
        <v>0.12834453074031726</v>
      </c>
      <c r="AP893" s="4">
        <f>Alternatives!$F$25+Alternatives!$F$26*J893+Alternatives!$F$27*K893+Alternatives!$F$28*G893+Alternatives!$F$29*O893</f>
        <v>4.2784686643793961</v>
      </c>
      <c r="AQ893" s="4">
        <f t="shared" si="433"/>
        <v>-0.53390618983885707</v>
      </c>
    </row>
    <row r="894" spans="1:43" x14ac:dyDescent="0.35">
      <c r="A894" s="2" t="s">
        <v>754</v>
      </c>
      <c r="B894" s="2" t="s">
        <v>693</v>
      </c>
      <c r="C894" s="2" t="s">
        <v>67</v>
      </c>
      <c r="D894" s="2">
        <v>28.765899999999998</v>
      </c>
      <c r="E894" s="2">
        <v>5000</v>
      </c>
      <c r="F894" s="2">
        <v>416</v>
      </c>
      <c r="G894" s="2">
        <v>54.8</v>
      </c>
      <c r="H894" s="2" t="s">
        <v>68</v>
      </c>
      <c r="I894" s="4">
        <f t="shared" si="403"/>
        <v>3.3591906578494366</v>
      </c>
      <c r="J894" s="4">
        <f t="shared" si="404"/>
        <v>8.5171931914162382</v>
      </c>
      <c r="K894" s="4">
        <f t="shared" si="405"/>
        <v>6.0306852602612633</v>
      </c>
      <c r="L894" s="2">
        <v>0</v>
      </c>
      <c r="M894" s="2">
        <v>0</v>
      </c>
      <c r="N894" s="4">
        <f t="shared" si="406"/>
        <v>54.8</v>
      </c>
      <c r="O894" s="4">
        <f t="shared" si="407"/>
        <v>0</v>
      </c>
      <c r="P894" s="4">
        <f t="shared" si="408"/>
        <v>0</v>
      </c>
      <c r="Q894" s="4">
        <f t="shared" si="409"/>
        <v>8.5171931914162382</v>
      </c>
      <c r="R894" s="4">
        <f t="shared" si="410"/>
        <v>6.0306852602612633</v>
      </c>
      <c r="S894" s="4">
        <f t="shared" si="411"/>
        <v>54.8</v>
      </c>
      <c r="T894" s="4">
        <f t="shared" si="412"/>
        <v>0</v>
      </c>
      <c r="U894" s="4">
        <f t="shared" si="413"/>
        <v>8.5171931914162382</v>
      </c>
      <c r="V894" s="4">
        <f t="shared" si="414"/>
        <v>6.0306852602612633</v>
      </c>
      <c r="W894" s="4">
        <f t="shared" si="415"/>
        <v>54.8</v>
      </c>
      <c r="X894" s="4">
        <f t="shared" si="416"/>
        <v>0</v>
      </c>
      <c r="Y894" s="4">
        <f t="shared" si="417"/>
        <v>8.5171931914162382</v>
      </c>
      <c r="Z894" s="4">
        <f t="shared" si="418"/>
        <v>6.0306852602612633</v>
      </c>
      <c r="AA894" s="4">
        <f t="shared" si="419"/>
        <v>54.8</v>
      </c>
      <c r="AB894" s="4">
        <f t="shared" si="420"/>
        <v>0</v>
      </c>
      <c r="AC894" s="4">
        <f t="shared" si="421"/>
        <v>0</v>
      </c>
      <c r="AD894" s="4">
        <f t="shared" si="422"/>
        <v>0</v>
      </c>
      <c r="AE894" s="4">
        <f t="shared" si="423"/>
        <v>0</v>
      </c>
      <c r="AF894" s="4">
        <f t="shared" si="424"/>
        <v>0</v>
      </c>
      <c r="AG894" s="4">
        <f t="shared" si="425"/>
        <v>8.5171931914162382</v>
      </c>
      <c r="AH894" s="4">
        <f t="shared" si="426"/>
        <v>0</v>
      </c>
      <c r="AI894" s="4">
        <f t="shared" si="427"/>
        <v>0</v>
      </c>
      <c r="AJ894" s="4">
        <f t="shared" si="428"/>
        <v>8.5171931914162382</v>
      </c>
      <c r="AK894" s="4">
        <f t="shared" si="429"/>
        <v>6.0306852602612633</v>
      </c>
      <c r="AL894" s="4">
        <f t="shared" si="430"/>
        <v>0</v>
      </c>
      <c r="AM894" s="4">
        <f>CER!$C$7+CER!$C$8*J894+CER!$C$9*K894+CER!$C$10*L894+CER!$C$11*M894</f>
        <v>3.1769946609084956</v>
      </c>
      <c r="AN894" s="4">
        <f t="shared" si="431"/>
        <v>23.974593390780402</v>
      </c>
      <c r="AO894" s="4">
        <f t="shared" si="432"/>
        <v>0.18219599694094102</v>
      </c>
      <c r="AP894" s="4">
        <f>Alternatives!$F$25+Alternatives!$F$26*J894+Alternatives!$F$27*K894+Alternatives!$F$28*G894+Alternatives!$F$29*O894</f>
        <v>3.2788703993468955</v>
      </c>
      <c r="AQ894" s="4">
        <f t="shared" si="433"/>
        <v>8.0320258502541098E-2</v>
      </c>
    </row>
    <row r="895" spans="1:43" x14ac:dyDescent="0.35">
      <c r="A895" s="2" t="s">
        <v>755</v>
      </c>
      <c r="B895" s="2" t="s">
        <v>693</v>
      </c>
      <c r="C895" s="2" t="s">
        <v>67</v>
      </c>
      <c r="D895" s="2">
        <v>27.535399999999999</v>
      </c>
      <c r="E895" s="2">
        <v>5000</v>
      </c>
      <c r="F895" s="2">
        <v>416</v>
      </c>
      <c r="G895" s="2">
        <v>54.8</v>
      </c>
      <c r="H895" s="2" t="s">
        <v>68</v>
      </c>
      <c r="I895" s="4">
        <f t="shared" si="403"/>
        <v>3.3154724495746093</v>
      </c>
      <c r="J895" s="4">
        <f t="shared" si="404"/>
        <v>8.5171931914162382</v>
      </c>
      <c r="K895" s="4">
        <f t="shared" si="405"/>
        <v>6.0306852602612633</v>
      </c>
      <c r="L895" s="2">
        <v>0</v>
      </c>
      <c r="M895" s="2">
        <v>0</v>
      </c>
      <c r="N895" s="4">
        <f t="shared" si="406"/>
        <v>54.8</v>
      </c>
      <c r="O895" s="4">
        <f t="shared" si="407"/>
        <v>0</v>
      </c>
      <c r="P895" s="4">
        <f t="shared" si="408"/>
        <v>0</v>
      </c>
      <c r="Q895" s="4">
        <f t="shared" si="409"/>
        <v>8.5171931914162382</v>
      </c>
      <c r="R895" s="4">
        <f t="shared" si="410"/>
        <v>6.0306852602612633</v>
      </c>
      <c r="S895" s="4">
        <f t="shared" si="411"/>
        <v>54.8</v>
      </c>
      <c r="T895" s="4">
        <f t="shared" si="412"/>
        <v>0</v>
      </c>
      <c r="U895" s="4">
        <f t="shared" si="413"/>
        <v>8.5171931914162382</v>
      </c>
      <c r="V895" s="4">
        <f t="shared" si="414"/>
        <v>6.0306852602612633</v>
      </c>
      <c r="W895" s="4">
        <f t="shared" si="415"/>
        <v>54.8</v>
      </c>
      <c r="X895" s="4">
        <f t="shared" si="416"/>
        <v>0</v>
      </c>
      <c r="Y895" s="4">
        <f t="shared" si="417"/>
        <v>8.5171931914162382</v>
      </c>
      <c r="Z895" s="4">
        <f t="shared" si="418"/>
        <v>6.0306852602612633</v>
      </c>
      <c r="AA895" s="4">
        <f t="shared" si="419"/>
        <v>54.8</v>
      </c>
      <c r="AB895" s="4">
        <f t="shared" si="420"/>
        <v>0</v>
      </c>
      <c r="AC895" s="4">
        <f t="shared" si="421"/>
        <v>0</v>
      </c>
      <c r="AD895" s="4">
        <f t="shared" si="422"/>
        <v>0</v>
      </c>
      <c r="AE895" s="4">
        <f t="shared" si="423"/>
        <v>0</v>
      </c>
      <c r="AF895" s="4">
        <f t="shared" si="424"/>
        <v>0</v>
      </c>
      <c r="AG895" s="4">
        <f t="shared" si="425"/>
        <v>8.5171931914162382</v>
      </c>
      <c r="AH895" s="4">
        <f t="shared" si="426"/>
        <v>0</v>
      </c>
      <c r="AI895" s="4">
        <f t="shared" si="427"/>
        <v>0</v>
      </c>
      <c r="AJ895" s="4">
        <f t="shared" si="428"/>
        <v>8.5171931914162382</v>
      </c>
      <c r="AK895" s="4">
        <f t="shared" si="429"/>
        <v>6.0306852602612633</v>
      </c>
      <c r="AL895" s="4">
        <f t="shared" si="430"/>
        <v>0</v>
      </c>
      <c r="AM895" s="4">
        <f>CER!$C$7+CER!$C$8*J895+CER!$C$9*K895+CER!$C$10*L895+CER!$C$11*M895</f>
        <v>3.1769946609084956</v>
      </c>
      <c r="AN895" s="4">
        <f t="shared" si="431"/>
        <v>23.974593390780402</v>
      </c>
      <c r="AO895" s="4">
        <f t="shared" si="432"/>
        <v>0.13847778866611371</v>
      </c>
      <c r="AP895" s="4">
        <f>Alternatives!$F$25+Alternatives!$F$26*J895+Alternatives!$F$27*K895+Alternatives!$F$28*G895+Alternatives!$F$29*O895</f>
        <v>3.2788703993468955</v>
      </c>
      <c r="AQ895" s="4">
        <f t="shared" si="433"/>
        <v>3.6602050227713789E-2</v>
      </c>
    </row>
    <row r="896" spans="1:43" x14ac:dyDescent="0.35">
      <c r="A896" s="2" t="s">
        <v>756</v>
      </c>
      <c r="B896" s="2" t="s">
        <v>693</v>
      </c>
      <c r="C896" s="2" t="s">
        <v>33</v>
      </c>
      <c r="D896" s="2">
        <v>32.922800000000002</v>
      </c>
      <c r="E896" s="2">
        <v>5500</v>
      </c>
      <c r="F896" s="2">
        <v>295</v>
      </c>
      <c r="G896" s="2">
        <v>54.8</v>
      </c>
      <c r="H896" s="2" t="s">
        <v>68</v>
      </c>
      <c r="I896" s="4">
        <f t="shared" si="403"/>
        <v>3.4941654268699325</v>
      </c>
      <c r="J896" s="4">
        <f t="shared" si="404"/>
        <v>8.6125033712205621</v>
      </c>
      <c r="K896" s="4">
        <f t="shared" si="405"/>
        <v>5.6869753563398202</v>
      </c>
      <c r="L896" s="2">
        <v>1</v>
      </c>
      <c r="M896" s="2">
        <v>0</v>
      </c>
      <c r="N896" s="4">
        <f t="shared" si="406"/>
        <v>54.8</v>
      </c>
      <c r="O896" s="4">
        <f t="shared" si="407"/>
        <v>1</v>
      </c>
      <c r="P896" s="4">
        <f t="shared" si="408"/>
        <v>1</v>
      </c>
      <c r="Q896" s="4">
        <f t="shared" si="409"/>
        <v>8.6125033712205621</v>
      </c>
      <c r="R896" s="4">
        <f t="shared" si="410"/>
        <v>5.6869753563398202</v>
      </c>
      <c r="S896" s="4">
        <f t="shared" si="411"/>
        <v>54.8</v>
      </c>
      <c r="T896" s="4">
        <f t="shared" si="412"/>
        <v>1</v>
      </c>
      <c r="U896" s="4">
        <f t="shared" si="413"/>
        <v>8.6125033712205621</v>
      </c>
      <c r="V896" s="4">
        <f t="shared" si="414"/>
        <v>5.6869753563398202</v>
      </c>
      <c r="W896" s="4">
        <f t="shared" si="415"/>
        <v>54.8</v>
      </c>
      <c r="X896" s="4">
        <f t="shared" si="416"/>
        <v>1</v>
      </c>
      <c r="Y896" s="4">
        <f t="shared" si="417"/>
        <v>8.6125033712205621</v>
      </c>
      <c r="Z896" s="4">
        <f t="shared" si="418"/>
        <v>5.6869753563398202</v>
      </c>
      <c r="AA896" s="4">
        <f t="shared" si="419"/>
        <v>54.8</v>
      </c>
      <c r="AB896" s="4">
        <f t="shared" si="420"/>
        <v>1</v>
      </c>
      <c r="AC896" s="4">
        <f t="shared" si="421"/>
        <v>0</v>
      </c>
      <c r="AD896" s="4">
        <f t="shared" si="422"/>
        <v>0</v>
      </c>
      <c r="AE896" s="4">
        <f t="shared" si="423"/>
        <v>0</v>
      </c>
      <c r="AF896" s="4">
        <f t="shared" si="424"/>
        <v>0</v>
      </c>
      <c r="AG896" s="4">
        <f t="shared" si="425"/>
        <v>8.6125033712205621</v>
      </c>
      <c r="AH896" s="4">
        <f t="shared" si="426"/>
        <v>1</v>
      </c>
      <c r="AI896" s="4">
        <f t="shared" si="427"/>
        <v>0</v>
      </c>
      <c r="AJ896" s="4">
        <f t="shared" si="428"/>
        <v>8.6125033712205621</v>
      </c>
      <c r="AK896" s="4">
        <f t="shared" si="429"/>
        <v>5.6869753563398202</v>
      </c>
      <c r="AL896" s="4">
        <f t="shared" si="430"/>
        <v>0</v>
      </c>
      <c r="AM896" s="4">
        <f>CER!$C$7+CER!$C$8*J896+CER!$C$9*K896+CER!$C$10*L896+CER!$C$11*M896</f>
        <v>3.4844100517329579</v>
      </c>
      <c r="AN896" s="4">
        <f t="shared" si="431"/>
        <v>32.603187241340819</v>
      </c>
      <c r="AO896" s="4">
        <f t="shared" si="432"/>
        <v>9.7553751369745534E-3</v>
      </c>
      <c r="AP896" s="4">
        <f>Alternatives!$F$25+Alternatives!$F$26*J896+Alternatives!$F$27*K896+Alternatives!$F$28*G896+Alternatives!$F$29*O896</f>
        <v>4.2503479208734003</v>
      </c>
      <c r="AQ896" s="4">
        <f t="shared" si="433"/>
        <v>-0.75618249400346782</v>
      </c>
    </row>
    <row r="897" spans="1:43" x14ac:dyDescent="0.35">
      <c r="A897" s="2" t="s">
        <v>756</v>
      </c>
      <c r="B897" s="2" t="s">
        <v>693</v>
      </c>
      <c r="C897" s="2" t="s">
        <v>33</v>
      </c>
      <c r="D897" s="2">
        <v>32.922800000000002</v>
      </c>
      <c r="E897" s="2">
        <v>5500</v>
      </c>
      <c r="F897" s="2">
        <v>295</v>
      </c>
      <c r="G897" s="2">
        <v>54.8</v>
      </c>
      <c r="H897" s="2" t="s">
        <v>68</v>
      </c>
      <c r="I897" s="4">
        <f t="shared" si="403"/>
        <v>3.4941654268699325</v>
      </c>
      <c r="J897" s="4">
        <f t="shared" si="404"/>
        <v>8.6125033712205621</v>
      </c>
      <c r="K897" s="4">
        <f t="shared" si="405"/>
        <v>5.6869753563398202</v>
      </c>
      <c r="L897" s="2">
        <v>1</v>
      </c>
      <c r="M897" s="2">
        <v>0</v>
      </c>
      <c r="N897" s="4">
        <f t="shared" si="406"/>
        <v>54.8</v>
      </c>
      <c r="O897" s="4">
        <f t="shared" si="407"/>
        <v>1</v>
      </c>
      <c r="P897" s="4">
        <f t="shared" si="408"/>
        <v>1</v>
      </c>
      <c r="Q897" s="4">
        <f t="shared" si="409"/>
        <v>8.6125033712205621</v>
      </c>
      <c r="R897" s="4">
        <f t="shared" si="410"/>
        <v>5.6869753563398202</v>
      </c>
      <c r="S897" s="4">
        <f t="shared" si="411"/>
        <v>54.8</v>
      </c>
      <c r="T897" s="4">
        <f t="shared" si="412"/>
        <v>1</v>
      </c>
      <c r="U897" s="4">
        <f t="shared" si="413"/>
        <v>8.6125033712205621</v>
      </c>
      <c r="V897" s="4">
        <f t="shared" si="414"/>
        <v>5.6869753563398202</v>
      </c>
      <c r="W897" s="4">
        <f t="shared" si="415"/>
        <v>54.8</v>
      </c>
      <c r="X897" s="4">
        <f t="shared" si="416"/>
        <v>1</v>
      </c>
      <c r="Y897" s="4">
        <f t="shared" si="417"/>
        <v>8.6125033712205621</v>
      </c>
      <c r="Z897" s="4">
        <f t="shared" si="418"/>
        <v>5.6869753563398202</v>
      </c>
      <c r="AA897" s="4">
        <f t="shared" si="419"/>
        <v>54.8</v>
      </c>
      <c r="AB897" s="4">
        <f t="shared" si="420"/>
        <v>1</v>
      </c>
      <c r="AC897" s="4">
        <f t="shared" si="421"/>
        <v>0</v>
      </c>
      <c r="AD897" s="4">
        <f t="shared" si="422"/>
        <v>0</v>
      </c>
      <c r="AE897" s="4">
        <f t="shared" si="423"/>
        <v>0</v>
      </c>
      <c r="AF897" s="4">
        <f t="shared" si="424"/>
        <v>0</v>
      </c>
      <c r="AG897" s="4">
        <f t="shared" si="425"/>
        <v>8.6125033712205621</v>
      </c>
      <c r="AH897" s="4">
        <f t="shared" si="426"/>
        <v>1</v>
      </c>
      <c r="AI897" s="4">
        <f t="shared" si="427"/>
        <v>0</v>
      </c>
      <c r="AJ897" s="4">
        <f t="shared" si="428"/>
        <v>8.6125033712205621</v>
      </c>
      <c r="AK897" s="4">
        <f t="shared" si="429"/>
        <v>5.6869753563398202</v>
      </c>
      <c r="AL897" s="4">
        <f t="shared" si="430"/>
        <v>0</v>
      </c>
      <c r="AM897" s="4">
        <f>CER!$C$7+CER!$C$8*J897+CER!$C$9*K897+CER!$C$10*L897+CER!$C$11*M897</f>
        <v>3.4844100517329579</v>
      </c>
      <c r="AN897" s="4">
        <f t="shared" si="431"/>
        <v>32.603187241340819</v>
      </c>
      <c r="AO897" s="4">
        <f t="shared" si="432"/>
        <v>9.7553751369745534E-3</v>
      </c>
      <c r="AP897" s="4">
        <f>Alternatives!$F$25+Alternatives!$F$26*J897+Alternatives!$F$27*K897+Alternatives!$F$28*G897+Alternatives!$F$29*O897</f>
        <v>4.2503479208734003</v>
      </c>
      <c r="AQ897" s="4">
        <f t="shared" si="433"/>
        <v>-0.75618249400346782</v>
      </c>
    </row>
    <row r="898" spans="1:43" x14ac:dyDescent="0.35">
      <c r="A898" s="2" t="s">
        <v>757</v>
      </c>
      <c r="B898" s="2" t="s">
        <v>693</v>
      </c>
      <c r="C898" s="2" t="s">
        <v>33</v>
      </c>
      <c r="D898" s="2">
        <v>58.884599999999999</v>
      </c>
      <c r="E898" s="2">
        <v>4000</v>
      </c>
      <c r="F898" s="2">
        <v>143</v>
      </c>
      <c r="G898" s="2">
        <v>44</v>
      </c>
      <c r="H898" s="2" t="s">
        <v>68</v>
      </c>
      <c r="I898" s="4">
        <f t="shared" ref="I898:I961" si="434">LN(D898)</f>
        <v>4.075579596369022</v>
      </c>
      <c r="J898" s="4">
        <f t="shared" ref="J898:J961" si="435">LN(E898)</f>
        <v>8.2940496401020276</v>
      </c>
      <c r="K898" s="4">
        <f t="shared" ref="K898:K961" si="436">LN(F898)</f>
        <v>4.962844630259907</v>
      </c>
      <c r="L898" s="2">
        <v>1</v>
      </c>
      <c r="M898" s="2">
        <v>0</v>
      </c>
      <c r="N898" s="4">
        <f t="shared" ref="N898:N961" si="437">G898</f>
        <v>44</v>
      </c>
      <c r="O898" s="4">
        <f t="shared" ref="O898:O961" si="438">L898+M898</f>
        <v>1</v>
      </c>
      <c r="P898" s="4">
        <f t="shared" ref="P898:P961" si="439">L898+2*M898</f>
        <v>1</v>
      </c>
      <c r="Q898" s="4">
        <f t="shared" ref="Q898:Q961" si="440">J898</f>
        <v>8.2940496401020276</v>
      </c>
      <c r="R898" s="4">
        <f t="shared" ref="R898:R961" si="441">K898</f>
        <v>4.962844630259907</v>
      </c>
      <c r="S898" s="4">
        <f t="shared" ref="S898:S961" si="442">G898</f>
        <v>44</v>
      </c>
      <c r="T898" s="4">
        <f t="shared" ref="T898:T961" si="443">O898</f>
        <v>1</v>
      </c>
      <c r="U898" s="4">
        <f t="shared" ref="U898:U961" si="444">J898</f>
        <v>8.2940496401020276</v>
      </c>
      <c r="V898" s="4">
        <f t="shared" ref="V898:V961" si="445">K898</f>
        <v>4.962844630259907</v>
      </c>
      <c r="W898" s="4">
        <f t="shared" ref="W898:W961" si="446">G898</f>
        <v>44</v>
      </c>
      <c r="X898" s="4">
        <f t="shared" ref="X898:X961" si="447">P898</f>
        <v>1</v>
      </c>
      <c r="Y898" s="4">
        <f t="shared" ref="Y898:Y961" si="448">J898</f>
        <v>8.2940496401020276</v>
      </c>
      <c r="Z898" s="4">
        <f t="shared" ref="Z898:Z961" si="449">K898</f>
        <v>4.962844630259907</v>
      </c>
      <c r="AA898" s="4">
        <f t="shared" ref="AA898:AA961" si="450">G898</f>
        <v>44</v>
      </c>
      <c r="AB898" s="4">
        <f t="shared" ref="AB898:AB961" si="451">L898</f>
        <v>1</v>
      </c>
      <c r="AC898" s="4">
        <f t="shared" ref="AC898:AC961" si="452">M898</f>
        <v>0</v>
      </c>
      <c r="AD898" s="4">
        <f t="shared" ref="AD898:AD961" si="453">M898*J898</f>
        <v>0</v>
      </c>
      <c r="AE898" s="4">
        <f t="shared" ref="AE898:AE961" si="454">M898*K898</f>
        <v>0</v>
      </c>
      <c r="AF898" s="4">
        <f t="shared" ref="AF898:AF961" si="455">M898*G898</f>
        <v>0</v>
      </c>
      <c r="AG898" s="4">
        <f t="shared" ref="AG898:AG961" si="456">J898</f>
        <v>8.2940496401020276</v>
      </c>
      <c r="AH898" s="4">
        <f t="shared" ref="AH898:AH961" si="457">L898</f>
        <v>1</v>
      </c>
      <c r="AI898" s="4">
        <f t="shared" ref="AI898:AI961" si="458">M898</f>
        <v>0</v>
      </c>
      <c r="AJ898" s="4">
        <f t="shared" ref="AJ898:AJ961" si="459">J898</f>
        <v>8.2940496401020276</v>
      </c>
      <c r="AK898" s="4">
        <f t="shared" ref="AK898:AK961" si="460">K898</f>
        <v>4.962844630259907</v>
      </c>
      <c r="AL898" s="4">
        <f t="shared" ref="AL898:AL961" si="461">M898</f>
        <v>0</v>
      </c>
      <c r="AM898" s="4">
        <f>CER!$C$7+CER!$C$8*J898+CER!$C$9*K898+CER!$C$10*L898+CER!$C$11*M898</f>
        <v>3.8957404393944444</v>
      </c>
      <c r="AN898" s="4">
        <f t="shared" ref="AN898:AN961" si="462">EXP(AM898)</f>
        <v>49.192463919310768</v>
      </c>
      <c r="AO898" s="4">
        <f t="shared" ref="AO898:AO961" si="463">I898-AM898</f>
        <v>0.17983915697457764</v>
      </c>
      <c r="AP898" s="4">
        <f>Alternatives!$F$25+Alternatives!$F$26*J898+Alternatives!$F$27*K898+Alternatives!$F$28*G898+Alternatives!$F$29*O898</f>
        <v>4.4656700616503144</v>
      </c>
      <c r="AQ898" s="4">
        <f t="shared" ref="AQ898:AQ961" si="464">I898-AP898</f>
        <v>-0.39009046528129243</v>
      </c>
    </row>
    <row r="899" spans="1:43" x14ac:dyDescent="0.35">
      <c r="A899" s="2" t="s">
        <v>758</v>
      </c>
      <c r="B899" s="2" t="s">
        <v>693</v>
      </c>
      <c r="C899" s="2" t="s">
        <v>33</v>
      </c>
      <c r="D899" s="2">
        <v>55.472000000000001</v>
      </c>
      <c r="E899" s="2">
        <v>4000</v>
      </c>
      <c r="F899" s="2">
        <v>143</v>
      </c>
      <c r="G899" s="2">
        <v>44</v>
      </c>
      <c r="H899" s="2" t="s">
        <v>68</v>
      </c>
      <c r="I899" s="4">
        <f t="shared" si="434"/>
        <v>4.0158783889426672</v>
      </c>
      <c r="J899" s="4">
        <f t="shared" si="435"/>
        <v>8.2940496401020276</v>
      </c>
      <c r="K899" s="4">
        <f t="shared" si="436"/>
        <v>4.962844630259907</v>
      </c>
      <c r="L899" s="2">
        <v>1</v>
      </c>
      <c r="M899" s="2">
        <v>0</v>
      </c>
      <c r="N899" s="4">
        <f t="shared" si="437"/>
        <v>44</v>
      </c>
      <c r="O899" s="4">
        <f t="shared" si="438"/>
        <v>1</v>
      </c>
      <c r="P899" s="4">
        <f t="shared" si="439"/>
        <v>1</v>
      </c>
      <c r="Q899" s="4">
        <f t="shared" si="440"/>
        <v>8.2940496401020276</v>
      </c>
      <c r="R899" s="4">
        <f t="shared" si="441"/>
        <v>4.962844630259907</v>
      </c>
      <c r="S899" s="4">
        <f t="shared" si="442"/>
        <v>44</v>
      </c>
      <c r="T899" s="4">
        <f t="shared" si="443"/>
        <v>1</v>
      </c>
      <c r="U899" s="4">
        <f t="shared" si="444"/>
        <v>8.2940496401020276</v>
      </c>
      <c r="V899" s="4">
        <f t="shared" si="445"/>
        <v>4.962844630259907</v>
      </c>
      <c r="W899" s="4">
        <f t="shared" si="446"/>
        <v>44</v>
      </c>
      <c r="X899" s="4">
        <f t="shared" si="447"/>
        <v>1</v>
      </c>
      <c r="Y899" s="4">
        <f t="shared" si="448"/>
        <v>8.2940496401020276</v>
      </c>
      <c r="Z899" s="4">
        <f t="shared" si="449"/>
        <v>4.962844630259907</v>
      </c>
      <c r="AA899" s="4">
        <f t="shared" si="450"/>
        <v>44</v>
      </c>
      <c r="AB899" s="4">
        <f t="shared" si="451"/>
        <v>1</v>
      </c>
      <c r="AC899" s="4">
        <f t="shared" si="452"/>
        <v>0</v>
      </c>
      <c r="AD899" s="4">
        <f t="shared" si="453"/>
        <v>0</v>
      </c>
      <c r="AE899" s="4">
        <f t="shared" si="454"/>
        <v>0</v>
      </c>
      <c r="AF899" s="4">
        <f t="shared" si="455"/>
        <v>0</v>
      </c>
      <c r="AG899" s="4">
        <f t="shared" si="456"/>
        <v>8.2940496401020276</v>
      </c>
      <c r="AH899" s="4">
        <f t="shared" si="457"/>
        <v>1</v>
      </c>
      <c r="AI899" s="4">
        <f t="shared" si="458"/>
        <v>0</v>
      </c>
      <c r="AJ899" s="4">
        <f t="shared" si="459"/>
        <v>8.2940496401020276</v>
      </c>
      <c r="AK899" s="4">
        <f t="shared" si="460"/>
        <v>4.962844630259907</v>
      </c>
      <c r="AL899" s="4">
        <f t="shared" si="461"/>
        <v>0</v>
      </c>
      <c r="AM899" s="4">
        <f>CER!$C$7+CER!$C$8*J899+CER!$C$9*K899+CER!$C$10*L899+CER!$C$11*M899</f>
        <v>3.8957404393944444</v>
      </c>
      <c r="AN899" s="4">
        <f t="shared" si="462"/>
        <v>49.192463919310768</v>
      </c>
      <c r="AO899" s="4">
        <f t="shared" si="463"/>
        <v>0.12013794954822288</v>
      </c>
      <c r="AP899" s="4">
        <f>Alternatives!$F$25+Alternatives!$F$26*J899+Alternatives!$F$27*K899+Alternatives!$F$28*G899+Alternatives!$F$29*O899</f>
        <v>4.4656700616503144</v>
      </c>
      <c r="AQ899" s="4">
        <f t="shared" si="464"/>
        <v>-0.44979167270764719</v>
      </c>
    </row>
    <row r="900" spans="1:43" x14ac:dyDescent="0.35">
      <c r="A900" s="2" t="s">
        <v>759</v>
      </c>
      <c r="B900" s="2" t="s">
        <v>693</v>
      </c>
      <c r="C900" s="2" t="s">
        <v>67</v>
      </c>
      <c r="D900" s="2">
        <v>33.900799999999997</v>
      </c>
      <c r="E900" s="2">
        <v>4000</v>
      </c>
      <c r="F900" s="2">
        <v>301</v>
      </c>
      <c r="G900" s="2">
        <v>49.6</v>
      </c>
      <c r="H900" s="2" t="s">
        <v>68</v>
      </c>
      <c r="I900" s="4">
        <f t="shared" si="434"/>
        <v>3.5234386129280155</v>
      </c>
      <c r="J900" s="4">
        <f t="shared" si="435"/>
        <v>8.2940496401020276</v>
      </c>
      <c r="K900" s="4">
        <f t="shared" si="436"/>
        <v>5.7071102647488754</v>
      </c>
      <c r="L900" s="2">
        <v>0</v>
      </c>
      <c r="M900" s="2">
        <v>0</v>
      </c>
      <c r="N900" s="4">
        <f t="shared" si="437"/>
        <v>49.6</v>
      </c>
      <c r="O900" s="4">
        <f t="shared" si="438"/>
        <v>0</v>
      </c>
      <c r="P900" s="4">
        <f t="shared" si="439"/>
        <v>0</v>
      </c>
      <c r="Q900" s="4">
        <f t="shared" si="440"/>
        <v>8.2940496401020276</v>
      </c>
      <c r="R900" s="4">
        <f t="shared" si="441"/>
        <v>5.7071102647488754</v>
      </c>
      <c r="S900" s="4">
        <f t="shared" si="442"/>
        <v>49.6</v>
      </c>
      <c r="T900" s="4">
        <f t="shared" si="443"/>
        <v>0</v>
      </c>
      <c r="U900" s="4">
        <f t="shared" si="444"/>
        <v>8.2940496401020276</v>
      </c>
      <c r="V900" s="4">
        <f t="shared" si="445"/>
        <v>5.7071102647488754</v>
      </c>
      <c r="W900" s="4">
        <f t="shared" si="446"/>
        <v>49.6</v>
      </c>
      <c r="X900" s="4">
        <f t="shared" si="447"/>
        <v>0</v>
      </c>
      <c r="Y900" s="4">
        <f t="shared" si="448"/>
        <v>8.2940496401020276</v>
      </c>
      <c r="Z900" s="4">
        <f t="shared" si="449"/>
        <v>5.7071102647488754</v>
      </c>
      <c r="AA900" s="4">
        <f t="shared" si="450"/>
        <v>49.6</v>
      </c>
      <c r="AB900" s="4">
        <f t="shared" si="451"/>
        <v>0</v>
      </c>
      <c r="AC900" s="4">
        <f t="shared" si="452"/>
        <v>0</v>
      </c>
      <c r="AD900" s="4">
        <f t="shared" si="453"/>
        <v>0</v>
      </c>
      <c r="AE900" s="4">
        <f t="shared" si="454"/>
        <v>0</v>
      </c>
      <c r="AF900" s="4">
        <f t="shared" si="455"/>
        <v>0</v>
      </c>
      <c r="AG900" s="4">
        <f t="shared" si="456"/>
        <v>8.2940496401020276</v>
      </c>
      <c r="AH900" s="4">
        <f t="shared" si="457"/>
        <v>0</v>
      </c>
      <c r="AI900" s="4">
        <f t="shared" si="458"/>
        <v>0</v>
      </c>
      <c r="AJ900" s="4">
        <f t="shared" si="459"/>
        <v>8.2940496401020276</v>
      </c>
      <c r="AK900" s="4">
        <f t="shared" si="460"/>
        <v>5.7071102647488754</v>
      </c>
      <c r="AL900" s="4">
        <f t="shared" si="461"/>
        <v>0</v>
      </c>
      <c r="AM900" s="4">
        <f>CER!$C$7+CER!$C$8*J900+CER!$C$9*K900+CER!$C$10*L900+CER!$C$11*M900</f>
        <v>3.397394742132986</v>
      </c>
      <c r="AN900" s="4">
        <f t="shared" si="462"/>
        <v>29.8861374404648</v>
      </c>
      <c r="AO900" s="4">
        <f t="shared" si="463"/>
        <v>0.12604387079502954</v>
      </c>
      <c r="AP900" s="4">
        <f>Alternatives!$F$25+Alternatives!$F$26*J900+Alternatives!$F$27*K900+Alternatives!$F$28*G900+Alternatives!$F$29*O900</f>
        <v>3.3500326671951557</v>
      </c>
      <c r="AQ900" s="4">
        <f t="shared" si="464"/>
        <v>0.17340594573285983</v>
      </c>
    </row>
    <row r="901" spans="1:43" x14ac:dyDescent="0.35">
      <c r="A901" s="2" t="s">
        <v>760</v>
      </c>
      <c r="B901" s="2" t="s">
        <v>693</v>
      </c>
      <c r="C901" s="2" t="s">
        <v>33</v>
      </c>
      <c r="D901" s="2">
        <v>59.901699999999998</v>
      </c>
      <c r="E901" s="2">
        <v>4000</v>
      </c>
      <c r="F901" s="2">
        <v>176</v>
      </c>
      <c r="G901" s="2">
        <v>49.6</v>
      </c>
      <c r="H901" s="2" t="s">
        <v>68</v>
      </c>
      <c r="I901" s="4">
        <f t="shared" si="434"/>
        <v>4.0927048853530721</v>
      </c>
      <c r="J901" s="4">
        <f t="shared" si="435"/>
        <v>8.2940496401020276</v>
      </c>
      <c r="K901" s="4">
        <f t="shared" si="436"/>
        <v>5.1704839950381514</v>
      </c>
      <c r="L901" s="2">
        <v>1</v>
      </c>
      <c r="M901" s="2">
        <v>0</v>
      </c>
      <c r="N901" s="4">
        <f t="shared" si="437"/>
        <v>49.6</v>
      </c>
      <c r="O901" s="4">
        <f t="shared" si="438"/>
        <v>1</v>
      </c>
      <c r="P901" s="4">
        <f t="shared" si="439"/>
        <v>1</v>
      </c>
      <c r="Q901" s="4">
        <f t="shared" si="440"/>
        <v>8.2940496401020276</v>
      </c>
      <c r="R901" s="4">
        <f t="shared" si="441"/>
        <v>5.1704839950381514</v>
      </c>
      <c r="S901" s="4">
        <f t="shared" si="442"/>
        <v>49.6</v>
      </c>
      <c r="T901" s="4">
        <f t="shared" si="443"/>
        <v>1</v>
      </c>
      <c r="U901" s="4">
        <f t="shared" si="444"/>
        <v>8.2940496401020276</v>
      </c>
      <c r="V901" s="4">
        <f t="shared" si="445"/>
        <v>5.1704839950381514</v>
      </c>
      <c r="W901" s="4">
        <f t="shared" si="446"/>
        <v>49.6</v>
      </c>
      <c r="X901" s="4">
        <f t="shared" si="447"/>
        <v>1</v>
      </c>
      <c r="Y901" s="4">
        <f t="shared" si="448"/>
        <v>8.2940496401020276</v>
      </c>
      <c r="Z901" s="4">
        <f t="shared" si="449"/>
        <v>5.1704839950381514</v>
      </c>
      <c r="AA901" s="4">
        <f t="shared" si="450"/>
        <v>49.6</v>
      </c>
      <c r="AB901" s="4">
        <f t="shared" si="451"/>
        <v>1</v>
      </c>
      <c r="AC901" s="4">
        <f t="shared" si="452"/>
        <v>0</v>
      </c>
      <c r="AD901" s="4">
        <f t="shared" si="453"/>
        <v>0</v>
      </c>
      <c r="AE901" s="4">
        <f t="shared" si="454"/>
        <v>0</v>
      </c>
      <c r="AF901" s="4">
        <f t="shared" si="455"/>
        <v>0</v>
      </c>
      <c r="AG901" s="4">
        <f t="shared" si="456"/>
        <v>8.2940496401020276</v>
      </c>
      <c r="AH901" s="4">
        <f t="shared" si="457"/>
        <v>1</v>
      </c>
      <c r="AI901" s="4">
        <f t="shared" si="458"/>
        <v>0</v>
      </c>
      <c r="AJ901" s="4">
        <f t="shared" si="459"/>
        <v>8.2940496401020276</v>
      </c>
      <c r="AK901" s="4">
        <f t="shared" si="460"/>
        <v>5.1704839950381514</v>
      </c>
      <c r="AL901" s="4">
        <f t="shared" si="461"/>
        <v>0</v>
      </c>
      <c r="AM901" s="4">
        <f>CER!$C$7+CER!$C$8*J901+CER!$C$9*K901+CER!$C$10*L901+CER!$C$11*M901</f>
        <v>3.8191332010080927</v>
      </c>
      <c r="AN901" s="4">
        <f t="shared" si="462"/>
        <v>45.564695766244697</v>
      </c>
      <c r="AO901" s="4">
        <f t="shared" si="463"/>
        <v>0.27357168434497936</v>
      </c>
      <c r="AP901" s="4">
        <f>Alternatives!$F$25+Alternatives!$F$26*J901+Alternatives!$F$27*K901+Alternatives!$F$28*G901+Alternatives!$F$29*O901</f>
        <v>4.3375741955158986</v>
      </c>
      <c r="AQ901" s="4">
        <f t="shared" si="464"/>
        <v>-0.24486931016282654</v>
      </c>
    </row>
    <row r="902" spans="1:43" x14ac:dyDescent="0.35">
      <c r="A902" s="2" t="s">
        <v>761</v>
      </c>
      <c r="B902" s="2" t="s">
        <v>693</v>
      </c>
      <c r="C902" s="2" t="s">
        <v>67</v>
      </c>
      <c r="D902" s="2">
        <v>38.446899999999999</v>
      </c>
      <c r="E902" s="2">
        <v>4000</v>
      </c>
      <c r="F902" s="2">
        <v>202</v>
      </c>
      <c r="G902" s="2">
        <v>49.6</v>
      </c>
      <c r="H902" s="2" t="s">
        <v>68</v>
      </c>
      <c r="I902" s="4">
        <f t="shared" si="434"/>
        <v>3.6492780685140924</v>
      </c>
      <c r="J902" s="4">
        <f t="shared" si="435"/>
        <v>8.2940496401020276</v>
      </c>
      <c r="K902" s="4">
        <f t="shared" si="436"/>
        <v>5.3082676974012051</v>
      </c>
      <c r="L902" s="2">
        <v>0</v>
      </c>
      <c r="M902" s="2">
        <v>0</v>
      </c>
      <c r="N902" s="4">
        <f t="shared" si="437"/>
        <v>49.6</v>
      </c>
      <c r="O902" s="4">
        <f t="shared" si="438"/>
        <v>0</v>
      </c>
      <c r="P902" s="4">
        <f t="shared" si="439"/>
        <v>0</v>
      </c>
      <c r="Q902" s="4">
        <f t="shared" si="440"/>
        <v>8.2940496401020276</v>
      </c>
      <c r="R902" s="4">
        <f t="shared" si="441"/>
        <v>5.3082676974012051</v>
      </c>
      <c r="S902" s="4">
        <f t="shared" si="442"/>
        <v>49.6</v>
      </c>
      <c r="T902" s="4">
        <f t="shared" si="443"/>
        <v>0</v>
      </c>
      <c r="U902" s="4">
        <f t="shared" si="444"/>
        <v>8.2940496401020276</v>
      </c>
      <c r="V902" s="4">
        <f t="shared" si="445"/>
        <v>5.3082676974012051</v>
      </c>
      <c r="W902" s="4">
        <f t="shared" si="446"/>
        <v>49.6</v>
      </c>
      <c r="X902" s="4">
        <f t="shared" si="447"/>
        <v>0</v>
      </c>
      <c r="Y902" s="4">
        <f t="shared" si="448"/>
        <v>8.2940496401020276</v>
      </c>
      <c r="Z902" s="4">
        <f t="shared" si="449"/>
        <v>5.3082676974012051</v>
      </c>
      <c r="AA902" s="4">
        <f t="shared" si="450"/>
        <v>49.6</v>
      </c>
      <c r="AB902" s="4">
        <f t="shared" si="451"/>
        <v>0</v>
      </c>
      <c r="AC902" s="4">
        <f t="shared" si="452"/>
        <v>0</v>
      </c>
      <c r="AD902" s="4">
        <f t="shared" si="453"/>
        <v>0</v>
      </c>
      <c r="AE902" s="4">
        <f t="shared" si="454"/>
        <v>0</v>
      </c>
      <c r="AF902" s="4">
        <f t="shared" si="455"/>
        <v>0</v>
      </c>
      <c r="AG902" s="4">
        <f t="shared" si="456"/>
        <v>8.2940496401020276</v>
      </c>
      <c r="AH902" s="4">
        <f t="shared" si="457"/>
        <v>0</v>
      </c>
      <c r="AI902" s="4">
        <f t="shared" si="458"/>
        <v>0</v>
      </c>
      <c r="AJ902" s="4">
        <f t="shared" si="459"/>
        <v>8.2940496401020276</v>
      </c>
      <c r="AK902" s="4">
        <f t="shared" si="460"/>
        <v>5.3082676974012051</v>
      </c>
      <c r="AL902" s="4">
        <f t="shared" si="461"/>
        <v>0</v>
      </c>
      <c r="AM902" s="4">
        <f>CER!$C$7+CER!$C$8*J902+CER!$C$9*K902+CER!$C$10*L902+CER!$C$11*M902</f>
        <v>3.5445452001786419</v>
      </c>
      <c r="AN902" s="4">
        <f t="shared" si="462"/>
        <v>34.623934801498343</v>
      </c>
      <c r="AO902" s="4">
        <f t="shared" si="463"/>
        <v>0.10473286833545048</v>
      </c>
      <c r="AP902" s="4">
        <f>Alternatives!$F$25+Alternatives!$F$26*J902+Alternatives!$F$27*K902+Alternatives!$F$28*G902+Alternatives!$F$29*O902</f>
        <v>3.4561686499930842</v>
      </c>
      <c r="AQ902" s="4">
        <f t="shared" si="464"/>
        <v>0.19310941852100827</v>
      </c>
    </row>
    <row r="903" spans="1:43" x14ac:dyDescent="0.35">
      <c r="A903" s="2" t="s">
        <v>762</v>
      </c>
      <c r="B903" s="2" t="s">
        <v>693</v>
      </c>
      <c r="C903" s="2" t="s">
        <v>67</v>
      </c>
      <c r="D903" s="2">
        <v>33.283799999999999</v>
      </c>
      <c r="E903" s="2">
        <v>4000</v>
      </c>
      <c r="F903" s="2">
        <v>301</v>
      </c>
      <c r="G903" s="2">
        <v>49.3</v>
      </c>
      <c r="H903" s="2" t="s">
        <v>68</v>
      </c>
      <c r="I903" s="4">
        <f t="shared" si="434"/>
        <v>3.5050707921269679</v>
      </c>
      <c r="J903" s="4">
        <f t="shared" si="435"/>
        <v>8.2940496401020276</v>
      </c>
      <c r="K903" s="4">
        <f t="shared" si="436"/>
        <v>5.7071102647488754</v>
      </c>
      <c r="L903" s="2">
        <v>0</v>
      </c>
      <c r="M903" s="2">
        <v>0</v>
      </c>
      <c r="N903" s="4">
        <f t="shared" si="437"/>
        <v>49.3</v>
      </c>
      <c r="O903" s="4">
        <f t="shared" si="438"/>
        <v>0</v>
      </c>
      <c r="P903" s="4">
        <f t="shared" si="439"/>
        <v>0</v>
      </c>
      <c r="Q903" s="4">
        <f t="shared" si="440"/>
        <v>8.2940496401020276</v>
      </c>
      <c r="R903" s="4">
        <f t="shared" si="441"/>
        <v>5.7071102647488754</v>
      </c>
      <c r="S903" s="4">
        <f t="shared" si="442"/>
        <v>49.3</v>
      </c>
      <c r="T903" s="4">
        <f t="shared" si="443"/>
        <v>0</v>
      </c>
      <c r="U903" s="4">
        <f t="shared" si="444"/>
        <v>8.2940496401020276</v>
      </c>
      <c r="V903" s="4">
        <f t="shared" si="445"/>
        <v>5.7071102647488754</v>
      </c>
      <c r="W903" s="4">
        <f t="shared" si="446"/>
        <v>49.3</v>
      </c>
      <c r="X903" s="4">
        <f t="shared" si="447"/>
        <v>0</v>
      </c>
      <c r="Y903" s="4">
        <f t="shared" si="448"/>
        <v>8.2940496401020276</v>
      </c>
      <c r="Z903" s="4">
        <f t="shared" si="449"/>
        <v>5.7071102647488754</v>
      </c>
      <c r="AA903" s="4">
        <f t="shared" si="450"/>
        <v>49.3</v>
      </c>
      <c r="AB903" s="4">
        <f t="shared" si="451"/>
        <v>0</v>
      </c>
      <c r="AC903" s="4">
        <f t="shared" si="452"/>
        <v>0</v>
      </c>
      <c r="AD903" s="4">
        <f t="shared" si="453"/>
        <v>0</v>
      </c>
      <c r="AE903" s="4">
        <f t="shared" si="454"/>
        <v>0</v>
      </c>
      <c r="AF903" s="4">
        <f t="shared" si="455"/>
        <v>0</v>
      </c>
      <c r="AG903" s="4">
        <f t="shared" si="456"/>
        <v>8.2940496401020276</v>
      </c>
      <c r="AH903" s="4">
        <f t="shared" si="457"/>
        <v>0</v>
      </c>
      <c r="AI903" s="4">
        <f t="shared" si="458"/>
        <v>0</v>
      </c>
      <c r="AJ903" s="4">
        <f t="shared" si="459"/>
        <v>8.2940496401020276</v>
      </c>
      <c r="AK903" s="4">
        <f t="shared" si="460"/>
        <v>5.7071102647488754</v>
      </c>
      <c r="AL903" s="4">
        <f t="shared" si="461"/>
        <v>0</v>
      </c>
      <c r="AM903" s="4">
        <f>CER!$C$7+CER!$C$8*J903+CER!$C$9*K903+CER!$C$10*L903+CER!$C$11*M903</f>
        <v>3.397394742132986</v>
      </c>
      <c r="AN903" s="4">
        <f t="shared" si="462"/>
        <v>29.8861374404648</v>
      </c>
      <c r="AO903" s="4">
        <f t="shared" si="463"/>
        <v>0.10767604999398195</v>
      </c>
      <c r="AP903" s="4">
        <f>Alternatives!$F$25+Alternatives!$F$26*J903+Alternatives!$F$27*K903+Alternatives!$F$28*G903+Alternatives!$F$29*O903</f>
        <v>3.3539348615578244</v>
      </c>
      <c r="AQ903" s="4">
        <f t="shared" si="464"/>
        <v>0.15113593056914354</v>
      </c>
    </row>
    <row r="904" spans="1:43" x14ac:dyDescent="0.35">
      <c r="A904" s="2" t="s">
        <v>763</v>
      </c>
      <c r="B904" s="2" t="s">
        <v>693</v>
      </c>
      <c r="C904" s="2" t="s">
        <v>67</v>
      </c>
      <c r="D904" s="2">
        <v>23.854900000000001</v>
      </c>
      <c r="E904" s="2">
        <v>4500</v>
      </c>
      <c r="F904" s="2">
        <v>471</v>
      </c>
      <c r="G904" s="2">
        <v>50.5</v>
      </c>
      <c r="H904" s="2" t="s">
        <v>68</v>
      </c>
      <c r="I904" s="4">
        <f t="shared" si="434"/>
        <v>3.1719896469659909</v>
      </c>
      <c r="J904" s="4">
        <f t="shared" si="435"/>
        <v>8.4118326757584114</v>
      </c>
      <c r="K904" s="4">
        <f t="shared" si="436"/>
        <v>6.1548580940164177</v>
      </c>
      <c r="L904" s="2">
        <v>0</v>
      </c>
      <c r="M904" s="2">
        <v>0</v>
      </c>
      <c r="N904" s="4">
        <f t="shared" si="437"/>
        <v>50.5</v>
      </c>
      <c r="O904" s="4">
        <f t="shared" si="438"/>
        <v>0</v>
      </c>
      <c r="P904" s="4">
        <f t="shared" si="439"/>
        <v>0</v>
      </c>
      <c r="Q904" s="4">
        <f t="shared" si="440"/>
        <v>8.4118326757584114</v>
      </c>
      <c r="R904" s="4">
        <f t="shared" si="441"/>
        <v>6.1548580940164177</v>
      </c>
      <c r="S904" s="4">
        <f t="shared" si="442"/>
        <v>50.5</v>
      </c>
      <c r="T904" s="4">
        <f t="shared" si="443"/>
        <v>0</v>
      </c>
      <c r="U904" s="4">
        <f t="shared" si="444"/>
        <v>8.4118326757584114</v>
      </c>
      <c r="V904" s="4">
        <f t="shared" si="445"/>
        <v>6.1548580940164177</v>
      </c>
      <c r="W904" s="4">
        <f t="shared" si="446"/>
        <v>50.5</v>
      </c>
      <c r="X904" s="4">
        <f t="shared" si="447"/>
        <v>0</v>
      </c>
      <c r="Y904" s="4">
        <f t="shared" si="448"/>
        <v>8.4118326757584114</v>
      </c>
      <c r="Z904" s="4">
        <f t="shared" si="449"/>
        <v>6.1548580940164177</v>
      </c>
      <c r="AA904" s="4">
        <f t="shared" si="450"/>
        <v>50.5</v>
      </c>
      <c r="AB904" s="4">
        <f t="shared" si="451"/>
        <v>0</v>
      </c>
      <c r="AC904" s="4">
        <f t="shared" si="452"/>
        <v>0</v>
      </c>
      <c r="AD904" s="4">
        <f t="shared" si="453"/>
        <v>0</v>
      </c>
      <c r="AE904" s="4">
        <f t="shared" si="454"/>
        <v>0</v>
      </c>
      <c r="AF904" s="4">
        <f t="shared" si="455"/>
        <v>0</v>
      </c>
      <c r="AG904" s="4">
        <f t="shared" si="456"/>
        <v>8.4118326757584114</v>
      </c>
      <c r="AH904" s="4">
        <f t="shared" si="457"/>
        <v>0</v>
      </c>
      <c r="AI904" s="4">
        <f t="shared" si="458"/>
        <v>0</v>
      </c>
      <c r="AJ904" s="4">
        <f t="shared" si="459"/>
        <v>8.4118326757584114</v>
      </c>
      <c r="AK904" s="4">
        <f t="shared" si="460"/>
        <v>6.1548580940164177</v>
      </c>
      <c r="AL904" s="4">
        <f t="shared" si="461"/>
        <v>0</v>
      </c>
      <c r="AM904" s="4">
        <f>CER!$C$7+CER!$C$8*J904+CER!$C$9*K904+CER!$C$10*L904+CER!$C$11*M904</f>
        <v>3.1788795407481549</v>
      </c>
      <c r="AN904" s="4">
        <f t="shared" si="462"/>
        <v>24.019825233429337</v>
      </c>
      <c r="AO904" s="4">
        <f t="shared" si="463"/>
        <v>-6.8898937821639805E-3</v>
      </c>
      <c r="AP904" s="4">
        <f>Alternatives!$F$25+Alternatives!$F$26*J904+Alternatives!$F$27*K904+Alternatives!$F$28*G904+Alternatives!$F$29*O904</f>
        <v>3.2627657735828994</v>
      </c>
      <c r="AQ904" s="4">
        <f t="shared" si="464"/>
        <v>-9.0776126616908481E-2</v>
      </c>
    </row>
    <row r="905" spans="1:43" x14ac:dyDescent="0.35">
      <c r="A905" s="2" t="s">
        <v>764</v>
      </c>
      <c r="B905" s="2" t="s">
        <v>693</v>
      </c>
      <c r="C905" s="2" t="s">
        <v>67</v>
      </c>
      <c r="D905" s="2">
        <v>23.194400000000002</v>
      </c>
      <c r="E905" s="2">
        <v>4500</v>
      </c>
      <c r="F905" s="2">
        <v>471</v>
      </c>
      <c r="G905" s="2">
        <v>50.5</v>
      </c>
      <c r="H905" s="2" t="s">
        <v>68</v>
      </c>
      <c r="I905" s="4">
        <f t="shared" si="434"/>
        <v>3.1439108702252452</v>
      </c>
      <c r="J905" s="4">
        <f t="shared" si="435"/>
        <v>8.4118326757584114</v>
      </c>
      <c r="K905" s="4">
        <f t="shared" si="436"/>
        <v>6.1548580940164177</v>
      </c>
      <c r="L905" s="2">
        <v>0</v>
      </c>
      <c r="M905" s="2">
        <v>0</v>
      </c>
      <c r="N905" s="4">
        <f t="shared" si="437"/>
        <v>50.5</v>
      </c>
      <c r="O905" s="4">
        <f t="shared" si="438"/>
        <v>0</v>
      </c>
      <c r="P905" s="4">
        <f t="shared" si="439"/>
        <v>0</v>
      </c>
      <c r="Q905" s="4">
        <f t="shared" si="440"/>
        <v>8.4118326757584114</v>
      </c>
      <c r="R905" s="4">
        <f t="shared" si="441"/>
        <v>6.1548580940164177</v>
      </c>
      <c r="S905" s="4">
        <f t="shared" si="442"/>
        <v>50.5</v>
      </c>
      <c r="T905" s="4">
        <f t="shared" si="443"/>
        <v>0</v>
      </c>
      <c r="U905" s="4">
        <f t="shared" si="444"/>
        <v>8.4118326757584114</v>
      </c>
      <c r="V905" s="4">
        <f t="shared" si="445"/>
        <v>6.1548580940164177</v>
      </c>
      <c r="W905" s="4">
        <f t="shared" si="446"/>
        <v>50.5</v>
      </c>
      <c r="X905" s="4">
        <f t="shared" si="447"/>
        <v>0</v>
      </c>
      <c r="Y905" s="4">
        <f t="shared" si="448"/>
        <v>8.4118326757584114</v>
      </c>
      <c r="Z905" s="4">
        <f t="shared" si="449"/>
        <v>6.1548580940164177</v>
      </c>
      <c r="AA905" s="4">
        <f t="shared" si="450"/>
        <v>50.5</v>
      </c>
      <c r="AB905" s="4">
        <f t="shared" si="451"/>
        <v>0</v>
      </c>
      <c r="AC905" s="4">
        <f t="shared" si="452"/>
        <v>0</v>
      </c>
      <c r="AD905" s="4">
        <f t="shared" si="453"/>
        <v>0</v>
      </c>
      <c r="AE905" s="4">
        <f t="shared" si="454"/>
        <v>0</v>
      </c>
      <c r="AF905" s="4">
        <f t="shared" si="455"/>
        <v>0</v>
      </c>
      <c r="AG905" s="4">
        <f t="shared" si="456"/>
        <v>8.4118326757584114</v>
      </c>
      <c r="AH905" s="4">
        <f t="shared" si="457"/>
        <v>0</v>
      </c>
      <c r="AI905" s="4">
        <f t="shared" si="458"/>
        <v>0</v>
      </c>
      <c r="AJ905" s="4">
        <f t="shared" si="459"/>
        <v>8.4118326757584114</v>
      </c>
      <c r="AK905" s="4">
        <f t="shared" si="460"/>
        <v>6.1548580940164177</v>
      </c>
      <c r="AL905" s="4">
        <f t="shared" si="461"/>
        <v>0</v>
      </c>
      <c r="AM905" s="4">
        <f>CER!$C$7+CER!$C$8*J905+CER!$C$9*K905+CER!$C$10*L905+CER!$C$11*M905</f>
        <v>3.1788795407481549</v>
      </c>
      <c r="AN905" s="4">
        <f t="shared" si="462"/>
        <v>24.019825233429337</v>
      </c>
      <c r="AO905" s="4">
        <f t="shared" si="463"/>
        <v>-3.4968670522909751E-2</v>
      </c>
      <c r="AP905" s="4">
        <f>Alternatives!$F$25+Alternatives!$F$26*J905+Alternatives!$F$27*K905+Alternatives!$F$28*G905+Alternatives!$F$29*O905</f>
        <v>3.2627657735828994</v>
      </c>
      <c r="AQ905" s="4">
        <f t="shared" si="464"/>
        <v>-0.11885490335765425</v>
      </c>
    </row>
    <row r="906" spans="1:43" x14ac:dyDescent="0.35">
      <c r="A906" s="2" t="s">
        <v>765</v>
      </c>
      <c r="B906" s="2" t="s">
        <v>693</v>
      </c>
      <c r="C906" s="2" t="s">
        <v>33</v>
      </c>
      <c r="D906" s="2">
        <v>39.531500000000001</v>
      </c>
      <c r="E906" s="2">
        <v>4500</v>
      </c>
      <c r="F906" s="2">
        <v>295</v>
      </c>
      <c r="G906" s="2">
        <v>50.5</v>
      </c>
      <c r="H906" s="2" t="s">
        <v>68</v>
      </c>
      <c r="I906" s="4">
        <f t="shared" si="434"/>
        <v>3.677097822452569</v>
      </c>
      <c r="J906" s="4">
        <f t="shared" si="435"/>
        <v>8.4118326757584114</v>
      </c>
      <c r="K906" s="4">
        <f t="shared" si="436"/>
        <v>5.6869753563398202</v>
      </c>
      <c r="L906" s="2">
        <v>1</v>
      </c>
      <c r="M906" s="2">
        <v>0</v>
      </c>
      <c r="N906" s="4">
        <f t="shared" si="437"/>
        <v>50.5</v>
      </c>
      <c r="O906" s="4">
        <f t="shared" si="438"/>
        <v>1</v>
      </c>
      <c r="P906" s="4">
        <f t="shared" si="439"/>
        <v>1</v>
      </c>
      <c r="Q906" s="4">
        <f t="shared" si="440"/>
        <v>8.4118326757584114</v>
      </c>
      <c r="R906" s="4">
        <f t="shared" si="441"/>
        <v>5.6869753563398202</v>
      </c>
      <c r="S906" s="4">
        <f t="shared" si="442"/>
        <v>50.5</v>
      </c>
      <c r="T906" s="4">
        <f t="shared" si="443"/>
        <v>1</v>
      </c>
      <c r="U906" s="4">
        <f t="shared" si="444"/>
        <v>8.4118326757584114</v>
      </c>
      <c r="V906" s="4">
        <f t="shared" si="445"/>
        <v>5.6869753563398202</v>
      </c>
      <c r="W906" s="4">
        <f t="shared" si="446"/>
        <v>50.5</v>
      </c>
      <c r="X906" s="4">
        <f t="shared" si="447"/>
        <v>1</v>
      </c>
      <c r="Y906" s="4">
        <f t="shared" si="448"/>
        <v>8.4118326757584114</v>
      </c>
      <c r="Z906" s="4">
        <f t="shared" si="449"/>
        <v>5.6869753563398202</v>
      </c>
      <c r="AA906" s="4">
        <f t="shared" si="450"/>
        <v>50.5</v>
      </c>
      <c r="AB906" s="4">
        <f t="shared" si="451"/>
        <v>1</v>
      </c>
      <c r="AC906" s="4">
        <f t="shared" si="452"/>
        <v>0</v>
      </c>
      <c r="AD906" s="4">
        <f t="shared" si="453"/>
        <v>0</v>
      </c>
      <c r="AE906" s="4">
        <f t="shared" si="454"/>
        <v>0</v>
      </c>
      <c r="AF906" s="4">
        <f t="shared" si="455"/>
        <v>0</v>
      </c>
      <c r="AG906" s="4">
        <f t="shared" si="456"/>
        <v>8.4118326757584114</v>
      </c>
      <c r="AH906" s="4">
        <f t="shared" si="457"/>
        <v>1</v>
      </c>
      <c r="AI906" s="4">
        <f t="shared" si="458"/>
        <v>0</v>
      </c>
      <c r="AJ906" s="4">
        <f t="shared" si="459"/>
        <v>8.4118326757584114</v>
      </c>
      <c r="AK906" s="4">
        <f t="shared" si="460"/>
        <v>5.6869753563398202</v>
      </c>
      <c r="AL906" s="4">
        <f t="shared" si="461"/>
        <v>0</v>
      </c>
      <c r="AM906" s="4">
        <f>CER!$C$7+CER!$C$8*J906+CER!$C$9*K906+CER!$C$10*L906+CER!$C$11*M906</f>
        <v>3.5752555056102286</v>
      </c>
      <c r="AN906" s="4">
        <f t="shared" si="462"/>
        <v>35.703742156756547</v>
      </c>
      <c r="AO906" s="4">
        <f t="shared" si="463"/>
        <v>0.10184231684234035</v>
      </c>
      <c r="AP906" s="4">
        <f>Alternatives!$F$25+Alternatives!$F$26*J906+Alternatives!$F$27*K906+Alternatives!$F$28*G906+Alternatives!$F$29*O906</f>
        <v>4.2320139628000382</v>
      </c>
      <c r="AQ906" s="4">
        <f t="shared" si="464"/>
        <v>-0.55491614034746917</v>
      </c>
    </row>
    <row r="907" spans="1:43" x14ac:dyDescent="0.35">
      <c r="A907" s="2" t="s">
        <v>766</v>
      </c>
      <c r="B907" s="2" t="s">
        <v>693</v>
      </c>
      <c r="C907" s="2" t="s">
        <v>67</v>
      </c>
      <c r="D907" s="2">
        <v>30.209</v>
      </c>
      <c r="E907" s="2">
        <v>4000</v>
      </c>
      <c r="F907" s="2">
        <v>311</v>
      </c>
      <c r="G907" s="2">
        <v>46.7</v>
      </c>
      <c r="H907" s="2" t="s">
        <v>68</v>
      </c>
      <c r="I907" s="4">
        <f t="shared" si="434"/>
        <v>3.4081398932287303</v>
      </c>
      <c r="J907" s="4">
        <f t="shared" si="435"/>
        <v>8.2940496401020276</v>
      </c>
      <c r="K907" s="4">
        <f t="shared" si="436"/>
        <v>5.7397929121792339</v>
      </c>
      <c r="L907" s="2">
        <v>0</v>
      </c>
      <c r="M907" s="2">
        <v>0</v>
      </c>
      <c r="N907" s="4">
        <f t="shared" si="437"/>
        <v>46.7</v>
      </c>
      <c r="O907" s="4">
        <f t="shared" si="438"/>
        <v>0</v>
      </c>
      <c r="P907" s="4">
        <f t="shared" si="439"/>
        <v>0</v>
      </c>
      <c r="Q907" s="4">
        <f t="shared" si="440"/>
        <v>8.2940496401020276</v>
      </c>
      <c r="R907" s="4">
        <f t="shared" si="441"/>
        <v>5.7397929121792339</v>
      </c>
      <c r="S907" s="4">
        <f t="shared" si="442"/>
        <v>46.7</v>
      </c>
      <c r="T907" s="4">
        <f t="shared" si="443"/>
        <v>0</v>
      </c>
      <c r="U907" s="4">
        <f t="shared" si="444"/>
        <v>8.2940496401020276</v>
      </c>
      <c r="V907" s="4">
        <f t="shared" si="445"/>
        <v>5.7397929121792339</v>
      </c>
      <c r="W907" s="4">
        <f t="shared" si="446"/>
        <v>46.7</v>
      </c>
      <c r="X907" s="4">
        <f t="shared" si="447"/>
        <v>0</v>
      </c>
      <c r="Y907" s="4">
        <f t="shared" si="448"/>
        <v>8.2940496401020276</v>
      </c>
      <c r="Z907" s="4">
        <f t="shared" si="449"/>
        <v>5.7397929121792339</v>
      </c>
      <c r="AA907" s="4">
        <f t="shared" si="450"/>
        <v>46.7</v>
      </c>
      <c r="AB907" s="4">
        <f t="shared" si="451"/>
        <v>0</v>
      </c>
      <c r="AC907" s="4">
        <f t="shared" si="452"/>
        <v>0</v>
      </c>
      <c r="AD907" s="4">
        <f t="shared" si="453"/>
        <v>0</v>
      </c>
      <c r="AE907" s="4">
        <f t="shared" si="454"/>
        <v>0</v>
      </c>
      <c r="AF907" s="4">
        <f t="shared" si="455"/>
        <v>0</v>
      </c>
      <c r="AG907" s="4">
        <f t="shared" si="456"/>
        <v>8.2940496401020276</v>
      </c>
      <c r="AH907" s="4">
        <f t="shared" si="457"/>
        <v>0</v>
      </c>
      <c r="AI907" s="4">
        <f t="shared" si="458"/>
        <v>0</v>
      </c>
      <c r="AJ907" s="4">
        <f t="shared" si="459"/>
        <v>8.2940496401020276</v>
      </c>
      <c r="AK907" s="4">
        <f t="shared" si="460"/>
        <v>5.7397929121792339</v>
      </c>
      <c r="AL907" s="4">
        <f t="shared" si="461"/>
        <v>0</v>
      </c>
      <c r="AM907" s="4">
        <f>CER!$C$7+CER!$C$8*J907+CER!$C$9*K907+CER!$C$10*L907+CER!$C$11*M907</f>
        <v>3.3853366848110107</v>
      </c>
      <c r="AN907" s="4">
        <f t="shared" si="462"/>
        <v>29.527932649168886</v>
      </c>
      <c r="AO907" s="4">
        <f t="shared" si="463"/>
        <v>2.2803208417719656E-2</v>
      </c>
      <c r="AP907" s="4">
        <f>Alternatives!$F$25+Alternatives!$F$26*J907+Alternatives!$F$27*K907+Alternatives!$F$28*G907+Alternatives!$F$29*O907</f>
        <v>3.3790567011087198</v>
      </c>
      <c r="AQ907" s="4">
        <f t="shared" si="464"/>
        <v>2.9083192120010537E-2</v>
      </c>
    </row>
    <row r="908" spans="1:43" x14ac:dyDescent="0.35">
      <c r="A908" s="2" t="s">
        <v>767</v>
      </c>
      <c r="B908" s="2" t="s">
        <v>693</v>
      </c>
      <c r="C908" s="2" t="s">
        <v>67</v>
      </c>
      <c r="D908" s="2">
        <v>32.896500000000003</v>
      </c>
      <c r="E908" s="2">
        <v>4000</v>
      </c>
      <c r="F908" s="2">
        <v>241</v>
      </c>
      <c r="G908" s="2">
        <v>46.7</v>
      </c>
      <c r="H908" s="2" t="s">
        <v>68</v>
      </c>
      <c r="I908" s="4">
        <f t="shared" si="434"/>
        <v>3.4933662691335323</v>
      </c>
      <c r="J908" s="4">
        <f t="shared" si="435"/>
        <v>8.2940496401020276</v>
      </c>
      <c r="K908" s="4">
        <f t="shared" si="436"/>
        <v>5.4847969334906548</v>
      </c>
      <c r="L908" s="2">
        <v>0</v>
      </c>
      <c r="M908" s="2">
        <v>0</v>
      </c>
      <c r="N908" s="4">
        <f t="shared" si="437"/>
        <v>46.7</v>
      </c>
      <c r="O908" s="4">
        <f t="shared" si="438"/>
        <v>0</v>
      </c>
      <c r="P908" s="4">
        <f t="shared" si="439"/>
        <v>0</v>
      </c>
      <c r="Q908" s="4">
        <f t="shared" si="440"/>
        <v>8.2940496401020276</v>
      </c>
      <c r="R908" s="4">
        <f t="shared" si="441"/>
        <v>5.4847969334906548</v>
      </c>
      <c r="S908" s="4">
        <f t="shared" si="442"/>
        <v>46.7</v>
      </c>
      <c r="T908" s="4">
        <f t="shared" si="443"/>
        <v>0</v>
      </c>
      <c r="U908" s="4">
        <f t="shared" si="444"/>
        <v>8.2940496401020276</v>
      </c>
      <c r="V908" s="4">
        <f t="shared" si="445"/>
        <v>5.4847969334906548</v>
      </c>
      <c r="W908" s="4">
        <f t="shared" si="446"/>
        <v>46.7</v>
      </c>
      <c r="X908" s="4">
        <f t="shared" si="447"/>
        <v>0</v>
      </c>
      <c r="Y908" s="4">
        <f t="shared" si="448"/>
        <v>8.2940496401020276</v>
      </c>
      <c r="Z908" s="4">
        <f t="shared" si="449"/>
        <v>5.4847969334906548</v>
      </c>
      <c r="AA908" s="4">
        <f t="shared" si="450"/>
        <v>46.7</v>
      </c>
      <c r="AB908" s="4">
        <f t="shared" si="451"/>
        <v>0</v>
      </c>
      <c r="AC908" s="4">
        <f t="shared" si="452"/>
        <v>0</v>
      </c>
      <c r="AD908" s="4">
        <f t="shared" si="453"/>
        <v>0</v>
      </c>
      <c r="AE908" s="4">
        <f t="shared" si="454"/>
        <v>0</v>
      </c>
      <c r="AF908" s="4">
        <f t="shared" si="455"/>
        <v>0</v>
      </c>
      <c r="AG908" s="4">
        <f t="shared" si="456"/>
        <v>8.2940496401020276</v>
      </c>
      <c r="AH908" s="4">
        <f t="shared" si="457"/>
        <v>0</v>
      </c>
      <c r="AI908" s="4">
        <f t="shared" si="458"/>
        <v>0</v>
      </c>
      <c r="AJ908" s="4">
        <f t="shared" si="459"/>
        <v>8.2940496401020276</v>
      </c>
      <c r="AK908" s="4">
        <f t="shared" si="460"/>
        <v>5.4847969334906548</v>
      </c>
      <c r="AL908" s="4">
        <f t="shared" si="461"/>
        <v>0</v>
      </c>
      <c r="AM908" s="4">
        <f>CER!$C$7+CER!$C$8*J908+CER!$C$9*K908+CER!$C$10*L908+CER!$C$11*M908</f>
        <v>3.479415848209626</v>
      </c>
      <c r="AN908" s="4">
        <f t="shared" si="462"/>
        <v>32.440766208189189</v>
      </c>
      <c r="AO908" s="4">
        <f t="shared" si="463"/>
        <v>1.3950420923906304E-2</v>
      </c>
      <c r="AP908" s="4">
        <f>Alternatives!$F$25+Alternatives!$F$26*J908+Alternatives!$F$27*K908+Alternatives!$F$28*G908+Alternatives!$F$29*O908</f>
        <v>3.4469136728146514</v>
      </c>
      <c r="AQ908" s="4">
        <f t="shared" si="464"/>
        <v>4.6452596318880879E-2</v>
      </c>
    </row>
    <row r="909" spans="1:43" x14ac:dyDescent="0.35">
      <c r="A909" s="2" t="s">
        <v>768</v>
      </c>
      <c r="B909" s="2" t="s">
        <v>693</v>
      </c>
      <c r="C909" s="2" t="s">
        <v>67</v>
      </c>
      <c r="D909" s="2">
        <v>28.580500000000001</v>
      </c>
      <c r="E909" s="2">
        <v>4000</v>
      </c>
      <c r="F909" s="2">
        <v>311</v>
      </c>
      <c r="G909" s="2">
        <v>46.8</v>
      </c>
      <c r="H909" s="2" t="s">
        <v>68</v>
      </c>
      <c r="I909" s="4">
        <f t="shared" si="434"/>
        <v>3.3527246671002646</v>
      </c>
      <c r="J909" s="4">
        <f t="shared" si="435"/>
        <v>8.2940496401020276</v>
      </c>
      <c r="K909" s="4">
        <f t="shared" si="436"/>
        <v>5.7397929121792339</v>
      </c>
      <c r="L909" s="2">
        <v>0</v>
      </c>
      <c r="M909" s="2">
        <v>0</v>
      </c>
      <c r="N909" s="4">
        <f t="shared" si="437"/>
        <v>46.8</v>
      </c>
      <c r="O909" s="4">
        <f t="shared" si="438"/>
        <v>0</v>
      </c>
      <c r="P909" s="4">
        <f t="shared" si="439"/>
        <v>0</v>
      </c>
      <c r="Q909" s="4">
        <f t="shared" si="440"/>
        <v>8.2940496401020276</v>
      </c>
      <c r="R909" s="4">
        <f t="shared" si="441"/>
        <v>5.7397929121792339</v>
      </c>
      <c r="S909" s="4">
        <f t="shared" si="442"/>
        <v>46.8</v>
      </c>
      <c r="T909" s="4">
        <f t="shared" si="443"/>
        <v>0</v>
      </c>
      <c r="U909" s="4">
        <f t="shared" si="444"/>
        <v>8.2940496401020276</v>
      </c>
      <c r="V909" s="4">
        <f t="shared" si="445"/>
        <v>5.7397929121792339</v>
      </c>
      <c r="W909" s="4">
        <f t="shared" si="446"/>
        <v>46.8</v>
      </c>
      <c r="X909" s="4">
        <f t="shared" si="447"/>
        <v>0</v>
      </c>
      <c r="Y909" s="4">
        <f t="shared" si="448"/>
        <v>8.2940496401020276</v>
      </c>
      <c r="Z909" s="4">
        <f t="shared" si="449"/>
        <v>5.7397929121792339</v>
      </c>
      <c r="AA909" s="4">
        <f t="shared" si="450"/>
        <v>46.8</v>
      </c>
      <c r="AB909" s="4">
        <f t="shared" si="451"/>
        <v>0</v>
      </c>
      <c r="AC909" s="4">
        <f t="shared" si="452"/>
        <v>0</v>
      </c>
      <c r="AD909" s="4">
        <f t="shared" si="453"/>
        <v>0</v>
      </c>
      <c r="AE909" s="4">
        <f t="shared" si="454"/>
        <v>0</v>
      </c>
      <c r="AF909" s="4">
        <f t="shared" si="455"/>
        <v>0</v>
      </c>
      <c r="AG909" s="4">
        <f t="shared" si="456"/>
        <v>8.2940496401020276</v>
      </c>
      <c r="AH909" s="4">
        <f t="shared" si="457"/>
        <v>0</v>
      </c>
      <c r="AI909" s="4">
        <f t="shared" si="458"/>
        <v>0</v>
      </c>
      <c r="AJ909" s="4">
        <f t="shared" si="459"/>
        <v>8.2940496401020276</v>
      </c>
      <c r="AK909" s="4">
        <f t="shared" si="460"/>
        <v>5.7397929121792339</v>
      </c>
      <c r="AL909" s="4">
        <f t="shared" si="461"/>
        <v>0</v>
      </c>
      <c r="AM909" s="4">
        <f>CER!$C$7+CER!$C$8*J909+CER!$C$9*K909+CER!$C$10*L909+CER!$C$11*M909</f>
        <v>3.3853366848110107</v>
      </c>
      <c r="AN909" s="4">
        <f t="shared" si="462"/>
        <v>29.527932649168886</v>
      </c>
      <c r="AO909" s="4">
        <f t="shared" si="463"/>
        <v>-3.2612017710746066E-2</v>
      </c>
      <c r="AP909" s="4">
        <f>Alternatives!$F$25+Alternatives!$F$26*J909+Alternatives!$F$27*K909+Alternatives!$F$28*G909+Alternatives!$F$29*O909</f>
        <v>3.3777559696544972</v>
      </c>
      <c r="AQ909" s="4">
        <f t="shared" si="464"/>
        <v>-2.5031302554232582E-2</v>
      </c>
    </row>
    <row r="910" spans="1:43" x14ac:dyDescent="0.35">
      <c r="A910" s="2" t="s">
        <v>769</v>
      </c>
      <c r="B910" s="2" t="s">
        <v>693</v>
      </c>
      <c r="C910" s="2" t="s">
        <v>67</v>
      </c>
      <c r="D910" s="2">
        <v>28.580500000000001</v>
      </c>
      <c r="E910" s="2">
        <v>4000</v>
      </c>
      <c r="F910" s="2">
        <v>260</v>
      </c>
      <c r="G910" s="2">
        <v>46.8</v>
      </c>
      <c r="H910" s="2" t="s">
        <v>68</v>
      </c>
      <c r="I910" s="4">
        <f t="shared" si="434"/>
        <v>3.3527246671002646</v>
      </c>
      <c r="J910" s="4">
        <f t="shared" si="435"/>
        <v>8.2940496401020276</v>
      </c>
      <c r="K910" s="4">
        <f t="shared" si="436"/>
        <v>5.5606816310155276</v>
      </c>
      <c r="L910" s="2">
        <v>0</v>
      </c>
      <c r="M910" s="2">
        <v>0</v>
      </c>
      <c r="N910" s="4">
        <f t="shared" si="437"/>
        <v>46.8</v>
      </c>
      <c r="O910" s="4">
        <f t="shared" si="438"/>
        <v>0</v>
      </c>
      <c r="P910" s="4">
        <f t="shared" si="439"/>
        <v>0</v>
      </c>
      <c r="Q910" s="4">
        <f t="shared" si="440"/>
        <v>8.2940496401020276</v>
      </c>
      <c r="R910" s="4">
        <f t="shared" si="441"/>
        <v>5.5606816310155276</v>
      </c>
      <c r="S910" s="4">
        <f t="shared" si="442"/>
        <v>46.8</v>
      </c>
      <c r="T910" s="4">
        <f t="shared" si="443"/>
        <v>0</v>
      </c>
      <c r="U910" s="4">
        <f t="shared" si="444"/>
        <v>8.2940496401020276</v>
      </c>
      <c r="V910" s="4">
        <f t="shared" si="445"/>
        <v>5.5606816310155276</v>
      </c>
      <c r="W910" s="4">
        <f t="shared" si="446"/>
        <v>46.8</v>
      </c>
      <c r="X910" s="4">
        <f t="shared" si="447"/>
        <v>0</v>
      </c>
      <c r="Y910" s="4">
        <f t="shared" si="448"/>
        <v>8.2940496401020276</v>
      </c>
      <c r="Z910" s="4">
        <f t="shared" si="449"/>
        <v>5.5606816310155276</v>
      </c>
      <c r="AA910" s="4">
        <f t="shared" si="450"/>
        <v>46.8</v>
      </c>
      <c r="AB910" s="4">
        <f t="shared" si="451"/>
        <v>0</v>
      </c>
      <c r="AC910" s="4">
        <f t="shared" si="452"/>
        <v>0</v>
      </c>
      <c r="AD910" s="4">
        <f t="shared" si="453"/>
        <v>0</v>
      </c>
      <c r="AE910" s="4">
        <f t="shared" si="454"/>
        <v>0</v>
      </c>
      <c r="AF910" s="4">
        <f t="shared" si="455"/>
        <v>0</v>
      </c>
      <c r="AG910" s="4">
        <f t="shared" si="456"/>
        <v>8.2940496401020276</v>
      </c>
      <c r="AH910" s="4">
        <f t="shared" si="457"/>
        <v>0</v>
      </c>
      <c r="AI910" s="4">
        <f t="shared" si="458"/>
        <v>0</v>
      </c>
      <c r="AJ910" s="4">
        <f t="shared" si="459"/>
        <v>8.2940496401020276</v>
      </c>
      <c r="AK910" s="4">
        <f t="shared" si="460"/>
        <v>5.5606816310155276</v>
      </c>
      <c r="AL910" s="4">
        <f t="shared" si="461"/>
        <v>0</v>
      </c>
      <c r="AM910" s="4">
        <f>CER!$C$7+CER!$C$8*J910+CER!$C$9*K910+CER!$C$10*L910+CER!$C$11*M910</f>
        <v>3.4514186660790958</v>
      </c>
      <c r="AN910" s="4">
        <f t="shared" si="462"/>
        <v>31.54511256084653</v>
      </c>
      <c r="AO910" s="4">
        <f t="shared" si="463"/>
        <v>-9.8693998978831132E-2</v>
      </c>
      <c r="AP910" s="4">
        <f>Alternatives!$F$25+Alternatives!$F$26*J910+Alternatives!$F$27*K910+Alternatives!$F$28*G910+Alternatives!$F$29*O910</f>
        <v>3.4254192669372441</v>
      </c>
      <c r="AQ910" s="4">
        <f t="shared" si="464"/>
        <v>-7.2694599836979457E-2</v>
      </c>
    </row>
    <row r="911" spans="1:43" x14ac:dyDescent="0.35">
      <c r="A911" s="2" t="s">
        <v>770</v>
      </c>
      <c r="B911" s="2" t="s">
        <v>693</v>
      </c>
      <c r="C911" s="2" t="s">
        <v>67</v>
      </c>
      <c r="D911" s="2">
        <v>32.896500000000003</v>
      </c>
      <c r="E911" s="2">
        <v>4000</v>
      </c>
      <c r="F911" s="2">
        <v>241</v>
      </c>
      <c r="G911" s="2">
        <v>47.8</v>
      </c>
      <c r="H911" s="2" t="s">
        <v>68</v>
      </c>
      <c r="I911" s="4">
        <f t="shared" si="434"/>
        <v>3.4933662691335323</v>
      </c>
      <c r="J911" s="4">
        <f t="shared" si="435"/>
        <v>8.2940496401020276</v>
      </c>
      <c r="K911" s="4">
        <f t="shared" si="436"/>
        <v>5.4847969334906548</v>
      </c>
      <c r="L911" s="2">
        <v>0</v>
      </c>
      <c r="M911" s="2">
        <v>0</v>
      </c>
      <c r="N911" s="4">
        <f t="shared" si="437"/>
        <v>47.8</v>
      </c>
      <c r="O911" s="4">
        <f t="shared" si="438"/>
        <v>0</v>
      </c>
      <c r="P911" s="4">
        <f t="shared" si="439"/>
        <v>0</v>
      </c>
      <c r="Q911" s="4">
        <f t="shared" si="440"/>
        <v>8.2940496401020276</v>
      </c>
      <c r="R911" s="4">
        <f t="shared" si="441"/>
        <v>5.4847969334906548</v>
      </c>
      <c r="S911" s="4">
        <f t="shared" si="442"/>
        <v>47.8</v>
      </c>
      <c r="T911" s="4">
        <f t="shared" si="443"/>
        <v>0</v>
      </c>
      <c r="U911" s="4">
        <f t="shared" si="444"/>
        <v>8.2940496401020276</v>
      </c>
      <c r="V911" s="4">
        <f t="shared" si="445"/>
        <v>5.4847969334906548</v>
      </c>
      <c r="W911" s="4">
        <f t="shared" si="446"/>
        <v>47.8</v>
      </c>
      <c r="X911" s="4">
        <f t="shared" si="447"/>
        <v>0</v>
      </c>
      <c r="Y911" s="4">
        <f t="shared" si="448"/>
        <v>8.2940496401020276</v>
      </c>
      <c r="Z911" s="4">
        <f t="shared" si="449"/>
        <v>5.4847969334906548</v>
      </c>
      <c r="AA911" s="4">
        <f t="shared" si="450"/>
        <v>47.8</v>
      </c>
      <c r="AB911" s="4">
        <f t="shared" si="451"/>
        <v>0</v>
      </c>
      <c r="AC911" s="4">
        <f t="shared" si="452"/>
        <v>0</v>
      </c>
      <c r="AD911" s="4">
        <f t="shared" si="453"/>
        <v>0</v>
      </c>
      <c r="AE911" s="4">
        <f t="shared" si="454"/>
        <v>0</v>
      </c>
      <c r="AF911" s="4">
        <f t="shared" si="455"/>
        <v>0</v>
      </c>
      <c r="AG911" s="4">
        <f t="shared" si="456"/>
        <v>8.2940496401020276</v>
      </c>
      <c r="AH911" s="4">
        <f t="shared" si="457"/>
        <v>0</v>
      </c>
      <c r="AI911" s="4">
        <f t="shared" si="458"/>
        <v>0</v>
      </c>
      <c r="AJ911" s="4">
        <f t="shared" si="459"/>
        <v>8.2940496401020276</v>
      </c>
      <c r="AK911" s="4">
        <f t="shared" si="460"/>
        <v>5.4847969334906548</v>
      </c>
      <c r="AL911" s="4">
        <f t="shared" si="461"/>
        <v>0</v>
      </c>
      <c r="AM911" s="4">
        <f>CER!$C$7+CER!$C$8*J911+CER!$C$9*K911+CER!$C$10*L911+CER!$C$11*M911</f>
        <v>3.479415848209626</v>
      </c>
      <c r="AN911" s="4">
        <f t="shared" si="462"/>
        <v>32.440766208189189</v>
      </c>
      <c r="AO911" s="4">
        <f t="shared" si="463"/>
        <v>1.3950420923906304E-2</v>
      </c>
      <c r="AP911" s="4">
        <f>Alternatives!$F$25+Alternatives!$F$26*J911+Alternatives!$F$27*K911+Alternatives!$F$28*G911+Alternatives!$F$29*O911</f>
        <v>3.4326056268182006</v>
      </c>
      <c r="AQ911" s="4">
        <f t="shared" si="464"/>
        <v>6.0760642315331737E-2</v>
      </c>
    </row>
    <row r="912" spans="1:43" x14ac:dyDescent="0.35">
      <c r="A912" s="2" t="s">
        <v>771</v>
      </c>
      <c r="B912" s="2" t="s">
        <v>693</v>
      </c>
      <c r="C912" s="2" t="s">
        <v>67</v>
      </c>
      <c r="D912" s="2">
        <v>30.209</v>
      </c>
      <c r="E912" s="2">
        <v>4000</v>
      </c>
      <c r="F912" s="2">
        <v>311</v>
      </c>
      <c r="G912" s="2">
        <v>47.3</v>
      </c>
      <c r="H912" s="2" t="s">
        <v>68</v>
      </c>
      <c r="I912" s="4">
        <f t="shared" si="434"/>
        <v>3.4081398932287303</v>
      </c>
      <c r="J912" s="4">
        <f t="shared" si="435"/>
        <v>8.2940496401020276</v>
      </c>
      <c r="K912" s="4">
        <f t="shared" si="436"/>
        <v>5.7397929121792339</v>
      </c>
      <c r="L912" s="2">
        <v>0</v>
      </c>
      <c r="M912" s="2">
        <v>0</v>
      </c>
      <c r="N912" s="4">
        <f t="shared" si="437"/>
        <v>47.3</v>
      </c>
      <c r="O912" s="4">
        <f t="shared" si="438"/>
        <v>0</v>
      </c>
      <c r="P912" s="4">
        <f t="shared" si="439"/>
        <v>0</v>
      </c>
      <c r="Q912" s="4">
        <f t="shared" si="440"/>
        <v>8.2940496401020276</v>
      </c>
      <c r="R912" s="4">
        <f t="shared" si="441"/>
        <v>5.7397929121792339</v>
      </c>
      <c r="S912" s="4">
        <f t="shared" si="442"/>
        <v>47.3</v>
      </c>
      <c r="T912" s="4">
        <f t="shared" si="443"/>
        <v>0</v>
      </c>
      <c r="U912" s="4">
        <f t="shared" si="444"/>
        <v>8.2940496401020276</v>
      </c>
      <c r="V912" s="4">
        <f t="shared" si="445"/>
        <v>5.7397929121792339</v>
      </c>
      <c r="W912" s="4">
        <f t="shared" si="446"/>
        <v>47.3</v>
      </c>
      <c r="X912" s="4">
        <f t="shared" si="447"/>
        <v>0</v>
      </c>
      <c r="Y912" s="4">
        <f t="shared" si="448"/>
        <v>8.2940496401020276</v>
      </c>
      <c r="Z912" s="4">
        <f t="shared" si="449"/>
        <v>5.7397929121792339</v>
      </c>
      <c r="AA912" s="4">
        <f t="shared" si="450"/>
        <v>47.3</v>
      </c>
      <c r="AB912" s="4">
        <f t="shared" si="451"/>
        <v>0</v>
      </c>
      <c r="AC912" s="4">
        <f t="shared" si="452"/>
        <v>0</v>
      </c>
      <c r="AD912" s="4">
        <f t="shared" si="453"/>
        <v>0</v>
      </c>
      <c r="AE912" s="4">
        <f t="shared" si="454"/>
        <v>0</v>
      </c>
      <c r="AF912" s="4">
        <f t="shared" si="455"/>
        <v>0</v>
      </c>
      <c r="AG912" s="4">
        <f t="shared" si="456"/>
        <v>8.2940496401020276</v>
      </c>
      <c r="AH912" s="4">
        <f t="shared" si="457"/>
        <v>0</v>
      </c>
      <c r="AI912" s="4">
        <f t="shared" si="458"/>
        <v>0</v>
      </c>
      <c r="AJ912" s="4">
        <f t="shared" si="459"/>
        <v>8.2940496401020276</v>
      </c>
      <c r="AK912" s="4">
        <f t="shared" si="460"/>
        <v>5.7397929121792339</v>
      </c>
      <c r="AL912" s="4">
        <f t="shared" si="461"/>
        <v>0</v>
      </c>
      <c r="AM912" s="4">
        <f>CER!$C$7+CER!$C$8*J912+CER!$C$9*K912+CER!$C$10*L912+CER!$C$11*M912</f>
        <v>3.3853366848110107</v>
      </c>
      <c r="AN912" s="4">
        <f t="shared" si="462"/>
        <v>29.527932649168886</v>
      </c>
      <c r="AO912" s="4">
        <f t="shared" si="463"/>
        <v>2.2803208417719656E-2</v>
      </c>
      <c r="AP912" s="4">
        <f>Alternatives!$F$25+Alternatives!$F$26*J912+Alternatives!$F$27*K912+Alternatives!$F$28*G912+Alternatives!$F$29*O912</f>
        <v>3.3712523123833829</v>
      </c>
      <c r="AQ912" s="4">
        <f t="shared" si="464"/>
        <v>3.688758084534749E-2</v>
      </c>
    </row>
    <row r="913" spans="1:43" x14ac:dyDescent="0.35">
      <c r="A913" s="2" t="s">
        <v>772</v>
      </c>
      <c r="B913" s="2" t="s">
        <v>693</v>
      </c>
      <c r="C913" s="2" t="s">
        <v>67</v>
      </c>
      <c r="D913" s="2">
        <v>28.580500000000001</v>
      </c>
      <c r="E913" s="2">
        <v>4000</v>
      </c>
      <c r="F913" s="2">
        <v>311</v>
      </c>
      <c r="G913" s="2">
        <v>47.4</v>
      </c>
      <c r="H913" s="2" t="s">
        <v>68</v>
      </c>
      <c r="I913" s="4">
        <f t="shared" si="434"/>
        <v>3.3527246671002646</v>
      </c>
      <c r="J913" s="4">
        <f t="shared" si="435"/>
        <v>8.2940496401020276</v>
      </c>
      <c r="K913" s="4">
        <f t="shared" si="436"/>
        <v>5.7397929121792339</v>
      </c>
      <c r="L913" s="2">
        <v>0</v>
      </c>
      <c r="M913" s="2">
        <v>0</v>
      </c>
      <c r="N913" s="4">
        <f t="shared" si="437"/>
        <v>47.4</v>
      </c>
      <c r="O913" s="4">
        <f t="shared" si="438"/>
        <v>0</v>
      </c>
      <c r="P913" s="4">
        <f t="shared" si="439"/>
        <v>0</v>
      </c>
      <c r="Q913" s="4">
        <f t="shared" si="440"/>
        <v>8.2940496401020276</v>
      </c>
      <c r="R913" s="4">
        <f t="shared" si="441"/>
        <v>5.7397929121792339</v>
      </c>
      <c r="S913" s="4">
        <f t="shared" si="442"/>
        <v>47.4</v>
      </c>
      <c r="T913" s="4">
        <f t="shared" si="443"/>
        <v>0</v>
      </c>
      <c r="U913" s="4">
        <f t="shared" si="444"/>
        <v>8.2940496401020276</v>
      </c>
      <c r="V913" s="4">
        <f t="shared" si="445"/>
        <v>5.7397929121792339</v>
      </c>
      <c r="W913" s="4">
        <f t="shared" si="446"/>
        <v>47.4</v>
      </c>
      <c r="X913" s="4">
        <f t="shared" si="447"/>
        <v>0</v>
      </c>
      <c r="Y913" s="4">
        <f t="shared" si="448"/>
        <v>8.2940496401020276</v>
      </c>
      <c r="Z913" s="4">
        <f t="shared" si="449"/>
        <v>5.7397929121792339</v>
      </c>
      <c r="AA913" s="4">
        <f t="shared" si="450"/>
        <v>47.4</v>
      </c>
      <c r="AB913" s="4">
        <f t="shared" si="451"/>
        <v>0</v>
      </c>
      <c r="AC913" s="4">
        <f t="shared" si="452"/>
        <v>0</v>
      </c>
      <c r="AD913" s="4">
        <f t="shared" si="453"/>
        <v>0</v>
      </c>
      <c r="AE913" s="4">
        <f t="shared" si="454"/>
        <v>0</v>
      </c>
      <c r="AF913" s="4">
        <f t="shared" si="455"/>
        <v>0</v>
      </c>
      <c r="AG913" s="4">
        <f t="shared" si="456"/>
        <v>8.2940496401020276</v>
      </c>
      <c r="AH913" s="4">
        <f t="shared" si="457"/>
        <v>0</v>
      </c>
      <c r="AI913" s="4">
        <f t="shared" si="458"/>
        <v>0</v>
      </c>
      <c r="AJ913" s="4">
        <f t="shared" si="459"/>
        <v>8.2940496401020276</v>
      </c>
      <c r="AK913" s="4">
        <f t="shared" si="460"/>
        <v>5.7397929121792339</v>
      </c>
      <c r="AL913" s="4">
        <f t="shared" si="461"/>
        <v>0</v>
      </c>
      <c r="AM913" s="4">
        <f>CER!$C$7+CER!$C$8*J913+CER!$C$9*K913+CER!$C$10*L913+CER!$C$11*M913</f>
        <v>3.3853366848110107</v>
      </c>
      <c r="AN913" s="4">
        <f t="shared" si="462"/>
        <v>29.527932649168886</v>
      </c>
      <c r="AO913" s="4">
        <f t="shared" si="463"/>
        <v>-3.2612017710746066E-2</v>
      </c>
      <c r="AP913" s="4">
        <f>Alternatives!$F$25+Alternatives!$F$26*J913+Alternatives!$F$27*K913+Alternatives!$F$28*G913+Alternatives!$F$29*O913</f>
        <v>3.3699515809291603</v>
      </c>
      <c r="AQ913" s="4">
        <f t="shared" si="464"/>
        <v>-1.7226913828895629E-2</v>
      </c>
    </row>
    <row r="914" spans="1:43" x14ac:dyDescent="0.35">
      <c r="A914" s="2" t="s">
        <v>773</v>
      </c>
      <c r="B914" s="2" t="s">
        <v>693</v>
      </c>
      <c r="C914" s="2" t="s">
        <v>67</v>
      </c>
      <c r="D914" s="2">
        <v>28.580500000000001</v>
      </c>
      <c r="E914" s="2">
        <v>4000</v>
      </c>
      <c r="F914" s="2">
        <v>260</v>
      </c>
      <c r="G914" s="2">
        <v>47.8</v>
      </c>
      <c r="H914" s="2" t="s">
        <v>68</v>
      </c>
      <c r="I914" s="4">
        <f t="shared" si="434"/>
        <v>3.3527246671002646</v>
      </c>
      <c r="J914" s="4">
        <f t="shared" si="435"/>
        <v>8.2940496401020276</v>
      </c>
      <c r="K914" s="4">
        <f t="shared" si="436"/>
        <v>5.5606816310155276</v>
      </c>
      <c r="L914" s="2">
        <v>0</v>
      </c>
      <c r="M914" s="2">
        <v>0</v>
      </c>
      <c r="N914" s="4">
        <f t="shared" si="437"/>
        <v>47.8</v>
      </c>
      <c r="O914" s="4">
        <f t="shared" si="438"/>
        <v>0</v>
      </c>
      <c r="P914" s="4">
        <f t="shared" si="439"/>
        <v>0</v>
      </c>
      <c r="Q914" s="4">
        <f t="shared" si="440"/>
        <v>8.2940496401020276</v>
      </c>
      <c r="R914" s="4">
        <f t="shared" si="441"/>
        <v>5.5606816310155276</v>
      </c>
      <c r="S914" s="4">
        <f t="shared" si="442"/>
        <v>47.8</v>
      </c>
      <c r="T914" s="4">
        <f t="shared" si="443"/>
        <v>0</v>
      </c>
      <c r="U914" s="4">
        <f t="shared" si="444"/>
        <v>8.2940496401020276</v>
      </c>
      <c r="V914" s="4">
        <f t="shared" si="445"/>
        <v>5.5606816310155276</v>
      </c>
      <c r="W914" s="4">
        <f t="shared" si="446"/>
        <v>47.8</v>
      </c>
      <c r="X914" s="4">
        <f t="shared" si="447"/>
        <v>0</v>
      </c>
      <c r="Y914" s="4">
        <f t="shared" si="448"/>
        <v>8.2940496401020276</v>
      </c>
      <c r="Z914" s="4">
        <f t="shared" si="449"/>
        <v>5.5606816310155276</v>
      </c>
      <c r="AA914" s="4">
        <f t="shared" si="450"/>
        <v>47.8</v>
      </c>
      <c r="AB914" s="4">
        <f t="shared" si="451"/>
        <v>0</v>
      </c>
      <c r="AC914" s="4">
        <f t="shared" si="452"/>
        <v>0</v>
      </c>
      <c r="AD914" s="4">
        <f t="shared" si="453"/>
        <v>0</v>
      </c>
      <c r="AE914" s="4">
        <f t="shared" si="454"/>
        <v>0</v>
      </c>
      <c r="AF914" s="4">
        <f t="shared" si="455"/>
        <v>0</v>
      </c>
      <c r="AG914" s="4">
        <f t="shared" si="456"/>
        <v>8.2940496401020276</v>
      </c>
      <c r="AH914" s="4">
        <f t="shared" si="457"/>
        <v>0</v>
      </c>
      <c r="AI914" s="4">
        <f t="shared" si="458"/>
        <v>0</v>
      </c>
      <c r="AJ914" s="4">
        <f t="shared" si="459"/>
        <v>8.2940496401020276</v>
      </c>
      <c r="AK914" s="4">
        <f t="shared" si="460"/>
        <v>5.5606816310155276</v>
      </c>
      <c r="AL914" s="4">
        <f t="shared" si="461"/>
        <v>0</v>
      </c>
      <c r="AM914" s="4">
        <f>CER!$C$7+CER!$C$8*J914+CER!$C$9*K914+CER!$C$10*L914+CER!$C$11*M914</f>
        <v>3.4514186660790958</v>
      </c>
      <c r="AN914" s="4">
        <f t="shared" si="462"/>
        <v>31.54511256084653</v>
      </c>
      <c r="AO914" s="4">
        <f t="shared" si="463"/>
        <v>-9.8693998978831132E-2</v>
      </c>
      <c r="AP914" s="4">
        <f>Alternatives!$F$25+Alternatives!$F$26*J914+Alternatives!$F$27*K914+Alternatives!$F$28*G914+Alternatives!$F$29*O914</f>
        <v>3.4124119523950158</v>
      </c>
      <c r="AQ914" s="4">
        <f t="shared" si="464"/>
        <v>-5.9687285294751202E-2</v>
      </c>
    </row>
    <row r="915" spans="1:43" x14ac:dyDescent="0.35">
      <c r="A915" s="2" t="s">
        <v>774</v>
      </c>
      <c r="B915" s="2" t="s">
        <v>693</v>
      </c>
      <c r="C915" s="2" t="s">
        <v>67</v>
      </c>
      <c r="D915" s="2">
        <v>25.267900000000001</v>
      </c>
      <c r="E915" s="2">
        <v>4000</v>
      </c>
      <c r="F915" s="2">
        <v>472</v>
      </c>
      <c r="G915" s="2">
        <v>47.4</v>
      </c>
      <c r="H915" s="2" t="s">
        <v>68</v>
      </c>
      <c r="I915" s="4">
        <f t="shared" si="434"/>
        <v>3.2295348154538246</v>
      </c>
      <c r="J915" s="4">
        <f t="shared" si="435"/>
        <v>8.2940496401020276</v>
      </c>
      <c r="K915" s="4">
        <f t="shared" si="436"/>
        <v>6.156978985585555</v>
      </c>
      <c r="L915" s="2">
        <v>0</v>
      </c>
      <c r="M915" s="2">
        <v>0</v>
      </c>
      <c r="N915" s="4">
        <f t="shared" si="437"/>
        <v>47.4</v>
      </c>
      <c r="O915" s="4">
        <f t="shared" si="438"/>
        <v>0</v>
      </c>
      <c r="P915" s="4">
        <f t="shared" si="439"/>
        <v>0</v>
      </c>
      <c r="Q915" s="4">
        <f t="shared" si="440"/>
        <v>8.2940496401020276</v>
      </c>
      <c r="R915" s="4">
        <f t="shared" si="441"/>
        <v>6.156978985585555</v>
      </c>
      <c r="S915" s="4">
        <f t="shared" si="442"/>
        <v>47.4</v>
      </c>
      <c r="T915" s="4">
        <f t="shared" si="443"/>
        <v>0</v>
      </c>
      <c r="U915" s="4">
        <f t="shared" si="444"/>
        <v>8.2940496401020276</v>
      </c>
      <c r="V915" s="4">
        <f t="shared" si="445"/>
        <v>6.156978985585555</v>
      </c>
      <c r="W915" s="4">
        <f t="shared" si="446"/>
        <v>47.4</v>
      </c>
      <c r="X915" s="4">
        <f t="shared" si="447"/>
        <v>0</v>
      </c>
      <c r="Y915" s="4">
        <f t="shared" si="448"/>
        <v>8.2940496401020276</v>
      </c>
      <c r="Z915" s="4">
        <f t="shared" si="449"/>
        <v>6.156978985585555</v>
      </c>
      <c r="AA915" s="4">
        <f t="shared" si="450"/>
        <v>47.4</v>
      </c>
      <c r="AB915" s="4">
        <f t="shared" si="451"/>
        <v>0</v>
      </c>
      <c r="AC915" s="4">
        <f t="shared" si="452"/>
        <v>0</v>
      </c>
      <c r="AD915" s="4">
        <f t="shared" si="453"/>
        <v>0</v>
      </c>
      <c r="AE915" s="4">
        <f t="shared" si="454"/>
        <v>0</v>
      </c>
      <c r="AF915" s="4">
        <f t="shared" si="455"/>
        <v>0</v>
      </c>
      <c r="AG915" s="4">
        <f t="shared" si="456"/>
        <v>8.2940496401020276</v>
      </c>
      <c r="AH915" s="4">
        <f t="shared" si="457"/>
        <v>0</v>
      </c>
      <c r="AI915" s="4">
        <f t="shared" si="458"/>
        <v>0</v>
      </c>
      <c r="AJ915" s="4">
        <f t="shared" si="459"/>
        <v>8.2940496401020276</v>
      </c>
      <c r="AK915" s="4">
        <f t="shared" si="460"/>
        <v>6.156978985585555</v>
      </c>
      <c r="AL915" s="4">
        <f t="shared" si="461"/>
        <v>0</v>
      </c>
      <c r="AM915" s="4">
        <f>CER!$C$7+CER!$C$8*J915+CER!$C$9*K915+CER!$C$10*L915+CER!$C$11*M915</f>
        <v>3.2314185055147271</v>
      </c>
      <c r="AN915" s="4">
        <f t="shared" si="462"/>
        <v>25.315541749147336</v>
      </c>
      <c r="AO915" s="4">
        <f t="shared" si="463"/>
        <v>-1.8836900609024987E-3</v>
      </c>
      <c r="AP915" s="4">
        <f>Alternatives!$F$25+Alternatives!$F$26*J915+Alternatives!$F$27*K915+Alternatives!$F$28*G915+Alternatives!$F$29*O915</f>
        <v>3.2589342083226125</v>
      </c>
      <c r="AQ915" s="4">
        <f t="shared" si="464"/>
        <v>-2.9399392868787899E-2</v>
      </c>
    </row>
    <row r="916" spans="1:43" x14ac:dyDescent="0.35">
      <c r="A916" s="2" t="s">
        <v>775</v>
      </c>
      <c r="B916" s="2" t="s">
        <v>693</v>
      </c>
      <c r="C916" s="2" t="s">
        <v>67</v>
      </c>
      <c r="D916" s="2">
        <v>24.707000000000001</v>
      </c>
      <c r="E916" s="2">
        <v>4000</v>
      </c>
      <c r="F916" s="2">
        <v>472</v>
      </c>
      <c r="G916" s="2">
        <v>45.8</v>
      </c>
      <c r="H916" s="2" t="s">
        <v>68</v>
      </c>
      <c r="I916" s="4">
        <f t="shared" si="434"/>
        <v>3.2070866042932242</v>
      </c>
      <c r="J916" s="4">
        <f t="shared" si="435"/>
        <v>8.2940496401020276</v>
      </c>
      <c r="K916" s="4">
        <f t="shared" si="436"/>
        <v>6.156978985585555</v>
      </c>
      <c r="L916" s="2">
        <v>0</v>
      </c>
      <c r="M916" s="2">
        <v>0</v>
      </c>
      <c r="N916" s="4">
        <f t="shared" si="437"/>
        <v>45.8</v>
      </c>
      <c r="O916" s="4">
        <f t="shared" si="438"/>
        <v>0</v>
      </c>
      <c r="P916" s="4">
        <f t="shared" si="439"/>
        <v>0</v>
      </c>
      <c r="Q916" s="4">
        <f t="shared" si="440"/>
        <v>8.2940496401020276</v>
      </c>
      <c r="R916" s="4">
        <f t="shared" si="441"/>
        <v>6.156978985585555</v>
      </c>
      <c r="S916" s="4">
        <f t="shared" si="442"/>
        <v>45.8</v>
      </c>
      <c r="T916" s="4">
        <f t="shared" si="443"/>
        <v>0</v>
      </c>
      <c r="U916" s="4">
        <f t="shared" si="444"/>
        <v>8.2940496401020276</v>
      </c>
      <c r="V916" s="4">
        <f t="shared" si="445"/>
        <v>6.156978985585555</v>
      </c>
      <c r="W916" s="4">
        <f t="shared" si="446"/>
        <v>45.8</v>
      </c>
      <c r="X916" s="4">
        <f t="shared" si="447"/>
        <v>0</v>
      </c>
      <c r="Y916" s="4">
        <f t="shared" si="448"/>
        <v>8.2940496401020276</v>
      </c>
      <c r="Z916" s="4">
        <f t="shared" si="449"/>
        <v>6.156978985585555</v>
      </c>
      <c r="AA916" s="4">
        <f t="shared" si="450"/>
        <v>45.8</v>
      </c>
      <c r="AB916" s="4">
        <f t="shared" si="451"/>
        <v>0</v>
      </c>
      <c r="AC916" s="4">
        <f t="shared" si="452"/>
        <v>0</v>
      </c>
      <c r="AD916" s="4">
        <f t="shared" si="453"/>
        <v>0</v>
      </c>
      <c r="AE916" s="4">
        <f t="shared" si="454"/>
        <v>0</v>
      </c>
      <c r="AF916" s="4">
        <f t="shared" si="455"/>
        <v>0</v>
      </c>
      <c r="AG916" s="4">
        <f t="shared" si="456"/>
        <v>8.2940496401020276</v>
      </c>
      <c r="AH916" s="4">
        <f t="shared" si="457"/>
        <v>0</v>
      </c>
      <c r="AI916" s="4">
        <f t="shared" si="458"/>
        <v>0</v>
      </c>
      <c r="AJ916" s="4">
        <f t="shared" si="459"/>
        <v>8.2940496401020276</v>
      </c>
      <c r="AK916" s="4">
        <f t="shared" si="460"/>
        <v>6.156978985585555</v>
      </c>
      <c r="AL916" s="4">
        <f t="shared" si="461"/>
        <v>0</v>
      </c>
      <c r="AM916" s="4">
        <f>CER!$C$7+CER!$C$8*J916+CER!$C$9*K916+CER!$C$10*L916+CER!$C$11*M916</f>
        <v>3.2314185055147271</v>
      </c>
      <c r="AN916" s="4">
        <f t="shared" si="462"/>
        <v>25.315541749147336</v>
      </c>
      <c r="AO916" s="4">
        <f t="shared" si="463"/>
        <v>-2.4331901221502861E-2</v>
      </c>
      <c r="AP916" s="4">
        <f>Alternatives!$F$25+Alternatives!$F$26*J916+Alternatives!$F$27*K916+Alternatives!$F$28*G916+Alternatives!$F$29*O916</f>
        <v>3.2797459115901777</v>
      </c>
      <c r="AQ916" s="4">
        <f t="shared" si="464"/>
        <v>-7.2659307296953468E-2</v>
      </c>
    </row>
    <row r="917" spans="1:43" x14ac:dyDescent="0.35">
      <c r="A917" s="2" t="s">
        <v>776</v>
      </c>
      <c r="B917" s="2" t="s">
        <v>693</v>
      </c>
      <c r="C917" s="2" t="s">
        <v>67</v>
      </c>
      <c r="D917" s="2">
        <v>30.980699999999999</v>
      </c>
      <c r="E917" s="2">
        <v>4500</v>
      </c>
      <c r="F917" s="2">
        <v>275</v>
      </c>
      <c r="G917" s="2">
        <v>54.2</v>
      </c>
      <c r="H917" s="2" t="s">
        <v>68</v>
      </c>
      <c r="I917" s="4">
        <f t="shared" si="434"/>
        <v>3.4333644299561787</v>
      </c>
      <c r="J917" s="4">
        <f t="shared" si="435"/>
        <v>8.4118326757584114</v>
      </c>
      <c r="K917" s="4">
        <f t="shared" si="436"/>
        <v>5.6167710976665717</v>
      </c>
      <c r="L917" s="2">
        <v>0</v>
      </c>
      <c r="M917" s="2">
        <v>0</v>
      </c>
      <c r="N917" s="4">
        <f t="shared" si="437"/>
        <v>54.2</v>
      </c>
      <c r="O917" s="4">
        <f t="shared" si="438"/>
        <v>0</v>
      </c>
      <c r="P917" s="4">
        <f t="shared" si="439"/>
        <v>0</v>
      </c>
      <c r="Q917" s="4">
        <f t="shared" si="440"/>
        <v>8.4118326757584114</v>
      </c>
      <c r="R917" s="4">
        <f t="shared" si="441"/>
        <v>5.6167710976665717</v>
      </c>
      <c r="S917" s="4">
        <f t="shared" si="442"/>
        <v>54.2</v>
      </c>
      <c r="T917" s="4">
        <f t="shared" si="443"/>
        <v>0</v>
      </c>
      <c r="U917" s="4">
        <f t="shared" si="444"/>
        <v>8.4118326757584114</v>
      </c>
      <c r="V917" s="4">
        <f t="shared" si="445"/>
        <v>5.6167710976665717</v>
      </c>
      <c r="W917" s="4">
        <f t="shared" si="446"/>
        <v>54.2</v>
      </c>
      <c r="X917" s="4">
        <f t="shared" si="447"/>
        <v>0</v>
      </c>
      <c r="Y917" s="4">
        <f t="shared" si="448"/>
        <v>8.4118326757584114</v>
      </c>
      <c r="Z917" s="4">
        <f t="shared" si="449"/>
        <v>5.6167710976665717</v>
      </c>
      <c r="AA917" s="4">
        <f t="shared" si="450"/>
        <v>54.2</v>
      </c>
      <c r="AB917" s="4">
        <f t="shared" si="451"/>
        <v>0</v>
      </c>
      <c r="AC917" s="4">
        <f t="shared" si="452"/>
        <v>0</v>
      </c>
      <c r="AD917" s="4">
        <f t="shared" si="453"/>
        <v>0</v>
      </c>
      <c r="AE917" s="4">
        <f t="shared" si="454"/>
        <v>0</v>
      </c>
      <c r="AF917" s="4">
        <f t="shared" si="455"/>
        <v>0</v>
      </c>
      <c r="AG917" s="4">
        <f t="shared" si="456"/>
        <v>8.4118326757584114</v>
      </c>
      <c r="AH917" s="4">
        <f t="shared" si="457"/>
        <v>0</v>
      </c>
      <c r="AI917" s="4">
        <f t="shared" si="458"/>
        <v>0</v>
      </c>
      <c r="AJ917" s="4">
        <f t="shared" si="459"/>
        <v>8.4118326757584114</v>
      </c>
      <c r="AK917" s="4">
        <f t="shared" si="460"/>
        <v>5.6167710976665717</v>
      </c>
      <c r="AL917" s="4">
        <f t="shared" si="461"/>
        <v>0</v>
      </c>
      <c r="AM917" s="4">
        <f>CER!$C$7+CER!$C$8*J917+CER!$C$9*K917+CER!$C$10*L917+CER!$C$11*M917</f>
        <v>3.3774033555652183</v>
      </c>
      <c r="AN917" s="4">
        <f t="shared" si="462"/>
        <v>29.294604595411702</v>
      </c>
      <c r="AO917" s="4">
        <f t="shared" si="463"/>
        <v>5.596107439096043E-2</v>
      </c>
      <c r="AP917" s="4">
        <f>Alternatives!$F$25+Alternatives!$F$26*J917+Alternatives!$F$27*K917+Alternatives!$F$28*G917+Alternatives!$F$29*O917</f>
        <v>3.3578290231079633</v>
      </c>
      <c r="AQ917" s="4">
        <f t="shared" si="464"/>
        <v>7.5535406848215469E-2</v>
      </c>
    </row>
    <row r="918" spans="1:43" x14ac:dyDescent="0.35">
      <c r="A918" s="2" t="s">
        <v>777</v>
      </c>
      <c r="B918" s="2" t="s">
        <v>693</v>
      </c>
      <c r="C918" s="2" t="s">
        <v>67</v>
      </c>
      <c r="D918" s="2">
        <v>29.996300000000002</v>
      </c>
      <c r="E918" s="2">
        <v>5000</v>
      </c>
      <c r="F918" s="2">
        <v>275</v>
      </c>
      <c r="G918" s="2">
        <v>54.2</v>
      </c>
      <c r="H918" s="2" t="s">
        <v>68</v>
      </c>
      <c r="I918" s="4">
        <f t="shared" si="434"/>
        <v>3.4010740407226412</v>
      </c>
      <c r="J918" s="4">
        <f t="shared" si="435"/>
        <v>8.5171931914162382</v>
      </c>
      <c r="K918" s="4">
        <f t="shared" si="436"/>
        <v>5.6167710976665717</v>
      </c>
      <c r="L918" s="2">
        <v>0</v>
      </c>
      <c r="M918" s="2">
        <v>0</v>
      </c>
      <c r="N918" s="4">
        <f t="shared" si="437"/>
        <v>54.2</v>
      </c>
      <c r="O918" s="4">
        <f t="shared" si="438"/>
        <v>0</v>
      </c>
      <c r="P918" s="4">
        <f t="shared" si="439"/>
        <v>0</v>
      </c>
      <c r="Q918" s="4">
        <f t="shared" si="440"/>
        <v>8.5171931914162382</v>
      </c>
      <c r="R918" s="4">
        <f t="shared" si="441"/>
        <v>5.6167710976665717</v>
      </c>
      <c r="S918" s="4">
        <f t="shared" si="442"/>
        <v>54.2</v>
      </c>
      <c r="T918" s="4">
        <f t="shared" si="443"/>
        <v>0</v>
      </c>
      <c r="U918" s="4">
        <f t="shared" si="444"/>
        <v>8.5171931914162382</v>
      </c>
      <c r="V918" s="4">
        <f t="shared" si="445"/>
        <v>5.6167710976665717</v>
      </c>
      <c r="W918" s="4">
        <f t="shared" si="446"/>
        <v>54.2</v>
      </c>
      <c r="X918" s="4">
        <f t="shared" si="447"/>
        <v>0</v>
      </c>
      <c r="Y918" s="4">
        <f t="shared" si="448"/>
        <v>8.5171931914162382</v>
      </c>
      <c r="Z918" s="4">
        <f t="shared" si="449"/>
        <v>5.6167710976665717</v>
      </c>
      <c r="AA918" s="4">
        <f t="shared" si="450"/>
        <v>54.2</v>
      </c>
      <c r="AB918" s="4">
        <f t="shared" si="451"/>
        <v>0</v>
      </c>
      <c r="AC918" s="4">
        <f t="shared" si="452"/>
        <v>0</v>
      </c>
      <c r="AD918" s="4">
        <f t="shared" si="453"/>
        <v>0</v>
      </c>
      <c r="AE918" s="4">
        <f t="shared" si="454"/>
        <v>0</v>
      </c>
      <c r="AF918" s="4">
        <f t="shared" si="455"/>
        <v>0</v>
      </c>
      <c r="AG918" s="4">
        <f t="shared" si="456"/>
        <v>8.5171931914162382</v>
      </c>
      <c r="AH918" s="4">
        <f t="shared" si="457"/>
        <v>0</v>
      </c>
      <c r="AI918" s="4">
        <f t="shared" si="458"/>
        <v>0</v>
      </c>
      <c r="AJ918" s="4">
        <f t="shared" si="459"/>
        <v>8.5171931914162382</v>
      </c>
      <c r="AK918" s="4">
        <f t="shared" si="460"/>
        <v>5.6167710976665717</v>
      </c>
      <c r="AL918" s="4">
        <f t="shared" si="461"/>
        <v>0</v>
      </c>
      <c r="AM918" s="4">
        <f>CER!$C$7+CER!$C$8*J918+CER!$C$9*K918+CER!$C$10*L918+CER!$C$11*M918</f>
        <v>3.3297056892784935</v>
      </c>
      <c r="AN918" s="4">
        <f t="shared" si="462"/>
        <v>27.930120359606263</v>
      </c>
      <c r="AO918" s="4">
        <f t="shared" si="463"/>
        <v>7.136835144414766E-2</v>
      </c>
      <c r="AP918" s="4">
        <f>Alternatives!$F$25+Alternatives!$F$26*J918+Alternatives!$F$27*K918+Alternatives!$F$28*G918+Alternatives!$F$29*O918</f>
        <v>3.3968214725976944</v>
      </c>
      <c r="AQ918" s="4">
        <f t="shared" si="464"/>
        <v>4.2525681249467873E-3</v>
      </c>
    </row>
    <row r="919" spans="1:43" x14ac:dyDescent="0.35">
      <c r="A919" s="2" t="s">
        <v>778</v>
      </c>
      <c r="B919" s="2" t="s">
        <v>693</v>
      </c>
      <c r="C919" s="2" t="s">
        <v>33</v>
      </c>
      <c r="D919" s="2">
        <v>36.991599999999998</v>
      </c>
      <c r="E919" s="2">
        <v>5000</v>
      </c>
      <c r="F919" s="2">
        <v>271</v>
      </c>
      <c r="G919" s="2">
        <v>54.5</v>
      </c>
      <c r="H919" s="2" t="s">
        <v>68</v>
      </c>
      <c r="I919" s="4">
        <f t="shared" si="434"/>
        <v>3.6106908598426606</v>
      </c>
      <c r="J919" s="4">
        <f t="shared" si="435"/>
        <v>8.5171931914162382</v>
      </c>
      <c r="K919" s="4">
        <f t="shared" si="436"/>
        <v>5.602118820879701</v>
      </c>
      <c r="L919" s="2">
        <v>1</v>
      </c>
      <c r="M919" s="2">
        <v>0</v>
      </c>
      <c r="N919" s="4">
        <f t="shared" si="437"/>
        <v>54.5</v>
      </c>
      <c r="O919" s="4">
        <f t="shared" si="438"/>
        <v>1</v>
      </c>
      <c r="P919" s="4">
        <f t="shared" si="439"/>
        <v>1</v>
      </c>
      <c r="Q919" s="4">
        <f t="shared" si="440"/>
        <v>8.5171931914162382</v>
      </c>
      <c r="R919" s="4">
        <f t="shared" si="441"/>
        <v>5.602118820879701</v>
      </c>
      <c r="S919" s="4">
        <f t="shared" si="442"/>
        <v>54.5</v>
      </c>
      <c r="T919" s="4">
        <f t="shared" si="443"/>
        <v>1</v>
      </c>
      <c r="U919" s="4">
        <f t="shared" si="444"/>
        <v>8.5171931914162382</v>
      </c>
      <c r="V919" s="4">
        <f t="shared" si="445"/>
        <v>5.602118820879701</v>
      </c>
      <c r="W919" s="4">
        <f t="shared" si="446"/>
        <v>54.5</v>
      </c>
      <c r="X919" s="4">
        <f t="shared" si="447"/>
        <v>1</v>
      </c>
      <c r="Y919" s="4">
        <f t="shared" si="448"/>
        <v>8.5171931914162382</v>
      </c>
      <c r="Z919" s="4">
        <f t="shared" si="449"/>
        <v>5.602118820879701</v>
      </c>
      <c r="AA919" s="4">
        <f t="shared" si="450"/>
        <v>54.5</v>
      </c>
      <c r="AB919" s="4">
        <f t="shared" si="451"/>
        <v>1</v>
      </c>
      <c r="AC919" s="4">
        <f t="shared" si="452"/>
        <v>0</v>
      </c>
      <c r="AD919" s="4">
        <f t="shared" si="453"/>
        <v>0</v>
      </c>
      <c r="AE919" s="4">
        <f t="shared" si="454"/>
        <v>0</v>
      </c>
      <c r="AF919" s="4">
        <f t="shared" si="455"/>
        <v>0</v>
      </c>
      <c r="AG919" s="4">
        <f t="shared" si="456"/>
        <v>8.5171931914162382</v>
      </c>
      <c r="AH919" s="4">
        <f t="shared" si="457"/>
        <v>1</v>
      </c>
      <c r="AI919" s="4">
        <f t="shared" si="458"/>
        <v>0</v>
      </c>
      <c r="AJ919" s="4">
        <f t="shared" si="459"/>
        <v>8.5171931914162382</v>
      </c>
      <c r="AK919" s="4">
        <f t="shared" si="460"/>
        <v>5.602118820879701</v>
      </c>
      <c r="AL919" s="4">
        <f t="shared" si="461"/>
        <v>0</v>
      </c>
      <c r="AM919" s="4">
        <f>CER!$C$7+CER!$C$8*J919+CER!$C$9*K919+CER!$C$10*L919+CER!$C$11*M919</f>
        <v>3.5588651246620806</v>
      </c>
      <c r="AN919" s="4">
        <f t="shared" si="462"/>
        <v>35.123313935380395</v>
      </c>
      <c r="AO919" s="4">
        <f t="shared" si="463"/>
        <v>5.1825735180579979E-2</v>
      </c>
      <c r="AP919" s="4">
        <f>Alternatives!$F$25+Alternatives!$F$26*J919+Alternatives!$F$27*K919+Alternatives!$F$28*G919+Alternatives!$F$29*O919</f>
        <v>4.2415583240490804</v>
      </c>
      <c r="AQ919" s="4">
        <f t="shared" si="464"/>
        <v>-0.63086746420641981</v>
      </c>
    </row>
    <row r="920" spans="1:43" x14ac:dyDescent="0.35">
      <c r="A920" s="2" t="s">
        <v>779</v>
      </c>
      <c r="B920" s="2" t="s">
        <v>693</v>
      </c>
      <c r="C920" s="2" t="s">
        <v>33</v>
      </c>
      <c r="D920" s="2">
        <v>39.489699999999999</v>
      </c>
      <c r="E920" s="2">
        <v>5500</v>
      </c>
      <c r="F920" s="2">
        <v>259</v>
      </c>
      <c r="G920" s="2">
        <v>54.5</v>
      </c>
      <c r="H920" s="2" t="s">
        <v>68</v>
      </c>
      <c r="I920" s="4">
        <f t="shared" si="434"/>
        <v>3.6760398784097372</v>
      </c>
      <c r="J920" s="4">
        <f t="shared" si="435"/>
        <v>8.6125033712205621</v>
      </c>
      <c r="K920" s="4">
        <f t="shared" si="436"/>
        <v>5.5568280616995374</v>
      </c>
      <c r="L920" s="2">
        <v>1</v>
      </c>
      <c r="M920" s="2">
        <v>0</v>
      </c>
      <c r="N920" s="4">
        <f t="shared" si="437"/>
        <v>54.5</v>
      </c>
      <c r="O920" s="4">
        <f t="shared" si="438"/>
        <v>1</v>
      </c>
      <c r="P920" s="4">
        <f t="shared" si="439"/>
        <v>1</v>
      </c>
      <c r="Q920" s="4">
        <f t="shared" si="440"/>
        <v>8.6125033712205621</v>
      </c>
      <c r="R920" s="4">
        <f t="shared" si="441"/>
        <v>5.5568280616995374</v>
      </c>
      <c r="S920" s="4">
        <f t="shared" si="442"/>
        <v>54.5</v>
      </c>
      <c r="T920" s="4">
        <f t="shared" si="443"/>
        <v>1</v>
      </c>
      <c r="U920" s="4">
        <f t="shared" si="444"/>
        <v>8.6125033712205621</v>
      </c>
      <c r="V920" s="4">
        <f t="shared" si="445"/>
        <v>5.5568280616995374</v>
      </c>
      <c r="W920" s="4">
        <f t="shared" si="446"/>
        <v>54.5</v>
      </c>
      <c r="X920" s="4">
        <f t="shared" si="447"/>
        <v>1</v>
      </c>
      <c r="Y920" s="4">
        <f t="shared" si="448"/>
        <v>8.6125033712205621</v>
      </c>
      <c r="Z920" s="4">
        <f t="shared" si="449"/>
        <v>5.5568280616995374</v>
      </c>
      <c r="AA920" s="4">
        <f t="shared" si="450"/>
        <v>54.5</v>
      </c>
      <c r="AB920" s="4">
        <f t="shared" si="451"/>
        <v>1</v>
      </c>
      <c r="AC920" s="4">
        <f t="shared" si="452"/>
        <v>0</v>
      </c>
      <c r="AD920" s="4">
        <f t="shared" si="453"/>
        <v>0</v>
      </c>
      <c r="AE920" s="4">
        <f t="shared" si="454"/>
        <v>0</v>
      </c>
      <c r="AF920" s="4">
        <f t="shared" si="455"/>
        <v>0</v>
      </c>
      <c r="AG920" s="4">
        <f t="shared" si="456"/>
        <v>8.6125033712205621</v>
      </c>
      <c r="AH920" s="4">
        <f t="shared" si="457"/>
        <v>1</v>
      </c>
      <c r="AI920" s="4">
        <f t="shared" si="458"/>
        <v>0</v>
      </c>
      <c r="AJ920" s="4">
        <f t="shared" si="459"/>
        <v>8.6125033712205621</v>
      </c>
      <c r="AK920" s="4">
        <f t="shared" si="460"/>
        <v>5.5568280616995374</v>
      </c>
      <c r="AL920" s="4">
        <f t="shared" si="461"/>
        <v>0</v>
      </c>
      <c r="AM920" s="4">
        <f>CER!$C$7+CER!$C$8*J920+CER!$C$9*K920+CER!$C$10*L920+CER!$C$11*M920</f>
        <v>3.5324270779673381</v>
      </c>
      <c r="AN920" s="4">
        <f t="shared" si="462"/>
        <v>34.206889733227847</v>
      </c>
      <c r="AO920" s="4">
        <f t="shared" si="463"/>
        <v>0.1436128004423991</v>
      </c>
      <c r="AP920" s="4">
        <f>Alternatives!$F$25+Alternatives!$F$26*J920+Alternatives!$F$27*K920+Alternatives!$F$28*G920+Alternatives!$F$29*O920</f>
        <v>4.2888836076363344</v>
      </c>
      <c r="AQ920" s="4">
        <f t="shared" si="464"/>
        <v>-0.61284372922659713</v>
      </c>
    </row>
    <row r="921" spans="1:43" x14ac:dyDescent="0.35">
      <c r="A921" s="2" t="s">
        <v>780</v>
      </c>
      <c r="B921" s="2" t="s">
        <v>693</v>
      </c>
      <c r="C921" s="2" t="s">
        <v>67</v>
      </c>
      <c r="D921" s="2">
        <v>24.033300000000001</v>
      </c>
      <c r="E921" s="2">
        <v>6000</v>
      </c>
      <c r="F921" s="2">
        <v>409</v>
      </c>
      <c r="G921" s="2">
        <v>51.4</v>
      </c>
      <c r="H921" s="2" t="s">
        <v>68</v>
      </c>
      <c r="I921" s="4">
        <f t="shared" si="434"/>
        <v>3.17944036865928</v>
      </c>
      <c r="J921" s="4">
        <f t="shared" si="435"/>
        <v>8.6995147482101913</v>
      </c>
      <c r="K921" s="4">
        <f t="shared" si="436"/>
        <v>6.0137151560428022</v>
      </c>
      <c r="L921" s="2">
        <v>0</v>
      </c>
      <c r="M921" s="2">
        <v>0</v>
      </c>
      <c r="N921" s="4">
        <f t="shared" si="437"/>
        <v>51.4</v>
      </c>
      <c r="O921" s="4">
        <f t="shared" si="438"/>
        <v>0</v>
      </c>
      <c r="P921" s="4">
        <f t="shared" si="439"/>
        <v>0</v>
      </c>
      <c r="Q921" s="4">
        <f t="shared" si="440"/>
        <v>8.6995147482101913</v>
      </c>
      <c r="R921" s="4">
        <f t="shared" si="441"/>
        <v>6.0137151560428022</v>
      </c>
      <c r="S921" s="4">
        <f t="shared" si="442"/>
        <v>51.4</v>
      </c>
      <c r="T921" s="4">
        <f t="shared" si="443"/>
        <v>0</v>
      </c>
      <c r="U921" s="4">
        <f t="shared" si="444"/>
        <v>8.6995147482101913</v>
      </c>
      <c r="V921" s="4">
        <f t="shared" si="445"/>
        <v>6.0137151560428022</v>
      </c>
      <c r="W921" s="4">
        <f t="shared" si="446"/>
        <v>51.4</v>
      </c>
      <c r="X921" s="4">
        <f t="shared" si="447"/>
        <v>0</v>
      </c>
      <c r="Y921" s="4">
        <f t="shared" si="448"/>
        <v>8.6995147482101913</v>
      </c>
      <c r="Z921" s="4">
        <f t="shared" si="449"/>
        <v>6.0137151560428022</v>
      </c>
      <c r="AA921" s="4">
        <f t="shared" si="450"/>
        <v>51.4</v>
      </c>
      <c r="AB921" s="4">
        <f t="shared" si="451"/>
        <v>0</v>
      </c>
      <c r="AC921" s="4">
        <f t="shared" si="452"/>
        <v>0</v>
      </c>
      <c r="AD921" s="4">
        <f t="shared" si="453"/>
        <v>0</v>
      </c>
      <c r="AE921" s="4">
        <f t="shared" si="454"/>
        <v>0</v>
      </c>
      <c r="AF921" s="4">
        <f t="shared" si="455"/>
        <v>0</v>
      </c>
      <c r="AG921" s="4">
        <f t="shared" si="456"/>
        <v>8.6995147482101913</v>
      </c>
      <c r="AH921" s="4">
        <f t="shared" si="457"/>
        <v>0</v>
      </c>
      <c r="AI921" s="4">
        <f t="shared" si="458"/>
        <v>0</v>
      </c>
      <c r="AJ921" s="4">
        <f t="shared" si="459"/>
        <v>8.6995147482101913</v>
      </c>
      <c r="AK921" s="4">
        <f t="shared" si="460"/>
        <v>6.0137151560428022</v>
      </c>
      <c r="AL921" s="4">
        <f t="shared" si="461"/>
        <v>0</v>
      </c>
      <c r="AM921" s="4">
        <f>CER!$C$7+CER!$C$8*J921+CER!$C$9*K921+CER!$C$10*L921+CER!$C$11*M921</f>
        <v>3.1007170427186628</v>
      </c>
      <c r="AN921" s="4">
        <f t="shared" si="462"/>
        <v>22.213873868682626</v>
      </c>
      <c r="AO921" s="4">
        <f t="shared" si="463"/>
        <v>7.8723325940617261E-2</v>
      </c>
      <c r="AP921" s="4">
        <f>Alternatives!$F$25+Alternatives!$F$26*J921+Alternatives!$F$27*K921+Alternatives!$F$28*G921+Alternatives!$F$29*O921</f>
        <v>3.3950858343532104</v>
      </c>
      <c r="AQ921" s="4">
        <f t="shared" si="464"/>
        <v>-0.21564546569393039</v>
      </c>
    </row>
    <row r="922" spans="1:43" x14ac:dyDescent="0.35">
      <c r="A922" s="2" t="s">
        <v>781</v>
      </c>
      <c r="B922" s="2" t="s">
        <v>693</v>
      </c>
      <c r="C922" s="2" t="s">
        <v>67</v>
      </c>
      <c r="D922" s="2">
        <v>22.541499999999999</v>
      </c>
      <c r="E922" s="2">
        <v>6000</v>
      </c>
      <c r="F922" s="2">
        <v>349</v>
      </c>
      <c r="G922" s="2">
        <v>51.1</v>
      </c>
      <c r="H922" s="2" t="s">
        <v>68</v>
      </c>
      <c r="I922" s="4">
        <f t="shared" si="434"/>
        <v>3.1153580547558604</v>
      </c>
      <c r="J922" s="4">
        <f t="shared" si="435"/>
        <v>8.6995147482101913</v>
      </c>
      <c r="K922" s="4">
        <f t="shared" si="436"/>
        <v>5.855071922202427</v>
      </c>
      <c r="L922" s="2">
        <v>0</v>
      </c>
      <c r="M922" s="2">
        <v>0</v>
      </c>
      <c r="N922" s="4">
        <f t="shared" si="437"/>
        <v>51.1</v>
      </c>
      <c r="O922" s="4">
        <f t="shared" si="438"/>
        <v>0</v>
      </c>
      <c r="P922" s="4">
        <f t="shared" si="439"/>
        <v>0</v>
      </c>
      <c r="Q922" s="4">
        <f t="shared" si="440"/>
        <v>8.6995147482101913</v>
      </c>
      <c r="R922" s="4">
        <f t="shared" si="441"/>
        <v>5.855071922202427</v>
      </c>
      <c r="S922" s="4">
        <f t="shared" si="442"/>
        <v>51.1</v>
      </c>
      <c r="T922" s="4">
        <f t="shared" si="443"/>
        <v>0</v>
      </c>
      <c r="U922" s="4">
        <f t="shared" si="444"/>
        <v>8.6995147482101913</v>
      </c>
      <c r="V922" s="4">
        <f t="shared" si="445"/>
        <v>5.855071922202427</v>
      </c>
      <c r="W922" s="4">
        <f t="shared" si="446"/>
        <v>51.1</v>
      </c>
      <c r="X922" s="4">
        <f t="shared" si="447"/>
        <v>0</v>
      </c>
      <c r="Y922" s="4">
        <f t="shared" si="448"/>
        <v>8.6995147482101913</v>
      </c>
      <c r="Z922" s="4">
        <f t="shared" si="449"/>
        <v>5.855071922202427</v>
      </c>
      <c r="AA922" s="4">
        <f t="shared" si="450"/>
        <v>51.1</v>
      </c>
      <c r="AB922" s="4">
        <f t="shared" si="451"/>
        <v>0</v>
      </c>
      <c r="AC922" s="4">
        <f t="shared" si="452"/>
        <v>0</v>
      </c>
      <c r="AD922" s="4">
        <f t="shared" si="453"/>
        <v>0</v>
      </c>
      <c r="AE922" s="4">
        <f t="shared" si="454"/>
        <v>0</v>
      </c>
      <c r="AF922" s="4">
        <f t="shared" si="455"/>
        <v>0</v>
      </c>
      <c r="AG922" s="4">
        <f t="shared" si="456"/>
        <v>8.6995147482101913</v>
      </c>
      <c r="AH922" s="4">
        <f t="shared" si="457"/>
        <v>0</v>
      </c>
      <c r="AI922" s="4">
        <f t="shared" si="458"/>
        <v>0</v>
      </c>
      <c r="AJ922" s="4">
        <f t="shared" si="459"/>
        <v>8.6995147482101913</v>
      </c>
      <c r="AK922" s="4">
        <f t="shared" si="460"/>
        <v>5.855071922202427</v>
      </c>
      <c r="AL922" s="4">
        <f t="shared" si="461"/>
        <v>0</v>
      </c>
      <c r="AM922" s="4">
        <f>CER!$C$7+CER!$C$8*J922+CER!$C$9*K922+CER!$C$10*L922+CER!$C$11*M922</f>
        <v>3.1592474665916646</v>
      </c>
      <c r="AN922" s="4">
        <f t="shared" si="462"/>
        <v>23.552864940594485</v>
      </c>
      <c r="AO922" s="4">
        <f t="shared" si="463"/>
        <v>-4.3889411835804193E-2</v>
      </c>
      <c r="AP922" s="4">
        <f>Alternatives!$F$25+Alternatives!$F$26*J922+Alternatives!$F$27*K922+Alternatives!$F$28*G922+Alternatives!$F$29*O922</f>
        <v>3.4412045745822395</v>
      </c>
      <c r="AQ922" s="4">
        <f t="shared" si="464"/>
        <v>-0.32584651982637913</v>
      </c>
    </row>
    <row r="923" spans="1:43" x14ac:dyDescent="0.35">
      <c r="A923" s="2" t="s">
        <v>782</v>
      </c>
      <c r="B923" s="2" t="s">
        <v>693</v>
      </c>
      <c r="C923" s="2" t="s">
        <v>67</v>
      </c>
      <c r="D923" s="2">
        <v>33.060499999999998</v>
      </c>
      <c r="E923" s="2">
        <v>4500</v>
      </c>
      <c r="F923" s="2">
        <v>275</v>
      </c>
      <c r="G923" s="2">
        <v>50.9</v>
      </c>
      <c r="H923" s="2" t="s">
        <v>68</v>
      </c>
      <c r="I923" s="4">
        <f t="shared" si="434"/>
        <v>3.4983392162954501</v>
      </c>
      <c r="J923" s="4">
        <f t="shared" si="435"/>
        <v>8.4118326757584114</v>
      </c>
      <c r="K923" s="4">
        <f t="shared" si="436"/>
        <v>5.6167710976665717</v>
      </c>
      <c r="L923" s="2">
        <v>0</v>
      </c>
      <c r="M923" s="2">
        <v>0</v>
      </c>
      <c r="N923" s="4">
        <f t="shared" si="437"/>
        <v>50.9</v>
      </c>
      <c r="O923" s="4">
        <f t="shared" si="438"/>
        <v>0</v>
      </c>
      <c r="P923" s="4">
        <f t="shared" si="439"/>
        <v>0</v>
      </c>
      <c r="Q923" s="4">
        <f t="shared" si="440"/>
        <v>8.4118326757584114</v>
      </c>
      <c r="R923" s="4">
        <f t="shared" si="441"/>
        <v>5.6167710976665717</v>
      </c>
      <c r="S923" s="4">
        <f t="shared" si="442"/>
        <v>50.9</v>
      </c>
      <c r="T923" s="4">
        <f t="shared" si="443"/>
        <v>0</v>
      </c>
      <c r="U923" s="4">
        <f t="shared" si="444"/>
        <v>8.4118326757584114</v>
      </c>
      <c r="V923" s="4">
        <f t="shared" si="445"/>
        <v>5.6167710976665717</v>
      </c>
      <c r="W923" s="4">
        <f t="shared" si="446"/>
        <v>50.9</v>
      </c>
      <c r="X923" s="4">
        <f t="shared" si="447"/>
        <v>0</v>
      </c>
      <c r="Y923" s="4">
        <f t="shared" si="448"/>
        <v>8.4118326757584114</v>
      </c>
      <c r="Z923" s="4">
        <f t="shared" si="449"/>
        <v>5.6167710976665717</v>
      </c>
      <c r="AA923" s="4">
        <f t="shared" si="450"/>
        <v>50.9</v>
      </c>
      <c r="AB923" s="4">
        <f t="shared" si="451"/>
        <v>0</v>
      </c>
      <c r="AC923" s="4">
        <f t="shared" si="452"/>
        <v>0</v>
      </c>
      <c r="AD923" s="4">
        <f t="shared" si="453"/>
        <v>0</v>
      </c>
      <c r="AE923" s="4">
        <f t="shared" si="454"/>
        <v>0</v>
      </c>
      <c r="AF923" s="4">
        <f t="shared" si="455"/>
        <v>0</v>
      </c>
      <c r="AG923" s="4">
        <f t="shared" si="456"/>
        <v>8.4118326757584114</v>
      </c>
      <c r="AH923" s="4">
        <f t="shared" si="457"/>
        <v>0</v>
      </c>
      <c r="AI923" s="4">
        <f t="shared" si="458"/>
        <v>0</v>
      </c>
      <c r="AJ923" s="4">
        <f t="shared" si="459"/>
        <v>8.4118326757584114</v>
      </c>
      <c r="AK923" s="4">
        <f t="shared" si="460"/>
        <v>5.6167710976665717</v>
      </c>
      <c r="AL923" s="4">
        <f t="shared" si="461"/>
        <v>0</v>
      </c>
      <c r="AM923" s="4">
        <f>CER!$C$7+CER!$C$8*J923+CER!$C$9*K923+CER!$C$10*L923+CER!$C$11*M923</f>
        <v>3.3774033555652183</v>
      </c>
      <c r="AN923" s="4">
        <f t="shared" si="462"/>
        <v>29.294604595411702</v>
      </c>
      <c r="AO923" s="4">
        <f t="shared" si="463"/>
        <v>0.12093586073023177</v>
      </c>
      <c r="AP923" s="4">
        <f>Alternatives!$F$25+Alternatives!$F$26*J923+Alternatives!$F$27*K923+Alternatives!$F$28*G923+Alternatives!$F$29*O923</f>
        <v>3.4007531610973163</v>
      </c>
      <c r="AQ923" s="4">
        <f t="shared" si="464"/>
        <v>9.7586055198133792E-2</v>
      </c>
    </row>
    <row r="924" spans="1:43" x14ac:dyDescent="0.35">
      <c r="A924" s="2" t="s">
        <v>783</v>
      </c>
      <c r="B924" s="2" t="s">
        <v>693</v>
      </c>
      <c r="C924" s="2" t="s">
        <v>67</v>
      </c>
      <c r="D924" s="2">
        <v>31.370899999999999</v>
      </c>
      <c r="E924" s="2">
        <v>4500</v>
      </c>
      <c r="F924" s="2">
        <v>275</v>
      </c>
      <c r="G924" s="2">
        <v>50.9</v>
      </c>
      <c r="H924" s="2" t="s">
        <v>68</v>
      </c>
      <c r="I924" s="4">
        <f t="shared" si="434"/>
        <v>3.44588071162209</v>
      </c>
      <c r="J924" s="4">
        <f t="shared" si="435"/>
        <v>8.4118326757584114</v>
      </c>
      <c r="K924" s="4">
        <f t="shared" si="436"/>
        <v>5.6167710976665717</v>
      </c>
      <c r="L924" s="2">
        <v>0</v>
      </c>
      <c r="M924" s="2">
        <v>0</v>
      </c>
      <c r="N924" s="4">
        <f t="shared" si="437"/>
        <v>50.9</v>
      </c>
      <c r="O924" s="4">
        <f t="shared" si="438"/>
        <v>0</v>
      </c>
      <c r="P924" s="4">
        <f t="shared" si="439"/>
        <v>0</v>
      </c>
      <c r="Q924" s="4">
        <f t="shared" si="440"/>
        <v>8.4118326757584114</v>
      </c>
      <c r="R924" s="4">
        <f t="shared" si="441"/>
        <v>5.6167710976665717</v>
      </c>
      <c r="S924" s="4">
        <f t="shared" si="442"/>
        <v>50.9</v>
      </c>
      <c r="T924" s="4">
        <f t="shared" si="443"/>
        <v>0</v>
      </c>
      <c r="U924" s="4">
        <f t="shared" si="444"/>
        <v>8.4118326757584114</v>
      </c>
      <c r="V924" s="4">
        <f t="shared" si="445"/>
        <v>5.6167710976665717</v>
      </c>
      <c r="W924" s="4">
        <f t="shared" si="446"/>
        <v>50.9</v>
      </c>
      <c r="X924" s="4">
        <f t="shared" si="447"/>
        <v>0</v>
      </c>
      <c r="Y924" s="4">
        <f t="shared" si="448"/>
        <v>8.4118326757584114</v>
      </c>
      <c r="Z924" s="4">
        <f t="shared" si="449"/>
        <v>5.6167710976665717</v>
      </c>
      <c r="AA924" s="4">
        <f t="shared" si="450"/>
        <v>50.9</v>
      </c>
      <c r="AB924" s="4">
        <f t="shared" si="451"/>
        <v>0</v>
      </c>
      <c r="AC924" s="4">
        <f t="shared" si="452"/>
        <v>0</v>
      </c>
      <c r="AD924" s="4">
        <f t="shared" si="453"/>
        <v>0</v>
      </c>
      <c r="AE924" s="4">
        <f t="shared" si="454"/>
        <v>0</v>
      </c>
      <c r="AF924" s="4">
        <f t="shared" si="455"/>
        <v>0</v>
      </c>
      <c r="AG924" s="4">
        <f t="shared" si="456"/>
        <v>8.4118326757584114</v>
      </c>
      <c r="AH924" s="4">
        <f t="shared" si="457"/>
        <v>0</v>
      </c>
      <c r="AI924" s="4">
        <f t="shared" si="458"/>
        <v>0</v>
      </c>
      <c r="AJ924" s="4">
        <f t="shared" si="459"/>
        <v>8.4118326757584114</v>
      </c>
      <c r="AK924" s="4">
        <f t="shared" si="460"/>
        <v>5.6167710976665717</v>
      </c>
      <c r="AL924" s="4">
        <f t="shared" si="461"/>
        <v>0</v>
      </c>
      <c r="AM924" s="4">
        <f>CER!$C$7+CER!$C$8*J924+CER!$C$9*K924+CER!$C$10*L924+CER!$C$11*M924</f>
        <v>3.3774033555652183</v>
      </c>
      <c r="AN924" s="4">
        <f t="shared" si="462"/>
        <v>29.294604595411702</v>
      </c>
      <c r="AO924" s="4">
        <f t="shared" si="463"/>
        <v>6.8477356056871663E-2</v>
      </c>
      <c r="AP924" s="4">
        <f>Alternatives!$F$25+Alternatives!$F$26*J924+Alternatives!$F$27*K924+Alternatives!$F$28*G924+Alternatives!$F$29*O924</f>
        <v>3.4007531610973163</v>
      </c>
      <c r="AQ924" s="4">
        <f t="shared" si="464"/>
        <v>4.5127550524773685E-2</v>
      </c>
    </row>
    <row r="925" spans="1:43" x14ac:dyDescent="0.35">
      <c r="A925" s="2" t="s">
        <v>784</v>
      </c>
      <c r="B925" s="2" t="s">
        <v>693</v>
      </c>
      <c r="C925" s="2" t="s">
        <v>33</v>
      </c>
      <c r="D925" s="2">
        <v>48.675800000000002</v>
      </c>
      <c r="E925" s="2">
        <v>5000</v>
      </c>
      <c r="F925" s="2">
        <v>180</v>
      </c>
      <c r="G925" s="2">
        <v>50.9</v>
      </c>
      <c r="H925" s="2" t="s">
        <v>68</v>
      </c>
      <c r="I925" s="4">
        <f t="shared" si="434"/>
        <v>3.8851819866650605</v>
      </c>
      <c r="J925" s="4">
        <f t="shared" si="435"/>
        <v>8.5171931914162382</v>
      </c>
      <c r="K925" s="4">
        <f t="shared" si="436"/>
        <v>5.1929568508902104</v>
      </c>
      <c r="L925" s="2">
        <v>1</v>
      </c>
      <c r="M925" s="2">
        <v>0</v>
      </c>
      <c r="N925" s="4">
        <f t="shared" si="437"/>
        <v>50.9</v>
      </c>
      <c r="O925" s="4">
        <f t="shared" si="438"/>
        <v>1</v>
      </c>
      <c r="P925" s="4">
        <f t="shared" si="439"/>
        <v>1</v>
      </c>
      <c r="Q925" s="4">
        <f t="shared" si="440"/>
        <v>8.5171931914162382</v>
      </c>
      <c r="R925" s="4">
        <f t="shared" si="441"/>
        <v>5.1929568508902104</v>
      </c>
      <c r="S925" s="4">
        <f t="shared" si="442"/>
        <v>50.9</v>
      </c>
      <c r="T925" s="4">
        <f t="shared" si="443"/>
        <v>1</v>
      </c>
      <c r="U925" s="4">
        <f t="shared" si="444"/>
        <v>8.5171931914162382</v>
      </c>
      <c r="V925" s="4">
        <f t="shared" si="445"/>
        <v>5.1929568508902104</v>
      </c>
      <c r="W925" s="4">
        <f t="shared" si="446"/>
        <v>50.9</v>
      </c>
      <c r="X925" s="4">
        <f t="shared" si="447"/>
        <v>1</v>
      </c>
      <c r="Y925" s="4">
        <f t="shared" si="448"/>
        <v>8.5171931914162382</v>
      </c>
      <c r="Z925" s="4">
        <f t="shared" si="449"/>
        <v>5.1929568508902104</v>
      </c>
      <c r="AA925" s="4">
        <f t="shared" si="450"/>
        <v>50.9</v>
      </c>
      <c r="AB925" s="4">
        <f t="shared" si="451"/>
        <v>1</v>
      </c>
      <c r="AC925" s="4">
        <f t="shared" si="452"/>
        <v>0</v>
      </c>
      <c r="AD925" s="4">
        <f t="shared" si="453"/>
        <v>0</v>
      </c>
      <c r="AE925" s="4">
        <f t="shared" si="454"/>
        <v>0</v>
      </c>
      <c r="AF925" s="4">
        <f t="shared" si="455"/>
        <v>0</v>
      </c>
      <c r="AG925" s="4">
        <f t="shared" si="456"/>
        <v>8.5171931914162382</v>
      </c>
      <c r="AH925" s="4">
        <f t="shared" si="457"/>
        <v>1</v>
      </c>
      <c r="AI925" s="4">
        <f t="shared" si="458"/>
        <v>0</v>
      </c>
      <c r="AJ925" s="4">
        <f t="shared" si="459"/>
        <v>8.5171931914162382</v>
      </c>
      <c r="AK925" s="4">
        <f t="shared" si="460"/>
        <v>5.1929568508902104</v>
      </c>
      <c r="AL925" s="4">
        <f t="shared" si="461"/>
        <v>0</v>
      </c>
      <c r="AM925" s="4">
        <f>CER!$C$7+CER!$C$8*J925+CER!$C$9*K925+CER!$C$10*L925+CER!$C$11*M925</f>
        <v>3.7098228614433024</v>
      </c>
      <c r="AN925" s="4">
        <f t="shared" si="462"/>
        <v>40.846570383585394</v>
      </c>
      <c r="AO925" s="4">
        <f t="shared" si="463"/>
        <v>0.17535912522175812</v>
      </c>
      <c r="AP925" s="4">
        <f>Alternatives!$F$25+Alternatives!$F$26*J925+Alternatives!$F$27*K925+Alternatives!$F$28*G925+Alternatives!$F$29*O925</f>
        <v>4.3972667351048926</v>
      </c>
      <c r="AQ925" s="4">
        <f t="shared" si="464"/>
        <v>-0.51208474843983209</v>
      </c>
    </row>
    <row r="926" spans="1:43" x14ac:dyDescent="0.35">
      <c r="A926" s="2" t="s">
        <v>785</v>
      </c>
      <c r="B926" s="2" t="s">
        <v>693</v>
      </c>
      <c r="C926" s="2" t="s">
        <v>33</v>
      </c>
      <c r="D926" s="2">
        <v>49.226900000000001</v>
      </c>
      <c r="E926" s="2">
        <v>4500</v>
      </c>
      <c r="F926" s="2">
        <v>187</v>
      </c>
      <c r="G926" s="2">
        <v>50.9</v>
      </c>
      <c r="H926" s="2" t="s">
        <v>68</v>
      </c>
      <c r="I926" s="4">
        <f t="shared" si="434"/>
        <v>3.8964402220535304</v>
      </c>
      <c r="J926" s="4">
        <f t="shared" si="435"/>
        <v>8.4118326757584114</v>
      </c>
      <c r="K926" s="4">
        <f t="shared" si="436"/>
        <v>5.2311086168545868</v>
      </c>
      <c r="L926" s="2">
        <v>1</v>
      </c>
      <c r="M926" s="2">
        <v>0</v>
      </c>
      <c r="N926" s="4">
        <f t="shared" si="437"/>
        <v>50.9</v>
      </c>
      <c r="O926" s="4">
        <f t="shared" si="438"/>
        <v>1</v>
      </c>
      <c r="P926" s="4">
        <f t="shared" si="439"/>
        <v>1</v>
      </c>
      <c r="Q926" s="4">
        <f t="shared" si="440"/>
        <v>8.4118326757584114</v>
      </c>
      <c r="R926" s="4">
        <f t="shared" si="441"/>
        <v>5.2311086168545868</v>
      </c>
      <c r="S926" s="4">
        <f t="shared" si="442"/>
        <v>50.9</v>
      </c>
      <c r="T926" s="4">
        <f t="shared" si="443"/>
        <v>1</v>
      </c>
      <c r="U926" s="4">
        <f t="shared" si="444"/>
        <v>8.4118326757584114</v>
      </c>
      <c r="V926" s="4">
        <f t="shared" si="445"/>
        <v>5.2311086168545868</v>
      </c>
      <c r="W926" s="4">
        <f t="shared" si="446"/>
        <v>50.9</v>
      </c>
      <c r="X926" s="4">
        <f t="shared" si="447"/>
        <v>1</v>
      </c>
      <c r="Y926" s="4">
        <f t="shared" si="448"/>
        <v>8.4118326757584114</v>
      </c>
      <c r="Z926" s="4">
        <f t="shared" si="449"/>
        <v>5.2311086168545868</v>
      </c>
      <c r="AA926" s="4">
        <f t="shared" si="450"/>
        <v>50.9</v>
      </c>
      <c r="AB926" s="4">
        <f t="shared" si="451"/>
        <v>1</v>
      </c>
      <c r="AC926" s="4">
        <f t="shared" si="452"/>
        <v>0</v>
      </c>
      <c r="AD926" s="4">
        <f t="shared" si="453"/>
        <v>0</v>
      </c>
      <c r="AE926" s="4">
        <f t="shared" si="454"/>
        <v>0</v>
      </c>
      <c r="AF926" s="4">
        <f t="shared" si="455"/>
        <v>0</v>
      </c>
      <c r="AG926" s="4">
        <f t="shared" si="456"/>
        <v>8.4118326757584114</v>
      </c>
      <c r="AH926" s="4">
        <f t="shared" si="457"/>
        <v>1</v>
      </c>
      <c r="AI926" s="4">
        <f t="shared" si="458"/>
        <v>0</v>
      </c>
      <c r="AJ926" s="4">
        <f t="shared" si="459"/>
        <v>8.4118326757584114</v>
      </c>
      <c r="AK926" s="4">
        <f t="shared" si="460"/>
        <v>5.2311086168545868</v>
      </c>
      <c r="AL926" s="4">
        <f t="shared" si="461"/>
        <v>0</v>
      </c>
      <c r="AM926" s="4">
        <f>CER!$C$7+CER!$C$8*J926+CER!$C$9*K926+CER!$C$10*L926+CER!$C$11*M926</f>
        <v>3.7434446735045306</v>
      </c>
      <c r="AN926" s="4">
        <f t="shared" si="462"/>
        <v>42.243254045994249</v>
      </c>
      <c r="AO926" s="4">
        <f t="shared" si="463"/>
        <v>0.15299554854899977</v>
      </c>
      <c r="AP926" s="4">
        <f>Alternatives!$F$25+Alternatives!$F$26*J926+Alternatives!$F$27*K926+Alternatives!$F$28*G926+Alternatives!$F$29*O926</f>
        <v>4.3481217203986811</v>
      </c>
      <c r="AQ926" s="4">
        <f t="shared" si="464"/>
        <v>-0.4516814983451507</v>
      </c>
    </row>
    <row r="927" spans="1:43" x14ac:dyDescent="0.35">
      <c r="A927" s="2" t="s">
        <v>786</v>
      </c>
      <c r="B927" s="2" t="s">
        <v>693</v>
      </c>
      <c r="C927" s="2" t="s">
        <v>33</v>
      </c>
      <c r="D927" s="2">
        <v>37.1586</v>
      </c>
      <c r="E927" s="2">
        <v>5000</v>
      </c>
      <c r="F927" s="2">
        <v>271</v>
      </c>
      <c r="G927" s="2">
        <v>51</v>
      </c>
      <c r="H927" s="2" t="s">
        <v>68</v>
      </c>
      <c r="I927" s="4">
        <f t="shared" si="434"/>
        <v>3.6151952383166521</v>
      </c>
      <c r="J927" s="4">
        <f t="shared" si="435"/>
        <v>8.5171931914162382</v>
      </c>
      <c r="K927" s="4">
        <f t="shared" si="436"/>
        <v>5.602118820879701</v>
      </c>
      <c r="L927" s="2">
        <v>1</v>
      </c>
      <c r="M927" s="2">
        <v>0</v>
      </c>
      <c r="N927" s="4">
        <f t="shared" si="437"/>
        <v>51</v>
      </c>
      <c r="O927" s="4">
        <f t="shared" si="438"/>
        <v>1</v>
      </c>
      <c r="P927" s="4">
        <f t="shared" si="439"/>
        <v>1</v>
      </c>
      <c r="Q927" s="4">
        <f t="shared" si="440"/>
        <v>8.5171931914162382</v>
      </c>
      <c r="R927" s="4">
        <f t="shared" si="441"/>
        <v>5.602118820879701</v>
      </c>
      <c r="S927" s="4">
        <f t="shared" si="442"/>
        <v>51</v>
      </c>
      <c r="T927" s="4">
        <f t="shared" si="443"/>
        <v>1</v>
      </c>
      <c r="U927" s="4">
        <f t="shared" si="444"/>
        <v>8.5171931914162382</v>
      </c>
      <c r="V927" s="4">
        <f t="shared" si="445"/>
        <v>5.602118820879701</v>
      </c>
      <c r="W927" s="4">
        <f t="shared" si="446"/>
        <v>51</v>
      </c>
      <c r="X927" s="4">
        <f t="shared" si="447"/>
        <v>1</v>
      </c>
      <c r="Y927" s="4">
        <f t="shared" si="448"/>
        <v>8.5171931914162382</v>
      </c>
      <c r="Z927" s="4">
        <f t="shared" si="449"/>
        <v>5.602118820879701</v>
      </c>
      <c r="AA927" s="4">
        <f t="shared" si="450"/>
        <v>51</v>
      </c>
      <c r="AB927" s="4">
        <f t="shared" si="451"/>
        <v>1</v>
      </c>
      <c r="AC927" s="4">
        <f t="shared" si="452"/>
        <v>0</v>
      </c>
      <c r="AD927" s="4">
        <f t="shared" si="453"/>
        <v>0</v>
      </c>
      <c r="AE927" s="4">
        <f t="shared" si="454"/>
        <v>0</v>
      </c>
      <c r="AF927" s="4">
        <f t="shared" si="455"/>
        <v>0</v>
      </c>
      <c r="AG927" s="4">
        <f t="shared" si="456"/>
        <v>8.5171931914162382</v>
      </c>
      <c r="AH927" s="4">
        <f t="shared" si="457"/>
        <v>1</v>
      </c>
      <c r="AI927" s="4">
        <f t="shared" si="458"/>
        <v>0</v>
      </c>
      <c r="AJ927" s="4">
        <f t="shared" si="459"/>
        <v>8.5171931914162382</v>
      </c>
      <c r="AK927" s="4">
        <f t="shared" si="460"/>
        <v>5.602118820879701</v>
      </c>
      <c r="AL927" s="4">
        <f t="shared" si="461"/>
        <v>0</v>
      </c>
      <c r="AM927" s="4">
        <f>CER!$C$7+CER!$C$8*J927+CER!$C$9*K927+CER!$C$10*L927+CER!$C$11*M927</f>
        <v>3.5588651246620806</v>
      </c>
      <c r="AN927" s="4">
        <f t="shared" si="462"/>
        <v>35.123313935380395</v>
      </c>
      <c r="AO927" s="4">
        <f t="shared" si="463"/>
        <v>5.6330113654571523E-2</v>
      </c>
      <c r="AP927" s="4">
        <f>Alternatives!$F$25+Alternatives!$F$26*J927+Alternatives!$F$27*K927+Alternatives!$F$28*G927+Alternatives!$F$29*O927</f>
        <v>4.2870839249468791</v>
      </c>
      <c r="AQ927" s="4">
        <f t="shared" si="464"/>
        <v>-0.67188868663022694</v>
      </c>
    </row>
    <row r="928" spans="1:43" x14ac:dyDescent="0.35">
      <c r="A928" s="2" t="s">
        <v>787</v>
      </c>
      <c r="B928" s="2" t="s">
        <v>693</v>
      </c>
      <c r="C928" s="2" t="s">
        <v>67</v>
      </c>
      <c r="D928" s="2">
        <v>38.270099999999999</v>
      </c>
      <c r="E928" s="2">
        <v>4000</v>
      </c>
      <c r="F928" s="2">
        <v>203</v>
      </c>
      <c r="G928" s="2">
        <v>46.8</v>
      </c>
      <c r="H928" s="2" t="s">
        <v>68</v>
      </c>
      <c r="I928" s="4">
        <f t="shared" si="434"/>
        <v>3.6446689124470009</v>
      </c>
      <c r="J928" s="4">
        <f t="shared" si="435"/>
        <v>8.2940496401020276</v>
      </c>
      <c r="K928" s="4">
        <f t="shared" si="436"/>
        <v>5.3132059790417872</v>
      </c>
      <c r="L928" s="2">
        <v>0</v>
      </c>
      <c r="M928" s="2">
        <v>0</v>
      </c>
      <c r="N928" s="4">
        <f t="shared" si="437"/>
        <v>46.8</v>
      </c>
      <c r="O928" s="4">
        <f t="shared" si="438"/>
        <v>0</v>
      </c>
      <c r="P928" s="4">
        <f t="shared" si="439"/>
        <v>0</v>
      </c>
      <c r="Q928" s="4">
        <f t="shared" si="440"/>
        <v>8.2940496401020276</v>
      </c>
      <c r="R928" s="4">
        <f t="shared" si="441"/>
        <v>5.3132059790417872</v>
      </c>
      <c r="S928" s="4">
        <f t="shared" si="442"/>
        <v>46.8</v>
      </c>
      <c r="T928" s="4">
        <f t="shared" si="443"/>
        <v>0</v>
      </c>
      <c r="U928" s="4">
        <f t="shared" si="444"/>
        <v>8.2940496401020276</v>
      </c>
      <c r="V928" s="4">
        <f t="shared" si="445"/>
        <v>5.3132059790417872</v>
      </c>
      <c r="W928" s="4">
        <f t="shared" si="446"/>
        <v>46.8</v>
      </c>
      <c r="X928" s="4">
        <f t="shared" si="447"/>
        <v>0</v>
      </c>
      <c r="Y928" s="4">
        <f t="shared" si="448"/>
        <v>8.2940496401020276</v>
      </c>
      <c r="Z928" s="4">
        <f t="shared" si="449"/>
        <v>5.3132059790417872</v>
      </c>
      <c r="AA928" s="4">
        <f t="shared" si="450"/>
        <v>46.8</v>
      </c>
      <c r="AB928" s="4">
        <f t="shared" si="451"/>
        <v>0</v>
      </c>
      <c r="AC928" s="4">
        <f t="shared" si="452"/>
        <v>0</v>
      </c>
      <c r="AD928" s="4">
        <f t="shared" si="453"/>
        <v>0</v>
      </c>
      <c r="AE928" s="4">
        <f t="shared" si="454"/>
        <v>0</v>
      </c>
      <c r="AF928" s="4">
        <f t="shared" si="455"/>
        <v>0</v>
      </c>
      <c r="AG928" s="4">
        <f t="shared" si="456"/>
        <v>8.2940496401020276</v>
      </c>
      <c r="AH928" s="4">
        <f t="shared" si="457"/>
        <v>0</v>
      </c>
      <c r="AI928" s="4">
        <f t="shared" si="458"/>
        <v>0</v>
      </c>
      <c r="AJ928" s="4">
        <f t="shared" si="459"/>
        <v>8.2940496401020276</v>
      </c>
      <c r="AK928" s="4">
        <f t="shared" si="460"/>
        <v>5.3132059790417872</v>
      </c>
      <c r="AL928" s="4">
        <f t="shared" si="461"/>
        <v>0</v>
      </c>
      <c r="AM928" s="4">
        <f>CER!$C$7+CER!$C$8*J928+CER!$C$9*K928+CER!$C$10*L928+CER!$C$11*M928</f>
        <v>3.5427232522100423</v>
      </c>
      <c r="AN928" s="4">
        <f t="shared" si="462"/>
        <v>34.560909225915942</v>
      </c>
      <c r="AO928" s="4">
        <f t="shared" si="463"/>
        <v>0.10194566023695861</v>
      </c>
      <c r="AP928" s="4">
        <f>Alternatives!$F$25+Alternatives!$F$26*J928+Alternatives!$F$27*K928+Alternatives!$F$28*G928+Alternatives!$F$29*O928</f>
        <v>3.4912750047424193</v>
      </c>
      <c r="AQ928" s="4">
        <f t="shared" si="464"/>
        <v>0.15339390770458161</v>
      </c>
    </row>
    <row r="929" spans="1:43" x14ac:dyDescent="0.35">
      <c r="A929" s="2" t="s">
        <v>788</v>
      </c>
      <c r="B929" s="2" t="s">
        <v>693</v>
      </c>
      <c r="C929" s="2" t="s">
        <v>67</v>
      </c>
      <c r="D929" s="2">
        <v>37.910800000000002</v>
      </c>
      <c r="E929" s="2">
        <v>4000</v>
      </c>
      <c r="F929" s="2">
        <v>203</v>
      </c>
      <c r="G929" s="2">
        <v>46.8</v>
      </c>
      <c r="H929" s="2" t="s">
        <v>68</v>
      </c>
      <c r="I929" s="4">
        <f t="shared" si="434"/>
        <v>3.6352360319170347</v>
      </c>
      <c r="J929" s="4">
        <f t="shared" si="435"/>
        <v>8.2940496401020276</v>
      </c>
      <c r="K929" s="4">
        <f t="shared" si="436"/>
        <v>5.3132059790417872</v>
      </c>
      <c r="L929" s="2">
        <v>0</v>
      </c>
      <c r="M929" s="2">
        <v>0</v>
      </c>
      <c r="N929" s="4">
        <f t="shared" si="437"/>
        <v>46.8</v>
      </c>
      <c r="O929" s="4">
        <f t="shared" si="438"/>
        <v>0</v>
      </c>
      <c r="P929" s="4">
        <f t="shared" si="439"/>
        <v>0</v>
      </c>
      <c r="Q929" s="4">
        <f t="shared" si="440"/>
        <v>8.2940496401020276</v>
      </c>
      <c r="R929" s="4">
        <f t="shared" si="441"/>
        <v>5.3132059790417872</v>
      </c>
      <c r="S929" s="4">
        <f t="shared" si="442"/>
        <v>46.8</v>
      </c>
      <c r="T929" s="4">
        <f t="shared" si="443"/>
        <v>0</v>
      </c>
      <c r="U929" s="4">
        <f t="shared" si="444"/>
        <v>8.2940496401020276</v>
      </c>
      <c r="V929" s="4">
        <f t="shared" si="445"/>
        <v>5.3132059790417872</v>
      </c>
      <c r="W929" s="4">
        <f t="shared" si="446"/>
        <v>46.8</v>
      </c>
      <c r="X929" s="4">
        <f t="shared" si="447"/>
        <v>0</v>
      </c>
      <c r="Y929" s="4">
        <f t="shared" si="448"/>
        <v>8.2940496401020276</v>
      </c>
      <c r="Z929" s="4">
        <f t="shared" si="449"/>
        <v>5.3132059790417872</v>
      </c>
      <c r="AA929" s="4">
        <f t="shared" si="450"/>
        <v>46.8</v>
      </c>
      <c r="AB929" s="4">
        <f t="shared" si="451"/>
        <v>0</v>
      </c>
      <c r="AC929" s="4">
        <f t="shared" si="452"/>
        <v>0</v>
      </c>
      <c r="AD929" s="4">
        <f t="shared" si="453"/>
        <v>0</v>
      </c>
      <c r="AE929" s="4">
        <f t="shared" si="454"/>
        <v>0</v>
      </c>
      <c r="AF929" s="4">
        <f t="shared" si="455"/>
        <v>0</v>
      </c>
      <c r="AG929" s="4">
        <f t="shared" si="456"/>
        <v>8.2940496401020276</v>
      </c>
      <c r="AH929" s="4">
        <f t="shared" si="457"/>
        <v>0</v>
      </c>
      <c r="AI929" s="4">
        <f t="shared" si="458"/>
        <v>0</v>
      </c>
      <c r="AJ929" s="4">
        <f t="shared" si="459"/>
        <v>8.2940496401020276</v>
      </c>
      <c r="AK929" s="4">
        <f t="shared" si="460"/>
        <v>5.3132059790417872</v>
      </c>
      <c r="AL929" s="4">
        <f t="shared" si="461"/>
        <v>0</v>
      </c>
      <c r="AM929" s="4">
        <f>CER!$C$7+CER!$C$8*J929+CER!$C$9*K929+CER!$C$10*L929+CER!$C$11*M929</f>
        <v>3.5427232522100423</v>
      </c>
      <c r="AN929" s="4">
        <f t="shared" si="462"/>
        <v>34.560909225915942</v>
      </c>
      <c r="AO929" s="4">
        <f t="shared" si="463"/>
        <v>9.2512779706992454E-2</v>
      </c>
      <c r="AP929" s="4">
        <f>Alternatives!$F$25+Alternatives!$F$26*J929+Alternatives!$F$27*K929+Alternatives!$F$28*G929+Alternatives!$F$29*O929</f>
        <v>3.4912750047424193</v>
      </c>
      <c r="AQ929" s="4">
        <f t="shared" si="464"/>
        <v>0.14396102717461545</v>
      </c>
    </row>
    <row r="930" spans="1:43" x14ac:dyDescent="0.35">
      <c r="A930" s="2" t="s">
        <v>789</v>
      </c>
      <c r="B930" s="2" t="s">
        <v>693</v>
      </c>
      <c r="C930" s="2" t="s">
        <v>67</v>
      </c>
      <c r="D930" s="2">
        <v>31.700099999999999</v>
      </c>
      <c r="E930" s="2">
        <v>4000</v>
      </c>
      <c r="F930" s="2">
        <v>275</v>
      </c>
      <c r="G930" s="2">
        <v>46.8</v>
      </c>
      <c r="H930" s="2" t="s">
        <v>68</v>
      </c>
      <c r="I930" s="4">
        <f t="shared" si="434"/>
        <v>3.4563198354523919</v>
      </c>
      <c r="J930" s="4">
        <f t="shared" si="435"/>
        <v>8.2940496401020276</v>
      </c>
      <c r="K930" s="4">
        <f t="shared" si="436"/>
        <v>5.6167710976665717</v>
      </c>
      <c r="L930" s="2">
        <v>0</v>
      </c>
      <c r="M930" s="2">
        <v>0</v>
      </c>
      <c r="N930" s="4">
        <f t="shared" si="437"/>
        <v>46.8</v>
      </c>
      <c r="O930" s="4">
        <f t="shared" si="438"/>
        <v>0</v>
      </c>
      <c r="P930" s="4">
        <f t="shared" si="439"/>
        <v>0</v>
      </c>
      <c r="Q930" s="4">
        <f t="shared" si="440"/>
        <v>8.2940496401020276</v>
      </c>
      <c r="R930" s="4">
        <f t="shared" si="441"/>
        <v>5.6167710976665717</v>
      </c>
      <c r="S930" s="4">
        <f t="shared" si="442"/>
        <v>46.8</v>
      </c>
      <c r="T930" s="4">
        <f t="shared" si="443"/>
        <v>0</v>
      </c>
      <c r="U930" s="4">
        <f t="shared" si="444"/>
        <v>8.2940496401020276</v>
      </c>
      <c r="V930" s="4">
        <f t="shared" si="445"/>
        <v>5.6167710976665717</v>
      </c>
      <c r="W930" s="4">
        <f t="shared" si="446"/>
        <v>46.8</v>
      </c>
      <c r="X930" s="4">
        <f t="shared" si="447"/>
        <v>0</v>
      </c>
      <c r="Y930" s="4">
        <f t="shared" si="448"/>
        <v>8.2940496401020276</v>
      </c>
      <c r="Z930" s="4">
        <f t="shared" si="449"/>
        <v>5.6167710976665717</v>
      </c>
      <c r="AA930" s="4">
        <f t="shared" si="450"/>
        <v>46.8</v>
      </c>
      <c r="AB930" s="4">
        <f t="shared" si="451"/>
        <v>0</v>
      </c>
      <c r="AC930" s="4">
        <f t="shared" si="452"/>
        <v>0</v>
      </c>
      <c r="AD930" s="4">
        <f t="shared" si="453"/>
        <v>0</v>
      </c>
      <c r="AE930" s="4">
        <f t="shared" si="454"/>
        <v>0</v>
      </c>
      <c r="AF930" s="4">
        <f t="shared" si="455"/>
        <v>0</v>
      </c>
      <c r="AG930" s="4">
        <f t="shared" si="456"/>
        <v>8.2940496401020276</v>
      </c>
      <c r="AH930" s="4">
        <f t="shared" si="457"/>
        <v>0</v>
      </c>
      <c r="AI930" s="4">
        <f t="shared" si="458"/>
        <v>0</v>
      </c>
      <c r="AJ930" s="4">
        <f t="shared" si="459"/>
        <v>8.2940496401020276</v>
      </c>
      <c r="AK930" s="4">
        <f t="shared" si="460"/>
        <v>5.6167710976665717</v>
      </c>
      <c r="AL930" s="4">
        <f t="shared" si="461"/>
        <v>0</v>
      </c>
      <c r="AM930" s="4">
        <f>CER!$C$7+CER!$C$8*J930+CER!$C$9*K930+CER!$C$10*L930+CER!$C$11*M930</f>
        <v>3.4307248099440182</v>
      </c>
      <c r="AN930" s="4">
        <f t="shared" si="462"/>
        <v>30.899030559853507</v>
      </c>
      <c r="AO930" s="4">
        <f t="shared" si="463"/>
        <v>2.559502550837367E-2</v>
      </c>
      <c r="AP930" s="4">
        <f>Alternatives!$F$25+Alternatives!$F$26*J930+Alternatives!$F$27*K930+Alternatives!$F$28*G930+Alternatives!$F$29*O930</f>
        <v>3.4104933007666607</v>
      </c>
      <c r="AQ930" s="4">
        <f t="shared" si="464"/>
        <v>4.5826534685731168E-2</v>
      </c>
    </row>
    <row r="931" spans="1:43" x14ac:dyDescent="0.35">
      <c r="A931" s="2" t="s">
        <v>790</v>
      </c>
      <c r="B931" s="2" t="s">
        <v>693</v>
      </c>
      <c r="C931" s="2" t="s">
        <v>67</v>
      </c>
      <c r="D931" s="2">
        <v>32.2179</v>
      </c>
      <c r="E931" s="2">
        <v>4000</v>
      </c>
      <c r="F931" s="2">
        <v>275</v>
      </c>
      <c r="G931" s="2">
        <v>46.8</v>
      </c>
      <c r="H931" s="2" t="s">
        <v>68</v>
      </c>
      <c r="I931" s="4">
        <f t="shared" si="434"/>
        <v>3.4725221987159691</v>
      </c>
      <c r="J931" s="4">
        <f t="shared" si="435"/>
        <v>8.2940496401020276</v>
      </c>
      <c r="K931" s="4">
        <f t="shared" si="436"/>
        <v>5.6167710976665717</v>
      </c>
      <c r="L931" s="2">
        <v>0</v>
      </c>
      <c r="M931" s="2">
        <v>0</v>
      </c>
      <c r="N931" s="4">
        <f t="shared" si="437"/>
        <v>46.8</v>
      </c>
      <c r="O931" s="4">
        <f t="shared" si="438"/>
        <v>0</v>
      </c>
      <c r="P931" s="4">
        <f t="shared" si="439"/>
        <v>0</v>
      </c>
      <c r="Q931" s="4">
        <f t="shared" si="440"/>
        <v>8.2940496401020276</v>
      </c>
      <c r="R931" s="4">
        <f t="shared" si="441"/>
        <v>5.6167710976665717</v>
      </c>
      <c r="S931" s="4">
        <f t="shared" si="442"/>
        <v>46.8</v>
      </c>
      <c r="T931" s="4">
        <f t="shared" si="443"/>
        <v>0</v>
      </c>
      <c r="U931" s="4">
        <f t="shared" si="444"/>
        <v>8.2940496401020276</v>
      </c>
      <c r="V931" s="4">
        <f t="shared" si="445"/>
        <v>5.6167710976665717</v>
      </c>
      <c r="W931" s="4">
        <f t="shared" si="446"/>
        <v>46.8</v>
      </c>
      <c r="X931" s="4">
        <f t="shared" si="447"/>
        <v>0</v>
      </c>
      <c r="Y931" s="4">
        <f t="shared" si="448"/>
        <v>8.2940496401020276</v>
      </c>
      <c r="Z931" s="4">
        <f t="shared" si="449"/>
        <v>5.6167710976665717</v>
      </c>
      <c r="AA931" s="4">
        <f t="shared" si="450"/>
        <v>46.8</v>
      </c>
      <c r="AB931" s="4">
        <f t="shared" si="451"/>
        <v>0</v>
      </c>
      <c r="AC931" s="4">
        <f t="shared" si="452"/>
        <v>0</v>
      </c>
      <c r="AD931" s="4">
        <f t="shared" si="453"/>
        <v>0</v>
      </c>
      <c r="AE931" s="4">
        <f t="shared" si="454"/>
        <v>0</v>
      </c>
      <c r="AF931" s="4">
        <f t="shared" si="455"/>
        <v>0</v>
      </c>
      <c r="AG931" s="4">
        <f t="shared" si="456"/>
        <v>8.2940496401020276</v>
      </c>
      <c r="AH931" s="4">
        <f t="shared" si="457"/>
        <v>0</v>
      </c>
      <c r="AI931" s="4">
        <f t="shared" si="458"/>
        <v>0</v>
      </c>
      <c r="AJ931" s="4">
        <f t="shared" si="459"/>
        <v>8.2940496401020276</v>
      </c>
      <c r="AK931" s="4">
        <f t="shared" si="460"/>
        <v>5.6167710976665717</v>
      </c>
      <c r="AL931" s="4">
        <f t="shared" si="461"/>
        <v>0</v>
      </c>
      <c r="AM931" s="4">
        <f>CER!$C$7+CER!$C$8*J931+CER!$C$9*K931+CER!$C$10*L931+CER!$C$11*M931</f>
        <v>3.4307248099440182</v>
      </c>
      <c r="AN931" s="4">
        <f t="shared" si="462"/>
        <v>30.899030559853507</v>
      </c>
      <c r="AO931" s="4">
        <f t="shared" si="463"/>
        <v>4.1797388771950938E-2</v>
      </c>
      <c r="AP931" s="4">
        <f>Alternatives!$F$25+Alternatives!$F$26*J931+Alternatives!$F$27*K931+Alternatives!$F$28*G931+Alternatives!$F$29*O931</f>
        <v>3.4104933007666607</v>
      </c>
      <c r="AQ931" s="4">
        <f t="shared" si="464"/>
        <v>6.2028897949308437E-2</v>
      </c>
    </row>
    <row r="932" spans="1:43" x14ac:dyDescent="0.35">
      <c r="A932" s="2" t="s">
        <v>791</v>
      </c>
      <c r="B932" s="2" t="s">
        <v>693</v>
      </c>
      <c r="C932" s="2" t="s">
        <v>33</v>
      </c>
      <c r="D932" s="2">
        <v>48.682400000000001</v>
      </c>
      <c r="E932" s="2">
        <v>4500</v>
      </c>
      <c r="F932" s="2">
        <v>181</v>
      </c>
      <c r="G932" s="2">
        <v>46.8</v>
      </c>
      <c r="H932" s="2" t="s">
        <v>68</v>
      </c>
      <c r="I932" s="4">
        <f t="shared" si="434"/>
        <v>3.8853175684652603</v>
      </c>
      <c r="J932" s="4">
        <f t="shared" si="435"/>
        <v>8.4118326757584114</v>
      </c>
      <c r="K932" s="4">
        <f t="shared" si="436"/>
        <v>5.1984970312658261</v>
      </c>
      <c r="L932" s="2">
        <v>1</v>
      </c>
      <c r="M932" s="2">
        <v>0</v>
      </c>
      <c r="N932" s="4">
        <f t="shared" si="437"/>
        <v>46.8</v>
      </c>
      <c r="O932" s="4">
        <f t="shared" si="438"/>
        <v>1</v>
      </c>
      <c r="P932" s="4">
        <f t="shared" si="439"/>
        <v>1</v>
      </c>
      <c r="Q932" s="4">
        <f t="shared" si="440"/>
        <v>8.4118326757584114</v>
      </c>
      <c r="R932" s="4">
        <f t="shared" si="441"/>
        <v>5.1984970312658261</v>
      </c>
      <c r="S932" s="4">
        <f t="shared" si="442"/>
        <v>46.8</v>
      </c>
      <c r="T932" s="4">
        <f t="shared" si="443"/>
        <v>1</v>
      </c>
      <c r="U932" s="4">
        <f t="shared" si="444"/>
        <v>8.4118326757584114</v>
      </c>
      <c r="V932" s="4">
        <f t="shared" si="445"/>
        <v>5.1984970312658261</v>
      </c>
      <c r="W932" s="4">
        <f t="shared" si="446"/>
        <v>46.8</v>
      </c>
      <c r="X932" s="4">
        <f t="shared" si="447"/>
        <v>1</v>
      </c>
      <c r="Y932" s="4">
        <f t="shared" si="448"/>
        <v>8.4118326757584114</v>
      </c>
      <c r="Z932" s="4">
        <f t="shared" si="449"/>
        <v>5.1984970312658261</v>
      </c>
      <c r="AA932" s="4">
        <f t="shared" si="450"/>
        <v>46.8</v>
      </c>
      <c r="AB932" s="4">
        <f t="shared" si="451"/>
        <v>1</v>
      </c>
      <c r="AC932" s="4">
        <f t="shared" si="452"/>
        <v>0</v>
      </c>
      <c r="AD932" s="4">
        <f t="shared" si="453"/>
        <v>0</v>
      </c>
      <c r="AE932" s="4">
        <f t="shared" si="454"/>
        <v>0</v>
      </c>
      <c r="AF932" s="4">
        <f t="shared" si="455"/>
        <v>0</v>
      </c>
      <c r="AG932" s="4">
        <f t="shared" si="456"/>
        <v>8.4118326757584114</v>
      </c>
      <c r="AH932" s="4">
        <f t="shared" si="457"/>
        <v>1</v>
      </c>
      <c r="AI932" s="4">
        <f t="shared" si="458"/>
        <v>0</v>
      </c>
      <c r="AJ932" s="4">
        <f t="shared" si="459"/>
        <v>8.4118326757584114</v>
      </c>
      <c r="AK932" s="4">
        <f t="shared" si="460"/>
        <v>5.1984970312658261</v>
      </c>
      <c r="AL932" s="4">
        <f t="shared" si="461"/>
        <v>0</v>
      </c>
      <c r="AM932" s="4">
        <f>CER!$C$7+CER!$C$8*J932+CER!$C$9*K932+CER!$C$10*L932+CER!$C$11*M932</f>
        <v>3.7554765130067524</v>
      </c>
      <c r="AN932" s="4">
        <f t="shared" si="462"/>
        <v>42.754588074611512</v>
      </c>
      <c r="AO932" s="4">
        <f t="shared" si="463"/>
        <v>0.12984105545850788</v>
      </c>
      <c r="AP932" s="4">
        <f>Alternatives!$F$25+Alternatives!$F$26*J932+Alternatives!$F$27*K932+Alternatives!$F$28*G932+Alternatives!$F$29*O932</f>
        <v>4.4101299780163279</v>
      </c>
      <c r="AQ932" s="4">
        <f t="shared" si="464"/>
        <v>-0.52481240955106756</v>
      </c>
    </row>
    <row r="933" spans="1:43" x14ac:dyDescent="0.35">
      <c r="A933" s="2" t="s">
        <v>792</v>
      </c>
      <c r="B933" s="2" t="s">
        <v>693</v>
      </c>
      <c r="C933" s="2" t="s">
        <v>33</v>
      </c>
      <c r="D933" s="2">
        <v>54.102899999999998</v>
      </c>
      <c r="E933" s="2">
        <v>4500</v>
      </c>
      <c r="F933" s="2">
        <v>189</v>
      </c>
      <c r="G933" s="2">
        <v>46.8</v>
      </c>
      <c r="H933" s="2" t="s">
        <v>68</v>
      </c>
      <c r="I933" s="4">
        <f t="shared" si="434"/>
        <v>3.9908877888519987</v>
      </c>
      <c r="J933" s="4">
        <f t="shared" si="435"/>
        <v>8.4118326757584114</v>
      </c>
      <c r="K933" s="4">
        <f t="shared" si="436"/>
        <v>5.2417470150596426</v>
      </c>
      <c r="L933" s="2">
        <v>1</v>
      </c>
      <c r="M933" s="2">
        <v>0</v>
      </c>
      <c r="N933" s="4">
        <f t="shared" si="437"/>
        <v>46.8</v>
      </c>
      <c r="O933" s="4">
        <f t="shared" si="438"/>
        <v>1</v>
      </c>
      <c r="P933" s="4">
        <f t="shared" si="439"/>
        <v>1</v>
      </c>
      <c r="Q933" s="4">
        <f t="shared" si="440"/>
        <v>8.4118326757584114</v>
      </c>
      <c r="R933" s="4">
        <f t="shared" si="441"/>
        <v>5.2417470150596426</v>
      </c>
      <c r="S933" s="4">
        <f t="shared" si="442"/>
        <v>46.8</v>
      </c>
      <c r="T933" s="4">
        <f t="shared" si="443"/>
        <v>1</v>
      </c>
      <c r="U933" s="4">
        <f t="shared" si="444"/>
        <v>8.4118326757584114</v>
      </c>
      <c r="V933" s="4">
        <f t="shared" si="445"/>
        <v>5.2417470150596426</v>
      </c>
      <c r="W933" s="4">
        <f t="shared" si="446"/>
        <v>46.8</v>
      </c>
      <c r="X933" s="4">
        <f t="shared" si="447"/>
        <v>1</v>
      </c>
      <c r="Y933" s="4">
        <f t="shared" si="448"/>
        <v>8.4118326757584114</v>
      </c>
      <c r="Z933" s="4">
        <f t="shared" si="449"/>
        <v>5.2417470150596426</v>
      </c>
      <c r="AA933" s="4">
        <f t="shared" si="450"/>
        <v>46.8</v>
      </c>
      <c r="AB933" s="4">
        <f t="shared" si="451"/>
        <v>1</v>
      </c>
      <c r="AC933" s="4">
        <f t="shared" si="452"/>
        <v>0</v>
      </c>
      <c r="AD933" s="4">
        <f t="shared" si="453"/>
        <v>0</v>
      </c>
      <c r="AE933" s="4">
        <f t="shared" si="454"/>
        <v>0</v>
      </c>
      <c r="AF933" s="4">
        <f t="shared" si="455"/>
        <v>0</v>
      </c>
      <c r="AG933" s="4">
        <f t="shared" si="456"/>
        <v>8.4118326757584114</v>
      </c>
      <c r="AH933" s="4">
        <f t="shared" si="457"/>
        <v>1</v>
      </c>
      <c r="AI933" s="4">
        <f t="shared" si="458"/>
        <v>0</v>
      </c>
      <c r="AJ933" s="4">
        <f t="shared" si="459"/>
        <v>8.4118326757584114</v>
      </c>
      <c r="AK933" s="4">
        <f t="shared" si="460"/>
        <v>5.2417470150596426</v>
      </c>
      <c r="AL933" s="4">
        <f t="shared" si="461"/>
        <v>0</v>
      </c>
      <c r="AM933" s="4">
        <f>CER!$C$7+CER!$C$8*J933+CER!$C$9*K933+CER!$C$10*L933+CER!$C$11*M933</f>
        <v>3.7395197033611574</v>
      </c>
      <c r="AN933" s="4">
        <f t="shared" si="462"/>
        <v>42.077775496725835</v>
      </c>
      <c r="AO933" s="4">
        <f t="shared" si="463"/>
        <v>0.25136808549084133</v>
      </c>
      <c r="AP933" s="4">
        <f>Alternatives!$F$25+Alternatives!$F$26*J933+Alternatives!$F$27*K933+Alternatives!$F$28*G933+Alternatives!$F$29*O933</f>
        <v>4.3986207262168593</v>
      </c>
      <c r="AQ933" s="4">
        <f t="shared" si="464"/>
        <v>-0.4077329373648606</v>
      </c>
    </row>
    <row r="934" spans="1:43" x14ac:dyDescent="0.35">
      <c r="A934" s="2" t="s">
        <v>793</v>
      </c>
      <c r="B934" s="2" t="s">
        <v>794</v>
      </c>
      <c r="C934" s="2" t="s">
        <v>67</v>
      </c>
      <c r="D934" s="2">
        <v>42.636099999999999</v>
      </c>
      <c r="E934" s="2">
        <v>3500</v>
      </c>
      <c r="F934" s="2">
        <v>158</v>
      </c>
      <c r="G934" s="2">
        <v>44.8</v>
      </c>
      <c r="H934" s="2" t="s">
        <v>68</v>
      </c>
      <c r="I934" s="4">
        <f t="shared" si="434"/>
        <v>3.7527013122599215</v>
      </c>
      <c r="J934" s="4">
        <f t="shared" si="435"/>
        <v>8.1605182474775049</v>
      </c>
      <c r="K934" s="4">
        <f t="shared" si="436"/>
        <v>5.0625950330269669</v>
      </c>
      <c r="L934" s="2">
        <v>0</v>
      </c>
      <c r="M934" s="2">
        <v>0</v>
      </c>
      <c r="N934" s="4">
        <f t="shared" si="437"/>
        <v>44.8</v>
      </c>
      <c r="O934" s="4">
        <f t="shared" si="438"/>
        <v>0</v>
      </c>
      <c r="P934" s="4">
        <f t="shared" si="439"/>
        <v>0</v>
      </c>
      <c r="Q934" s="4">
        <f t="shared" si="440"/>
        <v>8.1605182474775049</v>
      </c>
      <c r="R934" s="4">
        <f t="shared" si="441"/>
        <v>5.0625950330269669</v>
      </c>
      <c r="S934" s="4">
        <f t="shared" si="442"/>
        <v>44.8</v>
      </c>
      <c r="T934" s="4">
        <f t="shared" si="443"/>
        <v>0</v>
      </c>
      <c r="U934" s="4">
        <f t="shared" si="444"/>
        <v>8.1605182474775049</v>
      </c>
      <c r="V934" s="4">
        <f t="shared" si="445"/>
        <v>5.0625950330269669</v>
      </c>
      <c r="W934" s="4">
        <f t="shared" si="446"/>
        <v>44.8</v>
      </c>
      <c r="X934" s="4">
        <f t="shared" si="447"/>
        <v>0</v>
      </c>
      <c r="Y934" s="4">
        <f t="shared" si="448"/>
        <v>8.1605182474775049</v>
      </c>
      <c r="Z934" s="4">
        <f t="shared" si="449"/>
        <v>5.0625950330269669</v>
      </c>
      <c r="AA934" s="4">
        <f t="shared" si="450"/>
        <v>44.8</v>
      </c>
      <c r="AB934" s="4">
        <f t="shared" si="451"/>
        <v>0</v>
      </c>
      <c r="AC934" s="4">
        <f t="shared" si="452"/>
        <v>0</v>
      </c>
      <c r="AD934" s="4">
        <f t="shared" si="453"/>
        <v>0</v>
      </c>
      <c r="AE934" s="4">
        <f t="shared" si="454"/>
        <v>0</v>
      </c>
      <c r="AF934" s="4">
        <f t="shared" si="455"/>
        <v>0</v>
      </c>
      <c r="AG934" s="4">
        <f t="shared" si="456"/>
        <v>8.1605182474775049</v>
      </c>
      <c r="AH934" s="4">
        <f t="shared" si="457"/>
        <v>0</v>
      </c>
      <c r="AI934" s="4">
        <f t="shared" si="458"/>
        <v>0</v>
      </c>
      <c r="AJ934" s="4">
        <f t="shared" si="459"/>
        <v>8.1605182474775049</v>
      </c>
      <c r="AK934" s="4">
        <f t="shared" si="460"/>
        <v>5.0625950330269669</v>
      </c>
      <c r="AL934" s="4">
        <f t="shared" si="461"/>
        <v>0</v>
      </c>
      <c r="AM934" s="4">
        <f>CER!$C$7+CER!$C$8*J934+CER!$C$9*K934+CER!$C$10*L934+CER!$C$11*M934</f>
        <v>3.695635464565961</v>
      </c>
      <c r="AN934" s="4">
        <f t="shared" si="462"/>
        <v>40.27115535089689</v>
      </c>
      <c r="AO934" s="4">
        <f t="shared" si="463"/>
        <v>5.7065847693960503E-2</v>
      </c>
      <c r="AP934" s="4">
        <f>Alternatives!$F$25+Alternatives!$F$26*J934+Alternatives!$F$27*K934+Alternatives!$F$28*G934+Alternatives!$F$29*O934</f>
        <v>3.5345616085829881</v>
      </c>
      <c r="AQ934" s="4">
        <f t="shared" si="464"/>
        <v>0.21813970367693347</v>
      </c>
    </row>
    <row r="935" spans="1:43" x14ac:dyDescent="0.35">
      <c r="A935" s="2" t="s">
        <v>795</v>
      </c>
      <c r="B935" s="2" t="s">
        <v>794</v>
      </c>
      <c r="C935" s="2" t="s">
        <v>67</v>
      </c>
      <c r="D935" s="2">
        <v>36.339399999999998</v>
      </c>
      <c r="E935" s="2">
        <v>3500</v>
      </c>
      <c r="F935" s="2">
        <v>158</v>
      </c>
      <c r="G935" s="2">
        <v>44.9</v>
      </c>
      <c r="H935" s="2" t="s">
        <v>68</v>
      </c>
      <c r="I935" s="4">
        <f t="shared" si="434"/>
        <v>3.5929025520997455</v>
      </c>
      <c r="J935" s="4">
        <f t="shared" si="435"/>
        <v>8.1605182474775049</v>
      </c>
      <c r="K935" s="4">
        <f t="shared" si="436"/>
        <v>5.0625950330269669</v>
      </c>
      <c r="L935" s="2">
        <v>0</v>
      </c>
      <c r="M935" s="2">
        <v>0</v>
      </c>
      <c r="N935" s="4">
        <f t="shared" si="437"/>
        <v>44.9</v>
      </c>
      <c r="O935" s="4">
        <f t="shared" si="438"/>
        <v>0</v>
      </c>
      <c r="P935" s="4">
        <f t="shared" si="439"/>
        <v>0</v>
      </c>
      <c r="Q935" s="4">
        <f t="shared" si="440"/>
        <v>8.1605182474775049</v>
      </c>
      <c r="R935" s="4">
        <f t="shared" si="441"/>
        <v>5.0625950330269669</v>
      </c>
      <c r="S935" s="4">
        <f t="shared" si="442"/>
        <v>44.9</v>
      </c>
      <c r="T935" s="4">
        <f t="shared" si="443"/>
        <v>0</v>
      </c>
      <c r="U935" s="4">
        <f t="shared" si="444"/>
        <v>8.1605182474775049</v>
      </c>
      <c r="V935" s="4">
        <f t="shared" si="445"/>
        <v>5.0625950330269669</v>
      </c>
      <c r="W935" s="4">
        <f t="shared" si="446"/>
        <v>44.9</v>
      </c>
      <c r="X935" s="4">
        <f t="shared" si="447"/>
        <v>0</v>
      </c>
      <c r="Y935" s="4">
        <f t="shared" si="448"/>
        <v>8.1605182474775049</v>
      </c>
      <c r="Z935" s="4">
        <f t="shared" si="449"/>
        <v>5.0625950330269669</v>
      </c>
      <c r="AA935" s="4">
        <f t="shared" si="450"/>
        <v>44.9</v>
      </c>
      <c r="AB935" s="4">
        <f t="shared" si="451"/>
        <v>0</v>
      </c>
      <c r="AC935" s="4">
        <f t="shared" si="452"/>
        <v>0</v>
      </c>
      <c r="AD935" s="4">
        <f t="shared" si="453"/>
        <v>0</v>
      </c>
      <c r="AE935" s="4">
        <f t="shared" si="454"/>
        <v>0</v>
      </c>
      <c r="AF935" s="4">
        <f t="shared" si="455"/>
        <v>0</v>
      </c>
      <c r="AG935" s="4">
        <f t="shared" si="456"/>
        <v>8.1605182474775049</v>
      </c>
      <c r="AH935" s="4">
        <f t="shared" si="457"/>
        <v>0</v>
      </c>
      <c r="AI935" s="4">
        <f t="shared" si="458"/>
        <v>0</v>
      </c>
      <c r="AJ935" s="4">
        <f t="shared" si="459"/>
        <v>8.1605182474775049</v>
      </c>
      <c r="AK935" s="4">
        <f t="shared" si="460"/>
        <v>5.0625950330269669</v>
      </c>
      <c r="AL935" s="4">
        <f t="shared" si="461"/>
        <v>0</v>
      </c>
      <c r="AM935" s="4">
        <f>CER!$C$7+CER!$C$8*J935+CER!$C$9*K935+CER!$C$10*L935+CER!$C$11*M935</f>
        <v>3.695635464565961</v>
      </c>
      <c r="AN935" s="4">
        <f t="shared" si="462"/>
        <v>40.27115535089689</v>
      </c>
      <c r="AO935" s="4">
        <f t="shared" si="463"/>
        <v>-0.10273291246621552</v>
      </c>
      <c r="AP935" s="4">
        <f>Alternatives!$F$25+Alternatives!$F$26*J935+Alternatives!$F$27*K935+Alternatives!$F$28*G935+Alternatives!$F$29*O935</f>
        <v>3.533260877128765</v>
      </c>
      <c r="AQ935" s="4">
        <f t="shared" si="464"/>
        <v>5.9641674970980496E-2</v>
      </c>
    </row>
    <row r="936" spans="1:43" x14ac:dyDescent="0.35">
      <c r="A936" s="2" t="s">
        <v>796</v>
      </c>
      <c r="B936" s="2" t="s">
        <v>794</v>
      </c>
      <c r="C936" s="2" t="s">
        <v>67</v>
      </c>
      <c r="D936" s="2">
        <v>36.091799999999999</v>
      </c>
      <c r="E936" s="2">
        <v>4000</v>
      </c>
      <c r="F936" s="2">
        <v>184</v>
      </c>
      <c r="G936" s="2">
        <v>47.3</v>
      </c>
      <c r="H936" s="2" t="s">
        <v>68</v>
      </c>
      <c r="I936" s="4">
        <f t="shared" si="434"/>
        <v>3.5860656927226859</v>
      </c>
      <c r="J936" s="4">
        <f t="shared" si="435"/>
        <v>8.2940496401020276</v>
      </c>
      <c r="K936" s="4">
        <f t="shared" si="436"/>
        <v>5.2149357576089859</v>
      </c>
      <c r="L936" s="2">
        <v>0</v>
      </c>
      <c r="M936" s="2">
        <v>0</v>
      </c>
      <c r="N936" s="4">
        <f t="shared" si="437"/>
        <v>47.3</v>
      </c>
      <c r="O936" s="4">
        <f t="shared" si="438"/>
        <v>0</v>
      </c>
      <c r="P936" s="4">
        <f t="shared" si="439"/>
        <v>0</v>
      </c>
      <c r="Q936" s="4">
        <f t="shared" si="440"/>
        <v>8.2940496401020276</v>
      </c>
      <c r="R936" s="4">
        <f t="shared" si="441"/>
        <v>5.2149357576089859</v>
      </c>
      <c r="S936" s="4">
        <f t="shared" si="442"/>
        <v>47.3</v>
      </c>
      <c r="T936" s="4">
        <f t="shared" si="443"/>
        <v>0</v>
      </c>
      <c r="U936" s="4">
        <f t="shared" si="444"/>
        <v>8.2940496401020276</v>
      </c>
      <c r="V936" s="4">
        <f t="shared" si="445"/>
        <v>5.2149357576089859</v>
      </c>
      <c r="W936" s="4">
        <f t="shared" si="446"/>
        <v>47.3</v>
      </c>
      <c r="X936" s="4">
        <f t="shared" si="447"/>
        <v>0</v>
      </c>
      <c r="Y936" s="4">
        <f t="shared" si="448"/>
        <v>8.2940496401020276</v>
      </c>
      <c r="Z936" s="4">
        <f t="shared" si="449"/>
        <v>5.2149357576089859</v>
      </c>
      <c r="AA936" s="4">
        <f t="shared" si="450"/>
        <v>47.3</v>
      </c>
      <c r="AB936" s="4">
        <f t="shared" si="451"/>
        <v>0</v>
      </c>
      <c r="AC936" s="4">
        <f t="shared" si="452"/>
        <v>0</v>
      </c>
      <c r="AD936" s="4">
        <f t="shared" si="453"/>
        <v>0</v>
      </c>
      <c r="AE936" s="4">
        <f t="shared" si="454"/>
        <v>0</v>
      </c>
      <c r="AF936" s="4">
        <f t="shared" si="455"/>
        <v>0</v>
      </c>
      <c r="AG936" s="4">
        <f t="shared" si="456"/>
        <v>8.2940496401020276</v>
      </c>
      <c r="AH936" s="4">
        <f t="shared" si="457"/>
        <v>0</v>
      </c>
      <c r="AI936" s="4">
        <f t="shared" si="458"/>
        <v>0</v>
      </c>
      <c r="AJ936" s="4">
        <f t="shared" si="459"/>
        <v>8.2940496401020276</v>
      </c>
      <c r="AK936" s="4">
        <f t="shared" si="460"/>
        <v>5.2149357576089859</v>
      </c>
      <c r="AL936" s="4">
        <f t="shared" si="461"/>
        <v>0</v>
      </c>
      <c r="AM936" s="4">
        <f>CER!$C$7+CER!$C$8*J936+CER!$C$9*K936+CER!$C$10*L936+CER!$C$11*M936</f>
        <v>3.5789794326680315</v>
      </c>
      <c r="AN936" s="4">
        <f t="shared" si="462"/>
        <v>35.836948159019329</v>
      </c>
      <c r="AO936" s="4">
        <f t="shared" si="463"/>
        <v>7.086260054654403E-3</v>
      </c>
      <c r="AP936" s="4">
        <f>Alternatives!$F$25+Alternatives!$F$26*J936+Alternatives!$F$27*K936+Alternatives!$F$28*G936+Alternatives!$F$29*O936</f>
        <v>3.5109220329432707</v>
      </c>
      <c r="AQ936" s="4">
        <f t="shared" si="464"/>
        <v>7.5143659779415284E-2</v>
      </c>
    </row>
    <row r="937" spans="1:43" x14ac:dyDescent="0.35">
      <c r="A937" s="2" t="s">
        <v>797</v>
      </c>
      <c r="B937" s="2" t="s">
        <v>794</v>
      </c>
      <c r="C937" s="2" t="s">
        <v>67</v>
      </c>
      <c r="D937" s="2">
        <v>34.514099999999999</v>
      </c>
      <c r="E937" s="2">
        <v>4000</v>
      </c>
      <c r="F937" s="2">
        <v>184</v>
      </c>
      <c r="G937" s="2">
        <v>47.3</v>
      </c>
      <c r="H937" s="2" t="s">
        <v>68</v>
      </c>
      <c r="I937" s="4">
        <f t="shared" si="434"/>
        <v>3.5413679361961679</v>
      </c>
      <c r="J937" s="4">
        <f t="shared" si="435"/>
        <v>8.2940496401020276</v>
      </c>
      <c r="K937" s="4">
        <f t="shared" si="436"/>
        <v>5.2149357576089859</v>
      </c>
      <c r="L937" s="2">
        <v>0</v>
      </c>
      <c r="M937" s="2">
        <v>0</v>
      </c>
      <c r="N937" s="4">
        <f t="shared" si="437"/>
        <v>47.3</v>
      </c>
      <c r="O937" s="4">
        <f t="shared" si="438"/>
        <v>0</v>
      </c>
      <c r="P937" s="4">
        <f t="shared" si="439"/>
        <v>0</v>
      </c>
      <c r="Q937" s="4">
        <f t="shared" si="440"/>
        <v>8.2940496401020276</v>
      </c>
      <c r="R937" s="4">
        <f t="shared" si="441"/>
        <v>5.2149357576089859</v>
      </c>
      <c r="S937" s="4">
        <f t="shared" si="442"/>
        <v>47.3</v>
      </c>
      <c r="T937" s="4">
        <f t="shared" si="443"/>
        <v>0</v>
      </c>
      <c r="U937" s="4">
        <f t="shared" si="444"/>
        <v>8.2940496401020276</v>
      </c>
      <c r="V937" s="4">
        <f t="shared" si="445"/>
        <v>5.2149357576089859</v>
      </c>
      <c r="W937" s="4">
        <f t="shared" si="446"/>
        <v>47.3</v>
      </c>
      <c r="X937" s="4">
        <f t="shared" si="447"/>
        <v>0</v>
      </c>
      <c r="Y937" s="4">
        <f t="shared" si="448"/>
        <v>8.2940496401020276</v>
      </c>
      <c r="Z937" s="4">
        <f t="shared" si="449"/>
        <v>5.2149357576089859</v>
      </c>
      <c r="AA937" s="4">
        <f t="shared" si="450"/>
        <v>47.3</v>
      </c>
      <c r="AB937" s="4">
        <f t="shared" si="451"/>
        <v>0</v>
      </c>
      <c r="AC937" s="4">
        <f t="shared" si="452"/>
        <v>0</v>
      </c>
      <c r="AD937" s="4">
        <f t="shared" si="453"/>
        <v>0</v>
      </c>
      <c r="AE937" s="4">
        <f t="shared" si="454"/>
        <v>0</v>
      </c>
      <c r="AF937" s="4">
        <f t="shared" si="455"/>
        <v>0</v>
      </c>
      <c r="AG937" s="4">
        <f t="shared" si="456"/>
        <v>8.2940496401020276</v>
      </c>
      <c r="AH937" s="4">
        <f t="shared" si="457"/>
        <v>0</v>
      </c>
      <c r="AI937" s="4">
        <f t="shared" si="458"/>
        <v>0</v>
      </c>
      <c r="AJ937" s="4">
        <f t="shared" si="459"/>
        <v>8.2940496401020276</v>
      </c>
      <c r="AK937" s="4">
        <f t="shared" si="460"/>
        <v>5.2149357576089859</v>
      </c>
      <c r="AL937" s="4">
        <f t="shared" si="461"/>
        <v>0</v>
      </c>
      <c r="AM937" s="4">
        <f>CER!$C$7+CER!$C$8*J937+CER!$C$9*K937+CER!$C$10*L937+CER!$C$11*M937</f>
        <v>3.5789794326680315</v>
      </c>
      <c r="AN937" s="4">
        <f t="shared" si="462"/>
        <v>35.836948159019329</v>
      </c>
      <c r="AO937" s="4">
        <f t="shared" si="463"/>
        <v>-3.7611496471863681E-2</v>
      </c>
      <c r="AP937" s="4">
        <f>Alternatives!$F$25+Alternatives!$F$26*J937+Alternatives!$F$27*K937+Alternatives!$F$28*G937+Alternatives!$F$29*O937</f>
        <v>3.5109220329432707</v>
      </c>
      <c r="AQ937" s="4">
        <f t="shared" si="464"/>
        <v>3.04459032528972E-2</v>
      </c>
    </row>
    <row r="938" spans="1:43" x14ac:dyDescent="0.35">
      <c r="A938" s="2" t="s">
        <v>798</v>
      </c>
      <c r="B938" s="2" t="s">
        <v>794</v>
      </c>
      <c r="C938" s="2" t="s">
        <v>67</v>
      </c>
      <c r="D938" s="2">
        <v>33.168700000000001</v>
      </c>
      <c r="E938" s="2">
        <v>4000</v>
      </c>
      <c r="F938" s="2">
        <v>184</v>
      </c>
      <c r="G938" s="2">
        <v>47.1</v>
      </c>
      <c r="H938" s="2" t="s">
        <v>68</v>
      </c>
      <c r="I938" s="4">
        <f t="shared" si="434"/>
        <v>3.5016066601499323</v>
      </c>
      <c r="J938" s="4">
        <f t="shared" si="435"/>
        <v>8.2940496401020276</v>
      </c>
      <c r="K938" s="4">
        <f t="shared" si="436"/>
        <v>5.2149357576089859</v>
      </c>
      <c r="L938" s="2">
        <v>0</v>
      </c>
      <c r="M938" s="2">
        <v>0</v>
      </c>
      <c r="N938" s="4">
        <f t="shared" si="437"/>
        <v>47.1</v>
      </c>
      <c r="O938" s="4">
        <f t="shared" si="438"/>
        <v>0</v>
      </c>
      <c r="P938" s="4">
        <f t="shared" si="439"/>
        <v>0</v>
      </c>
      <c r="Q938" s="4">
        <f t="shared" si="440"/>
        <v>8.2940496401020276</v>
      </c>
      <c r="R938" s="4">
        <f t="shared" si="441"/>
        <v>5.2149357576089859</v>
      </c>
      <c r="S938" s="4">
        <f t="shared" si="442"/>
        <v>47.1</v>
      </c>
      <c r="T938" s="4">
        <f t="shared" si="443"/>
        <v>0</v>
      </c>
      <c r="U938" s="4">
        <f t="shared" si="444"/>
        <v>8.2940496401020276</v>
      </c>
      <c r="V938" s="4">
        <f t="shared" si="445"/>
        <v>5.2149357576089859</v>
      </c>
      <c r="W938" s="4">
        <f t="shared" si="446"/>
        <v>47.1</v>
      </c>
      <c r="X938" s="4">
        <f t="shared" si="447"/>
        <v>0</v>
      </c>
      <c r="Y938" s="4">
        <f t="shared" si="448"/>
        <v>8.2940496401020276</v>
      </c>
      <c r="Z938" s="4">
        <f t="shared" si="449"/>
        <v>5.2149357576089859</v>
      </c>
      <c r="AA938" s="4">
        <f t="shared" si="450"/>
        <v>47.1</v>
      </c>
      <c r="AB938" s="4">
        <f t="shared" si="451"/>
        <v>0</v>
      </c>
      <c r="AC938" s="4">
        <f t="shared" si="452"/>
        <v>0</v>
      </c>
      <c r="AD938" s="4">
        <f t="shared" si="453"/>
        <v>0</v>
      </c>
      <c r="AE938" s="4">
        <f t="shared" si="454"/>
        <v>0</v>
      </c>
      <c r="AF938" s="4">
        <f t="shared" si="455"/>
        <v>0</v>
      </c>
      <c r="AG938" s="4">
        <f t="shared" si="456"/>
        <v>8.2940496401020276</v>
      </c>
      <c r="AH938" s="4">
        <f t="shared" si="457"/>
        <v>0</v>
      </c>
      <c r="AI938" s="4">
        <f t="shared" si="458"/>
        <v>0</v>
      </c>
      <c r="AJ938" s="4">
        <f t="shared" si="459"/>
        <v>8.2940496401020276</v>
      </c>
      <c r="AK938" s="4">
        <f t="shared" si="460"/>
        <v>5.2149357576089859</v>
      </c>
      <c r="AL938" s="4">
        <f t="shared" si="461"/>
        <v>0</v>
      </c>
      <c r="AM938" s="4">
        <f>CER!$C$7+CER!$C$8*J938+CER!$C$9*K938+CER!$C$10*L938+CER!$C$11*M938</f>
        <v>3.5789794326680315</v>
      </c>
      <c r="AN938" s="4">
        <f t="shared" si="462"/>
        <v>35.836948159019329</v>
      </c>
      <c r="AO938" s="4">
        <f t="shared" si="463"/>
        <v>-7.7372772518099264E-2</v>
      </c>
      <c r="AP938" s="4">
        <f>Alternatives!$F$25+Alternatives!$F$26*J938+Alternatives!$F$27*K938+Alternatives!$F$28*G938+Alternatives!$F$29*O938</f>
        <v>3.5135234958517163</v>
      </c>
      <c r="AQ938" s="4">
        <f t="shared" si="464"/>
        <v>-1.1916835701784034E-2</v>
      </c>
    </row>
    <row r="939" spans="1:43" x14ac:dyDescent="0.35">
      <c r="A939" s="2" t="s">
        <v>799</v>
      </c>
      <c r="B939" s="2" t="s">
        <v>794</v>
      </c>
      <c r="C939" s="2" t="s">
        <v>67</v>
      </c>
      <c r="D939" s="2">
        <v>32.290500000000002</v>
      </c>
      <c r="E939" s="2">
        <v>4000</v>
      </c>
      <c r="F939" s="2">
        <v>184</v>
      </c>
      <c r="G939" s="2">
        <v>47.4</v>
      </c>
      <c r="H939" s="2" t="s">
        <v>68</v>
      </c>
      <c r="I939" s="4">
        <f t="shared" si="434"/>
        <v>3.4747730693204741</v>
      </c>
      <c r="J939" s="4">
        <f t="shared" si="435"/>
        <v>8.2940496401020276</v>
      </c>
      <c r="K939" s="4">
        <f t="shared" si="436"/>
        <v>5.2149357576089859</v>
      </c>
      <c r="L939" s="2">
        <v>0</v>
      </c>
      <c r="M939" s="2">
        <v>0</v>
      </c>
      <c r="N939" s="4">
        <f t="shared" si="437"/>
        <v>47.4</v>
      </c>
      <c r="O939" s="4">
        <f t="shared" si="438"/>
        <v>0</v>
      </c>
      <c r="P939" s="4">
        <f t="shared" si="439"/>
        <v>0</v>
      </c>
      <c r="Q939" s="4">
        <f t="shared" si="440"/>
        <v>8.2940496401020276</v>
      </c>
      <c r="R939" s="4">
        <f t="shared" si="441"/>
        <v>5.2149357576089859</v>
      </c>
      <c r="S939" s="4">
        <f t="shared" si="442"/>
        <v>47.4</v>
      </c>
      <c r="T939" s="4">
        <f t="shared" si="443"/>
        <v>0</v>
      </c>
      <c r="U939" s="4">
        <f t="shared" si="444"/>
        <v>8.2940496401020276</v>
      </c>
      <c r="V939" s="4">
        <f t="shared" si="445"/>
        <v>5.2149357576089859</v>
      </c>
      <c r="W939" s="4">
        <f t="shared" si="446"/>
        <v>47.4</v>
      </c>
      <c r="X939" s="4">
        <f t="shared" si="447"/>
        <v>0</v>
      </c>
      <c r="Y939" s="4">
        <f t="shared" si="448"/>
        <v>8.2940496401020276</v>
      </c>
      <c r="Z939" s="4">
        <f t="shared" si="449"/>
        <v>5.2149357576089859</v>
      </c>
      <c r="AA939" s="4">
        <f t="shared" si="450"/>
        <v>47.4</v>
      </c>
      <c r="AB939" s="4">
        <f t="shared" si="451"/>
        <v>0</v>
      </c>
      <c r="AC939" s="4">
        <f t="shared" si="452"/>
        <v>0</v>
      </c>
      <c r="AD939" s="4">
        <f t="shared" si="453"/>
        <v>0</v>
      </c>
      <c r="AE939" s="4">
        <f t="shared" si="454"/>
        <v>0</v>
      </c>
      <c r="AF939" s="4">
        <f t="shared" si="455"/>
        <v>0</v>
      </c>
      <c r="AG939" s="4">
        <f t="shared" si="456"/>
        <v>8.2940496401020276</v>
      </c>
      <c r="AH939" s="4">
        <f t="shared" si="457"/>
        <v>0</v>
      </c>
      <c r="AI939" s="4">
        <f t="shared" si="458"/>
        <v>0</v>
      </c>
      <c r="AJ939" s="4">
        <f t="shared" si="459"/>
        <v>8.2940496401020276</v>
      </c>
      <c r="AK939" s="4">
        <f t="shared" si="460"/>
        <v>5.2149357576089859</v>
      </c>
      <c r="AL939" s="4">
        <f t="shared" si="461"/>
        <v>0</v>
      </c>
      <c r="AM939" s="4">
        <f>CER!$C$7+CER!$C$8*J939+CER!$C$9*K939+CER!$C$10*L939+CER!$C$11*M939</f>
        <v>3.5789794326680315</v>
      </c>
      <c r="AN939" s="4">
        <f t="shared" si="462"/>
        <v>35.836948159019329</v>
      </c>
      <c r="AO939" s="4">
        <f t="shared" si="463"/>
        <v>-0.1042063633475574</v>
      </c>
      <c r="AP939" s="4">
        <f>Alternatives!$F$25+Alternatives!$F$26*J939+Alternatives!$F$27*K939+Alternatives!$F$28*G939+Alternatives!$F$29*O939</f>
        <v>3.5096213014890481</v>
      </c>
      <c r="AQ939" s="4">
        <f t="shared" si="464"/>
        <v>-3.4848232168573912E-2</v>
      </c>
    </row>
    <row r="940" spans="1:43" x14ac:dyDescent="0.35">
      <c r="A940" s="2" t="s">
        <v>800</v>
      </c>
      <c r="B940" s="2" t="s">
        <v>794</v>
      </c>
      <c r="C940" s="2" t="s">
        <v>67</v>
      </c>
      <c r="D940" s="2">
        <v>29.656199999999998</v>
      </c>
      <c r="E940" s="2">
        <v>4500</v>
      </c>
      <c r="F940" s="2">
        <v>269</v>
      </c>
      <c r="G940" s="2">
        <v>54.8</v>
      </c>
      <c r="H940" s="2" t="s">
        <v>68</v>
      </c>
      <c r="I940" s="4">
        <f t="shared" si="434"/>
        <v>3.3896712098235322</v>
      </c>
      <c r="J940" s="4">
        <f t="shared" si="435"/>
        <v>8.4118326757584114</v>
      </c>
      <c r="K940" s="4">
        <f t="shared" si="436"/>
        <v>5.5947113796018391</v>
      </c>
      <c r="L940" s="2">
        <v>0</v>
      </c>
      <c r="M940" s="2">
        <v>0</v>
      </c>
      <c r="N940" s="4">
        <f t="shared" si="437"/>
        <v>54.8</v>
      </c>
      <c r="O940" s="4">
        <f t="shared" si="438"/>
        <v>0</v>
      </c>
      <c r="P940" s="4">
        <f t="shared" si="439"/>
        <v>0</v>
      </c>
      <c r="Q940" s="4">
        <f t="shared" si="440"/>
        <v>8.4118326757584114</v>
      </c>
      <c r="R940" s="4">
        <f t="shared" si="441"/>
        <v>5.5947113796018391</v>
      </c>
      <c r="S940" s="4">
        <f t="shared" si="442"/>
        <v>54.8</v>
      </c>
      <c r="T940" s="4">
        <f t="shared" si="443"/>
        <v>0</v>
      </c>
      <c r="U940" s="4">
        <f t="shared" si="444"/>
        <v>8.4118326757584114</v>
      </c>
      <c r="V940" s="4">
        <f t="shared" si="445"/>
        <v>5.5947113796018391</v>
      </c>
      <c r="W940" s="4">
        <f t="shared" si="446"/>
        <v>54.8</v>
      </c>
      <c r="X940" s="4">
        <f t="shared" si="447"/>
        <v>0</v>
      </c>
      <c r="Y940" s="4">
        <f t="shared" si="448"/>
        <v>8.4118326757584114</v>
      </c>
      <c r="Z940" s="4">
        <f t="shared" si="449"/>
        <v>5.5947113796018391</v>
      </c>
      <c r="AA940" s="4">
        <f t="shared" si="450"/>
        <v>54.8</v>
      </c>
      <c r="AB940" s="4">
        <f t="shared" si="451"/>
        <v>0</v>
      </c>
      <c r="AC940" s="4">
        <f t="shared" si="452"/>
        <v>0</v>
      </c>
      <c r="AD940" s="4">
        <f t="shared" si="453"/>
        <v>0</v>
      </c>
      <c r="AE940" s="4">
        <f t="shared" si="454"/>
        <v>0</v>
      </c>
      <c r="AF940" s="4">
        <f t="shared" si="455"/>
        <v>0</v>
      </c>
      <c r="AG940" s="4">
        <f t="shared" si="456"/>
        <v>8.4118326757584114</v>
      </c>
      <c r="AH940" s="4">
        <f t="shared" si="457"/>
        <v>0</v>
      </c>
      <c r="AI940" s="4">
        <f t="shared" si="458"/>
        <v>0</v>
      </c>
      <c r="AJ940" s="4">
        <f t="shared" si="459"/>
        <v>8.4118326757584114</v>
      </c>
      <c r="AK940" s="4">
        <f t="shared" si="460"/>
        <v>5.5947113796018391</v>
      </c>
      <c r="AL940" s="4">
        <f t="shared" si="461"/>
        <v>0</v>
      </c>
      <c r="AM940" s="4">
        <f>CER!$C$7+CER!$C$8*J940+CER!$C$9*K940+CER!$C$10*L940+CER!$C$11*M940</f>
        <v>3.3855421498748886</v>
      </c>
      <c r="AN940" s="4">
        <f t="shared" si="462"/>
        <v>29.534000231053533</v>
      </c>
      <c r="AO940" s="4">
        <f t="shared" si="463"/>
        <v>4.1290599486436541E-3</v>
      </c>
      <c r="AP940" s="4">
        <f>Alternatives!$F$25+Alternatives!$F$26*J940+Alternatives!$F$27*K940+Alternatives!$F$28*G940+Alternatives!$F$29*O940</f>
        <v>3.3558949452489291</v>
      </c>
      <c r="AQ940" s="4">
        <f t="shared" si="464"/>
        <v>3.3776264574603143E-2</v>
      </c>
    </row>
    <row r="941" spans="1:43" x14ac:dyDescent="0.35">
      <c r="A941" s="2" t="s">
        <v>801</v>
      </c>
      <c r="B941" s="2" t="s">
        <v>794</v>
      </c>
      <c r="C941" s="2" t="s">
        <v>67</v>
      </c>
      <c r="D941" s="2">
        <v>28.4969</v>
      </c>
      <c r="E941" s="2">
        <v>4500</v>
      </c>
      <c r="F941" s="2">
        <v>269</v>
      </c>
      <c r="G941" s="2">
        <v>54.8</v>
      </c>
      <c r="H941" s="2" t="s">
        <v>68</v>
      </c>
      <c r="I941" s="4">
        <f t="shared" si="434"/>
        <v>3.3497953094286848</v>
      </c>
      <c r="J941" s="4">
        <f t="shared" si="435"/>
        <v>8.4118326757584114</v>
      </c>
      <c r="K941" s="4">
        <f t="shared" si="436"/>
        <v>5.5947113796018391</v>
      </c>
      <c r="L941" s="2">
        <v>0</v>
      </c>
      <c r="M941" s="2">
        <v>0</v>
      </c>
      <c r="N941" s="4">
        <f t="shared" si="437"/>
        <v>54.8</v>
      </c>
      <c r="O941" s="4">
        <f t="shared" si="438"/>
        <v>0</v>
      </c>
      <c r="P941" s="4">
        <f t="shared" si="439"/>
        <v>0</v>
      </c>
      <c r="Q941" s="4">
        <f t="shared" si="440"/>
        <v>8.4118326757584114</v>
      </c>
      <c r="R941" s="4">
        <f t="shared" si="441"/>
        <v>5.5947113796018391</v>
      </c>
      <c r="S941" s="4">
        <f t="shared" si="442"/>
        <v>54.8</v>
      </c>
      <c r="T941" s="4">
        <f t="shared" si="443"/>
        <v>0</v>
      </c>
      <c r="U941" s="4">
        <f t="shared" si="444"/>
        <v>8.4118326757584114</v>
      </c>
      <c r="V941" s="4">
        <f t="shared" si="445"/>
        <v>5.5947113796018391</v>
      </c>
      <c r="W941" s="4">
        <f t="shared" si="446"/>
        <v>54.8</v>
      </c>
      <c r="X941" s="4">
        <f t="shared" si="447"/>
        <v>0</v>
      </c>
      <c r="Y941" s="4">
        <f t="shared" si="448"/>
        <v>8.4118326757584114</v>
      </c>
      <c r="Z941" s="4">
        <f t="shared" si="449"/>
        <v>5.5947113796018391</v>
      </c>
      <c r="AA941" s="4">
        <f t="shared" si="450"/>
        <v>54.8</v>
      </c>
      <c r="AB941" s="4">
        <f t="shared" si="451"/>
        <v>0</v>
      </c>
      <c r="AC941" s="4">
        <f t="shared" si="452"/>
        <v>0</v>
      </c>
      <c r="AD941" s="4">
        <f t="shared" si="453"/>
        <v>0</v>
      </c>
      <c r="AE941" s="4">
        <f t="shared" si="454"/>
        <v>0</v>
      </c>
      <c r="AF941" s="4">
        <f t="shared" si="455"/>
        <v>0</v>
      </c>
      <c r="AG941" s="4">
        <f t="shared" si="456"/>
        <v>8.4118326757584114</v>
      </c>
      <c r="AH941" s="4">
        <f t="shared" si="457"/>
        <v>0</v>
      </c>
      <c r="AI941" s="4">
        <f t="shared" si="458"/>
        <v>0</v>
      </c>
      <c r="AJ941" s="4">
        <f t="shared" si="459"/>
        <v>8.4118326757584114</v>
      </c>
      <c r="AK941" s="4">
        <f t="shared" si="460"/>
        <v>5.5947113796018391</v>
      </c>
      <c r="AL941" s="4">
        <f t="shared" si="461"/>
        <v>0</v>
      </c>
      <c r="AM941" s="4">
        <f>CER!$C$7+CER!$C$8*J941+CER!$C$9*K941+CER!$C$10*L941+CER!$C$11*M941</f>
        <v>3.3855421498748886</v>
      </c>
      <c r="AN941" s="4">
        <f t="shared" si="462"/>
        <v>29.534000231053533</v>
      </c>
      <c r="AO941" s="4">
        <f t="shared" si="463"/>
        <v>-3.5746840446203798E-2</v>
      </c>
      <c r="AP941" s="4">
        <f>Alternatives!$F$25+Alternatives!$F$26*J941+Alternatives!$F$27*K941+Alternatives!$F$28*G941+Alternatives!$F$29*O941</f>
        <v>3.3558949452489291</v>
      </c>
      <c r="AQ941" s="4">
        <f t="shared" si="464"/>
        <v>-6.0996358202443091E-3</v>
      </c>
    </row>
    <row r="942" spans="1:43" x14ac:dyDescent="0.35">
      <c r="A942" s="2" t="s">
        <v>802</v>
      </c>
      <c r="B942" s="2" t="s">
        <v>794</v>
      </c>
      <c r="C942" s="2" t="s">
        <v>67</v>
      </c>
      <c r="D942" s="2">
        <v>27.5017</v>
      </c>
      <c r="E942" s="2">
        <v>5000</v>
      </c>
      <c r="F942" s="2">
        <v>269</v>
      </c>
      <c r="G942" s="2">
        <v>54.8</v>
      </c>
      <c r="H942" s="2" t="s">
        <v>68</v>
      </c>
      <c r="I942" s="4">
        <f t="shared" si="434"/>
        <v>3.3142478209436788</v>
      </c>
      <c r="J942" s="4">
        <f t="shared" si="435"/>
        <v>8.5171931914162382</v>
      </c>
      <c r="K942" s="4">
        <f t="shared" si="436"/>
        <v>5.5947113796018391</v>
      </c>
      <c r="L942" s="2">
        <v>0</v>
      </c>
      <c r="M942" s="2">
        <v>0</v>
      </c>
      <c r="N942" s="4">
        <f t="shared" si="437"/>
        <v>54.8</v>
      </c>
      <c r="O942" s="4">
        <f t="shared" si="438"/>
        <v>0</v>
      </c>
      <c r="P942" s="4">
        <f t="shared" si="439"/>
        <v>0</v>
      </c>
      <c r="Q942" s="4">
        <f t="shared" si="440"/>
        <v>8.5171931914162382</v>
      </c>
      <c r="R942" s="4">
        <f t="shared" si="441"/>
        <v>5.5947113796018391</v>
      </c>
      <c r="S942" s="4">
        <f t="shared" si="442"/>
        <v>54.8</v>
      </c>
      <c r="T942" s="4">
        <f t="shared" si="443"/>
        <v>0</v>
      </c>
      <c r="U942" s="4">
        <f t="shared" si="444"/>
        <v>8.5171931914162382</v>
      </c>
      <c r="V942" s="4">
        <f t="shared" si="445"/>
        <v>5.5947113796018391</v>
      </c>
      <c r="W942" s="4">
        <f t="shared" si="446"/>
        <v>54.8</v>
      </c>
      <c r="X942" s="4">
        <f t="shared" si="447"/>
        <v>0</v>
      </c>
      <c r="Y942" s="4">
        <f t="shared" si="448"/>
        <v>8.5171931914162382</v>
      </c>
      <c r="Z942" s="4">
        <f t="shared" si="449"/>
        <v>5.5947113796018391</v>
      </c>
      <c r="AA942" s="4">
        <f t="shared" si="450"/>
        <v>54.8</v>
      </c>
      <c r="AB942" s="4">
        <f t="shared" si="451"/>
        <v>0</v>
      </c>
      <c r="AC942" s="4">
        <f t="shared" si="452"/>
        <v>0</v>
      </c>
      <c r="AD942" s="4">
        <f t="shared" si="453"/>
        <v>0</v>
      </c>
      <c r="AE942" s="4">
        <f t="shared" si="454"/>
        <v>0</v>
      </c>
      <c r="AF942" s="4">
        <f t="shared" si="455"/>
        <v>0</v>
      </c>
      <c r="AG942" s="4">
        <f t="shared" si="456"/>
        <v>8.5171931914162382</v>
      </c>
      <c r="AH942" s="4">
        <f t="shared" si="457"/>
        <v>0</v>
      </c>
      <c r="AI942" s="4">
        <f t="shared" si="458"/>
        <v>0</v>
      </c>
      <c r="AJ942" s="4">
        <f t="shared" si="459"/>
        <v>8.5171931914162382</v>
      </c>
      <c r="AK942" s="4">
        <f t="shared" si="460"/>
        <v>5.5947113796018391</v>
      </c>
      <c r="AL942" s="4">
        <f t="shared" si="461"/>
        <v>0</v>
      </c>
      <c r="AM942" s="4">
        <f>CER!$C$7+CER!$C$8*J942+CER!$C$9*K942+CER!$C$10*L942+CER!$C$11*M942</f>
        <v>3.3378444835881638</v>
      </c>
      <c r="AN942" s="4">
        <f t="shared" si="462"/>
        <v>28.158365424162895</v>
      </c>
      <c r="AO942" s="4">
        <f t="shared" si="463"/>
        <v>-2.3596662644485011E-2</v>
      </c>
      <c r="AP942" s="4">
        <f>Alternatives!$F$25+Alternatives!$F$26*J942+Alternatives!$F$27*K942+Alternatives!$F$28*G942+Alternatives!$F$29*O942</f>
        <v>3.3948873947386602</v>
      </c>
      <c r="AQ942" s="4">
        <f t="shared" si="464"/>
        <v>-8.0639573794981434E-2</v>
      </c>
    </row>
    <row r="943" spans="1:43" x14ac:dyDescent="0.35">
      <c r="A943" s="2" t="s">
        <v>803</v>
      </c>
      <c r="B943" s="2" t="s">
        <v>794</v>
      </c>
      <c r="C943" s="2" t="s">
        <v>67</v>
      </c>
      <c r="D943" s="2">
        <v>26.588200000000001</v>
      </c>
      <c r="E943" s="2">
        <v>5000</v>
      </c>
      <c r="F943" s="2">
        <v>269</v>
      </c>
      <c r="G943" s="2">
        <v>54.8</v>
      </c>
      <c r="H943" s="2" t="s">
        <v>68</v>
      </c>
      <c r="I943" s="4">
        <f t="shared" si="434"/>
        <v>3.2804675083415056</v>
      </c>
      <c r="J943" s="4">
        <f t="shared" si="435"/>
        <v>8.5171931914162382</v>
      </c>
      <c r="K943" s="4">
        <f t="shared" si="436"/>
        <v>5.5947113796018391</v>
      </c>
      <c r="L943" s="2">
        <v>0</v>
      </c>
      <c r="M943" s="2">
        <v>0</v>
      </c>
      <c r="N943" s="4">
        <f t="shared" si="437"/>
        <v>54.8</v>
      </c>
      <c r="O943" s="4">
        <f t="shared" si="438"/>
        <v>0</v>
      </c>
      <c r="P943" s="4">
        <f t="shared" si="439"/>
        <v>0</v>
      </c>
      <c r="Q943" s="4">
        <f t="shared" si="440"/>
        <v>8.5171931914162382</v>
      </c>
      <c r="R943" s="4">
        <f t="shared" si="441"/>
        <v>5.5947113796018391</v>
      </c>
      <c r="S943" s="4">
        <f t="shared" si="442"/>
        <v>54.8</v>
      </c>
      <c r="T943" s="4">
        <f t="shared" si="443"/>
        <v>0</v>
      </c>
      <c r="U943" s="4">
        <f t="shared" si="444"/>
        <v>8.5171931914162382</v>
      </c>
      <c r="V943" s="4">
        <f t="shared" si="445"/>
        <v>5.5947113796018391</v>
      </c>
      <c r="W943" s="4">
        <f t="shared" si="446"/>
        <v>54.8</v>
      </c>
      <c r="X943" s="4">
        <f t="shared" si="447"/>
        <v>0</v>
      </c>
      <c r="Y943" s="4">
        <f t="shared" si="448"/>
        <v>8.5171931914162382</v>
      </c>
      <c r="Z943" s="4">
        <f t="shared" si="449"/>
        <v>5.5947113796018391</v>
      </c>
      <c r="AA943" s="4">
        <f t="shared" si="450"/>
        <v>54.8</v>
      </c>
      <c r="AB943" s="4">
        <f t="shared" si="451"/>
        <v>0</v>
      </c>
      <c r="AC943" s="4">
        <f t="shared" si="452"/>
        <v>0</v>
      </c>
      <c r="AD943" s="4">
        <f t="shared" si="453"/>
        <v>0</v>
      </c>
      <c r="AE943" s="4">
        <f t="shared" si="454"/>
        <v>0</v>
      </c>
      <c r="AF943" s="4">
        <f t="shared" si="455"/>
        <v>0</v>
      </c>
      <c r="AG943" s="4">
        <f t="shared" si="456"/>
        <v>8.5171931914162382</v>
      </c>
      <c r="AH943" s="4">
        <f t="shared" si="457"/>
        <v>0</v>
      </c>
      <c r="AI943" s="4">
        <f t="shared" si="458"/>
        <v>0</v>
      </c>
      <c r="AJ943" s="4">
        <f t="shared" si="459"/>
        <v>8.5171931914162382</v>
      </c>
      <c r="AK943" s="4">
        <f t="shared" si="460"/>
        <v>5.5947113796018391</v>
      </c>
      <c r="AL943" s="4">
        <f t="shared" si="461"/>
        <v>0</v>
      </c>
      <c r="AM943" s="4">
        <f>CER!$C$7+CER!$C$8*J943+CER!$C$9*K943+CER!$C$10*L943+CER!$C$11*M943</f>
        <v>3.3378444835881638</v>
      </c>
      <c r="AN943" s="4">
        <f t="shared" si="462"/>
        <v>28.158365424162895</v>
      </c>
      <c r="AO943" s="4">
        <f t="shared" si="463"/>
        <v>-5.7376975246658191E-2</v>
      </c>
      <c r="AP943" s="4">
        <f>Alternatives!$F$25+Alternatives!$F$26*J943+Alternatives!$F$27*K943+Alternatives!$F$28*G943+Alternatives!$F$29*O943</f>
        <v>3.3948873947386602</v>
      </c>
      <c r="AQ943" s="4">
        <f t="shared" si="464"/>
        <v>-0.11441988639715461</v>
      </c>
    </row>
    <row r="944" spans="1:43" x14ac:dyDescent="0.35">
      <c r="A944" s="2" t="s">
        <v>804</v>
      </c>
      <c r="B944" s="2" t="s">
        <v>794</v>
      </c>
      <c r="C944" s="2" t="s">
        <v>67</v>
      </c>
      <c r="D944" s="2">
        <v>29.656199999999998</v>
      </c>
      <c r="E944" s="2">
        <v>4500</v>
      </c>
      <c r="F944" s="2">
        <v>269</v>
      </c>
      <c r="G944" s="2">
        <v>54.8</v>
      </c>
      <c r="H944" s="2" t="s">
        <v>68</v>
      </c>
      <c r="I944" s="4">
        <f t="shared" si="434"/>
        <v>3.3896712098235322</v>
      </c>
      <c r="J944" s="4">
        <f t="shared" si="435"/>
        <v>8.4118326757584114</v>
      </c>
      <c r="K944" s="4">
        <f t="shared" si="436"/>
        <v>5.5947113796018391</v>
      </c>
      <c r="L944" s="2">
        <v>0</v>
      </c>
      <c r="M944" s="2">
        <v>0</v>
      </c>
      <c r="N944" s="4">
        <f t="shared" si="437"/>
        <v>54.8</v>
      </c>
      <c r="O944" s="4">
        <f t="shared" si="438"/>
        <v>0</v>
      </c>
      <c r="P944" s="4">
        <f t="shared" si="439"/>
        <v>0</v>
      </c>
      <c r="Q944" s="4">
        <f t="shared" si="440"/>
        <v>8.4118326757584114</v>
      </c>
      <c r="R944" s="4">
        <f t="shared" si="441"/>
        <v>5.5947113796018391</v>
      </c>
      <c r="S944" s="4">
        <f t="shared" si="442"/>
        <v>54.8</v>
      </c>
      <c r="T944" s="4">
        <f t="shared" si="443"/>
        <v>0</v>
      </c>
      <c r="U944" s="4">
        <f t="shared" si="444"/>
        <v>8.4118326757584114</v>
      </c>
      <c r="V944" s="4">
        <f t="shared" si="445"/>
        <v>5.5947113796018391</v>
      </c>
      <c r="W944" s="4">
        <f t="shared" si="446"/>
        <v>54.8</v>
      </c>
      <c r="X944" s="4">
        <f t="shared" si="447"/>
        <v>0</v>
      </c>
      <c r="Y944" s="4">
        <f t="shared" si="448"/>
        <v>8.4118326757584114</v>
      </c>
      <c r="Z944" s="4">
        <f t="shared" si="449"/>
        <v>5.5947113796018391</v>
      </c>
      <c r="AA944" s="4">
        <f t="shared" si="450"/>
        <v>54.8</v>
      </c>
      <c r="AB944" s="4">
        <f t="shared" si="451"/>
        <v>0</v>
      </c>
      <c r="AC944" s="4">
        <f t="shared" si="452"/>
        <v>0</v>
      </c>
      <c r="AD944" s="4">
        <f t="shared" si="453"/>
        <v>0</v>
      </c>
      <c r="AE944" s="4">
        <f t="shared" si="454"/>
        <v>0</v>
      </c>
      <c r="AF944" s="4">
        <f t="shared" si="455"/>
        <v>0</v>
      </c>
      <c r="AG944" s="4">
        <f t="shared" si="456"/>
        <v>8.4118326757584114</v>
      </c>
      <c r="AH944" s="4">
        <f t="shared" si="457"/>
        <v>0</v>
      </c>
      <c r="AI944" s="4">
        <f t="shared" si="458"/>
        <v>0</v>
      </c>
      <c r="AJ944" s="4">
        <f t="shared" si="459"/>
        <v>8.4118326757584114</v>
      </c>
      <c r="AK944" s="4">
        <f t="shared" si="460"/>
        <v>5.5947113796018391</v>
      </c>
      <c r="AL944" s="4">
        <f t="shared" si="461"/>
        <v>0</v>
      </c>
      <c r="AM944" s="4">
        <f>CER!$C$7+CER!$C$8*J944+CER!$C$9*K944+CER!$C$10*L944+CER!$C$11*M944</f>
        <v>3.3855421498748886</v>
      </c>
      <c r="AN944" s="4">
        <f t="shared" si="462"/>
        <v>29.534000231053533</v>
      </c>
      <c r="AO944" s="4">
        <f t="shared" si="463"/>
        <v>4.1290599486436541E-3</v>
      </c>
      <c r="AP944" s="4">
        <f>Alternatives!$F$25+Alternatives!$F$26*J944+Alternatives!$F$27*K944+Alternatives!$F$28*G944+Alternatives!$F$29*O944</f>
        <v>3.3558949452489291</v>
      </c>
      <c r="AQ944" s="4">
        <f t="shared" si="464"/>
        <v>3.3776264574603143E-2</v>
      </c>
    </row>
    <row r="945" spans="1:43" x14ac:dyDescent="0.35">
      <c r="A945" s="2" t="s">
        <v>805</v>
      </c>
      <c r="B945" s="2" t="s">
        <v>794</v>
      </c>
      <c r="C945" s="2" t="s">
        <v>67</v>
      </c>
      <c r="D945" s="2">
        <v>28.4969</v>
      </c>
      <c r="E945" s="2">
        <v>4500</v>
      </c>
      <c r="F945" s="2">
        <v>269</v>
      </c>
      <c r="G945" s="2">
        <v>54.8</v>
      </c>
      <c r="H945" s="2" t="s">
        <v>68</v>
      </c>
      <c r="I945" s="4">
        <f t="shared" si="434"/>
        <v>3.3497953094286848</v>
      </c>
      <c r="J945" s="4">
        <f t="shared" si="435"/>
        <v>8.4118326757584114</v>
      </c>
      <c r="K945" s="4">
        <f t="shared" si="436"/>
        <v>5.5947113796018391</v>
      </c>
      <c r="L945" s="2">
        <v>0</v>
      </c>
      <c r="M945" s="2">
        <v>0</v>
      </c>
      <c r="N945" s="4">
        <f t="shared" si="437"/>
        <v>54.8</v>
      </c>
      <c r="O945" s="4">
        <f t="shared" si="438"/>
        <v>0</v>
      </c>
      <c r="P945" s="4">
        <f t="shared" si="439"/>
        <v>0</v>
      </c>
      <c r="Q945" s="4">
        <f t="shared" si="440"/>
        <v>8.4118326757584114</v>
      </c>
      <c r="R945" s="4">
        <f t="shared" si="441"/>
        <v>5.5947113796018391</v>
      </c>
      <c r="S945" s="4">
        <f t="shared" si="442"/>
        <v>54.8</v>
      </c>
      <c r="T945" s="4">
        <f t="shared" si="443"/>
        <v>0</v>
      </c>
      <c r="U945" s="4">
        <f t="shared" si="444"/>
        <v>8.4118326757584114</v>
      </c>
      <c r="V945" s="4">
        <f t="shared" si="445"/>
        <v>5.5947113796018391</v>
      </c>
      <c r="W945" s="4">
        <f t="shared" si="446"/>
        <v>54.8</v>
      </c>
      <c r="X945" s="4">
        <f t="shared" si="447"/>
        <v>0</v>
      </c>
      <c r="Y945" s="4">
        <f t="shared" si="448"/>
        <v>8.4118326757584114</v>
      </c>
      <c r="Z945" s="4">
        <f t="shared" si="449"/>
        <v>5.5947113796018391</v>
      </c>
      <c r="AA945" s="4">
        <f t="shared" si="450"/>
        <v>54.8</v>
      </c>
      <c r="AB945" s="4">
        <f t="shared" si="451"/>
        <v>0</v>
      </c>
      <c r="AC945" s="4">
        <f t="shared" si="452"/>
        <v>0</v>
      </c>
      <c r="AD945" s="4">
        <f t="shared" si="453"/>
        <v>0</v>
      </c>
      <c r="AE945" s="4">
        <f t="shared" si="454"/>
        <v>0</v>
      </c>
      <c r="AF945" s="4">
        <f t="shared" si="455"/>
        <v>0</v>
      </c>
      <c r="AG945" s="4">
        <f t="shared" si="456"/>
        <v>8.4118326757584114</v>
      </c>
      <c r="AH945" s="4">
        <f t="shared" si="457"/>
        <v>0</v>
      </c>
      <c r="AI945" s="4">
        <f t="shared" si="458"/>
        <v>0</v>
      </c>
      <c r="AJ945" s="4">
        <f t="shared" si="459"/>
        <v>8.4118326757584114</v>
      </c>
      <c r="AK945" s="4">
        <f t="shared" si="460"/>
        <v>5.5947113796018391</v>
      </c>
      <c r="AL945" s="4">
        <f t="shared" si="461"/>
        <v>0</v>
      </c>
      <c r="AM945" s="4">
        <f>CER!$C$7+CER!$C$8*J945+CER!$C$9*K945+CER!$C$10*L945+CER!$C$11*M945</f>
        <v>3.3855421498748886</v>
      </c>
      <c r="AN945" s="4">
        <f t="shared" si="462"/>
        <v>29.534000231053533</v>
      </c>
      <c r="AO945" s="4">
        <f t="shared" si="463"/>
        <v>-3.5746840446203798E-2</v>
      </c>
      <c r="AP945" s="4">
        <f>Alternatives!$F$25+Alternatives!$F$26*J945+Alternatives!$F$27*K945+Alternatives!$F$28*G945+Alternatives!$F$29*O945</f>
        <v>3.3558949452489291</v>
      </c>
      <c r="AQ945" s="4">
        <f t="shared" si="464"/>
        <v>-6.0996358202443091E-3</v>
      </c>
    </row>
    <row r="946" spans="1:43" x14ac:dyDescent="0.35">
      <c r="A946" s="2" t="s">
        <v>806</v>
      </c>
      <c r="B946" s="2" t="s">
        <v>794</v>
      </c>
      <c r="C946" s="2" t="s">
        <v>67</v>
      </c>
      <c r="D946" s="2">
        <v>36.143099999999997</v>
      </c>
      <c r="E946" s="2">
        <v>3500</v>
      </c>
      <c r="F946" s="2">
        <v>241</v>
      </c>
      <c r="G946" s="2">
        <v>43.1</v>
      </c>
      <c r="H946" s="2" t="s">
        <v>68</v>
      </c>
      <c r="I946" s="4">
        <f t="shared" si="434"/>
        <v>3.5874860590172211</v>
      </c>
      <c r="J946" s="4">
        <f t="shared" si="435"/>
        <v>8.1605182474775049</v>
      </c>
      <c r="K946" s="4">
        <f t="shared" si="436"/>
        <v>5.4847969334906548</v>
      </c>
      <c r="L946" s="2">
        <v>0</v>
      </c>
      <c r="M946" s="2">
        <v>0</v>
      </c>
      <c r="N946" s="4">
        <f t="shared" si="437"/>
        <v>43.1</v>
      </c>
      <c r="O946" s="4">
        <f t="shared" si="438"/>
        <v>0</v>
      </c>
      <c r="P946" s="4">
        <f t="shared" si="439"/>
        <v>0</v>
      </c>
      <c r="Q946" s="4">
        <f t="shared" si="440"/>
        <v>8.1605182474775049</v>
      </c>
      <c r="R946" s="4">
        <f t="shared" si="441"/>
        <v>5.4847969334906548</v>
      </c>
      <c r="S946" s="4">
        <f t="shared" si="442"/>
        <v>43.1</v>
      </c>
      <c r="T946" s="4">
        <f t="shared" si="443"/>
        <v>0</v>
      </c>
      <c r="U946" s="4">
        <f t="shared" si="444"/>
        <v>8.1605182474775049</v>
      </c>
      <c r="V946" s="4">
        <f t="shared" si="445"/>
        <v>5.4847969334906548</v>
      </c>
      <c r="W946" s="4">
        <f t="shared" si="446"/>
        <v>43.1</v>
      </c>
      <c r="X946" s="4">
        <f t="shared" si="447"/>
        <v>0</v>
      </c>
      <c r="Y946" s="4">
        <f t="shared" si="448"/>
        <v>8.1605182474775049</v>
      </c>
      <c r="Z946" s="4">
        <f t="shared" si="449"/>
        <v>5.4847969334906548</v>
      </c>
      <c r="AA946" s="4">
        <f t="shared" si="450"/>
        <v>43.1</v>
      </c>
      <c r="AB946" s="4">
        <f t="shared" si="451"/>
        <v>0</v>
      </c>
      <c r="AC946" s="4">
        <f t="shared" si="452"/>
        <v>0</v>
      </c>
      <c r="AD946" s="4">
        <f t="shared" si="453"/>
        <v>0</v>
      </c>
      <c r="AE946" s="4">
        <f t="shared" si="454"/>
        <v>0</v>
      </c>
      <c r="AF946" s="4">
        <f t="shared" si="455"/>
        <v>0</v>
      </c>
      <c r="AG946" s="4">
        <f t="shared" si="456"/>
        <v>8.1605182474775049</v>
      </c>
      <c r="AH946" s="4">
        <f t="shared" si="457"/>
        <v>0</v>
      </c>
      <c r="AI946" s="4">
        <f t="shared" si="458"/>
        <v>0</v>
      </c>
      <c r="AJ946" s="4">
        <f t="shared" si="459"/>
        <v>8.1605182474775049</v>
      </c>
      <c r="AK946" s="4">
        <f t="shared" si="460"/>
        <v>5.4847969334906548</v>
      </c>
      <c r="AL946" s="4">
        <f t="shared" si="461"/>
        <v>0</v>
      </c>
      <c r="AM946" s="4">
        <f>CER!$C$7+CER!$C$8*J946+CER!$C$9*K946+CER!$C$10*L946+CER!$C$11*M946</f>
        <v>3.5398667274070159</v>
      </c>
      <c r="AN946" s="4">
        <f t="shared" si="462"/>
        <v>34.462326001244591</v>
      </c>
      <c r="AO946" s="4">
        <f t="shared" si="463"/>
        <v>4.7619331610205151E-2</v>
      </c>
      <c r="AP946" s="4">
        <f>Alternatives!$F$25+Alternatives!$F$26*J946+Alternatives!$F$27*K946+Alternatives!$F$28*G946+Alternatives!$F$29*O946</f>
        <v>3.4443219091209514</v>
      </c>
      <c r="AQ946" s="4">
        <f t="shared" si="464"/>
        <v>0.14316414989626969</v>
      </c>
    </row>
    <row r="947" spans="1:43" x14ac:dyDescent="0.35">
      <c r="A947" s="2" t="s">
        <v>806</v>
      </c>
      <c r="B947" s="2" t="s">
        <v>794</v>
      </c>
      <c r="C947" s="2" t="s">
        <v>67</v>
      </c>
      <c r="D947" s="2">
        <v>34.651699999999998</v>
      </c>
      <c r="E947" s="2">
        <v>3500</v>
      </c>
      <c r="F947" s="2">
        <v>241</v>
      </c>
      <c r="G947" s="2">
        <v>43.1</v>
      </c>
      <c r="H947" s="2" t="s">
        <v>68</v>
      </c>
      <c r="I947" s="4">
        <f t="shared" si="434"/>
        <v>3.5453467864814714</v>
      </c>
      <c r="J947" s="4">
        <f t="shared" si="435"/>
        <v>8.1605182474775049</v>
      </c>
      <c r="K947" s="4">
        <f t="shared" si="436"/>
        <v>5.4847969334906548</v>
      </c>
      <c r="L947" s="2">
        <v>0</v>
      </c>
      <c r="M947" s="2">
        <v>0</v>
      </c>
      <c r="N947" s="4">
        <f t="shared" si="437"/>
        <v>43.1</v>
      </c>
      <c r="O947" s="4">
        <f t="shared" si="438"/>
        <v>0</v>
      </c>
      <c r="P947" s="4">
        <f t="shared" si="439"/>
        <v>0</v>
      </c>
      <c r="Q947" s="4">
        <f t="shared" si="440"/>
        <v>8.1605182474775049</v>
      </c>
      <c r="R947" s="4">
        <f t="shared" si="441"/>
        <v>5.4847969334906548</v>
      </c>
      <c r="S947" s="4">
        <f t="shared" si="442"/>
        <v>43.1</v>
      </c>
      <c r="T947" s="4">
        <f t="shared" si="443"/>
        <v>0</v>
      </c>
      <c r="U947" s="4">
        <f t="shared" si="444"/>
        <v>8.1605182474775049</v>
      </c>
      <c r="V947" s="4">
        <f t="shared" si="445"/>
        <v>5.4847969334906548</v>
      </c>
      <c r="W947" s="4">
        <f t="shared" si="446"/>
        <v>43.1</v>
      </c>
      <c r="X947" s="4">
        <f t="shared" si="447"/>
        <v>0</v>
      </c>
      <c r="Y947" s="4">
        <f t="shared" si="448"/>
        <v>8.1605182474775049</v>
      </c>
      <c r="Z947" s="4">
        <f t="shared" si="449"/>
        <v>5.4847969334906548</v>
      </c>
      <c r="AA947" s="4">
        <f t="shared" si="450"/>
        <v>43.1</v>
      </c>
      <c r="AB947" s="4">
        <f t="shared" si="451"/>
        <v>0</v>
      </c>
      <c r="AC947" s="4">
        <f t="shared" si="452"/>
        <v>0</v>
      </c>
      <c r="AD947" s="4">
        <f t="shared" si="453"/>
        <v>0</v>
      </c>
      <c r="AE947" s="4">
        <f t="shared" si="454"/>
        <v>0</v>
      </c>
      <c r="AF947" s="4">
        <f t="shared" si="455"/>
        <v>0</v>
      </c>
      <c r="AG947" s="4">
        <f t="shared" si="456"/>
        <v>8.1605182474775049</v>
      </c>
      <c r="AH947" s="4">
        <f t="shared" si="457"/>
        <v>0</v>
      </c>
      <c r="AI947" s="4">
        <f t="shared" si="458"/>
        <v>0</v>
      </c>
      <c r="AJ947" s="4">
        <f t="shared" si="459"/>
        <v>8.1605182474775049</v>
      </c>
      <c r="AK947" s="4">
        <f t="shared" si="460"/>
        <v>5.4847969334906548</v>
      </c>
      <c r="AL947" s="4">
        <f t="shared" si="461"/>
        <v>0</v>
      </c>
      <c r="AM947" s="4">
        <f>CER!$C$7+CER!$C$8*J947+CER!$C$9*K947+CER!$C$10*L947+CER!$C$11*M947</f>
        <v>3.5398667274070159</v>
      </c>
      <c r="AN947" s="4">
        <f t="shared" si="462"/>
        <v>34.462326001244591</v>
      </c>
      <c r="AO947" s="4">
        <f t="shared" si="463"/>
        <v>5.4800590744554789E-3</v>
      </c>
      <c r="AP947" s="4">
        <f>Alternatives!$F$25+Alternatives!$F$26*J947+Alternatives!$F$27*K947+Alternatives!$F$28*G947+Alternatives!$F$29*O947</f>
        <v>3.4443219091209514</v>
      </c>
      <c r="AQ947" s="4">
        <f t="shared" si="464"/>
        <v>0.10102487736052002</v>
      </c>
    </row>
    <row r="948" spans="1:43" x14ac:dyDescent="0.35">
      <c r="A948" s="2" t="s">
        <v>807</v>
      </c>
      <c r="B948" s="2" t="s">
        <v>794</v>
      </c>
      <c r="C948" s="2" t="s">
        <v>67</v>
      </c>
      <c r="D948" s="2">
        <v>32.996400000000001</v>
      </c>
      <c r="E948" s="2">
        <v>3500</v>
      </c>
      <c r="F948" s="2">
        <v>315</v>
      </c>
      <c r="G948" s="2">
        <v>43.3</v>
      </c>
      <c r="H948" s="2" t="s">
        <v>68</v>
      </c>
      <c r="I948" s="4">
        <f t="shared" si="434"/>
        <v>3.4963984646065431</v>
      </c>
      <c r="J948" s="4">
        <f t="shared" si="435"/>
        <v>8.1605182474775049</v>
      </c>
      <c r="K948" s="4">
        <f t="shared" si="436"/>
        <v>5.7525726388256331</v>
      </c>
      <c r="L948" s="2">
        <v>0</v>
      </c>
      <c r="M948" s="2">
        <v>0</v>
      </c>
      <c r="N948" s="4">
        <f t="shared" si="437"/>
        <v>43.3</v>
      </c>
      <c r="O948" s="4">
        <f t="shared" si="438"/>
        <v>0</v>
      </c>
      <c r="P948" s="4">
        <f t="shared" si="439"/>
        <v>0</v>
      </c>
      <c r="Q948" s="4">
        <f t="shared" si="440"/>
        <v>8.1605182474775049</v>
      </c>
      <c r="R948" s="4">
        <f t="shared" si="441"/>
        <v>5.7525726388256331</v>
      </c>
      <c r="S948" s="4">
        <f t="shared" si="442"/>
        <v>43.3</v>
      </c>
      <c r="T948" s="4">
        <f t="shared" si="443"/>
        <v>0</v>
      </c>
      <c r="U948" s="4">
        <f t="shared" si="444"/>
        <v>8.1605182474775049</v>
      </c>
      <c r="V948" s="4">
        <f t="shared" si="445"/>
        <v>5.7525726388256331</v>
      </c>
      <c r="W948" s="4">
        <f t="shared" si="446"/>
        <v>43.3</v>
      </c>
      <c r="X948" s="4">
        <f t="shared" si="447"/>
        <v>0</v>
      </c>
      <c r="Y948" s="4">
        <f t="shared" si="448"/>
        <v>8.1605182474775049</v>
      </c>
      <c r="Z948" s="4">
        <f t="shared" si="449"/>
        <v>5.7525726388256331</v>
      </c>
      <c r="AA948" s="4">
        <f t="shared" si="450"/>
        <v>43.3</v>
      </c>
      <c r="AB948" s="4">
        <f t="shared" si="451"/>
        <v>0</v>
      </c>
      <c r="AC948" s="4">
        <f t="shared" si="452"/>
        <v>0</v>
      </c>
      <c r="AD948" s="4">
        <f t="shared" si="453"/>
        <v>0</v>
      </c>
      <c r="AE948" s="4">
        <f t="shared" si="454"/>
        <v>0</v>
      </c>
      <c r="AF948" s="4">
        <f t="shared" si="455"/>
        <v>0</v>
      </c>
      <c r="AG948" s="4">
        <f t="shared" si="456"/>
        <v>8.1605182474775049</v>
      </c>
      <c r="AH948" s="4">
        <f t="shared" si="457"/>
        <v>0</v>
      </c>
      <c r="AI948" s="4">
        <f t="shared" si="458"/>
        <v>0</v>
      </c>
      <c r="AJ948" s="4">
        <f t="shared" si="459"/>
        <v>8.1605182474775049</v>
      </c>
      <c r="AK948" s="4">
        <f t="shared" si="460"/>
        <v>5.7525726388256331</v>
      </c>
      <c r="AL948" s="4">
        <f t="shared" si="461"/>
        <v>0</v>
      </c>
      <c r="AM948" s="4">
        <f>CER!$C$7+CER!$C$8*J948+CER!$C$9*K948+CER!$C$10*L948+CER!$C$11*M948</f>
        <v>3.4410725641972681</v>
      </c>
      <c r="AN948" s="4">
        <f t="shared" si="462"/>
        <v>31.220426128121769</v>
      </c>
      <c r="AO948" s="4">
        <f t="shared" si="463"/>
        <v>5.5325900409274986E-2</v>
      </c>
      <c r="AP948" s="4">
        <f>Alternatives!$F$25+Alternatives!$F$26*J948+Alternatives!$F$27*K948+Alternatives!$F$28*G948+Alternatives!$F$29*O948</f>
        <v>3.3704626618588058</v>
      </c>
      <c r="AQ948" s="4">
        <f t="shared" si="464"/>
        <v>0.1259358027477373</v>
      </c>
    </row>
    <row r="949" spans="1:43" x14ac:dyDescent="0.35">
      <c r="A949" s="2" t="s">
        <v>807</v>
      </c>
      <c r="B949" s="2" t="s">
        <v>794</v>
      </c>
      <c r="C949" s="2" t="s">
        <v>67</v>
      </c>
      <c r="D949" s="2">
        <v>28.893000000000001</v>
      </c>
      <c r="E949" s="2">
        <v>3500</v>
      </c>
      <c r="F949" s="2">
        <v>315</v>
      </c>
      <c r="G949" s="2">
        <v>43.3</v>
      </c>
      <c r="H949" s="2" t="s">
        <v>68</v>
      </c>
      <c r="I949" s="4">
        <f t="shared" si="434"/>
        <v>3.3635993512468372</v>
      </c>
      <c r="J949" s="4">
        <f t="shared" si="435"/>
        <v>8.1605182474775049</v>
      </c>
      <c r="K949" s="4">
        <f t="shared" si="436"/>
        <v>5.7525726388256331</v>
      </c>
      <c r="L949" s="2">
        <v>0</v>
      </c>
      <c r="M949" s="2">
        <v>0</v>
      </c>
      <c r="N949" s="4">
        <f t="shared" si="437"/>
        <v>43.3</v>
      </c>
      <c r="O949" s="4">
        <f t="shared" si="438"/>
        <v>0</v>
      </c>
      <c r="P949" s="4">
        <f t="shared" si="439"/>
        <v>0</v>
      </c>
      <c r="Q949" s="4">
        <f t="shared" si="440"/>
        <v>8.1605182474775049</v>
      </c>
      <c r="R949" s="4">
        <f t="shared" si="441"/>
        <v>5.7525726388256331</v>
      </c>
      <c r="S949" s="4">
        <f t="shared" si="442"/>
        <v>43.3</v>
      </c>
      <c r="T949" s="4">
        <f t="shared" si="443"/>
        <v>0</v>
      </c>
      <c r="U949" s="4">
        <f t="shared" si="444"/>
        <v>8.1605182474775049</v>
      </c>
      <c r="V949" s="4">
        <f t="shared" si="445"/>
        <v>5.7525726388256331</v>
      </c>
      <c r="W949" s="4">
        <f t="shared" si="446"/>
        <v>43.3</v>
      </c>
      <c r="X949" s="4">
        <f t="shared" si="447"/>
        <v>0</v>
      </c>
      <c r="Y949" s="4">
        <f t="shared" si="448"/>
        <v>8.1605182474775049</v>
      </c>
      <c r="Z949" s="4">
        <f t="shared" si="449"/>
        <v>5.7525726388256331</v>
      </c>
      <c r="AA949" s="4">
        <f t="shared" si="450"/>
        <v>43.3</v>
      </c>
      <c r="AB949" s="4">
        <f t="shared" si="451"/>
        <v>0</v>
      </c>
      <c r="AC949" s="4">
        <f t="shared" si="452"/>
        <v>0</v>
      </c>
      <c r="AD949" s="4">
        <f t="shared" si="453"/>
        <v>0</v>
      </c>
      <c r="AE949" s="4">
        <f t="shared" si="454"/>
        <v>0</v>
      </c>
      <c r="AF949" s="4">
        <f t="shared" si="455"/>
        <v>0</v>
      </c>
      <c r="AG949" s="4">
        <f t="shared" si="456"/>
        <v>8.1605182474775049</v>
      </c>
      <c r="AH949" s="4">
        <f t="shared" si="457"/>
        <v>0</v>
      </c>
      <c r="AI949" s="4">
        <f t="shared" si="458"/>
        <v>0</v>
      </c>
      <c r="AJ949" s="4">
        <f t="shared" si="459"/>
        <v>8.1605182474775049</v>
      </c>
      <c r="AK949" s="4">
        <f t="shared" si="460"/>
        <v>5.7525726388256331</v>
      </c>
      <c r="AL949" s="4">
        <f t="shared" si="461"/>
        <v>0</v>
      </c>
      <c r="AM949" s="4">
        <f>CER!$C$7+CER!$C$8*J949+CER!$C$9*K949+CER!$C$10*L949+CER!$C$11*M949</f>
        <v>3.4410725641972681</v>
      </c>
      <c r="AN949" s="4">
        <f t="shared" si="462"/>
        <v>31.220426128121769</v>
      </c>
      <c r="AO949" s="4">
        <f t="shared" si="463"/>
        <v>-7.747321295043097E-2</v>
      </c>
      <c r="AP949" s="4">
        <f>Alternatives!$F$25+Alternatives!$F$26*J949+Alternatives!$F$27*K949+Alternatives!$F$28*G949+Alternatives!$F$29*O949</f>
        <v>3.3704626618588058</v>
      </c>
      <c r="AQ949" s="4">
        <f t="shared" si="464"/>
        <v>-6.8633106119686538E-3</v>
      </c>
    </row>
    <row r="950" spans="1:43" x14ac:dyDescent="0.35">
      <c r="A950" s="2" t="s">
        <v>808</v>
      </c>
      <c r="B950" s="2" t="s">
        <v>794</v>
      </c>
      <c r="C950" s="2" t="s">
        <v>67</v>
      </c>
      <c r="D950" s="2">
        <v>39.463200000000001</v>
      </c>
      <c r="E950" s="2">
        <v>3500</v>
      </c>
      <c r="F950" s="2">
        <v>228</v>
      </c>
      <c r="G950" s="2">
        <v>44.5</v>
      </c>
      <c r="H950" s="2" t="s">
        <v>68</v>
      </c>
      <c r="I950" s="4">
        <f t="shared" si="434"/>
        <v>3.6753685920859889</v>
      </c>
      <c r="J950" s="4">
        <f t="shared" si="435"/>
        <v>8.1605182474775049</v>
      </c>
      <c r="K950" s="4">
        <f t="shared" si="436"/>
        <v>5.4293456289544411</v>
      </c>
      <c r="L950" s="2">
        <v>0</v>
      </c>
      <c r="M950" s="2">
        <v>0</v>
      </c>
      <c r="N950" s="4">
        <f t="shared" si="437"/>
        <v>44.5</v>
      </c>
      <c r="O950" s="4">
        <f t="shared" si="438"/>
        <v>0</v>
      </c>
      <c r="P950" s="4">
        <f t="shared" si="439"/>
        <v>0</v>
      </c>
      <c r="Q950" s="4">
        <f t="shared" si="440"/>
        <v>8.1605182474775049</v>
      </c>
      <c r="R950" s="4">
        <f t="shared" si="441"/>
        <v>5.4293456289544411</v>
      </c>
      <c r="S950" s="4">
        <f t="shared" si="442"/>
        <v>44.5</v>
      </c>
      <c r="T950" s="4">
        <f t="shared" si="443"/>
        <v>0</v>
      </c>
      <c r="U950" s="4">
        <f t="shared" si="444"/>
        <v>8.1605182474775049</v>
      </c>
      <c r="V950" s="4">
        <f t="shared" si="445"/>
        <v>5.4293456289544411</v>
      </c>
      <c r="W950" s="4">
        <f t="shared" si="446"/>
        <v>44.5</v>
      </c>
      <c r="X950" s="4">
        <f t="shared" si="447"/>
        <v>0</v>
      </c>
      <c r="Y950" s="4">
        <f t="shared" si="448"/>
        <v>8.1605182474775049</v>
      </c>
      <c r="Z950" s="4">
        <f t="shared" si="449"/>
        <v>5.4293456289544411</v>
      </c>
      <c r="AA950" s="4">
        <f t="shared" si="450"/>
        <v>44.5</v>
      </c>
      <c r="AB950" s="4">
        <f t="shared" si="451"/>
        <v>0</v>
      </c>
      <c r="AC950" s="4">
        <f t="shared" si="452"/>
        <v>0</v>
      </c>
      <c r="AD950" s="4">
        <f t="shared" si="453"/>
        <v>0</v>
      </c>
      <c r="AE950" s="4">
        <f t="shared" si="454"/>
        <v>0</v>
      </c>
      <c r="AF950" s="4">
        <f t="shared" si="455"/>
        <v>0</v>
      </c>
      <c r="AG950" s="4">
        <f t="shared" si="456"/>
        <v>8.1605182474775049</v>
      </c>
      <c r="AH950" s="4">
        <f t="shared" si="457"/>
        <v>0</v>
      </c>
      <c r="AI950" s="4">
        <f t="shared" si="458"/>
        <v>0</v>
      </c>
      <c r="AJ950" s="4">
        <f t="shared" si="459"/>
        <v>8.1605182474775049</v>
      </c>
      <c r="AK950" s="4">
        <f t="shared" si="460"/>
        <v>5.4293456289544411</v>
      </c>
      <c r="AL950" s="4">
        <f t="shared" si="461"/>
        <v>0</v>
      </c>
      <c r="AM950" s="4">
        <f>CER!$C$7+CER!$C$8*J950+CER!$C$9*K950+CER!$C$10*L950+CER!$C$11*M950</f>
        <v>3.5603251376413985</v>
      </c>
      <c r="AN950" s="4">
        <f t="shared" si="462"/>
        <v>35.17463188292151</v>
      </c>
      <c r="AO950" s="4">
        <f t="shared" si="463"/>
        <v>0.11504345444459041</v>
      </c>
      <c r="AP950" s="4">
        <f>Alternatives!$F$25+Alternatives!$F$26*J950+Alternatives!$F$27*K950+Alternatives!$F$28*G950+Alternatives!$F$29*O950</f>
        <v>3.4408678136325173</v>
      </c>
      <c r="AQ950" s="4">
        <f t="shared" si="464"/>
        <v>0.23450077845347161</v>
      </c>
    </row>
    <row r="951" spans="1:43" x14ac:dyDescent="0.35">
      <c r="A951" s="2" t="s">
        <v>808</v>
      </c>
      <c r="B951" s="2" t="s">
        <v>794</v>
      </c>
      <c r="C951" s="2" t="s">
        <v>67</v>
      </c>
      <c r="D951" s="2">
        <v>37.552900000000001</v>
      </c>
      <c r="E951" s="2">
        <v>3500</v>
      </c>
      <c r="F951" s="2">
        <v>228</v>
      </c>
      <c r="G951" s="2">
        <v>44.5</v>
      </c>
      <c r="H951" s="2" t="s">
        <v>68</v>
      </c>
      <c r="I951" s="4">
        <f t="shared" si="434"/>
        <v>3.6257506055875539</v>
      </c>
      <c r="J951" s="4">
        <f t="shared" si="435"/>
        <v>8.1605182474775049</v>
      </c>
      <c r="K951" s="4">
        <f t="shared" si="436"/>
        <v>5.4293456289544411</v>
      </c>
      <c r="L951" s="2">
        <v>0</v>
      </c>
      <c r="M951" s="2">
        <v>0</v>
      </c>
      <c r="N951" s="4">
        <f t="shared" si="437"/>
        <v>44.5</v>
      </c>
      <c r="O951" s="4">
        <f t="shared" si="438"/>
        <v>0</v>
      </c>
      <c r="P951" s="4">
        <f t="shared" si="439"/>
        <v>0</v>
      </c>
      <c r="Q951" s="4">
        <f t="shared" si="440"/>
        <v>8.1605182474775049</v>
      </c>
      <c r="R951" s="4">
        <f t="shared" si="441"/>
        <v>5.4293456289544411</v>
      </c>
      <c r="S951" s="4">
        <f t="shared" si="442"/>
        <v>44.5</v>
      </c>
      <c r="T951" s="4">
        <f t="shared" si="443"/>
        <v>0</v>
      </c>
      <c r="U951" s="4">
        <f t="shared" si="444"/>
        <v>8.1605182474775049</v>
      </c>
      <c r="V951" s="4">
        <f t="shared" si="445"/>
        <v>5.4293456289544411</v>
      </c>
      <c r="W951" s="4">
        <f t="shared" si="446"/>
        <v>44.5</v>
      </c>
      <c r="X951" s="4">
        <f t="shared" si="447"/>
        <v>0</v>
      </c>
      <c r="Y951" s="4">
        <f t="shared" si="448"/>
        <v>8.1605182474775049</v>
      </c>
      <c r="Z951" s="4">
        <f t="shared" si="449"/>
        <v>5.4293456289544411</v>
      </c>
      <c r="AA951" s="4">
        <f t="shared" si="450"/>
        <v>44.5</v>
      </c>
      <c r="AB951" s="4">
        <f t="shared" si="451"/>
        <v>0</v>
      </c>
      <c r="AC951" s="4">
        <f t="shared" si="452"/>
        <v>0</v>
      </c>
      <c r="AD951" s="4">
        <f t="shared" si="453"/>
        <v>0</v>
      </c>
      <c r="AE951" s="4">
        <f t="shared" si="454"/>
        <v>0</v>
      </c>
      <c r="AF951" s="4">
        <f t="shared" si="455"/>
        <v>0</v>
      </c>
      <c r="AG951" s="4">
        <f t="shared" si="456"/>
        <v>8.1605182474775049</v>
      </c>
      <c r="AH951" s="4">
        <f t="shared" si="457"/>
        <v>0</v>
      </c>
      <c r="AI951" s="4">
        <f t="shared" si="458"/>
        <v>0</v>
      </c>
      <c r="AJ951" s="4">
        <f t="shared" si="459"/>
        <v>8.1605182474775049</v>
      </c>
      <c r="AK951" s="4">
        <f t="shared" si="460"/>
        <v>5.4293456289544411</v>
      </c>
      <c r="AL951" s="4">
        <f t="shared" si="461"/>
        <v>0</v>
      </c>
      <c r="AM951" s="4">
        <f>CER!$C$7+CER!$C$8*J951+CER!$C$9*K951+CER!$C$10*L951+CER!$C$11*M951</f>
        <v>3.5603251376413985</v>
      </c>
      <c r="AN951" s="4">
        <f t="shared" si="462"/>
        <v>35.17463188292151</v>
      </c>
      <c r="AO951" s="4">
        <f t="shared" si="463"/>
        <v>6.5425467946155447E-2</v>
      </c>
      <c r="AP951" s="4">
        <f>Alternatives!$F$25+Alternatives!$F$26*J951+Alternatives!$F$27*K951+Alternatives!$F$28*G951+Alternatives!$F$29*O951</f>
        <v>3.4408678136325173</v>
      </c>
      <c r="AQ951" s="4">
        <f t="shared" si="464"/>
        <v>0.18488279195503665</v>
      </c>
    </row>
    <row r="952" spans="1:43" x14ac:dyDescent="0.35">
      <c r="A952" s="2" t="s">
        <v>809</v>
      </c>
      <c r="B952" s="2" t="s">
        <v>794</v>
      </c>
      <c r="C952" s="2" t="s">
        <v>67</v>
      </c>
      <c r="D952" s="2">
        <v>46.130800000000001</v>
      </c>
      <c r="E952" s="2">
        <v>3000</v>
      </c>
      <c r="F952" s="2">
        <v>158</v>
      </c>
      <c r="G952" s="2">
        <v>44.4</v>
      </c>
      <c r="H952" s="2" t="s">
        <v>68</v>
      </c>
      <c r="I952" s="4">
        <f t="shared" si="434"/>
        <v>3.8314808397128717</v>
      </c>
      <c r="J952" s="4">
        <f t="shared" si="435"/>
        <v>8.0063675676502459</v>
      </c>
      <c r="K952" s="4">
        <f t="shared" si="436"/>
        <v>5.0625950330269669</v>
      </c>
      <c r="L952" s="2">
        <v>0</v>
      </c>
      <c r="M952" s="2">
        <v>0</v>
      </c>
      <c r="N952" s="4">
        <f t="shared" si="437"/>
        <v>44.4</v>
      </c>
      <c r="O952" s="4">
        <f t="shared" si="438"/>
        <v>0</v>
      </c>
      <c r="P952" s="4">
        <f t="shared" si="439"/>
        <v>0</v>
      </c>
      <c r="Q952" s="4">
        <f t="shared" si="440"/>
        <v>8.0063675676502459</v>
      </c>
      <c r="R952" s="4">
        <f t="shared" si="441"/>
        <v>5.0625950330269669</v>
      </c>
      <c r="S952" s="4">
        <f t="shared" si="442"/>
        <v>44.4</v>
      </c>
      <c r="T952" s="4">
        <f t="shared" si="443"/>
        <v>0</v>
      </c>
      <c r="U952" s="4">
        <f t="shared" si="444"/>
        <v>8.0063675676502459</v>
      </c>
      <c r="V952" s="4">
        <f t="shared" si="445"/>
        <v>5.0625950330269669</v>
      </c>
      <c r="W952" s="4">
        <f t="shared" si="446"/>
        <v>44.4</v>
      </c>
      <c r="X952" s="4">
        <f t="shared" si="447"/>
        <v>0</v>
      </c>
      <c r="Y952" s="4">
        <f t="shared" si="448"/>
        <v>8.0063675676502459</v>
      </c>
      <c r="Z952" s="4">
        <f t="shared" si="449"/>
        <v>5.0625950330269669</v>
      </c>
      <c r="AA952" s="4">
        <f t="shared" si="450"/>
        <v>44.4</v>
      </c>
      <c r="AB952" s="4">
        <f t="shared" si="451"/>
        <v>0</v>
      </c>
      <c r="AC952" s="4">
        <f t="shared" si="452"/>
        <v>0</v>
      </c>
      <c r="AD952" s="4">
        <f t="shared" si="453"/>
        <v>0</v>
      </c>
      <c r="AE952" s="4">
        <f t="shared" si="454"/>
        <v>0</v>
      </c>
      <c r="AF952" s="4">
        <f t="shared" si="455"/>
        <v>0</v>
      </c>
      <c r="AG952" s="4">
        <f t="shared" si="456"/>
        <v>8.0063675676502459</v>
      </c>
      <c r="AH952" s="4">
        <f t="shared" si="457"/>
        <v>0</v>
      </c>
      <c r="AI952" s="4">
        <f t="shared" si="458"/>
        <v>0</v>
      </c>
      <c r="AJ952" s="4">
        <f t="shared" si="459"/>
        <v>8.0063675676502459</v>
      </c>
      <c r="AK952" s="4">
        <f t="shared" si="460"/>
        <v>5.0625950330269669</v>
      </c>
      <c r="AL952" s="4">
        <f t="shared" si="461"/>
        <v>0</v>
      </c>
      <c r="AM952" s="4">
        <f>CER!$C$7+CER!$C$8*J952+CER!$C$9*K952+CER!$C$10*L952+CER!$C$11*M952</f>
        <v>3.7654208831202043</v>
      </c>
      <c r="AN952" s="4">
        <f t="shared" si="462"/>
        <v>43.181876558663866</v>
      </c>
      <c r="AO952" s="4">
        <f t="shared" si="463"/>
        <v>6.605995659266739E-2</v>
      </c>
      <c r="AP952" s="4">
        <f>Alternatives!$F$25+Alternatives!$F$26*J952+Alternatives!$F$27*K952+Alternatives!$F$28*G952+Alternatives!$F$29*O952</f>
        <v>3.4827155292821295</v>
      </c>
      <c r="AQ952" s="4">
        <f t="shared" si="464"/>
        <v>0.34876531043074221</v>
      </c>
    </row>
    <row r="953" spans="1:43" x14ac:dyDescent="0.35">
      <c r="A953" s="2" t="s">
        <v>809</v>
      </c>
      <c r="B953" s="2" t="s">
        <v>794</v>
      </c>
      <c r="C953" s="2" t="s">
        <v>67</v>
      </c>
      <c r="D953" s="2">
        <v>46.643999999999998</v>
      </c>
      <c r="E953" s="2">
        <v>3000</v>
      </c>
      <c r="F953" s="2">
        <v>158</v>
      </c>
      <c r="G953" s="2">
        <v>44.4</v>
      </c>
      <c r="H953" s="2" t="s">
        <v>68</v>
      </c>
      <c r="I953" s="4">
        <f t="shared" si="434"/>
        <v>3.8425443016580862</v>
      </c>
      <c r="J953" s="4">
        <f t="shared" si="435"/>
        <v>8.0063675676502459</v>
      </c>
      <c r="K953" s="4">
        <f t="shared" si="436"/>
        <v>5.0625950330269669</v>
      </c>
      <c r="L953" s="2">
        <v>0</v>
      </c>
      <c r="M953" s="2">
        <v>0</v>
      </c>
      <c r="N953" s="4">
        <f t="shared" si="437"/>
        <v>44.4</v>
      </c>
      <c r="O953" s="4">
        <f t="shared" si="438"/>
        <v>0</v>
      </c>
      <c r="P953" s="4">
        <f t="shared" si="439"/>
        <v>0</v>
      </c>
      <c r="Q953" s="4">
        <f t="shared" si="440"/>
        <v>8.0063675676502459</v>
      </c>
      <c r="R953" s="4">
        <f t="shared" si="441"/>
        <v>5.0625950330269669</v>
      </c>
      <c r="S953" s="4">
        <f t="shared" si="442"/>
        <v>44.4</v>
      </c>
      <c r="T953" s="4">
        <f t="shared" si="443"/>
        <v>0</v>
      </c>
      <c r="U953" s="4">
        <f t="shared" si="444"/>
        <v>8.0063675676502459</v>
      </c>
      <c r="V953" s="4">
        <f t="shared" si="445"/>
        <v>5.0625950330269669</v>
      </c>
      <c r="W953" s="4">
        <f t="shared" si="446"/>
        <v>44.4</v>
      </c>
      <c r="X953" s="4">
        <f t="shared" si="447"/>
        <v>0</v>
      </c>
      <c r="Y953" s="4">
        <f t="shared" si="448"/>
        <v>8.0063675676502459</v>
      </c>
      <c r="Z953" s="4">
        <f t="shared" si="449"/>
        <v>5.0625950330269669</v>
      </c>
      <c r="AA953" s="4">
        <f t="shared" si="450"/>
        <v>44.4</v>
      </c>
      <c r="AB953" s="4">
        <f t="shared" si="451"/>
        <v>0</v>
      </c>
      <c r="AC953" s="4">
        <f t="shared" si="452"/>
        <v>0</v>
      </c>
      <c r="AD953" s="4">
        <f t="shared" si="453"/>
        <v>0</v>
      </c>
      <c r="AE953" s="4">
        <f t="shared" si="454"/>
        <v>0</v>
      </c>
      <c r="AF953" s="4">
        <f t="shared" si="455"/>
        <v>0</v>
      </c>
      <c r="AG953" s="4">
        <f t="shared" si="456"/>
        <v>8.0063675676502459</v>
      </c>
      <c r="AH953" s="4">
        <f t="shared" si="457"/>
        <v>0</v>
      </c>
      <c r="AI953" s="4">
        <f t="shared" si="458"/>
        <v>0</v>
      </c>
      <c r="AJ953" s="4">
        <f t="shared" si="459"/>
        <v>8.0063675676502459</v>
      </c>
      <c r="AK953" s="4">
        <f t="shared" si="460"/>
        <v>5.0625950330269669</v>
      </c>
      <c r="AL953" s="4">
        <f t="shared" si="461"/>
        <v>0</v>
      </c>
      <c r="AM953" s="4">
        <f>CER!$C$7+CER!$C$8*J953+CER!$C$9*K953+CER!$C$10*L953+CER!$C$11*M953</f>
        <v>3.7654208831202043</v>
      </c>
      <c r="AN953" s="4">
        <f t="shared" si="462"/>
        <v>43.181876558663866</v>
      </c>
      <c r="AO953" s="4">
        <f t="shared" si="463"/>
        <v>7.712341853788196E-2</v>
      </c>
      <c r="AP953" s="4">
        <f>Alternatives!$F$25+Alternatives!$F$26*J953+Alternatives!$F$27*K953+Alternatives!$F$28*G953+Alternatives!$F$29*O953</f>
        <v>3.4827155292821295</v>
      </c>
      <c r="AQ953" s="4">
        <f t="shared" si="464"/>
        <v>0.35982877237595678</v>
      </c>
    </row>
    <row r="954" spans="1:43" x14ac:dyDescent="0.35">
      <c r="A954" s="2" t="s">
        <v>810</v>
      </c>
      <c r="B954" s="2" t="s">
        <v>794</v>
      </c>
      <c r="C954" s="2" t="s">
        <v>67</v>
      </c>
      <c r="D954" s="2">
        <v>45.041699999999999</v>
      </c>
      <c r="E954" s="2">
        <v>3500</v>
      </c>
      <c r="F954" s="2">
        <v>158</v>
      </c>
      <c r="G954" s="2">
        <v>44.4</v>
      </c>
      <c r="H954" s="2" t="s">
        <v>68</v>
      </c>
      <c r="I954" s="4">
        <f t="shared" si="434"/>
        <v>3.8075887273464928</v>
      </c>
      <c r="J954" s="4">
        <f t="shared" si="435"/>
        <v>8.1605182474775049</v>
      </c>
      <c r="K954" s="4">
        <f t="shared" si="436"/>
        <v>5.0625950330269669</v>
      </c>
      <c r="L954" s="2">
        <v>0</v>
      </c>
      <c r="M954" s="2">
        <v>0</v>
      </c>
      <c r="N954" s="4">
        <f t="shared" si="437"/>
        <v>44.4</v>
      </c>
      <c r="O954" s="4">
        <f t="shared" si="438"/>
        <v>0</v>
      </c>
      <c r="P954" s="4">
        <f t="shared" si="439"/>
        <v>0</v>
      </c>
      <c r="Q954" s="4">
        <f t="shared" si="440"/>
        <v>8.1605182474775049</v>
      </c>
      <c r="R954" s="4">
        <f t="shared" si="441"/>
        <v>5.0625950330269669</v>
      </c>
      <c r="S954" s="4">
        <f t="shared" si="442"/>
        <v>44.4</v>
      </c>
      <c r="T954" s="4">
        <f t="shared" si="443"/>
        <v>0</v>
      </c>
      <c r="U954" s="4">
        <f t="shared" si="444"/>
        <v>8.1605182474775049</v>
      </c>
      <c r="V954" s="4">
        <f t="shared" si="445"/>
        <v>5.0625950330269669</v>
      </c>
      <c r="W954" s="4">
        <f t="shared" si="446"/>
        <v>44.4</v>
      </c>
      <c r="X954" s="4">
        <f t="shared" si="447"/>
        <v>0</v>
      </c>
      <c r="Y954" s="4">
        <f t="shared" si="448"/>
        <v>8.1605182474775049</v>
      </c>
      <c r="Z954" s="4">
        <f t="shared" si="449"/>
        <v>5.0625950330269669</v>
      </c>
      <c r="AA954" s="4">
        <f t="shared" si="450"/>
        <v>44.4</v>
      </c>
      <c r="AB954" s="4">
        <f t="shared" si="451"/>
        <v>0</v>
      </c>
      <c r="AC954" s="4">
        <f t="shared" si="452"/>
        <v>0</v>
      </c>
      <c r="AD954" s="4">
        <f t="shared" si="453"/>
        <v>0</v>
      </c>
      <c r="AE954" s="4">
        <f t="shared" si="454"/>
        <v>0</v>
      </c>
      <c r="AF954" s="4">
        <f t="shared" si="455"/>
        <v>0</v>
      </c>
      <c r="AG954" s="4">
        <f t="shared" si="456"/>
        <v>8.1605182474775049</v>
      </c>
      <c r="AH954" s="4">
        <f t="shared" si="457"/>
        <v>0</v>
      </c>
      <c r="AI954" s="4">
        <f t="shared" si="458"/>
        <v>0</v>
      </c>
      <c r="AJ954" s="4">
        <f t="shared" si="459"/>
        <v>8.1605182474775049</v>
      </c>
      <c r="AK954" s="4">
        <f t="shared" si="460"/>
        <v>5.0625950330269669</v>
      </c>
      <c r="AL954" s="4">
        <f t="shared" si="461"/>
        <v>0</v>
      </c>
      <c r="AM954" s="4">
        <f>CER!$C$7+CER!$C$8*J954+CER!$C$9*K954+CER!$C$10*L954+CER!$C$11*M954</f>
        <v>3.695635464565961</v>
      </c>
      <c r="AN954" s="4">
        <f t="shared" si="462"/>
        <v>40.27115535089689</v>
      </c>
      <c r="AO954" s="4">
        <f t="shared" si="463"/>
        <v>0.11195326278053175</v>
      </c>
      <c r="AP954" s="4">
        <f>Alternatives!$F$25+Alternatives!$F$26*J954+Alternatives!$F$27*K954+Alternatives!$F$28*G954+Alternatives!$F$29*O954</f>
        <v>3.5397645343998794</v>
      </c>
      <c r="AQ954" s="4">
        <f t="shared" si="464"/>
        <v>0.26782419294661342</v>
      </c>
    </row>
    <row r="955" spans="1:43" x14ac:dyDescent="0.35">
      <c r="A955" s="2" t="s">
        <v>811</v>
      </c>
      <c r="B955" s="2" t="s">
        <v>794</v>
      </c>
      <c r="C955" s="2" t="s">
        <v>67</v>
      </c>
      <c r="D955" s="2">
        <v>28.545200000000001</v>
      </c>
      <c r="E955" s="2">
        <v>4000</v>
      </c>
      <c r="F955" s="2">
        <v>401</v>
      </c>
      <c r="G955" s="2">
        <v>44.2</v>
      </c>
      <c r="H955" s="2" t="s">
        <v>68</v>
      </c>
      <c r="I955" s="4">
        <f t="shared" si="434"/>
        <v>3.351488795872672</v>
      </c>
      <c r="J955" s="4">
        <f t="shared" si="435"/>
        <v>8.2940496401020276</v>
      </c>
      <c r="K955" s="4">
        <f t="shared" si="436"/>
        <v>5.9939614273065693</v>
      </c>
      <c r="L955" s="2">
        <v>0</v>
      </c>
      <c r="M955" s="2">
        <v>0</v>
      </c>
      <c r="N955" s="4">
        <f t="shared" si="437"/>
        <v>44.2</v>
      </c>
      <c r="O955" s="4">
        <f t="shared" si="438"/>
        <v>0</v>
      </c>
      <c r="P955" s="4">
        <f t="shared" si="439"/>
        <v>0</v>
      </c>
      <c r="Q955" s="4">
        <f t="shared" si="440"/>
        <v>8.2940496401020276</v>
      </c>
      <c r="R955" s="4">
        <f t="shared" si="441"/>
        <v>5.9939614273065693</v>
      </c>
      <c r="S955" s="4">
        <f t="shared" si="442"/>
        <v>44.2</v>
      </c>
      <c r="T955" s="4">
        <f t="shared" si="443"/>
        <v>0</v>
      </c>
      <c r="U955" s="4">
        <f t="shared" si="444"/>
        <v>8.2940496401020276</v>
      </c>
      <c r="V955" s="4">
        <f t="shared" si="445"/>
        <v>5.9939614273065693</v>
      </c>
      <c r="W955" s="4">
        <f t="shared" si="446"/>
        <v>44.2</v>
      </c>
      <c r="X955" s="4">
        <f t="shared" si="447"/>
        <v>0</v>
      </c>
      <c r="Y955" s="4">
        <f t="shared" si="448"/>
        <v>8.2940496401020276</v>
      </c>
      <c r="Z955" s="4">
        <f t="shared" si="449"/>
        <v>5.9939614273065693</v>
      </c>
      <c r="AA955" s="4">
        <f t="shared" si="450"/>
        <v>44.2</v>
      </c>
      <c r="AB955" s="4">
        <f t="shared" si="451"/>
        <v>0</v>
      </c>
      <c r="AC955" s="4">
        <f t="shared" si="452"/>
        <v>0</v>
      </c>
      <c r="AD955" s="4">
        <f t="shared" si="453"/>
        <v>0</v>
      </c>
      <c r="AE955" s="4">
        <f t="shared" si="454"/>
        <v>0</v>
      </c>
      <c r="AF955" s="4">
        <f t="shared" si="455"/>
        <v>0</v>
      </c>
      <c r="AG955" s="4">
        <f t="shared" si="456"/>
        <v>8.2940496401020276</v>
      </c>
      <c r="AH955" s="4">
        <f t="shared" si="457"/>
        <v>0</v>
      </c>
      <c r="AI955" s="4">
        <f t="shared" si="458"/>
        <v>0</v>
      </c>
      <c r="AJ955" s="4">
        <f t="shared" si="459"/>
        <v>8.2940496401020276</v>
      </c>
      <c r="AK955" s="4">
        <f t="shared" si="460"/>
        <v>5.9939614273065693</v>
      </c>
      <c r="AL955" s="4">
        <f t="shared" si="461"/>
        <v>0</v>
      </c>
      <c r="AM955" s="4">
        <f>CER!$C$7+CER!$C$8*J955+CER!$C$9*K955+CER!$C$10*L955+CER!$C$11*M955</f>
        <v>3.2915628088917708</v>
      </c>
      <c r="AN955" s="4">
        <f t="shared" si="462"/>
        <v>26.884846719107983</v>
      </c>
      <c r="AO955" s="4">
        <f t="shared" si="463"/>
        <v>5.9925986980901236E-2</v>
      </c>
      <c r="AP955" s="4">
        <f>Alternatives!$F$25+Alternatives!$F$26*J955+Alternatives!$F$27*K955+Alternatives!$F$28*G955+Alternatives!$F$29*O955</f>
        <v>3.3439382120600882</v>
      </c>
      <c r="AQ955" s="4">
        <f t="shared" si="464"/>
        <v>7.5505838125837776E-3</v>
      </c>
    </row>
    <row r="956" spans="1:43" x14ac:dyDescent="0.35">
      <c r="A956" s="2" t="s">
        <v>812</v>
      </c>
      <c r="B956" s="2" t="s">
        <v>794</v>
      </c>
      <c r="C956" s="2" t="s">
        <v>33</v>
      </c>
      <c r="D956" s="2">
        <v>38.481900000000003</v>
      </c>
      <c r="E956" s="2">
        <v>4000</v>
      </c>
      <c r="F956" s="2">
        <v>201</v>
      </c>
      <c r="G956" s="2">
        <v>47.4</v>
      </c>
      <c r="H956" s="2" t="s">
        <v>68</v>
      </c>
      <c r="I956" s="4">
        <f t="shared" si="434"/>
        <v>3.6501880008779128</v>
      </c>
      <c r="J956" s="4">
        <f t="shared" si="435"/>
        <v>8.2940496401020276</v>
      </c>
      <c r="K956" s="4">
        <f t="shared" si="436"/>
        <v>5.3033049080590757</v>
      </c>
      <c r="L956" s="2">
        <v>1</v>
      </c>
      <c r="M956" s="2">
        <v>0</v>
      </c>
      <c r="N956" s="4">
        <f t="shared" si="437"/>
        <v>47.4</v>
      </c>
      <c r="O956" s="4">
        <f t="shared" si="438"/>
        <v>1</v>
      </c>
      <c r="P956" s="4">
        <f t="shared" si="439"/>
        <v>1</v>
      </c>
      <c r="Q956" s="4">
        <f t="shared" si="440"/>
        <v>8.2940496401020276</v>
      </c>
      <c r="R956" s="4">
        <f t="shared" si="441"/>
        <v>5.3033049080590757</v>
      </c>
      <c r="S956" s="4">
        <f t="shared" si="442"/>
        <v>47.4</v>
      </c>
      <c r="T956" s="4">
        <f t="shared" si="443"/>
        <v>1</v>
      </c>
      <c r="U956" s="4">
        <f t="shared" si="444"/>
        <v>8.2940496401020276</v>
      </c>
      <c r="V956" s="4">
        <f t="shared" si="445"/>
        <v>5.3033049080590757</v>
      </c>
      <c r="W956" s="4">
        <f t="shared" si="446"/>
        <v>47.4</v>
      </c>
      <c r="X956" s="4">
        <f t="shared" si="447"/>
        <v>1</v>
      </c>
      <c r="Y956" s="4">
        <f t="shared" si="448"/>
        <v>8.2940496401020276</v>
      </c>
      <c r="Z956" s="4">
        <f t="shared" si="449"/>
        <v>5.3033049080590757</v>
      </c>
      <c r="AA956" s="4">
        <f t="shared" si="450"/>
        <v>47.4</v>
      </c>
      <c r="AB956" s="4">
        <f t="shared" si="451"/>
        <v>1</v>
      </c>
      <c r="AC956" s="4">
        <f t="shared" si="452"/>
        <v>0</v>
      </c>
      <c r="AD956" s="4">
        <f t="shared" si="453"/>
        <v>0</v>
      </c>
      <c r="AE956" s="4">
        <f t="shared" si="454"/>
        <v>0</v>
      </c>
      <c r="AF956" s="4">
        <f t="shared" si="455"/>
        <v>0</v>
      </c>
      <c r="AG956" s="4">
        <f t="shared" si="456"/>
        <v>8.2940496401020276</v>
      </c>
      <c r="AH956" s="4">
        <f t="shared" si="457"/>
        <v>1</v>
      </c>
      <c r="AI956" s="4">
        <f t="shared" si="458"/>
        <v>0</v>
      </c>
      <c r="AJ956" s="4">
        <f t="shared" si="459"/>
        <v>8.2940496401020276</v>
      </c>
      <c r="AK956" s="4">
        <f t="shared" si="460"/>
        <v>5.3033049080590757</v>
      </c>
      <c r="AL956" s="4">
        <f t="shared" si="461"/>
        <v>0</v>
      </c>
      <c r="AM956" s="4">
        <f>CER!$C$7+CER!$C$8*J956+CER!$C$9*K956+CER!$C$10*L956+CER!$C$11*M956</f>
        <v>3.7701297600788943</v>
      </c>
      <c r="AN956" s="4">
        <f t="shared" si="462"/>
        <v>43.385694201712738</v>
      </c>
      <c r="AO956" s="4">
        <f t="shared" si="463"/>
        <v>-0.11994175920098149</v>
      </c>
      <c r="AP956" s="4">
        <f>Alternatives!$F$25+Alternatives!$F$26*J956+Alternatives!$F$27*K956+Alternatives!$F$28*G956+Alternatives!$F$29*O956</f>
        <v>4.330845318607059</v>
      </c>
      <c r="AQ956" s="4">
        <f t="shared" si="464"/>
        <v>-0.68065731772914617</v>
      </c>
    </row>
    <row r="957" spans="1:43" x14ac:dyDescent="0.35">
      <c r="A957" s="2" t="s">
        <v>813</v>
      </c>
      <c r="B957" s="2" t="s">
        <v>794</v>
      </c>
      <c r="C957" s="2" t="s">
        <v>33</v>
      </c>
      <c r="D957" s="2">
        <v>33.647399999999998</v>
      </c>
      <c r="E957" s="2">
        <v>4000</v>
      </c>
      <c r="F957" s="2">
        <v>261</v>
      </c>
      <c r="G957" s="2">
        <v>47.7</v>
      </c>
      <c r="H957" s="2" t="s">
        <v>68</v>
      </c>
      <c r="I957" s="4">
        <f t="shared" si="434"/>
        <v>3.5159357871323134</v>
      </c>
      <c r="J957" s="4">
        <f t="shared" si="435"/>
        <v>8.2940496401020276</v>
      </c>
      <c r="K957" s="4">
        <f t="shared" si="436"/>
        <v>5.5645204073226937</v>
      </c>
      <c r="L957" s="2">
        <v>1</v>
      </c>
      <c r="M957" s="2">
        <v>0</v>
      </c>
      <c r="N957" s="4">
        <f t="shared" si="437"/>
        <v>47.7</v>
      </c>
      <c r="O957" s="4">
        <f t="shared" si="438"/>
        <v>1</v>
      </c>
      <c r="P957" s="4">
        <f t="shared" si="439"/>
        <v>1</v>
      </c>
      <c r="Q957" s="4">
        <f t="shared" si="440"/>
        <v>8.2940496401020276</v>
      </c>
      <c r="R957" s="4">
        <f t="shared" si="441"/>
        <v>5.5645204073226937</v>
      </c>
      <c r="S957" s="4">
        <f t="shared" si="442"/>
        <v>47.7</v>
      </c>
      <c r="T957" s="4">
        <f t="shared" si="443"/>
        <v>1</v>
      </c>
      <c r="U957" s="4">
        <f t="shared" si="444"/>
        <v>8.2940496401020276</v>
      </c>
      <c r="V957" s="4">
        <f t="shared" si="445"/>
        <v>5.5645204073226937</v>
      </c>
      <c r="W957" s="4">
        <f t="shared" si="446"/>
        <v>47.7</v>
      </c>
      <c r="X957" s="4">
        <f t="shared" si="447"/>
        <v>1</v>
      </c>
      <c r="Y957" s="4">
        <f t="shared" si="448"/>
        <v>8.2940496401020276</v>
      </c>
      <c r="Z957" s="4">
        <f t="shared" si="449"/>
        <v>5.5645204073226937</v>
      </c>
      <c r="AA957" s="4">
        <f t="shared" si="450"/>
        <v>47.7</v>
      </c>
      <c r="AB957" s="4">
        <f t="shared" si="451"/>
        <v>1</v>
      </c>
      <c r="AC957" s="4">
        <f t="shared" si="452"/>
        <v>0</v>
      </c>
      <c r="AD957" s="4">
        <f t="shared" si="453"/>
        <v>0</v>
      </c>
      <c r="AE957" s="4">
        <f t="shared" si="454"/>
        <v>0</v>
      </c>
      <c r="AF957" s="4">
        <f t="shared" si="455"/>
        <v>0</v>
      </c>
      <c r="AG957" s="4">
        <f t="shared" si="456"/>
        <v>8.2940496401020276</v>
      </c>
      <c r="AH957" s="4">
        <f t="shared" si="457"/>
        <v>1</v>
      </c>
      <c r="AI957" s="4">
        <f t="shared" si="458"/>
        <v>0</v>
      </c>
      <c r="AJ957" s="4">
        <f t="shared" si="459"/>
        <v>8.2940496401020276</v>
      </c>
      <c r="AK957" s="4">
        <f t="shared" si="460"/>
        <v>5.5645204073226937</v>
      </c>
      <c r="AL957" s="4">
        <f t="shared" si="461"/>
        <v>0</v>
      </c>
      <c r="AM957" s="4">
        <f>CER!$C$7+CER!$C$8*J957+CER!$C$9*K957+CER!$C$10*L957+CER!$C$11*M957</f>
        <v>3.6737559436608498</v>
      </c>
      <c r="AN957" s="4">
        <f t="shared" si="462"/>
        <v>39.399611019784423</v>
      </c>
      <c r="AO957" s="4">
        <f t="shared" si="463"/>
        <v>-0.15782015652853643</v>
      </c>
      <c r="AP957" s="4">
        <f>Alternatives!$F$25+Alternatives!$F$26*J957+Alternatives!$F$27*K957+Alternatives!$F$28*G957+Alternatives!$F$29*O957</f>
        <v>4.2574310761178218</v>
      </c>
      <c r="AQ957" s="4">
        <f t="shared" si="464"/>
        <v>-0.74149528898550843</v>
      </c>
    </row>
    <row r="958" spans="1:43" x14ac:dyDescent="0.35">
      <c r="A958" s="2" t="s">
        <v>814</v>
      </c>
      <c r="B958" s="2" t="s">
        <v>794</v>
      </c>
      <c r="C958" s="2" t="s">
        <v>33</v>
      </c>
      <c r="D958" s="2">
        <v>35.448999999999998</v>
      </c>
      <c r="E958" s="2">
        <v>4000</v>
      </c>
      <c r="F958" s="2">
        <v>261</v>
      </c>
      <c r="G958" s="2">
        <v>47.3</v>
      </c>
      <c r="H958" s="2" t="s">
        <v>68</v>
      </c>
      <c r="I958" s="4">
        <f t="shared" si="434"/>
        <v>3.5680950438355516</v>
      </c>
      <c r="J958" s="4">
        <f t="shared" si="435"/>
        <v>8.2940496401020276</v>
      </c>
      <c r="K958" s="4">
        <f t="shared" si="436"/>
        <v>5.5645204073226937</v>
      </c>
      <c r="L958" s="2">
        <v>1</v>
      </c>
      <c r="M958" s="2">
        <v>0</v>
      </c>
      <c r="N958" s="4">
        <f t="shared" si="437"/>
        <v>47.3</v>
      </c>
      <c r="O958" s="4">
        <f t="shared" si="438"/>
        <v>1</v>
      </c>
      <c r="P958" s="4">
        <f t="shared" si="439"/>
        <v>1</v>
      </c>
      <c r="Q958" s="4">
        <f t="shared" si="440"/>
        <v>8.2940496401020276</v>
      </c>
      <c r="R958" s="4">
        <f t="shared" si="441"/>
        <v>5.5645204073226937</v>
      </c>
      <c r="S958" s="4">
        <f t="shared" si="442"/>
        <v>47.3</v>
      </c>
      <c r="T958" s="4">
        <f t="shared" si="443"/>
        <v>1</v>
      </c>
      <c r="U958" s="4">
        <f t="shared" si="444"/>
        <v>8.2940496401020276</v>
      </c>
      <c r="V958" s="4">
        <f t="shared" si="445"/>
        <v>5.5645204073226937</v>
      </c>
      <c r="W958" s="4">
        <f t="shared" si="446"/>
        <v>47.3</v>
      </c>
      <c r="X958" s="4">
        <f t="shared" si="447"/>
        <v>1</v>
      </c>
      <c r="Y958" s="4">
        <f t="shared" si="448"/>
        <v>8.2940496401020276</v>
      </c>
      <c r="Z958" s="4">
        <f t="shared" si="449"/>
        <v>5.5645204073226937</v>
      </c>
      <c r="AA958" s="4">
        <f t="shared" si="450"/>
        <v>47.3</v>
      </c>
      <c r="AB958" s="4">
        <f t="shared" si="451"/>
        <v>1</v>
      </c>
      <c r="AC958" s="4">
        <f t="shared" si="452"/>
        <v>0</v>
      </c>
      <c r="AD958" s="4">
        <f t="shared" si="453"/>
        <v>0</v>
      </c>
      <c r="AE958" s="4">
        <f t="shared" si="454"/>
        <v>0</v>
      </c>
      <c r="AF958" s="4">
        <f t="shared" si="455"/>
        <v>0</v>
      </c>
      <c r="AG958" s="4">
        <f t="shared" si="456"/>
        <v>8.2940496401020276</v>
      </c>
      <c r="AH958" s="4">
        <f t="shared" si="457"/>
        <v>1</v>
      </c>
      <c r="AI958" s="4">
        <f t="shared" si="458"/>
        <v>0</v>
      </c>
      <c r="AJ958" s="4">
        <f t="shared" si="459"/>
        <v>8.2940496401020276</v>
      </c>
      <c r="AK958" s="4">
        <f t="shared" si="460"/>
        <v>5.5645204073226937</v>
      </c>
      <c r="AL958" s="4">
        <f t="shared" si="461"/>
        <v>0</v>
      </c>
      <c r="AM958" s="4">
        <f>CER!$C$7+CER!$C$8*J958+CER!$C$9*K958+CER!$C$10*L958+CER!$C$11*M958</f>
        <v>3.6737559436608498</v>
      </c>
      <c r="AN958" s="4">
        <f t="shared" si="462"/>
        <v>39.399611019784423</v>
      </c>
      <c r="AO958" s="4">
        <f t="shared" si="463"/>
        <v>-0.10566089982529814</v>
      </c>
      <c r="AP958" s="4">
        <f>Alternatives!$F$25+Alternatives!$F$26*J958+Alternatives!$F$27*K958+Alternatives!$F$28*G958+Alternatives!$F$29*O958</f>
        <v>4.2626340019347131</v>
      </c>
      <c r="AQ958" s="4">
        <f t="shared" si="464"/>
        <v>-0.69453895809916144</v>
      </c>
    </row>
    <row r="959" spans="1:43" x14ac:dyDescent="0.35">
      <c r="A959" s="2" t="s">
        <v>815</v>
      </c>
      <c r="B959" s="2" t="s">
        <v>794</v>
      </c>
      <c r="C959" s="2" t="s">
        <v>67</v>
      </c>
      <c r="D959" s="2">
        <v>31.174499999999998</v>
      </c>
      <c r="E959" s="2">
        <v>4000</v>
      </c>
      <c r="F959" s="2">
        <v>349</v>
      </c>
      <c r="G959" s="2">
        <v>47.3</v>
      </c>
      <c r="H959" s="2" t="s">
        <v>68</v>
      </c>
      <c r="I959" s="4">
        <f t="shared" si="434"/>
        <v>3.4396004529451005</v>
      </c>
      <c r="J959" s="4">
        <f t="shared" si="435"/>
        <v>8.2940496401020276</v>
      </c>
      <c r="K959" s="4">
        <f t="shared" si="436"/>
        <v>5.855071922202427</v>
      </c>
      <c r="L959" s="2">
        <v>0</v>
      </c>
      <c r="M959" s="2">
        <v>0</v>
      </c>
      <c r="N959" s="4">
        <f t="shared" si="437"/>
        <v>47.3</v>
      </c>
      <c r="O959" s="4">
        <f t="shared" si="438"/>
        <v>0</v>
      </c>
      <c r="P959" s="4">
        <f t="shared" si="439"/>
        <v>0</v>
      </c>
      <c r="Q959" s="4">
        <f t="shared" si="440"/>
        <v>8.2940496401020276</v>
      </c>
      <c r="R959" s="4">
        <f t="shared" si="441"/>
        <v>5.855071922202427</v>
      </c>
      <c r="S959" s="4">
        <f t="shared" si="442"/>
        <v>47.3</v>
      </c>
      <c r="T959" s="4">
        <f t="shared" si="443"/>
        <v>0</v>
      </c>
      <c r="U959" s="4">
        <f t="shared" si="444"/>
        <v>8.2940496401020276</v>
      </c>
      <c r="V959" s="4">
        <f t="shared" si="445"/>
        <v>5.855071922202427</v>
      </c>
      <c r="W959" s="4">
        <f t="shared" si="446"/>
        <v>47.3</v>
      </c>
      <c r="X959" s="4">
        <f t="shared" si="447"/>
        <v>0</v>
      </c>
      <c r="Y959" s="4">
        <f t="shared" si="448"/>
        <v>8.2940496401020276</v>
      </c>
      <c r="Z959" s="4">
        <f t="shared" si="449"/>
        <v>5.855071922202427</v>
      </c>
      <c r="AA959" s="4">
        <f t="shared" si="450"/>
        <v>47.3</v>
      </c>
      <c r="AB959" s="4">
        <f t="shared" si="451"/>
        <v>0</v>
      </c>
      <c r="AC959" s="4">
        <f t="shared" si="452"/>
        <v>0</v>
      </c>
      <c r="AD959" s="4">
        <f t="shared" si="453"/>
        <v>0</v>
      </c>
      <c r="AE959" s="4">
        <f t="shared" si="454"/>
        <v>0</v>
      </c>
      <c r="AF959" s="4">
        <f t="shared" si="455"/>
        <v>0</v>
      </c>
      <c r="AG959" s="4">
        <f t="shared" si="456"/>
        <v>8.2940496401020276</v>
      </c>
      <c r="AH959" s="4">
        <f t="shared" si="457"/>
        <v>0</v>
      </c>
      <c r="AI959" s="4">
        <f t="shared" si="458"/>
        <v>0</v>
      </c>
      <c r="AJ959" s="4">
        <f t="shared" si="459"/>
        <v>8.2940496401020276</v>
      </c>
      <c r="AK959" s="4">
        <f t="shared" si="460"/>
        <v>5.855071922202427</v>
      </c>
      <c r="AL959" s="4">
        <f t="shared" si="461"/>
        <v>0</v>
      </c>
      <c r="AM959" s="4">
        <f>CER!$C$7+CER!$C$8*J959+CER!$C$9*K959+CER!$C$10*L959+CER!$C$11*M959</f>
        <v>3.3428052187220976</v>
      </c>
      <c r="AN959" s="4">
        <f t="shared" si="462"/>
        <v>28.298398663570211</v>
      </c>
      <c r="AO959" s="4">
        <f t="shared" si="463"/>
        <v>9.6795234223002957E-2</v>
      </c>
      <c r="AP959" s="4">
        <f>Alternatives!$F$25+Alternatives!$F$26*J959+Alternatives!$F$27*K959+Alternatives!$F$28*G959+Alternatives!$F$29*O959</f>
        <v>3.3405754187254444</v>
      </c>
      <c r="AQ959" s="4">
        <f t="shared" si="464"/>
        <v>9.9025034219656138E-2</v>
      </c>
    </row>
    <row r="960" spans="1:43" x14ac:dyDescent="0.35">
      <c r="A960" s="2" t="s">
        <v>816</v>
      </c>
      <c r="B960" s="2" t="s">
        <v>794</v>
      </c>
      <c r="C960" s="2" t="s">
        <v>33</v>
      </c>
      <c r="D960" s="2">
        <v>38.481900000000003</v>
      </c>
      <c r="E960" s="2">
        <v>4000</v>
      </c>
      <c r="F960" s="2">
        <v>201</v>
      </c>
      <c r="G960" s="2">
        <v>48</v>
      </c>
      <c r="H960" s="2" t="s">
        <v>68</v>
      </c>
      <c r="I960" s="4">
        <f t="shared" si="434"/>
        <v>3.6501880008779128</v>
      </c>
      <c r="J960" s="4">
        <f t="shared" si="435"/>
        <v>8.2940496401020276</v>
      </c>
      <c r="K960" s="4">
        <f t="shared" si="436"/>
        <v>5.3033049080590757</v>
      </c>
      <c r="L960" s="2">
        <v>1</v>
      </c>
      <c r="M960" s="2">
        <v>0</v>
      </c>
      <c r="N960" s="4">
        <f t="shared" si="437"/>
        <v>48</v>
      </c>
      <c r="O960" s="4">
        <f t="shared" si="438"/>
        <v>1</v>
      </c>
      <c r="P960" s="4">
        <f t="shared" si="439"/>
        <v>1</v>
      </c>
      <c r="Q960" s="4">
        <f t="shared" si="440"/>
        <v>8.2940496401020276</v>
      </c>
      <c r="R960" s="4">
        <f t="shared" si="441"/>
        <v>5.3033049080590757</v>
      </c>
      <c r="S960" s="4">
        <f t="shared" si="442"/>
        <v>48</v>
      </c>
      <c r="T960" s="4">
        <f t="shared" si="443"/>
        <v>1</v>
      </c>
      <c r="U960" s="4">
        <f t="shared" si="444"/>
        <v>8.2940496401020276</v>
      </c>
      <c r="V960" s="4">
        <f t="shared" si="445"/>
        <v>5.3033049080590757</v>
      </c>
      <c r="W960" s="4">
        <f t="shared" si="446"/>
        <v>48</v>
      </c>
      <c r="X960" s="4">
        <f t="shared" si="447"/>
        <v>1</v>
      </c>
      <c r="Y960" s="4">
        <f t="shared" si="448"/>
        <v>8.2940496401020276</v>
      </c>
      <c r="Z960" s="4">
        <f t="shared" si="449"/>
        <v>5.3033049080590757</v>
      </c>
      <c r="AA960" s="4">
        <f t="shared" si="450"/>
        <v>48</v>
      </c>
      <c r="AB960" s="4">
        <f t="shared" si="451"/>
        <v>1</v>
      </c>
      <c r="AC960" s="4">
        <f t="shared" si="452"/>
        <v>0</v>
      </c>
      <c r="AD960" s="4">
        <f t="shared" si="453"/>
        <v>0</v>
      </c>
      <c r="AE960" s="4">
        <f t="shared" si="454"/>
        <v>0</v>
      </c>
      <c r="AF960" s="4">
        <f t="shared" si="455"/>
        <v>0</v>
      </c>
      <c r="AG960" s="4">
        <f t="shared" si="456"/>
        <v>8.2940496401020276</v>
      </c>
      <c r="AH960" s="4">
        <f t="shared" si="457"/>
        <v>1</v>
      </c>
      <c r="AI960" s="4">
        <f t="shared" si="458"/>
        <v>0</v>
      </c>
      <c r="AJ960" s="4">
        <f t="shared" si="459"/>
        <v>8.2940496401020276</v>
      </c>
      <c r="AK960" s="4">
        <f t="shared" si="460"/>
        <v>5.3033049080590757</v>
      </c>
      <c r="AL960" s="4">
        <f t="shared" si="461"/>
        <v>0</v>
      </c>
      <c r="AM960" s="4">
        <f>CER!$C$7+CER!$C$8*J960+CER!$C$9*K960+CER!$C$10*L960+CER!$C$11*M960</f>
        <v>3.7701297600788943</v>
      </c>
      <c r="AN960" s="4">
        <f t="shared" si="462"/>
        <v>43.385694201712738</v>
      </c>
      <c r="AO960" s="4">
        <f t="shared" si="463"/>
        <v>-0.11994175920098149</v>
      </c>
      <c r="AP960" s="4">
        <f>Alternatives!$F$25+Alternatives!$F$26*J960+Alternatives!$F$27*K960+Alternatives!$F$28*G960+Alternatives!$F$29*O960</f>
        <v>4.3230409298817225</v>
      </c>
      <c r="AQ960" s="4">
        <f t="shared" si="464"/>
        <v>-0.67285292900380966</v>
      </c>
    </row>
    <row r="961" spans="1:43" x14ac:dyDescent="0.35">
      <c r="A961" s="2" t="s">
        <v>817</v>
      </c>
      <c r="B961" s="2" t="s">
        <v>794</v>
      </c>
      <c r="C961" s="2" t="s">
        <v>67</v>
      </c>
      <c r="D961" s="2">
        <v>31.174499999999998</v>
      </c>
      <c r="E961" s="2">
        <v>4000</v>
      </c>
      <c r="F961" s="2">
        <v>349</v>
      </c>
      <c r="G961" s="2">
        <v>46.7</v>
      </c>
      <c r="H961" s="2" t="s">
        <v>68</v>
      </c>
      <c r="I961" s="4">
        <f t="shared" si="434"/>
        <v>3.4396004529451005</v>
      </c>
      <c r="J961" s="4">
        <f t="shared" si="435"/>
        <v>8.2940496401020276</v>
      </c>
      <c r="K961" s="4">
        <f t="shared" si="436"/>
        <v>5.855071922202427</v>
      </c>
      <c r="L961" s="2">
        <v>0</v>
      </c>
      <c r="M961" s="2">
        <v>0</v>
      </c>
      <c r="N961" s="4">
        <f t="shared" si="437"/>
        <v>46.7</v>
      </c>
      <c r="O961" s="4">
        <f t="shared" si="438"/>
        <v>0</v>
      </c>
      <c r="P961" s="4">
        <f t="shared" si="439"/>
        <v>0</v>
      </c>
      <c r="Q961" s="4">
        <f t="shared" si="440"/>
        <v>8.2940496401020276</v>
      </c>
      <c r="R961" s="4">
        <f t="shared" si="441"/>
        <v>5.855071922202427</v>
      </c>
      <c r="S961" s="4">
        <f t="shared" si="442"/>
        <v>46.7</v>
      </c>
      <c r="T961" s="4">
        <f t="shared" si="443"/>
        <v>0</v>
      </c>
      <c r="U961" s="4">
        <f t="shared" si="444"/>
        <v>8.2940496401020276</v>
      </c>
      <c r="V961" s="4">
        <f t="shared" si="445"/>
        <v>5.855071922202427</v>
      </c>
      <c r="W961" s="4">
        <f t="shared" si="446"/>
        <v>46.7</v>
      </c>
      <c r="X961" s="4">
        <f t="shared" si="447"/>
        <v>0</v>
      </c>
      <c r="Y961" s="4">
        <f t="shared" si="448"/>
        <v>8.2940496401020276</v>
      </c>
      <c r="Z961" s="4">
        <f t="shared" si="449"/>
        <v>5.855071922202427</v>
      </c>
      <c r="AA961" s="4">
        <f t="shared" si="450"/>
        <v>46.7</v>
      </c>
      <c r="AB961" s="4">
        <f t="shared" si="451"/>
        <v>0</v>
      </c>
      <c r="AC961" s="4">
        <f t="shared" si="452"/>
        <v>0</v>
      </c>
      <c r="AD961" s="4">
        <f t="shared" si="453"/>
        <v>0</v>
      </c>
      <c r="AE961" s="4">
        <f t="shared" si="454"/>
        <v>0</v>
      </c>
      <c r="AF961" s="4">
        <f t="shared" si="455"/>
        <v>0</v>
      </c>
      <c r="AG961" s="4">
        <f t="shared" si="456"/>
        <v>8.2940496401020276</v>
      </c>
      <c r="AH961" s="4">
        <f t="shared" si="457"/>
        <v>0</v>
      </c>
      <c r="AI961" s="4">
        <f t="shared" si="458"/>
        <v>0</v>
      </c>
      <c r="AJ961" s="4">
        <f t="shared" si="459"/>
        <v>8.2940496401020276</v>
      </c>
      <c r="AK961" s="4">
        <f t="shared" si="460"/>
        <v>5.855071922202427</v>
      </c>
      <c r="AL961" s="4">
        <f t="shared" si="461"/>
        <v>0</v>
      </c>
      <c r="AM961" s="4">
        <f>CER!$C$7+CER!$C$8*J961+CER!$C$9*K961+CER!$C$10*L961+CER!$C$11*M961</f>
        <v>3.3428052187220976</v>
      </c>
      <c r="AN961" s="4">
        <f t="shared" si="462"/>
        <v>28.298398663570211</v>
      </c>
      <c r="AO961" s="4">
        <f t="shared" si="463"/>
        <v>9.6795234223002957E-2</v>
      </c>
      <c r="AP961" s="4">
        <f>Alternatives!$F$25+Alternatives!$F$26*J961+Alternatives!$F$27*K961+Alternatives!$F$28*G961+Alternatives!$F$29*O961</f>
        <v>3.3483798074507813</v>
      </c>
      <c r="AQ961" s="4">
        <f t="shared" si="464"/>
        <v>9.1220645494319186E-2</v>
      </c>
    </row>
    <row r="962" spans="1:43" x14ac:dyDescent="0.35">
      <c r="A962" s="2" t="s">
        <v>818</v>
      </c>
      <c r="B962" s="2" t="s">
        <v>794</v>
      </c>
      <c r="C962" s="2" t="s">
        <v>67</v>
      </c>
      <c r="D962" s="2">
        <v>26.760899999999999</v>
      </c>
      <c r="E962" s="2">
        <v>4000</v>
      </c>
      <c r="F962" s="2">
        <v>444</v>
      </c>
      <c r="G962" s="2">
        <v>47.4</v>
      </c>
      <c r="H962" s="2" t="s">
        <v>68</v>
      </c>
      <c r="I962" s="4">
        <f t="shared" ref="I962:I1025" si="465">LN(D962)</f>
        <v>3.2869418669814707</v>
      </c>
      <c r="J962" s="4">
        <f t="shared" ref="J962:J1025" si="466">LN(E962)</f>
        <v>8.2940496401020276</v>
      </c>
      <c r="K962" s="4">
        <f t="shared" ref="K962:K1025" si="467">LN(F962)</f>
        <v>6.0958245624322247</v>
      </c>
      <c r="L962" s="2">
        <v>0</v>
      </c>
      <c r="M962" s="2">
        <v>0</v>
      </c>
      <c r="N962" s="4">
        <f t="shared" ref="N962:N1025" si="468">G962</f>
        <v>47.4</v>
      </c>
      <c r="O962" s="4">
        <f t="shared" ref="O962:O1025" si="469">L962+M962</f>
        <v>0</v>
      </c>
      <c r="P962" s="4">
        <f t="shared" ref="P962:P1025" si="470">L962+2*M962</f>
        <v>0</v>
      </c>
      <c r="Q962" s="4">
        <f t="shared" ref="Q962:Q1025" si="471">J962</f>
        <v>8.2940496401020276</v>
      </c>
      <c r="R962" s="4">
        <f t="shared" ref="R962:R1025" si="472">K962</f>
        <v>6.0958245624322247</v>
      </c>
      <c r="S962" s="4">
        <f t="shared" ref="S962:S1025" si="473">G962</f>
        <v>47.4</v>
      </c>
      <c r="T962" s="4">
        <f t="shared" ref="T962:T1025" si="474">O962</f>
        <v>0</v>
      </c>
      <c r="U962" s="4">
        <f t="shared" ref="U962:U1025" si="475">J962</f>
        <v>8.2940496401020276</v>
      </c>
      <c r="V962" s="4">
        <f t="shared" ref="V962:V1025" si="476">K962</f>
        <v>6.0958245624322247</v>
      </c>
      <c r="W962" s="4">
        <f t="shared" ref="W962:W1025" si="477">G962</f>
        <v>47.4</v>
      </c>
      <c r="X962" s="4">
        <f t="shared" ref="X962:X1025" si="478">P962</f>
        <v>0</v>
      </c>
      <c r="Y962" s="4">
        <f t="shared" ref="Y962:Y1025" si="479">J962</f>
        <v>8.2940496401020276</v>
      </c>
      <c r="Z962" s="4">
        <f t="shared" ref="Z962:Z1025" si="480">K962</f>
        <v>6.0958245624322247</v>
      </c>
      <c r="AA962" s="4">
        <f t="shared" ref="AA962:AA1025" si="481">G962</f>
        <v>47.4</v>
      </c>
      <c r="AB962" s="4">
        <f t="shared" ref="AB962:AB1025" si="482">L962</f>
        <v>0</v>
      </c>
      <c r="AC962" s="4">
        <f t="shared" ref="AC962:AC1025" si="483">M962</f>
        <v>0</v>
      </c>
      <c r="AD962" s="4">
        <f t="shared" ref="AD962:AD1025" si="484">M962*J962</f>
        <v>0</v>
      </c>
      <c r="AE962" s="4">
        <f t="shared" ref="AE962:AE1025" si="485">M962*K962</f>
        <v>0</v>
      </c>
      <c r="AF962" s="4">
        <f t="shared" ref="AF962:AF1025" si="486">M962*G962</f>
        <v>0</v>
      </c>
      <c r="AG962" s="4">
        <f t="shared" ref="AG962:AG1025" si="487">J962</f>
        <v>8.2940496401020276</v>
      </c>
      <c r="AH962" s="4">
        <f t="shared" ref="AH962:AH1025" si="488">L962</f>
        <v>0</v>
      </c>
      <c r="AI962" s="4">
        <f t="shared" ref="AI962:AI1025" si="489">M962</f>
        <v>0</v>
      </c>
      <c r="AJ962" s="4">
        <f t="shared" ref="AJ962:AJ1025" si="490">J962</f>
        <v>8.2940496401020276</v>
      </c>
      <c r="AK962" s="4">
        <f t="shared" ref="AK962:AK1025" si="491">K962</f>
        <v>6.0958245624322247</v>
      </c>
      <c r="AL962" s="4">
        <f t="shared" ref="AL962:AL1025" si="492">M962</f>
        <v>0</v>
      </c>
      <c r="AM962" s="4">
        <f>CER!$C$7+CER!$C$8*J962+CER!$C$9*K962+CER!$C$10*L962+CER!$C$11*M962</f>
        <v>3.2539810455123352</v>
      </c>
      <c r="AN962" s="4">
        <f t="shared" ref="AN962:AN1025" si="493">EXP(AM962)</f>
        <v>25.893217077638358</v>
      </c>
      <c r="AO962" s="4">
        <f t="shared" ref="AO962:AO1025" si="494">I962-AM962</f>
        <v>3.2960821469135482E-2</v>
      </c>
      <c r="AP962" s="4">
        <f>Alternatives!$F$25+Alternatives!$F$26*J962+Alternatives!$F$27*K962+Alternatives!$F$28*G962+Alternatives!$F$29*O962</f>
        <v>3.2752080099054841</v>
      </c>
      <c r="AQ962" s="4">
        <f t="shared" ref="AQ962:AQ1025" si="495">I962-AP962</f>
        <v>1.173385707598662E-2</v>
      </c>
    </row>
    <row r="963" spans="1:43" x14ac:dyDescent="0.35">
      <c r="A963" s="2" t="s">
        <v>819</v>
      </c>
      <c r="B963" s="2" t="s">
        <v>794</v>
      </c>
      <c r="C963" s="2" t="s">
        <v>67</v>
      </c>
      <c r="D963" s="2">
        <v>30.436900000000001</v>
      </c>
      <c r="E963" s="2">
        <v>4000</v>
      </c>
      <c r="F963" s="2">
        <v>349</v>
      </c>
      <c r="G963" s="2">
        <v>47.7</v>
      </c>
      <c r="H963" s="2" t="s">
        <v>68</v>
      </c>
      <c r="I963" s="4">
        <f t="shared" si="465"/>
        <v>3.4156556881228468</v>
      </c>
      <c r="J963" s="4">
        <f t="shared" si="466"/>
        <v>8.2940496401020276</v>
      </c>
      <c r="K963" s="4">
        <f t="shared" si="467"/>
        <v>5.855071922202427</v>
      </c>
      <c r="L963" s="2">
        <v>0</v>
      </c>
      <c r="M963" s="2">
        <v>0</v>
      </c>
      <c r="N963" s="4">
        <f t="shared" si="468"/>
        <v>47.7</v>
      </c>
      <c r="O963" s="4">
        <f t="shared" si="469"/>
        <v>0</v>
      </c>
      <c r="P963" s="4">
        <f t="shared" si="470"/>
        <v>0</v>
      </c>
      <c r="Q963" s="4">
        <f t="shared" si="471"/>
        <v>8.2940496401020276</v>
      </c>
      <c r="R963" s="4">
        <f t="shared" si="472"/>
        <v>5.855071922202427</v>
      </c>
      <c r="S963" s="4">
        <f t="shared" si="473"/>
        <v>47.7</v>
      </c>
      <c r="T963" s="4">
        <f t="shared" si="474"/>
        <v>0</v>
      </c>
      <c r="U963" s="4">
        <f t="shared" si="475"/>
        <v>8.2940496401020276</v>
      </c>
      <c r="V963" s="4">
        <f t="shared" si="476"/>
        <v>5.855071922202427</v>
      </c>
      <c r="W963" s="4">
        <f t="shared" si="477"/>
        <v>47.7</v>
      </c>
      <c r="X963" s="4">
        <f t="shared" si="478"/>
        <v>0</v>
      </c>
      <c r="Y963" s="4">
        <f t="shared" si="479"/>
        <v>8.2940496401020276</v>
      </c>
      <c r="Z963" s="4">
        <f t="shared" si="480"/>
        <v>5.855071922202427</v>
      </c>
      <c r="AA963" s="4">
        <f t="shared" si="481"/>
        <v>47.7</v>
      </c>
      <c r="AB963" s="4">
        <f t="shared" si="482"/>
        <v>0</v>
      </c>
      <c r="AC963" s="4">
        <f t="shared" si="483"/>
        <v>0</v>
      </c>
      <c r="AD963" s="4">
        <f t="shared" si="484"/>
        <v>0</v>
      </c>
      <c r="AE963" s="4">
        <f t="shared" si="485"/>
        <v>0</v>
      </c>
      <c r="AF963" s="4">
        <f t="shared" si="486"/>
        <v>0</v>
      </c>
      <c r="AG963" s="4">
        <f t="shared" si="487"/>
        <v>8.2940496401020276</v>
      </c>
      <c r="AH963" s="4">
        <f t="shared" si="488"/>
        <v>0</v>
      </c>
      <c r="AI963" s="4">
        <f t="shared" si="489"/>
        <v>0</v>
      </c>
      <c r="AJ963" s="4">
        <f t="shared" si="490"/>
        <v>8.2940496401020276</v>
      </c>
      <c r="AK963" s="4">
        <f t="shared" si="491"/>
        <v>5.855071922202427</v>
      </c>
      <c r="AL963" s="4">
        <f t="shared" si="492"/>
        <v>0</v>
      </c>
      <c r="AM963" s="4">
        <f>CER!$C$7+CER!$C$8*J963+CER!$C$9*K963+CER!$C$10*L963+CER!$C$11*M963</f>
        <v>3.3428052187220976</v>
      </c>
      <c r="AN963" s="4">
        <f t="shared" si="493"/>
        <v>28.298398663570211</v>
      </c>
      <c r="AO963" s="4">
        <f t="shared" si="494"/>
        <v>7.285046940074924E-2</v>
      </c>
      <c r="AP963" s="4">
        <f>Alternatives!$F$25+Alternatives!$F$26*J963+Alternatives!$F$27*K963+Alternatives!$F$28*G963+Alternatives!$F$29*O963</f>
        <v>3.3353724929085531</v>
      </c>
      <c r="AQ963" s="4">
        <f t="shared" si="495"/>
        <v>8.0283195214293723E-2</v>
      </c>
    </row>
    <row r="964" spans="1:43" x14ac:dyDescent="0.35">
      <c r="A964" s="2" t="s">
        <v>820</v>
      </c>
      <c r="B964" s="2" t="s">
        <v>794</v>
      </c>
      <c r="C964" s="2" t="s">
        <v>33</v>
      </c>
      <c r="D964" s="2">
        <v>35.448999999999998</v>
      </c>
      <c r="E964" s="2">
        <v>4000</v>
      </c>
      <c r="F964" s="2">
        <v>261</v>
      </c>
      <c r="G964" s="2">
        <v>48</v>
      </c>
      <c r="H964" s="2" t="s">
        <v>68</v>
      </c>
      <c r="I964" s="4">
        <f t="shared" si="465"/>
        <v>3.5680950438355516</v>
      </c>
      <c r="J964" s="4">
        <f t="shared" si="466"/>
        <v>8.2940496401020276</v>
      </c>
      <c r="K964" s="4">
        <f t="shared" si="467"/>
        <v>5.5645204073226937</v>
      </c>
      <c r="L964" s="2">
        <v>1</v>
      </c>
      <c r="M964" s="2">
        <v>0</v>
      </c>
      <c r="N964" s="4">
        <f t="shared" si="468"/>
        <v>48</v>
      </c>
      <c r="O964" s="4">
        <f t="shared" si="469"/>
        <v>1</v>
      </c>
      <c r="P964" s="4">
        <f t="shared" si="470"/>
        <v>1</v>
      </c>
      <c r="Q964" s="4">
        <f t="shared" si="471"/>
        <v>8.2940496401020276</v>
      </c>
      <c r="R964" s="4">
        <f t="shared" si="472"/>
        <v>5.5645204073226937</v>
      </c>
      <c r="S964" s="4">
        <f t="shared" si="473"/>
        <v>48</v>
      </c>
      <c r="T964" s="4">
        <f t="shared" si="474"/>
        <v>1</v>
      </c>
      <c r="U964" s="4">
        <f t="shared" si="475"/>
        <v>8.2940496401020276</v>
      </c>
      <c r="V964" s="4">
        <f t="shared" si="476"/>
        <v>5.5645204073226937</v>
      </c>
      <c r="W964" s="4">
        <f t="shared" si="477"/>
        <v>48</v>
      </c>
      <c r="X964" s="4">
        <f t="shared" si="478"/>
        <v>1</v>
      </c>
      <c r="Y964" s="4">
        <f t="shared" si="479"/>
        <v>8.2940496401020276</v>
      </c>
      <c r="Z964" s="4">
        <f t="shared" si="480"/>
        <v>5.5645204073226937</v>
      </c>
      <c r="AA964" s="4">
        <f t="shared" si="481"/>
        <v>48</v>
      </c>
      <c r="AB964" s="4">
        <f t="shared" si="482"/>
        <v>1</v>
      </c>
      <c r="AC964" s="4">
        <f t="shared" si="483"/>
        <v>0</v>
      </c>
      <c r="AD964" s="4">
        <f t="shared" si="484"/>
        <v>0</v>
      </c>
      <c r="AE964" s="4">
        <f t="shared" si="485"/>
        <v>0</v>
      </c>
      <c r="AF964" s="4">
        <f t="shared" si="486"/>
        <v>0</v>
      </c>
      <c r="AG964" s="4">
        <f t="shared" si="487"/>
        <v>8.2940496401020276</v>
      </c>
      <c r="AH964" s="4">
        <f t="shared" si="488"/>
        <v>1</v>
      </c>
      <c r="AI964" s="4">
        <f t="shared" si="489"/>
        <v>0</v>
      </c>
      <c r="AJ964" s="4">
        <f t="shared" si="490"/>
        <v>8.2940496401020276</v>
      </c>
      <c r="AK964" s="4">
        <f t="shared" si="491"/>
        <v>5.5645204073226937</v>
      </c>
      <c r="AL964" s="4">
        <f t="shared" si="492"/>
        <v>0</v>
      </c>
      <c r="AM964" s="4">
        <f>CER!$C$7+CER!$C$8*J964+CER!$C$9*K964+CER!$C$10*L964+CER!$C$11*M964</f>
        <v>3.6737559436608498</v>
      </c>
      <c r="AN964" s="4">
        <f t="shared" si="493"/>
        <v>39.399611019784423</v>
      </c>
      <c r="AO964" s="4">
        <f t="shared" si="494"/>
        <v>-0.10566089982529814</v>
      </c>
      <c r="AP964" s="4">
        <f>Alternatives!$F$25+Alternatives!$F$26*J964+Alternatives!$F$27*K964+Alternatives!$F$28*G964+Alternatives!$F$29*O964</f>
        <v>4.2535288817551535</v>
      </c>
      <c r="AQ964" s="4">
        <f t="shared" si="495"/>
        <v>-0.68543383791960188</v>
      </c>
    </row>
    <row r="965" spans="1:43" x14ac:dyDescent="0.35">
      <c r="A965" s="2" t="s">
        <v>821</v>
      </c>
      <c r="B965" s="2" t="s">
        <v>794</v>
      </c>
      <c r="C965" s="2" t="s">
        <v>67</v>
      </c>
      <c r="D965" s="2">
        <v>26.029599999999999</v>
      </c>
      <c r="E965" s="2">
        <v>4000</v>
      </c>
      <c r="F965" s="2">
        <v>444</v>
      </c>
      <c r="G965" s="2">
        <v>48.5</v>
      </c>
      <c r="H965" s="2" t="s">
        <v>68</v>
      </c>
      <c r="I965" s="4">
        <f t="shared" si="465"/>
        <v>3.2592343520040381</v>
      </c>
      <c r="J965" s="4">
        <f t="shared" si="466"/>
        <v>8.2940496401020276</v>
      </c>
      <c r="K965" s="4">
        <f t="shared" si="467"/>
        <v>6.0958245624322247</v>
      </c>
      <c r="L965" s="2">
        <v>0</v>
      </c>
      <c r="M965" s="2">
        <v>0</v>
      </c>
      <c r="N965" s="4">
        <f t="shared" si="468"/>
        <v>48.5</v>
      </c>
      <c r="O965" s="4">
        <f t="shared" si="469"/>
        <v>0</v>
      </c>
      <c r="P965" s="4">
        <f t="shared" si="470"/>
        <v>0</v>
      </c>
      <c r="Q965" s="4">
        <f t="shared" si="471"/>
        <v>8.2940496401020276</v>
      </c>
      <c r="R965" s="4">
        <f t="shared" si="472"/>
        <v>6.0958245624322247</v>
      </c>
      <c r="S965" s="4">
        <f t="shared" si="473"/>
        <v>48.5</v>
      </c>
      <c r="T965" s="4">
        <f t="shared" si="474"/>
        <v>0</v>
      </c>
      <c r="U965" s="4">
        <f t="shared" si="475"/>
        <v>8.2940496401020276</v>
      </c>
      <c r="V965" s="4">
        <f t="shared" si="476"/>
        <v>6.0958245624322247</v>
      </c>
      <c r="W965" s="4">
        <f t="shared" si="477"/>
        <v>48.5</v>
      </c>
      <c r="X965" s="4">
        <f t="shared" si="478"/>
        <v>0</v>
      </c>
      <c r="Y965" s="4">
        <f t="shared" si="479"/>
        <v>8.2940496401020276</v>
      </c>
      <c r="Z965" s="4">
        <f t="shared" si="480"/>
        <v>6.0958245624322247</v>
      </c>
      <c r="AA965" s="4">
        <f t="shared" si="481"/>
        <v>48.5</v>
      </c>
      <c r="AB965" s="4">
        <f t="shared" si="482"/>
        <v>0</v>
      </c>
      <c r="AC965" s="4">
        <f t="shared" si="483"/>
        <v>0</v>
      </c>
      <c r="AD965" s="4">
        <f t="shared" si="484"/>
        <v>0</v>
      </c>
      <c r="AE965" s="4">
        <f t="shared" si="485"/>
        <v>0</v>
      </c>
      <c r="AF965" s="4">
        <f t="shared" si="486"/>
        <v>0</v>
      </c>
      <c r="AG965" s="4">
        <f t="shared" si="487"/>
        <v>8.2940496401020276</v>
      </c>
      <c r="AH965" s="4">
        <f t="shared" si="488"/>
        <v>0</v>
      </c>
      <c r="AI965" s="4">
        <f t="shared" si="489"/>
        <v>0</v>
      </c>
      <c r="AJ965" s="4">
        <f t="shared" si="490"/>
        <v>8.2940496401020276</v>
      </c>
      <c r="AK965" s="4">
        <f t="shared" si="491"/>
        <v>6.0958245624322247</v>
      </c>
      <c r="AL965" s="4">
        <f t="shared" si="492"/>
        <v>0</v>
      </c>
      <c r="AM965" s="4">
        <f>CER!$C$7+CER!$C$8*J965+CER!$C$9*K965+CER!$C$10*L965+CER!$C$11*M965</f>
        <v>3.2539810455123352</v>
      </c>
      <c r="AN965" s="4">
        <f t="shared" si="493"/>
        <v>25.893217077638358</v>
      </c>
      <c r="AO965" s="4">
        <f t="shared" si="494"/>
        <v>5.2533064917028582E-3</v>
      </c>
      <c r="AP965" s="4">
        <f>Alternatives!$F$25+Alternatives!$F$26*J965+Alternatives!$F$27*K965+Alternatives!$F$28*G965+Alternatives!$F$29*O965</f>
        <v>3.2608999639090328</v>
      </c>
      <c r="AQ965" s="4">
        <f t="shared" si="495"/>
        <v>-1.6656119049947016E-3</v>
      </c>
    </row>
    <row r="966" spans="1:43" x14ac:dyDescent="0.35">
      <c r="A966" s="2" t="s">
        <v>822</v>
      </c>
      <c r="B966" s="2" t="s">
        <v>794</v>
      </c>
      <c r="C966" s="2" t="s">
        <v>33</v>
      </c>
      <c r="D966" s="2">
        <v>34.146799999999999</v>
      </c>
      <c r="E966" s="2">
        <v>4000</v>
      </c>
      <c r="F966" s="2">
        <v>261</v>
      </c>
      <c r="G966" s="2">
        <v>46.9</v>
      </c>
      <c r="H966" s="2" t="s">
        <v>68</v>
      </c>
      <c r="I966" s="4">
        <f t="shared" si="465"/>
        <v>3.5306688773803083</v>
      </c>
      <c r="J966" s="4">
        <f t="shared" si="466"/>
        <v>8.2940496401020276</v>
      </c>
      <c r="K966" s="4">
        <f t="shared" si="467"/>
        <v>5.5645204073226937</v>
      </c>
      <c r="L966" s="2">
        <v>1</v>
      </c>
      <c r="M966" s="2">
        <v>0</v>
      </c>
      <c r="N966" s="4">
        <f t="shared" si="468"/>
        <v>46.9</v>
      </c>
      <c r="O966" s="4">
        <f t="shared" si="469"/>
        <v>1</v>
      </c>
      <c r="P966" s="4">
        <f t="shared" si="470"/>
        <v>1</v>
      </c>
      <c r="Q966" s="4">
        <f t="shared" si="471"/>
        <v>8.2940496401020276</v>
      </c>
      <c r="R966" s="4">
        <f t="shared" si="472"/>
        <v>5.5645204073226937</v>
      </c>
      <c r="S966" s="4">
        <f t="shared" si="473"/>
        <v>46.9</v>
      </c>
      <c r="T966" s="4">
        <f t="shared" si="474"/>
        <v>1</v>
      </c>
      <c r="U966" s="4">
        <f t="shared" si="475"/>
        <v>8.2940496401020276</v>
      </c>
      <c r="V966" s="4">
        <f t="shared" si="476"/>
        <v>5.5645204073226937</v>
      </c>
      <c r="W966" s="4">
        <f t="shared" si="477"/>
        <v>46.9</v>
      </c>
      <c r="X966" s="4">
        <f t="shared" si="478"/>
        <v>1</v>
      </c>
      <c r="Y966" s="4">
        <f t="shared" si="479"/>
        <v>8.2940496401020276</v>
      </c>
      <c r="Z966" s="4">
        <f t="shared" si="480"/>
        <v>5.5645204073226937</v>
      </c>
      <c r="AA966" s="4">
        <f t="shared" si="481"/>
        <v>46.9</v>
      </c>
      <c r="AB966" s="4">
        <f t="shared" si="482"/>
        <v>1</v>
      </c>
      <c r="AC966" s="4">
        <f t="shared" si="483"/>
        <v>0</v>
      </c>
      <c r="AD966" s="4">
        <f t="shared" si="484"/>
        <v>0</v>
      </c>
      <c r="AE966" s="4">
        <f t="shared" si="485"/>
        <v>0</v>
      </c>
      <c r="AF966" s="4">
        <f t="shared" si="486"/>
        <v>0</v>
      </c>
      <c r="AG966" s="4">
        <f t="shared" si="487"/>
        <v>8.2940496401020276</v>
      </c>
      <c r="AH966" s="4">
        <f t="shared" si="488"/>
        <v>1</v>
      </c>
      <c r="AI966" s="4">
        <f t="shared" si="489"/>
        <v>0</v>
      </c>
      <c r="AJ966" s="4">
        <f t="shared" si="490"/>
        <v>8.2940496401020276</v>
      </c>
      <c r="AK966" s="4">
        <f t="shared" si="491"/>
        <v>5.5645204073226937</v>
      </c>
      <c r="AL966" s="4">
        <f t="shared" si="492"/>
        <v>0</v>
      </c>
      <c r="AM966" s="4">
        <f>CER!$C$7+CER!$C$8*J966+CER!$C$9*K966+CER!$C$10*L966+CER!$C$11*M966</f>
        <v>3.6737559436608498</v>
      </c>
      <c r="AN966" s="4">
        <f t="shared" si="493"/>
        <v>39.399611019784423</v>
      </c>
      <c r="AO966" s="4">
        <f t="shared" si="494"/>
        <v>-0.14308706628054146</v>
      </c>
      <c r="AP966" s="4">
        <f>Alternatives!$F$25+Alternatives!$F$26*J966+Alternatives!$F$27*K966+Alternatives!$F$28*G966+Alternatives!$F$29*O966</f>
        <v>4.2678369277516044</v>
      </c>
      <c r="AQ966" s="4">
        <f t="shared" si="495"/>
        <v>-0.73716805037129607</v>
      </c>
    </row>
    <row r="967" spans="1:43" x14ac:dyDescent="0.35">
      <c r="A967" s="2" t="s">
        <v>823</v>
      </c>
      <c r="B967" s="2" t="s">
        <v>794</v>
      </c>
      <c r="C967" s="2" t="s">
        <v>33</v>
      </c>
      <c r="D967" s="2">
        <v>35.448999999999998</v>
      </c>
      <c r="E967" s="2">
        <v>4000</v>
      </c>
      <c r="F967" s="2">
        <v>261</v>
      </c>
      <c r="G967" s="2">
        <v>46.9</v>
      </c>
      <c r="H967" s="2" t="s">
        <v>68</v>
      </c>
      <c r="I967" s="4">
        <f t="shared" si="465"/>
        <v>3.5680950438355516</v>
      </c>
      <c r="J967" s="4">
        <f t="shared" si="466"/>
        <v>8.2940496401020276</v>
      </c>
      <c r="K967" s="4">
        <f t="shared" si="467"/>
        <v>5.5645204073226937</v>
      </c>
      <c r="L967" s="2">
        <v>1</v>
      </c>
      <c r="M967" s="2">
        <v>0</v>
      </c>
      <c r="N967" s="4">
        <f t="shared" si="468"/>
        <v>46.9</v>
      </c>
      <c r="O967" s="4">
        <f t="shared" si="469"/>
        <v>1</v>
      </c>
      <c r="P967" s="4">
        <f t="shared" si="470"/>
        <v>1</v>
      </c>
      <c r="Q967" s="4">
        <f t="shared" si="471"/>
        <v>8.2940496401020276</v>
      </c>
      <c r="R967" s="4">
        <f t="shared" si="472"/>
        <v>5.5645204073226937</v>
      </c>
      <c r="S967" s="4">
        <f t="shared" si="473"/>
        <v>46.9</v>
      </c>
      <c r="T967" s="4">
        <f t="shared" si="474"/>
        <v>1</v>
      </c>
      <c r="U967" s="4">
        <f t="shared" si="475"/>
        <v>8.2940496401020276</v>
      </c>
      <c r="V967" s="4">
        <f t="shared" si="476"/>
        <v>5.5645204073226937</v>
      </c>
      <c r="W967" s="4">
        <f t="shared" si="477"/>
        <v>46.9</v>
      </c>
      <c r="X967" s="4">
        <f t="shared" si="478"/>
        <v>1</v>
      </c>
      <c r="Y967" s="4">
        <f t="shared" si="479"/>
        <v>8.2940496401020276</v>
      </c>
      <c r="Z967" s="4">
        <f t="shared" si="480"/>
        <v>5.5645204073226937</v>
      </c>
      <c r="AA967" s="4">
        <f t="shared" si="481"/>
        <v>46.9</v>
      </c>
      <c r="AB967" s="4">
        <f t="shared" si="482"/>
        <v>1</v>
      </c>
      <c r="AC967" s="4">
        <f t="shared" si="483"/>
        <v>0</v>
      </c>
      <c r="AD967" s="4">
        <f t="shared" si="484"/>
        <v>0</v>
      </c>
      <c r="AE967" s="4">
        <f t="shared" si="485"/>
        <v>0</v>
      </c>
      <c r="AF967" s="4">
        <f t="shared" si="486"/>
        <v>0</v>
      </c>
      <c r="AG967" s="4">
        <f t="shared" si="487"/>
        <v>8.2940496401020276</v>
      </c>
      <c r="AH967" s="4">
        <f t="shared" si="488"/>
        <v>1</v>
      </c>
      <c r="AI967" s="4">
        <f t="shared" si="489"/>
        <v>0</v>
      </c>
      <c r="AJ967" s="4">
        <f t="shared" si="490"/>
        <v>8.2940496401020276</v>
      </c>
      <c r="AK967" s="4">
        <f t="shared" si="491"/>
        <v>5.5645204073226937</v>
      </c>
      <c r="AL967" s="4">
        <f t="shared" si="492"/>
        <v>0</v>
      </c>
      <c r="AM967" s="4">
        <f>CER!$C$7+CER!$C$8*J967+CER!$C$9*K967+CER!$C$10*L967+CER!$C$11*M967</f>
        <v>3.6737559436608498</v>
      </c>
      <c r="AN967" s="4">
        <f t="shared" si="493"/>
        <v>39.399611019784423</v>
      </c>
      <c r="AO967" s="4">
        <f t="shared" si="494"/>
        <v>-0.10566089982529814</v>
      </c>
      <c r="AP967" s="4">
        <f>Alternatives!$F$25+Alternatives!$F$26*J967+Alternatives!$F$27*K967+Alternatives!$F$28*G967+Alternatives!$F$29*O967</f>
        <v>4.2678369277516044</v>
      </c>
      <c r="AQ967" s="4">
        <f t="shared" si="495"/>
        <v>-0.69974188391605274</v>
      </c>
    </row>
    <row r="968" spans="1:43" x14ac:dyDescent="0.35">
      <c r="A968" s="2" t="s">
        <v>824</v>
      </c>
      <c r="B968" s="2" t="s">
        <v>794</v>
      </c>
      <c r="C968" s="2" t="s">
        <v>67</v>
      </c>
      <c r="D968" s="2">
        <v>29.3904</v>
      </c>
      <c r="E968" s="2">
        <v>4500</v>
      </c>
      <c r="F968" s="2">
        <v>349</v>
      </c>
      <c r="G968" s="2">
        <v>46.7</v>
      </c>
      <c r="H968" s="2" t="s">
        <v>68</v>
      </c>
      <c r="I968" s="4">
        <f t="shared" si="465"/>
        <v>3.3806680904096629</v>
      </c>
      <c r="J968" s="4">
        <f t="shared" si="466"/>
        <v>8.4118326757584114</v>
      </c>
      <c r="K968" s="4">
        <f t="shared" si="467"/>
        <v>5.855071922202427</v>
      </c>
      <c r="L968" s="2">
        <v>0</v>
      </c>
      <c r="M968" s="2">
        <v>0</v>
      </c>
      <c r="N968" s="4">
        <f t="shared" si="468"/>
        <v>46.7</v>
      </c>
      <c r="O968" s="4">
        <f t="shared" si="469"/>
        <v>0</v>
      </c>
      <c r="P968" s="4">
        <f t="shared" si="470"/>
        <v>0</v>
      </c>
      <c r="Q968" s="4">
        <f t="shared" si="471"/>
        <v>8.4118326757584114</v>
      </c>
      <c r="R968" s="4">
        <f t="shared" si="472"/>
        <v>5.855071922202427</v>
      </c>
      <c r="S968" s="4">
        <f t="shared" si="473"/>
        <v>46.7</v>
      </c>
      <c r="T968" s="4">
        <f t="shared" si="474"/>
        <v>0</v>
      </c>
      <c r="U968" s="4">
        <f t="shared" si="475"/>
        <v>8.4118326757584114</v>
      </c>
      <c r="V968" s="4">
        <f t="shared" si="476"/>
        <v>5.855071922202427</v>
      </c>
      <c r="W968" s="4">
        <f t="shared" si="477"/>
        <v>46.7</v>
      </c>
      <c r="X968" s="4">
        <f t="shared" si="478"/>
        <v>0</v>
      </c>
      <c r="Y968" s="4">
        <f t="shared" si="479"/>
        <v>8.4118326757584114</v>
      </c>
      <c r="Z968" s="4">
        <f t="shared" si="480"/>
        <v>5.855071922202427</v>
      </c>
      <c r="AA968" s="4">
        <f t="shared" si="481"/>
        <v>46.7</v>
      </c>
      <c r="AB968" s="4">
        <f t="shared" si="482"/>
        <v>0</v>
      </c>
      <c r="AC968" s="4">
        <f t="shared" si="483"/>
        <v>0</v>
      </c>
      <c r="AD968" s="4">
        <f t="shared" si="484"/>
        <v>0</v>
      </c>
      <c r="AE968" s="4">
        <f t="shared" si="485"/>
        <v>0</v>
      </c>
      <c r="AF968" s="4">
        <f t="shared" si="486"/>
        <v>0</v>
      </c>
      <c r="AG968" s="4">
        <f t="shared" si="487"/>
        <v>8.4118326757584114</v>
      </c>
      <c r="AH968" s="4">
        <f t="shared" si="488"/>
        <v>0</v>
      </c>
      <c r="AI968" s="4">
        <f t="shared" si="489"/>
        <v>0</v>
      </c>
      <c r="AJ968" s="4">
        <f t="shared" si="490"/>
        <v>8.4118326757584114</v>
      </c>
      <c r="AK968" s="4">
        <f t="shared" si="491"/>
        <v>5.855071922202427</v>
      </c>
      <c r="AL968" s="4">
        <f t="shared" si="492"/>
        <v>0</v>
      </c>
      <c r="AM968" s="4">
        <f>CER!$C$7+CER!$C$8*J968+CER!$C$9*K968+CER!$C$10*L968+CER!$C$11*M968</f>
        <v>3.2894837643432977</v>
      </c>
      <c r="AN968" s="4">
        <f t="shared" si="493"/>
        <v>26.829009988737539</v>
      </c>
      <c r="AO968" s="4">
        <f t="shared" si="494"/>
        <v>9.1184326066365173E-2</v>
      </c>
      <c r="AP968" s="4">
        <f>Alternatives!$F$25+Alternatives!$F$26*J968+Alternatives!$F$27*K968+Alternatives!$F$28*G968+Alternatives!$F$29*O968</f>
        <v>3.391969657404573</v>
      </c>
      <c r="AQ968" s="4">
        <f t="shared" si="495"/>
        <v>-1.1301566994910139E-2</v>
      </c>
    </row>
    <row r="969" spans="1:43" x14ac:dyDescent="0.35">
      <c r="A969" s="2" t="s">
        <v>825</v>
      </c>
      <c r="B969" s="2" t="s">
        <v>794</v>
      </c>
      <c r="C969" s="2" t="s">
        <v>67</v>
      </c>
      <c r="D969" s="2">
        <v>32.905299999999997</v>
      </c>
      <c r="E969" s="2">
        <v>4000</v>
      </c>
      <c r="F969" s="2">
        <v>184</v>
      </c>
      <c r="G969" s="2">
        <v>45.3</v>
      </c>
      <c r="H969" s="2" t="s">
        <v>68</v>
      </c>
      <c r="I969" s="4">
        <f t="shared" si="465"/>
        <v>3.4936337390219689</v>
      </c>
      <c r="J969" s="4">
        <f t="shared" si="466"/>
        <v>8.2940496401020276</v>
      </c>
      <c r="K969" s="4">
        <f t="shared" si="467"/>
        <v>5.2149357576089859</v>
      </c>
      <c r="L969" s="2">
        <v>0</v>
      </c>
      <c r="M969" s="2">
        <v>0</v>
      </c>
      <c r="N969" s="4">
        <f t="shared" si="468"/>
        <v>45.3</v>
      </c>
      <c r="O969" s="4">
        <f t="shared" si="469"/>
        <v>0</v>
      </c>
      <c r="P969" s="4">
        <f t="shared" si="470"/>
        <v>0</v>
      </c>
      <c r="Q969" s="4">
        <f t="shared" si="471"/>
        <v>8.2940496401020276</v>
      </c>
      <c r="R969" s="4">
        <f t="shared" si="472"/>
        <v>5.2149357576089859</v>
      </c>
      <c r="S969" s="4">
        <f t="shared" si="473"/>
        <v>45.3</v>
      </c>
      <c r="T969" s="4">
        <f t="shared" si="474"/>
        <v>0</v>
      </c>
      <c r="U969" s="4">
        <f t="shared" si="475"/>
        <v>8.2940496401020276</v>
      </c>
      <c r="V969" s="4">
        <f t="shared" si="476"/>
        <v>5.2149357576089859</v>
      </c>
      <c r="W969" s="4">
        <f t="shared" si="477"/>
        <v>45.3</v>
      </c>
      <c r="X969" s="4">
        <f t="shared" si="478"/>
        <v>0</v>
      </c>
      <c r="Y969" s="4">
        <f t="shared" si="479"/>
        <v>8.2940496401020276</v>
      </c>
      <c r="Z969" s="4">
        <f t="shared" si="480"/>
        <v>5.2149357576089859</v>
      </c>
      <c r="AA969" s="4">
        <f t="shared" si="481"/>
        <v>45.3</v>
      </c>
      <c r="AB969" s="4">
        <f t="shared" si="482"/>
        <v>0</v>
      </c>
      <c r="AC969" s="4">
        <f t="shared" si="483"/>
        <v>0</v>
      </c>
      <c r="AD969" s="4">
        <f t="shared" si="484"/>
        <v>0</v>
      </c>
      <c r="AE969" s="4">
        <f t="shared" si="485"/>
        <v>0</v>
      </c>
      <c r="AF969" s="4">
        <f t="shared" si="486"/>
        <v>0</v>
      </c>
      <c r="AG969" s="4">
        <f t="shared" si="487"/>
        <v>8.2940496401020276</v>
      </c>
      <c r="AH969" s="4">
        <f t="shared" si="488"/>
        <v>0</v>
      </c>
      <c r="AI969" s="4">
        <f t="shared" si="489"/>
        <v>0</v>
      </c>
      <c r="AJ969" s="4">
        <f t="shared" si="490"/>
        <v>8.2940496401020276</v>
      </c>
      <c r="AK969" s="4">
        <f t="shared" si="491"/>
        <v>5.2149357576089859</v>
      </c>
      <c r="AL969" s="4">
        <f t="shared" si="492"/>
        <v>0</v>
      </c>
      <c r="AM969" s="4">
        <f>CER!$C$7+CER!$C$8*J969+CER!$C$9*K969+CER!$C$10*L969+CER!$C$11*M969</f>
        <v>3.5789794326680315</v>
      </c>
      <c r="AN969" s="4">
        <f t="shared" si="493"/>
        <v>35.836948159019329</v>
      </c>
      <c r="AO969" s="4">
        <f t="shared" si="494"/>
        <v>-8.5345693646062593E-2</v>
      </c>
      <c r="AP969" s="4">
        <f>Alternatives!$F$25+Alternatives!$F$26*J969+Alternatives!$F$27*K969+Alternatives!$F$28*G969+Alternatives!$F$29*O969</f>
        <v>3.5369366620277272</v>
      </c>
      <c r="AQ969" s="4">
        <f t="shared" si="495"/>
        <v>-4.330292300575822E-2</v>
      </c>
    </row>
    <row r="970" spans="1:43" x14ac:dyDescent="0.35">
      <c r="A970" s="2" t="s">
        <v>826</v>
      </c>
      <c r="B970" s="2" t="s">
        <v>794</v>
      </c>
      <c r="C970" s="2" t="s">
        <v>67</v>
      </c>
      <c r="D970" s="2">
        <v>30.5669</v>
      </c>
      <c r="E970" s="2">
        <v>4000</v>
      </c>
      <c r="F970" s="2">
        <v>228</v>
      </c>
      <c r="G970" s="2">
        <v>45.3</v>
      </c>
      <c r="H970" s="2" t="s">
        <v>68</v>
      </c>
      <c r="I970" s="4">
        <f t="shared" si="465"/>
        <v>3.4199177241529601</v>
      </c>
      <c r="J970" s="4">
        <f t="shared" si="466"/>
        <v>8.2940496401020276</v>
      </c>
      <c r="K970" s="4">
        <f t="shared" si="467"/>
        <v>5.4293456289544411</v>
      </c>
      <c r="L970" s="2">
        <v>0</v>
      </c>
      <c r="M970" s="2">
        <v>0</v>
      </c>
      <c r="N970" s="4">
        <f t="shared" si="468"/>
        <v>45.3</v>
      </c>
      <c r="O970" s="4">
        <f t="shared" si="469"/>
        <v>0</v>
      </c>
      <c r="P970" s="4">
        <f t="shared" si="470"/>
        <v>0</v>
      </c>
      <c r="Q970" s="4">
        <f t="shared" si="471"/>
        <v>8.2940496401020276</v>
      </c>
      <c r="R970" s="4">
        <f t="shared" si="472"/>
        <v>5.4293456289544411</v>
      </c>
      <c r="S970" s="4">
        <f t="shared" si="473"/>
        <v>45.3</v>
      </c>
      <c r="T970" s="4">
        <f t="shared" si="474"/>
        <v>0</v>
      </c>
      <c r="U970" s="4">
        <f t="shared" si="475"/>
        <v>8.2940496401020276</v>
      </c>
      <c r="V970" s="4">
        <f t="shared" si="476"/>
        <v>5.4293456289544411</v>
      </c>
      <c r="W970" s="4">
        <f t="shared" si="477"/>
        <v>45.3</v>
      </c>
      <c r="X970" s="4">
        <f t="shared" si="478"/>
        <v>0</v>
      </c>
      <c r="Y970" s="4">
        <f t="shared" si="479"/>
        <v>8.2940496401020276</v>
      </c>
      <c r="Z970" s="4">
        <f t="shared" si="480"/>
        <v>5.4293456289544411</v>
      </c>
      <c r="AA970" s="4">
        <f t="shared" si="481"/>
        <v>45.3</v>
      </c>
      <c r="AB970" s="4">
        <f t="shared" si="482"/>
        <v>0</v>
      </c>
      <c r="AC970" s="4">
        <f t="shared" si="483"/>
        <v>0</v>
      </c>
      <c r="AD970" s="4">
        <f t="shared" si="484"/>
        <v>0</v>
      </c>
      <c r="AE970" s="4">
        <f t="shared" si="485"/>
        <v>0</v>
      </c>
      <c r="AF970" s="4">
        <f t="shared" si="486"/>
        <v>0</v>
      </c>
      <c r="AG970" s="4">
        <f t="shared" si="487"/>
        <v>8.2940496401020276</v>
      </c>
      <c r="AH970" s="4">
        <f t="shared" si="488"/>
        <v>0</v>
      </c>
      <c r="AI970" s="4">
        <f t="shared" si="489"/>
        <v>0</v>
      </c>
      <c r="AJ970" s="4">
        <f t="shared" si="490"/>
        <v>8.2940496401020276</v>
      </c>
      <c r="AK970" s="4">
        <f t="shared" si="491"/>
        <v>5.4293456289544411</v>
      </c>
      <c r="AL970" s="4">
        <f t="shared" si="492"/>
        <v>0</v>
      </c>
      <c r="AM970" s="4">
        <f>CER!$C$7+CER!$C$8*J970+CER!$C$9*K970+CER!$C$10*L970+CER!$C$11*M970</f>
        <v>3.4998742584440086</v>
      </c>
      <c r="AN970" s="4">
        <f t="shared" si="493"/>
        <v>33.111288232017891</v>
      </c>
      <c r="AO970" s="4">
        <f t="shared" si="494"/>
        <v>-7.9956534291048431E-2</v>
      </c>
      <c r="AP970" s="4">
        <f>Alternatives!$F$25+Alternatives!$F$26*J970+Alternatives!$F$27*K970+Alternatives!$F$28*G970+Alternatives!$F$29*O970</f>
        <v>3.4798800580444564</v>
      </c>
      <c r="AQ970" s="4">
        <f t="shared" si="495"/>
        <v>-5.99623338914963E-2</v>
      </c>
    </row>
    <row r="971" spans="1:43" x14ac:dyDescent="0.35">
      <c r="A971" s="2" t="s">
        <v>827</v>
      </c>
      <c r="B971" s="2" t="s">
        <v>794</v>
      </c>
      <c r="C971" s="2" t="s">
        <v>33</v>
      </c>
      <c r="D971" s="2">
        <v>34.747300000000003</v>
      </c>
      <c r="E971" s="2">
        <v>3500</v>
      </c>
      <c r="F971" s="2">
        <v>201</v>
      </c>
      <c r="G971" s="2">
        <v>43.5</v>
      </c>
      <c r="H971" s="2" t="s">
        <v>68</v>
      </c>
      <c r="I971" s="4">
        <f t="shared" si="465"/>
        <v>3.5481018711504411</v>
      </c>
      <c r="J971" s="4">
        <f t="shared" si="466"/>
        <v>8.1605182474775049</v>
      </c>
      <c r="K971" s="4">
        <f t="shared" si="467"/>
        <v>5.3033049080590757</v>
      </c>
      <c r="L971" s="2">
        <v>1</v>
      </c>
      <c r="M971" s="2">
        <v>0</v>
      </c>
      <c r="N971" s="4">
        <f t="shared" si="468"/>
        <v>43.5</v>
      </c>
      <c r="O971" s="4">
        <f t="shared" si="469"/>
        <v>1</v>
      </c>
      <c r="P971" s="4">
        <f t="shared" si="470"/>
        <v>1</v>
      </c>
      <c r="Q971" s="4">
        <f t="shared" si="471"/>
        <v>8.1605182474775049</v>
      </c>
      <c r="R971" s="4">
        <f t="shared" si="472"/>
        <v>5.3033049080590757</v>
      </c>
      <c r="S971" s="4">
        <f t="shared" si="473"/>
        <v>43.5</v>
      </c>
      <c r="T971" s="4">
        <f t="shared" si="474"/>
        <v>1</v>
      </c>
      <c r="U971" s="4">
        <f t="shared" si="475"/>
        <v>8.1605182474775049</v>
      </c>
      <c r="V971" s="4">
        <f t="shared" si="476"/>
        <v>5.3033049080590757</v>
      </c>
      <c r="W971" s="4">
        <f t="shared" si="477"/>
        <v>43.5</v>
      </c>
      <c r="X971" s="4">
        <f t="shared" si="478"/>
        <v>1</v>
      </c>
      <c r="Y971" s="4">
        <f t="shared" si="479"/>
        <v>8.1605182474775049</v>
      </c>
      <c r="Z971" s="4">
        <f t="shared" si="480"/>
        <v>5.3033049080590757</v>
      </c>
      <c r="AA971" s="4">
        <f t="shared" si="481"/>
        <v>43.5</v>
      </c>
      <c r="AB971" s="4">
        <f t="shared" si="482"/>
        <v>1</v>
      </c>
      <c r="AC971" s="4">
        <f t="shared" si="483"/>
        <v>0</v>
      </c>
      <c r="AD971" s="4">
        <f t="shared" si="484"/>
        <v>0</v>
      </c>
      <c r="AE971" s="4">
        <f t="shared" si="485"/>
        <v>0</v>
      </c>
      <c r="AF971" s="4">
        <f t="shared" si="486"/>
        <v>0</v>
      </c>
      <c r="AG971" s="4">
        <f t="shared" si="487"/>
        <v>8.1605182474775049</v>
      </c>
      <c r="AH971" s="4">
        <f t="shared" si="488"/>
        <v>1</v>
      </c>
      <c r="AI971" s="4">
        <f t="shared" si="489"/>
        <v>0</v>
      </c>
      <c r="AJ971" s="4">
        <f t="shared" si="490"/>
        <v>8.1605182474775049</v>
      </c>
      <c r="AK971" s="4">
        <f t="shared" si="491"/>
        <v>5.3033049080590757</v>
      </c>
      <c r="AL971" s="4">
        <f t="shared" si="492"/>
        <v>0</v>
      </c>
      <c r="AM971" s="4">
        <f>CER!$C$7+CER!$C$8*J971+CER!$C$9*K971+CER!$C$10*L971+CER!$C$11*M971</f>
        <v>3.8305806392762842</v>
      </c>
      <c r="AN971" s="4">
        <f t="shared" si="493"/>
        <v>46.089291719389095</v>
      </c>
      <c r="AO971" s="4">
        <f t="shared" si="494"/>
        <v>-0.28247876812584316</v>
      </c>
      <c r="AP971" s="4">
        <f>Alternatives!$F$25+Alternatives!$F$26*J971+Alternatives!$F$27*K971+Alternatives!$F$28*G971+Alternatives!$F$29*O971</f>
        <v>4.3321557492760281</v>
      </c>
      <c r="AQ971" s="4">
        <f t="shared" si="495"/>
        <v>-0.78405387812558702</v>
      </c>
    </row>
    <row r="972" spans="1:43" x14ac:dyDescent="0.35">
      <c r="A972" s="2" t="s">
        <v>828</v>
      </c>
      <c r="B972" s="2" t="s">
        <v>794</v>
      </c>
      <c r="C972" s="2" t="s">
        <v>33</v>
      </c>
      <c r="D972" s="2">
        <v>43.638100000000001</v>
      </c>
      <c r="E972" s="2">
        <v>3500</v>
      </c>
      <c r="F972" s="2">
        <v>201</v>
      </c>
      <c r="G972" s="2">
        <v>43.3</v>
      </c>
      <c r="H972" s="2" t="s">
        <v>68</v>
      </c>
      <c r="I972" s="4">
        <f t="shared" si="465"/>
        <v>3.7759306219785653</v>
      </c>
      <c r="J972" s="4">
        <f t="shared" si="466"/>
        <v>8.1605182474775049</v>
      </c>
      <c r="K972" s="4">
        <f t="shared" si="467"/>
        <v>5.3033049080590757</v>
      </c>
      <c r="L972" s="2">
        <v>1</v>
      </c>
      <c r="M972" s="2">
        <v>0</v>
      </c>
      <c r="N972" s="4">
        <f t="shared" si="468"/>
        <v>43.3</v>
      </c>
      <c r="O972" s="4">
        <f t="shared" si="469"/>
        <v>1</v>
      </c>
      <c r="P972" s="4">
        <f t="shared" si="470"/>
        <v>1</v>
      </c>
      <c r="Q972" s="4">
        <f t="shared" si="471"/>
        <v>8.1605182474775049</v>
      </c>
      <c r="R972" s="4">
        <f t="shared" si="472"/>
        <v>5.3033049080590757</v>
      </c>
      <c r="S972" s="4">
        <f t="shared" si="473"/>
        <v>43.3</v>
      </c>
      <c r="T972" s="4">
        <f t="shared" si="474"/>
        <v>1</v>
      </c>
      <c r="U972" s="4">
        <f t="shared" si="475"/>
        <v>8.1605182474775049</v>
      </c>
      <c r="V972" s="4">
        <f t="shared" si="476"/>
        <v>5.3033049080590757</v>
      </c>
      <c r="W972" s="4">
        <f t="shared" si="477"/>
        <v>43.3</v>
      </c>
      <c r="X972" s="4">
        <f t="shared" si="478"/>
        <v>1</v>
      </c>
      <c r="Y972" s="4">
        <f t="shared" si="479"/>
        <v>8.1605182474775049</v>
      </c>
      <c r="Z972" s="4">
        <f t="shared" si="480"/>
        <v>5.3033049080590757</v>
      </c>
      <c r="AA972" s="4">
        <f t="shared" si="481"/>
        <v>43.3</v>
      </c>
      <c r="AB972" s="4">
        <f t="shared" si="482"/>
        <v>1</v>
      </c>
      <c r="AC972" s="4">
        <f t="shared" si="483"/>
        <v>0</v>
      </c>
      <c r="AD972" s="4">
        <f t="shared" si="484"/>
        <v>0</v>
      </c>
      <c r="AE972" s="4">
        <f t="shared" si="485"/>
        <v>0</v>
      </c>
      <c r="AF972" s="4">
        <f t="shared" si="486"/>
        <v>0</v>
      </c>
      <c r="AG972" s="4">
        <f t="shared" si="487"/>
        <v>8.1605182474775049</v>
      </c>
      <c r="AH972" s="4">
        <f t="shared" si="488"/>
        <v>1</v>
      </c>
      <c r="AI972" s="4">
        <f t="shared" si="489"/>
        <v>0</v>
      </c>
      <c r="AJ972" s="4">
        <f t="shared" si="490"/>
        <v>8.1605182474775049</v>
      </c>
      <c r="AK972" s="4">
        <f t="shared" si="491"/>
        <v>5.3033049080590757</v>
      </c>
      <c r="AL972" s="4">
        <f t="shared" si="492"/>
        <v>0</v>
      </c>
      <c r="AM972" s="4">
        <f>CER!$C$7+CER!$C$8*J972+CER!$C$9*K972+CER!$C$10*L972+CER!$C$11*M972</f>
        <v>3.8305806392762842</v>
      </c>
      <c r="AN972" s="4">
        <f t="shared" si="493"/>
        <v>46.089291719389095</v>
      </c>
      <c r="AO972" s="4">
        <f t="shared" si="494"/>
        <v>-5.46500172977189E-2</v>
      </c>
      <c r="AP972" s="4">
        <f>Alternatives!$F$25+Alternatives!$F$26*J972+Alternatives!$F$27*K972+Alternatives!$F$28*G972+Alternatives!$F$29*O972</f>
        <v>4.3347572121844742</v>
      </c>
      <c r="AQ972" s="4">
        <f t="shared" si="495"/>
        <v>-0.55882659020590886</v>
      </c>
    </row>
    <row r="973" spans="1:43" x14ac:dyDescent="0.35">
      <c r="A973" s="2" t="s">
        <v>829</v>
      </c>
      <c r="B973" s="2" t="s">
        <v>794</v>
      </c>
      <c r="C973" s="2" t="s">
        <v>33</v>
      </c>
      <c r="D973" s="2">
        <v>40.427700000000002</v>
      </c>
      <c r="E973" s="2">
        <v>3500</v>
      </c>
      <c r="F973" s="2">
        <v>201</v>
      </c>
      <c r="G973" s="2">
        <v>43.3</v>
      </c>
      <c r="H973" s="2" t="s">
        <v>68</v>
      </c>
      <c r="I973" s="4">
        <f t="shared" si="465"/>
        <v>3.6995151935852988</v>
      </c>
      <c r="J973" s="4">
        <f t="shared" si="466"/>
        <v>8.1605182474775049</v>
      </c>
      <c r="K973" s="4">
        <f t="shared" si="467"/>
        <v>5.3033049080590757</v>
      </c>
      <c r="L973" s="2">
        <v>1</v>
      </c>
      <c r="M973" s="2">
        <v>0</v>
      </c>
      <c r="N973" s="4">
        <f t="shared" si="468"/>
        <v>43.3</v>
      </c>
      <c r="O973" s="4">
        <f t="shared" si="469"/>
        <v>1</v>
      </c>
      <c r="P973" s="4">
        <f t="shared" si="470"/>
        <v>1</v>
      </c>
      <c r="Q973" s="4">
        <f t="shared" si="471"/>
        <v>8.1605182474775049</v>
      </c>
      <c r="R973" s="4">
        <f t="shared" si="472"/>
        <v>5.3033049080590757</v>
      </c>
      <c r="S973" s="4">
        <f t="shared" si="473"/>
        <v>43.3</v>
      </c>
      <c r="T973" s="4">
        <f t="shared" si="474"/>
        <v>1</v>
      </c>
      <c r="U973" s="4">
        <f t="shared" si="475"/>
        <v>8.1605182474775049</v>
      </c>
      <c r="V973" s="4">
        <f t="shared" si="476"/>
        <v>5.3033049080590757</v>
      </c>
      <c r="W973" s="4">
        <f t="shared" si="477"/>
        <v>43.3</v>
      </c>
      <c r="X973" s="4">
        <f t="shared" si="478"/>
        <v>1</v>
      </c>
      <c r="Y973" s="4">
        <f t="shared" si="479"/>
        <v>8.1605182474775049</v>
      </c>
      <c r="Z973" s="4">
        <f t="shared" si="480"/>
        <v>5.3033049080590757</v>
      </c>
      <c r="AA973" s="4">
        <f t="shared" si="481"/>
        <v>43.3</v>
      </c>
      <c r="AB973" s="4">
        <f t="shared" si="482"/>
        <v>1</v>
      </c>
      <c r="AC973" s="4">
        <f t="shared" si="483"/>
        <v>0</v>
      </c>
      <c r="AD973" s="4">
        <f t="shared" si="484"/>
        <v>0</v>
      </c>
      <c r="AE973" s="4">
        <f t="shared" si="485"/>
        <v>0</v>
      </c>
      <c r="AF973" s="4">
        <f t="shared" si="486"/>
        <v>0</v>
      </c>
      <c r="AG973" s="4">
        <f t="shared" si="487"/>
        <v>8.1605182474775049</v>
      </c>
      <c r="AH973" s="4">
        <f t="shared" si="488"/>
        <v>1</v>
      </c>
      <c r="AI973" s="4">
        <f t="shared" si="489"/>
        <v>0</v>
      </c>
      <c r="AJ973" s="4">
        <f t="shared" si="490"/>
        <v>8.1605182474775049</v>
      </c>
      <c r="AK973" s="4">
        <f t="shared" si="491"/>
        <v>5.3033049080590757</v>
      </c>
      <c r="AL973" s="4">
        <f t="shared" si="492"/>
        <v>0</v>
      </c>
      <c r="AM973" s="4">
        <f>CER!$C$7+CER!$C$8*J973+CER!$C$9*K973+CER!$C$10*L973+CER!$C$11*M973</f>
        <v>3.8305806392762842</v>
      </c>
      <c r="AN973" s="4">
        <f t="shared" si="493"/>
        <v>46.089291719389095</v>
      </c>
      <c r="AO973" s="4">
        <f t="shared" si="494"/>
        <v>-0.13106544569098544</v>
      </c>
      <c r="AP973" s="4">
        <f>Alternatives!$F$25+Alternatives!$F$26*J973+Alternatives!$F$27*K973+Alternatives!$F$28*G973+Alternatives!$F$29*O973</f>
        <v>4.3347572121844742</v>
      </c>
      <c r="AQ973" s="4">
        <f t="shared" si="495"/>
        <v>-0.6352420185991754</v>
      </c>
    </row>
    <row r="974" spans="1:43" x14ac:dyDescent="0.35">
      <c r="A974" s="2" t="s">
        <v>830</v>
      </c>
      <c r="B974" s="2" t="s">
        <v>794</v>
      </c>
      <c r="C974" s="2" t="s">
        <v>33</v>
      </c>
      <c r="D974" s="2">
        <v>28.4405</v>
      </c>
      <c r="E974" s="2">
        <v>5000</v>
      </c>
      <c r="F974" s="2">
        <v>444</v>
      </c>
      <c r="G974" s="2">
        <v>51.6</v>
      </c>
      <c r="H974" s="2" t="s">
        <v>68</v>
      </c>
      <c r="I974" s="4">
        <f t="shared" si="465"/>
        <v>3.3478141856525099</v>
      </c>
      <c r="J974" s="4">
        <f t="shared" si="466"/>
        <v>8.5171931914162382</v>
      </c>
      <c r="K974" s="4">
        <f t="shared" si="467"/>
        <v>6.0958245624322247</v>
      </c>
      <c r="L974" s="2">
        <v>1</v>
      </c>
      <c r="M974" s="2">
        <v>0</v>
      </c>
      <c r="N974" s="4">
        <f t="shared" si="468"/>
        <v>51.6</v>
      </c>
      <c r="O974" s="4">
        <f t="shared" si="469"/>
        <v>1</v>
      </c>
      <c r="P974" s="4">
        <f t="shared" si="470"/>
        <v>1</v>
      </c>
      <c r="Q974" s="4">
        <f t="shared" si="471"/>
        <v>8.5171931914162382</v>
      </c>
      <c r="R974" s="4">
        <f t="shared" si="472"/>
        <v>6.0958245624322247</v>
      </c>
      <c r="S974" s="4">
        <f t="shared" si="473"/>
        <v>51.6</v>
      </c>
      <c r="T974" s="4">
        <f t="shared" si="474"/>
        <v>1</v>
      </c>
      <c r="U974" s="4">
        <f t="shared" si="475"/>
        <v>8.5171931914162382</v>
      </c>
      <c r="V974" s="4">
        <f t="shared" si="476"/>
        <v>6.0958245624322247</v>
      </c>
      <c r="W974" s="4">
        <f t="shared" si="477"/>
        <v>51.6</v>
      </c>
      <c r="X974" s="4">
        <f t="shared" si="478"/>
        <v>1</v>
      </c>
      <c r="Y974" s="4">
        <f t="shared" si="479"/>
        <v>8.5171931914162382</v>
      </c>
      <c r="Z974" s="4">
        <f t="shared" si="480"/>
        <v>6.0958245624322247</v>
      </c>
      <c r="AA974" s="4">
        <f t="shared" si="481"/>
        <v>51.6</v>
      </c>
      <c r="AB974" s="4">
        <f t="shared" si="482"/>
        <v>1</v>
      </c>
      <c r="AC974" s="4">
        <f t="shared" si="483"/>
        <v>0</v>
      </c>
      <c r="AD974" s="4">
        <f t="shared" si="484"/>
        <v>0</v>
      </c>
      <c r="AE974" s="4">
        <f t="shared" si="485"/>
        <v>0</v>
      </c>
      <c r="AF974" s="4">
        <f t="shared" si="486"/>
        <v>0</v>
      </c>
      <c r="AG974" s="4">
        <f t="shared" si="487"/>
        <v>8.5171931914162382</v>
      </c>
      <c r="AH974" s="4">
        <f t="shared" si="488"/>
        <v>1</v>
      </c>
      <c r="AI974" s="4">
        <f t="shared" si="489"/>
        <v>0</v>
      </c>
      <c r="AJ974" s="4">
        <f t="shared" si="490"/>
        <v>8.5171931914162382</v>
      </c>
      <c r="AK974" s="4">
        <f t="shared" si="491"/>
        <v>6.0958245624322247</v>
      </c>
      <c r="AL974" s="4">
        <f t="shared" si="492"/>
        <v>0</v>
      </c>
      <c r="AM974" s="4">
        <f>CER!$C$7+CER!$C$8*J974+CER!$C$9*K974+CER!$C$10*L974+CER!$C$11*M974</f>
        <v>3.3767154948160365</v>
      </c>
      <c r="AN974" s="4">
        <f t="shared" si="493"/>
        <v>29.274460915565324</v>
      </c>
      <c r="AO974" s="4">
        <f t="shared" si="494"/>
        <v>-2.8901309163526623E-2</v>
      </c>
      <c r="AP974" s="4">
        <f>Alternatives!$F$25+Alternatives!$F$26*J974+Alternatives!$F$27*K974+Alternatives!$F$28*G974+Alternatives!$F$29*O974</f>
        <v>4.1478995171801447</v>
      </c>
      <c r="AQ974" s="4">
        <f t="shared" si="495"/>
        <v>-0.80008533152763484</v>
      </c>
    </row>
    <row r="975" spans="1:43" x14ac:dyDescent="0.35">
      <c r="A975" s="2" t="s">
        <v>831</v>
      </c>
      <c r="B975" s="2" t="s">
        <v>794</v>
      </c>
      <c r="C975" s="2" t="s">
        <v>33</v>
      </c>
      <c r="D975" s="2">
        <v>32.855400000000003</v>
      </c>
      <c r="E975" s="2">
        <v>4500</v>
      </c>
      <c r="F975" s="2">
        <v>335</v>
      </c>
      <c r="G975" s="2">
        <v>51.5</v>
      </c>
      <c r="H975" s="2" t="s">
        <v>68</v>
      </c>
      <c r="I975" s="4">
        <f t="shared" si="465"/>
        <v>3.4921161149827662</v>
      </c>
      <c r="J975" s="4">
        <f t="shared" si="466"/>
        <v>8.4118326757584114</v>
      </c>
      <c r="K975" s="4">
        <f t="shared" si="467"/>
        <v>5.8141305318250662</v>
      </c>
      <c r="L975" s="2">
        <v>1</v>
      </c>
      <c r="M975" s="2">
        <v>0</v>
      </c>
      <c r="N975" s="4">
        <f t="shared" si="468"/>
        <v>51.5</v>
      </c>
      <c r="O975" s="4">
        <f t="shared" si="469"/>
        <v>1</v>
      </c>
      <c r="P975" s="4">
        <f t="shared" si="470"/>
        <v>1</v>
      </c>
      <c r="Q975" s="4">
        <f t="shared" si="471"/>
        <v>8.4118326757584114</v>
      </c>
      <c r="R975" s="4">
        <f t="shared" si="472"/>
        <v>5.8141305318250662</v>
      </c>
      <c r="S975" s="4">
        <f t="shared" si="473"/>
        <v>51.5</v>
      </c>
      <c r="T975" s="4">
        <f t="shared" si="474"/>
        <v>1</v>
      </c>
      <c r="U975" s="4">
        <f t="shared" si="475"/>
        <v>8.4118326757584114</v>
      </c>
      <c r="V975" s="4">
        <f t="shared" si="476"/>
        <v>5.8141305318250662</v>
      </c>
      <c r="W975" s="4">
        <f t="shared" si="477"/>
        <v>51.5</v>
      </c>
      <c r="X975" s="4">
        <f t="shared" si="478"/>
        <v>1</v>
      </c>
      <c r="Y975" s="4">
        <f t="shared" si="479"/>
        <v>8.4118326757584114</v>
      </c>
      <c r="Z975" s="4">
        <f t="shared" si="480"/>
        <v>5.8141305318250662</v>
      </c>
      <c r="AA975" s="4">
        <f t="shared" si="481"/>
        <v>51.5</v>
      </c>
      <c r="AB975" s="4">
        <f t="shared" si="482"/>
        <v>1</v>
      </c>
      <c r="AC975" s="4">
        <f t="shared" si="483"/>
        <v>0</v>
      </c>
      <c r="AD975" s="4">
        <f t="shared" si="484"/>
        <v>0</v>
      </c>
      <c r="AE975" s="4">
        <f t="shared" si="485"/>
        <v>0</v>
      </c>
      <c r="AF975" s="4">
        <f t="shared" si="486"/>
        <v>0</v>
      </c>
      <c r="AG975" s="4">
        <f t="shared" si="487"/>
        <v>8.4118326757584114</v>
      </c>
      <c r="AH975" s="4">
        <f t="shared" si="488"/>
        <v>1</v>
      </c>
      <c r="AI975" s="4">
        <f t="shared" si="489"/>
        <v>0</v>
      </c>
      <c r="AJ975" s="4">
        <f t="shared" si="490"/>
        <v>8.4118326757584114</v>
      </c>
      <c r="AK975" s="4">
        <f t="shared" si="491"/>
        <v>5.8141305318250662</v>
      </c>
      <c r="AL975" s="4">
        <f t="shared" si="492"/>
        <v>0</v>
      </c>
      <c r="AM975" s="4">
        <f>CER!$C$7+CER!$C$8*J975+CER!$C$9*K975+CER!$C$10*L975+CER!$C$11*M975</f>
        <v>3.5283424029292418</v>
      </c>
      <c r="AN975" s="4">
        <f t="shared" si="493"/>
        <v>34.067450680086807</v>
      </c>
      <c r="AO975" s="4">
        <f t="shared" si="494"/>
        <v>-3.6226287946475644E-2</v>
      </c>
      <c r="AP975" s="4">
        <f>Alternatives!$F$25+Alternatives!$F$26*J975+Alternatives!$F$27*K975+Alternatives!$F$28*G975+Alternatives!$F$29*O975</f>
        <v>4.1851693885898733</v>
      </c>
      <c r="AQ975" s="4">
        <f t="shared" si="495"/>
        <v>-0.69305327360710711</v>
      </c>
    </row>
    <row r="976" spans="1:43" x14ac:dyDescent="0.35">
      <c r="A976" s="2" t="s">
        <v>832</v>
      </c>
      <c r="B976" s="2" t="s">
        <v>794</v>
      </c>
      <c r="C976" s="2" t="s">
        <v>33</v>
      </c>
      <c r="D976" s="2">
        <v>20.887699999999999</v>
      </c>
      <c r="E976" s="2">
        <v>5500</v>
      </c>
      <c r="F976" s="2">
        <v>621</v>
      </c>
      <c r="G976" s="2">
        <v>52.4</v>
      </c>
      <c r="H976" s="2" t="s">
        <v>68</v>
      </c>
      <c r="I976" s="4">
        <f t="shared" si="465"/>
        <v>3.0391604689803988</v>
      </c>
      <c r="J976" s="4">
        <f t="shared" si="466"/>
        <v>8.6125033712205621</v>
      </c>
      <c r="K976" s="4">
        <f t="shared" si="467"/>
        <v>6.4313310819334788</v>
      </c>
      <c r="L976" s="2">
        <v>1</v>
      </c>
      <c r="M976" s="2">
        <v>0</v>
      </c>
      <c r="N976" s="4">
        <f t="shared" si="468"/>
        <v>52.4</v>
      </c>
      <c r="O976" s="4">
        <f t="shared" si="469"/>
        <v>1</v>
      </c>
      <c r="P976" s="4">
        <f t="shared" si="470"/>
        <v>1</v>
      </c>
      <c r="Q976" s="4">
        <f t="shared" si="471"/>
        <v>8.6125033712205621</v>
      </c>
      <c r="R976" s="4">
        <f t="shared" si="472"/>
        <v>6.4313310819334788</v>
      </c>
      <c r="S976" s="4">
        <f t="shared" si="473"/>
        <v>52.4</v>
      </c>
      <c r="T976" s="4">
        <f t="shared" si="474"/>
        <v>1</v>
      </c>
      <c r="U976" s="4">
        <f t="shared" si="475"/>
        <v>8.6125033712205621</v>
      </c>
      <c r="V976" s="4">
        <f t="shared" si="476"/>
        <v>6.4313310819334788</v>
      </c>
      <c r="W976" s="4">
        <f t="shared" si="477"/>
        <v>52.4</v>
      </c>
      <c r="X976" s="4">
        <f t="shared" si="478"/>
        <v>1</v>
      </c>
      <c r="Y976" s="4">
        <f t="shared" si="479"/>
        <v>8.6125033712205621</v>
      </c>
      <c r="Z976" s="4">
        <f t="shared" si="480"/>
        <v>6.4313310819334788</v>
      </c>
      <c r="AA976" s="4">
        <f t="shared" si="481"/>
        <v>52.4</v>
      </c>
      <c r="AB976" s="4">
        <f t="shared" si="482"/>
        <v>1</v>
      </c>
      <c r="AC976" s="4">
        <f t="shared" si="483"/>
        <v>0</v>
      </c>
      <c r="AD976" s="4">
        <f t="shared" si="484"/>
        <v>0</v>
      </c>
      <c r="AE976" s="4">
        <f t="shared" si="485"/>
        <v>0</v>
      </c>
      <c r="AF976" s="4">
        <f t="shared" si="486"/>
        <v>0</v>
      </c>
      <c r="AG976" s="4">
        <f t="shared" si="487"/>
        <v>8.6125033712205621</v>
      </c>
      <c r="AH976" s="4">
        <f t="shared" si="488"/>
        <v>1</v>
      </c>
      <c r="AI976" s="4">
        <f t="shared" si="489"/>
        <v>0</v>
      </c>
      <c r="AJ976" s="4">
        <f t="shared" si="490"/>
        <v>8.6125033712205621</v>
      </c>
      <c r="AK976" s="4">
        <f t="shared" si="491"/>
        <v>6.4313310819334788</v>
      </c>
      <c r="AL976" s="4">
        <f t="shared" si="492"/>
        <v>0</v>
      </c>
      <c r="AM976" s="4">
        <f>CER!$C$7+CER!$C$8*J976+CER!$C$9*K976+CER!$C$10*L976+CER!$C$11*M976</f>
        <v>3.2097846858939745</v>
      </c>
      <c r="AN976" s="4">
        <f t="shared" si="493"/>
        <v>24.773751512129152</v>
      </c>
      <c r="AO976" s="4">
        <f t="shared" si="494"/>
        <v>-0.17062421691357565</v>
      </c>
      <c r="AP976" s="4">
        <f>Alternatives!$F$25+Alternatives!$F$26*J976+Alternatives!$F$27*K976+Alternatives!$F$28*G976+Alternatives!$F$29*O976</f>
        <v>4.0834849975235858</v>
      </c>
      <c r="AQ976" s="4">
        <f t="shared" si="495"/>
        <v>-1.044324528543187</v>
      </c>
    </row>
    <row r="977" spans="1:43" x14ac:dyDescent="0.35">
      <c r="A977" s="2" t="s">
        <v>833</v>
      </c>
      <c r="B977" s="2" t="s">
        <v>794</v>
      </c>
      <c r="C977" s="2" t="s">
        <v>33</v>
      </c>
      <c r="D977" s="2">
        <v>34.572000000000003</v>
      </c>
      <c r="E977" s="2">
        <v>4000</v>
      </c>
      <c r="F977" s="2">
        <v>261</v>
      </c>
      <c r="G977" s="2">
        <v>50.9</v>
      </c>
      <c r="H977" s="2" t="s">
        <v>68</v>
      </c>
      <c r="I977" s="4">
        <f t="shared" si="465"/>
        <v>3.5430441058903916</v>
      </c>
      <c r="J977" s="4">
        <f t="shared" si="466"/>
        <v>8.2940496401020276</v>
      </c>
      <c r="K977" s="4">
        <f t="shared" si="467"/>
        <v>5.5645204073226937</v>
      </c>
      <c r="L977" s="2">
        <v>1</v>
      </c>
      <c r="M977" s="2">
        <v>0</v>
      </c>
      <c r="N977" s="4">
        <f t="shared" si="468"/>
        <v>50.9</v>
      </c>
      <c r="O977" s="4">
        <f t="shared" si="469"/>
        <v>1</v>
      </c>
      <c r="P977" s="4">
        <f t="shared" si="470"/>
        <v>1</v>
      </c>
      <c r="Q977" s="4">
        <f t="shared" si="471"/>
        <v>8.2940496401020276</v>
      </c>
      <c r="R977" s="4">
        <f t="shared" si="472"/>
        <v>5.5645204073226937</v>
      </c>
      <c r="S977" s="4">
        <f t="shared" si="473"/>
        <v>50.9</v>
      </c>
      <c r="T977" s="4">
        <f t="shared" si="474"/>
        <v>1</v>
      </c>
      <c r="U977" s="4">
        <f t="shared" si="475"/>
        <v>8.2940496401020276</v>
      </c>
      <c r="V977" s="4">
        <f t="shared" si="476"/>
        <v>5.5645204073226937</v>
      </c>
      <c r="W977" s="4">
        <f t="shared" si="477"/>
        <v>50.9</v>
      </c>
      <c r="X977" s="4">
        <f t="shared" si="478"/>
        <v>1</v>
      </c>
      <c r="Y977" s="4">
        <f t="shared" si="479"/>
        <v>8.2940496401020276</v>
      </c>
      <c r="Z977" s="4">
        <f t="shared" si="480"/>
        <v>5.5645204073226937</v>
      </c>
      <c r="AA977" s="4">
        <f t="shared" si="481"/>
        <v>50.9</v>
      </c>
      <c r="AB977" s="4">
        <f t="shared" si="482"/>
        <v>1</v>
      </c>
      <c r="AC977" s="4">
        <f t="shared" si="483"/>
        <v>0</v>
      </c>
      <c r="AD977" s="4">
        <f t="shared" si="484"/>
        <v>0</v>
      </c>
      <c r="AE977" s="4">
        <f t="shared" si="485"/>
        <v>0</v>
      </c>
      <c r="AF977" s="4">
        <f t="shared" si="486"/>
        <v>0</v>
      </c>
      <c r="AG977" s="4">
        <f t="shared" si="487"/>
        <v>8.2940496401020276</v>
      </c>
      <c r="AH977" s="4">
        <f t="shared" si="488"/>
        <v>1</v>
      </c>
      <c r="AI977" s="4">
        <f t="shared" si="489"/>
        <v>0</v>
      </c>
      <c r="AJ977" s="4">
        <f t="shared" si="490"/>
        <v>8.2940496401020276</v>
      </c>
      <c r="AK977" s="4">
        <f t="shared" si="491"/>
        <v>5.5645204073226937</v>
      </c>
      <c r="AL977" s="4">
        <f t="shared" si="492"/>
        <v>0</v>
      </c>
      <c r="AM977" s="4">
        <f>CER!$C$7+CER!$C$8*J977+CER!$C$9*K977+CER!$C$10*L977+CER!$C$11*M977</f>
        <v>3.6737559436608498</v>
      </c>
      <c r="AN977" s="4">
        <f t="shared" si="493"/>
        <v>39.399611019784423</v>
      </c>
      <c r="AO977" s="4">
        <f t="shared" si="494"/>
        <v>-0.13071183777045814</v>
      </c>
      <c r="AP977" s="4">
        <f>Alternatives!$F$25+Alternatives!$F$26*J977+Alternatives!$F$27*K977+Alternatives!$F$28*G977+Alternatives!$F$29*O977</f>
        <v>4.2158076695826914</v>
      </c>
      <c r="AQ977" s="4">
        <f t="shared" si="495"/>
        <v>-0.67276356369229973</v>
      </c>
    </row>
    <row r="978" spans="1:43" x14ac:dyDescent="0.35">
      <c r="A978" s="2" t="s">
        <v>833</v>
      </c>
      <c r="B978" s="2" t="s">
        <v>794</v>
      </c>
      <c r="C978" s="2" t="s">
        <v>33</v>
      </c>
      <c r="D978" s="2">
        <v>32.855400000000003</v>
      </c>
      <c r="E978" s="2">
        <v>4500</v>
      </c>
      <c r="F978" s="2">
        <v>335</v>
      </c>
      <c r="G978" s="2">
        <v>50.9</v>
      </c>
      <c r="H978" s="2" t="s">
        <v>68</v>
      </c>
      <c r="I978" s="4">
        <f t="shared" si="465"/>
        <v>3.4921161149827662</v>
      </c>
      <c r="J978" s="4">
        <f t="shared" si="466"/>
        <v>8.4118326757584114</v>
      </c>
      <c r="K978" s="4">
        <f t="shared" si="467"/>
        <v>5.8141305318250662</v>
      </c>
      <c r="L978" s="2">
        <v>1</v>
      </c>
      <c r="M978" s="2">
        <v>0</v>
      </c>
      <c r="N978" s="4">
        <f t="shared" si="468"/>
        <v>50.9</v>
      </c>
      <c r="O978" s="4">
        <f t="shared" si="469"/>
        <v>1</v>
      </c>
      <c r="P978" s="4">
        <f t="shared" si="470"/>
        <v>1</v>
      </c>
      <c r="Q978" s="4">
        <f t="shared" si="471"/>
        <v>8.4118326757584114</v>
      </c>
      <c r="R978" s="4">
        <f t="shared" si="472"/>
        <v>5.8141305318250662</v>
      </c>
      <c r="S978" s="4">
        <f t="shared" si="473"/>
        <v>50.9</v>
      </c>
      <c r="T978" s="4">
        <f t="shared" si="474"/>
        <v>1</v>
      </c>
      <c r="U978" s="4">
        <f t="shared" si="475"/>
        <v>8.4118326757584114</v>
      </c>
      <c r="V978" s="4">
        <f t="shared" si="476"/>
        <v>5.8141305318250662</v>
      </c>
      <c r="W978" s="4">
        <f t="shared" si="477"/>
        <v>50.9</v>
      </c>
      <c r="X978" s="4">
        <f t="shared" si="478"/>
        <v>1</v>
      </c>
      <c r="Y978" s="4">
        <f t="shared" si="479"/>
        <v>8.4118326757584114</v>
      </c>
      <c r="Z978" s="4">
        <f t="shared" si="480"/>
        <v>5.8141305318250662</v>
      </c>
      <c r="AA978" s="4">
        <f t="shared" si="481"/>
        <v>50.9</v>
      </c>
      <c r="AB978" s="4">
        <f t="shared" si="482"/>
        <v>1</v>
      </c>
      <c r="AC978" s="4">
        <f t="shared" si="483"/>
        <v>0</v>
      </c>
      <c r="AD978" s="4">
        <f t="shared" si="484"/>
        <v>0</v>
      </c>
      <c r="AE978" s="4">
        <f t="shared" si="485"/>
        <v>0</v>
      </c>
      <c r="AF978" s="4">
        <f t="shared" si="486"/>
        <v>0</v>
      </c>
      <c r="AG978" s="4">
        <f t="shared" si="487"/>
        <v>8.4118326757584114</v>
      </c>
      <c r="AH978" s="4">
        <f t="shared" si="488"/>
        <v>1</v>
      </c>
      <c r="AI978" s="4">
        <f t="shared" si="489"/>
        <v>0</v>
      </c>
      <c r="AJ978" s="4">
        <f t="shared" si="490"/>
        <v>8.4118326757584114</v>
      </c>
      <c r="AK978" s="4">
        <f t="shared" si="491"/>
        <v>5.8141305318250662</v>
      </c>
      <c r="AL978" s="4">
        <f t="shared" si="492"/>
        <v>0</v>
      </c>
      <c r="AM978" s="4">
        <f>CER!$C$7+CER!$C$8*J978+CER!$C$9*K978+CER!$C$10*L978+CER!$C$11*M978</f>
        <v>3.5283424029292418</v>
      </c>
      <c r="AN978" s="4">
        <f t="shared" si="493"/>
        <v>34.067450680086807</v>
      </c>
      <c r="AO978" s="4">
        <f t="shared" si="494"/>
        <v>-3.6226287946475644E-2</v>
      </c>
      <c r="AP978" s="4">
        <f>Alternatives!$F$25+Alternatives!$F$26*J978+Alternatives!$F$27*K978+Alternatives!$F$28*G978+Alternatives!$F$29*O978</f>
        <v>4.1929737773152098</v>
      </c>
      <c r="AQ978" s="4">
        <f t="shared" si="495"/>
        <v>-0.70085766233244362</v>
      </c>
    </row>
    <row r="979" spans="1:43" x14ac:dyDescent="0.35">
      <c r="A979" s="2" t="s">
        <v>834</v>
      </c>
      <c r="B979" s="2" t="s">
        <v>794</v>
      </c>
      <c r="C979" s="2" t="s">
        <v>33</v>
      </c>
      <c r="D979" s="2">
        <v>28.4405</v>
      </c>
      <c r="E979" s="2">
        <v>4500</v>
      </c>
      <c r="F979" s="2">
        <v>444</v>
      </c>
      <c r="G979" s="2">
        <v>50.8</v>
      </c>
      <c r="H979" s="2" t="s">
        <v>68</v>
      </c>
      <c r="I979" s="4">
        <f t="shared" si="465"/>
        <v>3.3478141856525099</v>
      </c>
      <c r="J979" s="4">
        <f t="shared" si="466"/>
        <v>8.4118326757584114</v>
      </c>
      <c r="K979" s="4">
        <f t="shared" si="467"/>
        <v>6.0958245624322247</v>
      </c>
      <c r="L979" s="2">
        <v>1</v>
      </c>
      <c r="M979" s="2">
        <v>0</v>
      </c>
      <c r="N979" s="4">
        <f t="shared" si="468"/>
        <v>50.8</v>
      </c>
      <c r="O979" s="4">
        <f t="shared" si="469"/>
        <v>1</v>
      </c>
      <c r="P979" s="4">
        <f t="shared" si="470"/>
        <v>1</v>
      </c>
      <c r="Q979" s="4">
        <f t="shared" si="471"/>
        <v>8.4118326757584114</v>
      </c>
      <c r="R979" s="4">
        <f t="shared" si="472"/>
        <v>6.0958245624322247</v>
      </c>
      <c r="S979" s="4">
        <f t="shared" si="473"/>
        <v>50.8</v>
      </c>
      <c r="T979" s="4">
        <f t="shared" si="474"/>
        <v>1</v>
      </c>
      <c r="U979" s="4">
        <f t="shared" si="475"/>
        <v>8.4118326757584114</v>
      </c>
      <c r="V979" s="4">
        <f t="shared" si="476"/>
        <v>6.0958245624322247</v>
      </c>
      <c r="W979" s="4">
        <f t="shared" si="477"/>
        <v>50.8</v>
      </c>
      <c r="X979" s="4">
        <f t="shared" si="478"/>
        <v>1</v>
      </c>
      <c r="Y979" s="4">
        <f t="shared" si="479"/>
        <v>8.4118326757584114</v>
      </c>
      <c r="Z979" s="4">
        <f t="shared" si="480"/>
        <v>6.0958245624322247</v>
      </c>
      <c r="AA979" s="4">
        <f t="shared" si="481"/>
        <v>50.8</v>
      </c>
      <c r="AB979" s="4">
        <f t="shared" si="482"/>
        <v>1</v>
      </c>
      <c r="AC979" s="4">
        <f t="shared" si="483"/>
        <v>0</v>
      </c>
      <c r="AD979" s="4">
        <f t="shared" si="484"/>
        <v>0</v>
      </c>
      <c r="AE979" s="4">
        <f t="shared" si="485"/>
        <v>0</v>
      </c>
      <c r="AF979" s="4">
        <f t="shared" si="486"/>
        <v>0</v>
      </c>
      <c r="AG979" s="4">
        <f t="shared" si="487"/>
        <v>8.4118326757584114</v>
      </c>
      <c r="AH979" s="4">
        <f t="shared" si="488"/>
        <v>1</v>
      </c>
      <c r="AI979" s="4">
        <f t="shared" si="489"/>
        <v>0</v>
      </c>
      <c r="AJ979" s="4">
        <f t="shared" si="490"/>
        <v>8.4118326757584114</v>
      </c>
      <c r="AK979" s="4">
        <f t="shared" si="491"/>
        <v>6.0958245624322247</v>
      </c>
      <c r="AL979" s="4">
        <f t="shared" si="492"/>
        <v>0</v>
      </c>
      <c r="AM979" s="4">
        <f>CER!$C$7+CER!$C$8*J979+CER!$C$9*K979+CER!$C$10*L979+CER!$C$11*M979</f>
        <v>3.4244131611027613</v>
      </c>
      <c r="AN979" s="4">
        <f t="shared" si="493"/>
        <v>30.704620897573882</v>
      </c>
      <c r="AO979" s="4">
        <f t="shared" si="494"/>
        <v>-7.6598975450251405E-2</v>
      </c>
      <c r="AP979" s="4">
        <f>Alternatives!$F$25+Alternatives!$F$26*J979+Alternatives!$F$27*K979+Alternatives!$F$28*G979+Alternatives!$F$29*O979</f>
        <v>4.1193129193241962</v>
      </c>
      <c r="AQ979" s="4">
        <f t="shared" si="495"/>
        <v>-0.77149873367168631</v>
      </c>
    </row>
    <row r="980" spans="1:43" x14ac:dyDescent="0.35">
      <c r="A980" s="2" t="s">
        <v>835</v>
      </c>
      <c r="B980" s="2" t="s">
        <v>794</v>
      </c>
      <c r="C980" s="2" t="s">
        <v>33</v>
      </c>
      <c r="D980" s="2">
        <v>20.887699999999999</v>
      </c>
      <c r="E980" s="2">
        <v>5000</v>
      </c>
      <c r="F980" s="2">
        <v>621</v>
      </c>
      <c r="G980" s="2">
        <v>52.4</v>
      </c>
      <c r="H980" s="2" t="s">
        <v>68</v>
      </c>
      <c r="I980" s="4">
        <f t="shared" si="465"/>
        <v>3.0391604689803988</v>
      </c>
      <c r="J980" s="4">
        <f t="shared" si="466"/>
        <v>8.5171931914162382</v>
      </c>
      <c r="K980" s="4">
        <f t="shared" si="467"/>
        <v>6.4313310819334788</v>
      </c>
      <c r="L980" s="2">
        <v>1</v>
      </c>
      <c r="M980" s="2">
        <v>0</v>
      </c>
      <c r="N980" s="4">
        <f t="shared" si="468"/>
        <v>52.4</v>
      </c>
      <c r="O980" s="4">
        <f t="shared" si="469"/>
        <v>1</v>
      </c>
      <c r="P980" s="4">
        <f t="shared" si="470"/>
        <v>1</v>
      </c>
      <c r="Q980" s="4">
        <f t="shared" si="471"/>
        <v>8.5171931914162382</v>
      </c>
      <c r="R980" s="4">
        <f t="shared" si="472"/>
        <v>6.4313310819334788</v>
      </c>
      <c r="S980" s="4">
        <f t="shared" si="473"/>
        <v>52.4</v>
      </c>
      <c r="T980" s="4">
        <f t="shared" si="474"/>
        <v>1</v>
      </c>
      <c r="U980" s="4">
        <f t="shared" si="475"/>
        <v>8.5171931914162382</v>
      </c>
      <c r="V980" s="4">
        <f t="shared" si="476"/>
        <v>6.4313310819334788</v>
      </c>
      <c r="W980" s="4">
        <f t="shared" si="477"/>
        <v>52.4</v>
      </c>
      <c r="X980" s="4">
        <f t="shared" si="478"/>
        <v>1</v>
      </c>
      <c r="Y980" s="4">
        <f t="shared" si="479"/>
        <v>8.5171931914162382</v>
      </c>
      <c r="Z980" s="4">
        <f t="shared" si="480"/>
        <v>6.4313310819334788</v>
      </c>
      <c r="AA980" s="4">
        <f t="shared" si="481"/>
        <v>52.4</v>
      </c>
      <c r="AB980" s="4">
        <f t="shared" si="482"/>
        <v>1</v>
      </c>
      <c r="AC980" s="4">
        <f t="shared" si="483"/>
        <v>0</v>
      </c>
      <c r="AD980" s="4">
        <f t="shared" si="484"/>
        <v>0</v>
      </c>
      <c r="AE980" s="4">
        <f t="shared" si="485"/>
        <v>0</v>
      </c>
      <c r="AF980" s="4">
        <f t="shared" si="486"/>
        <v>0</v>
      </c>
      <c r="AG980" s="4">
        <f t="shared" si="487"/>
        <v>8.5171931914162382</v>
      </c>
      <c r="AH980" s="4">
        <f t="shared" si="488"/>
        <v>1</v>
      </c>
      <c r="AI980" s="4">
        <f t="shared" si="489"/>
        <v>0</v>
      </c>
      <c r="AJ980" s="4">
        <f t="shared" si="490"/>
        <v>8.5171931914162382</v>
      </c>
      <c r="AK980" s="4">
        <f t="shared" si="491"/>
        <v>6.4313310819334788</v>
      </c>
      <c r="AL980" s="4">
        <f t="shared" si="492"/>
        <v>0</v>
      </c>
      <c r="AM980" s="4">
        <f>CER!$C$7+CER!$C$8*J980+CER!$C$9*K980+CER!$C$10*L980+CER!$C$11*M980</f>
        <v>3.2529324734845204</v>
      </c>
      <c r="AN980" s="4">
        <f t="shared" si="493"/>
        <v>25.866080404365274</v>
      </c>
      <c r="AO980" s="4">
        <f t="shared" si="494"/>
        <v>-0.21377200450412159</v>
      </c>
      <c r="AP980" s="4">
        <f>Alternatives!$F$25+Alternatives!$F$26*J980+Alternatives!$F$27*K980+Alternatives!$F$28*G980+Alternatives!$F$29*O980</f>
        <v>4.0482120364083727</v>
      </c>
      <c r="AQ980" s="4">
        <f t="shared" si="495"/>
        <v>-1.0090515674279739</v>
      </c>
    </row>
    <row r="981" spans="1:43" x14ac:dyDescent="0.35">
      <c r="A981" s="2" t="s">
        <v>836</v>
      </c>
      <c r="B981" s="2" t="s">
        <v>794</v>
      </c>
      <c r="C981" s="2" t="s">
        <v>33</v>
      </c>
      <c r="D981" s="2">
        <v>32.855400000000003</v>
      </c>
      <c r="E981" s="2">
        <v>4500</v>
      </c>
      <c r="F981" s="2">
        <v>335</v>
      </c>
      <c r="G981" s="2">
        <v>51</v>
      </c>
      <c r="H981" s="2" t="s">
        <v>68</v>
      </c>
      <c r="I981" s="4">
        <f t="shared" si="465"/>
        <v>3.4921161149827662</v>
      </c>
      <c r="J981" s="4">
        <f t="shared" si="466"/>
        <v>8.4118326757584114</v>
      </c>
      <c r="K981" s="4">
        <f t="shared" si="467"/>
        <v>5.8141305318250662</v>
      </c>
      <c r="L981" s="2">
        <v>1</v>
      </c>
      <c r="M981" s="2">
        <v>0</v>
      </c>
      <c r="N981" s="4">
        <f t="shared" si="468"/>
        <v>51</v>
      </c>
      <c r="O981" s="4">
        <f t="shared" si="469"/>
        <v>1</v>
      </c>
      <c r="P981" s="4">
        <f t="shared" si="470"/>
        <v>1</v>
      </c>
      <c r="Q981" s="4">
        <f t="shared" si="471"/>
        <v>8.4118326757584114</v>
      </c>
      <c r="R981" s="4">
        <f t="shared" si="472"/>
        <v>5.8141305318250662</v>
      </c>
      <c r="S981" s="4">
        <f t="shared" si="473"/>
        <v>51</v>
      </c>
      <c r="T981" s="4">
        <f t="shared" si="474"/>
        <v>1</v>
      </c>
      <c r="U981" s="4">
        <f t="shared" si="475"/>
        <v>8.4118326757584114</v>
      </c>
      <c r="V981" s="4">
        <f t="shared" si="476"/>
        <v>5.8141305318250662</v>
      </c>
      <c r="W981" s="4">
        <f t="shared" si="477"/>
        <v>51</v>
      </c>
      <c r="X981" s="4">
        <f t="shared" si="478"/>
        <v>1</v>
      </c>
      <c r="Y981" s="4">
        <f t="shared" si="479"/>
        <v>8.4118326757584114</v>
      </c>
      <c r="Z981" s="4">
        <f t="shared" si="480"/>
        <v>5.8141305318250662</v>
      </c>
      <c r="AA981" s="4">
        <f t="shared" si="481"/>
        <v>51</v>
      </c>
      <c r="AB981" s="4">
        <f t="shared" si="482"/>
        <v>1</v>
      </c>
      <c r="AC981" s="4">
        <f t="shared" si="483"/>
        <v>0</v>
      </c>
      <c r="AD981" s="4">
        <f t="shared" si="484"/>
        <v>0</v>
      </c>
      <c r="AE981" s="4">
        <f t="shared" si="485"/>
        <v>0</v>
      </c>
      <c r="AF981" s="4">
        <f t="shared" si="486"/>
        <v>0</v>
      </c>
      <c r="AG981" s="4">
        <f t="shared" si="487"/>
        <v>8.4118326757584114</v>
      </c>
      <c r="AH981" s="4">
        <f t="shared" si="488"/>
        <v>1</v>
      </c>
      <c r="AI981" s="4">
        <f t="shared" si="489"/>
        <v>0</v>
      </c>
      <c r="AJ981" s="4">
        <f t="shared" si="490"/>
        <v>8.4118326757584114</v>
      </c>
      <c r="AK981" s="4">
        <f t="shared" si="491"/>
        <v>5.8141305318250662</v>
      </c>
      <c r="AL981" s="4">
        <f t="shared" si="492"/>
        <v>0</v>
      </c>
      <c r="AM981" s="4">
        <f>CER!$C$7+CER!$C$8*J981+CER!$C$9*K981+CER!$C$10*L981+CER!$C$11*M981</f>
        <v>3.5283424029292418</v>
      </c>
      <c r="AN981" s="4">
        <f t="shared" si="493"/>
        <v>34.067450680086807</v>
      </c>
      <c r="AO981" s="4">
        <f t="shared" si="494"/>
        <v>-3.6226287946475644E-2</v>
      </c>
      <c r="AP981" s="4">
        <f>Alternatives!$F$25+Alternatives!$F$26*J981+Alternatives!$F$27*K981+Alternatives!$F$28*G981+Alternatives!$F$29*O981</f>
        <v>4.1916730458609877</v>
      </c>
      <c r="AQ981" s="4">
        <f t="shared" si="495"/>
        <v>-0.69955693087822146</v>
      </c>
    </row>
    <row r="982" spans="1:43" x14ac:dyDescent="0.35">
      <c r="A982" s="2" t="s">
        <v>837</v>
      </c>
      <c r="B982" s="2" t="s">
        <v>794</v>
      </c>
      <c r="C982" s="2" t="s">
        <v>33</v>
      </c>
      <c r="D982" s="2">
        <v>28.6112</v>
      </c>
      <c r="E982" s="2">
        <v>5000</v>
      </c>
      <c r="F982" s="2">
        <v>335</v>
      </c>
      <c r="G982" s="2">
        <v>54.5</v>
      </c>
      <c r="H982" s="2" t="s">
        <v>68</v>
      </c>
      <c r="I982" s="4">
        <f t="shared" si="465"/>
        <v>3.3537982495588619</v>
      </c>
      <c r="J982" s="4">
        <f t="shared" si="466"/>
        <v>8.5171931914162382</v>
      </c>
      <c r="K982" s="4">
        <f t="shared" si="467"/>
        <v>5.8141305318250662</v>
      </c>
      <c r="L982" s="2">
        <v>1</v>
      </c>
      <c r="M982" s="2">
        <v>0</v>
      </c>
      <c r="N982" s="4">
        <f t="shared" si="468"/>
        <v>54.5</v>
      </c>
      <c r="O982" s="4">
        <f t="shared" si="469"/>
        <v>1</v>
      </c>
      <c r="P982" s="4">
        <f t="shared" si="470"/>
        <v>1</v>
      </c>
      <c r="Q982" s="4">
        <f t="shared" si="471"/>
        <v>8.5171931914162382</v>
      </c>
      <c r="R982" s="4">
        <f t="shared" si="472"/>
        <v>5.8141305318250662</v>
      </c>
      <c r="S982" s="4">
        <f t="shared" si="473"/>
        <v>54.5</v>
      </c>
      <c r="T982" s="4">
        <f t="shared" si="474"/>
        <v>1</v>
      </c>
      <c r="U982" s="4">
        <f t="shared" si="475"/>
        <v>8.5171931914162382</v>
      </c>
      <c r="V982" s="4">
        <f t="shared" si="476"/>
        <v>5.8141305318250662</v>
      </c>
      <c r="W982" s="4">
        <f t="shared" si="477"/>
        <v>54.5</v>
      </c>
      <c r="X982" s="4">
        <f t="shared" si="478"/>
        <v>1</v>
      </c>
      <c r="Y982" s="4">
        <f t="shared" si="479"/>
        <v>8.5171931914162382</v>
      </c>
      <c r="Z982" s="4">
        <f t="shared" si="480"/>
        <v>5.8141305318250662</v>
      </c>
      <c r="AA982" s="4">
        <f t="shared" si="481"/>
        <v>54.5</v>
      </c>
      <c r="AB982" s="4">
        <f t="shared" si="482"/>
        <v>1</v>
      </c>
      <c r="AC982" s="4">
        <f t="shared" si="483"/>
        <v>0</v>
      </c>
      <c r="AD982" s="4">
        <f t="shared" si="484"/>
        <v>0</v>
      </c>
      <c r="AE982" s="4">
        <f t="shared" si="485"/>
        <v>0</v>
      </c>
      <c r="AF982" s="4">
        <f t="shared" si="486"/>
        <v>0</v>
      </c>
      <c r="AG982" s="4">
        <f t="shared" si="487"/>
        <v>8.5171931914162382</v>
      </c>
      <c r="AH982" s="4">
        <f t="shared" si="488"/>
        <v>1</v>
      </c>
      <c r="AI982" s="4">
        <f t="shared" si="489"/>
        <v>0</v>
      </c>
      <c r="AJ982" s="4">
        <f t="shared" si="490"/>
        <v>8.5171931914162382</v>
      </c>
      <c r="AK982" s="4">
        <f t="shared" si="491"/>
        <v>5.8141305318250662</v>
      </c>
      <c r="AL982" s="4">
        <f t="shared" si="492"/>
        <v>0</v>
      </c>
      <c r="AM982" s="4">
        <f>CER!$C$7+CER!$C$8*J982+CER!$C$9*K982+CER!$C$10*L982+CER!$C$11*M982</f>
        <v>3.4806447366425171</v>
      </c>
      <c r="AN982" s="4">
        <f t="shared" si="493"/>
        <v>32.480656796057445</v>
      </c>
      <c r="AO982" s="4">
        <f t="shared" si="494"/>
        <v>-0.1268464870836552</v>
      </c>
      <c r="AP982" s="4">
        <f>Alternatives!$F$25+Alternatives!$F$26*J982+Alternatives!$F$27*K982+Alternatives!$F$28*G982+Alternatives!$F$29*O982</f>
        <v>4.1851398944529192</v>
      </c>
      <c r="AQ982" s="4">
        <f t="shared" si="495"/>
        <v>-0.83134164489405737</v>
      </c>
    </row>
    <row r="983" spans="1:43" x14ac:dyDescent="0.35">
      <c r="A983" s="2" t="s">
        <v>838</v>
      </c>
      <c r="B983" s="2" t="s">
        <v>794</v>
      </c>
      <c r="C983" s="2" t="s">
        <v>33</v>
      </c>
      <c r="D983" s="2">
        <v>23.559899999999999</v>
      </c>
      <c r="E983" s="2">
        <v>5500</v>
      </c>
      <c r="F983" s="2">
        <v>563</v>
      </c>
      <c r="G983" s="2">
        <v>52.4</v>
      </c>
      <c r="H983" s="2" t="s">
        <v>68</v>
      </c>
      <c r="I983" s="4">
        <f t="shared" si="465"/>
        <v>3.1595461142922048</v>
      </c>
      <c r="J983" s="4">
        <f t="shared" si="466"/>
        <v>8.6125033712205621</v>
      </c>
      <c r="K983" s="4">
        <f t="shared" si="467"/>
        <v>6.3332796281396906</v>
      </c>
      <c r="L983" s="2">
        <v>1</v>
      </c>
      <c r="M983" s="2">
        <v>0</v>
      </c>
      <c r="N983" s="4">
        <f t="shared" si="468"/>
        <v>52.4</v>
      </c>
      <c r="O983" s="4">
        <f t="shared" si="469"/>
        <v>1</v>
      </c>
      <c r="P983" s="4">
        <f t="shared" si="470"/>
        <v>1</v>
      </c>
      <c r="Q983" s="4">
        <f t="shared" si="471"/>
        <v>8.6125033712205621</v>
      </c>
      <c r="R983" s="4">
        <f t="shared" si="472"/>
        <v>6.3332796281396906</v>
      </c>
      <c r="S983" s="4">
        <f t="shared" si="473"/>
        <v>52.4</v>
      </c>
      <c r="T983" s="4">
        <f t="shared" si="474"/>
        <v>1</v>
      </c>
      <c r="U983" s="4">
        <f t="shared" si="475"/>
        <v>8.6125033712205621</v>
      </c>
      <c r="V983" s="4">
        <f t="shared" si="476"/>
        <v>6.3332796281396906</v>
      </c>
      <c r="W983" s="4">
        <f t="shared" si="477"/>
        <v>52.4</v>
      </c>
      <c r="X983" s="4">
        <f t="shared" si="478"/>
        <v>1</v>
      </c>
      <c r="Y983" s="4">
        <f t="shared" si="479"/>
        <v>8.6125033712205621</v>
      </c>
      <c r="Z983" s="4">
        <f t="shared" si="480"/>
        <v>6.3332796281396906</v>
      </c>
      <c r="AA983" s="4">
        <f t="shared" si="481"/>
        <v>52.4</v>
      </c>
      <c r="AB983" s="4">
        <f t="shared" si="482"/>
        <v>1</v>
      </c>
      <c r="AC983" s="4">
        <f t="shared" si="483"/>
        <v>0</v>
      </c>
      <c r="AD983" s="4">
        <f t="shared" si="484"/>
        <v>0</v>
      </c>
      <c r="AE983" s="4">
        <f t="shared" si="485"/>
        <v>0</v>
      </c>
      <c r="AF983" s="4">
        <f t="shared" si="486"/>
        <v>0</v>
      </c>
      <c r="AG983" s="4">
        <f t="shared" si="487"/>
        <v>8.6125033712205621</v>
      </c>
      <c r="AH983" s="4">
        <f t="shared" si="488"/>
        <v>1</v>
      </c>
      <c r="AI983" s="4">
        <f t="shared" si="489"/>
        <v>0</v>
      </c>
      <c r="AJ983" s="4">
        <f t="shared" si="490"/>
        <v>8.6125033712205621</v>
      </c>
      <c r="AK983" s="4">
        <f t="shared" si="491"/>
        <v>6.3332796281396906</v>
      </c>
      <c r="AL983" s="4">
        <f t="shared" si="492"/>
        <v>0</v>
      </c>
      <c r="AM983" s="4">
        <f>CER!$C$7+CER!$C$8*J983+CER!$C$9*K983+CER!$C$10*L983+CER!$C$11*M983</f>
        <v>3.2459601534067519</v>
      </c>
      <c r="AN983" s="4">
        <f t="shared" si="493"/>
        <v>25.68636107104788</v>
      </c>
      <c r="AO983" s="4">
        <f t="shared" si="494"/>
        <v>-8.6414039114547148E-2</v>
      </c>
      <c r="AP983" s="4">
        <f>Alternatives!$F$25+Alternatives!$F$26*J983+Alternatives!$F$27*K983+Alternatives!$F$28*G983+Alternatives!$F$29*O983</f>
        <v>4.1095774667461544</v>
      </c>
      <c r="AQ983" s="4">
        <f t="shared" si="495"/>
        <v>-0.95003135245394965</v>
      </c>
    </row>
    <row r="984" spans="1:43" x14ac:dyDescent="0.35">
      <c r="A984" s="2" t="s">
        <v>839</v>
      </c>
      <c r="B984" s="2" t="s">
        <v>794</v>
      </c>
      <c r="C984" s="2" t="s">
        <v>33</v>
      </c>
      <c r="D984" s="2">
        <v>26.999300000000002</v>
      </c>
      <c r="E984" s="2">
        <v>5000</v>
      </c>
      <c r="F984" s="2">
        <v>335</v>
      </c>
      <c r="G984" s="2">
        <v>54.3</v>
      </c>
      <c r="H984" s="2" t="s">
        <v>68</v>
      </c>
      <c r="I984" s="4">
        <f t="shared" si="465"/>
        <v>3.2958109397423208</v>
      </c>
      <c r="J984" s="4">
        <f t="shared" si="466"/>
        <v>8.5171931914162382</v>
      </c>
      <c r="K984" s="4">
        <f t="shared" si="467"/>
        <v>5.8141305318250662</v>
      </c>
      <c r="L984" s="2">
        <v>1</v>
      </c>
      <c r="M984" s="2">
        <v>0</v>
      </c>
      <c r="N984" s="4">
        <f t="shared" si="468"/>
        <v>54.3</v>
      </c>
      <c r="O984" s="4">
        <f t="shared" si="469"/>
        <v>1</v>
      </c>
      <c r="P984" s="4">
        <f t="shared" si="470"/>
        <v>1</v>
      </c>
      <c r="Q984" s="4">
        <f t="shared" si="471"/>
        <v>8.5171931914162382</v>
      </c>
      <c r="R984" s="4">
        <f t="shared" si="472"/>
        <v>5.8141305318250662</v>
      </c>
      <c r="S984" s="4">
        <f t="shared" si="473"/>
        <v>54.3</v>
      </c>
      <c r="T984" s="4">
        <f t="shared" si="474"/>
        <v>1</v>
      </c>
      <c r="U984" s="4">
        <f t="shared" si="475"/>
        <v>8.5171931914162382</v>
      </c>
      <c r="V984" s="4">
        <f t="shared" si="476"/>
        <v>5.8141305318250662</v>
      </c>
      <c r="W984" s="4">
        <f t="shared" si="477"/>
        <v>54.3</v>
      </c>
      <c r="X984" s="4">
        <f t="shared" si="478"/>
        <v>1</v>
      </c>
      <c r="Y984" s="4">
        <f t="shared" si="479"/>
        <v>8.5171931914162382</v>
      </c>
      <c r="Z984" s="4">
        <f t="shared" si="480"/>
        <v>5.8141305318250662</v>
      </c>
      <c r="AA984" s="4">
        <f t="shared" si="481"/>
        <v>54.3</v>
      </c>
      <c r="AB984" s="4">
        <f t="shared" si="482"/>
        <v>1</v>
      </c>
      <c r="AC984" s="4">
        <f t="shared" si="483"/>
        <v>0</v>
      </c>
      <c r="AD984" s="4">
        <f t="shared" si="484"/>
        <v>0</v>
      </c>
      <c r="AE984" s="4">
        <f t="shared" si="485"/>
        <v>0</v>
      </c>
      <c r="AF984" s="4">
        <f t="shared" si="486"/>
        <v>0</v>
      </c>
      <c r="AG984" s="4">
        <f t="shared" si="487"/>
        <v>8.5171931914162382</v>
      </c>
      <c r="AH984" s="4">
        <f t="shared" si="488"/>
        <v>1</v>
      </c>
      <c r="AI984" s="4">
        <f t="shared" si="489"/>
        <v>0</v>
      </c>
      <c r="AJ984" s="4">
        <f t="shared" si="490"/>
        <v>8.5171931914162382</v>
      </c>
      <c r="AK984" s="4">
        <f t="shared" si="491"/>
        <v>5.8141305318250662</v>
      </c>
      <c r="AL984" s="4">
        <f t="shared" si="492"/>
        <v>0</v>
      </c>
      <c r="AM984" s="4">
        <f>CER!$C$7+CER!$C$8*J984+CER!$C$9*K984+CER!$C$10*L984+CER!$C$11*M984</f>
        <v>3.4806447366425171</v>
      </c>
      <c r="AN984" s="4">
        <f t="shared" si="493"/>
        <v>32.480656796057445</v>
      </c>
      <c r="AO984" s="4">
        <f t="shared" si="494"/>
        <v>-0.1848337969001963</v>
      </c>
      <c r="AP984" s="4">
        <f>Alternatives!$F$25+Alternatives!$F$26*J984+Alternatives!$F$27*K984+Alternatives!$F$28*G984+Alternatives!$F$29*O984</f>
        <v>4.1877413573613644</v>
      </c>
      <c r="AQ984" s="4">
        <f t="shared" si="495"/>
        <v>-0.89193041761904368</v>
      </c>
    </row>
    <row r="985" spans="1:43" x14ac:dyDescent="0.35">
      <c r="A985" s="2" t="s">
        <v>839</v>
      </c>
      <c r="B985" s="2" t="s">
        <v>794</v>
      </c>
      <c r="C985" s="2" t="s">
        <v>67</v>
      </c>
      <c r="D985" s="2">
        <v>28.0854</v>
      </c>
      <c r="E985" s="2">
        <v>5000</v>
      </c>
      <c r="F985" s="2">
        <v>261</v>
      </c>
      <c r="G985" s="2">
        <v>54.3</v>
      </c>
      <c r="H985" s="2" t="s">
        <v>68</v>
      </c>
      <c r="I985" s="4">
        <f t="shared" si="465"/>
        <v>3.335249868361164</v>
      </c>
      <c r="J985" s="4">
        <f t="shared" si="466"/>
        <v>8.5171931914162382</v>
      </c>
      <c r="K985" s="4">
        <f t="shared" si="467"/>
        <v>5.5645204073226937</v>
      </c>
      <c r="L985" s="2">
        <v>0</v>
      </c>
      <c r="M985" s="2">
        <v>0</v>
      </c>
      <c r="N985" s="4">
        <f t="shared" si="468"/>
        <v>54.3</v>
      </c>
      <c r="O985" s="4">
        <f t="shared" si="469"/>
        <v>0</v>
      </c>
      <c r="P985" s="4">
        <f t="shared" si="470"/>
        <v>0</v>
      </c>
      <c r="Q985" s="4">
        <f t="shared" si="471"/>
        <v>8.5171931914162382</v>
      </c>
      <c r="R985" s="4">
        <f t="shared" si="472"/>
        <v>5.5645204073226937</v>
      </c>
      <c r="S985" s="4">
        <f t="shared" si="473"/>
        <v>54.3</v>
      </c>
      <c r="T985" s="4">
        <f t="shared" si="474"/>
        <v>0</v>
      </c>
      <c r="U985" s="4">
        <f t="shared" si="475"/>
        <v>8.5171931914162382</v>
      </c>
      <c r="V985" s="4">
        <f t="shared" si="476"/>
        <v>5.5645204073226937</v>
      </c>
      <c r="W985" s="4">
        <f t="shared" si="477"/>
        <v>54.3</v>
      </c>
      <c r="X985" s="4">
        <f t="shared" si="478"/>
        <v>0</v>
      </c>
      <c r="Y985" s="4">
        <f t="shared" si="479"/>
        <v>8.5171931914162382</v>
      </c>
      <c r="Z985" s="4">
        <f t="shared" si="480"/>
        <v>5.5645204073226937</v>
      </c>
      <c r="AA985" s="4">
        <f t="shared" si="481"/>
        <v>54.3</v>
      </c>
      <c r="AB985" s="4">
        <f t="shared" si="482"/>
        <v>0</v>
      </c>
      <c r="AC985" s="4">
        <f t="shared" si="483"/>
        <v>0</v>
      </c>
      <c r="AD985" s="4">
        <f t="shared" si="484"/>
        <v>0</v>
      </c>
      <c r="AE985" s="4">
        <f t="shared" si="485"/>
        <v>0</v>
      </c>
      <c r="AF985" s="4">
        <f t="shared" si="486"/>
        <v>0</v>
      </c>
      <c r="AG985" s="4">
        <f t="shared" si="487"/>
        <v>8.5171931914162382</v>
      </c>
      <c r="AH985" s="4">
        <f t="shared" si="488"/>
        <v>0</v>
      </c>
      <c r="AI985" s="4">
        <f t="shared" si="489"/>
        <v>0</v>
      </c>
      <c r="AJ985" s="4">
        <f t="shared" si="490"/>
        <v>8.5171931914162382</v>
      </c>
      <c r="AK985" s="4">
        <f t="shared" si="491"/>
        <v>5.5645204073226937</v>
      </c>
      <c r="AL985" s="4">
        <f t="shared" si="492"/>
        <v>0</v>
      </c>
      <c r="AM985" s="4">
        <f>CER!$C$7+CER!$C$8*J985+CER!$C$9*K985+CER!$C$10*L985+CER!$C$11*M985</f>
        <v>3.3489832530260992</v>
      </c>
      <c r="AN985" s="4">
        <f t="shared" si="493"/>
        <v>28.473768303293518</v>
      </c>
      <c r="AO985" s="4">
        <f t="shared" si="494"/>
        <v>-1.3733384664935233E-2</v>
      </c>
      <c r="AP985" s="4">
        <f>Alternatives!$F$25+Alternatives!$F$26*J985+Alternatives!$F$27*K985+Alternatives!$F$28*G985+Alternatives!$F$29*O985</f>
        <v>3.4094251706741421</v>
      </c>
      <c r="AQ985" s="4">
        <f t="shared" si="495"/>
        <v>-7.4175302312978086E-2</v>
      </c>
    </row>
    <row r="986" spans="1:43" x14ac:dyDescent="0.35">
      <c r="A986" s="2" t="s">
        <v>840</v>
      </c>
      <c r="B986" s="2" t="s">
        <v>794</v>
      </c>
      <c r="C986" s="2" t="s">
        <v>67</v>
      </c>
      <c r="D986" s="2">
        <v>21.708500000000001</v>
      </c>
      <c r="E986" s="2">
        <v>5500</v>
      </c>
      <c r="F986" s="2">
        <v>500</v>
      </c>
      <c r="G986" s="2">
        <v>53.8</v>
      </c>
      <c r="H986" s="2" t="s">
        <v>68</v>
      </c>
      <c r="I986" s="4">
        <f t="shared" si="465"/>
        <v>3.0777038889191353</v>
      </c>
      <c r="J986" s="4">
        <f t="shared" si="466"/>
        <v>8.6125033712205621</v>
      </c>
      <c r="K986" s="4">
        <f t="shared" si="467"/>
        <v>6.2146080984221914</v>
      </c>
      <c r="L986" s="2">
        <v>0</v>
      </c>
      <c r="M986" s="2">
        <v>0</v>
      </c>
      <c r="N986" s="4">
        <f t="shared" si="468"/>
        <v>53.8</v>
      </c>
      <c r="O986" s="4">
        <f t="shared" si="469"/>
        <v>0</v>
      </c>
      <c r="P986" s="4">
        <f t="shared" si="470"/>
        <v>0</v>
      </c>
      <c r="Q986" s="4">
        <f t="shared" si="471"/>
        <v>8.6125033712205621</v>
      </c>
      <c r="R986" s="4">
        <f t="shared" si="472"/>
        <v>6.2146080984221914</v>
      </c>
      <c r="S986" s="4">
        <f t="shared" si="473"/>
        <v>53.8</v>
      </c>
      <c r="T986" s="4">
        <f t="shared" si="474"/>
        <v>0</v>
      </c>
      <c r="U986" s="4">
        <f t="shared" si="475"/>
        <v>8.6125033712205621</v>
      </c>
      <c r="V986" s="4">
        <f t="shared" si="476"/>
        <v>6.2146080984221914</v>
      </c>
      <c r="W986" s="4">
        <f t="shared" si="477"/>
        <v>53.8</v>
      </c>
      <c r="X986" s="4">
        <f t="shared" si="478"/>
        <v>0</v>
      </c>
      <c r="Y986" s="4">
        <f t="shared" si="479"/>
        <v>8.6125033712205621</v>
      </c>
      <c r="Z986" s="4">
        <f t="shared" si="480"/>
        <v>6.2146080984221914</v>
      </c>
      <c r="AA986" s="4">
        <f t="shared" si="481"/>
        <v>53.8</v>
      </c>
      <c r="AB986" s="4">
        <f t="shared" si="482"/>
        <v>0</v>
      </c>
      <c r="AC986" s="4">
        <f t="shared" si="483"/>
        <v>0</v>
      </c>
      <c r="AD986" s="4">
        <f t="shared" si="484"/>
        <v>0</v>
      </c>
      <c r="AE986" s="4">
        <f t="shared" si="485"/>
        <v>0</v>
      </c>
      <c r="AF986" s="4">
        <f t="shared" si="486"/>
        <v>0</v>
      </c>
      <c r="AG986" s="4">
        <f t="shared" si="487"/>
        <v>8.6125033712205621</v>
      </c>
      <c r="AH986" s="4">
        <f t="shared" si="488"/>
        <v>0</v>
      </c>
      <c r="AI986" s="4">
        <f t="shared" si="489"/>
        <v>0</v>
      </c>
      <c r="AJ986" s="4">
        <f t="shared" si="490"/>
        <v>8.6125033712205621</v>
      </c>
      <c r="AK986" s="4">
        <f t="shared" si="491"/>
        <v>6.2146080984221914</v>
      </c>
      <c r="AL986" s="4">
        <f t="shared" si="492"/>
        <v>0</v>
      </c>
      <c r="AM986" s="4">
        <f>CER!$C$7+CER!$C$8*J986+CER!$C$9*K986+CER!$C$10*L986+CER!$C$11*M986</f>
        <v>3.0659896983418249</v>
      </c>
      <c r="AN986" s="4">
        <f t="shared" si="493"/>
        <v>21.455686139690098</v>
      </c>
      <c r="AO986" s="4">
        <f t="shared" si="494"/>
        <v>1.1714190577310379E-2</v>
      </c>
      <c r="AP986" s="4">
        <f>Alternatives!$F$25+Alternatives!$F$26*J986+Alternatives!$F$27*K986+Alternatives!$F$28*G986+Alternatives!$F$29*O986</f>
        <v>3.2782069744434637</v>
      </c>
      <c r="AQ986" s="4">
        <f t="shared" si="495"/>
        <v>-0.20050308552432838</v>
      </c>
    </row>
    <row r="987" spans="1:43" x14ac:dyDescent="0.35">
      <c r="A987" s="2" t="s">
        <v>841</v>
      </c>
      <c r="B987" s="2" t="s">
        <v>794</v>
      </c>
      <c r="C987" s="2" t="s">
        <v>33</v>
      </c>
      <c r="D987" s="2">
        <v>34.310699999999997</v>
      </c>
      <c r="E987" s="2">
        <v>4000</v>
      </c>
      <c r="F987" s="2">
        <v>201</v>
      </c>
      <c r="G987" s="2">
        <v>49.1</v>
      </c>
      <c r="H987" s="2" t="s">
        <v>68</v>
      </c>
      <c r="I987" s="4">
        <f t="shared" si="465"/>
        <v>3.5354572588773334</v>
      </c>
      <c r="J987" s="4">
        <f t="shared" si="466"/>
        <v>8.2940496401020276</v>
      </c>
      <c r="K987" s="4">
        <f t="shared" si="467"/>
        <v>5.3033049080590757</v>
      </c>
      <c r="L987" s="2">
        <v>1</v>
      </c>
      <c r="M987" s="2">
        <v>0</v>
      </c>
      <c r="N987" s="4">
        <f t="shared" si="468"/>
        <v>49.1</v>
      </c>
      <c r="O987" s="4">
        <f t="shared" si="469"/>
        <v>1</v>
      </c>
      <c r="P987" s="4">
        <f t="shared" si="470"/>
        <v>1</v>
      </c>
      <c r="Q987" s="4">
        <f t="shared" si="471"/>
        <v>8.2940496401020276</v>
      </c>
      <c r="R987" s="4">
        <f t="shared" si="472"/>
        <v>5.3033049080590757</v>
      </c>
      <c r="S987" s="4">
        <f t="shared" si="473"/>
        <v>49.1</v>
      </c>
      <c r="T987" s="4">
        <f t="shared" si="474"/>
        <v>1</v>
      </c>
      <c r="U987" s="4">
        <f t="shared" si="475"/>
        <v>8.2940496401020276</v>
      </c>
      <c r="V987" s="4">
        <f t="shared" si="476"/>
        <v>5.3033049080590757</v>
      </c>
      <c r="W987" s="4">
        <f t="shared" si="477"/>
        <v>49.1</v>
      </c>
      <c r="X987" s="4">
        <f t="shared" si="478"/>
        <v>1</v>
      </c>
      <c r="Y987" s="4">
        <f t="shared" si="479"/>
        <v>8.2940496401020276</v>
      </c>
      <c r="Z987" s="4">
        <f t="shared" si="480"/>
        <v>5.3033049080590757</v>
      </c>
      <c r="AA987" s="4">
        <f t="shared" si="481"/>
        <v>49.1</v>
      </c>
      <c r="AB987" s="4">
        <f t="shared" si="482"/>
        <v>1</v>
      </c>
      <c r="AC987" s="4">
        <f t="shared" si="483"/>
        <v>0</v>
      </c>
      <c r="AD987" s="4">
        <f t="shared" si="484"/>
        <v>0</v>
      </c>
      <c r="AE987" s="4">
        <f t="shared" si="485"/>
        <v>0</v>
      </c>
      <c r="AF987" s="4">
        <f t="shared" si="486"/>
        <v>0</v>
      </c>
      <c r="AG987" s="4">
        <f t="shared" si="487"/>
        <v>8.2940496401020276</v>
      </c>
      <c r="AH987" s="4">
        <f t="shared" si="488"/>
        <v>1</v>
      </c>
      <c r="AI987" s="4">
        <f t="shared" si="489"/>
        <v>0</v>
      </c>
      <c r="AJ987" s="4">
        <f t="shared" si="490"/>
        <v>8.2940496401020276</v>
      </c>
      <c r="AK987" s="4">
        <f t="shared" si="491"/>
        <v>5.3033049080590757</v>
      </c>
      <c r="AL987" s="4">
        <f t="shared" si="492"/>
        <v>0</v>
      </c>
      <c r="AM987" s="4">
        <f>CER!$C$7+CER!$C$8*J987+CER!$C$9*K987+CER!$C$10*L987+CER!$C$11*M987</f>
        <v>3.7701297600788943</v>
      </c>
      <c r="AN987" s="4">
        <f t="shared" si="493"/>
        <v>43.385694201712738</v>
      </c>
      <c r="AO987" s="4">
        <f t="shared" si="494"/>
        <v>-0.23467250120156091</v>
      </c>
      <c r="AP987" s="4">
        <f>Alternatives!$F$25+Alternatives!$F$26*J987+Alternatives!$F$27*K987+Alternatives!$F$28*G987+Alternatives!$F$29*O987</f>
        <v>4.3087328838852716</v>
      </c>
      <c r="AQ987" s="4">
        <f t="shared" si="495"/>
        <v>-0.77327562500793823</v>
      </c>
    </row>
    <row r="988" spans="1:43" x14ac:dyDescent="0.35">
      <c r="A988" s="2" t="s">
        <v>842</v>
      </c>
      <c r="B988" s="2" t="s">
        <v>794</v>
      </c>
      <c r="C988" s="2" t="s">
        <v>33</v>
      </c>
      <c r="D988" s="2">
        <v>31.5181</v>
      </c>
      <c r="E988" s="2">
        <v>4000</v>
      </c>
      <c r="F988" s="2">
        <v>261</v>
      </c>
      <c r="G988" s="2">
        <v>48.9</v>
      </c>
      <c r="H988" s="2" t="s">
        <v>68</v>
      </c>
      <c r="I988" s="4">
        <f t="shared" si="465"/>
        <v>3.4505619839849979</v>
      </c>
      <c r="J988" s="4">
        <f t="shared" si="466"/>
        <v>8.2940496401020276</v>
      </c>
      <c r="K988" s="4">
        <f t="shared" si="467"/>
        <v>5.5645204073226937</v>
      </c>
      <c r="L988" s="2">
        <v>1</v>
      </c>
      <c r="M988" s="2">
        <v>0</v>
      </c>
      <c r="N988" s="4">
        <f t="shared" si="468"/>
        <v>48.9</v>
      </c>
      <c r="O988" s="4">
        <f t="shared" si="469"/>
        <v>1</v>
      </c>
      <c r="P988" s="4">
        <f t="shared" si="470"/>
        <v>1</v>
      </c>
      <c r="Q988" s="4">
        <f t="shared" si="471"/>
        <v>8.2940496401020276</v>
      </c>
      <c r="R988" s="4">
        <f t="shared" si="472"/>
        <v>5.5645204073226937</v>
      </c>
      <c r="S988" s="4">
        <f t="shared" si="473"/>
        <v>48.9</v>
      </c>
      <c r="T988" s="4">
        <f t="shared" si="474"/>
        <v>1</v>
      </c>
      <c r="U988" s="4">
        <f t="shared" si="475"/>
        <v>8.2940496401020276</v>
      </c>
      <c r="V988" s="4">
        <f t="shared" si="476"/>
        <v>5.5645204073226937</v>
      </c>
      <c r="W988" s="4">
        <f t="shared" si="477"/>
        <v>48.9</v>
      </c>
      <c r="X988" s="4">
        <f t="shared" si="478"/>
        <v>1</v>
      </c>
      <c r="Y988" s="4">
        <f t="shared" si="479"/>
        <v>8.2940496401020276</v>
      </c>
      <c r="Z988" s="4">
        <f t="shared" si="480"/>
        <v>5.5645204073226937</v>
      </c>
      <c r="AA988" s="4">
        <f t="shared" si="481"/>
        <v>48.9</v>
      </c>
      <c r="AB988" s="4">
        <f t="shared" si="482"/>
        <v>1</v>
      </c>
      <c r="AC988" s="4">
        <f t="shared" si="483"/>
        <v>0</v>
      </c>
      <c r="AD988" s="4">
        <f t="shared" si="484"/>
        <v>0</v>
      </c>
      <c r="AE988" s="4">
        <f t="shared" si="485"/>
        <v>0</v>
      </c>
      <c r="AF988" s="4">
        <f t="shared" si="486"/>
        <v>0</v>
      </c>
      <c r="AG988" s="4">
        <f t="shared" si="487"/>
        <v>8.2940496401020276</v>
      </c>
      <c r="AH988" s="4">
        <f t="shared" si="488"/>
        <v>1</v>
      </c>
      <c r="AI988" s="4">
        <f t="shared" si="489"/>
        <v>0</v>
      </c>
      <c r="AJ988" s="4">
        <f t="shared" si="490"/>
        <v>8.2940496401020276</v>
      </c>
      <c r="AK988" s="4">
        <f t="shared" si="491"/>
        <v>5.5645204073226937</v>
      </c>
      <c r="AL988" s="4">
        <f t="shared" si="492"/>
        <v>0</v>
      </c>
      <c r="AM988" s="4">
        <f>CER!$C$7+CER!$C$8*J988+CER!$C$9*K988+CER!$C$10*L988+CER!$C$11*M988</f>
        <v>3.6737559436608498</v>
      </c>
      <c r="AN988" s="4">
        <f t="shared" si="493"/>
        <v>39.399611019784423</v>
      </c>
      <c r="AO988" s="4">
        <f t="shared" si="494"/>
        <v>-0.22319395967585187</v>
      </c>
      <c r="AP988" s="4">
        <f>Alternatives!$F$25+Alternatives!$F$26*J988+Alternatives!$F$27*K988+Alternatives!$F$28*G988+Alternatives!$F$29*O988</f>
        <v>4.2418222986671479</v>
      </c>
      <c r="AQ988" s="4">
        <f t="shared" si="495"/>
        <v>-0.79126031468214997</v>
      </c>
    </row>
    <row r="989" spans="1:43" x14ac:dyDescent="0.35">
      <c r="A989" s="2" t="s">
        <v>843</v>
      </c>
      <c r="B989" s="2" t="s">
        <v>794</v>
      </c>
      <c r="C989" s="2" t="s">
        <v>33</v>
      </c>
      <c r="D989" s="2">
        <v>31.5181</v>
      </c>
      <c r="E989" s="2">
        <v>4500</v>
      </c>
      <c r="F989" s="2">
        <v>261</v>
      </c>
      <c r="G989" s="2">
        <v>48.9</v>
      </c>
      <c r="H989" s="2" t="s">
        <v>68</v>
      </c>
      <c r="I989" s="4">
        <f t="shared" si="465"/>
        <v>3.4505619839849979</v>
      </c>
      <c r="J989" s="4">
        <f t="shared" si="466"/>
        <v>8.4118326757584114</v>
      </c>
      <c r="K989" s="4">
        <f t="shared" si="467"/>
        <v>5.5645204073226937</v>
      </c>
      <c r="L989" s="2">
        <v>1</v>
      </c>
      <c r="M989" s="2">
        <v>0</v>
      </c>
      <c r="N989" s="4">
        <f t="shared" si="468"/>
        <v>48.9</v>
      </c>
      <c r="O989" s="4">
        <f t="shared" si="469"/>
        <v>1</v>
      </c>
      <c r="P989" s="4">
        <f t="shared" si="470"/>
        <v>1</v>
      </c>
      <c r="Q989" s="4">
        <f t="shared" si="471"/>
        <v>8.4118326757584114</v>
      </c>
      <c r="R989" s="4">
        <f t="shared" si="472"/>
        <v>5.5645204073226937</v>
      </c>
      <c r="S989" s="4">
        <f t="shared" si="473"/>
        <v>48.9</v>
      </c>
      <c r="T989" s="4">
        <f t="shared" si="474"/>
        <v>1</v>
      </c>
      <c r="U989" s="4">
        <f t="shared" si="475"/>
        <v>8.4118326757584114</v>
      </c>
      <c r="V989" s="4">
        <f t="shared" si="476"/>
        <v>5.5645204073226937</v>
      </c>
      <c r="W989" s="4">
        <f t="shared" si="477"/>
        <v>48.9</v>
      </c>
      <c r="X989" s="4">
        <f t="shared" si="478"/>
        <v>1</v>
      </c>
      <c r="Y989" s="4">
        <f t="shared" si="479"/>
        <v>8.4118326757584114</v>
      </c>
      <c r="Z989" s="4">
        <f t="shared" si="480"/>
        <v>5.5645204073226937</v>
      </c>
      <c r="AA989" s="4">
        <f t="shared" si="481"/>
        <v>48.9</v>
      </c>
      <c r="AB989" s="4">
        <f t="shared" si="482"/>
        <v>1</v>
      </c>
      <c r="AC989" s="4">
        <f t="shared" si="483"/>
        <v>0</v>
      </c>
      <c r="AD989" s="4">
        <f t="shared" si="484"/>
        <v>0</v>
      </c>
      <c r="AE989" s="4">
        <f t="shared" si="485"/>
        <v>0</v>
      </c>
      <c r="AF989" s="4">
        <f t="shared" si="486"/>
        <v>0</v>
      </c>
      <c r="AG989" s="4">
        <f t="shared" si="487"/>
        <v>8.4118326757584114</v>
      </c>
      <c r="AH989" s="4">
        <f t="shared" si="488"/>
        <v>1</v>
      </c>
      <c r="AI989" s="4">
        <f t="shared" si="489"/>
        <v>0</v>
      </c>
      <c r="AJ989" s="4">
        <f t="shared" si="490"/>
        <v>8.4118326757584114</v>
      </c>
      <c r="AK989" s="4">
        <f t="shared" si="491"/>
        <v>5.5645204073226937</v>
      </c>
      <c r="AL989" s="4">
        <f t="shared" si="492"/>
        <v>0</v>
      </c>
      <c r="AM989" s="4">
        <f>CER!$C$7+CER!$C$8*J989+CER!$C$9*K989+CER!$C$10*L989+CER!$C$11*M989</f>
        <v>3.6204344892820499</v>
      </c>
      <c r="AN989" s="4">
        <f t="shared" si="493"/>
        <v>37.353794119911136</v>
      </c>
      <c r="AO989" s="4">
        <f t="shared" si="494"/>
        <v>-0.169872505297052</v>
      </c>
      <c r="AP989" s="4">
        <f>Alternatives!$F$25+Alternatives!$F$26*J989+Alternatives!$F$27*K989+Alternatives!$F$28*G989+Alternatives!$F$29*O989</f>
        <v>4.2854121486209396</v>
      </c>
      <c r="AQ989" s="4">
        <f t="shared" si="495"/>
        <v>-0.83485016463594164</v>
      </c>
    </row>
    <row r="990" spans="1:43" x14ac:dyDescent="0.35">
      <c r="A990" s="2" t="s">
        <v>844</v>
      </c>
      <c r="B990" s="2" t="s">
        <v>794</v>
      </c>
      <c r="C990" s="2" t="s">
        <v>33</v>
      </c>
      <c r="D990" s="2">
        <v>34.7761</v>
      </c>
      <c r="E990" s="2">
        <v>5000</v>
      </c>
      <c r="F990" s="2">
        <v>248</v>
      </c>
      <c r="G990" s="2">
        <v>49</v>
      </c>
      <c r="H990" s="2" t="s">
        <v>68</v>
      </c>
      <c r="I990" s="4">
        <f t="shared" si="465"/>
        <v>3.5489303692287102</v>
      </c>
      <c r="J990" s="4">
        <f t="shared" si="466"/>
        <v>8.5171931914162382</v>
      </c>
      <c r="K990" s="4">
        <f t="shared" si="467"/>
        <v>5.5134287461649825</v>
      </c>
      <c r="L990" s="2">
        <v>1</v>
      </c>
      <c r="M990" s="2">
        <v>0</v>
      </c>
      <c r="N990" s="4">
        <f t="shared" si="468"/>
        <v>49</v>
      </c>
      <c r="O990" s="4">
        <f t="shared" si="469"/>
        <v>1</v>
      </c>
      <c r="P990" s="4">
        <f t="shared" si="470"/>
        <v>1</v>
      </c>
      <c r="Q990" s="4">
        <f t="shared" si="471"/>
        <v>8.5171931914162382</v>
      </c>
      <c r="R990" s="4">
        <f t="shared" si="472"/>
        <v>5.5134287461649825</v>
      </c>
      <c r="S990" s="4">
        <f t="shared" si="473"/>
        <v>49</v>
      </c>
      <c r="T990" s="4">
        <f t="shared" si="474"/>
        <v>1</v>
      </c>
      <c r="U990" s="4">
        <f t="shared" si="475"/>
        <v>8.5171931914162382</v>
      </c>
      <c r="V990" s="4">
        <f t="shared" si="476"/>
        <v>5.5134287461649825</v>
      </c>
      <c r="W990" s="4">
        <f t="shared" si="477"/>
        <v>49</v>
      </c>
      <c r="X990" s="4">
        <f t="shared" si="478"/>
        <v>1</v>
      </c>
      <c r="Y990" s="4">
        <f t="shared" si="479"/>
        <v>8.5171931914162382</v>
      </c>
      <c r="Z990" s="4">
        <f t="shared" si="480"/>
        <v>5.5134287461649825</v>
      </c>
      <c r="AA990" s="4">
        <f t="shared" si="481"/>
        <v>49</v>
      </c>
      <c r="AB990" s="4">
        <f t="shared" si="482"/>
        <v>1</v>
      </c>
      <c r="AC990" s="4">
        <f t="shared" si="483"/>
        <v>0</v>
      </c>
      <c r="AD990" s="4">
        <f t="shared" si="484"/>
        <v>0</v>
      </c>
      <c r="AE990" s="4">
        <f t="shared" si="485"/>
        <v>0</v>
      </c>
      <c r="AF990" s="4">
        <f t="shared" si="486"/>
        <v>0</v>
      </c>
      <c r="AG990" s="4">
        <f t="shared" si="487"/>
        <v>8.5171931914162382</v>
      </c>
      <c r="AH990" s="4">
        <f t="shared" si="488"/>
        <v>1</v>
      </c>
      <c r="AI990" s="4">
        <f t="shared" si="489"/>
        <v>0</v>
      </c>
      <c r="AJ990" s="4">
        <f t="shared" si="490"/>
        <v>8.5171931914162382</v>
      </c>
      <c r="AK990" s="4">
        <f t="shared" si="491"/>
        <v>5.5134287461649825</v>
      </c>
      <c r="AL990" s="4">
        <f t="shared" si="492"/>
        <v>0</v>
      </c>
      <c r="AM990" s="4">
        <f>CER!$C$7+CER!$C$8*J990+CER!$C$9*K990+CER!$C$10*L990+CER!$C$11*M990</f>
        <v>3.5915867702105055</v>
      </c>
      <c r="AN990" s="4">
        <f t="shared" si="493"/>
        <v>36.291616718696083</v>
      </c>
      <c r="AO990" s="4">
        <f t="shared" si="494"/>
        <v>-4.265640098179535E-2</v>
      </c>
      <c r="AP990" s="4">
        <f>Alternatives!$F$25+Alternatives!$F$26*J990+Alternatives!$F$27*K990+Alternatives!$F$28*G990+Alternatives!$F$29*O990</f>
        <v>4.3366998669675816</v>
      </c>
      <c r="AQ990" s="4">
        <f t="shared" si="495"/>
        <v>-0.78776949773887139</v>
      </c>
    </row>
    <row r="991" spans="1:43" x14ac:dyDescent="0.35">
      <c r="A991" s="2" t="s">
        <v>845</v>
      </c>
      <c r="B991" s="2" t="s">
        <v>794</v>
      </c>
      <c r="C991" s="2" t="s">
        <v>67</v>
      </c>
      <c r="D991" s="2">
        <v>27.1812</v>
      </c>
      <c r="E991" s="2">
        <v>4500</v>
      </c>
      <c r="F991" s="2">
        <v>349</v>
      </c>
      <c r="G991" s="2">
        <v>49.1</v>
      </c>
      <c r="H991" s="2" t="s">
        <v>68</v>
      </c>
      <c r="I991" s="4">
        <f t="shared" si="465"/>
        <v>3.3025255578587855</v>
      </c>
      <c r="J991" s="4">
        <f t="shared" si="466"/>
        <v>8.4118326757584114</v>
      </c>
      <c r="K991" s="4">
        <f t="shared" si="467"/>
        <v>5.855071922202427</v>
      </c>
      <c r="L991" s="2">
        <v>0</v>
      </c>
      <c r="M991" s="2">
        <v>0</v>
      </c>
      <c r="N991" s="4">
        <f t="shared" si="468"/>
        <v>49.1</v>
      </c>
      <c r="O991" s="4">
        <f t="shared" si="469"/>
        <v>0</v>
      </c>
      <c r="P991" s="4">
        <f t="shared" si="470"/>
        <v>0</v>
      </c>
      <c r="Q991" s="4">
        <f t="shared" si="471"/>
        <v>8.4118326757584114</v>
      </c>
      <c r="R991" s="4">
        <f t="shared" si="472"/>
        <v>5.855071922202427</v>
      </c>
      <c r="S991" s="4">
        <f t="shared" si="473"/>
        <v>49.1</v>
      </c>
      <c r="T991" s="4">
        <f t="shared" si="474"/>
        <v>0</v>
      </c>
      <c r="U991" s="4">
        <f t="shared" si="475"/>
        <v>8.4118326757584114</v>
      </c>
      <c r="V991" s="4">
        <f t="shared" si="476"/>
        <v>5.855071922202427</v>
      </c>
      <c r="W991" s="4">
        <f t="shared" si="477"/>
        <v>49.1</v>
      </c>
      <c r="X991" s="4">
        <f t="shared" si="478"/>
        <v>0</v>
      </c>
      <c r="Y991" s="4">
        <f t="shared" si="479"/>
        <v>8.4118326757584114</v>
      </c>
      <c r="Z991" s="4">
        <f t="shared" si="480"/>
        <v>5.855071922202427</v>
      </c>
      <c r="AA991" s="4">
        <f t="shared" si="481"/>
        <v>49.1</v>
      </c>
      <c r="AB991" s="4">
        <f t="shared" si="482"/>
        <v>0</v>
      </c>
      <c r="AC991" s="4">
        <f t="shared" si="483"/>
        <v>0</v>
      </c>
      <c r="AD991" s="4">
        <f t="shared" si="484"/>
        <v>0</v>
      </c>
      <c r="AE991" s="4">
        <f t="shared" si="485"/>
        <v>0</v>
      </c>
      <c r="AF991" s="4">
        <f t="shared" si="486"/>
        <v>0</v>
      </c>
      <c r="AG991" s="4">
        <f t="shared" si="487"/>
        <v>8.4118326757584114</v>
      </c>
      <c r="AH991" s="4">
        <f t="shared" si="488"/>
        <v>0</v>
      </c>
      <c r="AI991" s="4">
        <f t="shared" si="489"/>
        <v>0</v>
      </c>
      <c r="AJ991" s="4">
        <f t="shared" si="490"/>
        <v>8.4118326757584114</v>
      </c>
      <c r="AK991" s="4">
        <f t="shared" si="491"/>
        <v>5.855071922202427</v>
      </c>
      <c r="AL991" s="4">
        <f t="shared" si="492"/>
        <v>0</v>
      </c>
      <c r="AM991" s="4">
        <f>CER!$C$7+CER!$C$8*J991+CER!$C$9*K991+CER!$C$10*L991+CER!$C$11*M991</f>
        <v>3.2894837643432977</v>
      </c>
      <c r="AN991" s="4">
        <f t="shared" si="493"/>
        <v>26.829009988737539</v>
      </c>
      <c r="AO991" s="4">
        <f t="shared" si="494"/>
        <v>1.3041793515487843E-2</v>
      </c>
      <c r="AP991" s="4">
        <f>Alternatives!$F$25+Alternatives!$F$26*J991+Alternatives!$F$27*K991+Alternatives!$F$28*G991+Alternatives!$F$29*O991</f>
        <v>3.3607521025032252</v>
      </c>
      <c r="AQ991" s="4">
        <f t="shared" si="495"/>
        <v>-5.8226544644439659E-2</v>
      </c>
    </row>
    <row r="992" spans="1:43" x14ac:dyDescent="0.35">
      <c r="A992" s="2" t="s">
        <v>846</v>
      </c>
      <c r="B992" s="2" t="s">
        <v>794</v>
      </c>
      <c r="C992" s="2" t="s">
        <v>67</v>
      </c>
      <c r="D992" s="2">
        <v>27.1812</v>
      </c>
      <c r="E992" s="2">
        <v>4500</v>
      </c>
      <c r="F992" s="2">
        <v>349</v>
      </c>
      <c r="G992" s="2">
        <v>49.1</v>
      </c>
      <c r="H992" s="2" t="s">
        <v>68</v>
      </c>
      <c r="I992" s="4">
        <f t="shared" si="465"/>
        <v>3.3025255578587855</v>
      </c>
      <c r="J992" s="4">
        <f t="shared" si="466"/>
        <v>8.4118326757584114</v>
      </c>
      <c r="K992" s="4">
        <f t="shared" si="467"/>
        <v>5.855071922202427</v>
      </c>
      <c r="L992" s="2">
        <v>0</v>
      </c>
      <c r="M992" s="2">
        <v>0</v>
      </c>
      <c r="N992" s="4">
        <f t="shared" si="468"/>
        <v>49.1</v>
      </c>
      <c r="O992" s="4">
        <f t="shared" si="469"/>
        <v>0</v>
      </c>
      <c r="P992" s="4">
        <f t="shared" si="470"/>
        <v>0</v>
      </c>
      <c r="Q992" s="4">
        <f t="shared" si="471"/>
        <v>8.4118326757584114</v>
      </c>
      <c r="R992" s="4">
        <f t="shared" si="472"/>
        <v>5.855071922202427</v>
      </c>
      <c r="S992" s="4">
        <f t="shared" si="473"/>
        <v>49.1</v>
      </c>
      <c r="T992" s="4">
        <f t="shared" si="474"/>
        <v>0</v>
      </c>
      <c r="U992" s="4">
        <f t="shared" si="475"/>
        <v>8.4118326757584114</v>
      </c>
      <c r="V992" s="4">
        <f t="shared" si="476"/>
        <v>5.855071922202427</v>
      </c>
      <c r="W992" s="4">
        <f t="shared" si="477"/>
        <v>49.1</v>
      </c>
      <c r="X992" s="4">
        <f t="shared" si="478"/>
        <v>0</v>
      </c>
      <c r="Y992" s="4">
        <f t="shared" si="479"/>
        <v>8.4118326757584114</v>
      </c>
      <c r="Z992" s="4">
        <f t="shared" si="480"/>
        <v>5.855071922202427</v>
      </c>
      <c r="AA992" s="4">
        <f t="shared" si="481"/>
        <v>49.1</v>
      </c>
      <c r="AB992" s="4">
        <f t="shared" si="482"/>
        <v>0</v>
      </c>
      <c r="AC992" s="4">
        <f t="shared" si="483"/>
        <v>0</v>
      </c>
      <c r="AD992" s="4">
        <f t="shared" si="484"/>
        <v>0</v>
      </c>
      <c r="AE992" s="4">
        <f t="shared" si="485"/>
        <v>0</v>
      </c>
      <c r="AF992" s="4">
        <f t="shared" si="486"/>
        <v>0</v>
      </c>
      <c r="AG992" s="4">
        <f t="shared" si="487"/>
        <v>8.4118326757584114</v>
      </c>
      <c r="AH992" s="4">
        <f t="shared" si="488"/>
        <v>0</v>
      </c>
      <c r="AI992" s="4">
        <f t="shared" si="489"/>
        <v>0</v>
      </c>
      <c r="AJ992" s="4">
        <f t="shared" si="490"/>
        <v>8.4118326757584114</v>
      </c>
      <c r="AK992" s="4">
        <f t="shared" si="491"/>
        <v>5.855071922202427</v>
      </c>
      <c r="AL992" s="4">
        <f t="shared" si="492"/>
        <v>0</v>
      </c>
      <c r="AM992" s="4">
        <f>CER!$C$7+CER!$C$8*J992+CER!$C$9*K992+CER!$C$10*L992+CER!$C$11*M992</f>
        <v>3.2894837643432977</v>
      </c>
      <c r="AN992" s="4">
        <f t="shared" si="493"/>
        <v>26.829009988737539</v>
      </c>
      <c r="AO992" s="4">
        <f t="shared" si="494"/>
        <v>1.3041793515487843E-2</v>
      </c>
      <c r="AP992" s="4">
        <f>Alternatives!$F$25+Alternatives!$F$26*J992+Alternatives!$F$27*K992+Alternatives!$F$28*G992+Alternatives!$F$29*O992</f>
        <v>3.3607521025032252</v>
      </c>
      <c r="AQ992" s="4">
        <f t="shared" si="495"/>
        <v>-5.8226544644439659E-2</v>
      </c>
    </row>
    <row r="993" spans="1:43" x14ac:dyDescent="0.35">
      <c r="A993" s="2" t="s">
        <v>847</v>
      </c>
      <c r="B993" s="2" t="s">
        <v>794</v>
      </c>
      <c r="C993" s="2" t="s">
        <v>33</v>
      </c>
      <c r="D993" s="2">
        <v>25.2121</v>
      </c>
      <c r="E993" s="2">
        <v>5000</v>
      </c>
      <c r="F993" s="2">
        <v>335</v>
      </c>
      <c r="G993" s="2">
        <v>54.4</v>
      </c>
      <c r="H993" s="2" t="s">
        <v>68</v>
      </c>
      <c r="I993" s="4">
        <f t="shared" si="465"/>
        <v>3.2273240380082204</v>
      </c>
      <c r="J993" s="4">
        <f t="shared" si="466"/>
        <v>8.5171931914162382</v>
      </c>
      <c r="K993" s="4">
        <f t="shared" si="467"/>
        <v>5.8141305318250662</v>
      </c>
      <c r="L993" s="2">
        <v>1</v>
      </c>
      <c r="M993" s="2">
        <v>0</v>
      </c>
      <c r="N993" s="4">
        <f t="shared" si="468"/>
        <v>54.4</v>
      </c>
      <c r="O993" s="4">
        <f t="shared" si="469"/>
        <v>1</v>
      </c>
      <c r="P993" s="4">
        <f t="shared" si="470"/>
        <v>1</v>
      </c>
      <c r="Q993" s="4">
        <f t="shared" si="471"/>
        <v>8.5171931914162382</v>
      </c>
      <c r="R993" s="4">
        <f t="shared" si="472"/>
        <v>5.8141305318250662</v>
      </c>
      <c r="S993" s="4">
        <f t="shared" si="473"/>
        <v>54.4</v>
      </c>
      <c r="T993" s="4">
        <f t="shared" si="474"/>
        <v>1</v>
      </c>
      <c r="U993" s="4">
        <f t="shared" si="475"/>
        <v>8.5171931914162382</v>
      </c>
      <c r="V993" s="4">
        <f t="shared" si="476"/>
        <v>5.8141305318250662</v>
      </c>
      <c r="W993" s="4">
        <f t="shared" si="477"/>
        <v>54.4</v>
      </c>
      <c r="X993" s="4">
        <f t="shared" si="478"/>
        <v>1</v>
      </c>
      <c r="Y993" s="4">
        <f t="shared" si="479"/>
        <v>8.5171931914162382</v>
      </c>
      <c r="Z993" s="4">
        <f t="shared" si="480"/>
        <v>5.8141305318250662</v>
      </c>
      <c r="AA993" s="4">
        <f t="shared" si="481"/>
        <v>54.4</v>
      </c>
      <c r="AB993" s="4">
        <f t="shared" si="482"/>
        <v>1</v>
      </c>
      <c r="AC993" s="4">
        <f t="shared" si="483"/>
        <v>0</v>
      </c>
      <c r="AD993" s="4">
        <f t="shared" si="484"/>
        <v>0</v>
      </c>
      <c r="AE993" s="4">
        <f t="shared" si="485"/>
        <v>0</v>
      </c>
      <c r="AF993" s="4">
        <f t="shared" si="486"/>
        <v>0</v>
      </c>
      <c r="AG993" s="4">
        <f t="shared" si="487"/>
        <v>8.5171931914162382</v>
      </c>
      <c r="AH993" s="4">
        <f t="shared" si="488"/>
        <v>1</v>
      </c>
      <c r="AI993" s="4">
        <f t="shared" si="489"/>
        <v>0</v>
      </c>
      <c r="AJ993" s="4">
        <f t="shared" si="490"/>
        <v>8.5171931914162382</v>
      </c>
      <c r="AK993" s="4">
        <f t="shared" si="491"/>
        <v>5.8141305318250662</v>
      </c>
      <c r="AL993" s="4">
        <f t="shared" si="492"/>
        <v>0</v>
      </c>
      <c r="AM993" s="4">
        <f>CER!$C$7+CER!$C$8*J993+CER!$C$9*K993+CER!$C$10*L993+CER!$C$11*M993</f>
        <v>3.4806447366425171</v>
      </c>
      <c r="AN993" s="4">
        <f t="shared" si="493"/>
        <v>32.480656796057445</v>
      </c>
      <c r="AO993" s="4">
        <f t="shared" si="494"/>
        <v>-0.25332069863429663</v>
      </c>
      <c r="AP993" s="4">
        <f>Alternatives!$F$25+Alternatives!$F$26*J993+Alternatives!$F$27*K993+Alternatives!$F$28*G993+Alternatives!$F$29*O993</f>
        <v>4.1864406259071423</v>
      </c>
      <c r="AQ993" s="4">
        <f t="shared" si="495"/>
        <v>-0.95911658789892185</v>
      </c>
    </row>
    <row r="994" spans="1:43" x14ac:dyDescent="0.35">
      <c r="A994" s="2" t="s">
        <v>848</v>
      </c>
      <c r="B994" s="2" t="s">
        <v>794</v>
      </c>
      <c r="C994" s="2" t="s">
        <v>67</v>
      </c>
      <c r="D994" s="2">
        <v>22.019200000000001</v>
      </c>
      <c r="E994" s="2">
        <v>5500</v>
      </c>
      <c r="F994" s="2">
        <v>500</v>
      </c>
      <c r="G994" s="2">
        <v>54.4</v>
      </c>
      <c r="H994" s="2" t="s">
        <v>68</v>
      </c>
      <c r="I994" s="4">
        <f t="shared" si="465"/>
        <v>3.0919148000260237</v>
      </c>
      <c r="J994" s="4">
        <f t="shared" si="466"/>
        <v>8.6125033712205621</v>
      </c>
      <c r="K994" s="4">
        <f t="shared" si="467"/>
        <v>6.2146080984221914</v>
      </c>
      <c r="L994" s="2">
        <v>0</v>
      </c>
      <c r="M994" s="2">
        <v>0</v>
      </c>
      <c r="N994" s="4">
        <f t="shared" si="468"/>
        <v>54.4</v>
      </c>
      <c r="O994" s="4">
        <f t="shared" si="469"/>
        <v>0</v>
      </c>
      <c r="P994" s="4">
        <f t="shared" si="470"/>
        <v>0</v>
      </c>
      <c r="Q994" s="4">
        <f t="shared" si="471"/>
        <v>8.6125033712205621</v>
      </c>
      <c r="R994" s="4">
        <f t="shared" si="472"/>
        <v>6.2146080984221914</v>
      </c>
      <c r="S994" s="4">
        <f t="shared" si="473"/>
        <v>54.4</v>
      </c>
      <c r="T994" s="4">
        <f t="shared" si="474"/>
        <v>0</v>
      </c>
      <c r="U994" s="4">
        <f t="shared" si="475"/>
        <v>8.6125033712205621</v>
      </c>
      <c r="V994" s="4">
        <f t="shared" si="476"/>
        <v>6.2146080984221914</v>
      </c>
      <c r="W994" s="4">
        <f t="shared" si="477"/>
        <v>54.4</v>
      </c>
      <c r="X994" s="4">
        <f t="shared" si="478"/>
        <v>0</v>
      </c>
      <c r="Y994" s="4">
        <f t="shared" si="479"/>
        <v>8.6125033712205621</v>
      </c>
      <c r="Z994" s="4">
        <f t="shared" si="480"/>
        <v>6.2146080984221914</v>
      </c>
      <c r="AA994" s="4">
        <f t="shared" si="481"/>
        <v>54.4</v>
      </c>
      <c r="AB994" s="4">
        <f t="shared" si="482"/>
        <v>0</v>
      </c>
      <c r="AC994" s="4">
        <f t="shared" si="483"/>
        <v>0</v>
      </c>
      <c r="AD994" s="4">
        <f t="shared" si="484"/>
        <v>0</v>
      </c>
      <c r="AE994" s="4">
        <f t="shared" si="485"/>
        <v>0</v>
      </c>
      <c r="AF994" s="4">
        <f t="shared" si="486"/>
        <v>0</v>
      </c>
      <c r="AG994" s="4">
        <f t="shared" si="487"/>
        <v>8.6125033712205621</v>
      </c>
      <c r="AH994" s="4">
        <f t="shared" si="488"/>
        <v>0</v>
      </c>
      <c r="AI994" s="4">
        <f t="shared" si="489"/>
        <v>0</v>
      </c>
      <c r="AJ994" s="4">
        <f t="shared" si="490"/>
        <v>8.6125033712205621</v>
      </c>
      <c r="AK994" s="4">
        <f t="shared" si="491"/>
        <v>6.2146080984221914</v>
      </c>
      <c r="AL994" s="4">
        <f t="shared" si="492"/>
        <v>0</v>
      </c>
      <c r="AM994" s="4">
        <f>CER!$C$7+CER!$C$8*J994+CER!$C$9*K994+CER!$C$10*L994+CER!$C$11*M994</f>
        <v>3.0659896983418249</v>
      </c>
      <c r="AN994" s="4">
        <f t="shared" si="493"/>
        <v>21.455686139690098</v>
      </c>
      <c r="AO994" s="4">
        <f t="shared" si="494"/>
        <v>2.5925101684198815E-2</v>
      </c>
      <c r="AP994" s="4">
        <f>Alternatives!$F$25+Alternatives!$F$26*J994+Alternatives!$F$27*K994+Alternatives!$F$28*G994+Alternatives!$F$29*O994</f>
        <v>3.2704025857181263</v>
      </c>
      <c r="AQ994" s="4">
        <f t="shared" si="495"/>
        <v>-0.17848778569210255</v>
      </c>
    </row>
    <row r="995" spans="1:43" x14ac:dyDescent="0.35">
      <c r="A995" s="2" t="s">
        <v>849</v>
      </c>
      <c r="B995" s="2" t="s">
        <v>794</v>
      </c>
      <c r="C995" s="2" t="s">
        <v>33</v>
      </c>
      <c r="D995" s="2">
        <v>19.639500000000002</v>
      </c>
      <c r="E995" s="2">
        <v>6000</v>
      </c>
      <c r="F995" s="2">
        <v>591</v>
      </c>
      <c r="G995" s="2">
        <v>54.7</v>
      </c>
      <c r="H995" s="2" t="s">
        <v>68</v>
      </c>
      <c r="I995" s="4">
        <f t="shared" si="465"/>
        <v>2.9775428443537808</v>
      </c>
      <c r="J995" s="4">
        <f t="shared" si="466"/>
        <v>8.6995147482101913</v>
      </c>
      <c r="K995" s="4">
        <f t="shared" si="467"/>
        <v>6.3818160174060985</v>
      </c>
      <c r="L995" s="2">
        <v>1</v>
      </c>
      <c r="M995" s="2">
        <v>0</v>
      </c>
      <c r="N995" s="4">
        <f t="shared" si="468"/>
        <v>54.7</v>
      </c>
      <c r="O995" s="4">
        <f t="shared" si="469"/>
        <v>1</v>
      </c>
      <c r="P995" s="4">
        <f t="shared" si="470"/>
        <v>1</v>
      </c>
      <c r="Q995" s="4">
        <f t="shared" si="471"/>
        <v>8.6995147482101913</v>
      </c>
      <c r="R995" s="4">
        <f t="shared" si="472"/>
        <v>6.3818160174060985</v>
      </c>
      <c r="S995" s="4">
        <f t="shared" si="473"/>
        <v>54.7</v>
      </c>
      <c r="T995" s="4">
        <f t="shared" si="474"/>
        <v>1</v>
      </c>
      <c r="U995" s="4">
        <f t="shared" si="475"/>
        <v>8.6995147482101913</v>
      </c>
      <c r="V995" s="4">
        <f t="shared" si="476"/>
        <v>6.3818160174060985</v>
      </c>
      <c r="W995" s="4">
        <f t="shared" si="477"/>
        <v>54.7</v>
      </c>
      <c r="X995" s="4">
        <f t="shared" si="478"/>
        <v>1</v>
      </c>
      <c r="Y995" s="4">
        <f t="shared" si="479"/>
        <v>8.6995147482101913</v>
      </c>
      <c r="Z995" s="4">
        <f t="shared" si="480"/>
        <v>6.3818160174060985</v>
      </c>
      <c r="AA995" s="4">
        <f t="shared" si="481"/>
        <v>54.7</v>
      </c>
      <c r="AB995" s="4">
        <f t="shared" si="482"/>
        <v>1</v>
      </c>
      <c r="AC995" s="4">
        <f t="shared" si="483"/>
        <v>0</v>
      </c>
      <c r="AD995" s="4">
        <f t="shared" si="484"/>
        <v>0</v>
      </c>
      <c r="AE995" s="4">
        <f t="shared" si="485"/>
        <v>0</v>
      </c>
      <c r="AF995" s="4">
        <f t="shared" si="486"/>
        <v>0</v>
      </c>
      <c r="AG995" s="4">
        <f t="shared" si="487"/>
        <v>8.6995147482101913</v>
      </c>
      <c r="AH995" s="4">
        <f t="shared" si="488"/>
        <v>1</v>
      </c>
      <c r="AI995" s="4">
        <f t="shared" si="489"/>
        <v>0</v>
      </c>
      <c r="AJ995" s="4">
        <f t="shared" si="490"/>
        <v>8.6995147482101913</v>
      </c>
      <c r="AK995" s="4">
        <f t="shared" si="491"/>
        <v>6.3818160174060985</v>
      </c>
      <c r="AL995" s="4">
        <f t="shared" si="492"/>
        <v>0</v>
      </c>
      <c r="AM995" s="4">
        <f>CER!$C$7+CER!$C$8*J995+CER!$C$9*K995+CER!$C$10*L995+CER!$C$11*M995</f>
        <v>3.1886621138187272</v>
      </c>
      <c r="AN995" s="4">
        <f t="shared" si="493"/>
        <v>24.25595401936981</v>
      </c>
      <c r="AO995" s="4">
        <f t="shared" si="494"/>
        <v>-0.21111926946494641</v>
      </c>
      <c r="AP995" s="4">
        <f>Alternatives!$F$25+Alternatives!$F$26*J995+Alternatives!$F$27*K995+Alternatives!$F$28*G995+Alternatives!$F$29*O995</f>
        <v>4.0989463168674174</v>
      </c>
      <c r="AQ995" s="4">
        <f t="shared" si="495"/>
        <v>-1.1214034725136366</v>
      </c>
    </row>
    <row r="996" spans="1:43" x14ac:dyDescent="0.35">
      <c r="A996" s="2" t="s">
        <v>850</v>
      </c>
      <c r="B996" s="2" t="s">
        <v>794</v>
      </c>
      <c r="C996" s="2" t="s">
        <v>33</v>
      </c>
      <c r="D996" s="2">
        <v>27.232900000000001</v>
      </c>
      <c r="E996" s="2">
        <v>6000</v>
      </c>
      <c r="F996" s="2">
        <v>456</v>
      </c>
      <c r="G996" s="2">
        <v>54.7</v>
      </c>
      <c r="H996" s="2" t="s">
        <v>68</v>
      </c>
      <c r="I996" s="4">
        <f t="shared" si="465"/>
        <v>3.3044258011985472</v>
      </c>
      <c r="J996" s="4">
        <f t="shared" si="466"/>
        <v>8.6995147482101913</v>
      </c>
      <c r="K996" s="4">
        <f t="shared" si="467"/>
        <v>6.1224928095143865</v>
      </c>
      <c r="L996" s="2">
        <v>1</v>
      </c>
      <c r="M996" s="2">
        <v>0</v>
      </c>
      <c r="N996" s="4">
        <f t="shared" si="468"/>
        <v>54.7</v>
      </c>
      <c r="O996" s="4">
        <f t="shared" si="469"/>
        <v>1</v>
      </c>
      <c r="P996" s="4">
        <f t="shared" si="470"/>
        <v>1</v>
      </c>
      <c r="Q996" s="4">
        <f t="shared" si="471"/>
        <v>8.6995147482101913</v>
      </c>
      <c r="R996" s="4">
        <f t="shared" si="472"/>
        <v>6.1224928095143865</v>
      </c>
      <c r="S996" s="4">
        <f t="shared" si="473"/>
        <v>54.7</v>
      </c>
      <c r="T996" s="4">
        <f t="shared" si="474"/>
        <v>1</v>
      </c>
      <c r="U996" s="4">
        <f t="shared" si="475"/>
        <v>8.6995147482101913</v>
      </c>
      <c r="V996" s="4">
        <f t="shared" si="476"/>
        <v>6.1224928095143865</v>
      </c>
      <c r="W996" s="4">
        <f t="shared" si="477"/>
        <v>54.7</v>
      </c>
      <c r="X996" s="4">
        <f t="shared" si="478"/>
        <v>1</v>
      </c>
      <c r="Y996" s="4">
        <f t="shared" si="479"/>
        <v>8.6995147482101913</v>
      </c>
      <c r="Z996" s="4">
        <f t="shared" si="480"/>
        <v>6.1224928095143865</v>
      </c>
      <c r="AA996" s="4">
        <f t="shared" si="481"/>
        <v>54.7</v>
      </c>
      <c r="AB996" s="4">
        <f t="shared" si="482"/>
        <v>1</v>
      </c>
      <c r="AC996" s="4">
        <f t="shared" si="483"/>
        <v>0</v>
      </c>
      <c r="AD996" s="4">
        <f t="shared" si="484"/>
        <v>0</v>
      </c>
      <c r="AE996" s="4">
        <f t="shared" si="485"/>
        <v>0</v>
      </c>
      <c r="AF996" s="4">
        <f t="shared" si="486"/>
        <v>0</v>
      </c>
      <c r="AG996" s="4">
        <f t="shared" si="487"/>
        <v>8.6995147482101913</v>
      </c>
      <c r="AH996" s="4">
        <f t="shared" si="488"/>
        <v>1</v>
      </c>
      <c r="AI996" s="4">
        <f t="shared" si="489"/>
        <v>0</v>
      </c>
      <c r="AJ996" s="4">
        <f t="shared" si="490"/>
        <v>8.6995147482101913</v>
      </c>
      <c r="AK996" s="4">
        <f t="shared" si="491"/>
        <v>6.1224928095143865</v>
      </c>
      <c r="AL996" s="4">
        <f t="shared" si="492"/>
        <v>0</v>
      </c>
      <c r="AM996" s="4">
        <f>CER!$C$7+CER!$C$8*J996+CER!$C$9*K996+CER!$C$10*L996+CER!$C$11*M996</f>
        <v>3.2843377812303021</v>
      </c>
      <c r="AN996" s="4">
        <f t="shared" si="493"/>
        <v>26.691302979256211</v>
      </c>
      <c r="AO996" s="4">
        <f t="shared" si="494"/>
        <v>2.0088019968245163E-2</v>
      </c>
      <c r="AP996" s="4">
        <f>Alternatives!$F$25+Alternatives!$F$26*J996+Alternatives!$F$27*K996+Alternatives!$F$28*G996+Alternatives!$F$29*O996</f>
        <v>4.1679548073977326</v>
      </c>
      <c r="AQ996" s="4">
        <f t="shared" si="495"/>
        <v>-0.86352900619918538</v>
      </c>
    </row>
    <row r="997" spans="1:43" x14ac:dyDescent="0.35">
      <c r="A997" s="2" t="s">
        <v>851</v>
      </c>
      <c r="B997" s="2" t="s">
        <v>794</v>
      </c>
      <c r="C997" s="2" t="s">
        <v>67</v>
      </c>
      <c r="D997" s="2">
        <v>20.886500000000002</v>
      </c>
      <c r="E997" s="2">
        <v>6000</v>
      </c>
      <c r="F997" s="2">
        <v>542</v>
      </c>
      <c r="G997" s="2">
        <v>54.7</v>
      </c>
      <c r="H997" s="2" t="s">
        <v>68</v>
      </c>
      <c r="I997" s="4">
        <f t="shared" si="465"/>
        <v>3.0391030172518043</v>
      </c>
      <c r="J997" s="4">
        <f t="shared" si="466"/>
        <v>8.6995147482101913</v>
      </c>
      <c r="K997" s="4">
        <f t="shared" si="467"/>
        <v>6.2952660014396464</v>
      </c>
      <c r="L997" s="2">
        <v>0</v>
      </c>
      <c r="M997" s="2">
        <v>0</v>
      </c>
      <c r="N997" s="4">
        <f t="shared" si="468"/>
        <v>54.7</v>
      </c>
      <c r="O997" s="4">
        <f t="shared" si="469"/>
        <v>0</v>
      </c>
      <c r="P997" s="4">
        <f t="shared" si="470"/>
        <v>0</v>
      </c>
      <c r="Q997" s="4">
        <f t="shared" si="471"/>
        <v>8.6995147482101913</v>
      </c>
      <c r="R997" s="4">
        <f t="shared" si="472"/>
        <v>6.2952660014396464</v>
      </c>
      <c r="S997" s="4">
        <f t="shared" si="473"/>
        <v>54.7</v>
      </c>
      <c r="T997" s="4">
        <f t="shared" si="474"/>
        <v>0</v>
      </c>
      <c r="U997" s="4">
        <f t="shared" si="475"/>
        <v>8.6995147482101913</v>
      </c>
      <c r="V997" s="4">
        <f t="shared" si="476"/>
        <v>6.2952660014396464</v>
      </c>
      <c r="W997" s="4">
        <f t="shared" si="477"/>
        <v>54.7</v>
      </c>
      <c r="X997" s="4">
        <f t="shared" si="478"/>
        <v>0</v>
      </c>
      <c r="Y997" s="4">
        <f t="shared" si="479"/>
        <v>8.6995147482101913</v>
      </c>
      <c r="Z997" s="4">
        <f t="shared" si="480"/>
        <v>6.2952660014396464</v>
      </c>
      <c r="AA997" s="4">
        <f t="shared" si="481"/>
        <v>54.7</v>
      </c>
      <c r="AB997" s="4">
        <f t="shared" si="482"/>
        <v>0</v>
      </c>
      <c r="AC997" s="4">
        <f t="shared" si="483"/>
        <v>0</v>
      </c>
      <c r="AD997" s="4">
        <f t="shared" si="484"/>
        <v>0</v>
      </c>
      <c r="AE997" s="4">
        <f t="shared" si="485"/>
        <v>0</v>
      </c>
      <c r="AF997" s="4">
        <f t="shared" si="486"/>
        <v>0</v>
      </c>
      <c r="AG997" s="4">
        <f t="shared" si="487"/>
        <v>8.6995147482101913</v>
      </c>
      <c r="AH997" s="4">
        <f t="shared" si="488"/>
        <v>0</v>
      </c>
      <c r="AI997" s="4">
        <f t="shared" si="489"/>
        <v>0</v>
      </c>
      <c r="AJ997" s="4">
        <f t="shared" si="490"/>
        <v>8.6995147482101913</v>
      </c>
      <c r="AK997" s="4">
        <f t="shared" si="491"/>
        <v>6.2952660014396464</v>
      </c>
      <c r="AL997" s="4">
        <f t="shared" si="492"/>
        <v>0</v>
      </c>
      <c r="AM997" s="4">
        <f>CER!$C$7+CER!$C$8*J997+CER!$C$9*K997+CER!$C$10*L997+CER!$C$11*M997</f>
        <v>2.9968406281754465</v>
      </c>
      <c r="AN997" s="4">
        <f t="shared" si="493"/>
        <v>20.022179381468565</v>
      </c>
      <c r="AO997" s="4">
        <f t="shared" si="494"/>
        <v>4.226238907635782E-2</v>
      </c>
      <c r="AP997" s="4">
        <f>Alternatives!$F$25+Alternatives!$F$26*J997+Alternatives!$F$27*K997+Alternatives!$F$28*G997+Alternatives!$F$29*O997</f>
        <v>3.2772382099303421</v>
      </c>
      <c r="AQ997" s="4">
        <f t="shared" si="495"/>
        <v>-0.23813519267853778</v>
      </c>
    </row>
    <row r="998" spans="1:43" x14ac:dyDescent="0.35">
      <c r="A998" s="2" t="s">
        <v>852</v>
      </c>
      <c r="B998" s="2" t="s">
        <v>794</v>
      </c>
      <c r="C998" s="2" t="s">
        <v>67</v>
      </c>
      <c r="D998" s="2">
        <v>18.661799999999999</v>
      </c>
      <c r="E998" s="2">
        <v>5500</v>
      </c>
      <c r="F998" s="2">
        <v>650</v>
      </c>
      <c r="G998" s="2">
        <v>51.1</v>
      </c>
      <c r="H998" s="2" t="s">
        <v>68</v>
      </c>
      <c r="I998" s="4">
        <f t="shared" si="465"/>
        <v>2.9264786537894474</v>
      </c>
      <c r="J998" s="4">
        <f t="shared" si="466"/>
        <v>8.6125033712205621</v>
      </c>
      <c r="K998" s="4">
        <f t="shared" si="467"/>
        <v>6.4769723628896827</v>
      </c>
      <c r="L998" s="2">
        <v>0</v>
      </c>
      <c r="M998" s="2">
        <v>0</v>
      </c>
      <c r="N998" s="4">
        <f t="shared" si="468"/>
        <v>51.1</v>
      </c>
      <c r="O998" s="4">
        <f t="shared" si="469"/>
        <v>0</v>
      </c>
      <c r="P998" s="4">
        <f t="shared" si="470"/>
        <v>0</v>
      </c>
      <c r="Q998" s="4">
        <f t="shared" si="471"/>
        <v>8.6125033712205621</v>
      </c>
      <c r="R998" s="4">
        <f t="shared" si="472"/>
        <v>6.4769723628896827</v>
      </c>
      <c r="S998" s="4">
        <f t="shared" si="473"/>
        <v>51.1</v>
      </c>
      <c r="T998" s="4">
        <f t="shared" si="474"/>
        <v>0</v>
      </c>
      <c r="U998" s="4">
        <f t="shared" si="475"/>
        <v>8.6125033712205621</v>
      </c>
      <c r="V998" s="4">
        <f t="shared" si="476"/>
        <v>6.4769723628896827</v>
      </c>
      <c r="W998" s="4">
        <f t="shared" si="477"/>
        <v>51.1</v>
      </c>
      <c r="X998" s="4">
        <f t="shared" si="478"/>
        <v>0</v>
      </c>
      <c r="Y998" s="4">
        <f t="shared" si="479"/>
        <v>8.6125033712205621</v>
      </c>
      <c r="Z998" s="4">
        <f t="shared" si="480"/>
        <v>6.4769723628896827</v>
      </c>
      <c r="AA998" s="4">
        <f t="shared" si="481"/>
        <v>51.1</v>
      </c>
      <c r="AB998" s="4">
        <f t="shared" si="482"/>
        <v>0</v>
      </c>
      <c r="AC998" s="4">
        <f t="shared" si="483"/>
        <v>0</v>
      </c>
      <c r="AD998" s="4">
        <f t="shared" si="484"/>
        <v>0</v>
      </c>
      <c r="AE998" s="4">
        <f t="shared" si="485"/>
        <v>0</v>
      </c>
      <c r="AF998" s="4">
        <f t="shared" si="486"/>
        <v>0</v>
      </c>
      <c r="AG998" s="4">
        <f t="shared" si="487"/>
        <v>8.6125033712205621</v>
      </c>
      <c r="AH998" s="4">
        <f t="shared" si="488"/>
        <v>0</v>
      </c>
      <c r="AI998" s="4">
        <f t="shared" si="489"/>
        <v>0</v>
      </c>
      <c r="AJ998" s="4">
        <f t="shared" si="490"/>
        <v>8.6125033712205621</v>
      </c>
      <c r="AK998" s="4">
        <f t="shared" si="491"/>
        <v>6.4769723628896827</v>
      </c>
      <c r="AL998" s="4">
        <f t="shared" si="492"/>
        <v>0</v>
      </c>
      <c r="AM998" s="4">
        <f>CER!$C$7+CER!$C$8*J998+CER!$C$9*K998+CER!$C$10*L998+CER!$C$11*M998</f>
        <v>2.9691920522231015</v>
      </c>
      <c r="AN998" s="4">
        <f t="shared" si="493"/>
        <v>19.476177503176825</v>
      </c>
      <c r="AO998" s="4">
        <f t="shared" si="494"/>
        <v>-4.2713398433654071E-2</v>
      </c>
      <c r="AP998" s="4">
        <f>Alternatives!$F$25+Alternatives!$F$26*J998+Alternatives!$F$27*K998+Alternatives!$F$28*G998+Alternatives!$F$29*O998</f>
        <v>3.243508977709372</v>
      </c>
      <c r="AQ998" s="4">
        <f t="shared" si="495"/>
        <v>-0.31703032391992458</v>
      </c>
    </row>
    <row r="999" spans="1:43" x14ac:dyDescent="0.35">
      <c r="A999" s="2" t="s">
        <v>852</v>
      </c>
      <c r="B999" s="2" t="s">
        <v>794</v>
      </c>
      <c r="C999" s="2" t="s">
        <v>67</v>
      </c>
      <c r="D999" s="2">
        <v>21.959599999999998</v>
      </c>
      <c r="E999" s="2">
        <v>5000</v>
      </c>
      <c r="F999" s="2">
        <v>542</v>
      </c>
      <c r="G999" s="2">
        <v>51.1</v>
      </c>
      <c r="H999" s="2" t="s">
        <v>68</v>
      </c>
      <c r="I999" s="4">
        <f t="shared" si="465"/>
        <v>3.0892044015391882</v>
      </c>
      <c r="J999" s="4">
        <f t="shared" si="466"/>
        <v>8.5171931914162382</v>
      </c>
      <c r="K999" s="4">
        <f t="shared" si="467"/>
        <v>6.2952660014396464</v>
      </c>
      <c r="L999" s="2">
        <v>0</v>
      </c>
      <c r="M999" s="2">
        <v>0</v>
      </c>
      <c r="N999" s="4">
        <f t="shared" si="468"/>
        <v>51.1</v>
      </c>
      <c r="O999" s="4">
        <f t="shared" si="469"/>
        <v>0</v>
      </c>
      <c r="P999" s="4">
        <f t="shared" si="470"/>
        <v>0</v>
      </c>
      <c r="Q999" s="4">
        <f t="shared" si="471"/>
        <v>8.5171931914162382</v>
      </c>
      <c r="R999" s="4">
        <f t="shared" si="472"/>
        <v>6.2952660014396464</v>
      </c>
      <c r="S999" s="4">
        <f t="shared" si="473"/>
        <v>51.1</v>
      </c>
      <c r="T999" s="4">
        <f t="shared" si="474"/>
        <v>0</v>
      </c>
      <c r="U999" s="4">
        <f t="shared" si="475"/>
        <v>8.5171931914162382</v>
      </c>
      <c r="V999" s="4">
        <f t="shared" si="476"/>
        <v>6.2952660014396464</v>
      </c>
      <c r="W999" s="4">
        <f t="shared" si="477"/>
        <v>51.1</v>
      </c>
      <c r="X999" s="4">
        <f t="shared" si="478"/>
        <v>0</v>
      </c>
      <c r="Y999" s="4">
        <f t="shared" si="479"/>
        <v>8.5171931914162382</v>
      </c>
      <c r="Z999" s="4">
        <f t="shared" si="480"/>
        <v>6.2952660014396464</v>
      </c>
      <c r="AA999" s="4">
        <f t="shared" si="481"/>
        <v>51.1</v>
      </c>
      <c r="AB999" s="4">
        <f t="shared" si="482"/>
        <v>0</v>
      </c>
      <c r="AC999" s="4">
        <f t="shared" si="483"/>
        <v>0</v>
      </c>
      <c r="AD999" s="4">
        <f t="shared" si="484"/>
        <v>0</v>
      </c>
      <c r="AE999" s="4">
        <f t="shared" si="485"/>
        <v>0</v>
      </c>
      <c r="AF999" s="4">
        <f t="shared" si="486"/>
        <v>0</v>
      </c>
      <c r="AG999" s="4">
        <f t="shared" si="487"/>
        <v>8.5171931914162382</v>
      </c>
      <c r="AH999" s="4">
        <f t="shared" si="488"/>
        <v>0</v>
      </c>
      <c r="AI999" s="4">
        <f t="shared" si="489"/>
        <v>0</v>
      </c>
      <c r="AJ999" s="4">
        <f t="shared" si="490"/>
        <v>8.5171931914162382</v>
      </c>
      <c r="AK999" s="4">
        <f t="shared" si="491"/>
        <v>6.2952660014396464</v>
      </c>
      <c r="AL999" s="4">
        <f t="shared" si="492"/>
        <v>0</v>
      </c>
      <c r="AM999" s="4">
        <f>CER!$C$7+CER!$C$8*J999+CER!$C$9*K999+CER!$C$10*L999+CER!$C$11*M999</f>
        <v>3.0793792596403549</v>
      </c>
      <c r="AN999" s="4">
        <f t="shared" si="493"/>
        <v>21.744900268759633</v>
      </c>
      <c r="AO999" s="4">
        <f t="shared" si="494"/>
        <v>9.8251418988333228E-3</v>
      </c>
      <c r="AP999" s="4">
        <f>Alternatives!$F$25+Alternatives!$F$26*J999+Alternatives!$F$27*K999+Alternatives!$F$28*G999+Alternatives!$F$29*O999</f>
        <v>3.2565898906086241</v>
      </c>
      <c r="AQ999" s="4">
        <f t="shared" si="495"/>
        <v>-0.16738548906943596</v>
      </c>
    </row>
    <row r="1000" spans="1:43" x14ac:dyDescent="0.35">
      <c r="A1000" s="2" t="s">
        <v>853</v>
      </c>
      <c r="B1000" s="2" t="s">
        <v>794</v>
      </c>
      <c r="C1000" s="2" t="s">
        <v>67</v>
      </c>
      <c r="D1000" s="2">
        <v>18.488299999999999</v>
      </c>
      <c r="E1000" s="2">
        <v>6000</v>
      </c>
      <c r="F1000" s="2">
        <v>626</v>
      </c>
      <c r="G1000" s="2">
        <v>57.3</v>
      </c>
      <c r="H1000" s="2" t="s">
        <v>68</v>
      </c>
      <c r="I1000" s="4">
        <f t="shared" si="465"/>
        <v>2.9171380995820977</v>
      </c>
      <c r="J1000" s="4">
        <f t="shared" si="466"/>
        <v>8.6995147482101913</v>
      </c>
      <c r="K1000" s="4">
        <f t="shared" si="467"/>
        <v>6.4393503711000983</v>
      </c>
      <c r="L1000" s="2">
        <v>0</v>
      </c>
      <c r="M1000" s="2">
        <v>0</v>
      </c>
      <c r="N1000" s="4">
        <f t="shared" si="468"/>
        <v>57.3</v>
      </c>
      <c r="O1000" s="4">
        <f t="shared" si="469"/>
        <v>0</v>
      </c>
      <c r="P1000" s="4">
        <f t="shared" si="470"/>
        <v>0</v>
      </c>
      <c r="Q1000" s="4">
        <f t="shared" si="471"/>
        <v>8.6995147482101913</v>
      </c>
      <c r="R1000" s="4">
        <f t="shared" si="472"/>
        <v>6.4393503711000983</v>
      </c>
      <c r="S1000" s="4">
        <f t="shared" si="473"/>
        <v>57.3</v>
      </c>
      <c r="T1000" s="4">
        <f t="shared" si="474"/>
        <v>0</v>
      </c>
      <c r="U1000" s="4">
        <f t="shared" si="475"/>
        <v>8.6995147482101913</v>
      </c>
      <c r="V1000" s="4">
        <f t="shared" si="476"/>
        <v>6.4393503711000983</v>
      </c>
      <c r="W1000" s="4">
        <f t="shared" si="477"/>
        <v>57.3</v>
      </c>
      <c r="X1000" s="4">
        <f t="shared" si="478"/>
        <v>0</v>
      </c>
      <c r="Y1000" s="4">
        <f t="shared" si="479"/>
        <v>8.6995147482101913</v>
      </c>
      <c r="Z1000" s="4">
        <f t="shared" si="480"/>
        <v>6.4393503711000983</v>
      </c>
      <c r="AA1000" s="4">
        <f t="shared" si="481"/>
        <v>57.3</v>
      </c>
      <c r="AB1000" s="4">
        <f t="shared" si="482"/>
        <v>0</v>
      </c>
      <c r="AC1000" s="4">
        <f t="shared" si="483"/>
        <v>0</v>
      </c>
      <c r="AD1000" s="4">
        <f t="shared" si="484"/>
        <v>0</v>
      </c>
      <c r="AE1000" s="4">
        <f t="shared" si="485"/>
        <v>0</v>
      </c>
      <c r="AF1000" s="4">
        <f t="shared" si="486"/>
        <v>0</v>
      </c>
      <c r="AG1000" s="4">
        <f t="shared" si="487"/>
        <v>8.6995147482101913</v>
      </c>
      <c r="AH1000" s="4">
        <f t="shared" si="488"/>
        <v>0</v>
      </c>
      <c r="AI1000" s="4">
        <f t="shared" si="489"/>
        <v>0</v>
      </c>
      <c r="AJ1000" s="4">
        <f t="shared" si="490"/>
        <v>8.6995147482101913</v>
      </c>
      <c r="AK1000" s="4">
        <f t="shared" si="491"/>
        <v>6.4393503711000983</v>
      </c>
      <c r="AL1000" s="4">
        <f t="shared" si="492"/>
        <v>0</v>
      </c>
      <c r="AM1000" s="4">
        <f>CER!$C$7+CER!$C$8*J1000+CER!$C$9*K1000+CER!$C$10*L1000+CER!$C$11*M1000</f>
        <v>2.9436816057226771</v>
      </c>
      <c r="AN1000" s="4">
        <f t="shared" si="493"/>
        <v>18.985615352531095</v>
      </c>
      <c r="AO1000" s="4">
        <f t="shared" si="494"/>
        <v>-2.6543506140579431E-2</v>
      </c>
      <c r="AP1000" s="4">
        <f>Alternatives!$F$25+Alternatives!$F$26*J1000+Alternatives!$F$27*K1000+Alternatives!$F$28*G1000+Alternatives!$F$29*O1000</f>
        <v>3.2050769051339101</v>
      </c>
      <c r="AQ1000" s="4">
        <f t="shared" si="495"/>
        <v>-0.28793880555181239</v>
      </c>
    </row>
    <row r="1001" spans="1:43" x14ac:dyDescent="0.35">
      <c r="A1001" s="2" t="s">
        <v>853</v>
      </c>
      <c r="B1001" s="2" t="s">
        <v>794</v>
      </c>
      <c r="C1001" s="2" t="s">
        <v>67</v>
      </c>
      <c r="D1001" s="2">
        <v>21.258900000000001</v>
      </c>
      <c r="E1001" s="2">
        <v>5500</v>
      </c>
      <c r="F1001" s="2">
        <v>542</v>
      </c>
      <c r="G1001" s="2">
        <v>57.3</v>
      </c>
      <c r="H1001" s="2" t="s">
        <v>68</v>
      </c>
      <c r="I1001" s="4">
        <f t="shared" si="465"/>
        <v>3.0567756312177448</v>
      </c>
      <c r="J1001" s="4">
        <f t="shared" si="466"/>
        <v>8.6125033712205621</v>
      </c>
      <c r="K1001" s="4">
        <f t="shared" si="467"/>
        <v>6.2952660014396464</v>
      </c>
      <c r="L1001" s="2">
        <v>0</v>
      </c>
      <c r="M1001" s="2">
        <v>0</v>
      </c>
      <c r="N1001" s="4">
        <f t="shared" si="468"/>
        <v>57.3</v>
      </c>
      <c r="O1001" s="4">
        <f t="shared" si="469"/>
        <v>0</v>
      </c>
      <c r="P1001" s="4">
        <f t="shared" si="470"/>
        <v>0</v>
      </c>
      <c r="Q1001" s="4">
        <f t="shared" si="471"/>
        <v>8.6125033712205621</v>
      </c>
      <c r="R1001" s="4">
        <f t="shared" si="472"/>
        <v>6.2952660014396464</v>
      </c>
      <c r="S1001" s="4">
        <f t="shared" si="473"/>
        <v>57.3</v>
      </c>
      <c r="T1001" s="4">
        <f t="shared" si="474"/>
        <v>0</v>
      </c>
      <c r="U1001" s="4">
        <f t="shared" si="475"/>
        <v>8.6125033712205621</v>
      </c>
      <c r="V1001" s="4">
        <f t="shared" si="476"/>
        <v>6.2952660014396464</v>
      </c>
      <c r="W1001" s="4">
        <f t="shared" si="477"/>
        <v>57.3</v>
      </c>
      <c r="X1001" s="4">
        <f t="shared" si="478"/>
        <v>0</v>
      </c>
      <c r="Y1001" s="4">
        <f t="shared" si="479"/>
        <v>8.6125033712205621</v>
      </c>
      <c r="Z1001" s="4">
        <f t="shared" si="480"/>
        <v>6.2952660014396464</v>
      </c>
      <c r="AA1001" s="4">
        <f t="shared" si="481"/>
        <v>57.3</v>
      </c>
      <c r="AB1001" s="4">
        <f t="shared" si="482"/>
        <v>0</v>
      </c>
      <c r="AC1001" s="4">
        <f t="shared" si="483"/>
        <v>0</v>
      </c>
      <c r="AD1001" s="4">
        <f t="shared" si="484"/>
        <v>0</v>
      </c>
      <c r="AE1001" s="4">
        <f t="shared" si="485"/>
        <v>0</v>
      </c>
      <c r="AF1001" s="4">
        <f t="shared" si="486"/>
        <v>0</v>
      </c>
      <c r="AG1001" s="4">
        <f t="shared" si="487"/>
        <v>8.6125033712205621</v>
      </c>
      <c r="AH1001" s="4">
        <f t="shared" si="488"/>
        <v>0</v>
      </c>
      <c r="AI1001" s="4">
        <f t="shared" si="489"/>
        <v>0</v>
      </c>
      <c r="AJ1001" s="4">
        <f t="shared" si="490"/>
        <v>8.6125033712205621</v>
      </c>
      <c r="AK1001" s="4">
        <f t="shared" si="491"/>
        <v>6.2952660014396464</v>
      </c>
      <c r="AL1001" s="4">
        <f t="shared" si="492"/>
        <v>0</v>
      </c>
      <c r="AM1001" s="4">
        <f>CER!$C$7+CER!$C$8*J1001+CER!$C$9*K1001+CER!$C$10*L1001+CER!$C$11*M1001</f>
        <v>3.0362314720498089</v>
      </c>
      <c r="AN1001" s="4">
        <f t="shared" si="493"/>
        <v>20.826609501429047</v>
      </c>
      <c r="AO1001" s="4">
        <f t="shared" si="494"/>
        <v>2.0544159167935838E-2</v>
      </c>
      <c r="AP1001" s="4">
        <f>Alternatives!$F$25+Alternatives!$F$26*J1001+Alternatives!$F$27*K1001+Alternatives!$F$28*G1001+Alternatives!$F$29*O1001</f>
        <v>3.2112175015620221</v>
      </c>
      <c r="AQ1001" s="4">
        <f t="shared" si="495"/>
        <v>-0.15444187034427737</v>
      </c>
    </row>
    <row r="1002" spans="1:43" x14ac:dyDescent="0.35">
      <c r="A1002" s="2" t="s">
        <v>854</v>
      </c>
      <c r="B1002" s="2" t="s">
        <v>794</v>
      </c>
      <c r="C1002" s="2" t="s">
        <v>67</v>
      </c>
      <c r="D1002" s="2">
        <v>17.992699999999999</v>
      </c>
      <c r="E1002" s="2">
        <v>6000</v>
      </c>
      <c r="F1002" s="2">
        <v>650</v>
      </c>
      <c r="G1002" s="2">
        <v>51.1</v>
      </c>
      <c r="H1002" s="2" t="s">
        <v>68</v>
      </c>
      <c r="I1002" s="4">
        <f t="shared" si="465"/>
        <v>2.8899661200807132</v>
      </c>
      <c r="J1002" s="4">
        <f t="shared" si="466"/>
        <v>8.6995147482101913</v>
      </c>
      <c r="K1002" s="4">
        <f t="shared" si="467"/>
        <v>6.4769723628896827</v>
      </c>
      <c r="L1002" s="2">
        <v>0</v>
      </c>
      <c r="M1002" s="2">
        <v>0</v>
      </c>
      <c r="N1002" s="4">
        <f t="shared" si="468"/>
        <v>51.1</v>
      </c>
      <c r="O1002" s="4">
        <f t="shared" si="469"/>
        <v>0</v>
      </c>
      <c r="P1002" s="4">
        <f t="shared" si="470"/>
        <v>0</v>
      </c>
      <c r="Q1002" s="4">
        <f t="shared" si="471"/>
        <v>8.6995147482101913</v>
      </c>
      <c r="R1002" s="4">
        <f t="shared" si="472"/>
        <v>6.4769723628896827</v>
      </c>
      <c r="S1002" s="4">
        <f t="shared" si="473"/>
        <v>51.1</v>
      </c>
      <c r="T1002" s="4">
        <f t="shared" si="474"/>
        <v>0</v>
      </c>
      <c r="U1002" s="4">
        <f t="shared" si="475"/>
        <v>8.6995147482101913</v>
      </c>
      <c r="V1002" s="4">
        <f t="shared" si="476"/>
        <v>6.4769723628896827</v>
      </c>
      <c r="W1002" s="4">
        <f t="shared" si="477"/>
        <v>51.1</v>
      </c>
      <c r="X1002" s="4">
        <f t="shared" si="478"/>
        <v>0</v>
      </c>
      <c r="Y1002" s="4">
        <f t="shared" si="479"/>
        <v>8.6995147482101913</v>
      </c>
      <c r="Z1002" s="4">
        <f t="shared" si="480"/>
        <v>6.4769723628896827</v>
      </c>
      <c r="AA1002" s="4">
        <f t="shared" si="481"/>
        <v>51.1</v>
      </c>
      <c r="AB1002" s="4">
        <f t="shared" si="482"/>
        <v>0</v>
      </c>
      <c r="AC1002" s="4">
        <f t="shared" si="483"/>
        <v>0</v>
      </c>
      <c r="AD1002" s="4">
        <f t="shared" si="484"/>
        <v>0</v>
      </c>
      <c r="AE1002" s="4">
        <f t="shared" si="485"/>
        <v>0</v>
      </c>
      <c r="AF1002" s="4">
        <f t="shared" si="486"/>
        <v>0</v>
      </c>
      <c r="AG1002" s="4">
        <f t="shared" si="487"/>
        <v>8.6995147482101913</v>
      </c>
      <c r="AH1002" s="4">
        <f t="shared" si="488"/>
        <v>0</v>
      </c>
      <c r="AI1002" s="4">
        <f t="shared" si="489"/>
        <v>0</v>
      </c>
      <c r="AJ1002" s="4">
        <f t="shared" si="490"/>
        <v>8.6995147482101913</v>
      </c>
      <c r="AK1002" s="4">
        <f t="shared" si="491"/>
        <v>6.4769723628896827</v>
      </c>
      <c r="AL1002" s="4">
        <f t="shared" si="492"/>
        <v>0</v>
      </c>
      <c r="AM1002" s="4">
        <f>CER!$C$7+CER!$C$8*J1002+CER!$C$9*K1002+CER!$C$10*L1002+CER!$C$11*M1002</f>
        <v>2.929801208348739</v>
      </c>
      <c r="AN1002" s="4">
        <f t="shared" si="493"/>
        <v>18.723907970098139</v>
      </c>
      <c r="AO1002" s="4">
        <f t="shared" si="494"/>
        <v>-3.9835088268025842E-2</v>
      </c>
      <c r="AP1002" s="4">
        <f>Alternatives!$F$25+Alternatives!$F$26*J1002+Alternatives!$F$27*K1002+Alternatives!$F$28*G1002+Alternatives!$F$29*O1002</f>
        <v>3.2757106682678985</v>
      </c>
      <c r="AQ1002" s="4">
        <f t="shared" si="495"/>
        <v>-0.38574454818718529</v>
      </c>
    </row>
    <row r="1003" spans="1:43" x14ac:dyDescent="0.35">
      <c r="A1003" s="2" t="s">
        <v>854</v>
      </c>
      <c r="B1003" s="2" t="s">
        <v>794</v>
      </c>
      <c r="C1003" s="2" t="s">
        <v>67</v>
      </c>
      <c r="D1003" s="2">
        <v>21.077999999999999</v>
      </c>
      <c r="E1003" s="2">
        <v>5500</v>
      </c>
      <c r="F1003" s="2">
        <v>542</v>
      </c>
      <c r="G1003" s="2">
        <v>51.1</v>
      </c>
      <c r="H1003" s="2" t="s">
        <v>68</v>
      </c>
      <c r="I1003" s="4">
        <f t="shared" si="465"/>
        <v>3.0482298425117449</v>
      </c>
      <c r="J1003" s="4">
        <f t="shared" si="466"/>
        <v>8.6125033712205621</v>
      </c>
      <c r="K1003" s="4">
        <f t="shared" si="467"/>
        <v>6.2952660014396464</v>
      </c>
      <c r="L1003" s="2">
        <v>0</v>
      </c>
      <c r="M1003" s="2">
        <v>0</v>
      </c>
      <c r="N1003" s="4">
        <f t="shared" si="468"/>
        <v>51.1</v>
      </c>
      <c r="O1003" s="4">
        <f t="shared" si="469"/>
        <v>0</v>
      </c>
      <c r="P1003" s="4">
        <f t="shared" si="470"/>
        <v>0</v>
      </c>
      <c r="Q1003" s="4">
        <f t="shared" si="471"/>
        <v>8.6125033712205621</v>
      </c>
      <c r="R1003" s="4">
        <f t="shared" si="472"/>
        <v>6.2952660014396464</v>
      </c>
      <c r="S1003" s="4">
        <f t="shared" si="473"/>
        <v>51.1</v>
      </c>
      <c r="T1003" s="4">
        <f t="shared" si="474"/>
        <v>0</v>
      </c>
      <c r="U1003" s="4">
        <f t="shared" si="475"/>
        <v>8.6125033712205621</v>
      </c>
      <c r="V1003" s="4">
        <f t="shared" si="476"/>
        <v>6.2952660014396464</v>
      </c>
      <c r="W1003" s="4">
        <f t="shared" si="477"/>
        <v>51.1</v>
      </c>
      <c r="X1003" s="4">
        <f t="shared" si="478"/>
        <v>0</v>
      </c>
      <c r="Y1003" s="4">
        <f t="shared" si="479"/>
        <v>8.6125033712205621</v>
      </c>
      <c r="Z1003" s="4">
        <f t="shared" si="480"/>
        <v>6.2952660014396464</v>
      </c>
      <c r="AA1003" s="4">
        <f t="shared" si="481"/>
        <v>51.1</v>
      </c>
      <c r="AB1003" s="4">
        <f t="shared" si="482"/>
        <v>0</v>
      </c>
      <c r="AC1003" s="4">
        <f t="shared" si="483"/>
        <v>0</v>
      </c>
      <c r="AD1003" s="4">
        <f t="shared" si="484"/>
        <v>0</v>
      </c>
      <c r="AE1003" s="4">
        <f t="shared" si="485"/>
        <v>0</v>
      </c>
      <c r="AF1003" s="4">
        <f t="shared" si="486"/>
        <v>0</v>
      </c>
      <c r="AG1003" s="4">
        <f t="shared" si="487"/>
        <v>8.6125033712205621</v>
      </c>
      <c r="AH1003" s="4">
        <f t="shared" si="488"/>
        <v>0</v>
      </c>
      <c r="AI1003" s="4">
        <f t="shared" si="489"/>
        <v>0</v>
      </c>
      <c r="AJ1003" s="4">
        <f t="shared" si="490"/>
        <v>8.6125033712205621</v>
      </c>
      <c r="AK1003" s="4">
        <f t="shared" si="491"/>
        <v>6.2952660014396464</v>
      </c>
      <c r="AL1003" s="4">
        <f t="shared" si="492"/>
        <v>0</v>
      </c>
      <c r="AM1003" s="4">
        <f>CER!$C$7+CER!$C$8*J1003+CER!$C$9*K1003+CER!$C$10*L1003+CER!$C$11*M1003</f>
        <v>3.0362314720498089</v>
      </c>
      <c r="AN1003" s="4">
        <f t="shared" si="493"/>
        <v>20.826609501429047</v>
      </c>
      <c r="AO1003" s="4">
        <f t="shared" si="494"/>
        <v>1.199837046193597E-2</v>
      </c>
      <c r="AP1003" s="4">
        <f>Alternatives!$F$25+Alternatives!$F$26*J1003+Alternatives!$F$27*K1003+Alternatives!$F$28*G1003+Alternatives!$F$29*O1003</f>
        <v>3.2918628517238373</v>
      </c>
      <c r="AQ1003" s="4">
        <f t="shared" si="495"/>
        <v>-0.24363300921209241</v>
      </c>
    </row>
    <row r="1004" spans="1:43" x14ac:dyDescent="0.35">
      <c r="A1004" s="2" t="s">
        <v>855</v>
      </c>
      <c r="B1004" s="2" t="s">
        <v>794</v>
      </c>
      <c r="C1004" s="2" t="s">
        <v>33</v>
      </c>
      <c r="D1004" s="2">
        <v>24.792100000000001</v>
      </c>
      <c r="E1004" s="2">
        <v>6000</v>
      </c>
      <c r="F1004" s="2">
        <v>537</v>
      </c>
      <c r="G1004" s="2">
        <v>57.3</v>
      </c>
      <c r="H1004" s="2" t="s">
        <v>68</v>
      </c>
      <c r="I1004" s="4">
        <f t="shared" si="465"/>
        <v>3.2105250540365251</v>
      </c>
      <c r="J1004" s="4">
        <f t="shared" si="466"/>
        <v>8.6995147482101913</v>
      </c>
      <c r="K1004" s="4">
        <f t="shared" si="467"/>
        <v>6.2859980945088649</v>
      </c>
      <c r="L1004" s="2">
        <v>1</v>
      </c>
      <c r="M1004" s="2">
        <v>0</v>
      </c>
      <c r="N1004" s="4">
        <f t="shared" si="468"/>
        <v>57.3</v>
      </c>
      <c r="O1004" s="4">
        <f t="shared" si="469"/>
        <v>1</v>
      </c>
      <c r="P1004" s="4">
        <f t="shared" si="470"/>
        <v>1</v>
      </c>
      <c r="Q1004" s="4">
        <f t="shared" si="471"/>
        <v>8.6995147482101913</v>
      </c>
      <c r="R1004" s="4">
        <f t="shared" si="472"/>
        <v>6.2859980945088649</v>
      </c>
      <c r="S1004" s="4">
        <f t="shared" si="473"/>
        <v>57.3</v>
      </c>
      <c r="T1004" s="4">
        <f t="shared" si="474"/>
        <v>1</v>
      </c>
      <c r="U1004" s="4">
        <f t="shared" si="475"/>
        <v>8.6995147482101913</v>
      </c>
      <c r="V1004" s="4">
        <f t="shared" si="476"/>
        <v>6.2859980945088649</v>
      </c>
      <c r="W1004" s="4">
        <f t="shared" si="477"/>
        <v>57.3</v>
      </c>
      <c r="X1004" s="4">
        <f t="shared" si="478"/>
        <v>1</v>
      </c>
      <c r="Y1004" s="4">
        <f t="shared" si="479"/>
        <v>8.6995147482101913</v>
      </c>
      <c r="Z1004" s="4">
        <f t="shared" si="480"/>
        <v>6.2859980945088649</v>
      </c>
      <c r="AA1004" s="4">
        <f t="shared" si="481"/>
        <v>57.3</v>
      </c>
      <c r="AB1004" s="4">
        <f t="shared" si="482"/>
        <v>1</v>
      </c>
      <c r="AC1004" s="4">
        <f t="shared" si="483"/>
        <v>0</v>
      </c>
      <c r="AD1004" s="4">
        <f t="shared" si="484"/>
        <v>0</v>
      </c>
      <c r="AE1004" s="4">
        <f t="shared" si="485"/>
        <v>0</v>
      </c>
      <c r="AF1004" s="4">
        <f t="shared" si="486"/>
        <v>0</v>
      </c>
      <c r="AG1004" s="4">
        <f t="shared" si="487"/>
        <v>8.6995147482101913</v>
      </c>
      <c r="AH1004" s="4">
        <f t="shared" si="488"/>
        <v>1</v>
      </c>
      <c r="AI1004" s="4">
        <f t="shared" si="489"/>
        <v>0</v>
      </c>
      <c r="AJ1004" s="4">
        <f t="shared" si="490"/>
        <v>8.6995147482101913</v>
      </c>
      <c r="AK1004" s="4">
        <f t="shared" si="491"/>
        <v>6.2859980945088649</v>
      </c>
      <c r="AL1004" s="4">
        <f t="shared" si="492"/>
        <v>0</v>
      </c>
      <c r="AM1004" s="4">
        <f>CER!$C$7+CER!$C$8*J1004+CER!$C$9*K1004+CER!$C$10*L1004+CER!$C$11*M1004</f>
        <v>3.2240135341474923</v>
      </c>
      <c r="AN1004" s="4">
        <f t="shared" si="493"/>
        <v>25.128773248480403</v>
      </c>
      <c r="AO1004" s="4">
        <f t="shared" si="494"/>
        <v>-1.3488480110967149E-2</v>
      </c>
      <c r="AP1004" s="4">
        <f>Alternatives!$F$25+Alternatives!$F$26*J1004+Alternatives!$F$27*K1004+Alternatives!$F$28*G1004+Alternatives!$F$29*O1004</f>
        <v>4.0906254034449852</v>
      </c>
      <c r="AQ1004" s="4">
        <f t="shared" si="495"/>
        <v>-0.88010034940846005</v>
      </c>
    </row>
    <row r="1005" spans="1:43" x14ac:dyDescent="0.35">
      <c r="A1005" s="2" t="s">
        <v>856</v>
      </c>
      <c r="B1005" s="2" t="s">
        <v>794</v>
      </c>
      <c r="C1005" s="2" t="s">
        <v>67</v>
      </c>
      <c r="D1005" s="2">
        <v>20.886500000000002</v>
      </c>
      <c r="E1005" s="2">
        <v>6000</v>
      </c>
      <c r="F1005" s="2">
        <v>542</v>
      </c>
      <c r="G1005" s="2">
        <v>58</v>
      </c>
      <c r="H1005" s="2" t="s">
        <v>68</v>
      </c>
      <c r="I1005" s="4">
        <f t="shared" si="465"/>
        <v>3.0391030172518043</v>
      </c>
      <c r="J1005" s="4">
        <f t="shared" si="466"/>
        <v>8.6995147482101913</v>
      </c>
      <c r="K1005" s="4">
        <f t="shared" si="467"/>
        <v>6.2952660014396464</v>
      </c>
      <c r="L1005" s="2">
        <v>0</v>
      </c>
      <c r="M1005" s="2">
        <v>0</v>
      </c>
      <c r="N1005" s="4">
        <f t="shared" si="468"/>
        <v>58</v>
      </c>
      <c r="O1005" s="4">
        <f t="shared" si="469"/>
        <v>0</v>
      </c>
      <c r="P1005" s="4">
        <f t="shared" si="470"/>
        <v>0</v>
      </c>
      <c r="Q1005" s="4">
        <f t="shared" si="471"/>
        <v>8.6995147482101913</v>
      </c>
      <c r="R1005" s="4">
        <f t="shared" si="472"/>
        <v>6.2952660014396464</v>
      </c>
      <c r="S1005" s="4">
        <f t="shared" si="473"/>
        <v>58</v>
      </c>
      <c r="T1005" s="4">
        <f t="shared" si="474"/>
        <v>0</v>
      </c>
      <c r="U1005" s="4">
        <f t="shared" si="475"/>
        <v>8.6995147482101913</v>
      </c>
      <c r="V1005" s="4">
        <f t="shared" si="476"/>
        <v>6.2952660014396464</v>
      </c>
      <c r="W1005" s="4">
        <f t="shared" si="477"/>
        <v>58</v>
      </c>
      <c r="X1005" s="4">
        <f t="shared" si="478"/>
        <v>0</v>
      </c>
      <c r="Y1005" s="4">
        <f t="shared" si="479"/>
        <v>8.6995147482101913</v>
      </c>
      <c r="Z1005" s="4">
        <f t="shared" si="480"/>
        <v>6.2952660014396464</v>
      </c>
      <c r="AA1005" s="4">
        <f t="shared" si="481"/>
        <v>58</v>
      </c>
      <c r="AB1005" s="4">
        <f t="shared" si="482"/>
        <v>0</v>
      </c>
      <c r="AC1005" s="4">
        <f t="shared" si="483"/>
        <v>0</v>
      </c>
      <c r="AD1005" s="4">
        <f t="shared" si="484"/>
        <v>0</v>
      </c>
      <c r="AE1005" s="4">
        <f t="shared" si="485"/>
        <v>0</v>
      </c>
      <c r="AF1005" s="4">
        <f t="shared" si="486"/>
        <v>0</v>
      </c>
      <c r="AG1005" s="4">
        <f t="shared" si="487"/>
        <v>8.6995147482101913</v>
      </c>
      <c r="AH1005" s="4">
        <f t="shared" si="488"/>
        <v>0</v>
      </c>
      <c r="AI1005" s="4">
        <f t="shared" si="489"/>
        <v>0</v>
      </c>
      <c r="AJ1005" s="4">
        <f t="shared" si="490"/>
        <v>8.6995147482101913</v>
      </c>
      <c r="AK1005" s="4">
        <f t="shared" si="491"/>
        <v>6.2952660014396464</v>
      </c>
      <c r="AL1005" s="4">
        <f t="shared" si="492"/>
        <v>0</v>
      </c>
      <c r="AM1005" s="4">
        <f>CER!$C$7+CER!$C$8*J1005+CER!$C$9*K1005+CER!$C$10*L1005+CER!$C$11*M1005</f>
        <v>2.9968406281754465</v>
      </c>
      <c r="AN1005" s="4">
        <f t="shared" si="493"/>
        <v>20.022179381468565</v>
      </c>
      <c r="AO1005" s="4">
        <f t="shared" si="494"/>
        <v>4.226238907635782E-2</v>
      </c>
      <c r="AP1005" s="4">
        <f>Alternatives!$F$25+Alternatives!$F$26*J1005+Alternatives!$F$27*K1005+Alternatives!$F$28*G1005+Alternatives!$F$29*O1005</f>
        <v>3.2343140719409886</v>
      </c>
      <c r="AQ1005" s="4">
        <f t="shared" si="495"/>
        <v>-0.19521105468918432</v>
      </c>
    </row>
    <row r="1006" spans="1:43" x14ac:dyDescent="0.35">
      <c r="A1006" s="2" t="s">
        <v>857</v>
      </c>
      <c r="B1006" s="2" t="s">
        <v>794</v>
      </c>
      <c r="C1006" s="2" t="s">
        <v>67</v>
      </c>
      <c r="D1006" s="2">
        <v>18.4649</v>
      </c>
      <c r="E1006" s="2">
        <v>3500</v>
      </c>
      <c r="F1006" s="2">
        <v>630</v>
      </c>
      <c r="G1006" s="2">
        <v>46.4</v>
      </c>
      <c r="H1006" s="2" t="s">
        <v>68</v>
      </c>
      <c r="I1006" s="4">
        <f t="shared" si="465"/>
        <v>2.9158716326386296</v>
      </c>
      <c r="J1006" s="4">
        <f t="shared" si="466"/>
        <v>8.1605182474775049</v>
      </c>
      <c r="K1006" s="4">
        <f t="shared" si="467"/>
        <v>6.4457198193855785</v>
      </c>
      <c r="L1006" s="2">
        <v>0</v>
      </c>
      <c r="M1006" s="2">
        <v>0</v>
      </c>
      <c r="N1006" s="4">
        <f t="shared" si="468"/>
        <v>46.4</v>
      </c>
      <c r="O1006" s="4">
        <f t="shared" si="469"/>
        <v>0</v>
      </c>
      <c r="P1006" s="4">
        <f t="shared" si="470"/>
        <v>0</v>
      </c>
      <c r="Q1006" s="4">
        <f t="shared" si="471"/>
        <v>8.1605182474775049</v>
      </c>
      <c r="R1006" s="4">
        <f t="shared" si="472"/>
        <v>6.4457198193855785</v>
      </c>
      <c r="S1006" s="4">
        <f t="shared" si="473"/>
        <v>46.4</v>
      </c>
      <c r="T1006" s="4">
        <f t="shared" si="474"/>
        <v>0</v>
      </c>
      <c r="U1006" s="4">
        <f t="shared" si="475"/>
        <v>8.1605182474775049</v>
      </c>
      <c r="V1006" s="4">
        <f t="shared" si="476"/>
        <v>6.4457198193855785</v>
      </c>
      <c r="W1006" s="4">
        <f t="shared" si="477"/>
        <v>46.4</v>
      </c>
      <c r="X1006" s="4">
        <f t="shared" si="478"/>
        <v>0</v>
      </c>
      <c r="Y1006" s="4">
        <f t="shared" si="479"/>
        <v>8.1605182474775049</v>
      </c>
      <c r="Z1006" s="4">
        <f t="shared" si="480"/>
        <v>6.4457198193855785</v>
      </c>
      <c r="AA1006" s="4">
        <f t="shared" si="481"/>
        <v>46.4</v>
      </c>
      <c r="AB1006" s="4">
        <f t="shared" si="482"/>
        <v>0</v>
      </c>
      <c r="AC1006" s="4">
        <f t="shared" si="483"/>
        <v>0</v>
      </c>
      <c r="AD1006" s="4">
        <f t="shared" si="484"/>
        <v>0</v>
      </c>
      <c r="AE1006" s="4">
        <f t="shared" si="485"/>
        <v>0</v>
      </c>
      <c r="AF1006" s="4">
        <f t="shared" si="486"/>
        <v>0</v>
      </c>
      <c r="AG1006" s="4">
        <f t="shared" si="487"/>
        <v>8.1605182474775049</v>
      </c>
      <c r="AH1006" s="4">
        <f t="shared" si="488"/>
        <v>0</v>
      </c>
      <c r="AI1006" s="4">
        <f t="shared" si="489"/>
        <v>0</v>
      </c>
      <c r="AJ1006" s="4">
        <f t="shared" si="490"/>
        <v>8.1605182474775049</v>
      </c>
      <c r="AK1006" s="4">
        <f t="shared" si="491"/>
        <v>6.4457198193855785</v>
      </c>
      <c r="AL1006" s="4">
        <f t="shared" si="492"/>
        <v>0</v>
      </c>
      <c r="AM1006" s="4">
        <f>CER!$C$7+CER!$C$8*J1006+CER!$C$9*K1006+CER!$C$10*L1006+CER!$C$11*M1006</f>
        <v>3.1853402691447683</v>
      </c>
      <c r="AN1006" s="4">
        <f t="shared" si="493"/>
        <v>24.175513187642697</v>
      </c>
      <c r="AO1006" s="4">
        <f t="shared" si="494"/>
        <v>-0.26946863650613873</v>
      </c>
      <c r="AP1006" s="4">
        <f>Alternatives!$F$25+Alternatives!$F$26*J1006+Alternatives!$F$27*K1006+Alternatives!$F$28*G1006+Alternatives!$F$29*O1006</f>
        <v>3.1456866128023622</v>
      </c>
      <c r="AQ1006" s="4">
        <f t="shared" si="495"/>
        <v>-0.22981498016373259</v>
      </c>
    </row>
    <row r="1007" spans="1:43" x14ac:dyDescent="0.35">
      <c r="A1007" s="2" t="s">
        <v>858</v>
      </c>
      <c r="B1007" s="2" t="s">
        <v>794</v>
      </c>
      <c r="C1007" s="2" t="s">
        <v>67</v>
      </c>
      <c r="D1007" s="2">
        <v>20.442799999999998</v>
      </c>
      <c r="E1007" s="2">
        <v>5500</v>
      </c>
      <c r="F1007" s="2">
        <v>591</v>
      </c>
      <c r="G1007" s="2">
        <v>55</v>
      </c>
      <c r="H1007" s="2" t="s">
        <v>68</v>
      </c>
      <c r="I1007" s="4">
        <f t="shared" si="465"/>
        <v>3.0176307422551067</v>
      </c>
      <c r="J1007" s="4">
        <f t="shared" si="466"/>
        <v>8.6125033712205621</v>
      </c>
      <c r="K1007" s="4">
        <f t="shared" si="467"/>
        <v>6.3818160174060985</v>
      </c>
      <c r="L1007" s="2">
        <v>0</v>
      </c>
      <c r="M1007" s="2">
        <v>0</v>
      </c>
      <c r="N1007" s="4">
        <f t="shared" si="468"/>
        <v>55</v>
      </c>
      <c r="O1007" s="4">
        <f t="shared" si="469"/>
        <v>0</v>
      </c>
      <c r="P1007" s="4">
        <f t="shared" si="470"/>
        <v>0</v>
      </c>
      <c r="Q1007" s="4">
        <f t="shared" si="471"/>
        <v>8.6125033712205621</v>
      </c>
      <c r="R1007" s="4">
        <f t="shared" si="472"/>
        <v>6.3818160174060985</v>
      </c>
      <c r="S1007" s="4">
        <f t="shared" si="473"/>
        <v>55</v>
      </c>
      <c r="T1007" s="4">
        <f t="shared" si="474"/>
        <v>0</v>
      </c>
      <c r="U1007" s="4">
        <f t="shared" si="475"/>
        <v>8.6125033712205621</v>
      </c>
      <c r="V1007" s="4">
        <f t="shared" si="476"/>
        <v>6.3818160174060985</v>
      </c>
      <c r="W1007" s="4">
        <f t="shared" si="477"/>
        <v>55</v>
      </c>
      <c r="X1007" s="4">
        <f t="shared" si="478"/>
        <v>0</v>
      </c>
      <c r="Y1007" s="4">
        <f t="shared" si="479"/>
        <v>8.6125033712205621</v>
      </c>
      <c r="Z1007" s="4">
        <f t="shared" si="480"/>
        <v>6.3818160174060985</v>
      </c>
      <c r="AA1007" s="4">
        <f t="shared" si="481"/>
        <v>55</v>
      </c>
      <c r="AB1007" s="4">
        <f t="shared" si="482"/>
        <v>0</v>
      </c>
      <c r="AC1007" s="4">
        <f t="shared" si="483"/>
        <v>0</v>
      </c>
      <c r="AD1007" s="4">
        <f t="shared" si="484"/>
        <v>0</v>
      </c>
      <c r="AE1007" s="4">
        <f t="shared" si="485"/>
        <v>0</v>
      </c>
      <c r="AF1007" s="4">
        <f t="shared" si="486"/>
        <v>0</v>
      </c>
      <c r="AG1007" s="4">
        <f t="shared" si="487"/>
        <v>8.6125033712205621</v>
      </c>
      <c r="AH1007" s="4">
        <f t="shared" si="488"/>
        <v>0</v>
      </c>
      <c r="AI1007" s="4">
        <f t="shared" si="489"/>
        <v>0</v>
      </c>
      <c r="AJ1007" s="4">
        <f t="shared" si="490"/>
        <v>8.6125033712205621</v>
      </c>
      <c r="AK1007" s="4">
        <f t="shared" si="491"/>
        <v>6.3818160174060985</v>
      </c>
      <c r="AL1007" s="4">
        <f t="shared" si="492"/>
        <v>0</v>
      </c>
      <c r="AM1007" s="4">
        <f>CER!$C$7+CER!$C$8*J1007+CER!$C$9*K1007+CER!$C$10*L1007+CER!$C$11*M1007</f>
        <v>3.0042993877238637</v>
      </c>
      <c r="AN1007" s="4">
        <f t="shared" si="493"/>
        <v>20.172078338303425</v>
      </c>
      <c r="AO1007" s="4">
        <f t="shared" si="494"/>
        <v>1.3331354531243012E-2</v>
      </c>
      <c r="AP1007" s="4">
        <f>Alternatives!$F$25+Alternatives!$F$26*J1007+Alternatives!$F$27*K1007+Alternatives!$F$28*G1007+Alternatives!$F$29*O1007</f>
        <v>3.218102503037727</v>
      </c>
      <c r="AQ1007" s="4">
        <f t="shared" si="495"/>
        <v>-0.2004717607826203</v>
      </c>
    </row>
    <row r="1008" spans="1:43" x14ac:dyDescent="0.35">
      <c r="A1008" s="2" t="s">
        <v>859</v>
      </c>
      <c r="B1008" s="2" t="s">
        <v>794</v>
      </c>
      <c r="C1008" s="2" t="s">
        <v>67</v>
      </c>
      <c r="D1008" s="2">
        <v>20.442799999999998</v>
      </c>
      <c r="E1008" s="2">
        <v>5500</v>
      </c>
      <c r="F1008" s="2">
        <v>591</v>
      </c>
      <c r="G1008" s="2">
        <v>55.5</v>
      </c>
      <c r="H1008" s="2" t="s">
        <v>68</v>
      </c>
      <c r="I1008" s="4">
        <f t="shared" si="465"/>
        <v>3.0176307422551067</v>
      </c>
      <c r="J1008" s="4">
        <f t="shared" si="466"/>
        <v>8.6125033712205621</v>
      </c>
      <c r="K1008" s="4">
        <f t="shared" si="467"/>
        <v>6.3818160174060985</v>
      </c>
      <c r="L1008" s="2">
        <v>0</v>
      </c>
      <c r="M1008" s="2">
        <v>0</v>
      </c>
      <c r="N1008" s="4">
        <f t="shared" si="468"/>
        <v>55.5</v>
      </c>
      <c r="O1008" s="4">
        <f t="shared" si="469"/>
        <v>0</v>
      </c>
      <c r="P1008" s="4">
        <f t="shared" si="470"/>
        <v>0</v>
      </c>
      <c r="Q1008" s="4">
        <f t="shared" si="471"/>
        <v>8.6125033712205621</v>
      </c>
      <c r="R1008" s="4">
        <f t="shared" si="472"/>
        <v>6.3818160174060985</v>
      </c>
      <c r="S1008" s="4">
        <f t="shared" si="473"/>
        <v>55.5</v>
      </c>
      <c r="T1008" s="4">
        <f t="shared" si="474"/>
        <v>0</v>
      </c>
      <c r="U1008" s="4">
        <f t="shared" si="475"/>
        <v>8.6125033712205621</v>
      </c>
      <c r="V1008" s="4">
        <f t="shared" si="476"/>
        <v>6.3818160174060985</v>
      </c>
      <c r="W1008" s="4">
        <f t="shared" si="477"/>
        <v>55.5</v>
      </c>
      <c r="X1008" s="4">
        <f t="shared" si="478"/>
        <v>0</v>
      </c>
      <c r="Y1008" s="4">
        <f t="shared" si="479"/>
        <v>8.6125033712205621</v>
      </c>
      <c r="Z1008" s="4">
        <f t="shared" si="480"/>
        <v>6.3818160174060985</v>
      </c>
      <c r="AA1008" s="4">
        <f t="shared" si="481"/>
        <v>55.5</v>
      </c>
      <c r="AB1008" s="4">
        <f t="shared" si="482"/>
        <v>0</v>
      </c>
      <c r="AC1008" s="4">
        <f t="shared" si="483"/>
        <v>0</v>
      </c>
      <c r="AD1008" s="4">
        <f t="shared" si="484"/>
        <v>0</v>
      </c>
      <c r="AE1008" s="4">
        <f t="shared" si="485"/>
        <v>0</v>
      </c>
      <c r="AF1008" s="4">
        <f t="shared" si="486"/>
        <v>0</v>
      </c>
      <c r="AG1008" s="4">
        <f t="shared" si="487"/>
        <v>8.6125033712205621</v>
      </c>
      <c r="AH1008" s="4">
        <f t="shared" si="488"/>
        <v>0</v>
      </c>
      <c r="AI1008" s="4">
        <f t="shared" si="489"/>
        <v>0</v>
      </c>
      <c r="AJ1008" s="4">
        <f t="shared" si="490"/>
        <v>8.6125033712205621</v>
      </c>
      <c r="AK1008" s="4">
        <f t="shared" si="491"/>
        <v>6.3818160174060985</v>
      </c>
      <c r="AL1008" s="4">
        <f t="shared" si="492"/>
        <v>0</v>
      </c>
      <c r="AM1008" s="4">
        <f>CER!$C$7+CER!$C$8*J1008+CER!$C$9*K1008+CER!$C$10*L1008+CER!$C$11*M1008</f>
        <v>3.0042993877238637</v>
      </c>
      <c r="AN1008" s="4">
        <f t="shared" si="493"/>
        <v>20.172078338303425</v>
      </c>
      <c r="AO1008" s="4">
        <f t="shared" si="494"/>
        <v>1.3331354531243012E-2</v>
      </c>
      <c r="AP1008" s="4">
        <f>Alternatives!$F$25+Alternatives!$F$26*J1008+Alternatives!$F$27*K1008+Alternatives!$F$28*G1008+Alternatives!$F$29*O1008</f>
        <v>3.2115988457666127</v>
      </c>
      <c r="AQ1008" s="4">
        <f t="shared" si="495"/>
        <v>-0.19396810351150595</v>
      </c>
    </row>
    <row r="1009" spans="1:43" x14ac:dyDescent="0.35">
      <c r="A1009" s="2" t="s">
        <v>860</v>
      </c>
      <c r="B1009" s="2" t="s">
        <v>794</v>
      </c>
      <c r="C1009" s="2" t="s">
        <v>67</v>
      </c>
      <c r="D1009" s="2">
        <v>18.4617</v>
      </c>
      <c r="E1009" s="2">
        <v>4000</v>
      </c>
      <c r="F1009" s="2">
        <v>630</v>
      </c>
      <c r="G1009" s="2">
        <v>46.4</v>
      </c>
      <c r="H1009" s="2" t="s">
        <v>68</v>
      </c>
      <c r="I1009" s="4">
        <f t="shared" si="465"/>
        <v>2.9156983158421736</v>
      </c>
      <c r="J1009" s="4">
        <f t="shared" si="466"/>
        <v>8.2940496401020276</v>
      </c>
      <c r="K1009" s="4">
        <f t="shared" si="467"/>
        <v>6.4457198193855785</v>
      </c>
      <c r="L1009" s="2">
        <v>0</v>
      </c>
      <c r="M1009" s="2">
        <v>0</v>
      </c>
      <c r="N1009" s="4">
        <f t="shared" si="468"/>
        <v>46.4</v>
      </c>
      <c r="O1009" s="4">
        <f t="shared" si="469"/>
        <v>0</v>
      </c>
      <c r="P1009" s="4">
        <f t="shared" si="470"/>
        <v>0</v>
      </c>
      <c r="Q1009" s="4">
        <f t="shared" si="471"/>
        <v>8.2940496401020276</v>
      </c>
      <c r="R1009" s="4">
        <f t="shared" si="472"/>
        <v>6.4457198193855785</v>
      </c>
      <c r="S1009" s="4">
        <f t="shared" si="473"/>
        <v>46.4</v>
      </c>
      <c r="T1009" s="4">
        <f t="shared" si="474"/>
        <v>0</v>
      </c>
      <c r="U1009" s="4">
        <f t="shared" si="475"/>
        <v>8.2940496401020276</v>
      </c>
      <c r="V1009" s="4">
        <f t="shared" si="476"/>
        <v>6.4457198193855785</v>
      </c>
      <c r="W1009" s="4">
        <f t="shared" si="477"/>
        <v>46.4</v>
      </c>
      <c r="X1009" s="4">
        <f t="shared" si="478"/>
        <v>0</v>
      </c>
      <c r="Y1009" s="4">
        <f t="shared" si="479"/>
        <v>8.2940496401020276</v>
      </c>
      <c r="Z1009" s="4">
        <f t="shared" si="480"/>
        <v>6.4457198193855785</v>
      </c>
      <c r="AA1009" s="4">
        <f t="shared" si="481"/>
        <v>46.4</v>
      </c>
      <c r="AB1009" s="4">
        <f t="shared" si="482"/>
        <v>0</v>
      </c>
      <c r="AC1009" s="4">
        <f t="shared" si="483"/>
        <v>0</v>
      </c>
      <c r="AD1009" s="4">
        <f t="shared" si="484"/>
        <v>0</v>
      </c>
      <c r="AE1009" s="4">
        <f t="shared" si="485"/>
        <v>0</v>
      </c>
      <c r="AF1009" s="4">
        <f t="shared" si="486"/>
        <v>0</v>
      </c>
      <c r="AG1009" s="4">
        <f t="shared" si="487"/>
        <v>8.2940496401020276</v>
      </c>
      <c r="AH1009" s="4">
        <f t="shared" si="488"/>
        <v>0</v>
      </c>
      <c r="AI1009" s="4">
        <f t="shared" si="489"/>
        <v>0</v>
      </c>
      <c r="AJ1009" s="4">
        <f t="shared" si="490"/>
        <v>8.2940496401020276</v>
      </c>
      <c r="AK1009" s="4">
        <f t="shared" si="491"/>
        <v>6.4457198193855785</v>
      </c>
      <c r="AL1009" s="4">
        <f t="shared" si="492"/>
        <v>0</v>
      </c>
      <c r="AM1009" s="4">
        <f>CER!$C$7+CER!$C$8*J1009+CER!$C$9*K1009+CER!$C$10*L1009+CER!$C$11*M1009</f>
        <v>3.1248893899473784</v>
      </c>
      <c r="AN1009" s="4">
        <f t="shared" si="493"/>
        <v>22.757377759556558</v>
      </c>
      <c r="AO1009" s="4">
        <f t="shared" si="494"/>
        <v>-0.20919107410520477</v>
      </c>
      <c r="AP1009" s="4">
        <f>Alternatives!$F$25+Alternatives!$F$26*J1009+Alternatives!$F$27*K1009+Alternatives!$F$28*G1009+Alternatives!$F$29*O1009</f>
        <v>3.195104708848084</v>
      </c>
      <c r="AQ1009" s="4">
        <f t="shared" si="495"/>
        <v>-0.2794063930059103</v>
      </c>
    </row>
    <row r="1010" spans="1:43" x14ac:dyDescent="0.35">
      <c r="A1010" s="2" t="s">
        <v>861</v>
      </c>
      <c r="B1010" s="2" t="s">
        <v>794</v>
      </c>
      <c r="C1010" s="2" t="s">
        <v>67</v>
      </c>
      <c r="D1010" s="2">
        <v>18.4617</v>
      </c>
      <c r="E1010" s="2">
        <v>4000</v>
      </c>
      <c r="F1010" s="2">
        <v>602</v>
      </c>
      <c r="G1010" s="2">
        <v>47.4</v>
      </c>
      <c r="H1010" s="2" t="s">
        <v>68</v>
      </c>
      <c r="I1010" s="4">
        <f t="shared" si="465"/>
        <v>2.9156983158421736</v>
      </c>
      <c r="J1010" s="4">
        <f t="shared" si="466"/>
        <v>8.2940496401020276</v>
      </c>
      <c r="K1010" s="4">
        <f t="shared" si="467"/>
        <v>6.4002574453088208</v>
      </c>
      <c r="L1010" s="2">
        <v>0</v>
      </c>
      <c r="M1010" s="2">
        <v>0</v>
      </c>
      <c r="N1010" s="4">
        <f t="shared" si="468"/>
        <v>47.4</v>
      </c>
      <c r="O1010" s="4">
        <f t="shared" si="469"/>
        <v>0</v>
      </c>
      <c r="P1010" s="4">
        <f t="shared" si="470"/>
        <v>0</v>
      </c>
      <c r="Q1010" s="4">
        <f t="shared" si="471"/>
        <v>8.2940496401020276</v>
      </c>
      <c r="R1010" s="4">
        <f t="shared" si="472"/>
        <v>6.4002574453088208</v>
      </c>
      <c r="S1010" s="4">
        <f t="shared" si="473"/>
        <v>47.4</v>
      </c>
      <c r="T1010" s="4">
        <f t="shared" si="474"/>
        <v>0</v>
      </c>
      <c r="U1010" s="4">
        <f t="shared" si="475"/>
        <v>8.2940496401020276</v>
      </c>
      <c r="V1010" s="4">
        <f t="shared" si="476"/>
        <v>6.4002574453088208</v>
      </c>
      <c r="W1010" s="4">
        <f t="shared" si="477"/>
        <v>47.4</v>
      </c>
      <c r="X1010" s="4">
        <f t="shared" si="478"/>
        <v>0</v>
      </c>
      <c r="Y1010" s="4">
        <f t="shared" si="479"/>
        <v>8.2940496401020276</v>
      </c>
      <c r="Z1010" s="4">
        <f t="shared" si="480"/>
        <v>6.4002574453088208</v>
      </c>
      <c r="AA1010" s="4">
        <f t="shared" si="481"/>
        <v>47.4</v>
      </c>
      <c r="AB1010" s="4">
        <f t="shared" si="482"/>
        <v>0</v>
      </c>
      <c r="AC1010" s="4">
        <f t="shared" si="483"/>
        <v>0</v>
      </c>
      <c r="AD1010" s="4">
        <f t="shared" si="484"/>
        <v>0</v>
      </c>
      <c r="AE1010" s="4">
        <f t="shared" si="485"/>
        <v>0</v>
      </c>
      <c r="AF1010" s="4">
        <f t="shared" si="486"/>
        <v>0</v>
      </c>
      <c r="AG1010" s="4">
        <f t="shared" si="487"/>
        <v>8.2940496401020276</v>
      </c>
      <c r="AH1010" s="4">
        <f t="shared" si="488"/>
        <v>0</v>
      </c>
      <c r="AI1010" s="4">
        <f t="shared" si="489"/>
        <v>0</v>
      </c>
      <c r="AJ1010" s="4">
        <f t="shared" si="490"/>
        <v>8.2940496401020276</v>
      </c>
      <c r="AK1010" s="4">
        <f t="shared" si="491"/>
        <v>6.4002574453088208</v>
      </c>
      <c r="AL1010" s="4">
        <f t="shared" si="492"/>
        <v>0</v>
      </c>
      <c r="AM1010" s="4">
        <f>CER!$C$7+CER!$C$8*J1010+CER!$C$9*K1010+CER!$C$10*L1010+CER!$C$11*M1010</f>
        <v>3.1416624470804861</v>
      </c>
      <c r="AN1010" s="4">
        <f t="shared" si="493"/>
        <v>23.14230775885715</v>
      </c>
      <c r="AO1010" s="4">
        <f t="shared" si="494"/>
        <v>-0.22596413123831249</v>
      </c>
      <c r="AP1010" s="4">
        <f>Alternatives!$F$25+Alternatives!$F$26*J1010+Alternatives!$F$27*K1010+Alternatives!$F$28*G1010+Alternatives!$F$29*O1010</f>
        <v>3.1941953852125224</v>
      </c>
      <c r="AQ1010" s="4">
        <f t="shared" si="495"/>
        <v>-0.27849706937034879</v>
      </c>
    </row>
    <row r="1011" spans="1:43" x14ac:dyDescent="0.35">
      <c r="A1011" s="2" t="s">
        <v>862</v>
      </c>
      <c r="B1011" s="2" t="s">
        <v>794</v>
      </c>
      <c r="C1011" s="2" t="s">
        <v>33</v>
      </c>
      <c r="D1011" s="2">
        <v>14.853300000000001</v>
      </c>
      <c r="E1011" s="2">
        <v>4500</v>
      </c>
      <c r="F1011" s="2">
        <v>1001</v>
      </c>
      <c r="G1011" s="2">
        <v>51.2</v>
      </c>
      <c r="H1011" s="2" t="s">
        <v>68</v>
      </c>
      <c r="I1011" s="4">
        <f t="shared" si="465"/>
        <v>2.6982220627832301</v>
      </c>
      <c r="J1011" s="4">
        <f t="shared" si="466"/>
        <v>8.4118326757584114</v>
      </c>
      <c r="K1011" s="4">
        <f t="shared" si="467"/>
        <v>6.9087547793152204</v>
      </c>
      <c r="L1011" s="2">
        <v>1</v>
      </c>
      <c r="M1011" s="2">
        <v>0</v>
      </c>
      <c r="N1011" s="4">
        <f t="shared" si="468"/>
        <v>51.2</v>
      </c>
      <c r="O1011" s="4">
        <f t="shared" si="469"/>
        <v>1</v>
      </c>
      <c r="P1011" s="4">
        <f t="shared" si="470"/>
        <v>1</v>
      </c>
      <c r="Q1011" s="4">
        <f t="shared" si="471"/>
        <v>8.4118326757584114</v>
      </c>
      <c r="R1011" s="4">
        <f t="shared" si="472"/>
        <v>6.9087547793152204</v>
      </c>
      <c r="S1011" s="4">
        <f t="shared" si="473"/>
        <v>51.2</v>
      </c>
      <c r="T1011" s="4">
        <f t="shared" si="474"/>
        <v>1</v>
      </c>
      <c r="U1011" s="4">
        <f t="shared" si="475"/>
        <v>8.4118326757584114</v>
      </c>
      <c r="V1011" s="4">
        <f t="shared" si="476"/>
        <v>6.9087547793152204</v>
      </c>
      <c r="W1011" s="4">
        <f t="shared" si="477"/>
        <v>51.2</v>
      </c>
      <c r="X1011" s="4">
        <f t="shared" si="478"/>
        <v>1</v>
      </c>
      <c r="Y1011" s="4">
        <f t="shared" si="479"/>
        <v>8.4118326757584114</v>
      </c>
      <c r="Z1011" s="4">
        <f t="shared" si="480"/>
        <v>6.9087547793152204</v>
      </c>
      <c r="AA1011" s="4">
        <f t="shared" si="481"/>
        <v>51.2</v>
      </c>
      <c r="AB1011" s="4">
        <f t="shared" si="482"/>
        <v>1</v>
      </c>
      <c r="AC1011" s="4">
        <f t="shared" si="483"/>
        <v>0</v>
      </c>
      <c r="AD1011" s="4">
        <f t="shared" si="484"/>
        <v>0</v>
      </c>
      <c r="AE1011" s="4">
        <f t="shared" si="485"/>
        <v>0</v>
      </c>
      <c r="AF1011" s="4">
        <f t="shared" si="486"/>
        <v>0</v>
      </c>
      <c r="AG1011" s="4">
        <f t="shared" si="487"/>
        <v>8.4118326757584114</v>
      </c>
      <c r="AH1011" s="4">
        <f t="shared" si="488"/>
        <v>1</v>
      </c>
      <c r="AI1011" s="4">
        <f t="shared" si="489"/>
        <v>0</v>
      </c>
      <c r="AJ1011" s="4">
        <f t="shared" si="490"/>
        <v>8.4118326757584114</v>
      </c>
      <c r="AK1011" s="4">
        <f t="shared" si="491"/>
        <v>6.9087547793152204</v>
      </c>
      <c r="AL1011" s="4">
        <f t="shared" si="492"/>
        <v>0</v>
      </c>
      <c r="AM1011" s="4">
        <f>CER!$C$7+CER!$C$8*J1011+CER!$C$9*K1011+CER!$C$10*L1011+CER!$C$11*M1011</f>
        <v>3.1244876677709224</v>
      </c>
      <c r="AN1011" s="4">
        <f t="shared" si="493"/>
        <v>22.748237452287544</v>
      </c>
      <c r="AO1011" s="4">
        <f t="shared" si="494"/>
        <v>-0.42626560498769228</v>
      </c>
      <c r="AP1011" s="4">
        <f>Alternatives!$F$25+Alternatives!$F$26*J1011+Alternatives!$F$27*K1011+Alternatives!$F$28*G1011+Alternatives!$F$29*O1011</f>
        <v>3.8977811595797092</v>
      </c>
      <c r="AQ1011" s="4">
        <f t="shared" si="495"/>
        <v>-1.1995590967964791</v>
      </c>
    </row>
    <row r="1012" spans="1:43" x14ac:dyDescent="0.35">
      <c r="A1012" s="2" t="s">
        <v>863</v>
      </c>
      <c r="B1012" s="2" t="s">
        <v>794</v>
      </c>
      <c r="C1012" s="2" t="s">
        <v>67</v>
      </c>
      <c r="D1012" s="2">
        <v>11.243399999999999</v>
      </c>
      <c r="E1012" s="2">
        <v>4500</v>
      </c>
      <c r="F1012" s="2">
        <v>1600</v>
      </c>
      <c r="G1012" s="2">
        <v>49.8</v>
      </c>
      <c r="H1012" s="2" t="s">
        <v>68</v>
      </c>
      <c r="I1012" s="4">
        <f t="shared" si="465"/>
        <v>2.4197812898275379</v>
      </c>
      <c r="J1012" s="4">
        <f t="shared" si="466"/>
        <v>8.4118326757584114</v>
      </c>
      <c r="K1012" s="4">
        <f t="shared" si="467"/>
        <v>7.3777589082278725</v>
      </c>
      <c r="L1012" s="2">
        <v>0</v>
      </c>
      <c r="M1012" s="2">
        <v>0</v>
      </c>
      <c r="N1012" s="4">
        <f t="shared" si="468"/>
        <v>49.8</v>
      </c>
      <c r="O1012" s="4">
        <f t="shared" si="469"/>
        <v>0</v>
      </c>
      <c r="P1012" s="4">
        <f t="shared" si="470"/>
        <v>0</v>
      </c>
      <c r="Q1012" s="4">
        <f t="shared" si="471"/>
        <v>8.4118326757584114</v>
      </c>
      <c r="R1012" s="4">
        <f t="shared" si="472"/>
        <v>7.3777589082278725</v>
      </c>
      <c r="S1012" s="4">
        <f t="shared" si="473"/>
        <v>49.8</v>
      </c>
      <c r="T1012" s="4">
        <f t="shared" si="474"/>
        <v>0</v>
      </c>
      <c r="U1012" s="4">
        <f t="shared" si="475"/>
        <v>8.4118326757584114</v>
      </c>
      <c r="V1012" s="4">
        <f t="shared" si="476"/>
        <v>7.3777589082278725</v>
      </c>
      <c r="W1012" s="4">
        <f t="shared" si="477"/>
        <v>49.8</v>
      </c>
      <c r="X1012" s="4">
        <f t="shared" si="478"/>
        <v>0</v>
      </c>
      <c r="Y1012" s="4">
        <f t="shared" si="479"/>
        <v>8.4118326757584114</v>
      </c>
      <c r="Z1012" s="4">
        <f t="shared" si="480"/>
        <v>7.3777589082278725</v>
      </c>
      <c r="AA1012" s="4">
        <f t="shared" si="481"/>
        <v>49.8</v>
      </c>
      <c r="AB1012" s="4">
        <f t="shared" si="482"/>
        <v>0</v>
      </c>
      <c r="AC1012" s="4">
        <f t="shared" si="483"/>
        <v>0</v>
      </c>
      <c r="AD1012" s="4">
        <f t="shared" si="484"/>
        <v>0</v>
      </c>
      <c r="AE1012" s="4">
        <f t="shared" si="485"/>
        <v>0</v>
      </c>
      <c r="AF1012" s="4">
        <f t="shared" si="486"/>
        <v>0</v>
      </c>
      <c r="AG1012" s="4">
        <f t="shared" si="487"/>
        <v>8.4118326757584114</v>
      </c>
      <c r="AH1012" s="4">
        <f t="shared" si="488"/>
        <v>0</v>
      </c>
      <c r="AI1012" s="4">
        <f t="shared" si="489"/>
        <v>0</v>
      </c>
      <c r="AJ1012" s="4">
        <f t="shared" si="490"/>
        <v>8.4118326757584114</v>
      </c>
      <c r="AK1012" s="4">
        <f t="shared" si="491"/>
        <v>7.3777589082278725</v>
      </c>
      <c r="AL1012" s="4">
        <f t="shared" si="492"/>
        <v>0</v>
      </c>
      <c r="AM1012" s="4">
        <f>CER!$C$7+CER!$C$8*J1012+CER!$C$9*K1012+CER!$C$10*L1012+CER!$C$11*M1012</f>
        <v>2.7276979726615203</v>
      </c>
      <c r="AN1012" s="4">
        <f t="shared" si="493"/>
        <v>15.297630890665717</v>
      </c>
      <c r="AO1012" s="4">
        <f t="shared" si="494"/>
        <v>-0.30791668283398232</v>
      </c>
      <c r="AP1012" s="4">
        <f>Alternatives!$F$25+Alternatives!$F$26*J1012+Alternatives!$F$27*K1012+Alternatives!$F$28*G1012+Alternatives!$F$29*O1012</f>
        <v>2.9464447973358503</v>
      </c>
      <c r="AQ1012" s="4">
        <f t="shared" si="495"/>
        <v>-0.52666350750831237</v>
      </c>
    </row>
    <row r="1013" spans="1:43" x14ac:dyDescent="0.35">
      <c r="A1013" s="2" t="s">
        <v>864</v>
      </c>
      <c r="B1013" s="2" t="s">
        <v>865</v>
      </c>
      <c r="C1013" s="2" t="s">
        <v>33</v>
      </c>
      <c r="D1013" s="2">
        <v>40.449399999999997</v>
      </c>
      <c r="E1013" s="2">
        <v>4000</v>
      </c>
      <c r="F1013" s="2">
        <v>247</v>
      </c>
      <c r="G1013" s="2">
        <v>49.4</v>
      </c>
      <c r="H1013" s="2" t="s">
        <v>68</v>
      </c>
      <c r="I1013" s="4">
        <f t="shared" si="465"/>
        <v>3.7000518102671709</v>
      </c>
      <c r="J1013" s="4">
        <f t="shared" si="466"/>
        <v>8.2940496401020276</v>
      </c>
      <c r="K1013" s="4">
        <f t="shared" si="467"/>
        <v>5.5093883366279774</v>
      </c>
      <c r="L1013" s="2">
        <v>1</v>
      </c>
      <c r="M1013" s="2">
        <v>0</v>
      </c>
      <c r="N1013" s="4">
        <f t="shared" si="468"/>
        <v>49.4</v>
      </c>
      <c r="O1013" s="4">
        <f t="shared" si="469"/>
        <v>1</v>
      </c>
      <c r="P1013" s="4">
        <f t="shared" si="470"/>
        <v>1</v>
      </c>
      <c r="Q1013" s="4">
        <f t="shared" si="471"/>
        <v>8.2940496401020276</v>
      </c>
      <c r="R1013" s="4">
        <f t="shared" si="472"/>
        <v>5.5093883366279774</v>
      </c>
      <c r="S1013" s="4">
        <f t="shared" si="473"/>
        <v>49.4</v>
      </c>
      <c r="T1013" s="4">
        <f t="shared" si="474"/>
        <v>1</v>
      </c>
      <c r="U1013" s="4">
        <f t="shared" si="475"/>
        <v>8.2940496401020276</v>
      </c>
      <c r="V1013" s="4">
        <f t="shared" si="476"/>
        <v>5.5093883366279774</v>
      </c>
      <c r="W1013" s="4">
        <f t="shared" si="477"/>
        <v>49.4</v>
      </c>
      <c r="X1013" s="4">
        <f t="shared" si="478"/>
        <v>1</v>
      </c>
      <c r="Y1013" s="4">
        <f t="shared" si="479"/>
        <v>8.2940496401020276</v>
      </c>
      <c r="Z1013" s="4">
        <f t="shared" si="480"/>
        <v>5.5093883366279774</v>
      </c>
      <c r="AA1013" s="4">
        <f t="shared" si="481"/>
        <v>49.4</v>
      </c>
      <c r="AB1013" s="4">
        <f t="shared" si="482"/>
        <v>1</v>
      </c>
      <c r="AC1013" s="4">
        <f t="shared" si="483"/>
        <v>0</v>
      </c>
      <c r="AD1013" s="4">
        <f t="shared" si="484"/>
        <v>0</v>
      </c>
      <c r="AE1013" s="4">
        <f t="shared" si="485"/>
        <v>0</v>
      </c>
      <c r="AF1013" s="4">
        <f t="shared" si="486"/>
        <v>0</v>
      </c>
      <c r="AG1013" s="4">
        <f t="shared" si="487"/>
        <v>8.2940496401020276</v>
      </c>
      <c r="AH1013" s="4">
        <f t="shared" si="488"/>
        <v>1</v>
      </c>
      <c r="AI1013" s="4">
        <f t="shared" si="489"/>
        <v>0</v>
      </c>
      <c r="AJ1013" s="4">
        <f t="shared" si="490"/>
        <v>8.2940496401020276</v>
      </c>
      <c r="AK1013" s="4">
        <f t="shared" si="491"/>
        <v>5.5093883366279774</v>
      </c>
      <c r="AL1013" s="4">
        <f t="shared" si="492"/>
        <v>0</v>
      </c>
      <c r="AM1013" s="4">
        <f>CER!$C$7+CER!$C$8*J1013+CER!$C$9*K1013+CER!$C$10*L1013+CER!$C$11*M1013</f>
        <v>3.6940965745761578</v>
      </c>
      <c r="AN1013" s="4">
        <f t="shared" si="493"/>
        <v>40.20923013331916</v>
      </c>
      <c r="AO1013" s="4">
        <f t="shared" si="494"/>
        <v>5.9552356910130833E-3</v>
      </c>
      <c r="AP1013" s="4">
        <f>Alternatives!$F$25+Alternatives!$F$26*J1013+Alternatives!$F$27*K1013+Alternatives!$F$28*G1013+Alternatives!$F$29*O1013</f>
        <v>4.2499898349594023</v>
      </c>
      <c r="AQ1013" s="4">
        <f t="shared" si="495"/>
        <v>-0.54993802469223141</v>
      </c>
    </row>
    <row r="1014" spans="1:43" x14ac:dyDescent="0.35">
      <c r="A1014" s="2" t="s">
        <v>866</v>
      </c>
      <c r="B1014" s="2" t="s">
        <v>865</v>
      </c>
      <c r="C1014" s="2" t="s">
        <v>33</v>
      </c>
      <c r="D1014" s="2">
        <v>37.750900000000001</v>
      </c>
      <c r="E1014" s="2">
        <v>4000</v>
      </c>
      <c r="F1014" s="2">
        <v>247</v>
      </c>
      <c r="G1014" s="2">
        <v>49.4</v>
      </c>
      <c r="H1014" s="2" t="s">
        <v>68</v>
      </c>
      <c r="I1014" s="4">
        <f t="shared" si="465"/>
        <v>3.6310093164704429</v>
      </c>
      <c r="J1014" s="4">
        <f t="shared" si="466"/>
        <v>8.2940496401020276</v>
      </c>
      <c r="K1014" s="4">
        <f t="shared" si="467"/>
        <v>5.5093883366279774</v>
      </c>
      <c r="L1014" s="2">
        <v>1</v>
      </c>
      <c r="M1014" s="2">
        <v>0</v>
      </c>
      <c r="N1014" s="4">
        <f t="shared" si="468"/>
        <v>49.4</v>
      </c>
      <c r="O1014" s="4">
        <f t="shared" si="469"/>
        <v>1</v>
      </c>
      <c r="P1014" s="4">
        <f t="shared" si="470"/>
        <v>1</v>
      </c>
      <c r="Q1014" s="4">
        <f t="shared" si="471"/>
        <v>8.2940496401020276</v>
      </c>
      <c r="R1014" s="4">
        <f t="shared" si="472"/>
        <v>5.5093883366279774</v>
      </c>
      <c r="S1014" s="4">
        <f t="shared" si="473"/>
        <v>49.4</v>
      </c>
      <c r="T1014" s="4">
        <f t="shared" si="474"/>
        <v>1</v>
      </c>
      <c r="U1014" s="4">
        <f t="shared" si="475"/>
        <v>8.2940496401020276</v>
      </c>
      <c r="V1014" s="4">
        <f t="shared" si="476"/>
        <v>5.5093883366279774</v>
      </c>
      <c r="W1014" s="4">
        <f t="shared" si="477"/>
        <v>49.4</v>
      </c>
      <c r="X1014" s="4">
        <f t="shared" si="478"/>
        <v>1</v>
      </c>
      <c r="Y1014" s="4">
        <f t="shared" si="479"/>
        <v>8.2940496401020276</v>
      </c>
      <c r="Z1014" s="4">
        <f t="shared" si="480"/>
        <v>5.5093883366279774</v>
      </c>
      <c r="AA1014" s="4">
        <f t="shared" si="481"/>
        <v>49.4</v>
      </c>
      <c r="AB1014" s="4">
        <f t="shared" si="482"/>
        <v>1</v>
      </c>
      <c r="AC1014" s="4">
        <f t="shared" si="483"/>
        <v>0</v>
      </c>
      <c r="AD1014" s="4">
        <f t="shared" si="484"/>
        <v>0</v>
      </c>
      <c r="AE1014" s="4">
        <f t="shared" si="485"/>
        <v>0</v>
      </c>
      <c r="AF1014" s="4">
        <f t="shared" si="486"/>
        <v>0</v>
      </c>
      <c r="AG1014" s="4">
        <f t="shared" si="487"/>
        <v>8.2940496401020276</v>
      </c>
      <c r="AH1014" s="4">
        <f t="shared" si="488"/>
        <v>1</v>
      </c>
      <c r="AI1014" s="4">
        <f t="shared" si="489"/>
        <v>0</v>
      </c>
      <c r="AJ1014" s="4">
        <f t="shared" si="490"/>
        <v>8.2940496401020276</v>
      </c>
      <c r="AK1014" s="4">
        <f t="shared" si="491"/>
        <v>5.5093883366279774</v>
      </c>
      <c r="AL1014" s="4">
        <f t="shared" si="492"/>
        <v>0</v>
      </c>
      <c r="AM1014" s="4">
        <f>CER!$C$7+CER!$C$8*J1014+CER!$C$9*K1014+CER!$C$10*L1014+CER!$C$11*M1014</f>
        <v>3.6940965745761578</v>
      </c>
      <c r="AN1014" s="4">
        <f t="shared" si="493"/>
        <v>40.20923013331916</v>
      </c>
      <c r="AO1014" s="4">
        <f t="shared" si="494"/>
        <v>-6.3087258105714916E-2</v>
      </c>
      <c r="AP1014" s="4">
        <f>Alternatives!$F$25+Alternatives!$F$26*J1014+Alternatives!$F$27*K1014+Alternatives!$F$28*G1014+Alternatives!$F$29*O1014</f>
        <v>4.2499898349594023</v>
      </c>
      <c r="AQ1014" s="4">
        <f t="shared" si="495"/>
        <v>-0.61898051848895941</v>
      </c>
    </row>
    <row r="1015" spans="1:43" x14ac:dyDescent="0.35">
      <c r="A1015" s="2" t="s">
        <v>867</v>
      </c>
      <c r="B1015" s="2" t="s">
        <v>865</v>
      </c>
      <c r="C1015" s="2" t="s">
        <v>33</v>
      </c>
      <c r="D1015" s="2">
        <v>42.271299999999997</v>
      </c>
      <c r="E1015" s="2">
        <v>4500</v>
      </c>
      <c r="F1015" s="2">
        <v>312</v>
      </c>
      <c r="G1015" s="2">
        <v>49.4</v>
      </c>
      <c r="H1015" s="2" t="s">
        <v>68</v>
      </c>
      <c r="I1015" s="4">
        <f t="shared" si="465"/>
        <v>3.7441083687781278</v>
      </c>
      <c r="J1015" s="4">
        <f t="shared" si="466"/>
        <v>8.4118326757584114</v>
      </c>
      <c r="K1015" s="4">
        <f t="shared" si="467"/>
        <v>5.7430031878094825</v>
      </c>
      <c r="L1015" s="2">
        <v>1</v>
      </c>
      <c r="M1015" s="2">
        <v>0</v>
      </c>
      <c r="N1015" s="4">
        <f t="shared" si="468"/>
        <v>49.4</v>
      </c>
      <c r="O1015" s="4">
        <f t="shared" si="469"/>
        <v>1</v>
      </c>
      <c r="P1015" s="4">
        <f t="shared" si="470"/>
        <v>1</v>
      </c>
      <c r="Q1015" s="4">
        <f t="shared" si="471"/>
        <v>8.4118326757584114</v>
      </c>
      <c r="R1015" s="4">
        <f t="shared" si="472"/>
        <v>5.7430031878094825</v>
      </c>
      <c r="S1015" s="4">
        <f t="shared" si="473"/>
        <v>49.4</v>
      </c>
      <c r="T1015" s="4">
        <f t="shared" si="474"/>
        <v>1</v>
      </c>
      <c r="U1015" s="4">
        <f t="shared" si="475"/>
        <v>8.4118326757584114</v>
      </c>
      <c r="V1015" s="4">
        <f t="shared" si="476"/>
        <v>5.7430031878094825</v>
      </c>
      <c r="W1015" s="4">
        <f t="shared" si="477"/>
        <v>49.4</v>
      </c>
      <c r="X1015" s="4">
        <f t="shared" si="478"/>
        <v>1</v>
      </c>
      <c r="Y1015" s="4">
        <f t="shared" si="479"/>
        <v>8.4118326757584114</v>
      </c>
      <c r="Z1015" s="4">
        <f t="shared" si="480"/>
        <v>5.7430031878094825</v>
      </c>
      <c r="AA1015" s="4">
        <f t="shared" si="481"/>
        <v>49.4</v>
      </c>
      <c r="AB1015" s="4">
        <f t="shared" si="482"/>
        <v>1</v>
      </c>
      <c r="AC1015" s="4">
        <f t="shared" si="483"/>
        <v>0</v>
      </c>
      <c r="AD1015" s="4">
        <f t="shared" si="484"/>
        <v>0</v>
      </c>
      <c r="AE1015" s="4">
        <f t="shared" si="485"/>
        <v>0</v>
      </c>
      <c r="AF1015" s="4">
        <f t="shared" si="486"/>
        <v>0</v>
      </c>
      <c r="AG1015" s="4">
        <f t="shared" si="487"/>
        <v>8.4118326757584114</v>
      </c>
      <c r="AH1015" s="4">
        <f t="shared" si="488"/>
        <v>1</v>
      </c>
      <c r="AI1015" s="4">
        <f t="shared" si="489"/>
        <v>0</v>
      </c>
      <c r="AJ1015" s="4">
        <f t="shared" si="490"/>
        <v>8.4118326757584114</v>
      </c>
      <c r="AK1015" s="4">
        <f t="shared" si="491"/>
        <v>5.7430031878094825</v>
      </c>
      <c r="AL1015" s="4">
        <f t="shared" si="492"/>
        <v>0</v>
      </c>
      <c r="AM1015" s="4">
        <f>CER!$C$7+CER!$C$8*J1015+CER!$C$9*K1015+CER!$C$10*L1015+CER!$C$11*M1015</f>
        <v>3.554584389387875</v>
      </c>
      <c r="AN1015" s="4">
        <f t="shared" si="493"/>
        <v>34.973281679762529</v>
      </c>
      <c r="AO1015" s="4">
        <f t="shared" si="494"/>
        <v>0.18952397939025278</v>
      </c>
      <c r="AP1015" s="4">
        <f>Alternatives!$F$25+Alternatives!$F$26*J1015+Alternatives!$F$27*K1015+Alternatives!$F$28*G1015+Alternatives!$F$29*O1015</f>
        <v>4.2314124443620447</v>
      </c>
      <c r="AQ1015" s="4">
        <f t="shared" si="495"/>
        <v>-0.48730407558391686</v>
      </c>
    </row>
    <row r="1016" spans="1:43" x14ac:dyDescent="0.35">
      <c r="A1016" s="2" t="s">
        <v>868</v>
      </c>
      <c r="B1016" s="2" t="s">
        <v>865</v>
      </c>
      <c r="C1016" s="2" t="s">
        <v>33</v>
      </c>
      <c r="D1016" s="2">
        <v>42.271299999999997</v>
      </c>
      <c r="E1016" s="2">
        <v>4500</v>
      </c>
      <c r="F1016" s="2">
        <v>312</v>
      </c>
      <c r="G1016" s="2">
        <v>49.4</v>
      </c>
      <c r="H1016" s="2" t="s">
        <v>68</v>
      </c>
      <c r="I1016" s="4">
        <f t="shared" si="465"/>
        <v>3.7441083687781278</v>
      </c>
      <c r="J1016" s="4">
        <f t="shared" si="466"/>
        <v>8.4118326757584114</v>
      </c>
      <c r="K1016" s="4">
        <f t="shared" si="467"/>
        <v>5.7430031878094825</v>
      </c>
      <c r="L1016" s="2">
        <v>1</v>
      </c>
      <c r="M1016" s="2">
        <v>0</v>
      </c>
      <c r="N1016" s="4">
        <f t="shared" si="468"/>
        <v>49.4</v>
      </c>
      <c r="O1016" s="4">
        <f t="shared" si="469"/>
        <v>1</v>
      </c>
      <c r="P1016" s="4">
        <f t="shared" si="470"/>
        <v>1</v>
      </c>
      <c r="Q1016" s="4">
        <f t="shared" si="471"/>
        <v>8.4118326757584114</v>
      </c>
      <c r="R1016" s="4">
        <f t="shared" si="472"/>
        <v>5.7430031878094825</v>
      </c>
      <c r="S1016" s="4">
        <f t="shared" si="473"/>
        <v>49.4</v>
      </c>
      <c r="T1016" s="4">
        <f t="shared" si="474"/>
        <v>1</v>
      </c>
      <c r="U1016" s="4">
        <f t="shared" si="475"/>
        <v>8.4118326757584114</v>
      </c>
      <c r="V1016" s="4">
        <f t="shared" si="476"/>
        <v>5.7430031878094825</v>
      </c>
      <c r="W1016" s="4">
        <f t="shared" si="477"/>
        <v>49.4</v>
      </c>
      <c r="X1016" s="4">
        <f t="shared" si="478"/>
        <v>1</v>
      </c>
      <c r="Y1016" s="4">
        <f t="shared" si="479"/>
        <v>8.4118326757584114</v>
      </c>
      <c r="Z1016" s="4">
        <f t="shared" si="480"/>
        <v>5.7430031878094825</v>
      </c>
      <c r="AA1016" s="4">
        <f t="shared" si="481"/>
        <v>49.4</v>
      </c>
      <c r="AB1016" s="4">
        <f t="shared" si="482"/>
        <v>1</v>
      </c>
      <c r="AC1016" s="4">
        <f t="shared" si="483"/>
        <v>0</v>
      </c>
      <c r="AD1016" s="4">
        <f t="shared" si="484"/>
        <v>0</v>
      </c>
      <c r="AE1016" s="4">
        <f t="shared" si="485"/>
        <v>0</v>
      </c>
      <c r="AF1016" s="4">
        <f t="shared" si="486"/>
        <v>0</v>
      </c>
      <c r="AG1016" s="4">
        <f t="shared" si="487"/>
        <v>8.4118326757584114</v>
      </c>
      <c r="AH1016" s="4">
        <f t="shared" si="488"/>
        <v>1</v>
      </c>
      <c r="AI1016" s="4">
        <f t="shared" si="489"/>
        <v>0</v>
      </c>
      <c r="AJ1016" s="4">
        <f t="shared" si="490"/>
        <v>8.4118326757584114</v>
      </c>
      <c r="AK1016" s="4">
        <f t="shared" si="491"/>
        <v>5.7430031878094825</v>
      </c>
      <c r="AL1016" s="4">
        <f t="shared" si="492"/>
        <v>0</v>
      </c>
      <c r="AM1016" s="4">
        <f>CER!$C$7+CER!$C$8*J1016+CER!$C$9*K1016+CER!$C$10*L1016+CER!$C$11*M1016</f>
        <v>3.554584389387875</v>
      </c>
      <c r="AN1016" s="4">
        <f t="shared" si="493"/>
        <v>34.973281679762529</v>
      </c>
      <c r="AO1016" s="4">
        <f t="shared" si="494"/>
        <v>0.18952397939025278</v>
      </c>
      <c r="AP1016" s="4">
        <f>Alternatives!$F$25+Alternatives!$F$26*J1016+Alternatives!$F$27*K1016+Alternatives!$F$28*G1016+Alternatives!$F$29*O1016</f>
        <v>4.2314124443620447</v>
      </c>
      <c r="AQ1016" s="4">
        <f t="shared" si="495"/>
        <v>-0.48730407558391686</v>
      </c>
    </row>
    <row r="1017" spans="1:43" x14ac:dyDescent="0.35">
      <c r="A1017" s="2" t="s">
        <v>869</v>
      </c>
      <c r="B1017" s="2" t="s">
        <v>865</v>
      </c>
      <c r="C1017" s="2" t="s">
        <v>33</v>
      </c>
      <c r="D1017" s="2">
        <v>33.896299999999997</v>
      </c>
      <c r="E1017" s="2">
        <v>4500</v>
      </c>
      <c r="F1017" s="2">
        <v>295</v>
      </c>
      <c r="G1017" s="2">
        <v>53.2</v>
      </c>
      <c r="H1017" s="2" t="s">
        <v>68</v>
      </c>
      <c r="I1017" s="4">
        <f t="shared" si="465"/>
        <v>3.5233058638869328</v>
      </c>
      <c r="J1017" s="4">
        <f t="shared" si="466"/>
        <v>8.4118326757584114</v>
      </c>
      <c r="K1017" s="4">
        <f t="shared" si="467"/>
        <v>5.6869753563398202</v>
      </c>
      <c r="L1017" s="2">
        <v>1</v>
      </c>
      <c r="M1017" s="2">
        <v>0</v>
      </c>
      <c r="N1017" s="4">
        <f t="shared" si="468"/>
        <v>53.2</v>
      </c>
      <c r="O1017" s="4">
        <f t="shared" si="469"/>
        <v>1</v>
      </c>
      <c r="P1017" s="4">
        <f t="shared" si="470"/>
        <v>1</v>
      </c>
      <c r="Q1017" s="4">
        <f t="shared" si="471"/>
        <v>8.4118326757584114</v>
      </c>
      <c r="R1017" s="4">
        <f t="shared" si="472"/>
        <v>5.6869753563398202</v>
      </c>
      <c r="S1017" s="4">
        <f t="shared" si="473"/>
        <v>53.2</v>
      </c>
      <c r="T1017" s="4">
        <f t="shared" si="474"/>
        <v>1</v>
      </c>
      <c r="U1017" s="4">
        <f t="shared" si="475"/>
        <v>8.4118326757584114</v>
      </c>
      <c r="V1017" s="4">
        <f t="shared" si="476"/>
        <v>5.6869753563398202</v>
      </c>
      <c r="W1017" s="4">
        <f t="shared" si="477"/>
        <v>53.2</v>
      </c>
      <c r="X1017" s="4">
        <f t="shared" si="478"/>
        <v>1</v>
      </c>
      <c r="Y1017" s="4">
        <f t="shared" si="479"/>
        <v>8.4118326757584114</v>
      </c>
      <c r="Z1017" s="4">
        <f t="shared" si="480"/>
        <v>5.6869753563398202</v>
      </c>
      <c r="AA1017" s="4">
        <f t="shared" si="481"/>
        <v>53.2</v>
      </c>
      <c r="AB1017" s="4">
        <f t="shared" si="482"/>
        <v>1</v>
      </c>
      <c r="AC1017" s="4">
        <f t="shared" si="483"/>
        <v>0</v>
      </c>
      <c r="AD1017" s="4">
        <f t="shared" si="484"/>
        <v>0</v>
      </c>
      <c r="AE1017" s="4">
        <f t="shared" si="485"/>
        <v>0</v>
      </c>
      <c r="AF1017" s="4">
        <f t="shared" si="486"/>
        <v>0</v>
      </c>
      <c r="AG1017" s="4">
        <f t="shared" si="487"/>
        <v>8.4118326757584114</v>
      </c>
      <c r="AH1017" s="4">
        <f t="shared" si="488"/>
        <v>1</v>
      </c>
      <c r="AI1017" s="4">
        <f t="shared" si="489"/>
        <v>0</v>
      </c>
      <c r="AJ1017" s="4">
        <f t="shared" si="490"/>
        <v>8.4118326757584114</v>
      </c>
      <c r="AK1017" s="4">
        <f t="shared" si="491"/>
        <v>5.6869753563398202</v>
      </c>
      <c r="AL1017" s="4">
        <f t="shared" si="492"/>
        <v>0</v>
      </c>
      <c r="AM1017" s="4">
        <f>CER!$C$7+CER!$C$8*J1017+CER!$C$9*K1017+CER!$C$10*L1017+CER!$C$11*M1017</f>
        <v>3.5752555056102286</v>
      </c>
      <c r="AN1017" s="4">
        <f t="shared" si="493"/>
        <v>35.703742156756547</v>
      </c>
      <c r="AO1017" s="4">
        <f t="shared" si="494"/>
        <v>-5.1949641723295858E-2</v>
      </c>
      <c r="AP1017" s="4">
        <f>Alternatives!$F$25+Alternatives!$F$26*J1017+Alternatives!$F$27*K1017+Alternatives!$F$28*G1017+Alternatives!$F$29*O1017</f>
        <v>4.1968942135360212</v>
      </c>
      <c r="AQ1017" s="4">
        <f t="shared" si="495"/>
        <v>-0.67358834964908842</v>
      </c>
    </row>
    <row r="1018" spans="1:43" x14ac:dyDescent="0.35">
      <c r="A1018" s="2" t="s">
        <v>870</v>
      </c>
      <c r="B1018" s="2" t="s">
        <v>865</v>
      </c>
      <c r="C1018" s="2" t="s">
        <v>33</v>
      </c>
      <c r="D1018" s="2">
        <v>39.647500000000001</v>
      </c>
      <c r="E1018" s="2">
        <v>5000</v>
      </c>
      <c r="F1018" s="2">
        <v>312</v>
      </c>
      <c r="G1018" s="2">
        <v>53.2</v>
      </c>
      <c r="H1018" s="2" t="s">
        <v>68</v>
      </c>
      <c r="I1018" s="4">
        <f t="shared" si="465"/>
        <v>3.6800278943906188</v>
      </c>
      <c r="J1018" s="4">
        <f t="shared" si="466"/>
        <v>8.5171931914162382</v>
      </c>
      <c r="K1018" s="4">
        <f t="shared" si="467"/>
        <v>5.7430031878094825</v>
      </c>
      <c r="L1018" s="2">
        <v>1</v>
      </c>
      <c r="M1018" s="2">
        <v>0</v>
      </c>
      <c r="N1018" s="4">
        <f t="shared" si="468"/>
        <v>53.2</v>
      </c>
      <c r="O1018" s="4">
        <f t="shared" si="469"/>
        <v>1</v>
      </c>
      <c r="P1018" s="4">
        <f t="shared" si="470"/>
        <v>1</v>
      </c>
      <c r="Q1018" s="4">
        <f t="shared" si="471"/>
        <v>8.5171931914162382</v>
      </c>
      <c r="R1018" s="4">
        <f t="shared" si="472"/>
        <v>5.7430031878094825</v>
      </c>
      <c r="S1018" s="4">
        <f t="shared" si="473"/>
        <v>53.2</v>
      </c>
      <c r="T1018" s="4">
        <f t="shared" si="474"/>
        <v>1</v>
      </c>
      <c r="U1018" s="4">
        <f t="shared" si="475"/>
        <v>8.5171931914162382</v>
      </c>
      <c r="V1018" s="4">
        <f t="shared" si="476"/>
        <v>5.7430031878094825</v>
      </c>
      <c r="W1018" s="4">
        <f t="shared" si="477"/>
        <v>53.2</v>
      </c>
      <c r="X1018" s="4">
        <f t="shared" si="478"/>
        <v>1</v>
      </c>
      <c r="Y1018" s="4">
        <f t="shared" si="479"/>
        <v>8.5171931914162382</v>
      </c>
      <c r="Z1018" s="4">
        <f t="shared" si="480"/>
        <v>5.7430031878094825</v>
      </c>
      <c r="AA1018" s="4">
        <f t="shared" si="481"/>
        <v>53.2</v>
      </c>
      <c r="AB1018" s="4">
        <f t="shared" si="482"/>
        <v>1</v>
      </c>
      <c r="AC1018" s="4">
        <f t="shared" si="483"/>
        <v>0</v>
      </c>
      <c r="AD1018" s="4">
        <f t="shared" si="484"/>
        <v>0</v>
      </c>
      <c r="AE1018" s="4">
        <f t="shared" si="485"/>
        <v>0</v>
      </c>
      <c r="AF1018" s="4">
        <f t="shared" si="486"/>
        <v>0</v>
      </c>
      <c r="AG1018" s="4">
        <f t="shared" si="487"/>
        <v>8.5171931914162382</v>
      </c>
      <c r="AH1018" s="4">
        <f t="shared" si="488"/>
        <v>1</v>
      </c>
      <c r="AI1018" s="4">
        <f t="shared" si="489"/>
        <v>0</v>
      </c>
      <c r="AJ1018" s="4">
        <f t="shared" si="490"/>
        <v>8.5171931914162382</v>
      </c>
      <c r="AK1018" s="4">
        <f t="shared" si="491"/>
        <v>5.7430031878094825</v>
      </c>
      <c r="AL1018" s="4">
        <f t="shared" si="492"/>
        <v>0</v>
      </c>
      <c r="AM1018" s="4">
        <f>CER!$C$7+CER!$C$8*J1018+CER!$C$9*K1018+CER!$C$10*L1018+CER!$C$11*M1018</f>
        <v>3.5068867231011502</v>
      </c>
      <c r="AN1018" s="4">
        <f t="shared" si="493"/>
        <v>33.344295995009738</v>
      </c>
      <c r="AO1018" s="4">
        <f t="shared" si="494"/>
        <v>0.1731411712894686</v>
      </c>
      <c r="AP1018" s="4">
        <f>Alternatives!$F$25+Alternatives!$F$26*J1018+Alternatives!$F$27*K1018+Alternatives!$F$28*G1018+Alternatives!$F$29*O1018</f>
        <v>4.2209770985913071</v>
      </c>
      <c r="AQ1018" s="4">
        <f t="shared" si="495"/>
        <v>-0.54094920420068826</v>
      </c>
    </row>
    <row r="1019" spans="1:43" x14ac:dyDescent="0.35">
      <c r="A1019" s="2" t="s">
        <v>871</v>
      </c>
      <c r="B1019" s="2" t="s">
        <v>865</v>
      </c>
      <c r="C1019" s="2" t="s">
        <v>33</v>
      </c>
      <c r="D1019" s="2">
        <v>32.829799999999999</v>
      </c>
      <c r="E1019" s="2">
        <v>4500</v>
      </c>
      <c r="F1019" s="2">
        <v>295</v>
      </c>
      <c r="G1019" s="2">
        <v>52.1</v>
      </c>
      <c r="H1019" s="2" t="s">
        <v>68</v>
      </c>
      <c r="I1019" s="4">
        <f t="shared" si="465"/>
        <v>3.4913366395059104</v>
      </c>
      <c r="J1019" s="4">
        <f t="shared" si="466"/>
        <v>8.4118326757584114</v>
      </c>
      <c r="K1019" s="4">
        <f t="shared" si="467"/>
        <v>5.6869753563398202</v>
      </c>
      <c r="L1019" s="2">
        <v>1</v>
      </c>
      <c r="M1019" s="2">
        <v>0</v>
      </c>
      <c r="N1019" s="4">
        <f t="shared" si="468"/>
        <v>52.1</v>
      </c>
      <c r="O1019" s="4">
        <f t="shared" si="469"/>
        <v>1</v>
      </c>
      <c r="P1019" s="4">
        <f t="shared" si="470"/>
        <v>1</v>
      </c>
      <c r="Q1019" s="4">
        <f t="shared" si="471"/>
        <v>8.4118326757584114</v>
      </c>
      <c r="R1019" s="4">
        <f t="shared" si="472"/>
        <v>5.6869753563398202</v>
      </c>
      <c r="S1019" s="4">
        <f t="shared" si="473"/>
        <v>52.1</v>
      </c>
      <c r="T1019" s="4">
        <f t="shared" si="474"/>
        <v>1</v>
      </c>
      <c r="U1019" s="4">
        <f t="shared" si="475"/>
        <v>8.4118326757584114</v>
      </c>
      <c r="V1019" s="4">
        <f t="shared" si="476"/>
        <v>5.6869753563398202</v>
      </c>
      <c r="W1019" s="4">
        <f t="shared" si="477"/>
        <v>52.1</v>
      </c>
      <c r="X1019" s="4">
        <f t="shared" si="478"/>
        <v>1</v>
      </c>
      <c r="Y1019" s="4">
        <f t="shared" si="479"/>
        <v>8.4118326757584114</v>
      </c>
      <c r="Z1019" s="4">
        <f t="shared" si="480"/>
        <v>5.6869753563398202</v>
      </c>
      <c r="AA1019" s="4">
        <f t="shared" si="481"/>
        <v>52.1</v>
      </c>
      <c r="AB1019" s="4">
        <f t="shared" si="482"/>
        <v>1</v>
      </c>
      <c r="AC1019" s="4">
        <f t="shared" si="483"/>
        <v>0</v>
      </c>
      <c r="AD1019" s="4">
        <f t="shared" si="484"/>
        <v>0</v>
      </c>
      <c r="AE1019" s="4">
        <f t="shared" si="485"/>
        <v>0</v>
      </c>
      <c r="AF1019" s="4">
        <f t="shared" si="486"/>
        <v>0</v>
      </c>
      <c r="AG1019" s="4">
        <f t="shared" si="487"/>
        <v>8.4118326757584114</v>
      </c>
      <c r="AH1019" s="4">
        <f t="shared" si="488"/>
        <v>1</v>
      </c>
      <c r="AI1019" s="4">
        <f t="shared" si="489"/>
        <v>0</v>
      </c>
      <c r="AJ1019" s="4">
        <f t="shared" si="490"/>
        <v>8.4118326757584114</v>
      </c>
      <c r="AK1019" s="4">
        <f t="shared" si="491"/>
        <v>5.6869753563398202</v>
      </c>
      <c r="AL1019" s="4">
        <f t="shared" si="492"/>
        <v>0</v>
      </c>
      <c r="AM1019" s="4">
        <f>CER!$C$7+CER!$C$8*J1019+CER!$C$9*K1019+CER!$C$10*L1019+CER!$C$11*M1019</f>
        <v>3.5752555056102286</v>
      </c>
      <c r="AN1019" s="4">
        <f t="shared" si="493"/>
        <v>35.703742156756547</v>
      </c>
      <c r="AO1019" s="4">
        <f t="shared" si="494"/>
        <v>-8.3918866104318202E-2</v>
      </c>
      <c r="AP1019" s="4">
        <f>Alternatives!$F$25+Alternatives!$F$26*J1019+Alternatives!$F$27*K1019+Alternatives!$F$28*G1019+Alternatives!$F$29*O1019</f>
        <v>4.211202259532473</v>
      </c>
      <c r="AQ1019" s="4">
        <f t="shared" si="495"/>
        <v>-0.71986562002656251</v>
      </c>
    </row>
    <row r="1020" spans="1:43" x14ac:dyDescent="0.35">
      <c r="A1020" s="2" t="s">
        <v>872</v>
      </c>
      <c r="B1020" s="2" t="s">
        <v>865</v>
      </c>
      <c r="C1020" s="2" t="s">
        <v>33</v>
      </c>
      <c r="D1020" s="2">
        <v>32.619399999999999</v>
      </c>
      <c r="E1020" s="2">
        <v>4500</v>
      </c>
      <c r="F1020" s="2">
        <v>247</v>
      </c>
      <c r="G1020" s="2">
        <v>50.9</v>
      </c>
      <c r="H1020" s="2" t="s">
        <v>68</v>
      </c>
      <c r="I1020" s="4">
        <f t="shared" si="465"/>
        <v>3.4849072034001591</v>
      </c>
      <c r="J1020" s="4">
        <f t="shared" si="466"/>
        <v>8.4118326757584114</v>
      </c>
      <c r="K1020" s="4">
        <f t="shared" si="467"/>
        <v>5.5093883366279774</v>
      </c>
      <c r="L1020" s="2">
        <v>1</v>
      </c>
      <c r="M1020" s="2">
        <v>0</v>
      </c>
      <c r="N1020" s="4">
        <f t="shared" si="468"/>
        <v>50.9</v>
      </c>
      <c r="O1020" s="4">
        <f t="shared" si="469"/>
        <v>1</v>
      </c>
      <c r="P1020" s="4">
        <f t="shared" si="470"/>
        <v>1</v>
      </c>
      <c r="Q1020" s="4">
        <f t="shared" si="471"/>
        <v>8.4118326757584114</v>
      </c>
      <c r="R1020" s="4">
        <f t="shared" si="472"/>
        <v>5.5093883366279774</v>
      </c>
      <c r="S1020" s="4">
        <f t="shared" si="473"/>
        <v>50.9</v>
      </c>
      <c r="T1020" s="4">
        <f t="shared" si="474"/>
        <v>1</v>
      </c>
      <c r="U1020" s="4">
        <f t="shared" si="475"/>
        <v>8.4118326757584114</v>
      </c>
      <c r="V1020" s="4">
        <f t="shared" si="476"/>
        <v>5.5093883366279774</v>
      </c>
      <c r="W1020" s="4">
        <f t="shared" si="477"/>
        <v>50.9</v>
      </c>
      <c r="X1020" s="4">
        <f t="shared" si="478"/>
        <v>1</v>
      </c>
      <c r="Y1020" s="4">
        <f t="shared" si="479"/>
        <v>8.4118326757584114</v>
      </c>
      <c r="Z1020" s="4">
        <f t="shared" si="480"/>
        <v>5.5093883366279774</v>
      </c>
      <c r="AA1020" s="4">
        <f t="shared" si="481"/>
        <v>50.9</v>
      </c>
      <c r="AB1020" s="4">
        <f t="shared" si="482"/>
        <v>1</v>
      </c>
      <c r="AC1020" s="4">
        <f t="shared" si="483"/>
        <v>0</v>
      </c>
      <c r="AD1020" s="4">
        <f t="shared" si="484"/>
        <v>0</v>
      </c>
      <c r="AE1020" s="4">
        <f t="shared" si="485"/>
        <v>0</v>
      </c>
      <c r="AF1020" s="4">
        <f t="shared" si="486"/>
        <v>0</v>
      </c>
      <c r="AG1020" s="4">
        <f t="shared" si="487"/>
        <v>8.4118326757584114</v>
      </c>
      <c r="AH1020" s="4">
        <f t="shared" si="488"/>
        <v>1</v>
      </c>
      <c r="AI1020" s="4">
        <f t="shared" si="489"/>
        <v>0</v>
      </c>
      <c r="AJ1020" s="4">
        <f t="shared" si="490"/>
        <v>8.4118326757584114</v>
      </c>
      <c r="AK1020" s="4">
        <f t="shared" si="491"/>
        <v>5.5093883366279774</v>
      </c>
      <c r="AL1020" s="4">
        <f t="shared" si="492"/>
        <v>0</v>
      </c>
      <c r="AM1020" s="4">
        <f>CER!$C$7+CER!$C$8*J1020+CER!$C$9*K1020+CER!$C$10*L1020+CER!$C$11*M1020</f>
        <v>3.6407751201973579</v>
      </c>
      <c r="AN1020" s="4">
        <f t="shared" si="493"/>
        <v>38.121373923359833</v>
      </c>
      <c r="AO1020" s="4">
        <f t="shared" si="494"/>
        <v>-0.1558679167971988</v>
      </c>
      <c r="AP1020" s="4">
        <f>Alternatives!$F$25+Alternatives!$F$26*J1020+Alternatives!$F$27*K1020+Alternatives!$F$28*G1020+Alternatives!$F$29*O1020</f>
        <v>4.2740687130998518</v>
      </c>
      <c r="AQ1020" s="4">
        <f t="shared" si="495"/>
        <v>-0.78916150969969268</v>
      </c>
    </row>
    <row r="1021" spans="1:43" x14ac:dyDescent="0.35">
      <c r="A1021" s="2" t="s">
        <v>873</v>
      </c>
      <c r="B1021" s="2" t="s">
        <v>865</v>
      </c>
      <c r="C1021" s="2" t="s">
        <v>33</v>
      </c>
      <c r="D1021" s="2">
        <v>37.554600000000001</v>
      </c>
      <c r="E1021" s="2">
        <v>5000</v>
      </c>
      <c r="F1021" s="2">
        <v>312</v>
      </c>
      <c r="G1021" s="2">
        <v>50.9</v>
      </c>
      <c r="H1021" s="2" t="s">
        <v>68</v>
      </c>
      <c r="I1021" s="4">
        <f t="shared" si="465"/>
        <v>3.6257958740361187</v>
      </c>
      <c r="J1021" s="4">
        <f t="shared" si="466"/>
        <v>8.5171931914162382</v>
      </c>
      <c r="K1021" s="4">
        <f t="shared" si="467"/>
        <v>5.7430031878094825</v>
      </c>
      <c r="L1021" s="2">
        <v>1</v>
      </c>
      <c r="M1021" s="2">
        <v>0</v>
      </c>
      <c r="N1021" s="4">
        <f t="shared" si="468"/>
        <v>50.9</v>
      </c>
      <c r="O1021" s="4">
        <f t="shared" si="469"/>
        <v>1</v>
      </c>
      <c r="P1021" s="4">
        <f t="shared" si="470"/>
        <v>1</v>
      </c>
      <c r="Q1021" s="4">
        <f t="shared" si="471"/>
        <v>8.5171931914162382</v>
      </c>
      <c r="R1021" s="4">
        <f t="shared" si="472"/>
        <v>5.7430031878094825</v>
      </c>
      <c r="S1021" s="4">
        <f t="shared" si="473"/>
        <v>50.9</v>
      </c>
      <c r="T1021" s="4">
        <f t="shared" si="474"/>
        <v>1</v>
      </c>
      <c r="U1021" s="4">
        <f t="shared" si="475"/>
        <v>8.5171931914162382</v>
      </c>
      <c r="V1021" s="4">
        <f t="shared" si="476"/>
        <v>5.7430031878094825</v>
      </c>
      <c r="W1021" s="4">
        <f t="shared" si="477"/>
        <v>50.9</v>
      </c>
      <c r="X1021" s="4">
        <f t="shared" si="478"/>
        <v>1</v>
      </c>
      <c r="Y1021" s="4">
        <f t="shared" si="479"/>
        <v>8.5171931914162382</v>
      </c>
      <c r="Z1021" s="4">
        <f t="shared" si="480"/>
        <v>5.7430031878094825</v>
      </c>
      <c r="AA1021" s="4">
        <f t="shared" si="481"/>
        <v>50.9</v>
      </c>
      <c r="AB1021" s="4">
        <f t="shared" si="482"/>
        <v>1</v>
      </c>
      <c r="AC1021" s="4">
        <f t="shared" si="483"/>
        <v>0</v>
      </c>
      <c r="AD1021" s="4">
        <f t="shared" si="484"/>
        <v>0</v>
      </c>
      <c r="AE1021" s="4">
        <f t="shared" si="485"/>
        <v>0</v>
      </c>
      <c r="AF1021" s="4">
        <f t="shared" si="486"/>
        <v>0</v>
      </c>
      <c r="AG1021" s="4">
        <f t="shared" si="487"/>
        <v>8.5171931914162382</v>
      </c>
      <c r="AH1021" s="4">
        <f t="shared" si="488"/>
        <v>1</v>
      </c>
      <c r="AI1021" s="4">
        <f t="shared" si="489"/>
        <v>0</v>
      </c>
      <c r="AJ1021" s="4">
        <f t="shared" si="490"/>
        <v>8.5171931914162382</v>
      </c>
      <c r="AK1021" s="4">
        <f t="shared" si="491"/>
        <v>5.7430031878094825</v>
      </c>
      <c r="AL1021" s="4">
        <f t="shared" si="492"/>
        <v>0</v>
      </c>
      <c r="AM1021" s="4">
        <f>CER!$C$7+CER!$C$8*J1021+CER!$C$9*K1021+CER!$C$10*L1021+CER!$C$11*M1021</f>
        <v>3.5068867231011502</v>
      </c>
      <c r="AN1021" s="4">
        <f t="shared" si="493"/>
        <v>33.344295995009738</v>
      </c>
      <c r="AO1021" s="4">
        <f t="shared" si="494"/>
        <v>0.11890915093496846</v>
      </c>
      <c r="AP1021" s="4">
        <f>Alternatives!$F$25+Alternatives!$F$26*J1021+Alternatives!$F$27*K1021+Alternatives!$F$28*G1021+Alternatives!$F$29*O1021</f>
        <v>4.2508939220384327</v>
      </c>
      <c r="AQ1021" s="4">
        <f t="shared" si="495"/>
        <v>-0.62509804800231406</v>
      </c>
    </row>
    <row r="1022" spans="1:43" x14ac:dyDescent="0.35">
      <c r="A1022" s="2" t="s">
        <v>874</v>
      </c>
      <c r="B1022" s="2" t="s">
        <v>865</v>
      </c>
      <c r="C1022" s="2" t="s">
        <v>33</v>
      </c>
      <c r="D1022" s="2">
        <v>35.780200000000001</v>
      </c>
      <c r="E1022" s="2">
        <v>5500</v>
      </c>
      <c r="F1022" s="2">
        <v>312</v>
      </c>
      <c r="G1022" s="2">
        <v>53.7</v>
      </c>
      <c r="H1022" s="2" t="s">
        <v>68</v>
      </c>
      <c r="I1022" s="4">
        <f t="shared" si="465"/>
        <v>3.5773946677798754</v>
      </c>
      <c r="J1022" s="4">
        <f t="shared" si="466"/>
        <v>8.6125033712205621</v>
      </c>
      <c r="K1022" s="4">
        <f t="shared" si="467"/>
        <v>5.7430031878094825</v>
      </c>
      <c r="L1022" s="2">
        <v>1</v>
      </c>
      <c r="M1022" s="2">
        <v>0</v>
      </c>
      <c r="N1022" s="4">
        <f t="shared" si="468"/>
        <v>53.7</v>
      </c>
      <c r="O1022" s="4">
        <f t="shared" si="469"/>
        <v>1</v>
      </c>
      <c r="P1022" s="4">
        <f t="shared" si="470"/>
        <v>1</v>
      </c>
      <c r="Q1022" s="4">
        <f t="shared" si="471"/>
        <v>8.6125033712205621</v>
      </c>
      <c r="R1022" s="4">
        <f t="shared" si="472"/>
        <v>5.7430031878094825</v>
      </c>
      <c r="S1022" s="4">
        <f t="shared" si="473"/>
        <v>53.7</v>
      </c>
      <c r="T1022" s="4">
        <f t="shared" si="474"/>
        <v>1</v>
      </c>
      <c r="U1022" s="4">
        <f t="shared" si="475"/>
        <v>8.6125033712205621</v>
      </c>
      <c r="V1022" s="4">
        <f t="shared" si="476"/>
        <v>5.7430031878094825</v>
      </c>
      <c r="W1022" s="4">
        <f t="shared" si="477"/>
        <v>53.7</v>
      </c>
      <c r="X1022" s="4">
        <f t="shared" si="478"/>
        <v>1</v>
      </c>
      <c r="Y1022" s="4">
        <f t="shared" si="479"/>
        <v>8.6125033712205621</v>
      </c>
      <c r="Z1022" s="4">
        <f t="shared" si="480"/>
        <v>5.7430031878094825</v>
      </c>
      <c r="AA1022" s="4">
        <f t="shared" si="481"/>
        <v>53.7</v>
      </c>
      <c r="AB1022" s="4">
        <f t="shared" si="482"/>
        <v>1</v>
      </c>
      <c r="AC1022" s="4">
        <f t="shared" si="483"/>
        <v>0</v>
      </c>
      <c r="AD1022" s="4">
        <f t="shared" si="484"/>
        <v>0</v>
      </c>
      <c r="AE1022" s="4">
        <f t="shared" si="485"/>
        <v>0</v>
      </c>
      <c r="AF1022" s="4">
        <f t="shared" si="486"/>
        <v>0</v>
      </c>
      <c r="AG1022" s="4">
        <f t="shared" si="487"/>
        <v>8.6125033712205621</v>
      </c>
      <c r="AH1022" s="4">
        <f t="shared" si="488"/>
        <v>1</v>
      </c>
      <c r="AI1022" s="4">
        <f t="shared" si="489"/>
        <v>0</v>
      </c>
      <c r="AJ1022" s="4">
        <f t="shared" si="490"/>
        <v>8.6125033712205621</v>
      </c>
      <c r="AK1022" s="4">
        <f t="shared" si="491"/>
        <v>5.7430031878094825</v>
      </c>
      <c r="AL1022" s="4">
        <f t="shared" si="492"/>
        <v>0</v>
      </c>
      <c r="AM1022" s="4">
        <f>CER!$C$7+CER!$C$8*J1022+CER!$C$9*K1022+CER!$C$10*L1022+CER!$C$11*M1022</f>
        <v>3.4637389355106043</v>
      </c>
      <c r="AN1022" s="4">
        <f t="shared" si="493"/>
        <v>31.936160810350078</v>
      </c>
      <c r="AO1022" s="4">
        <f t="shared" si="494"/>
        <v>0.11365573226927106</v>
      </c>
      <c r="AP1022" s="4">
        <f>Alternatives!$F$25+Alternatives!$F$26*J1022+Alternatives!$F$27*K1022+Alternatives!$F$28*G1022+Alternatives!$F$29*O1022</f>
        <v>4.2497464024354068</v>
      </c>
      <c r="AQ1022" s="4">
        <f t="shared" si="495"/>
        <v>-0.67235173465553144</v>
      </c>
    </row>
    <row r="1023" spans="1:43" x14ac:dyDescent="0.35">
      <c r="A1023" s="2" t="s">
        <v>875</v>
      </c>
      <c r="B1023" s="2" t="s">
        <v>865</v>
      </c>
      <c r="C1023" s="2" t="s">
        <v>33</v>
      </c>
      <c r="D1023" s="2">
        <v>35.090299999999999</v>
      </c>
      <c r="E1023" s="2">
        <v>4000</v>
      </c>
      <c r="F1023" s="2">
        <v>247</v>
      </c>
      <c r="G1023" s="2">
        <v>46.8</v>
      </c>
      <c r="H1023" s="2" t="s">
        <v>68</v>
      </c>
      <c r="I1023" s="4">
        <f t="shared" si="465"/>
        <v>3.5579247390028637</v>
      </c>
      <c r="J1023" s="4">
        <f t="shared" si="466"/>
        <v>8.2940496401020276</v>
      </c>
      <c r="K1023" s="4">
        <f t="shared" si="467"/>
        <v>5.5093883366279774</v>
      </c>
      <c r="L1023" s="2">
        <v>1</v>
      </c>
      <c r="M1023" s="2">
        <v>0</v>
      </c>
      <c r="N1023" s="4">
        <f t="shared" si="468"/>
        <v>46.8</v>
      </c>
      <c r="O1023" s="4">
        <f t="shared" si="469"/>
        <v>1</v>
      </c>
      <c r="P1023" s="4">
        <f t="shared" si="470"/>
        <v>1</v>
      </c>
      <c r="Q1023" s="4">
        <f t="shared" si="471"/>
        <v>8.2940496401020276</v>
      </c>
      <c r="R1023" s="4">
        <f t="shared" si="472"/>
        <v>5.5093883366279774</v>
      </c>
      <c r="S1023" s="4">
        <f t="shared" si="473"/>
        <v>46.8</v>
      </c>
      <c r="T1023" s="4">
        <f t="shared" si="474"/>
        <v>1</v>
      </c>
      <c r="U1023" s="4">
        <f t="shared" si="475"/>
        <v>8.2940496401020276</v>
      </c>
      <c r="V1023" s="4">
        <f t="shared" si="476"/>
        <v>5.5093883366279774</v>
      </c>
      <c r="W1023" s="4">
        <f t="shared" si="477"/>
        <v>46.8</v>
      </c>
      <c r="X1023" s="4">
        <f t="shared" si="478"/>
        <v>1</v>
      </c>
      <c r="Y1023" s="4">
        <f t="shared" si="479"/>
        <v>8.2940496401020276</v>
      </c>
      <c r="Z1023" s="4">
        <f t="shared" si="480"/>
        <v>5.5093883366279774</v>
      </c>
      <c r="AA1023" s="4">
        <f t="shared" si="481"/>
        <v>46.8</v>
      </c>
      <c r="AB1023" s="4">
        <f t="shared" si="482"/>
        <v>1</v>
      </c>
      <c r="AC1023" s="4">
        <f t="shared" si="483"/>
        <v>0</v>
      </c>
      <c r="AD1023" s="4">
        <f t="shared" si="484"/>
        <v>0</v>
      </c>
      <c r="AE1023" s="4">
        <f t="shared" si="485"/>
        <v>0</v>
      </c>
      <c r="AF1023" s="4">
        <f t="shared" si="486"/>
        <v>0</v>
      </c>
      <c r="AG1023" s="4">
        <f t="shared" si="487"/>
        <v>8.2940496401020276</v>
      </c>
      <c r="AH1023" s="4">
        <f t="shared" si="488"/>
        <v>1</v>
      </c>
      <c r="AI1023" s="4">
        <f t="shared" si="489"/>
        <v>0</v>
      </c>
      <c r="AJ1023" s="4">
        <f t="shared" si="490"/>
        <v>8.2940496401020276</v>
      </c>
      <c r="AK1023" s="4">
        <f t="shared" si="491"/>
        <v>5.5093883366279774</v>
      </c>
      <c r="AL1023" s="4">
        <f t="shared" si="492"/>
        <v>0</v>
      </c>
      <c r="AM1023" s="4">
        <f>CER!$C$7+CER!$C$8*J1023+CER!$C$9*K1023+CER!$C$10*L1023+CER!$C$11*M1023</f>
        <v>3.6940965745761578</v>
      </c>
      <c r="AN1023" s="4">
        <f t="shared" si="493"/>
        <v>40.20923013331916</v>
      </c>
      <c r="AO1023" s="4">
        <f t="shared" si="494"/>
        <v>-0.13617183557329415</v>
      </c>
      <c r="AP1023" s="4">
        <f>Alternatives!$F$25+Alternatives!$F$26*J1023+Alternatives!$F$27*K1023+Alternatives!$F$28*G1023+Alternatives!$F$29*O1023</f>
        <v>4.2838088527691962</v>
      </c>
      <c r="AQ1023" s="4">
        <f t="shared" si="495"/>
        <v>-0.72588411376633255</v>
      </c>
    </row>
    <row r="1024" spans="1:43" x14ac:dyDescent="0.35">
      <c r="A1024" s="2" t="s">
        <v>876</v>
      </c>
      <c r="B1024" s="2" t="s">
        <v>865</v>
      </c>
      <c r="C1024" s="2" t="s">
        <v>33</v>
      </c>
      <c r="D1024" s="2">
        <v>35.5</v>
      </c>
      <c r="E1024" s="2">
        <v>4500</v>
      </c>
      <c r="F1024" s="2">
        <v>247</v>
      </c>
      <c r="G1024" s="2">
        <v>50.8</v>
      </c>
      <c r="H1024" s="2" t="s">
        <v>68</v>
      </c>
      <c r="I1024" s="4">
        <f t="shared" si="465"/>
        <v>3.5695326964813701</v>
      </c>
      <c r="J1024" s="4">
        <f t="shared" si="466"/>
        <v>8.4118326757584114</v>
      </c>
      <c r="K1024" s="4">
        <f t="shared" si="467"/>
        <v>5.5093883366279774</v>
      </c>
      <c r="L1024" s="2">
        <v>1</v>
      </c>
      <c r="M1024" s="2">
        <v>0</v>
      </c>
      <c r="N1024" s="4">
        <f t="shared" si="468"/>
        <v>50.8</v>
      </c>
      <c r="O1024" s="4">
        <f t="shared" si="469"/>
        <v>1</v>
      </c>
      <c r="P1024" s="4">
        <f t="shared" si="470"/>
        <v>1</v>
      </c>
      <c r="Q1024" s="4">
        <f t="shared" si="471"/>
        <v>8.4118326757584114</v>
      </c>
      <c r="R1024" s="4">
        <f t="shared" si="472"/>
        <v>5.5093883366279774</v>
      </c>
      <c r="S1024" s="4">
        <f t="shared" si="473"/>
        <v>50.8</v>
      </c>
      <c r="T1024" s="4">
        <f t="shared" si="474"/>
        <v>1</v>
      </c>
      <c r="U1024" s="4">
        <f t="shared" si="475"/>
        <v>8.4118326757584114</v>
      </c>
      <c r="V1024" s="4">
        <f t="shared" si="476"/>
        <v>5.5093883366279774</v>
      </c>
      <c r="W1024" s="4">
        <f t="shared" si="477"/>
        <v>50.8</v>
      </c>
      <c r="X1024" s="4">
        <f t="shared" si="478"/>
        <v>1</v>
      </c>
      <c r="Y1024" s="4">
        <f t="shared" si="479"/>
        <v>8.4118326757584114</v>
      </c>
      <c r="Z1024" s="4">
        <f t="shared" si="480"/>
        <v>5.5093883366279774</v>
      </c>
      <c r="AA1024" s="4">
        <f t="shared" si="481"/>
        <v>50.8</v>
      </c>
      <c r="AB1024" s="4">
        <f t="shared" si="482"/>
        <v>1</v>
      </c>
      <c r="AC1024" s="4">
        <f t="shared" si="483"/>
        <v>0</v>
      </c>
      <c r="AD1024" s="4">
        <f t="shared" si="484"/>
        <v>0</v>
      </c>
      <c r="AE1024" s="4">
        <f t="shared" si="485"/>
        <v>0</v>
      </c>
      <c r="AF1024" s="4">
        <f t="shared" si="486"/>
        <v>0</v>
      </c>
      <c r="AG1024" s="4">
        <f t="shared" si="487"/>
        <v>8.4118326757584114</v>
      </c>
      <c r="AH1024" s="4">
        <f t="shared" si="488"/>
        <v>1</v>
      </c>
      <c r="AI1024" s="4">
        <f t="shared" si="489"/>
        <v>0</v>
      </c>
      <c r="AJ1024" s="4">
        <f t="shared" si="490"/>
        <v>8.4118326757584114</v>
      </c>
      <c r="AK1024" s="4">
        <f t="shared" si="491"/>
        <v>5.5093883366279774</v>
      </c>
      <c r="AL1024" s="4">
        <f t="shared" si="492"/>
        <v>0</v>
      </c>
      <c r="AM1024" s="4">
        <f>CER!$C$7+CER!$C$8*J1024+CER!$C$9*K1024+CER!$C$10*L1024+CER!$C$11*M1024</f>
        <v>3.6407751201973579</v>
      </c>
      <c r="AN1024" s="4">
        <f t="shared" si="493"/>
        <v>38.121373923359833</v>
      </c>
      <c r="AO1024" s="4">
        <f t="shared" si="494"/>
        <v>-7.1242423715987879E-2</v>
      </c>
      <c r="AP1024" s="4">
        <f>Alternatives!$F$25+Alternatives!$F$26*J1024+Alternatives!$F$27*K1024+Alternatives!$F$28*G1024+Alternatives!$F$29*O1024</f>
        <v>4.2753694445540749</v>
      </c>
      <c r="AQ1024" s="4">
        <f t="shared" si="495"/>
        <v>-0.7058367480727048</v>
      </c>
    </row>
    <row r="1025" spans="1:43" x14ac:dyDescent="0.35">
      <c r="A1025" s="2" t="s">
        <v>877</v>
      </c>
      <c r="B1025" s="2" t="s">
        <v>865</v>
      </c>
      <c r="C1025" s="2" t="s">
        <v>33</v>
      </c>
      <c r="D1025" s="2">
        <v>31.859400000000001</v>
      </c>
      <c r="E1025" s="2">
        <v>5000</v>
      </c>
      <c r="F1025" s="2">
        <v>247</v>
      </c>
      <c r="G1025" s="2">
        <v>53.5</v>
      </c>
      <c r="H1025" s="2" t="s">
        <v>68</v>
      </c>
      <c r="I1025" s="4">
        <f t="shared" si="465"/>
        <v>3.4613324719128569</v>
      </c>
      <c r="J1025" s="4">
        <f t="shared" si="466"/>
        <v>8.5171931914162382</v>
      </c>
      <c r="K1025" s="4">
        <f t="shared" si="467"/>
        <v>5.5093883366279774</v>
      </c>
      <c r="L1025" s="2">
        <v>1</v>
      </c>
      <c r="M1025" s="2">
        <v>0</v>
      </c>
      <c r="N1025" s="4">
        <f t="shared" si="468"/>
        <v>53.5</v>
      </c>
      <c r="O1025" s="4">
        <f t="shared" si="469"/>
        <v>1</v>
      </c>
      <c r="P1025" s="4">
        <f t="shared" si="470"/>
        <v>1</v>
      </c>
      <c r="Q1025" s="4">
        <f t="shared" si="471"/>
        <v>8.5171931914162382</v>
      </c>
      <c r="R1025" s="4">
        <f t="shared" si="472"/>
        <v>5.5093883366279774</v>
      </c>
      <c r="S1025" s="4">
        <f t="shared" si="473"/>
        <v>53.5</v>
      </c>
      <c r="T1025" s="4">
        <f t="shared" si="474"/>
        <v>1</v>
      </c>
      <c r="U1025" s="4">
        <f t="shared" si="475"/>
        <v>8.5171931914162382</v>
      </c>
      <c r="V1025" s="4">
        <f t="shared" si="476"/>
        <v>5.5093883366279774</v>
      </c>
      <c r="W1025" s="4">
        <f t="shared" si="477"/>
        <v>53.5</v>
      </c>
      <c r="X1025" s="4">
        <f t="shared" si="478"/>
        <v>1</v>
      </c>
      <c r="Y1025" s="4">
        <f t="shared" si="479"/>
        <v>8.5171931914162382</v>
      </c>
      <c r="Z1025" s="4">
        <f t="shared" si="480"/>
        <v>5.5093883366279774</v>
      </c>
      <c r="AA1025" s="4">
        <f t="shared" si="481"/>
        <v>53.5</v>
      </c>
      <c r="AB1025" s="4">
        <f t="shared" si="482"/>
        <v>1</v>
      </c>
      <c r="AC1025" s="4">
        <f t="shared" si="483"/>
        <v>0</v>
      </c>
      <c r="AD1025" s="4">
        <f t="shared" si="484"/>
        <v>0</v>
      </c>
      <c r="AE1025" s="4">
        <f t="shared" si="485"/>
        <v>0</v>
      </c>
      <c r="AF1025" s="4">
        <f t="shared" si="486"/>
        <v>0</v>
      </c>
      <c r="AG1025" s="4">
        <f t="shared" si="487"/>
        <v>8.5171931914162382</v>
      </c>
      <c r="AH1025" s="4">
        <f t="shared" si="488"/>
        <v>1</v>
      </c>
      <c r="AI1025" s="4">
        <f t="shared" si="489"/>
        <v>0</v>
      </c>
      <c r="AJ1025" s="4">
        <f t="shared" si="490"/>
        <v>8.5171931914162382</v>
      </c>
      <c r="AK1025" s="4">
        <f t="shared" si="491"/>
        <v>5.5093883366279774</v>
      </c>
      <c r="AL1025" s="4">
        <f t="shared" si="492"/>
        <v>0</v>
      </c>
      <c r="AM1025" s="4">
        <f>CER!$C$7+CER!$C$8*J1025+CER!$C$9*K1025+CER!$C$10*L1025+CER!$C$11*M1025</f>
        <v>3.5930774539106332</v>
      </c>
      <c r="AN1025" s="4">
        <f t="shared" si="493"/>
        <v>36.345756382721781</v>
      </c>
      <c r="AO1025" s="4">
        <f t="shared" si="494"/>
        <v>-0.13174498199777629</v>
      </c>
      <c r="AP1025" s="4">
        <f>Alternatives!$F$25+Alternatives!$F$26*J1025+Alternatives!$F$27*K1025+Alternatives!$F$28*G1025+Alternatives!$F$29*O1025</f>
        <v>4.2792421447797899</v>
      </c>
      <c r="AQ1025" s="4">
        <f t="shared" si="495"/>
        <v>-0.81790967286693306</v>
      </c>
    </row>
    <row r="1026" spans="1:43" x14ac:dyDescent="0.35">
      <c r="A1026" s="2" t="s">
        <v>878</v>
      </c>
      <c r="B1026" s="2" t="s">
        <v>865</v>
      </c>
      <c r="C1026" s="2" t="s">
        <v>33</v>
      </c>
      <c r="D1026" s="2">
        <v>29.883099999999999</v>
      </c>
      <c r="E1026" s="2">
        <v>5000</v>
      </c>
      <c r="F1026" s="2">
        <v>295</v>
      </c>
      <c r="G1026" s="2">
        <v>53.5</v>
      </c>
      <c r="H1026" s="2" t="s">
        <v>68</v>
      </c>
      <c r="I1026" s="4">
        <f t="shared" ref="I1026:I1089" si="496">LN(D1026)</f>
        <v>3.3972931032097708</v>
      </c>
      <c r="J1026" s="4">
        <f t="shared" ref="J1026:J1089" si="497">LN(E1026)</f>
        <v>8.5171931914162382</v>
      </c>
      <c r="K1026" s="4">
        <f t="shared" ref="K1026:K1089" si="498">LN(F1026)</f>
        <v>5.6869753563398202</v>
      </c>
      <c r="L1026" s="2">
        <v>1</v>
      </c>
      <c r="M1026" s="2">
        <v>0</v>
      </c>
      <c r="N1026" s="4">
        <f t="shared" ref="N1026:N1089" si="499">G1026</f>
        <v>53.5</v>
      </c>
      <c r="O1026" s="4">
        <f t="shared" ref="O1026:O1089" si="500">L1026+M1026</f>
        <v>1</v>
      </c>
      <c r="P1026" s="4">
        <f t="shared" ref="P1026:P1089" si="501">L1026+2*M1026</f>
        <v>1</v>
      </c>
      <c r="Q1026" s="4">
        <f t="shared" ref="Q1026:Q1089" si="502">J1026</f>
        <v>8.5171931914162382</v>
      </c>
      <c r="R1026" s="4">
        <f t="shared" ref="R1026:R1089" si="503">K1026</f>
        <v>5.6869753563398202</v>
      </c>
      <c r="S1026" s="4">
        <f t="shared" ref="S1026:S1089" si="504">G1026</f>
        <v>53.5</v>
      </c>
      <c r="T1026" s="4">
        <f t="shared" ref="T1026:T1089" si="505">O1026</f>
        <v>1</v>
      </c>
      <c r="U1026" s="4">
        <f t="shared" ref="U1026:U1089" si="506">J1026</f>
        <v>8.5171931914162382</v>
      </c>
      <c r="V1026" s="4">
        <f t="shared" ref="V1026:V1089" si="507">K1026</f>
        <v>5.6869753563398202</v>
      </c>
      <c r="W1026" s="4">
        <f t="shared" ref="W1026:W1089" si="508">G1026</f>
        <v>53.5</v>
      </c>
      <c r="X1026" s="4">
        <f t="shared" ref="X1026:X1089" si="509">P1026</f>
        <v>1</v>
      </c>
      <c r="Y1026" s="4">
        <f t="shared" ref="Y1026:Y1089" si="510">J1026</f>
        <v>8.5171931914162382</v>
      </c>
      <c r="Z1026" s="4">
        <f t="shared" ref="Z1026:Z1089" si="511">K1026</f>
        <v>5.6869753563398202</v>
      </c>
      <c r="AA1026" s="4">
        <f t="shared" ref="AA1026:AA1089" si="512">G1026</f>
        <v>53.5</v>
      </c>
      <c r="AB1026" s="4">
        <f t="shared" ref="AB1026:AB1089" si="513">L1026</f>
        <v>1</v>
      </c>
      <c r="AC1026" s="4">
        <f t="shared" ref="AC1026:AC1089" si="514">M1026</f>
        <v>0</v>
      </c>
      <c r="AD1026" s="4">
        <f t="shared" ref="AD1026:AD1089" si="515">M1026*J1026</f>
        <v>0</v>
      </c>
      <c r="AE1026" s="4">
        <f t="shared" ref="AE1026:AE1089" si="516">M1026*K1026</f>
        <v>0</v>
      </c>
      <c r="AF1026" s="4">
        <f t="shared" ref="AF1026:AF1089" si="517">M1026*G1026</f>
        <v>0</v>
      </c>
      <c r="AG1026" s="4">
        <f t="shared" ref="AG1026:AG1089" si="518">J1026</f>
        <v>8.5171931914162382</v>
      </c>
      <c r="AH1026" s="4">
        <f t="shared" ref="AH1026:AH1089" si="519">L1026</f>
        <v>1</v>
      </c>
      <c r="AI1026" s="4">
        <f t="shared" ref="AI1026:AI1089" si="520">M1026</f>
        <v>0</v>
      </c>
      <c r="AJ1026" s="4">
        <f t="shared" ref="AJ1026:AJ1089" si="521">J1026</f>
        <v>8.5171931914162382</v>
      </c>
      <c r="AK1026" s="4">
        <f t="shared" ref="AK1026:AK1089" si="522">K1026</f>
        <v>5.6869753563398202</v>
      </c>
      <c r="AL1026" s="4">
        <f t="shared" ref="AL1026:AL1089" si="523">M1026</f>
        <v>0</v>
      </c>
      <c r="AM1026" s="4">
        <f>CER!$C$7+CER!$C$8*J1026+CER!$C$9*K1026+CER!$C$10*L1026+CER!$C$11*M1026</f>
        <v>3.5275578393235039</v>
      </c>
      <c r="AN1026" s="4">
        <f t="shared" ref="AN1026:AN1089" si="524">EXP(AM1026)</f>
        <v>34.04073308034161</v>
      </c>
      <c r="AO1026" s="4">
        <f t="shared" ref="AO1026:AO1089" si="525">I1026-AM1026</f>
        <v>-0.13026473611373302</v>
      </c>
      <c r="AP1026" s="4">
        <f>Alternatives!$F$25+Alternatives!$F$26*J1026+Alternatives!$F$27*K1026+Alternatives!$F$28*G1026+Alternatives!$F$29*O1026</f>
        <v>4.2319844686630841</v>
      </c>
      <c r="AQ1026" s="4">
        <f t="shared" ref="AQ1026:AQ1089" si="526">I1026-AP1026</f>
        <v>-0.83469136545331324</v>
      </c>
    </row>
    <row r="1027" spans="1:43" x14ac:dyDescent="0.35">
      <c r="A1027" s="2" t="s">
        <v>879</v>
      </c>
      <c r="B1027" s="2" t="s">
        <v>880</v>
      </c>
      <c r="C1027" s="2" t="s">
        <v>34</v>
      </c>
      <c r="D1027" s="2">
        <v>76.104699999999994</v>
      </c>
      <c r="E1027" s="2">
        <v>5500</v>
      </c>
      <c r="F1027" s="2">
        <v>1839</v>
      </c>
      <c r="G1027" s="2">
        <v>50.2</v>
      </c>
      <c r="H1027" s="2" t="s">
        <v>881</v>
      </c>
      <c r="I1027" s="4">
        <f t="shared" si="496"/>
        <v>4.3321100238015164</v>
      </c>
      <c r="J1027" s="4">
        <f t="shared" si="497"/>
        <v>8.6125033712205621</v>
      </c>
      <c r="K1027" s="4">
        <f t="shared" si="498"/>
        <v>7.5169772246043207</v>
      </c>
      <c r="L1027" s="2">
        <v>0</v>
      </c>
      <c r="M1027" s="2">
        <v>1</v>
      </c>
      <c r="N1027" s="4">
        <f t="shared" si="499"/>
        <v>50.2</v>
      </c>
      <c r="O1027" s="4">
        <f t="shared" si="500"/>
        <v>1</v>
      </c>
      <c r="P1027" s="4">
        <f t="shared" si="501"/>
        <v>2</v>
      </c>
      <c r="Q1027" s="4">
        <f t="shared" si="502"/>
        <v>8.6125033712205621</v>
      </c>
      <c r="R1027" s="4">
        <f t="shared" si="503"/>
        <v>7.5169772246043207</v>
      </c>
      <c r="S1027" s="4">
        <f t="shared" si="504"/>
        <v>50.2</v>
      </c>
      <c r="T1027" s="4">
        <f t="shared" si="505"/>
        <v>1</v>
      </c>
      <c r="U1027" s="4">
        <f t="shared" si="506"/>
        <v>8.6125033712205621</v>
      </c>
      <c r="V1027" s="4">
        <f t="shared" si="507"/>
        <v>7.5169772246043207</v>
      </c>
      <c r="W1027" s="4">
        <f t="shared" si="508"/>
        <v>50.2</v>
      </c>
      <c r="X1027" s="4">
        <f t="shared" si="509"/>
        <v>2</v>
      </c>
      <c r="Y1027" s="4">
        <f t="shared" si="510"/>
        <v>8.6125033712205621</v>
      </c>
      <c r="Z1027" s="4">
        <f t="shared" si="511"/>
        <v>7.5169772246043207</v>
      </c>
      <c r="AA1027" s="4">
        <f t="shared" si="512"/>
        <v>50.2</v>
      </c>
      <c r="AB1027" s="4">
        <f t="shared" si="513"/>
        <v>0</v>
      </c>
      <c r="AC1027" s="4">
        <f t="shared" si="514"/>
        <v>1</v>
      </c>
      <c r="AD1027" s="4">
        <f t="shared" si="515"/>
        <v>8.6125033712205621</v>
      </c>
      <c r="AE1027" s="4">
        <f t="shared" si="516"/>
        <v>7.5169772246043207</v>
      </c>
      <c r="AF1027" s="4">
        <f t="shared" si="517"/>
        <v>50.2</v>
      </c>
      <c r="AG1027" s="4">
        <f t="shared" si="518"/>
        <v>8.6125033712205621</v>
      </c>
      <c r="AH1027" s="4">
        <f t="shared" si="519"/>
        <v>0</v>
      </c>
      <c r="AI1027" s="4">
        <f t="shared" si="520"/>
        <v>1</v>
      </c>
      <c r="AJ1027" s="4">
        <f t="shared" si="521"/>
        <v>8.6125033712205621</v>
      </c>
      <c r="AK1027" s="4">
        <f t="shared" si="522"/>
        <v>7.5169772246043207</v>
      </c>
      <c r="AL1027" s="4">
        <f t="shared" si="523"/>
        <v>1</v>
      </c>
      <c r="AM1027" s="4">
        <f>CER!$C$7+CER!$C$8*J1027+CER!$C$9*K1027+CER!$C$10*L1027+CER!$C$11*M1027</f>
        <v>4.293458933518461</v>
      </c>
      <c r="AN1027" s="4">
        <f t="shared" si="524"/>
        <v>73.219291660433171</v>
      </c>
      <c r="AO1027" s="4">
        <f t="shared" si="525"/>
        <v>3.8651090283055467E-2</v>
      </c>
      <c r="AP1027" s="4">
        <f>Alternatives!$F$25+Alternatives!$F$26*J1027+Alternatives!$F$27*K1027+Alternatives!$F$28*G1027+Alternatives!$F$29*O1027</f>
        <v>3.8231998293290137</v>
      </c>
      <c r="AQ1027" s="4">
        <f t="shared" si="526"/>
        <v>0.50891019447250274</v>
      </c>
    </row>
    <row r="1028" spans="1:43" x14ac:dyDescent="0.35">
      <c r="A1028" s="2" t="s">
        <v>882</v>
      </c>
      <c r="B1028" s="2" t="s">
        <v>73</v>
      </c>
      <c r="C1028" s="2" t="s">
        <v>34</v>
      </c>
      <c r="D1028" s="2">
        <v>127.93089999999999</v>
      </c>
      <c r="E1028" s="2">
        <v>5000</v>
      </c>
      <c r="F1028" s="2">
        <v>536</v>
      </c>
      <c r="G1028" s="2">
        <v>49.1</v>
      </c>
      <c r="H1028" s="2" t="s">
        <v>883</v>
      </c>
      <c r="I1028" s="4">
        <f t="shared" si="496"/>
        <v>4.8514902744015158</v>
      </c>
      <c r="J1028" s="4">
        <f t="shared" si="497"/>
        <v>8.5171931914162382</v>
      </c>
      <c r="K1028" s="4">
        <f t="shared" si="498"/>
        <v>6.2841341610708019</v>
      </c>
      <c r="L1028" s="2">
        <v>0</v>
      </c>
      <c r="M1028" s="2">
        <v>1</v>
      </c>
      <c r="N1028" s="4">
        <f t="shared" si="499"/>
        <v>49.1</v>
      </c>
      <c r="O1028" s="4">
        <f t="shared" si="500"/>
        <v>1</v>
      </c>
      <c r="P1028" s="4">
        <f t="shared" si="501"/>
        <v>2</v>
      </c>
      <c r="Q1028" s="4">
        <f t="shared" si="502"/>
        <v>8.5171931914162382</v>
      </c>
      <c r="R1028" s="4">
        <f t="shared" si="503"/>
        <v>6.2841341610708019</v>
      </c>
      <c r="S1028" s="4">
        <f t="shared" si="504"/>
        <v>49.1</v>
      </c>
      <c r="T1028" s="4">
        <f t="shared" si="505"/>
        <v>1</v>
      </c>
      <c r="U1028" s="4">
        <f t="shared" si="506"/>
        <v>8.5171931914162382</v>
      </c>
      <c r="V1028" s="4">
        <f t="shared" si="507"/>
        <v>6.2841341610708019</v>
      </c>
      <c r="W1028" s="4">
        <f t="shared" si="508"/>
        <v>49.1</v>
      </c>
      <c r="X1028" s="4">
        <f t="shared" si="509"/>
        <v>2</v>
      </c>
      <c r="Y1028" s="4">
        <f t="shared" si="510"/>
        <v>8.5171931914162382</v>
      </c>
      <c r="Z1028" s="4">
        <f t="shared" si="511"/>
        <v>6.2841341610708019</v>
      </c>
      <c r="AA1028" s="4">
        <f t="shared" si="512"/>
        <v>49.1</v>
      </c>
      <c r="AB1028" s="4">
        <f t="shared" si="513"/>
        <v>0</v>
      </c>
      <c r="AC1028" s="4">
        <f t="shared" si="514"/>
        <v>1</v>
      </c>
      <c r="AD1028" s="4">
        <f t="shared" si="515"/>
        <v>8.5171931914162382</v>
      </c>
      <c r="AE1028" s="4">
        <f t="shared" si="516"/>
        <v>6.2841341610708019</v>
      </c>
      <c r="AF1028" s="4">
        <f t="shared" si="517"/>
        <v>49.1</v>
      </c>
      <c r="AG1028" s="4">
        <f t="shared" si="518"/>
        <v>8.5171931914162382</v>
      </c>
      <c r="AH1028" s="4">
        <f t="shared" si="519"/>
        <v>0</v>
      </c>
      <c r="AI1028" s="4">
        <f t="shared" si="520"/>
        <v>1</v>
      </c>
      <c r="AJ1028" s="4">
        <f t="shared" si="521"/>
        <v>8.5171931914162382</v>
      </c>
      <c r="AK1028" s="4">
        <f t="shared" si="522"/>
        <v>6.2841341610708019</v>
      </c>
      <c r="AL1028" s="4">
        <f t="shared" si="523"/>
        <v>1</v>
      </c>
      <c r="AM1028" s="4">
        <f>CER!$C$7+CER!$C$8*J1028+CER!$C$9*K1028+CER!$C$10*L1028+CER!$C$11*M1028</f>
        <v>4.7914564195847191</v>
      </c>
      <c r="AN1028" s="4">
        <f t="shared" si="524"/>
        <v>120.47670558367442</v>
      </c>
      <c r="AO1028" s="4">
        <f t="shared" si="525"/>
        <v>6.0033854816796683E-2</v>
      </c>
      <c r="AP1028" s="4">
        <f>Alternatives!$F$25+Alternatives!$F$26*J1028+Alternatives!$F$27*K1028+Alternatives!$F$28*G1028+Alternatives!$F$29*O1028</f>
        <v>4.1303067422849065</v>
      </c>
      <c r="AQ1028" s="4">
        <f t="shared" si="526"/>
        <v>0.72118353211660935</v>
      </c>
    </row>
    <row r="1029" spans="1:43" x14ac:dyDescent="0.35">
      <c r="A1029" s="2" t="s">
        <v>884</v>
      </c>
      <c r="B1029" s="2" t="s">
        <v>73</v>
      </c>
      <c r="C1029" s="2" t="s">
        <v>34</v>
      </c>
      <c r="D1029" s="2">
        <v>106.9255</v>
      </c>
      <c r="E1029" s="2">
        <v>5000</v>
      </c>
      <c r="F1029" s="2">
        <v>536</v>
      </c>
      <c r="G1029" s="2">
        <v>49.2</v>
      </c>
      <c r="H1029" s="2" t="s">
        <v>883</v>
      </c>
      <c r="I1029" s="4">
        <f t="shared" si="496"/>
        <v>4.672132330276928</v>
      </c>
      <c r="J1029" s="4">
        <f t="shared" si="497"/>
        <v>8.5171931914162382</v>
      </c>
      <c r="K1029" s="4">
        <f t="shared" si="498"/>
        <v>6.2841341610708019</v>
      </c>
      <c r="L1029" s="2">
        <v>0</v>
      </c>
      <c r="M1029" s="2">
        <v>1</v>
      </c>
      <c r="N1029" s="4">
        <f t="shared" si="499"/>
        <v>49.2</v>
      </c>
      <c r="O1029" s="4">
        <f t="shared" si="500"/>
        <v>1</v>
      </c>
      <c r="P1029" s="4">
        <f t="shared" si="501"/>
        <v>2</v>
      </c>
      <c r="Q1029" s="4">
        <f t="shared" si="502"/>
        <v>8.5171931914162382</v>
      </c>
      <c r="R1029" s="4">
        <f t="shared" si="503"/>
        <v>6.2841341610708019</v>
      </c>
      <c r="S1029" s="4">
        <f t="shared" si="504"/>
        <v>49.2</v>
      </c>
      <c r="T1029" s="4">
        <f t="shared" si="505"/>
        <v>1</v>
      </c>
      <c r="U1029" s="4">
        <f t="shared" si="506"/>
        <v>8.5171931914162382</v>
      </c>
      <c r="V1029" s="4">
        <f t="shared" si="507"/>
        <v>6.2841341610708019</v>
      </c>
      <c r="W1029" s="4">
        <f t="shared" si="508"/>
        <v>49.2</v>
      </c>
      <c r="X1029" s="4">
        <f t="shared" si="509"/>
        <v>2</v>
      </c>
      <c r="Y1029" s="4">
        <f t="shared" si="510"/>
        <v>8.5171931914162382</v>
      </c>
      <c r="Z1029" s="4">
        <f t="shared" si="511"/>
        <v>6.2841341610708019</v>
      </c>
      <c r="AA1029" s="4">
        <f t="shared" si="512"/>
        <v>49.2</v>
      </c>
      <c r="AB1029" s="4">
        <f t="shared" si="513"/>
        <v>0</v>
      </c>
      <c r="AC1029" s="4">
        <f t="shared" si="514"/>
        <v>1</v>
      </c>
      <c r="AD1029" s="4">
        <f t="shared" si="515"/>
        <v>8.5171931914162382</v>
      </c>
      <c r="AE1029" s="4">
        <f t="shared" si="516"/>
        <v>6.2841341610708019</v>
      </c>
      <c r="AF1029" s="4">
        <f t="shared" si="517"/>
        <v>49.2</v>
      </c>
      <c r="AG1029" s="4">
        <f t="shared" si="518"/>
        <v>8.5171931914162382</v>
      </c>
      <c r="AH1029" s="4">
        <f t="shared" si="519"/>
        <v>0</v>
      </c>
      <c r="AI1029" s="4">
        <f t="shared" si="520"/>
        <v>1</v>
      </c>
      <c r="AJ1029" s="4">
        <f t="shared" si="521"/>
        <v>8.5171931914162382</v>
      </c>
      <c r="AK1029" s="4">
        <f t="shared" si="522"/>
        <v>6.2841341610708019</v>
      </c>
      <c r="AL1029" s="4">
        <f t="shared" si="523"/>
        <v>1</v>
      </c>
      <c r="AM1029" s="4">
        <f>CER!$C$7+CER!$C$8*J1029+CER!$C$9*K1029+CER!$C$10*L1029+CER!$C$11*M1029</f>
        <v>4.7914564195847191</v>
      </c>
      <c r="AN1029" s="4">
        <f t="shared" si="524"/>
        <v>120.47670558367442</v>
      </c>
      <c r="AO1029" s="4">
        <f t="shared" si="525"/>
        <v>-0.11932408930779115</v>
      </c>
      <c r="AP1029" s="4">
        <f>Alternatives!$F$25+Alternatives!$F$26*J1029+Alternatives!$F$27*K1029+Alternatives!$F$28*G1029+Alternatives!$F$29*O1029</f>
        <v>4.1290060108306825</v>
      </c>
      <c r="AQ1029" s="4">
        <f t="shared" si="526"/>
        <v>0.54312631944624545</v>
      </c>
    </row>
    <row r="1030" spans="1:43" x14ac:dyDescent="0.35">
      <c r="A1030" s="2" t="s">
        <v>885</v>
      </c>
      <c r="B1030" s="2" t="s">
        <v>73</v>
      </c>
      <c r="C1030" s="2" t="s">
        <v>34</v>
      </c>
      <c r="D1030" s="2">
        <v>155.6</v>
      </c>
      <c r="E1030" s="2">
        <v>5000</v>
      </c>
      <c r="F1030" s="2">
        <v>335</v>
      </c>
      <c r="G1030" s="2">
        <v>49.6</v>
      </c>
      <c r="H1030" s="2" t="s">
        <v>881</v>
      </c>
      <c r="I1030" s="4">
        <f t="shared" si="496"/>
        <v>5.0472886117442908</v>
      </c>
      <c r="J1030" s="4">
        <f t="shared" si="497"/>
        <v>8.5171931914162382</v>
      </c>
      <c r="K1030" s="4">
        <f t="shared" si="498"/>
        <v>5.8141305318250662</v>
      </c>
      <c r="L1030" s="2">
        <v>0</v>
      </c>
      <c r="M1030" s="2">
        <v>1</v>
      </c>
      <c r="N1030" s="4">
        <f t="shared" si="499"/>
        <v>49.6</v>
      </c>
      <c r="O1030" s="4">
        <f t="shared" si="500"/>
        <v>1</v>
      </c>
      <c r="P1030" s="4">
        <f t="shared" si="501"/>
        <v>2</v>
      </c>
      <c r="Q1030" s="4">
        <f t="shared" si="502"/>
        <v>8.5171931914162382</v>
      </c>
      <c r="R1030" s="4">
        <f t="shared" si="503"/>
        <v>5.8141305318250662</v>
      </c>
      <c r="S1030" s="4">
        <f t="shared" si="504"/>
        <v>49.6</v>
      </c>
      <c r="T1030" s="4">
        <f t="shared" si="505"/>
        <v>1</v>
      </c>
      <c r="U1030" s="4">
        <f t="shared" si="506"/>
        <v>8.5171931914162382</v>
      </c>
      <c r="V1030" s="4">
        <f t="shared" si="507"/>
        <v>5.8141305318250662</v>
      </c>
      <c r="W1030" s="4">
        <f t="shared" si="508"/>
        <v>49.6</v>
      </c>
      <c r="X1030" s="4">
        <f t="shared" si="509"/>
        <v>2</v>
      </c>
      <c r="Y1030" s="4">
        <f t="shared" si="510"/>
        <v>8.5171931914162382</v>
      </c>
      <c r="Z1030" s="4">
        <f t="shared" si="511"/>
        <v>5.8141305318250662</v>
      </c>
      <c r="AA1030" s="4">
        <f t="shared" si="512"/>
        <v>49.6</v>
      </c>
      <c r="AB1030" s="4">
        <f t="shared" si="513"/>
        <v>0</v>
      </c>
      <c r="AC1030" s="4">
        <f t="shared" si="514"/>
        <v>1</v>
      </c>
      <c r="AD1030" s="4">
        <f t="shared" si="515"/>
        <v>8.5171931914162382</v>
      </c>
      <c r="AE1030" s="4">
        <f t="shared" si="516"/>
        <v>5.8141305318250662</v>
      </c>
      <c r="AF1030" s="4">
        <f t="shared" si="517"/>
        <v>49.6</v>
      </c>
      <c r="AG1030" s="4">
        <f t="shared" si="518"/>
        <v>8.5171931914162382</v>
      </c>
      <c r="AH1030" s="4">
        <f t="shared" si="519"/>
        <v>0</v>
      </c>
      <c r="AI1030" s="4">
        <f t="shared" si="520"/>
        <v>1</v>
      </c>
      <c r="AJ1030" s="4">
        <f t="shared" si="521"/>
        <v>8.5171931914162382</v>
      </c>
      <c r="AK1030" s="4">
        <f t="shared" si="522"/>
        <v>5.8141305318250662</v>
      </c>
      <c r="AL1030" s="4">
        <f t="shared" si="523"/>
        <v>1</v>
      </c>
      <c r="AM1030" s="4">
        <f>CER!$C$7+CER!$C$8*J1030+CER!$C$9*K1030+CER!$C$10*L1030+CER!$C$11*M1030</f>
        <v>4.9648613040897951</v>
      </c>
      <c r="AN1030" s="4">
        <f t="shared" si="524"/>
        <v>143.28867534184133</v>
      </c>
      <c r="AO1030" s="4">
        <f t="shared" si="525"/>
        <v>8.2427307654495685E-2</v>
      </c>
      <c r="AP1030" s="4">
        <f>Alternatives!$F$25+Alternatives!$F$26*J1030+Alternatives!$F$27*K1030+Alternatives!$F$28*G1030+Alternatives!$F$29*O1030</f>
        <v>4.2488757357098379</v>
      </c>
      <c r="AQ1030" s="4">
        <f t="shared" si="526"/>
        <v>0.79841287603445288</v>
      </c>
    </row>
    <row r="1031" spans="1:43" x14ac:dyDescent="0.35">
      <c r="A1031" s="2" t="s">
        <v>886</v>
      </c>
      <c r="B1031" s="2" t="s">
        <v>73</v>
      </c>
      <c r="C1031" s="2" t="s">
        <v>34</v>
      </c>
      <c r="D1031" s="2">
        <v>142.16409999999999</v>
      </c>
      <c r="E1031" s="2">
        <v>5000</v>
      </c>
      <c r="F1031" s="2">
        <v>335</v>
      </c>
      <c r="G1031" s="2">
        <v>49.1</v>
      </c>
      <c r="H1031" s="2" t="s">
        <v>881</v>
      </c>
      <c r="I1031" s="4">
        <f t="shared" si="496"/>
        <v>4.9569820241733344</v>
      </c>
      <c r="J1031" s="4">
        <f t="shared" si="497"/>
        <v>8.5171931914162382</v>
      </c>
      <c r="K1031" s="4">
        <f t="shared" si="498"/>
        <v>5.8141305318250662</v>
      </c>
      <c r="L1031" s="2">
        <v>0</v>
      </c>
      <c r="M1031" s="2">
        <v>1</v>
      </c>
      <c r="N1031" s="4">
        <f t="shared" si="499"/>
        <v>49.1</v>
      </c>
      <c r="O1031" s="4">
        <f t="shared" si="500"/>
        <v>1</v>
      </c>
      <c r="P1031" s="4">
        <f t="shared" si="501"/>
        <v>2</v>
      </c>
      <c r="Q1031" s="4">
        <f t="shared" si="502"/>
        <v>8.5171931914162382</v>
      </c>
      <c r="R1031" s="4">
        <f t="shared" si="503"/>
        <v>5.8141305318250662</v>
      </c>
      <c r="S1031" s="4">
        <f t="shared" si="504"/>
        <v>49.1</v>
      </c>
      <c r="T1031" s="4">
        <f t="shared" si="505"/>
        <v>1</v>
      </c>
      <c r="U1031" s="4">
        <f t="shared" si="506"/>
        <v>8.5171931914162382</v>
      </c>
      <c r="V1031" s="4">
        <f t="shared" si="507"/>
        <v>5.8141305318250662</v>
      </c>
      <c r="W1031" s="4">
        <f t="shared" si="508"/>
        <v>49.1</v>
      </c>
      <c r="X1031" s="4">
        <f t="shared" si="509"/>
        <v>2</v>
      </c>
      <c r="Y1031" s="4">
        <f t="shared" si="510"/>
        <v>8.5171931914162382</v>
      </c>
      <c r="Z1031" s="4">
        <f t="shared" si="511"/>
        <v>5.8141305318250662</v>
      </c>
      <c r="AA1031" s="4">
        <f t="shared" si="512"/>
        <v>49.1</v>
      </c>
      <c r="AB1031" s="4">
        <f t="shared" si="513"/>
        <v>0</v>
      </c>
      <c r="AC1031" s="4">
        <f t="shared" si="514"/>
        <v>1</v>
      </c>
      <c r="AD1031" s="4">
        <f t="shared" si="515"/>
        <v>8.5171931914162382</v>
      </c>
      <c r="AE1031" s="4">
        <f t="shared" si="516"/>
        <v>5.8141305318250662</v>
      </c>
      <c r="AF1031" s="4">
        <f t="shared" si="517"/>
        <v>49.1</v>
      </c>
      <c r="AG1031" s="4">
        <f t="shared" si="518"/>
        <v>8.5171931914162382</v>
      </c>
      <c r="AH1031" s="4">
        <f t="shared" si="519"/>
        <v>0</v>
      </c>
      <c r="AI1031" s="4">
        <f t="shared" si="520"/>
        <v>1</v>
      </c>
      <c r="AJ1031" s="4">
        <f t="shared" si="521"/>
        <v>8.5171931914162382</v>
      </c>
      <c r="AK1031" s="4">
        <f t="shared" si="522"/>
        <v>5.8141305318250662</v>
      </c>
      <c r="AL1031" s="4">
        <f t="shared" si="523"/>
        <v>1</v>
      </c>
      <c r="AM1031" s="4">
        <f>CER!$C$7+CER!$C$8*J1031+CER!$C$9*K1031+CER!$C$10*L1031+CER!$C$11*M1031</f>
        <v>4.9648613040897951</v>
      </c>
      <c r="AN1031" s="4">
        <f t="shared" si="524"/>
        <v>143.28867534184133</v>
      </c>
      <c r="AO1031" s="4">
        <f t="shared" si="525"/>
        <v>-7.8792799164606464E-3</v>
      </c>
      <c r="AP1031" s="4">
        <f>Alternatives!$F$25+Alternatives!$F$26*J1031+Alternatives!$F$27*K1031+Alternatives!$F$28*G1031+Alternatives!$F$29*O1031</f>
        <v>4.2553793929809522</v>
      </c>
      <c r="AQ1031" s="4">
        <f t="shared" si="526"/>
        <v>0.7016026311923822</v>
      </c>
    </row>
    <row r="1032" spans="1:43" x14ac:dyDescent="0.35">
      <c r="A1032" s="2" t="s">
        <v>887</v>
      </c>
      <c r="B1032" s="2" t="s">
        <v>73</v>
      </c>
      <c r="C1032" s="2" t="s">
        <v>34</v>
      </c>
      <c r="D1032" s="2">
        <v>117.0099</v>
      </c>
      <c r="E1032" s="2">
        <v>6000</v>
      </c>
      <c r="F1032" s="2">
        <v>516</v>
      </c>
      <c r="G1032" s="2">
        <v>54.5</v>
      </c>
      <c r="H1032" s="2" t="s">
        <v>881</v>
      </c>
      <c r="I1032" s="4">
        <f t="shared" si="496"/>
        <v>4.7622585466026921</v>
      </c>
      <c r="J1032" s="4">
        <f t="shared" si="497"/>
        <v>8.6995147482101913</v>
      </c>
      <c r="K1032" s="4">
        <f t="shared" si="498"/>
        <v>6.2461067654815627</v>
      </c>
      <c r="L1032" s="2">
        <v>0</v>
      </c>
      <c r="M1032" s="2">
        <v>1</v>
      </c>
      <c r="N1032" s="4">
        <f t="shared" si="499"/>
        <v>54.5</v>
      </c>
      <c r="O1032" s="4">
        <f t="shared" si="500"/>
        <v>1</v>
      </c>
      <c r="P1032" s="4">
        <f t="shared" si="501"/>
        <v>2</v>
      </c>
      <c r="Q1032" s="4">
        <f t="shared" si="502"/>
        <v>8.6995147482101913</v>
      </c>
      <c r="R1032" s="4">
        <f t="shared" si="503"/>
        <v>6.2461067654815627</v>
      </c>
      <c r="S1032" s="4">
        <f t="shared" si="504"/>
        <v>54.5</v>
      </c>
      <c r="T1032" s="4">
        <f t="shared" si="505"/>
        <v>1</v>
      </c>
      <c r="U1032" s="4">
        <f t="shared" si="506"/>
        <v>8.6995147482101913</v>
      </c>
      <c r="V1032" s="4">
        <f t="shared" si="507"/>
        <v>6.2461067654815627</v>
      </c>
      <c r="W1032" s="4">
        <f t="shared" si="508"/>
        <v>54.5</v>
      </c>
      <c r="X1032" s="4">
        <f t="shared" si="509"/>
        <v>2</v>
      </c>
      <c r="Y1032" s="4">
        <f t="shared" si="510"/>
        <v>8.6995147482101913</v>
      </c>
      <c r="Z1032" s="4">
        <f t="shared" si="511"/>
        <v>6.2461067654815627</v>
      </c>
      <c r="AA1032" s="4">
        <f t="shared" si="512"/>
        <v>54.5</v>
      </c>
      <c r="AB1032" s="4">
        <f t="shared" si="513"/>
        <v>0</v>
      </c>
      <c r="AC1032" s="4">
        <f t="shared" si="514"/>
        <v>1</v>
      </c>
      <c r="AD1032" s="4">
        <f t="shared" si="515"/>
        <v>8.6995147482101913</v>
      </c>
      <c r="AE1032" s="4">
        <f t="shared" si="516"/>
        <v>6.2461067654815627</v>
      </c>
      <c r="AF1032" s="4">
        <f t="shared" si="517"/>
        <v>54.5</v>
      </c>
      <c r="AG1032" s="4">
        <f t="shared" si="518"/>
        <v>8.6995147482101913</v>
      </c>
      <c r="AH1032" s="4">
        <f t="shared" si="519"/>
        <v>0</v>
      </c>
      <c r="AI1032" s="4">
        <f t="shared" si="520"/>
        <v>1</v>
      </c>
      <c r="AJ1032" s="4">
        <f t="shared" si="521"/>
        <v>8.6995147482101913</v>
      </c>
      <c r="AK1032" s="4">
        <f t="shared" si="522"/>
        <v>6.2461067654815627</v>
      </c>
      <c r="AL1032" s="4">
        <f t="shared" si="523"/>
        <v>1</v>
      </c>
      <c r="AM1032" s="4">
        <f>CER!$C$7+CER!$C$8*J1032+CER!$C$9*K1032+CER!$C$10*L1032+CER!$C$11*M1032</f>
        <v>4.7229477566772093</v>
      </c>
      <c r="AN1032" s="4">
        <f t="shared" si="524"/>
        <v>112.49938519286259</v>
      </c>
      <c r="AO1032" s="4">
        <f t="shared" si="525"/>
        <v>3.9310789925482759E-2</v>
      </c>
      <c r="AP1032" s="4">
        <f>Alternatives!$F$25+Alternatives!$F$26*J1032+Alternatives!$F$27*K1032+Alternatives!$F$28*G1032+Alternatives!$F$29*O1032</f>
        <v>4.1376613644505573</v>
      </c>
      <c r="AQ1032" s="4">
        <f t="shared" si="526"/>
        <v>0.62459718215213478</v>
      </c>
    </row>
    <row r="1033" spans="1:43" x14ac:dyDescent="0.35">
      <c r="A1033" s="2" t="s">
        <v>888</v>
      </c>
      <c r="B1033" s="2" t="s">
        <v>73</v>
      </c>
      <c r="C1033" s="2" t="s">
        <v>34</v>
      </c>
      <c r="D1033" s="2">
        <v>117.0099</v>
      </c>
      <c r="E1033" s="2">
        <v>6000</v>
      </c>
      <c r="F1033" s="2">
        <v>516</v>
      </c>
      <c r="G1033" s="2">
        <v>54</v>
      </c>
      <c r="H1033" s="2" t="s">
        <v>881</v>
      </c>
      <c r="I1033" s="4">
        <f t="shared" si="496"/>
        <v>4.7622585466026921</v>
      </c>
      <c r="J1033" s="4">
        <f t="shared" si="497"/>
        <v>8.6995147482101913</v>
      </c>
      <c r="K1033" s="4">
        <f t="shared" si="498"/>
        <v>6.2461067654815627</v>
      </c>
      <c r="L1033" s="2">
        <v>0</v>
      </c>
      <c r="M1033" s="2">
        <v>1</v>
      </c>
      <c r="N1033" s="4">
        <f t="shared" si="499"/>
        <v>54</v>
      </c>
      <c r="O1033" s="4">
        <f t="shared" si="500"/>
        <v>1</v>
      </c>
      <c r="P1033" s="4">
        <f t="shared" si="501"/>
        <v>2</v>
      </c>
      <c r="Q1033" s="4">
        <f t="shared" si="502"/>
        <v>8.6995147482101913</v>
      </c>
      <c r="R1033" s="4">
        <f t="shared" si="503"/>
        <v>6.2461067654815627</v>
      </c>
      <c r="S1033" s="4">
        <f t="shared" si="504"/>
        <v>54</v>
      </c>
      <c r="T1033" s="4">
        <f t="shared" si="505"/>
        <v>1</v>
      </c>
      <c r="U1033" s="4">
        <f t="shared" si="506"/>
        <v>8.6995147482101913</v>
      </c>
      <c r="V1033" s="4">
        <f t="shared" si="507"/>
        <v>6.2461067654815627</v>
      </c>
      <c r="W1033" s="4">
        <f t="shared" si="508"/>
        <v>54</v>
      </c>
      <c r="X1033" s="4">
        <f t="shared" si="509"/>
        <v>2</v>
      </c>
      <c r="Y1033" s="4">
        <f t="shared" si="510"/>
        <v>8.6995147482101913</v>
      </c>
      <c r="Z1033" s="4">
        <f t="shared" si="511"/>
        <v>6.2461067654815627</v>
      </c>
      <c r="AA1033" s="4">
        <f t="shared" si="512"/>
        <v>54</v>
      </c>
      <c r="AB1033" s="4">
        <f t="shared" si="513"/>
        <v>0</v>
      </c>
      <c r="AC1033" s="4">
        <f t="shared" si="514"/>
        <v>1</v>
      </c>
      <c r="AD1033" s="4">
        <f t="shared" si="515"/>
        <v>8.6995147482101913</v>
      </c>
      <c r="AE1033" s="4">
        <f t="shared" si="516"/>
        <v>6.2461067654815627</v>
      </c>
      <c r="AF1033" s="4">
        <f t="shared" si="517"/>
        <v>54</v>
      </c>
      <c r="AG1033" s="4">
        <f t="shared" si="518"/>
        <v>8.6995147482101913</v>
      </c>
      <c r="AH1033" s="4">
        <f t="shared" si="519"/>
        <v>0</v>
      </c>
      <c r="AI1033" s="4">
        <f t="shared" si="520"/>
        <v>1</v>
      </c>
      <c r="AJ1033" s="4">
        <f t="shared" si="521"/>
        <v>8.6995147482101913</v>
      </c>
      <c r="AK1033" s="4">
        <f t="shared" si="522"/>
        <v>6.2461067654815627</v>
      </c>
      <c r="AL1033" s="4">
        <f t="shared" si="523"/>
        <v>1</v>
      </c>
      <c r="AM1033" s="4">
        <f>CER!$C$7+CER!$C$8*J1033+CER!$C$9*K1033+CER!$C$10*L1033+CER!$C$11*M1033</f>
        <v>4.7229477566772093</v>
      </c>
      <c r="AN1033" s="4">
        <f t="shared" si="524"/>
        <v>112.49938519286259</v>
      </c>
      <c r="AO1033" s="4">
        <f t="shared" si="525"/>
        <v>3.9310789925482759E-2</v>
      </c>
      <c r="AP1033" s="4">
        <f>Alternatives!$F$25+Alternatives!$F$26*J1033+Alternatives!$F$27*K1033+Alternatives!$F$28*G1033+Alternatives!$F$29*O1033</f>
        <v>4.1441650217216708</v>
      </c>
      <c r="AQ1033" s="4">
        <f t="shared" si="526"/>
        <v>0.61809352488102132</v>
      </c>
    </row>
    <row r="1034" spans="1:43" x14ac:dyDescent="0.35">
      <c r="A1034" s="2" t="s">
        <v>889</v>
      </c>
      <c r="B1034" s="2" t="s">
        <v>73</v>
      </c>
      <c r="C1034" s="2" t="s">
        <v>34</v>
      </c>
      <c r="D1034" s="2">
        <v>117.0099</v>
      </c>
      <c r="E1034" s="2">
        <v>6000</v>
      </c>
      <c r="F1034" s="2">
        <v>516</v>
      </c>
      <c r="G1034" s="2">
        <v>54</v>
      </c>
      <c r="H1034" s="2" t="s">
        <v>881</v>
      </c>
      <c r="I1034" s="4">
        <f t="shared" si="496"/>
        <v>4.7622585466026921</v>
      </c>
      <c r="J1034" s="4">
        <f t="shared" si="497"/>
        <v>8.6995147482101913</v>
      </c>
      <c r="K1034" s="4">
        <f t="shared" si="498"/>
        <v>6.2461067654815627</v>
      </c>
      <c r="L1034" s="2">
        <v>0</v>
      </c>
      <c r="M1034" s="2">
        <v>1</v>
      </c>
      <c r="N1034" s="4">
        <f t="shared" si="499"/>
        <v>54</v>
      </c>
      <c r="O1034" s="4">
        <f t="shared" si="500"/>
        <v>1</v>
      </c>
      <c r="P1034" s="4">
        <f t="shared" si="501"/>
        <v>2</v>
      </c>
      <c r="Q1034" s="4">
        <f t="shared" si="502"/>
        <v>8.6995147482101913</v>
      </c>
      <c r="R1034" s="4">
        <f t="shared" si="503"/>
        <v>6.2461067654815627</v>
      </c>
      <c r="S1034" s="4">
        <f t="shared" si="504"/>
        <v>54</v>
      </c>
      <c r="T1034" s="4">
        <f t="shared" si="505"/>
        <v>1</v>
      </c>
      <c r="U1034" s="4">
        <f t="shared" si="506"/>
        <v>8.6995147482101913</v>
      </c>
      <c r="V1034" s="4">
        <f t="shared" si="507"/>
        <v>6.2461067654815627</v>
      </c>
      <c r="W1034" s="4">
        <f t="shared" si="508"/>
        <v>54</v>
      </c>
      <c r="X1034" s="4">
        <f t="shared" si="509"/>
        <v>2</v>
      </c>
      <c r="Y1034" s="4">
        <f t="shared" si="510"/>
        <v>8.6995147482101913</v>
      </c>
      <c r="Z1034" s="4">
        <f t="shared" si="511"/>
        <v>6.2461067654815627</v>
      </c>
      <c r="AA1034" s="4">
        <f t="shared" si="512"/>
        <v>54</v>
      </c>
      <c r="AB1034" s="4">
        <f t="shared" si="513"/>
        <v>0</v>
      </c>
      <c r="AC1034" s="4">
        <f t="shared" si="514"/>
        <v>1</v>
      </c>
      <c r="AD1034" s="4">
        <f t="shared" si="515"/>
        <v>8.6995147482101913</v>
      </c>
      <c r="AE1034" s="4">
        <f t="shared" si="516"/>
        <v>6.2461067654815627</v>
      </c>
      <c r="AF1034" s="4">
        <f t="shared" si="517"/>
        <v>54</v>
      </c>
      <c r="AG1034" s="4">
        <f t="shared" si="518"/>
        <v>8.6995147482101913</v>
      </c>
      <c r="AH1034" s="4">
        <f t="shared" si="519"/>
        <v>0</v>
      </c>
      <c r="AI1034" s="4">
        <f t="shared" si="520"/>
        <v>1</v>
      </c>
      <c r="AJ1034" s="4">
        <f t="shared" si="521"/>
        <v>8.6995147482101913</v>
      </c>
      <c r="AK1034" s="4">
        <f t="shared" si="522"/>
        <v>6.2461067654815627</v>
      </c>
      <c r="AL1034" s="4">
        <f t="shared" si="523"/>
        <v>1</v>
      </c>
      <c r="AM1034" s="4">
        <f>CER!$C$7+CER!$C$8*J1034+CER!$C$9*K1034+CER!$C$10*L1034+CER!$C$11*M1034</f>
        <v>4.7229477566772093</v>
      </c>
      <c r="AN1034" s="4">
        <f t="shared" si="524"/>
        <v>112.49938519286259</v>
      </c>
      <c r="AO1034" s="4">
        <f t="shared" si="525"/>
        <v>3.9310789925482759E-2</v>
      </c>
      <c r="AP1034" s="4">
        <f>Alternatives!$F$25+Alternatives!$F$26*J1034+Alternatives!$F$27*K1034+Alternatives!$F$28*G1034+Alternatives!$F$29*O1034</f>
        <v>4.1441650217216708</v>
      </c>
      <c r="AQ1034" s="4">
        <f t="shared" si="526"/>
        <v>0.61809352488102132</v>
      </c>
    </row>
    <row r="1035" spans="1:43" x14ac:dyDescent="0.35">
      <c r="A1035" s="2" t="s">
        <v>890</v>
      </c>
      <c r="B1035" s="2" t="s">
        <v>73</v>
      </c>
      <c r="C1035" s="2" t="s">
        <v>34</v>
      </c>
      <c r="D1035" s="2">
        <v>109.0508</v>
      </c>
      <c r="E1035" s="2">
        <v>6000</v>
      </c>
      <c r="F1035" s="2">
        <v>532</v>
      </c>
      <c r="G1035" s="2">
        <v>54.1</v>
      </c>
      <c r="H1035" s="2" t="s">
        <v>881</v>
      </c>
      <c r="I1035" s="4">
        <f t="shared" si="496"/>
        <v>4.6918138287050937</v>
      </c>
      <c r="J1035" s="4">
        <f t="shared" si="497"/>
        <v>8.6995147482101913</v>
      </c>
      <c r="K1035" s="4">
        <f t="shared" si="498"/>
        <v>6.2766434893416445</v>
      </c>
      <c r="L1035" s="2">
        <v>0</v>
      </c>
      <c r="M1035" s="2">
        <v>1</v>
      </c>
      <c r="N1035" s="4">
        <f t="shared" si="499"/>
        <v>54.1</v>
      </c>
      <c r="O1035" s="4">
        <f t="shared" si="500"/>
        <v>1</v>
      </c>
      <c r="P1035" s="4">
        <f t="shared" si="501"/>
        <v>2</v>
      </c>
      <c r="Q1035" s="4">
        <f t="shared" si="502"/>
        <v>8.6995147482101913</v>
      </c>
      <c r="R1035" s="4">
        <f t="shared" si="503"/>
        <v>6.2766434893416445</v>
      </c>
      <c r="S1035" s="4">
        <f t="shared" si="504"/>
        <v>54.1</v>
      </c>
      <c r="T1035" s="4">
        <f t="shared" si="505"/>
        <v>1</v>
      </c>
      <c r="U1035" s="4">
        <f t="shared" si="506"/>
        <v>8.6995147482101913</v>
      </c>
      <c r="V1035" s="4">
        <f t="shared" si="507"/>
        <v>6.2766434893416445</v>
      </c>
      <c r="W1035" s="4">
        <f t="shared" si="508"/>
        <v>54.1</v>
      </c>
      <c r="X1035" s="4">
        <f t="shared" si="509"/>
        <v>2</v>
      </c>
      <c r="Y1035" s="4">
        <f t="shared" si="510"/>
        <v>8.6995147482101913</v>
      </c>
      <c r="Z1035" s="4">
        <f t="shared" si="511"/>
        <v>6.2766434893416445</v>
      </c>
      <c r="AA1035" s="4">
        <f t="shared" si="512"/>
        <v>54.1</v>
      </c>
      <c r="AB1035" s="4">
        <f t="shared" si="513"/>
        <v>0</v>
      </c>
      <c r="AC1035" s="4">
        <f t="shared" si="514"/>
        <v>1</v>
      </c>
      <c r="AD1035" s="4">
        <f t="shared" si="515"/>
        <v>8.6995147482101913</v>
      </c>
      <c r="AE1035" s="4">
        <f t="shared" si="516"/>
        <v>6.2766434893416445</v>
      </c>
      <c r="AF1035" s="4">
        <f t="shared" si="517"/>
        <v>54.1</v>
      </c>
      <c r="AG1035" s="4">
        <f t="shared" si="518"/>
        <v>8.6995147482101913</v>
      </c>
      <c r="AH1035" s="4">
        <f t="shared" si="519"/>
        <v>0</v>
      </c>
      <c r="AI1035" s="4">
        <f t="shared" si="520"/>
        <v>1</v>
      </c>
      <c r="AJ1035" s="4">
        <f t="shared" si="521"/>
        <v>8.6995147482101913</v>
      </c>
      <c r="AK1035" s="4">
        <f t="shared" si="522"/>
        <v>6.2766434893416445</v>
      </c>
      <c r="AL1035" s="4">
        <f t="shared" si="523"/>
        <v>1</v>
      </c>
      <c r="AM1035" s="4">
        <f>CER!$C$7+CER!$C$8*J1035+CER!$C$9*K1035+CER!$C$10*L1035+CER!$C$11*M1035</f>
        <v>4.7116814243669278</v>
      </c>
      <c r="AN1035" s="4">
        <f t="shared" si="524"/>
        <v>111.23904278404788</v>
      </c>
      <c r="AO1035" s="4">
        <f t="shared" si="525"/>
        <v>-1.9867595661834159E-2</v>
      </c>
      <c r="AP1035" s="4">
        <f>Alternatives!$F$25+Alternatives!$F$26*J1035+Alternatives!$F$27*K1035+Alternatives!$F$28*G1035+Alternatives!$F$29*O1035</f>
        <v>4.1347381636609732</v>
      </c>
      <c r="AQ1035" s="4">
        <f t="shared" si="526"/>
        <v>0.55707566504412043</v>
      </c>
    </row>
    <row r="1036" spans="1:43" x14ac:dyDescent="0.35">
      <c r="A1036" s="2" t="s">
        <v>891</v>
      </c>
      <c r="B1036" s="2" t="s">
        <v>73</v>
      </c>
      <c r="C1036" s="2" t="s">
        <v>34</v>
      </c>
      <c r="D1036" s="2">
        <v>109.0508</v>
      </c>
      <c r="E1036" s="2">
        <v>6000</v>
      </c>
      <c r="F1036" s="2">
        <v>532</v>
      </c>
      <c r="G1036" s="2">
        <v>54</v>
      </c>
      <c r="H1036" s="2" t="s">
        <v>881</v>
      </c>
      <c r="I1036" s="4">
        <f t="shared" si="496"/>
        <v>4.6918138287050937</v>
      </c>
      <c r="J1036" s="4">
        <f t="shared" si="497"/>
        <v>8.6995147482101913</v>
      </c>
      <c r="K1036" s="4">
        <f t="shared" si="498"/>
        <v>6.2766434893416445</v>
      </c>
      <c r="L1036" s="2">
        <v>0</v>
      </c>
      <c r="M1036" s="2">
        <v>1</v>
      </c>
      <c r="N1036" s="4">
        <f t="shared" si="499"/>
        <v>54</v>
      </c>
      <c r="O1036" s="4">
        <f t="shared" si="500"/>
        <v>1</v>
      </c>
      <c r="P1036" s="4">
        <f t="shared" si="501"/>
        <v>2</v>
      </c>
      <c r="Q1036" s="4">
        <f t="shared" si="502"/>
        <v>8.6995147482101913</v>
      </c>
      <c r="R1036" s="4">
        <f t="shared" si="503"/>
        <v>6.2766434893416445</v>
      </c>
      <c r="S1036" s="4">
        <f t="shared" si="504"/>
        <v>54</v>
      </c>
      <c r="T1036" s="4">
        <f t="shared" si="505"/>
        <v>1</v>
      </c>
      <c r="U1036" s="4">
        <f t="shared" si="506"/>
        <v>8.6995147482101913</v>
      </c>
      <c r="V1036" s="4">
        <f t="shared" si="507"/>
        <v>6.2766434893416445</v>
      </c>
      <c r="W1036" s="4">
        <f t="shared" si="508"/>
        <v>54</v>
      </c>
      <c r="X1036" s="4">
        <f t="shared" si="509"/>
        <v>2</v>
      </c>
      <c r="Y1036" s="4">
        <f t="shared" si="510"/>
        <v>8.6995147482101913</v>
      </c>
      <c r="Z1036" s="4">
        <f t="shared" si="511"/>
        <v>6.2766434893416445</v>
      </c>
      <c r="AA1036" s="4">
        <f t="shared" si="512"/>
        <v>54</v>
      </c>
      <c r="AB1036" s="4">
        <f t="shared" si="513"/>
        <v>0</v>
      </c>
      <c r="AC1036" s="4">
        <f t="shared" si="514"/>
        <v>1</v>
      </c>
      <c r="AD1036" s="4">
        <f t="shared" si="515"/>
        <v>8.6995147482101913</v>
      </c>
      <c r="AE1036" s="4">
        <f t="shared" si="516"/>
        <v>6.2766434893416445</v>
      </c>
      <c r="AF1036" s="4">
        <f t="shared" si="517"/>
        <v>54</v>
      </c>
      <c r="AG1036" s="4">
        <f t="shared" si="518"/>
        <v>8.6995147482101913</v>
      </c>
      <c r="AH1036" s="4">
        <f t="shared" si="519"/>
        <v>0</v>
      </c>
      <c r="AI1036" s="4">
        <f t="shared" si="520"/>
        <v>1</v>
      </c>
      <c r="AJ1036" s="4">
        <f t="shared" si="521"/>
        <v>8.6995147482101913</v>
      </c>
      <c r="AK1036" s="4">
        <f t="shared" si="522"/>
        <v>6.2766434893416445</v>
      </c>
      <c r="AL1036" s="4">
        <f t="shared" si="523"/>
        <v>1</v>
      </c>
      <c r="AM1036" s="4">
        <f>CER!$C$7+CER!$C$8*J1036+CER!$C$9*K1036+CER!$C$10*L1036+CER!$C$11*M1036</f>
        <v>4.7116814243669278</v>
      </c>
      <c r="AN1036" s="4">
        <f t="shared" si="524"/>
        <v>111.23904278404788</v>
      </c>
      <c r="AO1036" s="4">
        <f t="shared" si="525"/>
        <v>-1.9867595661834159E-2</v>
      </c>
      <c r="AP1036" s="4">
        <f>Alternatives!$F$25+Alternatives!$F$26*J1036+Alternatives!$F$27*K1036+Alternatives!$F$28*G1036+Alternatives!$F$29*O1036</f>
        <v>4.1360388951151954</v>
      </c>
      <c r="AQ1036" s="4">
        <f t="shared" si="526"/>
        <v>0.55577493358989827</v>
      </c>
    </row>
    <row r="1037" spans="1:43" x14ac:dyDescent="0.35">
      <c r="A1037" s="2" t="s">
        <v>892</v>
      </c>
      <c r="B1037" s="2" t="s">
        <v>73</v>
      </c>
      <c r="C1037" s="2" t="s">
        <v>34</v>
      </c>
      <c r="D1037" s="2">
        <v>124.19880000000001</v>
      </c>
      <c r="E1037" s="2">
        <v>6500</v>
      </c>
      <c r="F1037" s="2">
        <v>536</v>
      </c>
      <c r="G1037" s="2">
        <v>57.3</v>
      </c>
      <c r="H1037" s="2" t="s">
        <v>881</v>
      </c>
      <c r="I1037" s="4">
        <f t="shared" si="496"/>
        <v>4.8218835076169535</v>
      </c>
      <c r="J1037" s="4">
        <f t="shared" si="497"/>
        <v>8.7795574558837277</v>
      </c>
      <c r="K1037" s="4">
        <f t="shared" si="498"/>
        <v>6.2841341610708019</v>
      </c>
      <c r="L1037" s="2">
        <v>0</v>
      </c>
      <c r="M1037" s="2">
        <v>1</v>
      </c>
      <c r="N1037" s="4">
        <f t="shared" si="499"/>
        <v>57.3</v>
      </c>
      <c r="O1037" s="4">
        <f t="shared" si="500"/>
        <v>1</v>
      </c>
      <c r="P1037" s="4">
        <f t="shared" si="501"/>
        <v>2</v>
      </c>
      <c r="Q1037" s="4">
        <f t="shared" si="502"/>
        <v>8.7795574558837277</v>
      </c>
      <c r="R1037" s="4">
        <f t="shared" si="503"/>
        <v>6.2841341610708019</v>
      </c>
      <c r="S1037" s="4">
        <f t="shared" si="504"/>
        <v>57.3</v>
      </c>
      <c r="T1037" s="4">
        <f t="shared" si="505"/>
        <v>1</v>
      </c>
      <c r="U1037" s="4">
        <f t="shared" si="506"/>
        <v>8.7795574558837277</v>
      </c>
      <c r="V1037" s="4">
        <f t="shared" si="507"/>
        <v>6.2841341610708019</v>
      </c>
      <c r="W1037" s="4">
        <f t="shared" si="508"/>
        <v>57.3</v>
      </c>
      <c r="X1037" s="4">
        <f t="shared" si="509"/>
        <v>2</v>
      </c>
      <c r="Y1037" s="4">
        <f t="shared" si="510"/>
        <v>8.7795574558837277</v>
      </c>
      <c r="Z1037" s="4">
        <f t="shared" si="511"/>
        <v>6.2841341610708019</v>
      </c>
      <c r="AA1037" s="4">
        <f t="shared" si="512"/>
        <v>57.3</v>
      </c>
      <c r="AB1037" s="4">
        <f t="shared" si="513"/>
        <v>0</v>
      </c>
      <c r="AC1037" s="4">
        <f t="shared" si="514"/>
        <v>1</v>
      </c>
      <c r="AD1037" s="4">
        <f t="shared" si="515"/>
        <v>8.7795574558837277</v>
      </c>
      <c r="AE1037" s="4">
        <f t="shared" si="516"/>
        <v>6.2841341610708019</v>
      </c>
      <c r="AF1037" s="4">
        <f t="shared" si="517"/>
        <v>57.3</v>
      </c>
      <c r="AG1037" s="4">
        <f t="shared" si="518"/>
        <v>8.7795574558837277</v>
      </c>
      <c r="AH1037" s="4">
        <f t="shared" si="519"/>
        <v>0</v>
      </c>
      <c r="AI1037" s="4">
        <f t="shared" si="520"/>
        <v>1</v>
      </c>
      <c r="AJ1037" s="4">
        <f t="shared" si="521"/>
        <v>8.7795574558837277</v>
      </c>
      <c r="AK1037" s="4">
        <f t="shared" si="522"/>
        <v>6.2841341610708019</v>
      </c>
      <c r="AL1037" s="4">
        <f t="shared" si="523"/>
        <v>1</v>
      </c>
      <c r="AM1037" s="4">
        <f>CER!$C$7+CER!$C$8*J1037+CER!$C$9*K1037+CER!$C$10*L1037+CER!$C$11*M1037</f>
        <v>4.6726817243964973</v>
      </c>
      <c r="AN1037" s="4">
        <f t="shared" si="524"/>
        <v>106.98426038075785</v>
      </c>
      <c r="AO1037" s="4">
        <f t="shared" si="525"/>
        <v>0.14920178322045619</v>
      </c>
      <c r="AP1037" s="4">
        <f>Alternatives!$F$25+Alternatives!$F$26*J1037+Alternatives!$F$27*K1037+Alternatives!$F$28*G1037+Alternatives!$F$29*O1037</f>
        <v>4.1207440984710386</v>
      </c>
      <c r="AQ1037" s="4">
        <f t="shared" si="526"/>
        <v>0.70113940914591488</v>
      </c>
    </row>
    <row r="1038" spans="1:43" x14ac:dyDescent="0.35">
      <c r="A1038" s="2" t="s">
        <v>893</v>
      </c>
      <c r="B1038" s="2" t="s">
        <v>73</v>
      </c>
      <c r="C1038" s="2" t="s">
        <v>34</v>
      </c>
      <c r="D1038" s="2">
        <v>118.148</v>
      </c>
      <c r="E1038" s="2">
        <v>6500</v>
      </c>
      <c r="F1038" s="2">
        <v>536</v>
      </c>
      <c r="G1038" s="2">
        <v>57.3</v>
      </c>
      <c r="H1038" s="2" t="s">
        <v>881</v>
      </c>
      <c r="I1038" s="4">
        <f t="shared" si="496"/>
        <v>4.7719380758552798</v>
      </c>
      <c r="J1038" s="4">
        <f t="shared" si="497"/>
        <v>8.7795574558837277</v>
      </c>
      <c r="K1038" s="4">
        <f t="shared" si="498"/>
        <v>6.2841341610708019</v>
      </c>
      <c r="L1038" s="2">
        <v>0</v>
      </c>
      <c r="M1038" s="2">
        <v>1</v>
      </c>
      <c r="N1038" s="4">
        <f t="shared" si="499"/>
        <v>57.3</v>
      </c>
      <c r="O1038" s="4">
        <f t="shared" si="500"/>
        <v>1</v>
      </c>
      <c r="P1038" s="4">
        <f t="shared" si="501"/>
        <v>2</v>
      </c>
      <c r="Q1038" s="4">
        <f t="shared" si="502"/>
        <v>8.7795574558837277</v>
      </c>
      <c r="R1038" s="4">
        <f t="shared" si="503"/>
        <v>6.2841341610708019</v>
      </c>
      <c r="S1038" s="4">
        <f t="shared" si="504"/>
        <v>57.3</v>
      </c>
      <c r="T1038" s="4">
        <f t="shared" si="505"/>
        <v>1</v>
      </c>
      <c r="U1038" s="4">
        <f t="shared" si="506"/>
        <v>8.7795574558837277</v>
      </c>
      <c r="V1038" s="4">
        <f t="shared" si="507"/>
        <v>6.2841341610708019</v>
      </c>
      <c r="W1038" s="4">
        <f t="shared" si="508"/>
        <v>57.3</v>
      </c>
      <c r="X1038" s="4">
        <f t="shared" si="509"/>
        <v>2</v>
      </c>
      <c r="Y1038" s="4">
        <f t="shared" si="510"/>
        <v>8.7795574558837277</v>
      </c>
      <c r="Z1038" s="4">
        <f t="shared" si="511"/>
        <v>6.2841341610708019</v>
      </c>
      <c r="AA1038" s="4">
        <f t="shared" si="512"/>
        <v>57.3</v>
      </c>
      <c r="AB1038" s="4">
        <f t="shared" si="513"/>
        <v>0</v>
      </c>
      <c r="AC1038" s="4">
        <f t="shared" si="514"/>
        <v>1</v>
      </c>
      <c r="AD1038" s="4">
        <f t="shared" si="515"/>
        <v>8.7795574558837277</v>
      </c>
      <c r="AE1038" s="4">
        <f t="shared" si="516"/>
        <v>6.2841341610708019</v>
      </c>
      <c r="AF1038" s="4">
        <f t="shared" si="517"/>
        <v>57.3</v>
      </c>
      <c r="AG1038" s="4">
        <f t="shared" si="518"/>
        <v>8.7795574558837277</v>
      </c>
      <c r="AH1038" s="4">
        <f t="shared" si="519"/>
        <v>0</v>
      </c>
      <c r="AI1038" s="4">
        <f t="shared" si="520"/>
        <v>1</v>
      </c>
      <c r="AJ1038" s="4">
        <f t="shared" si="521"/>
        <v>8.7795574558837277</v>
      </c>
      <c r="AK1038" s="4">
        <f t="shared" si="522"/>
        <v>6.2841341610708019</v>
      </c>
      <c r="AL1038" s="4">
        <f t="shared" si="523"/>
        <v>1</v>
      </c>
      <c r="AM1038" s="4">
        <f>CER!$C$7+CER!$C$8*J1038+CER!$C$9*K1038+CER!$C$10*L1038+CER!$C$11*M1038</f>
        <v>4.6726817243964973</v>
      </c>
      <c r="AN1038" s="4">
        <f t="shared" si="524"/>
        <v>106.98426038075785</v>
      </c>
      <c r="AO1038" s="4">
        <f t="shared" si="525"/>
        <v>9.9256351458782532E-2</v>
      </c>
      <c r="AP1038" s="4">
        <f>Alternatives!$F$25+Alternatives!$F$26*J1038+Alternatives!$F$27*K1038+Alternatives!$F$28*G1038+Alternatives!$F$29*O1038</f>
        <v>4.1207440984710386</v>
      </c>
      <c r="AQ1038" s="4">
        <f t="shared" si="526"/>
        <v>0.65119397738424123</v>
      </c>
    </row>
    <row r="1039" spans="1:43" x14ac:dyDescent="0.35">
      <c r="A1039" s="2" t="s">
        <v>894</v>
      </c>
      <c r="B1039" s="2" t="s">
        <v>73</v>
      </c>
      <c r="C1039" s="2" t="s">
        <v>34</v>
      </c>
      <c r="D1039" s="2">
        <v>126.2009</v>
      </c>
      <c r="E1039" s="2">
        <v>6500</v>
      </c>
      <c r="F1039" s="2">
        <v>536</v>
      </c>
      <c r="G1039" s="2">
        <v>57.8</v>
      </c>
      <c r="H1039" s="2" t="s">
        <v>881</v>
      </c>
      <c r="I1039" s="4">
        <f t="shared" si="496"/>
        <v>4.8378750816189262</v>
      </c>
      <c r="J1039" s="4">
        <f t="shared" si="497"/>
        <v>8.7795574558837277</v>
      </c>
      <c r="K1039" s="4">
        <f t="shared" si="498"/>
        <v>6.2841341610708019</v>
      </c>
      <c r="L1039" s="2">
        <v>0</v>
      </c>
      <c r="M1039" s="2">
        <v>1</v>
      </c>
      <c r="N1039" s="4">
        <f t="shared" si="499"/>
        <v>57.8</v>
      </c>
      <c r="O1039" s="4">
        <f t="shared" si="500"/>
        <v>1</v>
      </c>
      <c r="P1039" s="4">
        <f t="shared" si="501"/>
        <v>2</v>
      </c>
      <c r="Q1039" s="4">
        <f t="shared" si="502"/>
        <v>8.7795574558837277</v>
      </c>
      <c r="R1039" s="4">
        <f t="shared" si="503"/>
        <v>6.2841341610708019</v>
      </c>
      <c r="S1039" s="4">
        <f t="shared" si="504"/>
        <v>57.8</v>
      </c>
      <c r="T1039" s="4">
        <f t="shared" si="505"/>
        <v>1</v>
      </c>
      <c r="U1039" s="4">
        <f t="shared" si="506"/>
        <v>8.7795574558837277</v>
      </c>
      <c r="V1039" s="4">
        <f t="shared" si="507"/>
        <v>6.2841341610708019</v>
      </c>
      <c r="W1039" s="4">
        <f t="shared" si="508"/>
        <v>57.8</v>
      </c>
      <c r="X1039" s="4">
        <f t="shared" si="509"/>
        <v>2</v>
      </c>
      <c r="Y1039" s="4">
        <f t="shared" si="510"/>
        <v>8.7795574558837277</v>
      </c>
      <c r="Z1039" s="4">
        <f t="shared" si="511"/>
        <v>6.2841341610708019</v>
      </c>
      <c r="AA1039" s="4">
        <f t="shared" si="512"/>
        <v>57.8</v>
      </c>
      <c r="AB1039" s="4">
        <f t="shared" si="513"/>
        <v>0</v>
      </c>
      <c r="AC1039" s="4">
        <f t="shared" si="514"/>
        <v>1</v>
      </c>
      <c r="AD1039" s="4">
        <f t="shared" si="515"/>
        <v>8.7795574558837277</v>
      </c>
      <c r="AE1039" s="4">
        <f t="shared" si="516"/>
        <v>6.2841341610708019</v>
      </c>
      <c r="AF1039" s="4">
        <f t="shared" si="517"/>
        <v>57.8</v>
      </c>
      <c r="AG1039" s="4">
        <f t="shared" si="518"/>
        <v>8.7795574558837277</v>
      </c>
      <c r="AH1039" s="4">
        <f t="shared" si="519"/>
        <v>0</v>
      </c>
      <c r="AI1039" s="4">
        <f t="shared" si="520"/>
        <v>1</v>
      </c>
      <c r="AJ1039" s="4">
        <f t="shared" si="521"/>
        <v>8.7795574558837277</v>
      </c>
      <c r="AK1039" s="4">
        <f t="shared" si="522"/>
        <v>6.2841341610708019</v>
      </c>
      <c r="AL1039" s="4">
        <f t="shared" si="523"/>
        <v>1</v>
      </c>
      <c r="AM1039" s="4">
        <f>CER!$C$7+CER!$C$8*J1039+CER!$C$9*K1039+CER!$C$10*L1039+CER!$C$11*M1039</f>
        <v>4.6726817243964973</v>
      </c>
      <c r="AN1039" s="4">
        <f t="shared" si="524"/>
        <v>106.98426038075785</v>
      </c>
      <c r="AO1039" s="4">
        <f t="shared" si="525"/>
        <v>0.16519335722242889</v>
      </c>
      <c r="AP1039" s="4">
        <f>Alternatives!$F$25+Alternatives!$F$26*J1039+Alternatives!$F$27*K1039+Alternatives!$F$28*G1039+Alternatives!$F$29*O1039</f>
        <v>4.1142404411999252</v>
      </c>
      <c r="AQ1039" s="4">
        <f t="shared" si="526"/>
        <v>0.72363464041900105</v>
      </c>
    </row>
    <row r="1040" spans="1:43" x14ac:dyDescent="0.35">
      <c r="A1040" s="2" t="s">
        <v>895</v>
      </c>
      <c r="B1040" s="2" t="s">
        <v>73</v>
      </c>
      <c r="C1040" s="2" t="s">
        <v>34</v>
      </c>
      <c r="D1040" s="2">
        <v>168.1524</v>
      </c>
      <c r="E1040" s="2">
        <v>4500</v>
      </c>
      <c r="F1040" s="2">
        <v>282</v>
      </c>
      <c r="G1040" s="2">
        <v>49.6</v>
      </c>
      <c r="H1040" s="2" t="s">
        <v>883</v>
      </c>
      <c r="I1040" s="4">
        <f t="shared" si="496"/>
        <v>5.1248707110549825</v>
      </c>
      <c r="J1040" s="4">
        <f t="shared" si="497"/>
        <v>8.4118326757584114</v>
      </c>
      <c r="K1040" s="4">
        <f t="shared" si="498"/>
        <v>5.6419070709381138</v>
      </c>
      <c r="L1040" s="2">
        <v>0</v>
      </c>
      <c r="M1040" s="2">
        <v>1</v>
      </c>
      <c r="N1040" s="4">
        <f t="shared" si="499"/>
        <v>49.6</v>
      </c>
      <c r="O1040" s="4">
        <f t="shared" si="500"/>
        <v>1</v>
      </c>
      <c r="P1040" s="4">
        <f t="shared" si="501"/>
        <v>2</v>
      </c>
      <c r="Q1040" s="4">
        <f t="shared" si="502"/>
        <v>8.4118326757584114</v>
      </c>
      <c r="R1040" s="4">
        <f t="shared" si="503"/>
        <v>5.6419070709381138</v>
      </c>
      <c r="S1040" s="4">
        <f t="shared" si="504"/>
        <v>49.6</v>
      </c>
      <c r="T1040" s="4">
        <f t="shared" si="505"/>
        <v>1</v>
      </c>
      <c r="U1040" s="4">
        <f t="shared" si="506"/>
        <v>8.4118326757584114</v>
      </c>
      <c r="V1040" s="4">
        <f t="shared" si="507"/>
        <v>5.6419070709381138</v>
      </c>
      <c r="W1040" s="4">
        <f t="shared" si="508"/>
        <v>49.6</v>
      </c>
      <c r="X1040" s="4">
        <f t="shared" si="509"/>
        <v>2</v>
      </c>
      <c r="Y1040" s="4">
        <f t="shared" si="510"/>
        <v>8.4118326757584114</v>
      </c>
      <c r="Z1040" s="4">
        <f t="shared" si="511"/>
        <v>5.6419070709381138</v>
      </c>
      <c r="AA1040" s="4">
        <f t="shared" si="512"/>
        <v>49.6</v>
      </c>
      <c r="AB1040" s="4">
        <f t="shared" si="513"/>
        <v>0</v>
      </c>
      <c r="AC1040" s="4">
        <f t="shared" si="514"/>
        <v>1</v>
      </c>
      <c r="AD1040" s="4">
        <f t="shared" si="515"/>
        <v>8.4118326757584114</v>
      </c>
      <c r="AE1040" s="4">
        <f t="shared" si="516"/>
        <v>5.6419070709381138</v>
      </c>
      <c r="AF1040" s="4">
        <f t="shared" si="517"/>
        <v>49.6</v>
      </c>
      <c r="AG1040" s="4">
        <f t="shared" si="518"/>
        <v>8.4118326757584114</v>
      </c>
      <c r="AH1040" s="4">
        <f t="shared" si="519"/>
        <v>0</v>
      </c>
      <c r="AI1040" s="4">
        <f t="shared" si="520"/>
        <v>1</v>
      </c>
      <c r="AJ1040" s="4">
        <f t="shared" si="521"/>
        <v>8.4118326757584114</v>
      </c>
      <c r="AK1040" s="4">
        <f t="shared" si="522"/>
        <v>5.6419070709381138</v>
      </c>
      <c r="AL1040" s="4">
        <f t="shared" si="523"/>
        <v>1</v>
      </c>
      <c r="AM1040" s="4">
        <f>CER!$C$7+CER!$C$8*J1040+CER!$C$9*K1040+CER!$C$10*L1040+CER!$C$11*M1040</f>
        <v>5.0760997336512474</v>
      </c>
      <c r="AN1040" s="4">
        <f t="shared" si="524"/>
        <v>160.14821555395378</v>
      </c>
      <c r="AO1040" s="4">
        <f t="shared" si="525"/>
        <v>4.8770977403735039E-2</v>
      </c>
      <c r="AP1040" s="4">
        <f>Alternatives!$F$25+Alternatives!$F$26*J1040+Alternatives!$F$27*K1040+Alternatives!$F$28*G1040+Alternatives!$F$29*O1040</f>
        <v>4.2557136658700383</v>
      </c>
      <c r="AQ1040" s="4">
        <f t="shared" si="526"/>
        <v>0.86915704518494419</v>
      </c>
    </row>
    <row r="1041" spans="1:43" x14ac:dyDescent="0.35">
      <c r="A1041" s="2" t="s">
        <v>896</v>
      </c>
      <c r="B1041" s="2" t="s">
        <v>73</v>
      </c>
      <c r="C1041" s="2" t="s">
        <v>34</v>
      </c>
      <c r="D1041" s="2">
        <v>152.92910000000001</v>
      </c>
      <c r="E1041" s="2">
        <v>4500</v>
      </c>
      <c r="F1041" s="2">
        <v>282</v>
      </c>
      <c r="G1041" s="2">
        <v>49.1</v>
      </c>
      <c r="H1041" s="2" t="s">
        <v>883</v>
      </c>
      <c r="I1041" s="4">
        <f t="shared" si="496"/>
        <v>5.0299744152972696</v>
      </c>
      <c r="J1041" s="4">
        <f t="shared" si="497"/>
        <v>8.4118326757584114</v>
      </c>
      <c r="K1041" s="4">
        <f t="shared" si="498"/>
        <v>5.6419070709381138</v>
      </c>
      <c r="L1041" s="2">
        <v>0</v>
      </c>
      <c r="M1041" s="2">
        <v>1</v>
      </c>
      <c r="N1041" s="4">
        <f t="shared" si="499"/>
        <v>49.1</v>
      </c>
      <c r="O1041" s="4">
        <f t="shared" si="500"/>
        <v>1</v>
      </c>
      <c r="P1041" s="4">
        <f t="shared" si="501"/>
        <v>2</v>
      </c>
      <c r="Q1041" s="4">
        <f t="shared" si="502"/>
        <v>8.4118326757584114</v>
      </c>
      <c r="R1041" s="4">
        <f t="shared" si="503"/>
        <v>5.6419070709381138</v>
      </c>
      <c r="S1041" s="4">
        <f t="shared" si="504"/>
        <v>49.1</v>
      </c>
      <c r="T1041" s="4">
        <f t="shared" si="505"/>
        <v>1</v>
      </c>
      <c r="U1041" s="4">
        <f t="shared" si="506"/>
        <v>8.4118326757584114</v>
      </c>
      <c r="V1041" s="4">
        <f t="shared" si="507"/>
        <v>5.6419070709381138</v>
      </c>
      <c r="W1041" s="4">
        <f t="shared" si="508"/>
        <v>49.1</v>
      </c>
      <c r="X1041" s="4">
        <f t="shared" si="509"/>
        <v>2</v>
      </c>
      <c r="Y1041" s="4">
        <f t="shared" si="510"/>
        <v>8.4118326757584114</v>
      </c>
      <c r="Z1041" s="4">
        <f t="shared" si="511"/>
        <v>5.6419070709381138</v>
      </c>
      <c r="AA1041" s="4">
        <f t="shared" si="512"/>
        <v>49.1</v>
      </c>
      <c r="AB1041" s="4">
        <f t="shared" si="513"/>
        <v>0</v>
      </c>
      <c r="AC1041" s="4">
        <f t="shared" si="514"/>
        <v>1</v>
      </c>
      <c r="AD1041" s="4">
        <f t="shared" si="515"/>
        <v>8.4118326757584114</v>
      </c>
      <c r="AE1041" s="4">
        <f t="shared" si="516"/>
        <v>5.6419070709381138</v>
      </c>
      <c r="AF1041" s="4">
        <f t="shared" si="517"/>
        <v>49.1</v>
      </c>
      <c r="AG1041" s="4">
        <f t="shared" si="518"/>
        <v>8.4118326757584114</v>
      </c>
      <c r="AH1041" s="4">
        <f t="shared" si="519"/>
        <v>0</v>
      </c>
      <c r="AI1041" s="4">
        <f t="shared" si="520"/>
        <v>1</v>
      </c>
      <c r="AJ1041" s="4">
        <f t="shared" si="521"/>
        <v>8.4118326757584114</v>
      </c>
      <c r="AK1041" s="4">
        <f t="shared" si="522"/>
        <v>5.6419070709381138</v>
      </c>
      <c r="AL1041" s="4">
        <f t="shared" si="523"/>
        <v>1</v>
      </c>
      <c r="AM1041" s="4">
        <f>CER!$C$7+CER!$C$8*J1041+CER!$C$9*K1041+CER!$C$10*L1041+CER!$C$11*M1041</f>
        <v>5.0760997336512474</v>
      </c>
      <c r="AN1041" s="4">
        <f t="shared" si="524"/>
        <v>160.14821555395378</v>
      </c>
      <c r="AO1041" s="4">
        <f t="shared" si="525"/>
        <v>-4.6125318353977818E-2</v>
      </c>
      <c r="AP1041" s="4">
        <f>Alternatives!$F$25+Alternatives!$F$26*J1041+Alternatives!$F$27*K1041+Alternatives!$F$28*G1041+Alternatives!$F$29*O1041</f>
        <v>4.2622173231411526</v>
      </c>
      <c r="AQ1041" s="4">
        <f t="shared" si="526"/>
        <v>0.76775709215611698</v>
      </c>
    </row>
    <row r="1042" spans="1:43" x14ac:dyDescent="0.35">
      <c r="A1042" s="2" t="s">
        <v>897</v>
      </c>
      <c r="B1042" s="2" t="s">
        <v>73</v>
      </c>
      <c r="C1042" s="2" t="s">
        <v>34</v>
      </c>
      <c r="D1042" s="2">
        <v>126.0609</v>
      </c>
      <c r="E1042" s="2">
        <v>6000</v>
      </c>
      <c r="F1042" s="2">
        <v>449</v>
      </c>
      <c r="G1042" s="2">
        <v>57.8</v>
      </c>
      <c r="H1042" s="2" t="s">
        <v>881</v>
      </c>
      <c r="I1042" s="4">
        <f t="shared" si="496"/>
        <v>4.8367651235168792</v>
      </c>
      <c r="J1042" s="4">
        <f t="shared" si="497"/>
        <v>8.6995147482101913</v>
      </c>
      <c r="K1042" s="4">
        <f t="shared" si="498"/>
        <v>6.1070228877422545</v>
      </c>
      <c r="L1042" s="2">
        <v>0</v>
      </c>
      <c r="M1042" s="2">
        <v>1</v>
      </c>
      <c r="N1042" s="4">
        <f t="shared" si="499"/>
        <v>57.8</v>
      </c>
      <c r="O1042" s="4">
        <f t="shared" si="500"/>
        <v>1</v>
      </c>
      <c r="P1042" s="4">
        <f t="shared" si="501"/>
        <v>2</v>
      </c>
      <c r="Q1042" s="4">
        <f t="shared" si="502"/>
        <v>8.6995147482101913</v>
      </c>
      <c r="R1042" s="4">
        <f t="shared" si="503"/>
        <v>6.1070228877422545</v>
      </c>
      <c r="S1042" s="4">
        <f t="shared" si="504"/>
        <v>57.8</v>
      </c>
      <c r="T1042" s="4">
        <f t="shared" si="505"/>
        <v>1</v>
      </c>
      <c r="U1042" s="4">
        <f t="shared" si="506"/>
        <v>8.6995147482101913</v>
      </c>
      <c r="V1042" s="4">
        <f t="shared" si="507"/>
        <v>6.1070228877422545</v>
      </c>
      <c r="W1042" s="4">
        <f t="shared" si="508"/>
        <v>57.8</v>
      </c>
      <c r="X1042" s="4">
        <f t="shared" si="509"/>
        <v>2</v>
      </c>
      <c r="Y1042" s="4">
        <f t="shared" si="510"/>
        <v>8.6995147482101913</v>
      </c>
      <c r="Z1042" s="4">
        <f t="shared" si="511"/>
        <v>6.1070228877422545</v>
      </c>
      <c r="AA1042" s="4">
        <f t="shared" si="512"/>
        <v>57.8</v>
      </c>
      <c r="AB1042" s="4">
        <f t="shared" si="513"/>
        <v>0</v>
      </c>
      <c r="AC1042" s="4">
        <f t="shared" si="514"/>
        <v>1</v>
      </c>
      <c r="AD1042" s="4">
        <f t="shared" si="515"/>
        <v>8.6995147482101913</v>
      </c>
      <c r="AE1042" s="4">
        <f t="shared" si="516"/>
        <v>6.1070228877422545</v>
      </c>
      <c r="AF1042" s="4">
        <f t="shared" si="517"/>
        <v>57.8</v>
      </c>
      <c r="AG1042" s="4">
        <f t="shared" si="518"/>
        <v>8.6995147482101913</v>
      </c>
      <c r="AH1042" s="4">
        <f t="shared" si="519"/>
        <v>0</v>
      </c>
      <c r="AI1042" s="4">
        <f t="shared" si="520"/>
        <v>1</v>
      </c>
      <c r="AJ1042" s="4">
        <f t="shared" si="521"/>
        <v>8.6995147482101913</v>
      </c>
      <c r="AK1042" s="4">
        <f t="shared" si="522"/>
        <v>6.1070228877422545</v>
      </c>
      <c r="AL1042" s="4">
        <f t="shared" si="523"/>
        <v>1</v>
      </c>
      <c r="AM1042" s="4">
        <f>CER!$C$7+CER!$C$8*J1042+CER!$C$9*K1042+CER!$C$10*L1042+CER!$C$11*M1042</f>
        <v>4.774261879069428</v>
      </c>
      <c r="AN1042" s="4">
        <f t="shared" si="524"/>
        <v>118.4228719526149</v>
      </c>
      <c r="AO1042" s="4">
        <f t="shared" si="525"/>
        <v>6.2503244447451145E-2</v>
      </c>
      <c r="AP1042" s="4">
        <f>Alternatives!$F$25+Alternatives!$F$26*J1042+Alternatives!$F$27*K1042+Alternatives!$F$28*G1042+Alternatives!$F$29*O1042</f>
        <v>4.1317488327031739</v>
      </c>
      <c r="AQ1042" s="4">
        <f t="shared" si="526"/>
        <v>0.7050162908137052</v>
      </c>
    </row>
    <row r="1043" spans="1:43" x14ac:dyDescent="0.35">
      <c r="A1043" s="2" t="s">
        <v>898</v>
      </c>
      <c r="B1043" s="2" t="s">
        <v>73</v>
      </c>
      <c r="C1043" s="2" t="s">
        <v>34</v>
      </c>
      <c r="D1043" s="2">
        <v>120.7561</v>
      </c>
      <c r="E1043" s="2">
        <v>6000</v>
      </c>
      <c r="F1043" s="2">
        <v>449</v>
      </c>
      <c r="G1043" s="2">
        <v>57.3</v>
      </c>
      <c r="H1043" s="2" t="s">
        <v>881</v>
      </c>
      <c r="I1043" s="4">
        <f t="shared" si="496"/>
        <v>4.7937728088550546</v>
      </c>
      <c r="J1043" s="4">
        <f t="shared" si="497"/>
        <v>8.6995147482101913</v>
      </c>
      <c r="K1043" s="4">
        <f t="shared" si="498"/>
        <v>6.1070228877422545</v>
      </c>
      <c r="L1043" s="2">
        <v>0</v>
      </c>
      <c r="M1043" s="2">
        <v>1</v>
      </c>
      <c r="N1043" s="4">
        <f t="shared" si="499"/>
        <v>57.3</v>
      </c>
      <c r="O1043" s="4">
        <f t="shared" si="500"/>
        <v>1</v>
      </c>
      <c r="P1043" s="4">
        <f t="shared" si="501"/>
        <v>2</v>
      </c>
      <c r="Q1043" s="4">
        <f t="shared" si="502"/>
        <v>8.6995147482101913</v>
      </c>
      <c r="R1043" s="4">
        <f t="shared" si="503"/>
        <v>6.1070228877422545</v>
      </c>
      <c r="S1043" s="4">
        <f t="shared" si="504"/>
        <v>57.3</v>
      </c>
      <c r="T1043" s="4">
        <f t="shared" si="505"/>
        <v>1</v>
      </c>
      <c r="U1043" s="4">
        <f t="shared" si="506"/>
        <v>8.6995147482101913</v>
      </c>
      <c r="V1043" s="4">
        <f t="shared" si="507"/>
        <v>6.1070228877422545</v>
      </c>
      <c r="W1043" s="4">
        <f t="shared" si="508"/>
        <v>57.3</v>
      </c>
      <c r="X1043" s="4">
        <f t="shared" si="509"/>
        <v>2</v>
      </c>
      <c r="Y1043" s="4">
        <f t="shared" si="510"/>
        <v>8.6995147482101913</v>
      </c>
      <c r="Z1043" s="4">
        <f t="shared" si="511"/>
        <v>6.1070228877422545</v>
      </c>
      <c r="AA1043" s="4">
        <f t="shared" si="512"/>
        <v>57.3</v>
      </c>
      <c r="AB1043" s="4">
        <f t="shared" si="513"/>
        <v>0</v>
      </c>
      <c r="AC1043" s="4">
        <f t="shared" si="514"/>
        <v>1</v>
      </c>
      <c r="AD1043" s="4">
        <f t="shared" si="515"/>
        <v>8.6995147482101913</v>
      </c>
      <c r="AE1043" s="4">
        <f t="shared" si="516"/>
        <v>6.1070228877422545</v>
      </c>
      <c r="AF1043" s="4">
        <f t="shared" si="517"/>
        <v>57.3</v>
      </c>
      <c r="AG1043" s="4">
        <f t="shared" si="518"/>
        <v>8.6995147482101913</v>
      </c>
      <c r="AH1043" s="4">
        <f t="shared" si="519"/>
        <v>0</v>
      </c>
      <c r="AI1043" s="4">
        <f t="shared" si="520"/>
        <v>1</v>
      </c>
      <c r="AJ1043" s="4">
        <f t="shared" si="521"/>
        <v>8.6995147482101913</v>
      </c>
      <c r="AK1043" s="4">
        <f t="shared" si="522"/>
        <v>6.1070228877422545</v>
      </c>
      <c r="AL1043" s="4">
        <f t="shared" si="523"/>
        <v>1</v>
      </c>
      <c r="AM1043" s="4">
        <f>CER!$C$7+CER!$C$8*J1043+CER!$C$9*K1043+CER!$C$10*L1043+CER!$C$11*M1043</f>
        <v>4.774261879069428</v>
      </c>
      <c r="AN1043" s="4">
        <f t="shared" si="524"/>
        <v>118.4228719526149</v>
      </c>
      <c r="AO1043" s="4">
        <f t="shared" si="525"/>
        <v>1.9510929785626629E-2</v>
      </c>
      <c r="AP1043" s="4">
        <f>Alternatives!$F$25+Alternatives!$F$26*J1043+Alternatives!$F$27*K1043+Alternatives!$F$28*G1043+Alternatives!$F$29*O1043</f>
        <v>4.1382524899742874</v>
      </c>
      <c r="AQ1043" s="4">
        <f t="shared" si="526"/>
        <v>0.65552031888076723</v>
      </c>
    </row>
    <row r="1044" spans="1:43" x14ac:dyDescent="0.35">
      <c r="A1044" s="2" t="s">
        <v>899</v>
      </c>
      <c r="B1044" s="2" t="s">
        <v>73</v>
      </c>
      <c r="C1044" s="2" t="s">
        <v>34</v>
      </c>
      <c r="D1044" s="2">
        <v>123.62309999999999</v>
      </c>
      <c r="E1044" s="2">
        <v>6000</v>
      </c>
      <c r="F1044" s="2">
        <v>449</v>
      </c>
      <c r="G1044" s="2">
        <v>57.3</v>
      </c>
      <c r="H1044" s="2" t="s">
        <v>881</v>
      </c>
      <c r="I1044" s="4">
        <f t="shared" si="496"/>
        <v>4.8172374207651147</v>
      </c>
      <c r="J1044" s="4">
        <f t="shared" si="497"/>
        <v>8.6995147482101913</v>
      </c>
      <c r="K1044" s="4">
        <f t="shared" si="498"/>
        <v>6.1070228877422545</v>
      </c>
      <c r="L1044" s="2">
        <v>0</v>
      </c>
      <c r="M1044" s="2">
        <v>1</v>
      </c>
      <c r="N1044" s="4">
        <f t="shared" si="499"/>
        <v>57.3</v>
      </c>
      <c r="O1044" s="4">
        <f t="shared" si="500"/>
        <v>1</v>
      </c>
      <c r="P1044" s="4">
        <f t="shared" si="501"/>
        <v>2</v>
      </c>
      <c r="Q1044" s="4">
        <f t="shared" si="502"/>
        <v>8.6995147482101913</v>
      </c>
      <c r="R1044" s="4">
        <f t="shared" si="503"/>
        <v>6.1070228877422545</v>
      </c>
      <c r="S1044" s="4">
        <f t="shared" si="504"/>
        <v>57.3</v>
      </c>
      <c r="T1044" s="4">
        <f t="shared" si="505"/>
        <v>1</v>
      </c>
      <c r="U1044" s="4">
        <f t="shared" si="506"/>
        <v>8.6995147482101913</v>
      </c>
      <c r="V1044" s="4">
        <f t="shared" si="507"/>
        <v>6.1070228877422545</v>
      </c>
      <c r="W1044" s="4">
        <f t="shared" si="508"/>
        <v>57.3</v>
      </c>
      <c r="X1044" s="4">
        <f t="shared" si="509"/>
        <v>2</v>
      </c>
      <c r="Y1044" s="4">
        <f t="shared" si="510"/>
        <v>8.6995147482101913</v>
      </c>
      <c r="Z1044" s="4">
        <f t="shared" si="511"/>
        <v>6.1070228877422545</v>
      </c>
      <c r="AA1044" s="4">
        <f t="shared" si="512"/>
        <v>57.3</v>
      </c>
      <c r="AB1044" s="4">
        <f t="shared" si="513"/>
        <v>0</v>
      </c>
      <c r="AC1044" s="4">
        <f t="shared" si="514"/>
        <v>1</v>
      </c>
      <c r="AD1044" s="4">
        <f t="shared" si="515"/>
        <v>8.6995147482101913</v>
      </c>
      <c r="AE1044" s="4">
        <f t="shared" si="516"/>
        <v>6.1070228877422545</v>
      </c>
      <c r="AF1044" s="4">
        <f t="shared" si="517"/>
        <v>57.3</v>
      </c>
      <c r="AG1044" s="4">
        <f t="shared" si="518"/>
        <v>8.6995147482101913</v>
      </c>
      <c r="AH1044" s="4">
        <f t="shared" si="519"/>
        <v>0</v>
      </c>
      <c r="AI1044" s="4">
        <f t="shared" si="520"/>
        <v>1</v>
      </c>
      <c r="AJ1044" s="4">
        <f t="shared" si="521"/>
        <v>8.6995147482101913</v>
      </c>
      <c r="AK1044" s="4">
        <f t="shared" si="522"/>
        <v>6.1070228877422545</v>
      </c>
      <c r="AL1044" s="4">
        <f t="shared" si="523"/>
        <v>1</v>
      </c>
      <c r="AM1044" s="4">
        <f>CER!$C$7+CER!$C$8*J1044+CER!$C$9*K1044+CER!$C$10*L1044+CER!$C$11*M1044</f>
        <v>4.774261879069428</v>
      </c>
      <c r="AN1044" s="4">
        <f t="shared" si="524"/>
        <v>118.4228719526149</v>
      </c>
      <c r="AO1044" s="4">
        <f t="shared" si="525"/>
        <v>4.2975541695686736E-2</v>
      </c>
      <c r="AP1044" s="4">
        <f>Alternatives!$F$25+Alternatives!$F$26*J1044+Alternatives!$F$27*K1044+Alternatives!$F$28*G1044+Alternatives!$F$29*O1044</f>
        <v>4.1382524899742874</v>
      </c>
      <c r="AQ1044" s="4">
        <f t="shared" si="526"/>
        <v>0.67898493079082733</v>
      </c>
    </row>
    <row r="1045" spans="1:43" x14ac:dyDescent="0.35">
      <c r="A1045" s="2" t="s">
        <v>900</v>
      </c>
      <c r="B1045" s="2" t="s">
        <v>73</v>
      </c>
      <c r="C1045" s="2" t="s">
        <v>34</v>
      </c>
      <c r="D1045" s="2">
        <v>107.00539999999999</v>
      </c>
      <c r="E1045" s="2">
        <v>6500</v>
      </c>
      <c r="F1045" s="2">
        <v>650</v>
      </c>
      <c r="G1045" s="2">
        <v>57.3</v>
      </c>
      <c r="H1045" s="2" t="s">
        <v>881</v>
      </c>
      <c r="I1045" s="4">
        <f t="shared" si="496"/>
        <v>4.6728793004781952</v>
      </c>
      <c r="J1045" s="4">
        <f t="shared" si="497"/>
        <v>8.7795574558837277</v>
      </c>
      <c r="K1045" s="4">
        <f t="shared" si="498"/>
        <v>6.4769723628896827</v>
      </c>
      <c r="L1045" s="2">
        <v>0</v>
      </c>
      <c r="M1045" s="2">
        <v>1</v>
      </c>
      <c r="N1045" s="4">
        <f t="shared" si="499"/>
        <v>57.3</v>
      </c>
      <c r="O1045" s="4">
        <f t="shared" si="500"/>
        <v>1</v>
      </c>
      <c r="P1045" s="4">
        <f t="shared" si="501"/>
        <v>2</v>
      </c>
      <c r="Q1045" s="4">
        <f t="shared" si="502"/>
        <v>8.7795574558837277</v>
      </c>
      <c r="R1045" s="4">
        <f t="shared" si="503"/>
        <v>6.4769723628896827</v>
      </c>
      <c r="S1045" s="4">
        <f t="shared" si="504"/>
        <v>57.3</v>
      </c>
      <c r="T1045" s="4">
        <f t="shared" si="505"/>
        <v>1</v>
      </c>
      <c r="U1045" s="4">
        <f t="shared" si="506"/>
        <v>8.7795574558837277</v>
      </c>
      <c r="V1045" s="4">
        <f t="shared" si="507"/>
        <v>6.4769723628896827</v>
      </c>
      <c r="W1045" s="4">
        <f t="shared" si="508"/>
        <v>57.3</v>
      </c>
      <c r="X1045" s="4">
        <f t="shared" si="509"/>
        <v>2</v>
      </c>
      <c r="Y1045" s="4">
        <f t="shared" si="510"/>
        <v>8.7795574558837277</v>
      </c>
      <c r="Z1045" s="4">
        <f t="shared" si="511"/>
        <v>6.4769723628896827</v>
      </c>
      <c r="AA1045" s="4">
        <f t="shared" si="512"/>
        <v>57.3</v>
      </c>
      <c r="AB1045" s="4">
        <f t="shared" si="513"/>
        <v>0</v>
      </c>
      <c r="AC1045" s="4">
        <f t="shared" si="514"/>
        <v>1</v>
      </c>
      <c r="AD1045" s="4">
        <f t="shared" si="515"/>
        <v>8.7795574558837277</v>
      </c>
      <c r="AE1045" s="4">
        <f t="shared" si="516"/>
        <v>6.4769723628896827</v>
      </c>
      <c r="AF1045" s="4">
        <f t="shared" si="517"/>
        <v>57.3</v>
      </c>
      <c r="AG1045" s="4">
        <f t="shared" si="518"/>
        <v>8.7795574558837277</v>
      </c>
      <c r="AH1045" s="4">
        <f t="shared" si="519"/>
        <v>0</v>
      </c>
      <c r="AI1045" s="4">
        <f t="shared" si="520"/>
        <v>1</v>
      </c>
      <c r="AJ1045" s="4">
        <f t="shared" si="521"/>
        <v>8.7795574558837277</v>
      </c>
      <c r="AK1045" s="4">
        <f t="shared" si="522"/>
        <v>6.4769723628896827</v>
      </c>
      <c r="AL1045" s="4">
        <f t="shared" si="523"/>
        <v>1</v>
      </c>
      <c r="AM1045" s="4">
        <f>CER!$C$7+CER!$C$8*J1045+CER!$C$9*K1045+CER!$C$10*L1045+CER!$C$11*M1045</f>
        <v>4.6015352820419295</v>
      </c>
      <c r="AN1045" s="4">
        <f t="shared" si="524"/>
        <v>99.637169432007795</v>
      </c>
      <c r="AO1045" s="4">
        <f t="shared" si="525"/>
        <v>7.1344018436265699E-2</v>
      </c>
      <c r="AP1045" s="4">
        <f>Alternatives!$F$25+Alternatives!$F$26*J1045+Alternatives!$F$27*K1045+Alternatives!$F$28*G1045+Alternatives!$F$29*O1045</f>
        <v>4.0694279307732444</v>
      </c>
      <c r="AQ1045" s="4">
        <f t="shared" si="526"/>
        <v>0.60345136970495084</v>
      </c>
    </row>
    <row r="1046" spans="1:43" x14ac:dyDescent="0.35">
      <c r="A1046" s="2" t="s">
        <v>901</v>
      </c>
      <c r="B1046" s="2" t="s">
        <v>73</v>
      </c>
      <c r="C1046" s="2" t="s">
        <v>34</v>
      </c>
      <c r="D1046" s="2">
        <v>113.42740000000001</v>
      </c>
      <c r="E1046" s="2">
        <v>6500</v>
      </c>
      <c r="F1046" s="2">
        <v>650</v>
      </c>
      <c r="G1046" s="2">
        <v>57.3</v>
      </c>
      <c r="H1046" s="2" t="s">
        <v>881</v>
      </c>
      <c r="I1046" s="4">
        <f t="shared" si="496"/>
        <v>4.7311629846825749</v>
      </c>
      <c r="J1046" s="4">
        <f t="shared" si="497"/>
        <v>8.7795574558837277</v>
      </c>
      <c r="K1046" s="4">
        <f t="shared" si="498"/>
        <v>6.4769723628896827</v>
      </c>
      <c r="L1046" s="2">
        <v>0</v>
      </c>
      <c r="M1046" s="2">
        <v>1</v>
      </c>
      <c r="N1046" s="4">
        <f t="shared" si="499"/>
        <v>57.3</v>
      </c>
      <c r="O1046" s="4">
        <f t="shared" si="500"/>
        <v>1</v>
      </c>
      <c r="P1046" s="4">
        <f t="shared" si="501"/>
        <v>2</v>
      </c>
      <c r="Q1046" s="4">
        <f t="shared" si="502"/>
        <v>8.7795574558837277</v>
      </c>
      <c r="R1046" s="4">
        <f t="shared" si="503"/>
        <v>6.4769723628896827</v>
      </c>
      <c r="S1046" s="4">
        <f t="shared" si="504"/>
        <v>57.3</v>
      </c>
      <c r="T1046" s="4">
        <f t="shared" si="505"/>
        <v>1</v>
      </c>
      <c r="U1046" s="4">
        <f t="shared" si="506"/>
        <v>8.7795574558837277</v>
      </c>
      <c r="V1046" s="4">
        <f t="shared" si="507"/>
        <v>6.4769723628896827</v>
      </c>
      <c r="W1046" s="4">
        <f t="shared" si="508"/>
        <v>57.3</v>
      </c>
      <c r="X1046" s="4">
        <f t="shared" si="509"/>
        <v>2</v>
      </c>
      <c r="Y1046" s="4">
        <f t="shared" si="510"/>
        <v>8.7795574558837277</v>
      </c>
      <c r="Z1046" s="4">
        <f t="shared" si="511"/>
        <v>6.4769723628896827</v>
      </c>
      <c r="AA1046" s="4">
        <f t="shared" si="512"/>
        <v>57.3</v>
      </c>
      <c r="AB1046" s="4">
        <f t="shared" si="513"/>
        <v>0</v>
      </c>
      <c r="AC1046" s="4">
        <f t="shared" si="514"/>
        <v>1</v>
      </c>
      <c r="AD1046" s="4">
        <f t="shared" si="515"/>
        <v>8.7795574558837277</v>
      </c>
      <c r="AE1046" s="4">
        <f t="shared" si="516"/>
        <v>6.4769723628896827</v>
      </c>
      <c r="AF1046" s="4">
        <f t="shared" si="517"/>
        <v>57.3</v>
      </c>
      <c r="AG1046" s="4">
        <f t="shared" si="518"/>
        <v>8.7795574558837277</v>
      </c>
      <c r="AH1046" s="4">
        <f t="shared" si="519"/>
        <v>0</v>
      </c>
      <c r="AI1046" s="4">
        <f t="shared" si="520"/>
        <v>1</v>
      </c>
      <c r="AJ1046" s="4">
        <f t="shared" si="521"/>
        <v>8.7795574558837277</v>
      </c>
      <c r="AK1046" s="4">
        <f t="shared" si="522"/>
        <v>6.4769723628896827</v>
      </c>
      <c r="AL1046" s="4">
        <f t="shared" si="523"/>
        <v>1</v>
      </c>
      <c r="AM1046" s="4">
        <f>CER!$C$7+CER!$C$8*J1046+CER!$C$9*K1046+CER!$C$10*L1046+CER!$C$11*M1046</f>
        <v>4.6015352820419295</v>
      </c>
      <c r="AN1046" s="4">
        <f t="shared" si="524"/>
        <v>99.637169432007795</v>
      </c>
      <c r="AO1046" s="4">
        <f t="shared" si="525"/>
        <v>0.12962770264064538</v>
      </c>
      <c r="AP1046" s="4">
        <f>Alternatives!$F$25+Alternatives!$F$26*J1046+Alternatives!$F$27*K1046+Alternatives!$F$28*G1046+Alternatives!$F$29*O1046</f>
        <v>4.0694279307732444</v>
      </c>
      <c r="AQ1046" s="4">
        <f t="shared" si="526"/>
        <v>0.66173505390933052</v>
      </c>
    </row>
    <row r="1047" spans="1:43" x14ac:dyDescent="0.35">
      <c r="A1047" s="2" t="s">
        <v>902</v>
      </c>
      <c r="B1047" s="2" t="s">
        <v>73</v>
      </c>
      <c r="C1047" s="2" t="s">
        <v>34</v>
      </c>
      <c r="D1047" s="2">
        <v>149.49299999999999</v>
      </c>
      <c r="E1047" s="2">
        <v>5000</v>
      </c>
      <c r="F1047" s="2">
        <v>335</v>
      </c>
      <c r="G1047" s="2">
        <v>52.9</v>
      </c>
      <c r="H1047" s="2" t="s">
        <v>883</v>
      </c>
      <c r="I1047" s="4">
        <f t="shared" si="496"/>
        <v>5.0072495689920471</v>
      </c>
      <c r="J1047" s="4">
        <f t="shared" si="497"/>
        <v>8.5171931914162382</v>
      </c>
      <c r="K1047" s="4">
        <f t="shared" si="498"/>
        <v>5.8141305318250662</v>
      </c>
      <c r="L1047" s="2">
        <v>0</v>
      </c>
      <c r="M1047" s="2">
        <v>1</v>
      </c>
      <c r="N1047" s="4">
        <f t="shared" si="499"/>
        <v>52.9</v>
      </c>
      <c r="O1047" s="4">
        <f t="shared" si="500"/>
        <v>1</v>
      </c>
      <c r="P1047" s="4">
        <f t="shared" si="501"/>
        <v>2</v>
      </c>
      <c r="Q1047" s="4">
        <f t="shared" si="502"/>
        <v>8.5171931914162382</v>
      </c>
      <c r="R1047" s="4">
        <f t="shared" si="503"/>
        <v>5.8141305318250662</v>
      </c>
      <c r="S1047" s="4">
        <f t="shared" si="504"/>
        <v>52.9</v>
      </c>
      <c r="T1047" s="4">
        <f t="shared" si="505"/>
        <v>1</v>
      </c>
      <c r="U1047" s="4">
        <f t="shared" si="506"/>
        <v>8.5171931914162382</v>
      </c>
      <c r="V1047" s="4">
        <f t="shared" si="507"/>
        <v>5.8141305318250662</v>
      </c>
      <c r="W1047" s="4">
        <f t="shared" si="508"/>
        <v>52.9</v>
      </c>
      <c r="X1047" s="4">
        <f t="shared" si="509"/>
        <v>2</v>
      </c>
      <c r="Y1047" s="4">
        <f t="shared" si="510"/>
        <v>8.5171931914162382</v>
      </c>
      <c r="Z1047" s="4">
        <f t="shared" si="511"/>
        <v>5.8141305318250662</v>
      </c>
      <c r="AA1047" s="4">
        <f t="shared" si="512"/>
        <v>52.9</v>
      </c>
      <c r="AB1047" s="4">
        <f t="shared" si="513"/>
        <v>0</v>
      </c>
      <c r="AC1047" s="4">
        <f t="shared" si="514"/>
        <v>1</v>
      </c>
      <c r="AD1047" s="4">
        <f t="shared" si="515"/>
        <v>8.5171931914162382</v>
      </c>
      <c r="AE1047" s="4">
        <f t="shared" si="516"/>
        <v>5.8141305318250662</v>
      </c>
      <c r="AF1047" s="4">
        <f t="shared" si="517"/>
        <v>52.9</v>
      </c>
      <c r="AG1047" s="4">
        <f t="shared" si="518"/>
        <v>8.5171931914162382</v>
      </c>
      <c r="AH1047" s="4">
        <f t="shared" si="519"/>
        <v>0</v>
      </c>
      <c r="AI1047" s="4">
        <f t="shared" si="520"/>
        <v>1</v>
      </c>
      <c r="AJ1047" s="4">
        <f t="shared" si="521"/>
        <v>8.5171931914162382</v>
      </c>
      <c r="AK1047" s="4">
        <f t="shared" si="522"/>
        <v>5.8141305318250662</v>
      </c>
      <c r="AL1047" s="4">
        <f t="shared" si="523"/>
        <v>1</v>
      </c>
      <c r="AM1047" s="4">
        <f>CER!$C$7+CER!$C$8*J1047+CER!$C$9*K1047+CER!$C$10*L1047+CER!$C$11*M1047</f>
        <v>4.9648613040897951</v>
      </c>
      <c r="AN1047" s="4">
        <f t="shared" si="524"/>
        <v>143.28867534184133</v>
      </c>
      <c r="AO1047" s="4">
        <f t="shared" si="525"/>
        <v>4.2388264902252004E-2</v>
      </c>
      <c r="AP1047" s="4">
        <f>Alternatives!$F$25+Alternatives!$F$26*J1047+Alternatives!$F$27*K1047+Alternatives!$F$28*G1047+Alternatives!$F$29*O1047</f>
        <v>4.2059515977204844</v>
      </c>
      <c r="AQ1047" s="4">
        <f t="shared" si="526"/>
        <v>0.80129797127156266</v>
      </c>
    </row>
    <row r="1048" spans="1:43" x14ac:dyDescent="0.35">
      <c r="A1048" s="2" t="s">
        <v>903</v>
      </c>
      <c r="B1048" s="2" t="s">
        <v>73</v>
      </c>
      <c r="C1048" s="2" t="s">
        <v>34</v>
      </c>
      <c r="D1048" s="2">
        <v>140.75569999999999</v>
      </c>
      <c r="E1048" s="2">
        <v>5000</v>
      </c>
      <c r="F1048" s="2">
        <v>335</v>
      </c>
      <c r="G1048" s="2">
        <v>52.3</v>
      </c>
      <c r="H1048" s="2" t="s">
        <v>883</v>
      </c>
      <c r="I1048" s="4">
        <f t="shared" si="496"/>
        <v>4.9470257635355059</v>
      </c>
      <c r="J1048" s="4">
        <f t="shared" si="497"/>
        <v>8.5171931914162382</v>
      </c>
      <c r="K1048" s="4">
        <f t="shared" si="498"/>
        <v>5.8141305318250662</v>
      </c>
      <c r="L1048" s="2">
        <v>0</v>
      </c>
      <c r="M1048" s="2">
        <v>1</v>
      </c>
      <c r="N1048" s="4">
        <f t="shared" si="499"/>
        <v>52.3</v>
      </c>
      <c r="O1048" s="4">
        <f t="shared" si="500"/>
        <v>1</v>
      </c>
      <c r="P1048" s="4">
        <f t="shared" si="501"/>
        <v>2</v>
      </c>
      <c r="Q1048" s="4">
        <f t="shared" si="502"/>
        <v>8.5171931914162382</v>
      </c>
      <c r="R1048" s="4">
        <f t="shared" si="503"/>
        <v>5.8141305318250662</v>
      </c>
      <c r="S1048" s="4">
        <f t="shared" si="504"/>
        <v>52.3</v>
      </c>
      <c r="T1048" s="4">
        <f t="shared" si="505"/>
        <v>1</v>
      </c>
      <c r="U1048" s="4">
        <f t="shared" si="506"/>
        <v>8.5171931914162382</v>
      </c>
      <c r="V1048" s="4">
        <f t="shared" si="507"/>
        <v>5.8141305318250662</v>
      </c>
      <c r="W1048" s="4">
        <f t="shared" si="508"/>
        <v>52.3</v>
      </c>
      <c r="X1048" s="4">
        <f t="shared" si="509"/>
        <v>2</v>
      </c>
      <c r="Y1048" s="4">
        <f t="shared" si="510"/>
        <v>8.5171931914162382</v>
      </c>
      <c r="Z1048" s="4">
        <f t="shared" si="511"/>
        <v>5.8141305318250662</v>
      </c>
      <c r="AA1048" s="4">
        <f t="shared" si="512"/>
        <v>52.3</v>
      </c>
      <c r="AB1048" s="4">
        <f t="shared" si="513"/>
        <v>0</v>
      </c>
      <c r="AC1048" s="4">
        <f t="shared" si="514"/>
        <v>1</v>
      </c>
      <c r="AD1048" s="4">
        <f t="shared" si="515"/>
        <v>8.5171931914162382</v>
      </c>
      <c r="AE1048" s="4">
        <f t="shared" si="516"/>
        <v>5.8141305318250662</v>
      </c>
      <c r="AF1048" s="4">
        <f t="shared" si="517"/>
        <v>52.3</v>
      </c>
      <c r="AG1048" s="4">
        <f t="shared" si="518"/>
        <v>8.5171931914162382</v>
      </c>
      <c r="AH1048" s="4">
        <f t="shared" si="519"/>
        <v>0</v>
      </c>
      <c r="AI1048" s="4">
        <f t="shared" si="520"/>
        <v>1</v>
      </c>
      <c r="AJ1048" s="4">
        <f t="shared" si="521"/>
        <v>8.5171931914162382</v>
      </c>
      <c r="AK1048" s="4">
        <f t="shared" si="522"/>
        <v>5.8141305318250662</v>
      </c>
      <c r="AL1048" s="4">
        <f t="shared" si="523"/>
        <v>1</v>
      </c>
      <c r="AM1048" s="4">
        <f>CER!$C$7+CER!$C$8*J1048+CER!$C$9*K1048+CER!$C$10*L1048+CER!$C$11*M1048</f>
        <v>4.9648613040897951</v>
      </c>
      <c r="AN1048" s="4">
        <f t="shared" si="524"/>
        <v>143.28867534184133</v>
      </c>
      <c r="AO1048" s="4">
        <f t="shared" si="525"/>
        <v>-1.7835540554289153E-2</v>
      </c>
      <c r="AP1048" s="4">
        <f>Alternatives!$F$25+Alternatives!$F$26*J1048+Alternatives!$F$27*K1048+Alternatives!$F$28*G1048+Alternatives!$F$29*O1048</f>
        <v>4.2137559864458218</v>
      </c>
      <c r="AQ1048" s="4">
        <f t="shared" si="526"/>
        <v>0.7332697770896841</v>
      </c>
    </row>
    <row r="1049" spans="1:43" x14ac:dyDescent="0.35">
      <c r="A1049" s="2" t="s">
        <v>904</v>
      </c>
      <c r="B1049" s="2" t="s">
        <v>73</v>
      </c>
      <c r="C1049" s="2" t="s">
        <v>34</v>
      </c>
      <c r="D1049" s="2">
        <v>136.50450000000001</v>
      </c>
      <c r="E1049" s="2">
        <v>5000</v>
      </c>
      <c r="F1049" s="2">
        <v>335</v>
      </c>
      <c r="G1049" s="2">
        <v>52.2</v>
      </c>
      <c r="H1049" s="2" t="s">
        <v>883</v>
      </c>
      <c r="I1049" s="4">
        <f t="shared" si="496"/>
        <v>4.916357581114581</v>
      </c>
      <c r="J1049" s="4">
        <f t="shared" si="497"/>
        <v>8.5171931914162382</v>
      </c>
      <c r="K1049" s="4">
        <f t="shared" si="498"/>
        <v>5.8141305318250662</v>
      </c>
      <c r="L1049" s="2">
        <v>0</v>
      </c>
      <c r="M1049" s="2">
        <v>1</v>
      </c>
      <c r="N1049" s="4">
        <f t="shared" si="499"/>
        <v>52.2</v>
      </c>
      <c r="O1049" s="4">
        <f t="shared" si="500"/>
        <v>1</v>
      </c>
      <c r="P1049" s="4">
        <f t="shared" si="501"/>
        <v>2</v>
      </c>
      <c r="Q1049" s="4">
        <f t="shared" si="502"/>
        <v>8.5171931914162382</v>
      </c>
      <c r="R1049" s="4">
        <f t="shared" si="503"/>
        <v>5.8141305318250662</v>
      </c>
      <c r="S1049" s="4">
        <f t="shared" si="504"/>
        <v>52.2</v>
      </c>
      <c r="T1049" s="4">
        <f t="shared" si="505"/>
        <v>1</v>
      </c>
      <c r="U1049" s="4">
        <f t="shared" si="506"/>
        <v>8.5171931914162382</v>
      </c>
      <c r="V1049" s="4">
        <f t="shared" si="507"/>
        <v>5.8141305318250662</v>
      </c>
      <c r="W1049" s="4">
        <f t="shared" si="508"/>
        <v>52.2</v>
      </c>
      <c r="X1049" s="4">
        <f t="shared" si="509"/>
        <v>2</v>
      </c>
      <c r="Y1049" s="4">
        <f t="shared" si="510"/>
        <v>8.5171931914162382</v>
      </c>
      <c r="Z1049" s="4">
        <f t="shared" si="511"/>
        <v>5.8141305318250662</v>
      </c>
      <c r="AA1049" s="4">
        <f t="shared" si="512"/>
        <v>52.2</v>
      </c>
      <c r="AB1049" s="4">
        <f t="shared" si="513"/>
        <v>0</v>
      </c>
      <c r="AC1049" s="4">
        <f t="shared" si="514"/>
        <v>1</v>
      </c>
      <c r="AD1049" s="4">
        <f t="shared" si="515"/>
        <v>8.5171931914162382</v>
      </c>
      <c r="AE1049" s="4">
        <f t="shared" si="516"/>
        <v>5.8141305318250662</v>
      </c>
      <c r="AF1049" s="4">
        <f t="shared" si="517"/>
        <v>52.2</v>
      </c>
      <c r="AG1049" s="4">
        <f t="shared" si="518"/>
        <v>8.5171931914162382</v>
      </c>
      <c r="AH1049" s="4">
        <f t="shared" si="519"/>
        <v>0</v>
      </c>
      <c r="AI1049" s="4">
        <f t="shared" si="520"/>
        <v>1</v>
      </c>
      <c r="AJ1049" s="4">
        <f t="shared" si="521"/>
        <v>8.5171931914162382</v>
      </c>
      <c r="AK1049" s="4">
        <f t="shared" si="522"/>
        <v>5.8141305318250662</v>
      </c>
      <c r="AL1049" s="4">
        <f t="shared" si="523"/>
        <v>1</v>
      </c>
      <c r="AM1049" s="4">
        <f>CER!$C$7+CER!$C$8*J1049+CER!$C$9*K1049+CER!$C$10*L1049+CER!$C$11*M1049</f>
        <v>4.9648613040897951</v>
      </c>
      <c r="AN1049" s="4">
        <f t="shared" si="524"/>
        <v>143.28867534184133</v>
      </c>
      <c r="AO1049" s="4">
        <f t="shared" si="525"/>
        <v>-4.8503722975214103E-2</v>
      </c>
      <c r="AP1049" s="4">
        <f>Alternatives!$F$25+Alternatives!$F$26*J1049+Alternatives!$F$27*K1049+Alternatives!$F$28*G1049+Alternatives!$F$29*O1049</f>
        <v>4.215056717900044</v>
      </c>
      <c r="AQ1049" s="4">
        <f t="shared" si="526"/>
        <v>0.701300863214537</v>
      </c>
    </row>
    <row r="1050" spans="1:43" x14ac:dyDescent="0.35">
      <c r="A1050" s="2" t="s">
        <v>905</v>
      </c>
      <c r="B1050" s="2" t="s">
        <v>73</v>
      </c>
      <c r="C1050" s="2" t="s">
        <v>34</v>
      </c>
      <c r="D1050" s="2">
        <v>128.31270000000001</v>
      </c>
      <c r="E1050" s="2">
        <v>5500</v>
      </c>
      <c r="F1050" s="2">
        <v>590</v>
      </c>
      <c r="G1050" s="2">
        <v>52.5</v>
      </c>
      <c r="H1050" s="2" t="s">
        <v>881</v>
      </c>
      <c r="I1050" s="4">
        <f t="shared" si="496"/>
        <v>4.854470253472531</v>
      </c>
      <c r="J1050" s="4">
        <f t="shared" si="497"/>
        <v>8.6125033712205621</v>
      </c>
      <c r="K1050" s="4">
        <f t="shared" si="498"/>
        <v>6.3801225368997647</v>
      </c>
      <c r="L1050" s="2">
        <v>0</v>
      </c>
      <c r="M1050" s="2">
        <v>1</v>
      </c>
      <c r="N1050" s="4">
        <f t="shared" si="499"/>
        <v>52.5</v>
      </c>
      <c r="O1050" s="4">
        <f t="shared" si="500"/>
        <v>1</v>
      </c>
      <c r="P1050" s="4">
        <f t="shared" si="501"/>
        <v>2</v>
      </c>
      <c r="Q1050" s="4">
        <f t="shared" si="502"/>
        <v>8.6125033712205621</v>
      </c>
      <c r="R1050" s="4">
        <f t="shared" si="503"/>
        <v>6.3801225368997647</v>
      </c>
      <c r="S1050" s="4">
        <f t="shared" si="504"/>
        <v>52.5</v>
      </c>
      <c r="T1050" s="4">
        <f t="shared" si="505"/>
        <v>1</v>
      </c>
      <c r="U1050" s="4">
        <f t="shared" si="506"/>
        <v>8.6125033712205621</v>
      </c>
      <c r="V1050" s="4">
        <f t="shared" si="507"/>
        <v>6.3801225368997647</v>
      </c>
      <c r="W1050" s="4">
        <f t="shared" si="508"/>
        <v>52.5</v>
      </c>
      <c r="X1050" s="4">
        <f t="shared" si="509"/>
        <v>2</v>
      </c>
      <c r="Y1050" s="4">
        <f t="shared" si="510"/>
        <v>8.6125033712205621</v>
      </c>
      <c r="Z1050" s="4">
        <f t="shared" si="511"/>
        <v>6.3801225368997647</v>
      </c>
      <c r="AA1050" s="4">
        <f t="shared" si="512"/>
        <v>52.5</v>
      </c>
      <c r="AB1050" s="4">
        <f t="shared" si="513"/>
        <v>0</v>
      </c>
      <c r="AC1050" s="4">
        <f t="shared" si="514"/>
        <v>1</v>
      </c>
      <c r="AD1050" s="4">
        <f t="shared" si="515"/>
        <v>8.6125033712205621</v>
      </c>
      <c r="AE1050" s="4">
        <f t="shared" si="516"/>
        <v>6.3801225368997647</v>
      </c>
      <c r="AF1050" s="4">
        <f t="shared" si="517"/>
        <v>52.5</v>
      </c>
      <c r="AG1050" s="4">
        <f t="shared" si="518"/>
        <v>8.6125033712205621</v>
      </c>
      <c r="AH1050" s="4">
        <f t="shared" si="519"/>
        <v>0</v>
      </c>
      <c r="AI1050" s="4">
        <f t="shared" si="520"/>
        <v>1</v>
      </c>
      <c r="AJ1050" s="4">
        <f t="shared" si="521"/>
        <v>8.6125033712205621</v>
      </c>
      <c r="AK1050" s="4">
        <f t="shared" si="522"/>
        <v>6.3801225368997647</v>
      </c>
      <c r="AL1050" s="4">
        <f t="shared" si="523"/>
        <v>1</v>
      </c>
      <c r="AM1050" s="4">
        <f>CER!$C$7+CER!$C$8*J1050+CER!$C$9*K1050+CER!$C$10*L1050+CER!$C$11*M1050</f>
        <v>4.7128943241277366</v>
      </c>
      <c r="AN1050" s="4">
        <f t="shared" si="524"/>
        <v>111.374046448839</v>
      </c>
      <c r="AO1050" s="4">
        <f t="shared" si="525"/>
        <v>0.14157592934479446</v>
      </c>
      <c r="AP1050" s="4">
        <f>Alternatives!$F$25+Alternatives!$F$26*J1050+Alternatives!$F$27*K1050+Alternatives!$F$28*G1050+Alternatives!$F$29*O1050</f>
        <v>4.0958113703449897</v>
      </c>
      <c r="AQ1050" s="4">
        <f t="shared" si="526"/>
        <v>0.75865888312754137</v>
      </c>
    </row>
    <row r="1051" spans="1:43" x14ac:dyDescent="0.35">
      <c r="A1051" s="2" t="s">
        <v>906</v>
      </c>
      <c r="B1051" s="2" t="s">
        <v>73</v>
      </c>
      <c r="C1051" s="2" t="s">
        <v>34</v>
      </c>
      <c r="D1051" s="2">
        <v>125.9034</v>
      </c>
      <c r="E1051" s="2">
        <v>5500</v>
      </c>
      <c r="F1051" s="2">
        <v>590</v>
      </c>
      <c r="G1051" s="2">
        <v>52.6</v>
      </c>
      <c r="H1051" s="2" t="s">
        <v>881</v>
      </c>
      <c r="I1051" s="4">
        <f t="shared" si="496"/>
        <v>4.8355149462456266</v>
      </c>
      <c r="J1051" s="4">
        <f t="shared" si="497"/>
        <v>8.6125033712205621</v>
      </c>
      <c r="K1051" s="4">
        <f t="shared" si="498"/>
        <v>6.3801225368997647</v>
      </c>
      <c r="L1051" s="2">
        <v>0</v>
      </c>
      <c r="M1051" s="2">
        <v>1</v>
      </c>
      <c r="N1051" s="4">
        <f t="shared" si="499"/>
        <v>52.6</v>
      </c>
      <c r="O1051" s="4">
        <f t="shared" si="500"/>
        <v>1</v>
      </c>
      <c r="P1051" s="4">
        <f t="shared" si="501"/>
        <v>2</v>
      </c>
      <c r="Q1051" s="4">
        <f t="shared" si="502"/>
        <v>8.6125033712205621</v>
      </c>
      <c r="R1051" s="4">
        <f t="shared" si="503"/>
        <v>6.3801225368997647</v>
      </c>
      <c r="S1051" s="4">
        <f t="shared" si="504"/>
        <v>52.6</v>
      </c>
      <c r="T1051" s="4">
        <f t="shared" si="505"/>
        <v>1</v>
      </c>
      <c r="U1051" s="4">
        <f t="shared" si="506"/>
        <v>8.6125033712205621</v>
      </c>
      <c r="V1051" s="4">
        <f t="shared" si="507"/>
        <v>6.3801225368997647</v>
      </c>
      <c r="W1051" s="4">
        <f t="shared" si="508"/>
        <v>52.6</v>
      </c>
      <c r="X1051" s="4">
        <f t="shared" si="509"/>
        <v>2</v>
      </c>
      <c r="Y1051" s="4">
        <f t="shared" si="510"/>
        <v>8.6125033712205621</v>
      </c>
      <c r="Z1051" s="4">
        <f t="shared" si="511"/>
        <v>6.3801225368997647</v>
      </c>
      <c r="AA1051" s="4">
        <f t="shared" si="512"/>
        <v>52.6</v>
      </c>
      <c r="AB1051" s="4">
        <f t="shared" si="513"/>
        <v>0</v>
      </c>
      <c r="AC1051" s="4">
        <f t="shared" si="514"/>
        <v>1</v>
      </c>
      <c r="AD1051" s="4">
        <f t="shared" si="515"/>
        <v>8.6125033712205621</v>
      </c>
      <c r="AE1051" s="4">
        <f t="shared" si="516"/>
        <v>6.3801225368997647</v>
      </c>
      <c r="AF1051" s="4">
        <f t="shared" si="517"/>
        <v>52.6</v>
      </c>
      <c r="AG1051" s="4">
        <f t="shared" si="518"/>
        <v>8.6125033712205621</v>
      </c>
      <c r="AH1051" s="4">
        <f t="shared" si="519"/>
        <v>0</v>
      </c>
      <c r="AI1051" s="4">
        <f t="shared" si="520"/>
        <v>1</v>
      </c>
      <c r="AJ1051" s="4">
        <f t="shared" si="521"/>
        <v>8.6125033712205621</v>
      </c>
      <c r="AK1051" s="4">
        <f t="shared" si="522"/>
        <v>6.3801225368997647</v>
      </c>
      <c r="AL1051" s="4">
        <f t="shared" si="523"/>
        <v>1</v>
      </c>
      <c r="AM1051" s="4">
        <f>CER!$C$7+CER!$C$8*J1051+CER!$C$9*K1051+CER!$C$10*L1051+CER!$C$11*M1051</f>
        <v>4.7128943241277366</v>
      </c>
      <c r="AN1051" s="4">
        <f t="shared" si="524"/>
        <v>111.374046448839</v>
      </c>
      <c r="AO1051" s="4">
        <f t="shared" si="525"/>
        <v>0.12262062211789004</v>
      </c>
      <c r="AP1051" s="4">
        <f>Alternatives!$F$25+Alternatives!$F$26*J1051+Alternatives!$F$27*K1051+Alternatives!$F$28*G1051+Alternatives!$F$29*O1051</f>
        <v>4.0945106388907675</v>
      </c>
      <c r="AQ1051" s="4">
        <f t="shared" si="526"/>
        <v>0.74100430735485912</v>
      </c>
    </row>
    <row r="1052" spans="1:43" x14ac:dyDescent="0.35">
      <c r="A1052" s="2" t="s">
        <v>907</v>
      </c>
      <c r="B1052" s="2" t="s">
        <v>73</v>
      </c>
      <c r="C1052" s="2" t="s">
        <v>34</v>
      </c>
      <c r="D1052" s="2">
        <v>120.0033</v>
      </c>
      <c r="E1052" s="2">
        <v>5500</v>
      </c>
      <c r="F1052" s="2">
        <v>590</v>
      </c>
      <c r="G1052" s="2">
        <v>52.4</v>
      </c>
      <c r="H1052" s="2" t="s">
        <v>881</v>
      </c>
      <c r="I1052" s="4">
        <f t="shared" si="496"/>
        <v>4.7875192424039277</v>
      </c>
      <c r="J1052" s="4">
        <f t="shared" si="497"/>
        <v>8.6125033712205621</v>
      </c>
      <c r="K1052" s="4">
        <f t="shared" si="498"/>
        <v>6.3801225368997647</v>
      </c>
      <c r="L1052" s="2">
        <v>0</v>
      </c>
      <c r="M1052" s="2">
        <v>1</v>
      </c>
      <c r="N1052" s="4">
        <f t="shared" si="499"/>
        <v>52.4</v>
      </c>
      <c r="O1052" s="4">
        <f t="shared" si="500"/>
        <v>1</v>
      </c>
      <c r="P1052" s="4">
        <f t="shared" si="501"/>
        <v>2</v>
      </c>
      <c r="Q1052" s="4">
        <f t="shared" si="502"/>
        <v>8.6125033712205621</v>
      </c>
      <c r="R1052" s="4">
        <f t="shared" si="503"/>
        <v>6.3801225368997647</v>
      </c>
      <c r="S1052" s="4">
        <f t="shared" si="504"/>
        <v>52.4</v>
      </c>
      <c r="T1052" s="4">
        <f t="shared" si="505"/>
        <v>1</v>
      </c>
      <c r="U1052" s="4">
        <f t="shared" si="506"/>
        <v>8.6125033712205621</v>
      </c>
      <c r="V1052" s="4">
        <f t="shared" si="507"/>
        <v>6.3801225368997647</v>
      </c>
      <c r="W1052" s="4">
        <f t="shared" si="508"/>
        <v>52.4</v>
      </c>
      <c r="X1052" s="4">
        <f t="shared" si="509"/>
        <v>2</v>
      </c>
      <c r="Y1052" s="4">
        <f t="shared" si="510"/>
        <v>8.6125033712205621</v>
      </c>
      <c r="Z1052" s="4">
        <f t="shared" si="511"/>
        <v>6.3801225368997647</v>
      </c>
      <c r="AA1052" s="4">
        <f t="shared" si="512"/>
        <v>52.4</v>
      </c>
      <c r="AB1052" s="4">
        <f t="shared" si="513"/>
        <v>0</v>
      </c>
      <c r="AC1052" s="4">
        <f t="shared" si="514"/>
        <v>1</v>
      </c>
      <c r="AD1052" s="4">
        <f t="shared" si="515"/>
        <v>8.6125033712205621</v>
      </c>
      <c r="AE1052" s="4">
        <f t="shared" si="516"/>
        <v>6.3801225368997647</v>
      </c>
      <c r="AF1052" s="4">
        <f t="shared" si="517"/>
        <v>52.4</v>
      </c>
      <c r="AG1052" s="4">
        <f t="shared" si="518"/>
        <v>8.6125033712205621</v>
      </c>
      <c r="AH1052" s="4">
        <f t="shared" si="519"/>
        <v>0</v>
      </c>
      <c r="AI1052" s="4">
        <f t="shared" si="520"/>
        <v>1</v>
      </c>
      <c r="AJ1052" s="4">
        <f t="shared" si="521"/>
        <v>8.6125033712205621</v>
      </c>
      <c r="AK1052" s="4">
        <f t="shared" si="522"/>
        <v>6.3801225368997647</v>
      </c>
      <c r="AL1052" s="4">
        <f t="shared" si="523"/>
        <v>1</v>
      </c>
      <c r="AM1052" s="4">
        <f>CER!$C$7+CER!$C$8*J1052+CER!$C$9*K1052+CER!$C$10*L1052+CER!$C$11*M1052</f>
        <v>4.7128943241277366</v>
      </c>
      <c r="AN1052" s="4">
        <f t="shared" si="524"/>
        <v>111.374046448839</v>
      </c>
      <c r="AO1052" s="4">
        <f t="shared" si="525"/>
        <v>7.462491827619111E-2</v>
      </c>
      <c r="AP1052" s="4">
        <f>Alternatives!$F$25+Alternatives!$F$26*J1052+Alternatives!$F$27*K1052+Alternatives!$F$28*G1052+Alternatives!$F$29*O1052</f>
        <v>4.0971121017992118</v>
      </c>
      <c r="AQ1052" s="4">
        <f t="shared" si="526"/>
        <v>0.69040714060471586</v>
      </c>
    </row>
    <row r="1053" spans="1:43" x14ac:dyDescent="0.35">
      <c r="A1053" s="2" t="s">
        <v>908</v>
      </c>
      <c r="B1053" s="2" t="s">
        <v>73</v>
      </c>
      <c r="C1053" s="2" t="s">
        <v>34</v>
      </c>
      <c r="D1053" s="2">
        <v>148.4914</v>
      </c>
      <c r="E1053" s="2">
        <v>5000</v>
      </c>
      <c r="F1053" s="2">
        <v>396</v>
      </c>
      <c r="G1053" s="2">
        <v>49.6</v>
      </c>
      <c r="H1053" s="2" t="s">
        <v>883</v>
      </c>
      <c r="I1053" s="4">
        <f t="shared" si="496"/>
        <v>5.0005270441078506</v>
      </c>
      <c r="J1053" s="4">
        <f t="shared" si="497"/>
        <v>8.5171931914162382</v>
      </c>
      <c r="K1053" s="4">
        <f t="shared" si="498"/>
        <v>5.9814142112544806</v>
      </c>
      <c r="L1053" s="2">
        <v>0</v>
      </c>
      <c r="M1053" s="2">
        <v>1</v>
      </c>
      <c r="N1053" s="4">
        <f t="shared" si="499"/>
        <v>49.6</v>
      </c>
      <c r="O1053" s="4">
        <f t="shared" si="500"/>
        <v>1</v>
      </c>
      <c r="P1053" s="4">
        <f t="shared" si="501"/>
        <v>2</v>
      </c>
      <c r="Q1053" s="4">
        <f t="shared" si="502"/>
        <v>8.5171931914162382</v>
      </c>
      <c r="R1053" s="4">
        <f t="shared" si="503"/>
        <v>5.9814142112544806</v>
      </c>
      <c r="S1053" s="4">
        <f t="shared" si="504"/>
        <v>49.6</v>
      </c>
      <c r="T1053" s="4">
        <f t="shared" si="505"/>
        <v>1</v>
      </c>
      <c r="U1053" s="4">
        <f t="shared" si="506"/>
        <v>8.5171931914162382</v>
      </c>
      <c r="V1053" s="4">
        <f t="shared" si="507"/>
        <v>5.9814142112544806</v>
      </c>
      <c r="W1053" s="4">
        <f t="shared" si="508"/>
        <v>49.6</v>
      </c>
      <c r="X1053" s="4">
        <f t="shared" si="509"/>
        <v>2</v>
      </c>
      <c r="Y1053" s="4">
        <f t="shared" si="510"/>
        <v>8.5171931914162382</v>
      </c>
      <c r="Z1053" s="4">
        <f t="shared" si="511"/>
        <v>5.9814142112544806</v>
      </c>
      <c r="AA1053" s="4">
        <f t="shared" si="512"/>
        <v>49.6</v>
      </c>
      <c r="AB1053" s="4">
        <f t="shared" si="513"/>
        <v>0</v>
      </c>
      <c r="AC1053" s="4">
        <f t="shared" si="514"/>
        <v>1</v>
      </c>
      <c r="AD1053" s="4">
        <f t="shared" si="515"/>
        <v>8.5171931914162382</v>
      </c>
      <c r="AE1053" s="4">
        <f t="shared" si="516"/>
        <v>5.9814142112544806</v>
      </c>
      <c r="AF1053" s="4">
        <f t="shared" si="517"/>
        <v>49.6</v>
      </c>
      <c r="AG1053" s="4">
        <f t="shared" si="518"/>
        <v>8.5171931914162382</v>
      </c>
      <c r="AH1053" s="4">
        <f t="shared" si="519"/>
        <v>0</v>
      </c>
      <c r="AI1053" s="4">
        <f t="shared" si="520"/>
        <v>1</v>
      </c>
      <c r="AJ1053" s="4">
        <f t="shared" si="521"/>
        <v>8.5171931914162382</v>
      </c>
      <c r="AK1053" s="4">
        <f t="shared" si="522"/>
        <v>5.9814142112544806</v>
      </c>
      <c r="AL1053" s="4">
        <f t="shared" si="523"/>
        <v>1</v>
      </c>
      <c r="AM1053" s="4">
        <f>CER!$C$7+CER!$C$8*J1053+CER!$C$9*K1053+CER!$C$10*L1053+CER!$C$11*M1053</f>
        <v>4.9031430421317044</v>
      </c>
      <c r="AN1053" s="4">
        <f t="shared" si="524"/>
        <v>134.71252212097363</v>
      </c>
      <c r="AO1053" s="4">
        <f t="shared" si="525"/>
        <v>9.7384001976146273E-2</v>
      </c>
      <c r="AP1053" s="4">
        <f>Alternatives!$F$25+Alternatives!$F$26*J1053+Alternatives!$F$27*K1053+Alternatives!$F$28*G1053+Alternatives!$F$29*O1053</f>
        <v>4.2043598811450522</v>
      </c>
      <c r="AQ1053" s="4">
        <f t="shared" si="526"/>
        <v>0.79616716296279844</v>
      </c>
    </row>
    <row r="1054" spans="1:43" x14ac:dyDescent="0.35">
      <c r="A1054" s="2" t="s">
        <v>909</v>
      </c>
      <c r="B1054" s="2" t="s">
        <v>73</v>
      </c>
      <c r="C1054" s="2" t="s">
        <v>34</v>
      </c>
      <c r="D1054" s="2">
        <v>134.7088</v>
      </c>
      <c r="E1054" s="2">
        <v>5000</v>
      </c>
      <c r="F1054" s="2">
        <v>396</v>
      </c>
      <c r="G1054" s="2">
        <v>49</v>
      </c>
      <c r="H1054" s="2" t="s">
        <v>883</v>
      </c>
      <c r="I1054" s="4">
        <f t="shared" si="496"/>
        <v>4.9031154116461542</v>
      </c>
      <c r="J1054" s="4">
        <f t="shared" si="497"/>
        <v>8.5171931914162382</v>
      </c>
      <c r="K1054" s="4">
        <f t="shared" si="498"/>
        <v>5.9814142112544806</v>
      </c>
      <c r="L1054" s="2">
        <v>0</v>
      </c>
      <c r="M1054" s="2">
        <v>1</v>
      </c>
      <c r="N1054" s="4">
        <f t="shared" si="499"/>
        <v>49</v>
      </c>
      <c r="O1054" s="4">
        <f t="shared" si="500"/>
        <v>1</v>
      </c>
      <c r="P1054" s="4">
        <f t="shared" si="501"/>
        <v>2</v>
      </c>
      <c r="Q1054" s="4">
        <f t="shared" si="502"/>
        <v>8.5171931914162382</v>
      </c>
      <c r="R1054" s="4">
        <f t="shared" si="503"/>
        <v>5.9814142112544806</v>
      </c>
      <c r="S1054" s="4">
        <f t="shared" si="504"/>
        <v>49</v>
      </c>
      <c r="T1054" s="4">
        <f t="shared" si="505"/>
        <v>1</v>
      </c>
      <c r="U1054" s="4">
        <f t="shared" si="506"/>
        <v>8.5171931914162382</v>
      </c>
      <c r="V1054" s="4">
        <f t="shared" si="507"/>
        <v>5.9814142112544806</v>
      </c>
      <c r="W1054" s="4">
        <f t="shared" si="508"/>
        <v>49</v>
      </c>
      <c r="X1054" s="4">
        <f t="shared" si="509"/>
        <v>2</v>
      </c>
      <c r="Y1054" s="4">
        <f t="shared" si="510"/>
        <v>8.5171931914162382</v>
      </c>
      <c r="Z1054" s="4">
        <f t="shared" si="511"/>
        <v>5.9814142112544806</v>
      </c>
      <c r="AA1054" s="4">
        <f t="shared" si="512"/>
        <v>49</v>
      </c>
      <c r="AB1054" s="4">
        <f t="shared" si="513"/>
        <v>0</v>
      </c>
      <c r="AC1054" s="4">
        <f t="shared" si="514"/>
        <v>1</v>
      </c>
      <c r="AD1054" s="4">
        <f t="shared" si="515"/>
        <v>8.5171931914162382</v>
      </c>
      <c r="AE1054" s="4">
        <f t="shared" si="516"/>
        <v>5.9814142112544806</v>
      </c>
      <c r="AF1054" s="4">
        <f t="shared" si="517"/>
        <v>49</v>
      </c>
      <c r="AG1054" s="4">
        <f t="shared" si="518"/>
        <v>8.5171931914162382</v>
      </c>
      <c r="AH1054" s="4">
        <f t="shared" si="519"/>
        <v>0</v>
      </c>
      <c r="AI1054" s="4">
        <f t="shared" si="520"/>
        <v>1</v>
      </c>
      <c r="AJ1054" s="4">
        <f t="shared" si="521"/>
        <v>8.5171931914162382</v>
      </c>
      <c r="AK1054" s="4">
        <f t="shared" si="522"/>
        <v>5.9814142112544806</v>
      </c>
      <c r="AL1054" s="4">
        <f t="shared" si="523"/>
        <v>1</v>
      </c>
      <c r="AM1054" s="4">
        <f>CER!$C$7+CER!$C$8*J1054+CER!$C$9*K1054+CER!$C$10*L1054+CER!$C$11*M1054</f>
        <v>4.9031430421317044</v>
      </c>
      <c r="AN1054" s="4">
        <f t="shared" si="524"/>
        <v>134.71252212097363</v>
      </c>
      <c r="AO1054" s="4">
        <f t="shared" si="525"/>
        <v>-2.7630485550211858E-5</v>
      </c>
      <c r="AP1054" s="4">
        <f>Alternatives!$F$25+Alternatives!$F$26*J1054+Alternatives!$F$27*K1054+Alternatives!$F$28*G1054+Alternatives!$F$29*O1054</f>
        <v>4.2121642698703887</v>
      </c>
      <c r="AQ1054" s="4">
        <f t="shared" si="526"/>
        <v>0.69095114177576544</v>
      </c>
    </row>
    <row r="1055" spans="1:43" x14ac:dyDescent="0.35">
      <c r="A1055" s="2" t="s">
        <v>910</v>
      </c>
      <c r="B1055" s="2" t="s">
        <v>73</v>
      </c>
      <c r="C1055" s="2" t="s">
        <v>34</v>
      </c>
      <c r="D1055" s="2">
        <v>156.76900000000001</v>
      </c>
      <c r="E1055" s="2">
        <v>3500</v>
      </c>
      <c r="F1055" s="2">
        <v>181</v>
      </c>
      <c r="G1055" s="2">
        <v>40</v>
      </c>
      <c r="H1055" s="2" t="s">
        <v>911</v>
      </c>
      <c r="I1055" s="4">
        <f t="shared" si="496"/>
        <v>5.0547733842886471</v>
      </c>
      <c r="J1055" s="4">
        <f t="shared" si="497"/>
        <v>8.1605182474775049</v>
      </c>
      <c r="K1055" s="4">
        <f t="shared" si="498"/>
        <v>5.1984970312658261</v>
      </c>
      <c r="L1055" s="2">
        <v>0</v>
      </c>
      <c r="M1055" s="2">
        <v>1</v>
      </c>
      <c r="N1055" s="4">
        <f t="shared" si="499"/>
        <v>40</v>
      </c>
      <c r="O1055" s="4">
        <f t="shared" si="500"/>
        <v>1</v>
      </c>
      <c r="P1055" s="4">
        <f t="shared" si="501"/>
        <v>2</v>
      </c>
      <c r="Q1055" s="4">
        <f t="shared" si="502"/>
        <v>8.1605182474775049</v>
      </c>
      <c r="R1055" s="4">
        <f t="shared" si="503"/>
        <v>5.1984970312658261</v>
      </c>
      <c r="S1055" s="4">
        <f t="shared" si="504"/>
        <v>40</v>
      </c>
      <c r="T1055" s="4">
        <f t="shared" si="505"/>
        <v>1</v>
      </c>
      <c r="U1055" s="4">
        <f t="shared" si="506"/>
        <v>8.1605182474775049</v>
      </c>
      <c r="V1055" s="4">
        <f t="shared" si="507"/>
        <v>5.1984970312658261</v>
      </c>
      <c r="W1055" s="4">
        <f t="shared" si="508"/>
        <v>40</v>
      </c>
      <c r="X1055" s="4">
        <f t="shared" si="509"/>
        <v>2</v>
      </c>
      <c r="Y1055" s="4">
        <f t="shared" si="510"/>
        <v>8.1605182474775049</v>
      </c>
      <c r="Z1055" s="4">
        <f t="shared" si="511"/>
        <v>5.1984970312658261</v>
      </c>
      <c r="AA1055" s="4">
        <f t="shared" si="512"/>
        <v>40</v>
      </c>
      <c r="AB1055" s="4">
        <f t="shared" si="513"/>
        <v>0</v>
      </c>
      <c r="AC1055" s="4">
        <f t="shared" si="514"/>
        <v>1</v>
      </c>
      <c r="AD1055" s="4">
        <f t="shared" si="515"/>
        <v>8.1605182474775049</v>
      </c>
      <c r="AE1055" s="4">
        <f t="shared" si="516"/>
        <v>5.1984970312658261</v>
      </c>
      <c r="AF1055" s="4">
        <f t="shared" si="517"/>
        <v>40</v>
      </c>
      <c r="AG1055" s="4">
        <f t="shared" si="518"/>
        <v>8.1605182474775049</v>
      </c>
      <c r="AH1055" s="4">
        <f t="shared" si="519"/>
        <v>0</v>
      </c>
      <c r="AI1055" s="4">
        <f t="shared" si="520"/>
        <v>1</v>
      </c>
      <c r="AJ1055" s="4">
        <f t="shared" si="521"/>
        <v>8.1605182474775049</v>
      </c>
      <c r="AK1055" s="4">
        <f t="shared" si="522"/>
        <v>5.1984970312658261</v>
      </c>
      <c r="AL1055" s="4">
        <f t="shared" si="523"/>
        <v>1</v>
      </c>
      <c r="AM1055" s="4">
        <f>CER!$C$7+CER!$C$8*J1055+CER!$C$9*K1055+CER!$C$10*L1055+CER!$C$11*M1055</f>
        <v>5.3534654140302198</v>
      </c>
      <c r="AN1055" s="4">
        <f t="shared" si="524"/>
        <v>211.33940888651026</v>
      </c>
      <c r="AO1055" s="4">
        <f t="shared" si="525"/>
        <v>-0.29869202974157272</v>
      </c>
      <c r="AP1055" s="4">
        <f>Alternatives!$F$25+Alternatives!$F$26*J1055+Alternatives!$F$27*K1055+Alternatives!$F$28*G1055+Alternatives!$F$29*O1055</f>
        <v>4.4055717709039666</v>
      </c>
      <c r="AQ1055" s="4">
        <f t="shared" si="526"/>
        <v>0.64920161338468052</v>
      </c>
    </row>
    <row r="1056" spans="1:43" x14ac:dyDescent="0.35">
      <c r="A1056" s="2" t="s">
        <v>912</v>
      </c>
      <c r="B1056" s="2" t="s">
        <v>174</v>
      </c>
      <c r="C1056" s="2" t="s">
        <v>34</v>
      </c>
      <c r="D1056" s="2">
        <v>139.46850000000001</v>
      </c>
      <c r="E1056" s="2">
        <v>6000</v>
      </c>
      <c r="F1056" s="2">
        <v>670</v>
      </c>
      <c r="G1056" s="2">
        <v>58.2</v>
      </c>
      <c r="H1056" s="2" t="s">
        <v>911</v>
      </c>
      <c r="I1056" s="4">
        <f t="shared" si="496"/>
        <v>4.9378387693116919</v>
      </c>
      <c r="J1056" s="4">
        <f t="shared" si="497"/>
        <v>8.6995147482101913</v>
      </c>
      <c r="K1056" s="4">
        <f t="shared" si="498"/>
        <v>6.5072777123850116</v>
      </c>
      <c r="L1056" s="2">
        <v>0</v>
      </c>
      <c r="M1056" s="2">
        <v>1</v>
      </c>
      <c r="N1056" s="4">
        <f t="shared" si="499"/>
        <v>58.2</v>
      </c>
      <c r="O1056" s="4">
        <f t="shared" si="500"/>
        <v>1</v>
      </c>
      <c r="P1056" s="4">
        <f t="shared" si="501"/>
        <v>2</v>
      </c>
      <c r="Q1056" s="4">
        <f t="shared" si="502"/>
        <v>8.6995147482101913</v>
      </c>
      <c r="R1056" s="4">
        <f t="shared" si="503"/>
        <v>6.5072777123850116</v>
      </c>
      <c r="S1056" s="4">
        <f t="shared" si="504"/>
        <v>58.2</v>
      </c>
      <c r="T1056" s="4">
        <f t="shared" si="505"/>
        <v>1</v>
      </c>
      <c r="U1056" s="4">
        <f t="shared" si="506"/>
        <v>8.6995147482101913</v>
      </c>
      <c r="V1056" s="4">
        <f t="shared" si="507"/>
        <v>6.5072777123850116</v>
      </c>
      <c r="W1056" s="4">
        <f t="shared" si="508"/>
        <v>58.2</v>
      </c>
      <c r="X1056" s="4">
        <f t="shared" si="509"/>
        <v>2</v>
      </c>
      <c r="Y1056" s="4">
        <f t="shared" si="510"/>
        <v>8.6995147482101913</v>
      </c>
      <c r="Z1056" s="4">
        <f t="shared" si="511"/>
        <v>6.5072777123850116</v>
      </c>
      <c r="AA1056" s="4">
        <f t="shared" si="512"/>
        <v>58.2</v>
      </c>
      <c r="AB1056" s="4">
        <f t="shared" si="513"/>
        <v>0</v>
      </c>
      <c r="AC1056" s="4">
        <f t="shared" si="514"/>
        <v>1</v>
      </c>
      <c r="AD1056" s="4">
        <f t="shared" si="515"/>
        <v>8.6995147482101913</v>
      </c>
      <c r="AE1056" s="4">
        <f t="shared" si="516"/>
        <v>6.5072777123850116</v>
      </c>
      <c r="AF1056" s="4">
        <f t="shared" si="517"/>
        <v>58.2</v>
      </c>
      <c r="AG1056" s="4">
        <f t="shared" si="518"/>
        <v>8.6995147482101913</v>
      </c>
      <c r="AH1056" s="4">
        <f t="shared" si="519"/>
        <v>0</v>
      </c>
      <c r="AI1056" s="4">
        <f t="shared" si="520"/>
        <v>1</v>
      </c>
      <c r="AJ1056" s="4">
        <f t="shared" si="521"/>
        <v>8.6995147482101913</v>
      </c>
      <c r="AK1056" s="4">
        <f t="shared" si="522"/>
        <v>6.5072777123850116</v>
      </c>
      <c r="AL1056" s="4">
        <f t="shared" si="523"/>
        <v>1</v>
      </c>
      <c r="AM1056" s="4">
        <f>CER!$C$7+CER!$C$8*J1056+CER!$C$9*K1056+CER!$C$10*L1056+CER!$C$11*M1056</f>
        <v>4.6265903775723869</v>
      </c>
      <c r="AN1056" s="4">
        <f t="shared" si="524"/>
        <v>102.16512507159291</v>
      </c>
      <c r="AO1056" s="4">
        <f t="shared" si="525"/>
        <v>0.31124839173930496</v>
      </c>
      <c r="AP1056" s="4">
        <f>Alternatives!$F$25+Alternatives!$F$26*J1056+Alternatives!$F$27*K1056+Alternatives!$F$28*G1056+Alternatives!$F$29*O1056</f>
        <v>4.0200341083448778</v>
      </c>
      <c r="AQ1056" s="4">
        <f t="shared" si="526"/>
        <v>0.91780466096681401</v>
      </c>
    </row>
    <row r="1057" spans="1:43" x14ac:dyDescent="0.35">
      <c r="A1057" s="2" t="s">
        <v>913</v>
      </c>
      <c r="B1057" s="2" t="s">
        <v>174</v>
      </c>
      <c r="C1057" s="2" t="s">
        <v>34</v>
      </c>
      <c r="D1057" s="2">
        <v>139.46850000000001</v>
      </c>
      <c r="E1057" s="2">
        <v>6000</v>
      </c>
      <c r="F1057" s="2">
        <v>670</v>
      </c>
      <c r="G1057" s="2">
        <v>58.2</v>
      </c>
      <c r="H1057" s="2" t="s">
        <v>881</v>
      </c>
      <c r="I1057" s="4">
        <f t="shared" si="496"/>
        <v>4.9378387693116919</v>
      </c>
      <c r="J1057" s="4">
        <f t="shared" si="497"/>
        <v>8.6995147482101913</v>
      </c>
      <c r="K1057" s="4">
        <f t="shared" si="498"/>
        <v>6.5072777123850116</v>
      </c>
      <c r="L1057" s="2">
        <v>0</v>
      </c>
      <c r="M1057" s="2">
        <v>1</v>
      </c>
      <c r="N1057" s="4">
        <f t="shared" si="499"/>
        <v>58.2</v>
      </c>
      <c r="O1057" s="4">
        <f t="shared" si="500"/>
        <v>1</v>
      </c>
      <c r="P1057" s="4">
        <f t="shared" si="501"/>
        <v>2</v>
      </c>
      <c r="Q1057" s="4">
        <f t="shared" si="502"/>
        <v>8.6995147482101913</v>
      </c>
      <c r="R1057" s="4">
        <f t="shared" si="503"/>
        <v>6.5072777123850116</v>
      </c>
      <c r="S1057" s="4">
        <f t="shared" si="504"/>
        <v>58.2</v>
      </c>
      <c r="T1057" s="4">
        <f t="shared" si="505"/>
        <v>1</v>
      </c>
      <c r="U1057" s="4">
        <f t="shared" si="506"/>
        <v>8.6995147482101913</v>
      </c>
      <c r="V1057" s="4">
        <f t="shared" si="507"/>
        <v>6.5072777123850116</v>
      </c>
      <c r="W1057" s="4">
        <f t="shared" si="508"/>
        <v>58.2</v>
      </c>
      <c r="X1057" s="4">
        <f t="shared" si="509"/>
        <v>2</v>
      </c>
      <c r="Y1057" s="4">
        <f t="shared" si="510"/>
        <v>8.6995147482101913</v>
      </c>
      <c r="Z1057" s="4">
        <f t="shared" si="511"/>
        <v>6.5072777123850116</v>
      </c>
      <c r="AA1057" s="4">
        <f t="shared" si="512"/>
        <v>58.2</v>
      </c>
      <c r="AB1057" s="4">
        <f t="shared" si="513"/>
        <v>0</v>
      </c>
      <c r="AC1057" s="4">
        <f t="shared" si="514"/>
        <v>1</v>
      </c>
      <c r="AD1057" s="4">
        <f t="shared" si="515"/>
        <v>8.6995147482101913</v>
      </c>
      <c r="AE1057" s="4">
        <f t="shared" si="516"/>
        <v>6.5072777123850116</v>
      </c>
      <c r="AF1057" s="4">
        <f t="shared" si="517"/>
        <v>58.2</v>
      </c>
      <c r="AG1057" s="4">
        <f t="shared" si="518"/>
        <v>8.6995147482101913</v>
      </c>
      <c r="AH1057" s="4">
        <f t="shared" si="519"/>
        <v>0</v>
      </c>
      <c r="AI1057" s="4">
        <f t="shared" si="520"/>
        <v>1</v>
      </c>
      <c r="AJ1057" s="4">
        <f t="shared" si="521"/>
        <v>8.6995147482101913</v>
      </c>
      <c r="AK1057" s="4">
        <f t="shared" si="522"/>
        <v>6.5072777123850116</v>
      </c>
      <c r="AL1057" s="4">
        <f t="shared" si="523"/>
        <v>1</v>
      </c>
      <c r="AM1057" s="4">
        <f>CER!$C$7+CER!$C$8*J1057+CER!$C$9*K1057+CER!$C$10*L1057+CER!$C$11*M1057</f>
        <v>4.6265903775723869</v>
      </c>
      <c r="AN1057" s="4">
        <f t="shared" si="524"/>
        <v>102.16512507159291</v>
      </c>
      <c r="AO1057" s="4">
        <f t="shared" si="525"/>
        <v>0.31124839173930496</v>
      </c>
      <c r="AP1057" s="4">
        <f>Alternatives!$F$25+Alternatives!$F$26*J1057+Alternatives!$F$27*K1057+Alternatives!$F$28*G1057+Alternatives!$F$29*O1057</f>
        <v>4.0200341083448778</v>
      </c>
      <c r="AQ1057" s="4">
        <f t="shared" si="526"/>
        <v>0.91780466096681401</v>
      </c>
    </row>
    <row r="1058" spans="1:43" x14ac:dyDescent="0.35">
      <c r="A1058" s="2" t="s">
        <v>914</v>
      </c>
      <c r="B1058" s="2" t="s">
        <v>174</v>
      </c>
      <c r="C1058" s="2" t="s">
        <v>34</v>
      </c>
      <c r="D1058" s="2">
        <v>139.46850000000001</v>
      </c>
      <c r="E1058" s="2">
        <v>6000</v>
      </c>
      <c r="F1058" s="2">
        <v>670</v>
      </c>
      <c r="G1058" s="2">
        <v>58.2</v>
      </c>
      <c r="H1058" s="2" t="s">
        <v>911</v>
      </c>
      <c r="I1058" s="4">
        <f t="shared" si="496"/>
        <v>4.9378387693116919</v>
      </c>
      <c r="J1058" s="4">
        <f t="shared" si="497"/>
        <v>8.6995147482101913</v>
      </c>
      <c r="K1058" s="4">
        <f t="shared" si="498"/>
        <v>6.5072777123850116</v>
      </c>
      <c r="L1058" s="2">
        <v>0</v>
      </c>
      <c r="M1058" s="2">
        <v>1</v>
      </c>
      <c r="N1058" s="4">
        <f t="shared" si="499"/>
        <v>58.2</v>
      </c>
      <c r="O1058" s="4">
        <f t="shared" si="500"/>
        <v>1</v>
      </c>
      <c r="P1058" s="4">
        <f t="shared" si="501"/>
        <v>2</v>
      </c>
      <c r="Q1058" s="4">
        <f t="shared" si="502"/>
        <v>8.6995147482101913</v>
      </c>
      <c r="R1058" s="4">
        <f t="shared" si="503"/>
        <v>6.5072777123850116</v>
      </c>
      <c r="S1058" s="4">
        <f t="shared" si="504"/>
        <v>58.2</v>
      </c>
      <c r="T1058" s="4">
        <f t="shared" si="505"/>
        <v>1</v>
      </c>
      <c r="U1058" s="4">
        <f t="shared" si="506"/>
        <v>8.6995147482101913</v>
      </c>
      <c r="V1058" s="4">
        <f t="shared" si="507"/>
        <v>6.5072777123850116</v>
      </c>
      <c r="W1058" s="4">
        <f t="shared" si="508"/>
        <v>58.2</v>
      </c>
      <c r="X1058" s="4">
        <f t="shared" si="509"/>
        <v>2</v>
      </c>
      <c r="Y1058" s="4">
        <f t="shared" si="510"/>
        <v>8.6995147482101913</v>
      </c>
      <c r="Z1058" s="4">
        <f t="shared" si="511"/>
        <v>6.5072777123850116</v>
      </c>
      <c r="AA1058" s="4">
        <f t="shared" si="512"/>
        <v>58.2</v>
      </c>
      <c r="AB1058" s="4">
        <f t="shared" si="513"/>
        <v>0</v>
      </c>
      <c r="AC1058" s="4">
        <f t="shared" si="514"/>
        <v>1</v>
      </c>
      <c r="AD1058" s="4">
        <f t="shared" si="515"/>
        <v>8.6995147482101913</v>
      </c>
      <c r="AE1058" s="4">
        <f t="shared" si="516"/>
        <v>6.5072777123850116</v>
      </c>
      <c r="AF1058" s="4">
        <f t="shared" si="517"/>
        <v>58.2</v>
      </c>
      <c r="AG1058" s="4">
        <f t="shared" si="518"/>
        <v>8.6995147482101913</v>
      </c>
      <c r="AH1058" s="4">
        <f t="shared" si="519"/>
        <v>0</v>
      </c>
      <c r="AI1058" s="4">
        <f t="shared" si="520"/>
        <v>1</v>
      </c>
      <c r="AJ1058" s="4">
        <f t="shared" si="521"/>
        <v>8.6995147482101913</v>
      </c>
      <c r="AK1058" s="4">
        <f t="shared" si="522"/>
        <v>6.5072777123850116</v>
      </c>
      <c r="AL1058" s="4">
        <f t="shared" si="523"/>
        <v>1</v>
      </c>
      <c r="AM1058" s="4">
        <f>CER!$C$7+CER!$C$8*J1058+CER!$C$9*K1058+CER!$C$10*L1058+CER!$C$11*M1058</f>
        <v>4.6265903775723869</v>
      </c>
      <c r="AN1058" s="4">
        <f t="shared" si="524"/>
        <v>102.16512507159291</v>
      </c>
      <c r="AO1058" s="4">
        <f t="shared" si="525"/>
        <v>0.31124839173930496</v>
      </c>
      <c r="AP1058" s="4">
        <f>Alternatives!$F$25+Alternatives!$F$26*J1058+Alternatives!$F$27*K1058+Alternatives!$F$28*G1058+Alternatives!$F$29*O1058</f>
        <v>4.0200341083448778</v>
      </c>
      <c r="AQ1058" s="4">
        <f t="shared" si="526"/>
        <v>0.91780466096681401</v>
      </c>
    </row>
    <row r="1059" spans="1:43" x14ac:dyDescent="0.35">
      <c r="A1059" s="2" t="s">
        <v>915</v>
      </c>
      <c r="B1059" s="2" t="s">
        <v>174</v>
      </c>
      <c r="C1059" s="2" t="s">
        <v>34</v>
      </c>
      <c r="D1059" s="2">
        <v>111.0129</v>
      </c>
      <c r="E1059" s="2">
        <v>6000</v>
      </c>
      <c r="F1059" s="2">
        <v>670</v>
      </c>
      <c r="G1059" s="2">
        <v>56.6</v>
      </c>
      <c r="H1059" s="2" t="s">
        <v>881</v>
      </c>
      <c r="I1059" s="4">
        <f t="shared" si="496"/>
        <v>4.709646410775969</v>
      </c>
      <c r="J1059" s="4">
        <f t="shared" si="497"/>
        <v>8.6995147482101913</v>
      </c>
      <c r="K1059" s="4">
        <f t="shared" si="498"/>
        <v>6.5072777123850116</v>
      </c>
      <c r="L1059" s="2">
        <v>0</v>
      </c>
      <c r="M1059" s="2">
        <v>1</v>
      </c>
      <c r="N1059" s="4">
        <f t="shared" si="499"/>
        <v>56.6</v>
      </c>
      <c r="O1059" s="4">
        <f t="shared" si="500"/>
        <v>1</v>
      </c>
      <c r="P1059" s="4">
        <f t="shared" si="501"/>
        <v>2</v>
      </c>
      <c r="Q1059" s="4">
        <f t="shared" si="502"/>
        <v>8.6995147482101913</v>
      </c>
      <c r="R1059" s="4">
        <f t="shared" si="503"/>
        <v>6.5072777123850116</v>
      </c>
      <c r="S1059" s="4">
        <f t="shared" si="504"/>
        <v>56.6</v>
      </c>
      <c r="T1059" s="4">
        <f t="shared" si="505"/>
        <v>1</v>
      </c>
      <c r="U1059" s="4">
        <f t="shared" si="506"/>
        <v>8.6995147482101913</v>
      </c>
      <c r="V1059" s="4">
        <f t="shared" si="507"/>
        <v>6.5072777123850116</v>
      </c>
      <c r="W1059" s="4">
        <f t="shared" si="508"/>
        <v>56.6</v>
      </c>
      <c r="X1059" s="4">
        <f t="shared" si="509"/>
        <v>2</v>
      </c>
      <c r="Y1059" s="4">
        <f t="shared" si="510"/>
        <v>8.6995147482101913</v>
      </c>
      <c r="Z1059" s="4">
        <f t="shared" si="511"/>
        <v>6.5072777123850116</v>
      </c>
      <c r="AA1059" s="4">
        <f t="shared" si="512"/>
        <v>56.6</v>
      </c>
      <c r="AB1059" s="4">
        <f t="shared" si="513"/>
        <v>0</v>
      </c>
      <c r="AC1059" s="4">
        <f t="shared" si="514"/>
        <v>1</v>
      </c>
      <c r="AD1059" s="4">
        <f t="shared" si="515"/>
        <v>8.6995147482101913</v>
      </c>
      <c r="AE1059" s="4">
        <f t="shared" si="516"/>
        <v>6.5072777123850116</v>
      </c>
      <c r="AF1059" s="4">
        <f t="shared" si="517"/>
        <v>56.6</v>
      </c>
      <c r="AG1059" s="4">
        <f t="shared" si="518"/>
        <v>8.6995147482101913</v>
      </c>
      <c r="AH1059" s="4">
        <f t="shared" si="519"/>
        <v>0</v>
      </c>
      <c r="AI1059" s="4">
        <f t="shared" si="520"/>
        <v>1</v>
      </c>
      <c r="AJ1059" s="4">
        <f t="shared" si="521"/>
        <v>8.6995147482101913</v>
      </c>
      <c r="AK1059" s="4">
        <f t="shared" si="522"/>
        <v>6.5072777123850116</v>
      </c>
      <c r="AL1059" s="4">
        <f t="shared" si="523"/>
        <v>1</v>
      </c>
      <c r="AM1059" s="4">
        <f>CER!$C$7+CER!$C$8*J1059+CER!$C$9*K1059+CER!$C$10*L1059+CER!$C$11*M1059</f>
        <v>4.6265903775723869</v>
      </c>
      <c r="AN1059" s="4">
        <f t="shared" si="524"/>
        <v>102.16512507159291</v>
      </c>
      <c r="AO1059" s="4">
        <f t="shared" si="525"/>
        <v>8.3056033203582125E-2</v>
      </c>
      <c r="AP1059" s="4">
        <f>Alternatives!$F$25+Alternatives!$F$26*J1059+Alternatives!$F$27*K1059+Alternatives!$F$28*G1059+Alternatives!$F$29*O1059</f>
        <v>4.0408458116124439</v>
      </c>
      <c r="AQ1059" s="4">
        <f t="shared" si="526"/>
        <v>0.66880059916352508</v>
      </c>
    </row>
    <row r="1060" spans="1:43" x14ac:dyDescent="0.35">
      <c r="A1060" s="2" t="s">
        <v>916</v>
      </c>
      <c r="B1060" s="2" t="s">
        <v>174</v>
      </c>
      <c r="C1060" s="2" t="s">
        <v>34</v>
      </c>
      <c r="D1060" s="2">
        <v>111.0129</v>
      </c>
      <c r="E1060" s="2">
        <v>6000</v>
      </c>
      <c r="F1060" s="2">
        <v>670</v>
      </c>
      <c r="G1060" s="2">
        <v>56.6</v>
      </c>
      <c r="H1060" s="2" t="s">
        <v>911</v>
      </c>
      <c r="I1060" s="4">
        <f t="shared" si="496"/>
        <v>4.709646410775969</v>
      </c>
      <c r="J1060" s="4">
        <f t="shared" si="497"/>
        <v>8.6995147482101913</v>
      </c>
      <c r="K1060" s="4">
        <f t="shared" si="498"/>
        <v>6.5072777123850116</v>
      </c>
      <c r="L1060" s="2">
        <v>0</v>
      </c>
      <c r="M1060" s="2">
        <v>1</v>
      </c>
      <c r="N1060" s="4">
        <f t="shared" si="499"/>
        <v>56.6</v>
      </c>
      <c r="O1060" s="4">
        <f t="shared" si="500"/>
        <v>1</v>
      </c>
      <c r="P1060" s="4">
        <f t="shared" si="501"/>
        <v>2</v>
      </c>
      <c r="Q1060" s="4">
        <f t="shared" si="502"/>
        <v>8.6995147482101913</v>
      </c>
      <c r="R1060" s="4">
        <f t="shared" si="503"/>
        <v>6.5072777123850116</v>
      </c>
      <c r="S1060" s="4">
        <f t="shared" si="504"/>
        <v>56.6</v>
      </c>
      <c r="T1060" s="4">
        <f t="shared" si="505"/>
        <v>1</v>
      </c>
      <c r="U1060" s="4">
        <f t="shared" si="506"/>
        <v>8.6995147482101913</v>
      </c>
      <c r="V1060" s="4">
        <f t="shared" si="507"/>
        <v>6.5072777123850116</v>
      </c>
      <c r="W1060" s="4">
        <f t="shared" si="508"/>
        <v>56.6</v>
      </c>
      <c r="X1060" s="4">
        <f t="shared" si="509"/>
        <v>2</v>
      </c>
      <c r="Y1060" s="4">
        <f t="shared" si="510"/>
        <v>8.6995147482101913</v>
      </c>
      <c r="Z1060" s="4">
        <f t="shared" si="511"/>
        <v>6.5072777123850116</v>
      </c>
      <c r="AA1060" s="4">
        <f t="shared" si="512"/>
        <v>56.6</v>
      </c>
      <c r="AB1060" s="4">
        <f t="shared" si="513"/>
        <v>0</v>
      </c>
      <c r="AC1060" s="4">
        <f t="shared" si="514"/>
        <v>1</v>
      </c>
      <c r="AD1060" s="4">
        <f t="shared" si="515"/>
        <v>8.6995147482101913</v>
      </c>
      <c r="AE1060" s="4">
        <f t="shared" si="516"/>
        <v>6.5072777123850116</v>
      </c>
      <c r="AF1060" s="4">
        <f t="shared" si="517"/>
        <v>56.6</v>
      </c>
      <c r="AG1060" s="4">
        <f t="shared" si="518"/>
        <v>8.6995147482101913</v>
      </c>
      <c r="AH1060" s="4">
        <f t="shared" si="519"/>
        <v>0</v>
      </c>
      <c r="AI1060" s="4">
        <f t="shared" si="520"/>
        <v>1</v>
      </c>
      <c r="AJ1060" s="4">
        <f t="shared" si="521"/>
        <v>8.6995147482101913</v>
      </c>
      <c r="AK1060" s="4">
        <f t="shared" si="522"/>
        <v>6.5072777123850116</v>
      </c>
      <c r="AL1060" s="4">
        <f t="shared" si="523"/>
        <v>1</v>
      </c>
      <c r="AM1060" s="4">
        <f>CER!$C$7+CER!$C$8*J1060+CER!$C$9*K1060+CER!$C$10*L1060+CER!$C$11*M1060</f>
        <v>4.6265903775723869</v>
      </c>
      <c r="AN1060" s="4">
        <f t="shared" si="524"/>
        <v>102.16512507159291</v>
      </c>
      <c r="AO1060" s="4">
        <f t="shared" si="525"/>
        <v>8.3056033203582125E-2</v>
      </c>
      <c r="AP1060" s="4">
        <f>Alternatives!$F$25+Alternatives!$F$26*J1060+Alternatives!$F$27*K1060+Alternatives!$F$28*G1060+Alternatives!$F$29*O1060</f>
        <v>4.0408458116124439</v>
      </c>
      <c r="AQ1060" s="4">
        <f t="shared" si="526"/>
        <v>0.66880059916352508</v>
      </c>
    </row>
    <row r="1061" spans="1:43" x14ac:dyDescent="0.35">
      <c r="A1061" s="2" t="s">
        <v>917</v>
      </c>
      <c r="B1061" s="2" t="s">
        <v>174</v>
      </c>
      <c r="C1061" s="2" t="s">
        <v>34</v>
      </c>
      <c r="D1061" s="2">
        <v>139.04589999999999</v>
      </c>
      <c r="E1061" s="2">
        <v>6000</v>
      </c>
      <c r="F1061" s="2">
        <v>670</v>
      </c>
      <c r="G1061" s="2">
        <v>50.2</v>
      </c>
      <c r="H1061" s="2" t="s">
        <v>881</v>
      </c>
      <c r="I1061" s="4">
        <f t="shared" si="496"/>
        <v>4.9348040944487828</v>
      </c>
      <c r="J1061" s="4">
        <f t="shared" si="497"/>
        <v>8.6995147482101913</v>
      </c>
      <c r="K1061" s="4">
        <f t="shared" si="498"/>
        <v>6.5072777123850116</v>
      </c>
      <c r="L1061" s="2">
        <v>0</v>
      </c>
      <c r="M1061" s="2">
        <v>1</v>
      </c>
      <c r="N1061" s="4">
        <f t="shared" si="499"/>
        <v>50.2</v>
      </c>
      <c r="O1061" s="4">
        <f t="shared" si="500"/>
        <v>1</v>
      </c>
      <c r="P1061" s="4">
        <f t="shared" si="501"/>
        <v>2</v>
      </c>
      <c r="Q1061" s="4">
        <f t="shared" si="502"/>
        <v>8.6995147482101913</v>
      </c>
      <c r="R1061" s="4">
        <f t="shared" si="503"/>
        <v>6.5072777123850116</v>
      </c>
      <c r="S1061" s="4">
        <f t="shared" si="504"/>
        <v>50.2</v>
      </c>
      <c r="T1061" s="4">
        <f t="shared" si="505"/>
        <v>1</v>
      </c>
      <c r="U1061" s="4">
        <f t="shared" si="506"/>
        <v>8.6995147482101913</v>
      </c>
      <c r="V1061" s="4">
        <f t="shared" si="507"/>
        <v>6.5072777123850116</v>
      </c>
      <c r="W1061" s="4">
        <f t="shared" si="508"/>
        <v>50.2</v>
      </c>
      <c r="X1061" s="4">
        <f t="shared" si="509"/>
        <v>2</v>
      </c>
      <c r="Y1061" s="4">
        <f t="shared" si="510"/>
        <v>8.6995147482101913</v>
      </c>
      <c r="Z1061" s="4">
        <f t="shared" si="511"/>
        <v>6.5072777123850116</v>
      </c>
      <c r="AA1061" s="4">
        <f t="shared" si="512"/>
        <v>50.2</v>
      </c>
      <c r="AB1061" s="4">
        <f t="shared" si="513"/>
        <v>0</v>
      </c>
      <c r="AC1061" s="4">
        <f t="shared" si="514"/>
        <v>1</v>
      </c>
      <c r="AD1061" s="4">
        <f t="shared" si="515"/>
        <v>8.6995147482101913</v>
      </c>
      <c r="AE1061" s="4">
        <f t="shared" si="516"/>
        <v>6.5072777123850116</v>
      </c>
      <c r="AF1061" s="4">
        <f t="shared" si="517"/>
        <v>50.2</v>
      </c>
      <c r="AG1061" s="4">
        <f t="shared" si="518"/>
        <v>8.6995147482101913</v>
      </c>
      <c r="AH1061" s="4">
        <f t="shared" si="519"/>
        <v>0</v>
      </c>
      <c r="AI1061" s="4">
        <f t="shared" si="520"/>
        <v>1</v>
      </c>
      <c r="AJ1061" s="4">
        <f t="shared" si="521"/>
        <v>8.6995147482101913</v>
      </c>
      <c r="AK1061" s="4">
        <f t="shared" si="522"/>
        <v>6.5072777123850116</v>
      </c>
      <c r="AL1061" s="4">
        <f t="shared" si="523"/>
        <v>1</v>
      </c>
      <c r="AM1061" s="4">
        <f>CER!$C$7+CER!$C$8*J1061+CER!$C$9*K1061+CER!$C$10*L1061+CER!$C$11*M1061</f>
        <v>4.6265903775723869</v>
      </c>
      <c r="AN1061" s="4">
        <f t="shared" si="524"/>
        <v>102.16512507159291</v>
      </c>
      <c r="AO1061" s="4">
        <f t="shared" si="525"/>
        <v>0.30821371687639587</v>
      </c>
      <c r="AP1061" s="4">
        <f>Alternatives!$F$25+Alternatives!$F$26*J1061+Alternatives!$F$27*K1061+Alternatives!$F$28*G1061+Alternatives!$F$29*O1061</f>
        <v>4.1240926246827048</v>
      </c>
      <c r="AQ1061" s="4">
        <f t="shared" si="526"/>
        <v>0.810711469766078</v>
      </c>
    </row>
    <row r="1062" spans="1:43" x14ac:dyDescent="0.35">
      <c r="A1062" s="2" t="s">
        <v>918</v>
      </c>
      <c r="B1062" s="2" t="s">
        <v>174</v>
      </c>
      <c r="C1062" s="2" t="s">
        <v>34</v>
      </c>
      <c r="D1062" s="2">
        <v>139.04589999999999</v>
      </c>
      <c r="E1062" s="2">
        <v>6000</v>
      </c>
      <c r="F1062" s="2">
        <v>670</v>
      </c>
      <c r="G1062" s="2">
        <v>50.2</v>
      </c>
      <c r="H1062" s="2" t="s">
        <v>911</v>
      </c>
      <c r="I1062" s="4">
        <f t="shared" si="496"/>
        <v>4.9348040944487828</v>
      </c>
      <c r="J1062" s="4">
        <f t="shared" si="497"/>
        <v>8.6995147482101913</v>
      </c>
      <c r="K1062" s="4">
        <f t="shared" si="498"/>
        <v>6.5072777123850116</v>
      </c>
      <c r="L1062" s="2">
        <v>0</v>
      </c>
      <c r="M1062" s="2">
        <v>1</v>
      </c>
      <c r="N1062" s="4">
        <f t="shared" si="499"/>
        <v>50.2</v>
      </c>
      <c r="O1062" s="4">
        <f t="shared" si="500"/>
        <v>1</v>
      </c>
      <c r="P1062" s="4">
        <f t="shared" si="501"/>
        <v>2</v>
      </c>
      <c r="Q1062" s="4">
        <f t="shared" si="502"/>
        <v>8.6995147482101913</v>
      </c>
      <c r="R1062" s="4">
        <f t="shared" si="503"/>
        <v>6.5072777123850116</v>
      </c>
      <c r="S1062" s="4">
        <f t="shared" si="504"/>
        <v>50.2</v>
      </c>
      <c r="T1062" s="4">
        <f t="shared" si="505"/>
        <v>1</v>
      </c>
      <c r="U1062" s="4">
        <f t="shared" si="506"/>
        <v>8.6995147482101913</v>
      </c>
      <c r="V1062" s="4">
        <f t="shared" si="507"/>
        <v>6.5072777123850116</v>
      </c>
      <c r="W1062" s="4">
        <f t="shared" si="508"/>
        <v>50.2</v>
      </c>
      <c r="X1062" s="4">
        <f t="shared" si="509"/>
        <v>2</v>
      </c>
      <c r="Y1062" s="4">
        <f t="shared" si="510"/>
        <v>8.6995147482101913</v>
      </c>
      <c r="Z1062" s="4">
        <f t="shared" si="511"/>
        <v>6.5072777123850116</v>
      </c>
      <c r="AA1062" s="4">
        <f t="shared" si="512"/>
        <v>50.2</v>
      </c>
      <c r="AB1062" s="4">
        <f t="shared" si="513"/>
        <v>0</v>
      </c>
      <c r="AC1062" s="4">
        <f t="shared" si="514"/>
        <v>1</v>
      </c>
      <c r="AD1062" s="4">
        <f t="shared" si="515"/>
        <v>8.6995147482101913</v>
      </c>
      <c r="AE1062" s="4">
        <f t="shared" si="516"/>
        <v>6.5072777123850116</v>
      </c>
      <c r="AF1062" s="4">
        <f t="shared" si="517"/>
        <v>50.2</v>
      </c>
      <c r="AG1062" s="4">
        <f t="shared" si="518"/>
        <v>8.6995147482101913</v>
      </c>
      <c r="AH1062" s="4">
        <f t="shared" si="519"/>
        <v>0</v>
      </c>
      <c r="AI1062" s="4">
        <f t="shared" si="520"/>
        <v>1</v>
      </c>
      <c r="AJ1062" s="4">
        <f t="shared" si="521"/>
        <v>8.6995147482101913</v>
      </c>
      <c r="AK1062" s="4">
        <f t="shared" si="522"/>
        <v>6.5072777123850116</v>
      </c>
      <c r="AL1062" s="4">
        <f t="shared" si="523"/>
        <v>1</v>
      </c>
      <c r="AM1062" s="4">
        <f>CER!$C$7+CER!$C$8*J1062+CER!$C$9*K1062+CER!$C$10*L1062+CER!$C$11*M1062</f>
        <v>4.6265903775723869</v>
      </c>
      <c r="AN1062" s="4">
        <f t="shared" si="524"/>
        <v>102.16512507159291</v>
      </c>
      <c r="AO1062" s="4">
        <f t="shared" si="525"/>
        <v>0.30821371687639587</v>
      </c>
      <c r="AP1062" s="4">
        <f>Alternatives!$F$25+Alternatives!$F$26*J1062+Alternatives!$F$27*K1062+Alternatives!$F$28*G1062+Alternatives!$F$29*O1062</f>
        <v>4.1240926246827048</v>
      </c>
      <c r="AQ1062" s="4">
        <f t="shared" si="526"/>
        <v>0.810711469766078</v>
      </c>
    </row>
    <row r="1063" spans="1:43" x14ac:dyDescent="0.35">
      <c r="A1063" s="2" t="s">
        <v>919</v>
      </c>
      <c r="B1063" s="2" t="s">
        <v>174</v>
      </c>
      <c r="C1063" s="2" t="s">
        <v>34</v>
      </c>
      <c r="D1063" s="2">
        <v>165.0059</v>
      </c>
      <c r="E1063" s="2">
        <v>3000</v>
      </c>
      <c r="F1063" s="2">
        <v>87</v>
      </c>
      <c r="G1063" s="2">
        <v>36.6</v>
      </c>
      <c r="H1063" s="2" t="s">
        <v>883</v>
      </c>
      <c r="I1063" s="4">
        <f t="shared" si="496"/>
        <v>5.1059812308370516</v>
      </c>
      <c r="J1063" s="4">
        <f t="shared" si="497"/>
        <v>8.0063675676502459</v>
      </c>
      <c r="K1063" s="4">
        <f t="shared" si="498"/>
        <v>4.4659081186545837</v>
      </c>
      <c r="L1063" s="2">
        <v>0</v>
      </c>
      <c r="M1063" s="2">
        <v>1</v>
      </c>
      <c r="N1063" s="4">
        <f t="shared" si="499"/>
        <v>36.6</v>
      </c>
      <c r="O1063" s="4">
        <f t="shared" si="500"/>
        <v>1</v>
      </c>
      <c r="P1063" s="4">
        <f t="shared" si="501"/>
        <v>2</v>
      </c>
      <c r="Q1063" s="4">
        <f t="shared" si="502"/>
        <v>8.0063675676502459</v>
      </c>
      <c r="R1063" s="4">
        <f t="shared" si="503"/>
        <v>4.4659081186545837</v>
      </c>
      <c r="S1063" s="4">
        <f t="shared" si="504"/>
        <v>36.6</v>
      </c>
      <c r="T1063" s="4">
        <f t="shared" si="505"/>
        <v>1</v>
      </c>
      <c r="U1063" s="4">
        <f t="shared" si="506"/>
        <v>8.0063675676502459</v>
      </c>
      <c r="V1063" s="4">
        <f t="shared" si="507"/>
        <v>4.4659081186545837</v>
      </c>
      <c r="W1063" s="4">
        <f t="shared" si="508"/>
        <v>36.6</v>
      </c>
      <c r="X1063" s="4">
        <f t="shared" si="509"/>
        <v>2</v>
      </c>
      <c r="Y1063" s="4">
        <f t="shared" si="510"/>
        <v>8.0063675676502459</v>
      </c>
      <c r="Z1063" s="4">
        <f t="shared" si="511"/>
        <v>4.4659081186545837</v>
      </c>
      <c r="AA1063" s="4">
        <f t="shared" si="512"/>
        <v>36.6</v>
      </c>
      <c r="AB1063" s="4">
        <f t="shared" si="513"/>
        <v>0</v>
      </c>
      <c r="AC1063" s="4">
        <f t="shared" si="514"/>
        <v>1</v>
      </c>
      <c r="AD1063" s="4">
        <f t="shared" si="515"/>
        <v>8.0063675676502459</v>
      </c>
      <c r="AE1063" s="4">
        <f t="shared" si="516"/>
        <v>4.4659081186545837</v>
      </c>
      <c r="AF1063" s="4">
        <f t="shared" si="517"/>
        <v>36.6</v>
      </c>
      <c r="AG1063" s="4">
        <f t="shared" si="518"/>
        <v>8.0063675676502459</v>
      </c>
      <c r="AH1063" s="4">
        <f t="shared" si="519"/>
        <v>0</v>
      </c>
      <c r="AI1063" s="4">
        <f t="shared" si="520"/>
        <v>1</v>
      </c>
      <c r="AJ1063" s="4">
        <f t="shared" si="521"/>
        <v>8.0063675676502459</v>
      </c>
      <c r="AK1063" s="4">
        <f t="shared" si="522"/>
        <v>4.4659081186545837</v>
      </c>
      <c r="AL1063" s="4">
        <f t="shared" si="523"/>
        <v>1</v>
      </c>
      <c r="AM1063" s="4">
        <f>CER!$C$7+CER!$C$8*J1063+CER!$C$9*K1063+CER!$C$10*L1063+CER!$C$11*M1063</f>
        <v>5.6935349067413306</v>
      </c>
      <c r="AN1063" s="4">
        <f t="shared" si="524"/>
        <v>296.94142785411577</v>
      </c>
      <c r="AO1063" s="4">
        <f t="shared" si="525"/>
        <v>-0.58755367590427898</v>
      </c>
      <c r="AP1063" s="4">
        <f>Alternatives!$F$25+Alternatives!$F$26*J1063+Alternatives!$F$27*K1063+Alternatives!$F$28*G1063+Alternatives!$F$29*O1063</f>
        <v>4.5876968472558044</v>
      </c>
      <c r="AQ1063" s="4">
        <f t="shared" si="526"/>
        <v>0.51828438358124718</v>
      </c>
    </row>
    <row r="1064" spans="1:43" x14ac:dyDescent="0.35">
      <c r="A1064" s="2" t="s">
        <v>920</v>
      </c>
      <c r="B1064" s="2" t="s">
        <v>174</v>
      </c>
      <c r="C1064" s="2" t="s">
        <v>34</v>
      </c>
      <c r="D1064" s="2">
        <v>157.69980000000001</v>
      </c>
      <c r="E1064" s="2">
        <v>3000</v>
      </c>
      <c r="F1064" s="2">
        <v>117</v>
      </c>
      <c r="G1064" s="2">
        <v>36.6</v>
      </c>
      <c r="H1064" s="2" t="s">
        <v>883</v>
      </c>
      <c r="I1064" s="4">
        <f t="shared" si="496"/>
        <v>5.0606932257373707</v>
      </c>
      <c r="J1064" s="4">
        <f t="shared" si="497"/>
        <v>8.0063675676502459</v>
      </c>
      <c r="K1064" s="4">
        <f t="shared" si="498"/>
        <v>4.7621739347977563</v>
      </c>
      <c r="L1064" s="2">
        <v>0</v>
      </c>
      <c r="M1064" s="2">
        <v>1</v>
      </c>
      <c r="N1064" s="4">
        <f t="shared" si="499"/>
        <v>36.6</v>
      </c>
      <c r="O1064" s="4">
        <f t="shared" si="500"/>
        <v>1</v>
      </c>
      <c r="P1064" s="4">
        <f t="shared" si="501"/>
        <v>2</v>
      </c>
      <c r="Q1064" s="4">
        <f t="shared" si="502"/>
        <v>8.0063675676502459</v>
      </c>
      <c r="R1064" s="4">
        <f t="shared" si="503"/>
        <v>4.7621739347977563</v>
      </c>
      <c r="S1064" s="4">
        <f t="shared" si="504"/>
        <v>36.6</v>
      </c>
      <c r="T1064" s="4">
        <f t="shared" si="505"/>
        <v>1</v>
      </c>
      <c r="U1064" s="4">
        <f t="shared" si="506"/>
        <v>8.0063675676502459</v>
      </c>
      <c r="V1064" s="4">
        <f t="shared" si="507"/>
        <v>4.7621739347977563</v>
      </c>
      <c r="W1064" s="4">
        <f t="shared" si="508"/>
        <v>36.6</v>
      </c>
      <c r="X1064" s="4">
        <f t="shared" si="509"/>
        <v>2</v>
      </c>
      <c r="Y1064" s="4">
        <f t="shared" si="510"/>
        <v>8.0063675676502459</v>
      </c>
      <c r="Z1064" s="4">
        <f t="shared" si="511"/>
        <v>4.7621739347977563</v>
      </c>
      <c r="AA1064" s="4">
        <f t="shared" si="512"/>
        <v>36.6</v>
      </c>
      <c r="AB1064" s="4">
        <f t="shared" si="513"/>
        <v>0</v>
      </c>
      <c r="AC1064" s="4">
        <f t="shared" si="514"/>
        <v>1</v>
      </c>
      <c r="AD1064" s="4">
        <f t="shared" si="515"/>
        <v>8.0063675676502459</v>
      </c>
      <c r="AE1064" s="4">
        <f t="shared" si="516"/>
        <v>4.7621739347977563</v>
      </c>
      <c r="AF1064" s="4">
        <f t="shared" si="517"/>
        <v>36.6</v>
      </c>
      <c r="AG1064" s="4">
        <f t="shared" si="518"/>
        <v>8.0063675676502459</v>
      </c>
      <c r="AH1064" s="4">
        <f t="shared" si="519"/>
        <v>0</v>
      </c>
      <c r="AI1064" s="4">
        <f t="shared" si="520"/>
        <v>1</v>
      </c>
      <c r="AJ1064" s="4">
        <f t="shared" si="521"/>
        <v>8.0063675676502459</v>
      </c>
      <c r="AK1064" s="4">
        <f t="shared" si="522"/>
        <v>4.7621739347977563</v>
      </c>
      <c r="AL1064" s="4">
        <f t="shared" si="523"/>
        <v>1</v>
      </c>
      <c r="AM1064" s="4">
        <f>CER!$C$7+CER!$C$8*J1064+CER!$C$9*K1064+CER!$C$10*L1064+CER!$C$11*M1064</f>
        <v>5.5842294962415142</v>
      </c>
      <c r="AN1064" s="4">
        <f t="shared" si="524"/>
        <v>266.19509937777957</v>
      </c>
      <c r="AO1064" s="4">
        <f t="shared" si="525"/>
        <v>-0.52353627050414353</v>
      </c>
      <c r="AP1064" s="4">
        <f>Alternatives!$F$25+Alternatives!$F$26*J1064+Alternatives!$F$27*K1064+Alternatives!$F$28*G1064+Alternatives!$F$29*O1064</f>
        <v>4.5088575604291918</v>
      </c>
      <c r="AQ1064" s="4">
        <f t="shared" si="526"/>
        <v>0.55183566530817885</v>
      </c>
    </row>
    <row r="1065" spans="1:43" x14ac:dyDescent="0.35">
      <c r="A1065" s="2" t="s">
        <v>921</v>
      </c>
      <c r="B1065" s="2" t="s">
        <v>226</v>
      </c>
      <c r="C1065" s="2" t="s">
        <v>34</v>
      </c>
      <c r="D1065" s="2">
        <v>155.65450000000001</v>
      </c>
      <c r="E1065" s="2">
        <v>4500</v>
      </c>
      <c r="F1065" s="2">
        <v>158</v>
      </c>
      <c r="G1065" s="2">
        <v>49.2</v>
      </c>
      <c r="H1065" s="2" t="s">
        <v>883</v>
      </c>
      <c r="I1065" s="4">
        <f t="shared" si="496"/>
        <v>5.0476388074880125</v>
      </c>
      <c r="J1065" s="4">
        <f t="shared" si="497"/>
        <v>8.4118326757584114</v>
      </c>
      <c r="K1065" s="4">
        <f t="shared" si="498"/>
        <v>5.0625950330269669</v>
      </c>
      <c r="L1065" s="2">
        <v>0</v>
      </c>
      <c r="M1065" s="2">
        <v>1</v>
      </c>
      <c r="N1065" s="4">
        <f t="shared" si="499"/>
        <v>49.2</v>
      </c>
      <c r="O1065" s="4">
        <f t="shared" si="500"/>
        <v>1</v>
      </c>
      <c r="P1065" s="4">
        <f t="shared" si="501"/>
        <v>2</v>
      </c>
      <c r="Q1065" s="4">
        <f t="shared" si="502"/>
        <v>8.4118326757584114</v>
      </c>
      <c r="R1065" s="4">
        <f t="shared" si="503"/>
        <v>5.0625950330269669</v>
      </c>
      <c r="S1065" s="4">
        <f t="shared" si="504"/>
        <v>49.2</v>
      </c>
      <c r="T1065" s="4">
        <f t="shared" si="505"/>
        <v>1</v>
      </c>
      <c r="U1065" s="4">
        <f t="shared" si="506"/>
        <v>8.4118326757584114</v>
      </c>
      <c r="V1065" s="4">
        <f t="shared" si="507"/>
        <v>5.0625950330269669</v>
      </c>
      <c r="W1065" s="4">
        <f t="shared" si="508"/>
        <v>49.2</v>
      </c>
      <c r="X1065" s="4">
        <f t="shared" si="509"/>
        <v>2</v>
      </c>
      <c r="Y1065" s="4">
        <f t="shared" si="510"/>
        <v>8.4118326757584114</v>
      </c>
      <c r="Z1065" s="4">
        <f t="shared" si="511"/>
        <v>5.0625950330269669</v>
      </c>
      <c r="AA1065" s="4">
        <f t="shared" si="512"/>
        <v>49.2</v>
      </c>
      <c r="AB1065" s="4">
        <f t="shared" si="513"/>
        <v>0</v>
      </c>
      <c r="AC1065" s="4">
        <f t="shared" si="514"/>
        <v>1</v>
      </c>
      <c r="AD1065" s="4">
        <f t="shared" si="515"/>
        <v>8.4118326757584114</v>
      </c>
      <c r="AE1065" s="4">
        <f t="shared" si="516"/>
        <v>5.0625950330269669</v>
      </c>
      <c r="AF1065" s="4">
        <f t="shared" si="517"/>
        <v>49.2</v>
      </c>
      <c r="AG1065" s="4">
        <f t="shared" si="518"/>
        <v>8.4118326757584114</v>
      </c>
      <c r="AH1065" s="4">
        <f t="shared" si="519"/>
        <v>0</v>
      </c>
      <c r="AI1065" s="4">
        <f t="shared" si="520"/>
        <v>1</v>
      </c>
      <c r="AJ1065" s="4">
        <f t="shared" si="521"/>
        <v>8.4118326757584114</v>
      </c>
      <c r="AK1065" s="4">
        <f t="shared" si="522"/>
        <v>5.0625950330269669</v>
      </c>
      <c r="AL1065" s="4">
        <f t="shared" si="523"/>
        <v>1</v>
      </c>
      <c r="AM1065" s="4">
        <f>CER!$C$7+CER!$C$8*J1065+CER!$C$9*K1065+CER!$C$10*L1065+CER!$C$11*M1065</f>
        <v>5.2898332684062748</v>
      </c>
      <c r="AN1065" s="4">
        <f t="shared" si="524"/>
        <v>198.31035805072105</v>
      </c>
      <c r="AO1065" s="4">
        <f t="shared" si="525"/>
        <v>-0.24219446091826224</v>
      </c>
      <c r="AP1065" s="4">
        <f>Alternatives!$F$25+Alternatives!$F$26*J1065+Alternatives!$F$27*K1065+Alternatives!$F$28*G1065+Alternatives!$F$29*O1065</f>
        <v>4.4150772995051923</v>
      </c>
      <c r="AQ1065" s="4">
        <f t="shared" si="526"/>
        <v>0.63256150798282018</v>
      </c>
    </row>
    <row r="1066" spans="1:43" x14ac:dyDescent="0.35">
      <c r="A1066" s="2" t="s">
        <v>922</v>
      </c>
      <c r="B1066" s="2" t="s">
        <v>226</v>
      </c>
      <c r="C1066" s="2" t="s">
        <v>34</v>
      </c>
      <c r="D1066" s="2">
        <v>149.87190000000001</v>
      </c>
      <c r="E1066" s="2">
        <v>4500</v>
      </c>
      <c r="F1066" s="2">
        <v>158</v>
      </c>
      <c r="G1066" s="2">
        <v>49.2</v>
      </c>
      <c r="H1066" s="2" t="s">
        <v>883</v>
      </c>
      <c r="I1066" s="4">
        <f t="shared" si="496"/>
        <v>5.0097809292305104</v>
      </c>
      <c r="J1066" s="4">
        <f t="shared" si="497"/>
        <v>8.4118326757584114</v>
      </c>
      <c r="K1066" s="4">
        <f t="shared" si="498"/>
        <v>5.0625950330269669</v>
      </c>
      <c r="L1066" s="2">
        <v>0</v>
      </c>
      <c r="M1066" s="2">
        <v>1</v>
      </c>
      <c r="N1066" s="4">
        <f t="shared" si="499"/>
        <v>49.2</v>
      </c>
      <c r="O1066" s="4">
        <f t="shared" si="500"/>
        <v>1</v>
      </c>
      <c r="P1066" s="4">
        <f t="shared" si="501"/>
        <v>2</v>
      </c>
      <c r="Q1066" s="4">
        <f t="shared" si="502"/>
        <v>8.4118326757584114</v>
      </c>
      <c r="R1066" s="4">
        <f t="shared" si="503"/>
        <v>5.0625950330269669</v>
      </c>
      <c r="S1066" s="4">
        <f t="shared" si="504"/>
        <v>49.2</v>
      </c>
      <c r="T1066" s="4">
        <f t="shared" si="505"/>
        <v>1</v>
      </c>
      <c r="U1066" s="4">
        <f t="shared" si="506"/>
        <v>8.4118326757584114</v>
      </c>
      <c r="V1066" s="4">
        <f t="shared" si="507"/>
        <v>5.0625950330269669</v>
      </c>
      <c r="W1066" s="4">
        <f t="shared" si="508"/>
        <v>49.2</v>
      </c>
      <c r="X1066" s="4">
        <f t="shared" si="509"/>
        <v>2</v>
      </c>
      <c r="Y1066" s="4">
        <f t="shared" si="510"/>
        <v>8.4118326757584114</v>
      </c>
      <c r="Z1066" s="4">
        <f t="shared" si="511"/>
        <v>5.0625950330269669</v>
      </c>
      <c r="AA1066" s="4">
        <f t="shared" si="512"/>
        <v>49.2</v>
      </c>
      <c r="AB1066" s="4">
        <f t="shared" si="513"/>
        <v>0</v>
      </c>
      <c r="AC1066" s="4">
        <f t="shared" si="514"/>
        <v>1</v>
      </c>
      <c r="AD1066" s="4">
        <f t="shared" si="515"/>
        <v>8.4118326757584114</v>
      </c>
      <c r="AE1066" s="4">
        <f t="shared" si="516"/>
        <v>5.0625950330269669</v>
      </c>
      <c r="AF1066" s="4">
        <f t="shared" si="517"/>
        <v>49.2</v>
      </c>
      <c r="AG1066" s="4">
        <f t="shared" si="518"/>
        <v>8.4118326757584114</v>
      </c>
      <c r="AH1066" s="4">
        <f t="shared" si="519"/>
        <v>0</v>
      </c>
      <c r="AI1066" s="4">
        <f t="shared" si="520"/>
        <v>1</v>
      </c>
      <c r="AJ1066" s="4">
        <f t="shared" si="521"/>
        <v>8.4118326757584114</v>
      </c>
      <c r="AK1066" s="4">
        <f t="shared" si="522"/>
        <v>5.0625950330269669</v>
      </c>
      <c r="AL1066" s="4">
        <f t="shared" si="523"/>
        <v>1</v>
      </c>
      <c r="AM1066" s="4">
        <f>CER!$C$7+CER!$C$8*J1066+CER!$C$9*K1066+CER!$C$10*L1066+CER!$C$11*M1066</f>
        <v>5.2898332684062748</v>
      </c>
      <c r="AN1066" s="4">
        <f t="shared" si="524"/>
        <v>198.31035805072105</v>
      </c>
      <c r="AO1066" s="4">
        <f t="shared" si="525"/>
        <v>-0.28005233917576433</v>
      </c>
      <c r="AP1066" s="4">
        <f>Alternatives!$F$25+Alternatives!$F$26*J1066+Alternatives!$F$27*K1066+Alternatives!$F$28*G1066+Alternatives!$F$29*O1066</f>
        <v>4.4150772995051923</v>
      </c>
      <c r="AQ1066" s="4">
        <f t="shared" si="526"/>
        <v>0.59470362972531809</v>
      </c>
    </row>
    <row r="1067" spans="1:43" x14ac:dyDescent="0.35">
      <c r="A1067" s="2" t="s">
        <v>923</v>
      </c>
      <c r="B1067" s="2" t="s">
        <v>239</v>
      </c>
      <c r="C1067" s="2" t="s">
        <v>34</v>
      </c>
      <c r="D1067" s="2">
        <v>122.2555</v>
      </c>
      <c r="E1067" s="2">
        <v>5000</v>
      </c>
      <c r="F1067" s="2">
        <v>480</v>
      </c>
      <c r="G1067" s="2">
        <v>52.2</v>
      </c>
      <c r="H1067" s="2" t="s">
        <v>924</v>
      </c>
      <c r="I1067" s="4">
        <f t="shared" si="496"/>
        <v>4.8061131171180227</v>
      </c>
      <c r="J1067" s="4">
        <f t="shared" si="497"/>
        <v>8.5171931914162382</v>
      </c>
      <c r="K1067" s="4">
        <f t="shared" si="498"/>
        <v>6.1737861039019366</v>
      </c>
      <c r="L1067" s="2">
        <v>0</v>
      </c>
      <c r="M1067" s="2">
        <v>1</v>
      </c>
      <c r="N1067" s="4">
        <f t="shared" si="499"/>
        <v>52.2</v>
      </c>
      <c r="O1067" s="4">
        <f t="shared" si="500"/>
        <v>1</v>
      </c>
      <c r="P1067" s="4">
        <f t="shared" si="501"/>
        <v>2</v>
      </c>
      <c r="Q1067" s="4">
        <f t="shared" si="502"/>
        <v>8.5171931914162382</v>
      </c>
      <c r="R1067" s="4">
        <f t="shared" si="503"/>
        <v>6.1737861039019366</v>
      </c>
      <c r="S1067" s="4">
        <f t="shared" si="504"/>
        <v>52.2</v>
      </c>
      <c r="T1067" s="4">
        <f t="shared" si="505"/>
        <v>1</v>
      </c>
      <c r="U1067" s="4">
        <f t="shared" si="506"/>
        <v>8.5171931914162382</v>
      </c>
      <c r="V1067" s="4">
        <f t="shared" si="507"/>
        <v>6.1737861039019366</v>
      </c>
      <c r="W1067" s="4">
        <f t="shared" si="508"/>
        <v>52.2</v>
      </c>
      <c r="X1067" s="4">
        <f t="shared" si="509"/>
        <v>2</v>
      </c>
      <c r="Y1067" s="4">
        <f t="shared" si="510"/>
        <v>8.5171931914162382</v>
      </c>
      <c r="Z1067" s="4">
        <f t="shared" si="511"/>
        <v>6.1737861039019366</v>
      </c>
      <c r="AA1067" s="4">
        <f t="shared" si="512"/>
        <v>52.2</v>
      </c>
      <c r="AB1067" s="4">
        <f t="shared" si="513"/>
        <v>0</v>
      </c>
      <c r="AC1067" s="4">
        <f t="shared" si="514"/>
        <v>1</v>
      </c>
      <c r="AD1067" s="4">
        <f t="shared" si="515"/>
        <v>8.5171931914162382</v>
      </c>
      <c r="AE1067" s="4">
        <f t="shared" si="516"/>
        <v>6.1737861039019366</v>
      </c>
      <c r="AF1067" s="4">
        <f t="shared" si="517"/>
        <v>52.2</v>
      </c>
      <c r="AG1067" s="4">
        <f t="shared" si="518"/>
        <v>8.5171931914162382</v>
      </c>
      <c r="AH1067" s="4">
        <f t="shared" si="519"/>
        <v>0</v>
      </c>
      <c r="AI1067" s="4">
        <f t="shared" si="520"/>
        <v>1</v>
      </c>
      <c r="AJ1067" s="4">
        <f t="shared" si="521"/>
        <v>8.5171931914162382</v>
      </c>
      <c r="AK1067" s="4">
        <f t="shared" si="522"/>
        <v>6.1737861039019366</v>
      </c>
      <c r="AL1067" s="4">
        <f t="shared" si="523"/>
        <v>1</v>
      </c>
      <c r="AM1067" s="4">
        <f>CER!$C$7+CER!$C$8*J1067+CER!$C$9*K1067+CER!$C$10*L1067+CER!$C$11*M1067</f>
        <v>4.8321686416146523</v>
      </c>
      <c r="AN1067" s="4">
        <f t="shared" si="524"/>
        <v>125.48279300158572</v>
      </c>
      <c r="AO1067" s="4">
        <f t="shared" si="525"/>
        <v>-2.6055524496629623E-2</v>
      </c>
      <c r="AP1067" s="4">
        <f>Alternatives!$F$25+Alternatives!$F$26*J1067+Alternatives!$F$27*K1067+Alternatives!$F$28*G1067+Alternatives!$F$29*O1067</f>
        <v>4.1193487851561077</v>
      </c>
      <c r="AQ1067" s="4">
        <f t="shared" si="526"/>
        <v>0.686764331961915</v>
      </c>
    </row>
    <row r="1068" spans="1:43" x14ac:dyDescent="0.35">
      <c r="A1068" s="2" t="s">
        <v>925</v>
      </c>
      <c r="B1068" s="2" t="s">
        <v>239</v>
      </c>
      <c r="C1068" s="2" t="s">
        <v>34</v>
      </c>
      <c r="D1068" s="2">
        <v>128.76759999999999</v>
      </c>
      <c r="E1068" s="2">
        <v>5000</v>
      </c>
      <c r="F1068" s="2">
        <v>480</v>
      </c>
      <c r="G1068" s="2">
        <v>52.2</v>
      </c>
      <c r="H1068" s="2" t="s">
        <v>883</v>
      </c>
      <c r="I1068" s="4">
        <f t="shared" si="496"/>
        <v>4.858009229230511</v>
      </c>
      <c r="J1068" s="4">
        <f t="shared" si="497"/>
        <v>8.5171931914162382</v>
      </c>
      <c r="K1068" s="4">
        <f t="shared" si="498"/>
        <v>6.1737861039019366</v>
      </c>
      <c r="L1068" s="2">
        <v>0</v>
      </c>
      <c r="M1068" s="2">
        <v>1</v>
      </c>
      <c r="N1068" s="4">
        <f t="shared" si="499"/>
        <v>52.2</v>
      </c>
      <c r="O1068" s="4">
        <f t="shared" si="500"/>
        <v>1</v>
      </c>
      <c r="P1068" s="4">
        <f t="shared" si="501"/>
        <v>2</v>
      </c>
      <c r="Q1068" s="4">
        <f t="shared" si="502"/>
        <v>8.5171931914162382</v>
      </c>
      <c r="R1068" s="4">
        <f t="shared" si="503"/>
        <v>6.1737861039019366</v>
      </c>
      <c r="S1068" s="4">
        <f t="shared" si="504"/>
        <v>52.2</v>
      </c>
      <c r="T1068" s="4">
        <f t="shared" si="505"/>
        <v>1</v>
      </c>
      <c r="U1068" s="4">
        <f t="shared" si="506"/>
        <v>8.5171931914162382</v>
      </c>
      <c r="V1068" s="4">
        <f t="shared" si="507"/>
        <v>6.1737861039019366</v>
      </c>
      <c r="W1068" s="4">
        <f t="shared" si="508"/>
        <v>52.2</v>
      </c>
      <c r="X1068" s="4">
        <f t="shared" si="509"/>
        <v>2</v>
      </c>
      <c r="Y1068" s="4">
        <f t="shared" si="510"/>
        <v>8.5171931914162382</v>
      </c>
      <c r="Z1068" s="4">
        <f t="shared" si="511"/>
        <v>6.1737861039019366</v>
      </c>
      <c r="AA1068" s="4">
        <f t="shared" si="512"/>
        <v>52.2</v>
      </c>
      <c r="AB1068" s="4">
        <f t="shared" si="513"/>
        <v>0</v>
      </c>
      <c r="AC1068" s="4">
        <f t="shared" si="514"/>
        <v>1</v>
      </c>
      <c r="AD1068" s="4">
        <f t="shared" si="515"/>
        <v>8.5171931914162382</v>
      </c>
      <c r="AE1068" s="4">
        <f t="shared" si="516"/>
        <v>6.1737861039019366</v>
      </c>
      <c r="AF1068" s="4">
        <f t="shared" si="517"/>
        <v>52.2</v>
      </c>
      <c r="AG1068" s="4">
        <f t="shared" si="518"/>
        <v>8.5171931914162382</v>
      </c>
      <c r="AH1068" s="4">
        <f t="shared" si="519"/>
        <v>0</v>
      </c>
      <c r="AI1068" s="4">
        <f t="shared" si="520"/>
        <v>1</v>
      </c>
      <c r="AJ1068" s="4">
        <f t="shared" si="521"/>
        <v>8.5171931914162382</v>
      </c>
      <c r="AK1068" s="4">
        <f t="shared" si="522"/>
        <v>6.1737861039019366</v>
      </c>
      <c r="AL1068" s="4">
        <f t="shared" si="523"/>
        <v>1</v>
      </c>
      <c r="AM1068" s="4">
        <f>CER!$C$7+CER!$C$8*J1068+CER!$C$9*K1068+CER!$C$10*L1068+CER!$C$11*M1068</f>
        <v>4.8321686416146523</v>
      </c>
      <c r="AN1068" s="4">
        <f t="shared" si="524"/>
        <v>125.48279300158572</v>
      </c>
      <c r="AO1068" s="4">
        <f t="shared" si="525"/>
        <v>2.5840587615858723E-2</v>
      </c>
      <c r="AP1068" s="4">
        <f>Alternatives!$F$25+Alternatives!$F$26*J1068+Alternatives!$F$27*K1068+Alternatives!$F$28*G1068+Alternatives!$F$29*O1068</f>
        <v>4.1193487851561077</v>
      </c>
      <c r="AQ1068" s="4">
        <f t="shared" si="526"/>
        <v>0.73866044407440334</v>
      </c>
    </row>
    <row r="1069" spans="1:43" x14ac:dyDescent="0.35">
      <c r="A1069" s="2" t="s">
        <v>926</v>
      </c>
      <c r="B1069" s="2" t="s">
        <v>239</v>
      </c>
      <c r="C1069" s="2" t="s">
        <v>34</v>
      </c>
      <c r="D1069" s="2">
        <v>146.15790000000001</v>
      </c>
      <c r="E1069" s="2">
        <v>5000</v>
      </c>
      <c r="F1069" s="2">
        <v>264</v>
      </c>
      <c r="G1069" s="2">
        <v>52.2</v>
      </c>
      <c r="H1069" s="2" t="s">
        <v>881</v>
      </c>
      <c r="I1069" s="4">
        <f t="shared" si="496"/>
        <v>4.9846875441504412</v>
      </c>
      <c r="J1069" s="4">
        <f t="shared" si="497"/>
        <v>8.5171931914162382</v>
      </c>
      <c r="K1069" s="4">
        <f t="shared" si="498"/>
        <v>5.575949103146316</v>
      </c>
      <c r="L1069" s="2">
        <v>0</v>
      </c>
      <c r="M1069" s="2">
        <v>1</v>
      </c>
      <c r="N1069" s="4">
        <f t="shared" si="499"/>
        <v>52.2</v>
      </c>
      <c r="O1069" s="4">
        <f t="shared" si="500"/>
        <v>1</v>
      </c>
      <c r="P1069" s="4">
        <f t="shared" si="501"/>
        <v>2</v>
      </c>
      <c r="Q1069" s="4">
        <f t="shared" si="502"/>
        <v>8.5171931914162382</v>
      </c>
      <c r="R1069" s="4">
        <f t="shared" si="503"/>
        <v>5.575949103146316</v>
      </c>
      <c r="S1069" s="4">
        <f t="shared" si="504"/>
        <v>52.2</v>
      </c>
      <c r="T1069" s="4">
        <f t="shared" si="505"/>
        <v>1</v>
      </c>
      <c r="U1069" s="4">
        <f t="shared" si="506"/>
        <v>8.5171931914162382</v>
      </c>
      <c r="V1069" s="4">
        <f t="shared" si="507"/>
        <v>5.575949103146316</v>
      </c>
      <c r="W1069" s="4">
        <f t="shared" si="508"/>
        <v>52.2</v>
      </c>
      <c r="X1069" s="4">
        <f t="shared" si="509"/>
        <v>2</v>
      </c>
      <c r="Y1069" s="4">
        <f t="shared" si="510"/>
        <v>8.5171931914162382</v>
      </c>
      <c r="Z1069" s="4">
        <f t="shared" si="511"/>
        <v>5.575949103146316</v>
      </c>
      <c r="AA1069" s="4">
        <f t="shared" si="512"/>
        <v>52.2</v>
      </c>
      <c r="AB1069" s="4">
        <f t="shared" si="513"/>
        <v>0</v>
      </c>
      <c r="AC1069" s="4">
        <f t="shared" si="514"/>
        <v>1</v>
      </c>
      <c r="AD1069" s="4">
        <f t="shared" si="515"/>
        <v>8.5171931914162382</v>
      </c>
      <c r="AE1069" s="4">
        <f t="shared" si="516"/>
        <v>5.575949103146316</v>
      </c>
      <c r="AF1069" s="4">
        <f t="shared" si="517"/>
        <v>52.2</v>
      </c>
      <c r="AG1069" s="4">
        <f t="shared" si="518"/>
        <v>8.5171931914162382</v>
      </c>
      <c r="AH1069" s="4">
        <f t="shared" si="519"/>
        <v>0</v>
      </c>
      <c r="AI1069" s="4">
        <f t="shared" si="520"/>
        <v>1</v>
      </c>
      <c r="AJ1069" s="4">
        <f t="shared" si="521"/>
        <v>8.5171931914162382</v>
      </c>
      <c r="AK1069" s="4">
        <f t="shared" si="522"/>
        <v>5.575949103146316</v>
      </c>
      <c r="AL1069" s="4">
        <f t="shared" si="523"/>
        <v>1</v>
      </c>
      <c r="AM1069" s="4">
        <f>CER!$C$7+CER!$C$8*J1069+CER!$C$9*K1069+CER!$C$10*L1069+CER!$C$11*M1069</f>
        <v>5.0527368449607746</v>
      </c>
      <c r="AN1069" s="4">
        <f t="shared" si="524"/>
        <v>156.45005864464946</v>
      </c>
      <c r="AO1069" s="4">
        <f t="shared" si="525"/>
        <v>-6.8049300810333335E-2</v>
      </c>
      <c r="AP1069" s="4">
        <f>Alternatives!$F$25+Alternatives!$F$26*J1069+Alternatives!$F$27*K1069+Alternatives!$F$28*G1069+Alternatives!$F$29*O1069</f>
        <v>4.2784391702424429</v>
      </c>
      <c r="AQ1069" s="4">
        <f t="shared" si="526"/>
        <v>0.70624837390799833</v>
      </c>
    </row>
    <row r="1070" spans="1:43" x14ac:dyDescent="0.35">
      <c r="A1070" s="2" t="s">
        <v>927</v>
      </c>
      <c r="B1070" s="2" t="s">
        <v>239</v>
      </c>
      <c r="C1070" s="2" t="s">
        <v>34</v>
      </c>
      <c r="D1070" s="2">
        <v>130.5136</v>
      </c>
      <c r="E1070" s="2">
        <v>5000</v>
      </c>
      <c r="F1070" s="2">
        <v>325</v>
      </c>
      <c r="G1070" s="2">
        <v>52.2</v>
      </c>
      <c r="H1070" s="2" t="s">
        <v>924</v>
      </c>
      <c r="I1070" s="4">
        <f t="shared" si="496"/>
        <v>4.8714774358921753</v>
      </c>
      <c r="J1070" s="4">
        <f t="shared" si="497"/>
        <v>8.5171931914162382</v>
      </c>
      <c r="K1070" s="4">
        <f t="shared" si="498"/>
        <v>5.7838251823297373</v>
      </c>
      <c r="L1070" s="2">
        <v>0</v>
      </c>
      <c r="M1070" s="2">
        <v>1</v>
      </c>
      <c r="N1070" s="4">
        <f t="shared" si="499"/>
        <v>52.2</v>
      </c>
      <c r="O1070" s="4">
        <f t="shared" si="500"/>
        <v>1</v>
      </c>
      <c r="P1070" s="4">
        <f t="shared" si="501"/>
        <v>2</v>
      </c>
      <c r="Q1070" s="4">
        <f t="shared" si="502"/>
        <v>8.5171931914162382</v>
      </c>
      <c r="R1070" s="4">
        <f t="shared" si="503"/>
        <v>5.7838251823297373</v>
      </c>
      <c r="S1070" s="4">
        <f t="shared" si="504"/>
        <v>52.2</v>
      </c>
      <c r="T1070" s="4">
        <f t="shared" si="505"/>
        <v>1</v>
      </c>
      <c r="U1070" s="4">
        <f t="shared" si="506"/>
        <v>8.5171931914162382</v>
      </c>
      <c r="V1070" s="4">
        <f t="shared" si="507"/>
        <v>5.7838251823297373</v>
      </c>
      <c r="W1070" s="4">
        <f t="shared" si="508"/>
        <v>52.2</v>
      </c>
      <c r="X1070" s="4">
        <f t="shared" si="509"/>
        <v>2</v>
      </c>
      <c r="Y1070" s="4">
        <f t="shared" si="510"/>
        <v>8.5171931914162382</v>
      </c>
      <c r="Z1070" s="4">
        <f t="shared" si="511"/>
        <v>5.7838251823297373</v>
      </c>
      <c r="AA1070" s="4">
        <f t="shared" si="512"/>
        <v>52.2</v>
      </c>
      <c r="AB1070" s="4">
        <f t="shared" si="513"/>
        <v>0</v>
      </c>
      <c r="AC1070" s="4">
        <f t="shared" si="514"/>
        <v>1</v>
      </c>
      <c r="AD1070" s="4">
        <f t="shared" si="515"/>
        <v>8.5171931914162382</v>
      </c>
      <c r="AE1070" s="4">
        <f t="shared" si="516"/>
        <v>5.7838251823297373</v>
      </c>
      <c r="AF1070" s="4">
        <f t="shared" si="517"/>
        <v>52.2</v>
      </c>
      <c r="AG1070" s="4">
        <f t="shared" si="518"/>
        <v>8.5171931914162382</v>
      </c>
      <c r="AH1070" s="4">
        <f t="shared" si="519"/>
        <v>0</v>
      </c>
      <c r="AI1070" s="4">
        <f t="shared" si="520"/>
        <v>1</v>
      </c>
      <c r="AJ1070" s="4">
        <f t="shared" si="521"/>
        <v>8.5171931914162382</v>
      </c>
      <c r="AK1070" s="4">
        <f t="shared" si="522"/>
        <v>5.7838251823297373</v>
      </c>
      <c r="AL1070" s="4">
        <f t="shared" si="523"/>
        <v>1</v>
      </c>
      <c r="AM1070" s="4">
        <f>CER!$C$7+CER!$C$8*J1070+CER!$C$9*K1070+CER!$C$10*L1070+CER!$C$11*M1070</f>
        <v>4.9760422722826512</v>
      </c>
      <c r="AN1070" s="4">
        <f t="shared" si="524"/>
        <v>144.89977148650669</v>
      </c>
      <c r="AO1070" s="4">
        <f t="shared" si="525"/>
        <v>-0.10456483639047587</v>
      </c>
      <c r="AP1070" s="4">
        <f>Alternatives!$F$25+Alternatives!$F$26*J1070+Alternatives!$F$27*K1070+Alternatives!$F$28*G1070+Alternatives!$F$29*O1070</f>
        <v>4.2231212734817394</v>
      </c>
      <c r="AQ1070" s="4">
        <f t="shared" si="526"/>
        <v>0.64835616241043592</v>
      </c>
    </row>
    <row r="1071" spans="1:43" x14ac:dyDescent="0.35">
      <c r="A1071" s="2" t="s">
        <v>928</v>
      </c>
      <c r="B1071" s="2" t="s">
        <v>239</v>
      </c>
      <c r="C1071" s="2" t="s">
        <v>34</v>
      </c>
      <c r="D1071" s="2">
        <v>140.90199999999999</v>
      </c>
      <c r="E1071" s="2">
        <v>5000</v>
      </c>
      <c r="F1071" s="2">
        <v>290</v>
      </c>
      <c r="G1071" s="2">
        <v>52.2</v>
      </c>
      <c r="H1071" s="2" t="s">
        <v>881</v>
      </c>
      <c r="I1071" s="4">
        <f t="shared" si="496"/>
        <v>4.9480646132680528</v>
      </c>
      <c r="J1071" s="4">
        <f t="shared" si="497"/>
        <v>8.5171931914162382</v>
      </c>
      <c r="K1071" s="4">
        <f t="shared" si="498"/>
        <v>5.6698809229805196</v>
      </c>
      <c r="L1071" s="2">
        <v>0</v>
      </c>
      <c r="M1071" s="2">
        <v>1</v>
      </c>
      <c r="N1071" s="4">
        <f t="shared" si="499"/>
        <v>52.2</v>
      </c>
      <c r="O1071" s="4">
        <f t="shared" si="500"/>
        <v>1</v>
      </c>
      <c r="P1071" s="4">
        <f t="shared" si="501"/>
        <v>2</v>
      </c>
      <c r="Q1071" s="4">
        <f t="shared" si="502"/>
        <v>8.5171931914162382</v>
      </c>
      <c r="R1071" s="4">
        <f t="shared" si="503"/>
        <v>5.6698809229805196</v>
      </c>
      <c r="S1071" s="4">
        <f t="shared" si="504"/>
        <v>52.2</v>
      </c>
      <c r="T1071" s="4">
        <f t="shared" si="505"/>
        <v>1</v>
      </c>
      <c r="U1071" s="4">
        <f t="shared" si="506"/>
        <v>8.5171931914162382</v>
      </c>
      <c r="V1071" s="4">
        <f t="shared" si="507"/>
        <v>5.6698809229805196</v>
      </c>
      <c r="W1071" s="4">
        <f t="shared" si="508"/>
        <v>52.2</v>
      </c>
      <c r="X1071" s="4">
        <f t="shared" si="509"/>
        <v>2</v>
      </c>
      <c r="Y1071" s="4">
        <f t="shared" si="510"/>
        <v>8.5171931914162382</v>
      </c>
      <c r="Z1071" s="4">
        <f t="shared" si="511"/>
        <v>5.6698809229805196</v>
      </c>
      <c r="AA1071" s="4">
        <f t="shared" si="512"/>
        <v>52.2</v>
      </c>
      <c r="AB1071" s="4">
        <f t="shared" si="513"/>
        <v>0</v>
      </c>
      <c r="AC1071" s="4">
        <f t="shared" si="514"/>
        <v>1</v>
      </c>
      <c r="AD1071" s="4">
        <f t="shared" si="515"/>
        <v>8.5171931914162382</v>
      </c>
      <c r="AE1071" s="4">
        <f t="shared" si="516"/>
        <v>5.6698809229805196</v>
      </c>
      <c r="AF1071" s="4">
        <f t="shared" si="517"/>
        <v>52.2</v>
      </c>
      <c r="AG1071" s="4">
        <f t="shared" si="518"/>
        <v>8.5171931914162382</v>
      </c>
      <c r="AH1071" s="4">
        <f t="shared" si="519"/>
        <v>0</v>
      </c>
      <c r="AI1071" s="4">
        <f t="shared" si="520"/>
        <v>1</v>
      </c>
      <c r="AJ1071" s="4">
        <f t="shared" si="521"/>
        <v>8.5171931914162382</v>
      </c>
      <c r="AK1071" s="4">
        <f t="shared" si="522"/>
        <v>5.6698809229805196</v>
      </c>
      <c r="AL1071" s="4">
        <f t="shared" si="523"/>
        <v>1</v>
      </c>
      <c r="AM1071" s="4">
        <f>CER!$C$7+CER!$C$8*J1071+CER!$C$9*K1071+CER!$C$10*L1071+CER!$C$11*M1071</f>
        <v>5.0180812905008203</v>
      </c>
      <c r="AN1071" s="4">
        <f t="shared" si="524"/>
        <v>151.12106801529339</v>
      </c>
      <c r="AO1071" s="4">
        <f t="shared" si="525"/>
        <v>-7.0016677232767499E-2</v>
      </c>
      <c r="AP1071" s="4">
        <f>Alternatives!$F$25+Alternatives!$F$26*J1071+Alternatives!$F$27*K1071+Alternatives!$F$28*G1071+Alternatives!$F$29*O1071</f>
        <v>4.2534429766806596</v>
      </c>
      <c r="AQ1071" s="4">
        <f t="shared" si="526"/>
        <v>0.69462163658739318</v>
      </c>
    </row>
    <row r="1072" spans="1:43" x14ac:dyDescent="0.35">
      <c r="A1072" s="2" t="s">
        <v>929</v>
      </c>
      <c r="B1072" s="2" t="s">
        <v>239</v>
      </c>
      <c r="C1072" s="2" t="s">
        <v>34</v>
      </c>
      <c r="D1072" s="2">
        <v>151.27789999999999</v>
      </c>
      <c r="E1072" s="2">
        <v>5000</v>
      </c>
      <c r="F1072" s="2">
        <v>290</v>
      </c>
      <c r="G1072" s="2">
        <v>52.2</v>
      </c>
      <c r="H1072" s="2" t="s">
        <v>881</v>
      </c>
      <c r="I1072" s="4">
        <f t="shared" si="496"/>
        <v>5.0191185427096956</v>
      </c>
      <c r="J1072" s="4">
        <f t="shared" si="497"/>
        <v>8.5171931914162382</v>
      </c>
      <c r="K1072" s="4">
        <f t="shared" si="498"/>
        <v>5.6698809229805196</v>
      </c>
      <c r="L1072" s="2">
        <v>0</v>
      </c>
      <c r="M1072" s="2">
        <v>1</v>
      </c>
      <c r="N1072" s="4">
        <f t="shared" si="499"/>
        <v>52.2</v>
      </c>
      <c r="O1072" s="4">
        <f t="shared" si="500"/>
        <v>1</v>
      </c>
      <c r="P1072" s="4">
        <f t="shared" si="501"/>
        <v>2</v>
      </c>
      <c r="Q1072" s="4">
        <f t="shared" si="502"/>
        <v>8.5171931914162382</v>
      </c>
      <c r="R1072" s="4">
        <f t="shared" si="503"/>
        <v>5.6698809229805196</v>
      </c>
      <c r="S1072" s="4">
        <f t="shared" si="504"/>
        <v>52.2</v>
      </c>
      <c r="T1072" s="4">
        <f t="shared" si="505"/>
        <v>1</v>
      </c>
      <c r="U1072" s="4">
        <f t="shared" si="506"/>
        <v>8.5171931914162382</v>
      </c>
      <c r="V1072" s="4">
        <f t="shared" si="507"/>
        <v>5.6698809229805196</v>
      </c>
      <c r="W1072" s="4">
        <f t="shared" si="508"/>
        <v>52.2</v>
      </c>
      <c r="X1072" s="4">
        <f t="shared" si="509"/>
        <v>2</v>
      </c>
      <c r="Y1072" s="4">
        <f t="shared" si="510"/>
        <v>8.5171931914162382</v>
      </c>
      <c r="Z1072" s="4">
        <f t="shared" si="511"/>
        <v>5.6698809229805196</v>
      </c>
      <c r="AA1072" s="4">
        <f t="shared" si="512"/>
        <v>52.2</v>
      </c>
      <c r="AB1072" s="4">
        <f t="shared" si="513"/>
        <v>0</v>
      </c>
      <c r="AC1072" s="4">
        <f t="shared" si="514"/>
        <v>1</v>
      </c>
      <c r="AD1072" s="4">
        <f t="shared" si="515"/>
        <v>8.5171931914162382</v>
      </c>
      <c r="AE1072" s="4">
        <f t="shared" si="516"/>
        <v>5.6698809229805196</v>
      </c>
      <c r="AF1072" s="4">
        <f t="shared" si="517"/>
        <v>52.2</v>
      </c>
      <c r="AG1072" s="4">
        <f t="shared" si="518"/>
        <v>8.5171931914162382</v>
      </c>
      <c r="AH1072" s="4">
        <f t="shared" si="519"/>
        <v>0</v>
      </c>
      <c r="AI1072" s="4">
        <f t="shared" si="520"/>
        <v>1</v>
      </c>
      <c r="AJ1072" s="4">
        <f t="shared" si="521"/>
        <v>8.5171931914162382</v>
      </c>
      <c r="AK1072" s="4">
        <f t="shared" si="522"/>
        <v>5.6698809229805196</v>
      </c>
      <c r="AL1072" s="4">
        <f t="shared" si="523"/>
        <v>1</v>
      </c>
      <c r="AM1072" s="4">
        <f>CER!$C$7+CER!$C$8*J1072+CER!$C$9*K1072+CER!$C$10*L1072+CER!$C$11*M1072</f>
        <v>5.0180812905008203</v>
      </c>
      <c r="AN1072" s="4">
        <f t="shared" si="524"/>
        <v>151.12106801529339</v>
      </c>
      <c r="AO1072" s="4">
        <f t="shared" si="525"/>
        <v>1.0372522088752945E-3</v>
      </c>
      <c r="AP1072" s="4">
        <f>Alternatives!$F$25+Alternatives!$F$26*J1072+Alternatives!$F$27*K1072+Alternatives!$F$28*G1072+Alternatives!$F$29*O1072</f>
        <v>4.2534429766806596</v>
      </c>
      <c r="AQ1072" s="4">
        <f t="shared" si="526"/>
        <v>0.76567556602903597</v>
      </c>
    </row>
    <row r="1073" spans="1:43" x14ac:dyDescent="0.35">
      <c r="A1073" s="2" t="s">
        <v>930</v>
      </c>
      <c r="B1073" s="2" t="s">
        <v>239</v>
      </c>
      <c r="C1073" s="2" t="s">
        <v>34</v>
      </c>
      <c r="D1073" s="2">
        <v>100.4863</v>
      </c>
      <c r="E1073" s="2">
        <v>7000</v>
      </c>
      <c r="F1073" s="2">
        <v>420</v>
      </c>
      <c r="G1073" s="2">
        <v>69.099999999999994</v>
      </c>
      <c r="H1073" s="2" t="s">
        <v>911</v>
      </c>
      <c r="I1073" s="4">
        <f t="shared" si="496"/>
        <v>4.6100213997989714</v>
      </c>
      <c r="J1073" s="4">
        <f t="shared" si="497"/>
        <v>8.8536654280374503</v>
      </c>
      <c r="K1073" s="4">
        <f t="shared" si="498"/>
        <v>6.0402547112774139</v>
      </c>
      <c r="L1073" s="2">
        <v>0</v>
      </c>
      <c r="M1073" s="2">
        <v>1</v>
      </c>
      <c r="N1073" s="4">
        <f t="shared" si="499"/>
        <v>69.099999999999994</v>
      </c>
      <c r="O1073" s="4">
        <f t="shared" si="500"/>
        <v>1</v>
      </c>
      <c r="P1073" s="4">
        <f t="shared" si="501"/>
        <v>2</v>
      </c>
      <c r="Q1073" s="4">
        <f t="shared" si="502"/>
        <v>8.8536654280374503</v>
      </c>
      <c r="R1073" s="4">
        <f t="shared" si="503"/>
        <v>6.0402547112774139</v>
      </c>
      <c r="S1073" s="4">
        <f t="shared" si="504"/>
        <v>69.099999999999994</v>
      </c>
      <c r="T1073" s="4">
        <f t="shared" si="505"/>
        <v>1</v>
      </c>
      <c r="U1073" s="4">
        <f t="shared" si="506"/>
        <v>8.8536654280374503</v>
      </c>
      <c r="V1073" s="4">
        <f t="shared" si="507"/>
        <v>6.0402547112774139</v>
      </c>
      <c r="W1073" s="4">
        <f t="shared" si="508"/>
        <v>69.099999999999994</v>
      </c>
      <c r="X1073" s="4">
        <f t="shared" si="509"/>
        <v>2</v>
      </c>
      <c r="Y1073" s="4">
        <f t="shared" si="510"/>
        <v>8.8536654280374503</v>
      </c>
      <c r="Z1073" s="4">
        <f t="shared" si="511"/>
        <v>6.0402547112774139</v>
      </c>
      <c r="AA1073" s="4">
        <f t="shared" si="512"/>
        <v>69.099999999999994</v>
      </c>
      <c r="AB1073" s="4">
        <f t="shared" si="513"/>
        <v>0</v>
      </c>
      <c r="AC1073" s="4">
        <f t="shared" si="514"/>
        <v>1</v>
      </c>
      <c r="AD1073" s="4">
        <f t="shared" si="515"/>
        <v>8.8536654280374503</v>
      </c>
      <c r="AE1073" s="4">
        <f t="shared" si="516"/>
        <v>6.0402547112774139</v>
      </c>
      <c r="AF1073" s="4">
        <f t="shared" si="517"/>
        <v>69.099999999999994</v>
      </c>
      <c r="AG1073" s="4">
        <f t="shared" si="518"/>
        <v>8.8536654280374503</v>
      </c>
      <c r="AH1073" s="4">
        <f t="shared" si="519"/>
        <v>0</v>
      </c>
      <c r="AI1073" s="4">
        <f t="shared" si="520"/>
        <v>1</v>
      </c>
      <c r="AJ1073" s="4">
        <f t="shared" si="521"/>
        <v>8.8536654280374503</v>
      </c>
      <c r="AK1073" s="4">
        <f t="shared" si="522"/>
        <v>6.0402547112774139</v>
      </c>
      <c r="AL1073" s="4">
        <f t="shared" si="523"/>
        <v>1</v>
      </c>
      <c r="AM1073" s="4">
        <f>CER!$C$7+CER!$C$8*J1073+CER!$C$9*K1073+CER!$C$10*L1073+CER!$C$11*M1073</f>
        <v>4.7291101595082772</v>
      </c>
      <c r="AN1073" s="4">
        <f t="shared" si="524"/>
        <v>113.19479221107319</v>
      </c>
      <c r="AO1073" s="4">
        <f t="shared" si="525"/>
        <v>-0.11908875970930577</v>
      </c>
      <c r="AP1073" s="4">
        <f>Alternatives!$F$25+Alternatives!$F$26*J1073+Alternatives!$F$27*K1073+Alternatives!$F$28*G1073+Alternatives!$F$29*O1073</f>
        <v>4.0595828607901936</v>
      </c>
      <c r="AQ1073" s="4">
        <f t="shared" si="526"/>
        <v>0.55043853900877782</v>
      </c>
    </row>
    <row r="1074" spans="1:43" x14ac:dyDescent="0.35">
      <c r="A1074" s="2" t="s">
        <v>931</v>
      </c>
      <c r="B1074" s="2" t="s">
        <v>239</v>
      </c>
      <c r="C1074" s="2" t="s">
        <v>34</v>
      </c>
      <c r="D1074" s="2">
        <v>100.4863</v>
      </c>
      <c r="E1074" s="2">
        <v>7000</v>
      </c>
      <c r="F1074" s="2">
        <v>420</v>
      </c>
      <c r="G1074" s="2">
        <v>69.099999999999994</v>
      </c>
      <c r="H1074" s="2" t="s">
        <v>911</v>
      </c>
      <c r="I1074" s="4">
        <f t="shared" si="496"/>
        <v>4.6100213997989714</v>
      </c>
      <c r="J1074" s="4">
        <f t="shared" si="497"/>
        <v>8.8536654280374503</v>
      </c>
      <c r="K1074" s="4">
        <f t="shared" si="498"/>
        <v>6.0402547112774139</v>
      </c>
      <c r="L1074" s="2">
        <v>0</v>
      </c>
      <c r="M1074" s="2">
        <v>1</v>
      </c>
      <c r="N1074" s="4">
        <f t="shared" si="499"/>
        <v>69.099999999999994</v>
      </c>
      <c r="O1074" s="4">
        <f t="shared" si="500"/>
        <v>1</v>
      </c>
      <c r="P1074" s="4">
        <f t="shared" si="501"/>
        <v>2</v>
      </c>
      <c r="Q1074" s="4">
        <f t="shared" si="502"/>
        <v>8.8536654280374503</v>
      </c>
      <c r="R1074" s="4">
        <f t="shared" si="503"/>
        <v>6.0402547112774139</v>
      </c>
      <c r="S1074" s="4">
        <f t="shared" si="504"/>
        <v>69.099999999999994</v>
      </c>
      <c r="T1074" s="4">
        <f t="shared" si="505"/>
        <v>1</v>
      </c>
      <c r="U1074" s="4">
        <f t="shared" si="506"/>
        <v>8.8536654280374503</v>
      </c>
      <c r="V1074" s="4">
        <f t="shared" si="507"/>
        <v>6.0402547112774139</v>
      </c>
      <c r="W1074" s="4">
        <f t="shared" si="508"/>
        <v>69.099999999999994</v>
      </c>
      <c r="X1074" s="4">
        <f t="shared" si="509"/>
        <v>2</v>
      </c>
      <c r="Y1074" s="4">
        <f t="shared" si="510"/>
        <v>8.8536654280374503</v>
      </c>
      <c r="Z1074" s="4">
        <f t="shared" si="511"/>
        <v>6.0402547112774139</v>
      </c>
      <c r="AA1074" s="4">
        <f t="shared" si="512"/>
        <v>69.099999999999994</v>
      </c>
      <c r="AB1074" s="4">
        <f t="shared" si="513"/>
        <v>0</v>
      </c>
      <c r="AC1074" s="4">
        <f t="shared" si="514"/>
        <v>1</v>
      </c>
      <c r="AD1074" s="4">
        <f t="shared" si="515"/>
        <v>8.8536654280374503</v>
      </c>
      <c r="AE1074" s="4">
        <f t="shared" si="516"/>
        <v>6.0402547112774139</v>
      </c>
      <c r="AF1074" s="4">
        <f t="shared" si="517"/>
        <v>69.099999999999994</v>
      </c>
      <c r="AG1074" s="4">
        <f t="shared" si="518"/>
        <v>8.8536654280374503</v>
      </c>
      <c r="AH1074" s="4">
        <f t="shared" si="519"/>
        <v>0</v>
      </c>
      <c r="AI1074" s="4">
        <f t="shared" si="520"/>
        <v>1</v>
      </c>
      <c r="AJ1074" s="4">
        <f t="shared" si="521"/>
        <v>8.8536654280374503</v>
      </c>
      <c r="AK1074" s="4">
        <f t="shared" si="522"/>
        <v>6.0402547112774139</v>
      </c>
      <c r="AL1074" s="4">
        <f t="shared" si="523"/>
        <v>1</v>
      </c>
      <c r="AM1074" s="4">
        <f>CER!$C$7+CER!$C$8*J1074+CER!$C$9*K1074+CER!$C$10*L1074+CER!$C$11*M1074</f>
        <v>4.7291101595082772</v>
      </c>
      <c r="AN1074" s="4">
        <f t="shared" si="524"/>
        <v>113.19479221107319</v>
      </c>
      <c r="AO1074" s="4">
        <f t="shared" si="525"/>
        <v>-0.11908875970930577</v>
      </c>
      <c r="AP1074" s="4">
        <f>Alternatives!$F$25+Alternatives!$F$26*J1074+Alternatives!$F$27*K1074+Alternatives!$F$28*G1074+Alternatives!$F$29*O1074</f>
        <v>4.0595828607901936</v>
      </c>
      <c r="AQ1074" s="4">
        <f t="shared" si="526"/>
        <v>0.55043853900877782</v>
      </c>
    </row>
    <row r="1075" spans="1:43" x14ac:dyDescent="0.35">
      <c r="A1075" s="2" t="s">
        <v>932</v>
      </c>
      <c r="B1075" s="2" t="s">
        <v>239</v>
      </c>
      <c r="C1075" s="2" t="s">
        <v>34</v>
      </c>
      <c r="D1075" s="2">
        <v>97.648499999999999</v>
      </c>
      <c r="E1075" s="2">
        <v>6500</v>
      </c>
      <c r="F1075" s="2">
        <v>426</v>
      </c>
      <c r="G1075" s="2">
        <v>69.099999999999994</v>
      </c>
      <c r="H1075" s="2" t="s">
        <v>911</v>
      </c>
      <c r="I1075" s="4">
        <f t="shared" si="496"/>
        <v>4.581374296221604</v>
      </c>
      <c r="J1075" s="4">
        <f t="shared" si="497"/>
        <v>8.7795574558837277</v>
      </c>
      <c r="K1075" s="4">
        <f t="shared" si="498"/>
        <v>6.0544393462693709</v>
      </c>
      <c r="L1075" s="2">
        <v>0</v>
      </c>
      <c r="M1075" s="2">
        <v>1</v>
      </c>
      <c r="N1075" s="4">
        <f t="shared" si="499"/>
        <v>69.099999999999994</v>
      </c>
      <c r="O1075" s="4">
        <f t="shared" si="500"/>
        <v>1</v>
      </c>
      <c r="P1075" s="4">
        <f t="shared" si="501"/>
        <v>2</v>
      </c>
      <c r="Q1075" s="4">
        <f t="shared" si="502"/>
        <v>8.7795574558837277</v>
      </c>
      <c r="R1075" s="4">
        <f t="shared" si="503"/>
        <v>6.0544393462693709</v>
      </c>
      <c r="S1075" s="4">
        <f t="shared" si="504"/>
        <v>69.099999999999994</v>
      </c>
      <c r="T1075" s="4">
        <f t="shared" si="505"/>
        <v>1</v>
      </c>
      <c r="U1075" s="4">
        <f t="shared" si="506"/>
        <v>8.7795574558837277</v>
      </c>
      <c r="V1075" s="4">
        <f t="shared" si="507"/>
        <v>6.0544393462693709</v>
      </c>
      <c r="W1075" s="4">
        <f t="shared" si="508"/>
        <v>69.099999999999994</v>
      </c>
      <c r="X1075" s="4">
        <f t="shared" si="509"/>
        <v>2</v>
      </c>
      <c r="Y1075" s="4">
        <f t="shared" si="510"/>
        <v>8.7795574558837277</v>
      </c>
      <c r="Z1075" s="4">
        <f t="shared" si="511"/>
        <v>6.0544393462693709</v>
      </c>
      <c r="AA1075" s="4">
        <f t="shared" si="512"/>
        <v>69.099999999999994</v>
      </c>
      <c r="AB1075" s="4">
        <f t="shared" si="513"/>
        <v>0</v>
      </c>
      <c r="AC1075" s="4">
        <f t="shared" si="514"/>
        <v>1</v>
      </c>
      <c r="AD1075" s="4">
        <f t="shared" si="515"/>
        <v>8.7795574558837277</v>
      </c>
      <c r="AE1075" s="4">
        <f t="shared" si="516"/>
        <v>6.0544393462693709</v>
      </c>
      <c r="AF1075" s="4">
        <f t="shared" si="517"/>
        <v>69.099999999999994</v>
      </c>
      <c r="AG1075" s="4">
        <f t="shared" si="518"/>
        <v>8.7795574558837277</v>
      </c>
      <c r="AH1075" s="4">
        <f t="shared" si="519"/>
        <v>0</v>
      </c>
      <c r="AI1075" s="4">
        <f t="shared" si="520"/>
        <v>1</v>
      </c>
      <c r="AJ1075" s="4">
        <f t="shared" si="521"/>
        <v>8.7795574558837277</v>
      </c>
      <c r="AK1075" s="4">
        <f t="shared" si="522"/>
        <v>6.0544393462693709</v>
      </c>
      <c r="AL1075" s="4">
        <f t="shared" si="523"/>
        <v>1</v>
      </c>
      <c r="AM1075" s="4">
        <f>CER!$C$7+CER!$C$8*J1075+CER!$C$9*K1075+CER!$C$10*L1075+CER!$C$11*M1075</f>
        <v>4.7574261824254211</v>
      </c>
      <c r="AN1075" s="4">
        <f t="shared" si="524"/>
        <v>116.44582954545162</v>
      </c>
      <c r="AO1075" s="4">
        <f t="shared" si="525"/>
        <v>-0.17605188620381718</v>
      </c>
      <c r="AP1075" s="4">
        <f>Alternatives!$F$25+Alternatives!$F$26*J1075+Alternatives!$F$27*K1075+Alternatives!$F$28*G1075+Alternatives!$F$29*O1075</f>
        <v>4.0283818666685889</v>
      </c>
      <c r="AQ1075" s="4">
        <f t="shared" si="526"/>
        <v>0.55299242955301509</v>
      </c>
    </row>
    <row r="1076" spans="1:43" x14ac:dyDescent="0.35">
      <c r="A1076" s="2" t="s">
        <v>933</v>
      </c>
      <c r="B1076" s="2" t="s">
        <v>239</v>
      </c>
      <c r="C1076" s="2" t="s">
        <v>34</v>
      </c>
      <c r="D1076" s="2">
        <v>94.909000000000006</v>
      </c>
      <c r="E1076" s="2">
        <v>7000</v>
      </c>
      <c r="F1076" s="2">
        <v>420</v>
      </c>
      <c r="G1076" s="2">
        <v>69.099999999999994</v>
      </c>
      <c r="H1076" s="2" t="s">
        <v>911</v>
      </c>
      <c r="I1076" s="4">
        <f t="shared" si="496"/>
        <v>4.5529185377893491</v>
      </c>
      <c r="J1076" s="4">
        <f t="shared" si="497"/>
        <v>8.8536654280374503</v>
      </c>
      <c r="K1076" s="4">
        <f t="shared" si="498"/>
        <v>6.0402547112774139</v>
      </c>
      <c r="L1076" s="2">
        <v>0</v>
      </c>
      <c r="M1076" s="2">
        <v>1</v>
      </c>
      <c r="N1076" s="4">
        <f t="shared" si="499"/>
        <v>69.099999999999994</v>
      </c>
      <c r="O1076" s="4">
        <f t="shared" si="500"/>
        <v>1</v>
      </c>
      <c r="P1076" s="4">
        <f t="shared" si="501"/>
        <v>2</v>
      </c>
      <c r="Q1076" s="4">
        <f t="shared" si="502"/>
        <v>8.8536654280374503</v>
      </c>
      <c r="R1076" s="4">
        <f t="shared" si="503"/>
        <v>6.0402547112774139</v>
      </c>
      <c r="S1076" s="4">
        <f t="shared" si="504"/>
        <v>69.099999999999994</v>
      </c>
      <c r="T1076" s="4">
        <f t="shared" si="505"/>
        <v>1</v>
      </c>
      <c r="U1076" s="4">
        <f t="shared" si="506"/>
        <v>8.8536654280374503</v>
      </c>
      <c r="V1076" s="4">
        <f t="shared" si="507"/>
        <v>6.0402547112774139</v>
      </c>
      <c r="W1076" s="4">
        <f t="shared" si="508"/>
        <v>69.099999999999994</v>
      </c>
      <c r="X1076" s="4">
        <f t="shared" si="509"/>
        <v>2</v>
      </c>
      <c r="Y1076" s="4">
        <f t="shared" si="510"/>
        <v>8.8536654280374503</v>
      </c>
      <c r="Z1076" s="4">
        <f t="shared" si="511"/>
        <v>6.0402547112774139</v>
      </c>
      <c r="AA1076" s="4">
        <f t="shared" si="512"/>
        <v>69.099999999999994</v>
      </c>
      <c r="AB1076" s="4">
        <f t="shared" si="513"/>
        <v>0</v>
      </c>
      <c r="AC1076" s="4">
        <f t="shared" si="514"/>
        <v>1</v>
      </c>
      <c r="AD1076" s="4">
        <f t="shared" si="515"/>
        <v>8.8536654280374503</v>
      </c>
      <c r="AE1076" s="4">
        <f t="shared" si="516"/>
        <v>6.0402547112774139</v>
      </c>
      <c r="AF1076" s="4">
        <f t="shared" si="517"/>
        <v>69.099999999999994</v>
      </c>
      <c r="AG1076" s="4">
        <f t="shared" si="518"/>
        <v>8.8536654280374503</v>
      </c>
      <c r="AH1076" s="4">
        <f t="shared" si="519"/>
        <v>0</v>
      </c>
      <c r="AI1076" s="4">
        <f t="shared" si="520"/>
        <v>1</v>
      </c>
      <c r="AJ1076" s="4">
        <f t="shared" si="521"/>
        <v>8.8536654280374503</v>
      </c>
      <c r="AK1076" s="4">
        <f t="shared" si="522"/>
        <v>6.0402547112774139</v>
      </c>
      <c r="AL1076" s="4">
        <f t="shared" si="523"/>
        <v>1</v>
      </c>
      <c r="AM1076" s="4">
        <f>CER!$C$7+CER!$C$8*J1076+CER!$C$9*K1076+CER!$C$10*L1076+CER!$C$11*M1076</f>
        <v>4.7291101595082772</v>
      </c>
      <c r="AN1076" s="4">
        <f t="shared" si="524"/>
        <v>113.19479221107319</v>
      </c>
      <c r="AO1076" s="4">
        <f t="shared" si="525"/>
        <v>-0.1761916217189281</v>
      </c>
      <c r="AP1076" s="4">
        <f>Alternatives!$F$25+Alternatives!$F$26*J1076+Alternatives!$F$27*K1076+Alternatives!$F$28*G1076+Alternatives!$F$29*O1076</f>
        <v>4.0595828607901936</v>
      </c>
      <c r="AQ1076" s="4">
        <f t="shared" si="526"/>
        <v>0.49333567699915548</v>
      </c>
    </row>
    <row r="1077" spans="1:43" x14ac:dyDescent="0.35">
      <c r="A1077" s="2" t="s">
        <v>934</v>
      </c>
      <c r="B1077" s="2" t="s">
        <v>283</v>
      </c>
      <c r="C1077" s="2" t="s">
        <v>34</v>
      </c>
      <c r="D1077" s="2">
        <v>125.8612</v>
      </c>
      <c r="E1077" s="2">
        <v>6000</v>
      </c>
      <c r="F1077" s="2">
        <v>340</v>
      </c>
      <c r="G1077" s="2">
        <v>56</v>
      </c>
      <c r="H1077" s="2" t="s">
        <v>881</v>
      </c>
      <c r="I1077" s="4">
        <f t="shared" si="496"/>
        <v>4.8351797124566405</v>
      </c>
      <c r="J1077" s="4">
        <f t="shared" si="497"/>
        <v>8.6995147482101913</v>
      </c>
      <c r="K1077" s="4">
        <f t="shared" si="498"/>
        <v>5.8289456176102075</v>
      </c>
      <c r="L1077" s="2">
        <v>0</v>
      </c>
      <c r="M1077" s="2">
        <v>1</v>
      </c>
      <c r="N1077" s="4">
        <f t="shared" si="499"/>
        <v>56</v>
      </c>
      <c r="O1077" s="4">
        <f t="shared" si="500"/>
        <v>1</v>
      </c>
      <c r="P1077" s="4">
        <f t="shared" si="501"/>
        <v>2</v>
      </c>
      <c r="Q1077" s="4">
        <f t="shared" si="502"/>
        <v>8.6995147482101913</v>
      </c>
      <c r="R1077" s="4">
        <f t="shared" si="503"/>
        <v>5.8289456176102075</v>
      </c>
      <c r="S1077" s="4">
        <f t="shared" si="504"/>
        <v>56</v>
      </c>
      <c r="T1077" s="4">
        <f t="shared" si="505"/>
        <v>1</v>
      </c>
      <c r="U1077" s="4">
        <f t="shared" si="506"/>
        <v>8.6995147482101913</v>
      </c>
      <c r="V1077" s="4">
        <f t="shared" si="507"/>
        <v>5.8289456176102075</v>
      </c>
      <c r="W1077" s="4">
        <f t="shared" si="508"/>
        <v>56</v>
      </c>
      <c r="X1077" s="4">
        <f t="shared" si="509"/>
        <v>2</v>
      </c>
      <c r="Y1077" s="4">
        <f t="shared" si="510"/>
        <v>8.6995147482101913</v>
      </c>
      <c r="Z1077" s="4">
        <f t="shared" si="511"/>
        <v>5.8289456176102075</v>
      </c>
      <c r="AA1077" s="4">
        <f t="shared" si="512"/>
        <v>56</v>
      </c>
      <c r="AB1077" s="4">
        <f t="shared" si="513"/>
        <v>0</v>
      </c>
      <c r="AC1077" s="4">
        <f t="shared" si="514"/>
        <v>1</v>
      </c>
      <c r="AD1077" s="4">
        <f t="shared" si="515"/>
        <v>8.6995147482101913</v>
      </c>
      <c r="AE1077" s="4">
        <f t="shared" si="516"/>
        <v>5.8289456176102075</v>
      </c>
      <c r="AF1077" s="4">
        <f t="shared" si="517"/>
        <v>56</v>
      </c>
      <c r="AG1077" s="4">
        <f t="shared" si="518"/>
        <v>8.6995147482101913</v>
      </c>
      <c r="AH1077" s="4">
        <f t="shared" si="519"/>
        <v>0</v>
      </c>
      <c r="AI1077" s="4">
        <f t="shared" si="520"/>
        <v>1</v>
      </c>
      <c r="AJ1077" s="4">
        <f t="shared" si="521"/>
        <v>8.6995147482101913</v>
      </c>
      <c r="AK1077" s="4">
        <f t="shared" si="522"/>
        <v>5.8289456176102075</v>
      </c>
      <c r="AL1077" s="4">
        <f t="shared" si="523"/>
        <v>1</v>
      </c>
      <c r="AM1077" s="4">
        <f>CER!$C$7+CER!$C$8*J1077+CER!$C$9*K1077+CER!$C$10*L1077+CER!$C$11*M1077</f>
        <v>4.8768567398540528</v>
      </c>
      <c r="AN1077" s="4">
        <f t="shared" si="524"/>
        <v>131.21756404630597</v>
      </c>
      <c r="AO1077" s="4">
        <f t="shared" si="525"/>
        <v>-4.1677027397412303E-2</v>
      </c>
      <c r="AP1077" s="4">
        <f>Alternatives!$F$25+Alternatives!$F$26*J1077+Alternatives!$F$27*K1077+Alternatives!$F$28*G1077+Alternatives!$F$29*O1077</f>
        <v>4.2291611323104519</v>
      </c>
      <c r="AQ1077" s="4">
        <f t="shared" si="526"/>
        <v>0.60601858014618859</v>
      </c>
    </row>
    <row r="1078" spans="1:43" x14ac:dyDescent="0.35">
      <c r="A1078" s="2" t="s">
        <v>935</v>
      </c>
      <c r="B1078" s="2" t="s">
        <v>283</v>
      </c>
      <c r="C1078" s="2" t="s">
        <v>34</v>
      </c>
      <c r="D1078" s="2">
        <v>126.7739</v>
      </c>
      <c r="E1078" s="2">
        <v>6000</v>
      </c>
      <c r="F1078" s="2">
        <v>500</v>
      </c>
      <c r="G1078" s="2">
        <v>56</v>
      </c>
      <c r="H1078" s="2" t="s">
        <v>881</v>
      </c>
      <c r="I1078" s="4">
        <f t="shared" si="496"/>
        <v>4.8424051848538516</v>
      </c>
      <c r="J1078" s="4">
        <f t="shared" si="497"/>
        <v>8.6995147482101913</v>
      </c>
      <c r="K1078" s="4">
        <f t="shared" si="498"/>
        <v>6.2146080984221914</v>
      </c>
      <c r="L1078" s="2">
        <v>0</v>
      </c>
      <c r="M1078" s="2">
        <v>1</v>
      </c>
      <c r="N1078" s="4">
        <f t="shared" si="499"/>
        <v>56</v>
      </c>
      <c r="O1078" s="4">
        <f t="shared" si="500"/>
        <v>1</v>
      </c>
      <c r="P1078" s="4">
        <f t="shared" si="501"/>
        <v>2</v>
      </c>
      <c r="Q1078" s="4">
        <f t="shared" si="502"/>
        <v>8.6995147482101913</v>
      </c>
      <c r="R1078" s="4">
        <f t="shared" si="503"/>
        <v>6.2146080984221914</v>
      </c>
      <c r="S1078" s="4">
        <f t="shared" si="504"/>
        <v>56</v>
      </c>
      <c r="T1078" s="4">
        <f t="shared" si="505"/>
        <v>1</v>
      </c>
      <c r="U1078" s="4">
        <f t="shared" si="506"/>
        <v>8.6995147482101913</v>
      </c>
      <c r="V1078" s="4">
        <f t="shared" si="507"/>
        <v>6.2146080984221914</v>
      </c>
      <c r="W1078" s="4">
        <f t="shared" si="508"/>
        <v>56</v>
      </c>
      <c r="X1078" s="4">
        <f t="shared" si="509"/>
        <v>2</v>
      </c>
      <c r="Y1078" s="4">
        <f t="shared" si="510"/>
        <v>8.6995147482101913</v>
      </c>
      <c r="Z1078" s="4">
        <f t="shared" si="511"/>
        <v>6.2146080984221914</v>
      </c>
      <c r="AA1078" s="4">
        <f t="shared" si="512"/>
        <v>56</v>
      </c>
      <c r="AB1078" s="4">
        <f t="shared" si="513"/>
        <v>0</v>
      </c>
      <c r="AC1078" s="4">
        <f t="shared" si="514"/>
        <v>1</v>
      </c>
      <c r="AD1078" s="4">
        <f t="shared" si="515"/>
        <v>8.6995147482101913</v>
      </c>
      <c r="AE1078" s="4">
        <f t="shared" si="516"/>
        <v>6.2146080984221914</v>
      </c>
      <c r="AF1078" s="4">
        <f t="shared" si="517"/>
        <v>56</v>
      </c>
      <c r="AG1078" s="4">
        <f t="shared" si="518"/>
        <v>8.6995147482101913</v>
      </c>
      <c r="AH1078" s="4">
        <f t="shared" si="519"/>
        <v>0</v>
      </c>
      <c r="AI1078" s="4">
        <f t="shared" si="520"/>
        <v>1</v>
      </c>
      <c r="AJ1078" s="4">
        <f t="shared" si="521"/>
        <v>8.6995147482101913</v>
      </c>
      <c r="AK1078" s="4">
        <f t="shared" si="522"/>
        <v>6.2146080984221914</v>
      </c>
      <c r="AL1078" s="4">
        <f t="shared" si="523"/>
        <v>1</v>
      </c>
      <c r="AM1078" s="4">
        <f>CER!$C$7+CER!$C$8*J1078+CER!$C$9*K1078+CER!$C$10*L1078+CER!$C$11*M1078</f>
        <v>4.7345689918839664</v>
      </c>
      <c r="AN1078" s="4">
        <f t="shared" si="524"/>
        <v>113.81439321795688</v>
      </c>
      <c r="AO1078" s="4">
        <f t="shared" si="525"/>
        <v>0.10783619296988523</v>
      </c>
      <c r="AP1078" s="4">
        <f>Alternatives!$F$25+Alternatives!$F$26*J1078+Alternatives!$F$27*K1078+Alternatives!$F$28*G1078+Alternatives!$F$29*O1078</f>
        <v>4.126532501917584</v>
      </c>
      <c r="AQ1078" s="4">
        <f t="shared" si="526"/>
        <v>0.7158726829362676</v>
      </c>
    </row>
    <row r="1079" spans="1:43" x14ac:dyDescent="0.35">
      <c r="A1079" s="2" t="s">
        <v>936</v>
      </c>
      <c r="B1079" s="2" t="s">
        <v>283</v>
      </c>
      <c r="C1079" s="2" t="s">
        <v>34</v>
      </c>
      <c r="D1079" s="2">
        <v>90.197900000000004</v>
      </c>
      <c r="E1079" s="2">
        <v>9000</v>
      </c>
      <c r="F1079" s="2">
        <v>510</v>
      </c>
      <c r="G1079" s="2">
        <v>69.8</v>
      </c>
      <c r="H1079" s="2" t="s">
        <v>881</v>
      </c>
      <c r="I1079" s="4">
        <f t="shared" si="496"/>
        <v>4.5020061452011051</v>
      </c>
      <c r="J1079" s="4">
        <f t="shared" si="497"/>
        <v>9.1049798563183568</v>
      </c>
      <c r="K1079" s="4">
        <f t="shared" si="498"/>
        <v>6.2344107257183712</v>
      </c>
      <c r="L1079" s="2">
        <v>0</v>
      </c>
      <c r="M1079" s="2">
        <v>1</v>
      </c>
      <c r="N1079" s="4">
        <f t="shared" si="499"/>
        <v>69.8</v>
      </c>
      <c r="O1079" s="4">
        <f t="shared" si="500"/>
        <v>1</v>
      </c>
      <c r="P1079" s="4">
        <f t="shared" si="501"/>
        <v>2</v>
      </c>
      <c r="Q1079" s="4">
        <f t="shared" si="502"/>
        <v>9.1049798563183568</v>
      </c>
      <c r="R1079" s="4">
        <f t="shared" si="503"/>
        <v>6.2344107257183712</v>
      </c>
      <c r="S1079" s="4">
        <f t="shared" si="504"/>
        <v>69.8</v>
      </c>
      <c r="T1079" s="4">
        <f t="shared" si="505"/>
        <v>1</v>
      </c>
      <c r="U1079" s="4">
        <f t="shared" si="506"/>
        <v>9.1049798563183568</v>
      </c>
      <c r="V1079" s="4">
        <f t="shared" si="507"/>
        <v>6.2344107257183712</v>
      </c>
      <c r="W1079" s="4">
        <f t="shared" si="508"/>
        <v>69.8</v>
      </c>
      <c r="X1079" s="4">
        <f t="shared" si="509"/>
        <v>2</v>
      </c>
      <c r="Y1079" s="4">
        <f t="shared" si="510"/>
        <v>9.1049798563183568</v>
      </c>
      <c r="Z1079" s="4">
        <f t="shared" si="511"/>
        <v>6.2344107257183712</v>
      </c>
      <c r="AA1079" s="4">
        <f t="shared" si="512"/>
        <v>69.8</v>
      </c>
      <c r="AB1079" s="4">
        <f t="shared" si="513"/>
        <v>0</v>
      </c>
      <c r="AC1079" s="4">
        <f t="shared" si="514"/>
        <v>1</v>
      </c>
      <c r="AD1079" s="4">
        <f t="shared" si="515"/>
        <v>9.1049798563183568</v>
      </c>
      <c r="AE1079" s="4">
        <f t="shared" si="516"/>
        <v>6.2344107257183712</v>
      </c>
      <c r="AF1079" s="4">
        <f t="shared" si="517"/>
        <v>69.8</v>
      </c>
      <c r="AG1079" s="4">
        <f t="shared" si="518"/>
        <v>9.1049798563183568</v>
      </c>
      <c r="AH1079" s="4">
        <f t="shared" si="519"/>
        <v>0</v>
      </c>
      <c r="AI1079" s="4">
        <f t="shared" si="520"/>
        <v>1</v>
      </c>
      <c r="AJ1079" s="4">
        <f t="shared" si="521"/>
        <v>9.1049798563183568</v>
      </c>
      <c r="AK1079" s="4">
        <f t="shared" si="522"/>
        <v>6.2344107257183712</v>
      </c>
      <c r="AL1079" s="4">
        <f t="shared" si="523"/>
        <v>1</v>
      </c>
      <c r="AM1079" s="4">
        <f>CER!$C$7+CER!$C$8*J1079+CER!$C$9*K1079+CER!$C$10*L1079+CER!$C$11*M1079</f>
        <v>4.5437051848945487</v>
      </c>
      <c r="AN1079" s="4">
        <f t="shared" si="524"/>
        <v>94.038585764015039</v>
      </c>
      <c r="AO1079" s="4">
        <f t="shared" si="525"/>
        <v>-4.1699039693443574E-2</v>
      </c>
      <c r="AP1079" s="4">
        <f>Alternatives!$F$25+Alternatives!$F$26*J1079+Alternatives!$F$27*K1079+Alternatives!$F$28*G1079+Alternatives!$F$29*O1079</f>
        <v>4.0918188358377812</v>
      </c>
      <c r="AQ1079" s="4">
        <f t="shared" si="526"/>
        <v>0.41018730936332393</v>
      </c>
    </row>
    <row r="1080" spans="1:43" x14ac:dyDescent="0.35">
      <c r="A1080" s="2" t="s">
        <v>936</v>
      </c>
      <c r="B1080" s="2" t="s">
        <v>283</v>
      </c>
      <c r="C1080" s="2" t="s">
        <v>34</v>
      </c>
      <c r="D1080" s="2">
        <v>95.281300000000002</v>
      </c>
      <c r="E1080" s="2">
        <v>8500</v>
      </c>
      <c r="F1080" s="2">
        <v>505</v>
      </c>
      <c r="G1080" s="2">
        <v>69.8</v>
      </c>
      <c r="H1080" s="2" t="s">
        <v>881</v>
      </c>
      <c r="I1080" s="4">
        <f t="shared" si="496"/>
        <v>4.5568335689506076</v>
      </c>
      <c r="J1080" s="4">
        <f t="shared" si="497"/>
        <v>9.0478214424784085</v>
      </c>
      <c r="K1080" s="4">
        <f t="shared" si="498"/>
        <v>6.2245584292753602</v>
      </c>
      <c r="L1080" s="2">
        <v>0</v>
      </c>
      <c r="M1080" s="2">
        <v>1</v>
      </c>
      <c r="N1080" s="4">
        <f t="shared" si="499"/>
        <v>69.8</v>
      </c>
      <c r="O1080" s="4">
        <f t="shared" si="500"/>
        <v>1</v>
      </c>
      <c r="P1080" s="4">
        <f t="shared" si="501"/>
        <v>2</v>
      </c>
      <c r="Q1080" s="4">
        <f t="shared" si="502"/>
        <v>9.0478214424784085</v>
      </c>
      <c r="R1080" s="4">
        <f t="shared" si="503"/>
        <v>6.2245584292753602</v>
      </c>
      <c r="S1080" s="4">
        <f t="shared" si="504"/>
        <v>69.8</v>
      </c>
      <c r="T1080" s="4">
        <f t="shared" si="505"/>
        <v>1</v>
      </c>
      <c r="U1080" s="4">
        <f t="shared" si="506"/>
        <v>9.0478214424784085</v>
      </c>
      <c r="V1080" s="4">
        <f t="shared" si="507"/>
        <v>6.2245584292753602</v>
      </c>
      <c r="W1080" s="4">
        <f t="shared" si="508"/>
        <v>69.8</v>
      </c>
      <c r="X1080" s="4">
        <f t="shared" si="509"/>
        <v>2</v>
      </c>
      <c r="Y1080" s="4">
        <f t="shared" si="510"/>
        <v>9.0478214424784085</v>
      </c>
      <c r="Z1080" s="4">
        <f t="shared" si="511"/>
        <v>6.2245584292753602</v>
      </c>
      <c r="AA1080" s="4">
        <f t="shared" si="512"/>
        <v>69.8</v>
      </c>
      <c r="AB1080" s="4">
        <f t="shared" si="513"/>
        <v>0</v>
      </c>
      <c r="AC1080" s="4">
        <f t="shared" si="514"/>
        <v>1</v>
      </c>
      <c r="AD1080" s="4">
        <f t="shared" si="515"/>
        <v>9.0478214424784085</v>
      </c>
      <c r="AE1080" s="4">
        <f t="shared" si="516"/>
        <v>6.2245584292753602</v>
      </c>
      <c r="AF1080" s="4">
        <f t="shared" si="517"/>
        <v>69.8</v>
      </c>
      <c r="AG1080" s="4">
        <f t="shared" si="518"/>
        <v>9.0478214424784085</v>
      </c>
      <c r="AH1080" s="4">
        <f t="shared" si="519"/>
        <v>0</v>
      </c>
      <c r="AI1080" s="4">
        <f t="shared" si="520"/>
        <v>1</v>
      </c>
      <c r="AJ1080" s="4">
        <f t="shared" si="521"/>
        <v>9.0478214424784085</v>
      </c>
      <c r="AK1080" s="4">
        <f t="shared" si="522"/>
        <v>6.2245584292753602</v>
      </c>
      <c r="AL1080" s="4">
        <f t="shared" si="523"/>
        <v>1</v>
      </c>
      <c r="AM1080" s="4">
        <f>CER!$C$7+CER!$C$8*J1080+CER!$C$9*K1080+CER!$C$10*L1080+CER!$C$11*M1080</f>
        <v>4.5732162629430189</v>
      </c>
      <c r="AN1080" s="4">
        <f t="shared" si="524"/>
        <v>96.855120894145415</v>
      </c>
      <c r="AO1080" s="4">
        <f t="shared" si="525"/>
        <v>-1.6382693992411212E-2</v>
      </c>
      <c r="AP1080" s="4">
        <f>Alternatives!$F$25+Alternatives!$F$26*J1080+Alternatives!$F$27*K1080+Alternatives!$F$28*G1080+Alternatives!$F$29*O1080</f>
        <v>4.0732871026357991</v>
      </c>
      <c r="AQ1080" s="4">
        <f t="shared" si="526"/>
        <v>0.48354646631480858</v>
      </c>
    </row>
    <row r="1081" spans="1:43" x14ac:dyDescent="0.35">
      <c r="A1081" s="2" t="s">
        <v>937</v>
      </c>
      <c r="B1081" s="2" t="s">
        <v>283</v>
      </c>
      <c r="C1081" s="2" t="s">
        <v>34</v>
      </c>
      <c r="D1081" s="2">
        <v>136.71530000000001</v>
      </c>
      <c r="E1081" s="2">
        <v>5500</v>
      </c>
      <c r="F1081" s="2">
        <v>295</v>
      </c>
      <c r="G1081" s="2">
        <v>56.2</v>
      </c>
      <c r="H1081" s="2" t="s">
        <v>881</v>
      </c>
      <c r="I1081" s="4">
        <f t="shared" si="496"/>
        <v>4.9179006613878844</v>
      </c>
      <c r="J1081" s="4">
        <f t="shared" si="497"/>
        <v>8.6125033712205621</v>
      </c>
      <c r="K1081" s="4">
        <f t="shared" si="498"/>
        <v>5.6869753563398202</v>
      </c>
      <c r="L1081" s="2">
        <v>0</v>
      </c>
      <c r="M1081" s="2">
        <v>1</v>
      </c>
      <c r="N1081" s="4">
        <f t="shared" si="499"/>
        <v>56.2</v>
      </c>
      <c r="O1081" s="4">
        <f t="shared" si="500"/>
        <v>1</v>
      </c>
      <c r="P1081" s="4">
        <f t="shared" si="501"/>
        <v>2</v>
      </c>
      <c r="Q1081" s="4">
        <f t="shared" si="502"/>
        <v>8.6125033712205621</v>
      </c>
      <c r="R1081" s="4">
        <f t="shared" si="503"/>
        <v>5.6869753563398202</v>
      </c>
      <c r="S1081" s="4">
        <f t="shared" si="504"/>
        <v>56.2</v>
      </c>
      <c r="T1081" s="4">
        <f t="shared" si="505"/>
        <v>1</v>
      </c>
      <c r="U1081" s="4">
        <f t="shared" si="506"/>
        <v>8.6125033712205621</v>
      </c>
      <c r="V1081" s="4">
        <f t="shared" si="507"/>
        <v>5.6869753563398202</v>
      </c>
      <c r="W1081" s="4">
        <f t="shared" si="508"/>
        <v>56.2</v>
      </c>
      <c r="X1081" s="4">
        <f t="shared" si="509"/>
        <v>2</v>
      </c>
      <c r="Y1081" s="4">
        <f t="shared" si="510"/>
        <v>8.6125033712205621</v>
      </c>
      <c r="Z1081" s="4">
        <f t="shared" si="511"/>
        <v>5.6869753563398202</v>
      </c>
      <c r="AA1081" s="4">
        <f t="shared" si="512"/>
        <v>56.2</v>
      </c>
      <c r="AB1081" s="4">
        <f t="shared" si="513"/>
        <v>0</v>
      </c>
      <c r="AC1081" s="4">
        <f t="shared" si="514"/>
        <v>1</v>
      </c>
      <c r="AD1081" s="4">
        <f t="shared" si="515"/>
        <v>8.6125033712205621</v>
      </c>
      <c r="AE1081" s="4">
        <f t="shared" si="516"/>
        <v>5.6869753563398202</v>
      </c>
      <c r="AF1081" s="4">
        <f t="shared" si="517"/>
        <v>56.2</v>
      </c>
      <c r="AG1081" s="4">
        <f t="shared" si="518"/>
        <v>8.6125033712205621</v>
      </c>
      <c r="AH1081" s="4">
        <f t="shared" si="519"/>
        <v>0</v>
      </c>
      <c r="AI1081" s="4">
        <f t="shared" si="520"/>
        <v>1</v>
      </c>
      <c r="AJ1081" s="4">
        <f t="shared" si="521"/>
        <v>8.6125033712205621</v>
      </c>
      <c r="AK1081" s="4">
        <f t="shared" si="522"/>
        <v>5.6869753563398202</v>
      </c>
      <c r="AL1081" s="4">
        <f t="shared" si="523"/>
        <v>1</v>
      </c>
      <c r="AM1081" s="4">
        <f>CER!$C$7+CER!$C$8*J1081+CER!$C$9*K1081+CER!$C$10*L1081+CER!$C$11*M1081</f>
        <v>4.9686266191802364</v>
      </c>
      <c r="AN1081" s="4">
        <f t="shared" si="524"/>
        <v>143.82921937406161</v>
      </c>
      <c r="AO1081" s="4">
        <f t="shared" si="525"/>
        <v>-5.0725957792352006E-2</v>
      </c>
      <c r="AP1081" s="4">
        <f>Alternatives!$F$25+Alternatives!$F$26*J1081+Alternatives!$F$27*K1081+Alternatives!$F$28*G1081+Alternatives!$F$29*O1081</f>
        <v>4.2321376805142812</v>
      </c>
      <c r="AQ1081" s="4">
        <f t="shared" si="526"/>
        <v>0.68576298087360321</v>
      </c>
    </row>
    <row r="1082" spans="1:43" x14ac:dyDescent="0.35">
      <c r="A1082" s="2" t="s">
        <v>937</v>
      </c>
      <c r="B1082" s="2" t="s">
        <v>283</v>
      </c>
      <c r="C1082" s="2" t="s">
        <v>34</v>
      </c>
      <c r="D1082" s="2">
        <v>111.4785</v>
      </c>
      <c r="E1082" s="2">
        <v>6000</v>
      </c>
      <c r="F1082" s="2">
        <v>500</v>
      </c>
      <c r="G1082" s="2">
        <v>56.2</v>
      </c>
      <c r="H1082" s="2" t="s">
        <v>881</v>
      </c>
      <c r="I1082" s="4">
        <f t="shared" si="496"/>
        <v>4.7138317471949138</v>
      </c>
      <c r="J1082" s="4">
        <f t="shared" si="497"/>
        <v>8.6995147482101913</v>
      </c>
      <c r="K1082" s="4">
        <f t="shared" si="498"/>
        <v>6.2146080984221914</v>
      </c>
      <c r="L1082" s="2">
        <v>0</v>
      </c>
      <c r="M1082" s="2">
        <v>1</v>
      </c>
      <c r="N1082" s="4">
        <f t="shared" si="499"/>
        <v>56.2</v>
      </c>
      <c r="O1082" s="4">
        <f t="shared" si="500"/>
        <v>1</v>
      </c>
      <c r="P1082" s="4">
        <f t="shared" si="501"/>
        <v>2</v>
      </c>
      <c r="Q1082" s="4">
        <f t="shared" si="502"/>
        <v>8.6995147482101913</v>
      </c>
      <c r="R1082" s="4">
        <f t="shared" si="503"/>
        <v>6.2146080984221914</v>
      </c>
      <c r="S1082" s="4">
        <f t="shared" si="504"/>
        <v>56.2</v>
      </c>
      <c r="T1082" s="4">
        <f t="shared" si="505"/>
        <v>1</v>
      </c>
      <c r="U1082" s="4">
        <f t="shared" si="506"/>
        <v>8.6995147482101913</v>
      </c>
      <c r="V1082" s="4">
        <f t="shared" si="507"/>
        <v>6.2146080984221914</v>
      </c>
      <c r="W1082" s="4">
        <f t="shared" si="508"/>
        <v>56.2</v>
      </c>
      <c r="X1082" s="4">
        <f t="shared" si="509"/>
        <v>2</v>
      </c>
      <c r="Y1082" s="4">
        <f t="shared" si="510"/>
        <v>8.6995147482101913</v>
      </c>
      <c r="Z1082" s="4">
        <f t="shared" si="511"/>
        <v>6.2146080984221914</v>
      </c>
      <c r="AA1082" s="4">
        <f t="shared" si="512"/>
        <v>56.2</v>
      </c>
      <c r="AB1082" s="4">
        <f t="shared" si="513"/>
        <v>0</v>
      </c>
      <c r="AC1082" s="4">
        <f t="shared" si="514"/>
        <v>1</v>
      </c>
      <c r="AD1082" s="4">
        <f t="shared" si="515"/>
        <v>8.6995147482101913</v>
      </c>
      <c r="AE1082" s="4">
        <f t="shared" si="516"/>
        <v>6.2146080984221914</v>
      </c>
      <c r="AF1082" s="4">
        <f t="shared" si="517"/>
        <v>56.2</v>
      </c>
      <c r="AG1082" s="4">
        <f t="shared" si="518"/>
        <v>8.6995147482101913</v>
      </c>
      <c r="AH1082" s="4">
        <f t="shared" si="519"/>
        <v>0</v>
      </c>
      <c r="AI1082" s="4">
        <f t="shared" si="520"/>
        <v>1</v>
      </c>
      <c r="AJ1082" s="4">
        <f t="shared" si="521"/>
        <v>8.6995147482101913</v>
      </c>
      <c r="AK1082" s="4">
        <f t="shared" si="522"/>
        <v>6.2146080984221914</v>
      </c>
      <c r="AL1082" s="4">
        <f t="shared" si="523"/>
        <v>1</v>
      </c>
      <c r="AM1082" s="4">
        <f>CER!$C$7+CER!$C$8*J1082+CER!$C$9*K1082+CER!$C$10*L1082+CER!$C$11*M1082</f>
        <v>4.7345689918839664</v>
      </c>
      <c r="AN1082" s="4">
        <f t="shared" si="524"/>
        <v>113.81439321795688</v>
      </c>
      <c r="AO1082" s="4">
        <f t="shared" si="525"/>
        <v>-2.0737244689052581E-2</v>
      </c>
      <c r="AP1082" s="4">
        <f>Alternatives!$F$25+Alternatives!$F$26*J1082+Alternatives!$F$27*K1082+Alternatives!$F$28*G1082+Alternatives!$F$29*O1082</f>
        <v>4.1239310390091379</v>
      </c>
      <c r="AQ1082" s="4">
        <f t="shared" si="526"/>
        <v>0.58990070818577589</v>
      </c>
    </row>
    <row r="1083" spans="1:43" x14ac:dyDescent="0.35">
      <c r="A1083" s="2" t="s">
        <v>938</v>
      </c>
      <c r="B1083" s="2" t="s">
        <v>283</v>
      </c>
      <c r="C1083" s="2" t="s">
        <v>34</v>
      </c>
      <c r="D1083" s="2">
        <v>131.4461</v>
      </c>
      <c r="E1083" s="2">
        <v>5500</v>
      </c>
      <c r="F1083" s="2">
        <v>340</v>
      </c>
      <c r="G1083" s="2">
        <v>56</v>
      </c>
      <c r="H1083" s="2" t="s">
        <v>881</v>
      </c>
      <c r="I1083" s="4">
        <f t="shared" si="496"/>
        <v>4.8785968816600604</v>
      </c>
      <c r="J1083" s="4">
        <f t="shared" si="497"/>
        <v>8.6125033712205621</v>
      </c>
      <c r="K1083" s="4">
        <f t="shared" si="498"/>
        <v>5.8289456176102075</v>
      </c>
      <c r="L1083" s="2">
        <v>0</v>
      </c>
      <c r="M1083" s="2">
        <v>1</v>
      </c>
      <c r="N1083" s="4">
        <f t="shared" si="499"/>
        <v>56</v>
      </c>
      <c r="O1083" s="4">
        <f t="shared" si="500"/>
        <v>1</v>
      </c>
      <c r="P1083" s="4">
        <f t="shared" si="501"/>
        <v>2</v>
      </c>
      <c r="Q1083" s="4">
        <f t="shared" si="502"/>
        <v>8.6125033712205621</v>
      </c>
      <c r="R1083" s="4">
        <f t="shared" si="503"/>
        <v>5.8289456176102075</v>
      </c>
      <c r="S1083" s="4">
        <f t="shared" si="504"/>
        <v>56</v>
      </c>
      <c r="T1083" s="4">
        <f t="shared" si="505"/>
        <v>1</v>
      </c>
      <c r="U1083" s="4">
        <f t="shared" si="506"/>
        <v>8.6125033712205621</v>
      </c>
      <c r="V1083" s="4">
        <f t="shared" si="507"/>
        <v>5.8289456176102075</v>
      </c>
      <c r="W1083" s="4">
        <f t="shared" si="508"/>
        <v>56</v>
      </c>
      <c r="X1083" s="4">
        <f t="shared" si="509"/>
        <v>2</v>
      </c>
      <c r="Y1083" s="4">
        <f t="shared" si="510"/>
        <v>8.6125033712205621</v>
      </c>
      <c r="Z1083" s="4">
        <f t="shared" si="511"/>
        <v>5.8289456176102075</v>
      </c>
      <c r="AA1083" s="4">
        <f t="shared" si="512"/>
        <v>56</v>
      </c>
      <c r="AB1083" s="4">
        <f t="shared" si="513"/>
        <v>0</v>
      </c>
      <c r="AC1083" s="4">
        <f t="shared" si="514"/>
        <v>1</v>
      </c>
      <c r="AD1083" s="4">
        <f t="shared" si="515"/>
        <v>8.6125033712205621</v>
      </c>
      <c r="AE1083" s="4">
        <f t="shared" si="516"/>
        <v>5.8289456176102075</v>
      </c>
      <c r="AF1083" s="4">
        <f t="shared" si="517"/>
        <v>56</v>
      </c>
      <c r="AG1083" s="4">
        <f t="shared" si="518"/>
        <v>8.6125033712205621</v>
      </c>
      <c r="AH1083" s="4">
        <f t="shared" si="519"/>
        <v>0</v>
      </c>
      <c r="AI1083" s="4">
        <f t="shared" si="520"/>
        <v>1</v>
      </c>
      <c r="AJ1083" s="4">
        <f t="shared" si="521"/>
        <v>8.6125033712205621</v>
      </c>
      <c r="AK1083" s="4">
        <f t="shared" si="522"/>
        <v>5.8289456176102075</v>
      </c>
      <c r="AL1083" s="4">
        <f t="shared" si="523"/>
        <v>1</v>
      </c>
      <c r="AM1083" s="4">
        <f>CER!$C$7+CER!$C$8*J1083+CER!$C$9*K1083+CER!$C$10*L1083+CER!$C$11*M1083</f>
        <v>4.9162475837284152</v>
      </c>
      <c r="AN1083" s="4">
        <f t="shared" si="524"/>
        <v>136.48948568758286</v>
      </c>
      <c r="AO1083" s="4">
        <f t="shared" si="525"/>
        <v>-3.7650702068354747E-2</v>
      </c>
      <c r="AP1083" s="4">
        <f>Alternatives!$F$25+Alternatives!$F$26*J1083+Alternatives!$F$27*K1083+Alternatives!$F$28*G1083+Alternatives!$F$29*O1083</f>
        <v>4.1969594417519254</v>
      </c>
      <c r="AQ1083" s="4">
        <f t="shared" si="526"/>
        <v>0.68163743990813508</v>
      </c>
    </row>
    <row r="1084" spans="1:43" x14ac:dyDescent="0.35">
      <c r="A1084" s="2" t="s">
        <v>939</v>
      </c>
      <c r="B1084" s="2" t="s">
        <v>283</v>
      </c>
      <c r="C1084" s="2" t="s">
        <v>34</v>
      </c>
      <c r="D1084" s="2">
        <v>154.84129999999999</v>
      </c>
      <c r="E1084" s="2">
        <v>5000</v>
      </c>
      <c r="F1084" s="2">
        <v>212</v>
      </c>
      <c r="G1084" s="2">
        <v>51.5</v>
      </c>
      <c r="H1084" s="2" t="s">
        <v>883</v>
      </c>
      <c r="I1084" s="4">
        <f t="shared" si="496"/>
        <v>5.0424007214375717</v>
      </c>
      <c r="J1084" s="4">
        <f t="shared" si="497"/>
        <v>8.5171931914162382</v>
      </c>
      <c r="K1084" s="4">
        <f t="shared" si="498"/>
        <v>5.3565862746720123</v>
      </c>
      <c r="L1084" s="2">
        <v>0</v>
      </c>
      <c r="M1084" s="2">
        <v>1</v>
      </c>
      <c r="N1084" s="4">
        <f t="shared" si="499"/>
        <v>51.5</v>
      </c>
      <c r="O1084" s="4">
        <f t="shared" si="500"/>
        <v>1</v>
      </c>
      <c r="P1084" s="4">
        <f t="shared" si="501"/>
        <v>2</v>
      </c>
      <c r="Q1084" s="4">
        <f t="shared" si="502"/>
        <v>8.5171931914162382</v>
      </c>
      <c r="R1084" s="4">
        <f t="shared" si="503"/>
        <v>5.3565862746720123</v>
      </c>
      <c r="S1084" s="4">
        <f t="shared" si="504"/>
        <v>51.5</v>
      </c>
      <c r="T1084" s="4">
        <f t="shared" si="505"/>
        <v>1</v>
      </c>
      <c r="U1084" s="4">
        <f t="shared" si="506"/>
        <v>8.5171931914162382</v>
      </c>
      <c r="V1084" s="4">
        <f t="shared" si="507"/>
        <v>5.3565862746720123</v>
      </c>
      <c r="W1084" s="4">
        <f t="shared" si="508"/>
        <v>51.5</v>
      </c>
      <c r="X1084" s="4">
        <f t="shared" si="509"/>
        <v>2</v>
      </c>
      <c r="Y1084" s="4">
        <f t="shared" si="510"/>
        <v>8.5171931914162382</v>
      </c>
      <c r="Z1084" s="4">
        <f t="shared" si="511"/>
        <v>5.3565862746720123</v>
      </c>
      <c r="AA1084" s="4">
        <f t="shared" si="512"/>
        <v>51.5</v>
      </c>
      <c r="AB1084" s="4">
        <f t="shared" si="513"/>
        <v>0</v>
      </c>
      <c r="AC1084" s="4">
        <f t="shared" si="514"/>
        <v>1</v>
      </c>
      <c r="AD1084" s="4">
        <f t="shared" si="515"/>
        <v>8.5171931914162382</v>
      </c>
      <c r="AE1084" s="4">
        <f t="shared" si="516"/>
        <v>5.3565862746720123</v>
      </c>
      <c r="AF1084" s="4">
        <f t="shared" si="517"/>
        <v>51.5</v>
      </c>
      <c r="AG1084" s="4">
        <f t="shared" si="518"/>
        <v>8.5171931914162382</v>
      </c>
      <c r="AH1084" s="4">
        <f t="shared" si="519"/>
        <v>0</v>
      </c>
      <c r="AI1084" s="4">
        <f t="shared" si="520"/>
        <v>1</v>
      </c>
      <c r="AJ1084" s="4">
        <f t="shared" si="521"/>
        <v>8.5171931914162382</v>
      </c>
      <c r="AK1084" s="4">
        <f t="shared" si="522"/>
        <v>5.3565862746720123</v>
      </c>
      <c r="AL1084" s="4">
        <f t="shared" si="523"/>
        <v>1</v>
      </c>
      <c r="AM1084" s="4">
        <f>CER!$C$7+CER!$C$8*J1084+CER!$C$9*K1084+CER!$C$10*L1084+CER!$C$11*M1084</f>
        <v>5.1336693815825409</v>
      </c>
      <c r="AN1084" s="4">
        <f t="shared" si="524"/>
        <v>169.63844559175581</v>
      </c>
      <c r="AO1084" s="4">
        <f t="shared" si="525"/>
        <v>-9.126866014496926E-2</v>
      </c>
      <c r="AP1084" s="4">
        <f>Alternatives!$F$25+Alternatives!$F$26*J1084+Alternatives!$F$27*K1084+Alternatives!$F$28*G1084+Alternatives!$F$29*O1084</f>
        <v>4.3459189256678901</v>
      </c>
      <c r="AQ1084" s="4">
        <f t="shared" si="526"/>
        <v>0.69648179576968161</v>
      </c>
    </row>
    <row r="1085" spans="1:43" x14ac:dyDescent="0.35">
      <c r="A1085" s="2" t="s">
        <v>940</v>
      </c>
      <c r="B1085" s="2" t="s">
        <v>283</v>
      </c>
      <c r="C1085" s="2" t="s">
        <v>34</v>
      </c>
      <c r="D1085" s="2">
        <v>137.0831</v>
      </c>
      <c r="E1085" s="2">
        <v>5000</v>
      </c>
      <c r="F1085" s="2">
        <v>288</v>
      </c>
      <c r="G1085" s="2">
        <v>51.5</v>
      </c>
      <c r="H1085" s="2" t="s">
        <v>883</v>
      </c>
      <c r="I1085" s="4">
        <f t="shared" si="496"/>
        <v>4.9205873112823637</v>
      </c>
      <c r="J1085" s="4">
        <f t="shared" si="497"/>
        <v>8.5171931914162382</v>
      </c>
      <c r="K1085" s="4">
        <f t="shared" si="498"/>
        <v>5.6629604801359461</v>
      </c>
      <c r="L1085" s="2">
        <v>0</v>
      </c>
      <c r="M1085" s="2">
        <v>1</v>
      </c>
      <c r="N1085" s="4">
        <f t="shared" si="499"/>
        <v>51.5</v>
      </c>
      <c r="O1085" s="4">
        <f t="shared" si="500"/>
        <v>1</v>
      </c>
      <c r="P1085" s="4">
        <f t="shared" si="501"/>
        <v>2</v>
      </c>
      <c r="Q1085" s="4">
        <f t="shared" si="502"/>
        <v>8.5171931914162382</v>
      </c>
      <c r="R1085" s="4">
        <f t="shared" si="503"/>
        <v>5.6629604801359461</v>
      </c>
      <c r="S1085" s="4">
        <f t="shared" si="504"/>
        <v>51.5</v>
      </c>
      <c r="T1085" s="4">
        <f t="shared" si="505"/>
        <v>1</v>
      </c>
      <c r="U1085" s="4">
        <f t="shared" si="506"/>
        <v>8.5171931914162382</v>
      </c>
      <c r="V1085" s="4">
        <f t="shared" si="507"/>
        <v>5.6629604801359461</v>
      </c>
      <c r="W1085" s="4">
        <f t="shared" si="508"/>
        <v>51.5</v>
      </c>
      <c r="X1085" s="4">
        <f t="shared" si="509"/>
        <v>2</v>
      </c>
      <c r="Y1085" s="4">
        <f t="shared" si="510"/>
        <v>8.5171931914162382</v>
      </c>
      <c r="Z1085" s="4">
        <f t="shared" si="511"/>
        <v>5.6629604801359461</v>
      </c>
      <c r="AA1085" s="4">
        <f t="shared" si="512"/>
        <v>51.5</v>
      </c>
      <c r="AB1085" s="4">
        <f t="shared" si="513"/>
        <v>0</v>
      </c>
      <c r="AC1085" s="4">
        <f t="shared" si="514"/>
        <v>1</v>
      </c>
      <c r="AD1085" s="4">
        <f t="shared" si="515"/>
        <v>8.5171931914162382</v>
      </c>
      <c r="AE1085" s="4">
        <f t="shared" si="516"/>
        <v>5.6629604801359461</v>
      </c>
      <c r="AF1085" s="4">
        <f t="shared" si="517"/>
        <v>51.5</v>
      </c>
      <c r="AG1085" s="4">
        <f t="shared" si="518"/>
        <v>8.5171931914162382</v>
      </c>
      <c r="AH1085" s="4">
        <f t="shared" si="519"/>
        <v>0</v>
      </c>
      <c r="AI1085" s="4">
        <f t="shared" si="520"/>
        <v>1</v>
      </c>
      <c r="AJ1085" s="4">
        <f t="shared" si="521"/>
        <v>8.5171931914162382</v>
      </c>
      <c r="AK1085" s="4">
        <f t="shared" si="522"/>
        <v>5.6629604801359461</v>
      </c>
      <c r="AL1085" s="4">
        <f t="shared" si="523"/>
        <v>1</v>
      </c>
      <c r="AM1085" s="4">
        <f>CER!$C$7+CER!$C$8*J1085+CER!$C$9*K1085+CER!$C$10*L1085+CER!$C$11*M1085</f>
        <v>5.0206345443855049</v>
      </c>
      <c r="AN1085" s="4">
        <f t="shared" si="524"/>
        <v>151.50741147584742</v>
      </c>
      <c r="AO1085" s="4">
        <f t="shared" si="525"/>
        <v>-0.10004723310314123</v>
      </c>
      <c r="AP1085" s="4">
        <f>Alternatives!$F$25+Alternatives!$F$26*J1085+Alternatives!$F$27*K1085+Alternatives!$F$28*G1085+Alternatives!$F$29*O1085</f>
        <v>4.2643896956835103</v>
      </c>
      <c r="AQ1085" s="4">
        <f t="shared" si="526"/>
        <v>0.65619761559885337</v>
      </c>
    </row>
    <row r="1086" spans="1:43" x14ac:dyDescent="0.35">
      <c r="A1086" s="2" t="s">
        <v>941</v>
      </c>
      <c r="B1086" s="2" t="s">
        <v>283</v>
      </c>
      <c r="C1086" s="2" t="s">
        <v>34</v>
      </c>
      <c r="D1086" s="2">
        <v>75.932900000000004</v>
      </c>
      <c r="E1086" s="2">
        <v>9000</v>
      </c>
      <c r="F1086" s="2">
        <v>574</v>
      </c>
      <c r="G1086" s="2">
        <v>64.8</v>
      </c>
      <c r="H1086" s="2" t="s">
        <v>881</v>
      </c>
      <c r="I1086" s="4">
        <f t="shared" si="496"/>
        <v>4.3298500555683725</v>
      </c>
      <c r="J1086" s="4">
        <f t="shared" si="497"/>
        <v>9.1049798563183568</v>
      </c>
      <c r="K1086" s="4">
        <f t="shared" si="498"/>
        <v>6.3526293963195668</v>
      </c>
      <c r="L1086" s="2">
        <v>0</v>
      </c>
      <c r="M1086" s="2">
        <v>1</v>
      </c>
      <c r="N1086" s="4">
        <f t="shared" si="499"/>
        <v>64.8</v>
      </c>
      <c r="O1086" s="4">
        <f t="shared" si="500"/>
        <v>1</v>
      </c>
      <c r="P1086" s="4">
        <f t="shared" si="501"/>
        <v>2</v>
      </c>
      <c r="Q1086" s="4">
        <f t="shared" si="502"/>
        <v>9.1049798563183568</v>
      </c>
      <c r="R1086" s="4">
        <f t="shared" si="503"/>
        <v>6.3526293963195668</v>
      </c>
      <c r="S1086" s="4">
        <f t="shared" si="504"/>
        <v>64.8</v>
      </c>
      <c r="T1086" s="4">
        <f t="shared" si="505"/>
        <v>1</v>
      </c>
      <c r="U1086" s="4">
        <f t="shared" si="506"/>
        <v>9.1049798563183568</v>
      </c>
      <c r="V1086" s="4">
        <f t="shared" si="507"/>
        <v>6.3526293963195668</v>
      </c>
      <c r="W1086" s="4">
        <f t="shared" si="508"/>
        <v>64.8</v>
      </c>
      <c r="X1086" s="4">
        <f t="shared" si="509"/>
        <v>2</v>
      </c>
      <c r="Y1086" s="4">
        <f t="shared" si="510"/>
        <v>9.1049798563183568</v>
      </c>
      <c r="Z1086" s="4">
        <f t="shared" si="511"/>
        <v>6.3526293963195668</v>
      </c>
      <c r="AA1086" s="4">
        <f t="shared" si="512"/>
        <v>64.8</v>
      </c>
      <c r="AB1086" s="4">
        <f t="shared" si="513"/>
        <v>0</v>
      </c>
      <c r="AC1086" s="4">
        <f t="shared" si="514"/>
        <v>1</v>
      </c>
      <c r="AD1086" s="4">
        <f t="shared" si="515"/>
        <v>9.1049798563183568</v>
      </c>
      <c r="AE1086" s="4">
        <f t="shared" si="516"/>
        <v>6.3526293963195668</v>
      </c>
      <c r="AF1086" s="4">
        <f t="shared" si="517"/>
        <v>64.8</v>
      </c>
      <c r="AG1086" s="4">
        <f t="shared" si="518"/>
        <v>9.1049798563183568</v>
      </c>
      <c r="AH1086" s="4">
        <f t="shared" si="519"/>
        <v>0</v>
      </c>
      <c r="AI1086" s="4">
        <f t="shared" si="520"/>
        <v>1</v>
      </c>
      <c r="AJ1086" s="4">
        <f t="shared" si="521"/>
        <v>9.1049798563183568</v>
      </c>
      <c r="AK1086" s="4">
        <f t="shared" si="522"/>
        <v>6.3526293963195668</v>
      </c>
      <c r="AL1086" s="4">
        <f t="shared" si="523"/>
        <v>1</v>
      </c>
      <c r="AM1086" s="4">
        <f>CER!$C$7+CER!$C$8*J1086+CER!$C$9*K1086+CER!$C$10*L1086+CER!$C$11*M1086</f>
        <v>4.5000891495144781</v>
      </c>
      <c r="AN1086" s="4">
        <f t="shared" si="524"/>
        <v>90.025156641794297</v>
      </c>
      <c r="AO1086" s="4">
        <f t="shared" si="525"/>
        <v>-0.17023909394610559</v>
      </c>
      <c r="AP1086" s="4">
        <f>Alternatives!$F$25+Alternatives!$F$26*J1086+Alternatives!$F$27*K1086+Alternatives!$F$28*G1086+Alternatives!$F$29*O1086</f>
        <v>4.1253962419089056</v>
      </c>
      <c r="AQ1086" s="4">
        <f t="shared" si="526"/>
        <v>0.20445381365946691</v>
      </c>
    </row>
    <row r="1087" spans="1:43" x14ac:dyDescent="0.35">
      <c r="A1087" s="2" t="s">
        <v>941</v>
      </c>
      <c r="B1087" s="2" t="s">
        <v>283</v>
      </c>
      <c r="C1087" s="2" t="s">
        <v>34</v>
      </c>
      <c r="D1087" s="2">
        <v>72.979200000000006</v>
      </c>
      <c r="E1087" s="2">
        <v>9000</v>
      </c>
      <c r="F1087" s="2">
        <v>574</v>
      </c>
      <c r="G1087" s="2">
        <v>64.8</v>
      </c>
      <c r="H1087" s="2" t="s">
        <v>881</v>
      </c>
      <c r="I1087" s="4">
        <f t="shared" si="496"/>
        <v>4.2901744690408474</v>
      </c>
      <c r="J1087" s="4">
        <f t="shared" si="497"/>
        <v>9.1049798563183568</v>
      </c>
      <c r="K1087" s="4">
        <f t="shared" si="498"/>
        <v>6.3526293963195668</v>
      </c>
      <c r="L1087" s="2">
        <v>0</v>
      </c>
      <c r="M1087" s="2">
        <v>1</v>
      </c>
      <c r="N1087" s="4">
        <f t="shared" si="499"/>
        <v>64.8</v>
      </c>
      <c r="O1087" s="4">
        <f t="shared" si="500"/>
        <v>1</v>
      </c>
      <c r="P1087" s="4">
        <f t="shared" si="501"/>
        <v>2</v>
      </c>
      <c r="Q1087" s="4">
        <f t="shared" si="502"/>
        <v>9.1049798563183568</v>
      </c>
      <c r="R1087" s="4">
        <f t="shared" si="503"/>
        <v>6.3526293963195668</v>
      </c>
      <c r="S1087" s="4">
        <f t="shared" si="504"/>
        <v>64.8</v>
      </c>
      <c r="T1087" s="4">
        <f t="shared" si="505"/>
        <v>1</v>
      </c>
      <c r="U1087" s="4">
        <f t="shared" si="506"/>
        <v>9.1049798563183568</v>
      </c>
      <c r="V1087" s="4">
        <f t="shared" si="507"/>
        <v>6.3526293963195668</v>
      </c>
      <c r="W1087" s="4">
        <f t="shared" si="508"/>
        <v>64.8</v>
      </c>
      <c r="X1087" s="4">
        <f t="shared" si="509"/>
        <v>2</v>
      </c>
      <c r="Y1087" s="4">
        <f t="shared" si="510"/>
        <v>9.1049798563183568</v>
      </c>
      <c r="Z1087" s="4">
        <f t="shared" si="511"/>
        <v>6.3526293963195668</v>
      </c>
      <c r="AA1087" s="4">
        <f t="shared" si="512"/>
        <v>64.8</v>
      </c>
      <c r="AB1087" s="4">
        <f t="shared" si="513"/>
        <v>0</v>
      </c>
      <c r="AC1087" s="4">
        <f t="shared" si="514"/>
        <v>1</v>
      </c>
      <c r="AD1087" s="4">
        <f t="shared" si="515"/>
        <v>9.1049798563183568</v>
      </c>
      <c r="AE1087" s="4">
        <f t="shared" si="516"/>
        <v>6.3526293963195668</v>
      </c>
      <c r="AF1087" s="4">
        <f t="shared" si="517"/>
        <v>64.8</v>
      </c>
      <c r="AG1087" s="4">
        <f t="shared" si="518"/>
        <v>9.1049798563183568</v>
      </c>
      <c r="AH1087" s="4">
        <f t="shared" si="519"/>
        <v>0</v>
      </c>
      <c r="AI1087" s="4">
        <f t="shared" si="520"/>
        <v>1</v>
      </c>
      <c r="AJ1087" s="4">
        <f t="shared" si="521"/>
        <v>9.1049798563183568</v>
      </c>
      <c r="AK1087" s="4">
        <f t="shared" si="522"/>
        <v>6.3526293963195668</v>
      </c>
      <c r="AL1087" s="4">
        <f t="shared" si="523"/>
        <v>1</v>
      </c>
      <c r="AM1087" s="4">
        <f>CER!$C$7+CER!$C$8*J1087+CER!$C$9*K1087+CER!$C$10*L1087+CER!$C$11*M1087</f>
        <v>4.5000891495144781</v>
      </c>
      <c r="AN1087" s="4">
        <f t="shared" si="524"/>
        <v>90.025156641794297</v>
      </c>
      <c r="AO1087" s="4">
        <f t="shared" si="525"/>
        <v>-0.20991468047363071</v>
      </c>
      <c r="AP1087" s="4">
        <f>Alternatives!$F$25+Alternatives!$F$26*J1087+Alternatives!$F$27*K1087+Alternatives!$F$28*G1087+Alternatives!$F$29*O1087</f>
        <v>4.1253962419089056</v>
      </c>
      <c r="AQ1087" s="4">
        <f t="shared" si="526"/>
        <v>0.16477822713194179</v>
      </c>
    </row>
    <row r="1088" spans="1:43" x14ac:dyDescent="0.35">
      <c r="A1088" s="2" t="s">
        <v>942</v>
      </c>
      <c r="B1088" s="2" t="s">
        <v>283</v>
      </c>
      <c r="C1088" s="2" t="s">
        <v>34</v>
      </c>
      <c r="D1088" s="2">
        <v>75.932900000000004</v>
      </c>
      <c r="E1088" s="2">
        <v>9000</v>
      </c>
      <c r="F1088" s="2">
        <v>574</v>
      </c>
      <c r="G1088" s="2">
        <v>69.3</v>
      </c>
      <c r="H1088" s="2" t="s">
        <v>883</v>
      </c>
      <c r="I1088" s="4">
        <f t="shared" si="496"/>
        <v>4.3298500555683725</v>
      </c>
      <c r="J1088" s="4">
        <f t="shared" si="497"/>
        <v>9.1049798563183568</v>
      </c>
      <c r="K1088" s="4">
        <f t="shared" si="498"/>
        <v>6.3526293963195668</v>
      </c>
      <c r="L1088" s="2">
        <v>0</v>
      </c>
      <c r="M1088" s="2">
        <v>1</v>
      </c>
      <c r="N1088" s="4">
        <f t="shared" si="499"/>
        <v>69.3</v>
      </c>
      <c r="O1088" s="4">
        <f t="shared" si="500"/>
        <v>1</v>
      </c>
      <c r="P1088" s="4">
        <f t="shared" si="501"/>
        <v>2</v>
      </c>
      <c r="Q1088" s="4">
        <f t="shared" si="502"/>
        <v>9.1049798563183568</v>
      </c>
      <c r="R1088" s="4">
        <f t="shared" si="503"/>
        <v>6.3526293963195668</v>
      </c>
      <c r="S1088" s="4">
        <f t="shared" si="504"/>
        <v>69.3</v>
      </c>
      <c r="T1088" s="4">
        <f t="shared" si="505"/>
        <v>1</v>
      </c>
      <c r="U1088" s="4">
        <f t="shared" si="506"/>
        <v>9.1049798563183568</v>
      </c>
      <c r="V1088" s="4">
        <f t="shared" si="507"/>
        <v>6.3526293963195668</v>
      </c>
      <c r="W1088" s="4">
        <f t="shared" si="508"/>
        <v>69.3</v>
      </c>
      <c r="X1088" s="4">
        <f t="shared" si="509"/>
        <v>2</v>
      </c>
      <c r="Y1088" s="4">
        <f t="shared" si="510"/>
        <v>9.1049798563183568</v>
      </c>
      <c r="Z1088" s="4">
        <f t="shared" si="511"/>
        <v>6.3526293963195668</v>
      </c>
      <c r="AA1088" s="4">
        <f t="shared" si="512"/>
        <v>69.3</v>
      </c>
      <c r="AB1088" s="4">
        <f t="shared" si="513"/>
        <v>0</v>
      </c>
      <c r="AC1088" s="4">
        <f t="shared" si="514"/>
        <v>1</v>
      </c>
      <c r="AD1088" s="4">
        <f t="shared" si="515"/>
        <v>9.1049798563183568</v>
      </c>
      <c r="AE1088" s="4">
        <f t="shared" si="516"/>
        <v>6.3526293963195668</v>
      </c>
      <c r="AF1088" s="4">
        <f t="shared" si="517"/>
        <v>69.3</v>
      </c>
      <c r="AG1088" s="4">
        <f t="shared" si="518"/>
        <v>9.1049798563183568</v>
      </c>
      <c r="AH1088" s="4">
        <f t="shared" si="519"/>
        <v>0</v>
      </c>
      <c r="AI1088" s="4">
        <f t="shared" si="520"/>
        <v>1</v>
      </c>
      <c r="AJ1088" s="4">
        <f t="shared" si="521"/>
        <v>9.1049798563183568</v>
      </c>
      <c r="AK1088" s="4">
        <f t="shared" si="522"/>
        <v>6.3526293963195668</v>
      </c>
      <c r="AL1088" s="4">
        <f t="shared" si="523"/>
        <v>1</v>
      </c>
      <c r="AM1088" s="4">
        <f>CER!$C$7+CER!$C$8*J1088+CER!$C$9*K1088+CER!$C$10*L1088+CER!$C$11*M1088</f>
        <v>4.5000891495144781</v>
      </c>
      <c r="AN1088" s="4">
        <f t="shared" si="524"/>
        <v>90.025156641794297</v>
      </c>
      <c r="AO1088" s="4">
        <f t="shared" si="525"/>
        <v>-0.17023909394610559</v>
      </c>
      <c r="AP1088" s="4">
        <f>Alternatives!$F$25+Alternatives!$F$26*J1088+Alternatives!$F$27*K1088+Alternatives!$F$28*G1088+Alternatives!$F$29*O1088</f>
        <v>4.0668633264688783</v>
      </c>
      <c r="AQ1088" s="4">
        <f t="shared" si="526"/>
        <v>0.26298672909949428</v>
      </c>
    </row>
    <row r="1089" spans="1:43" x14ac:dyDescent="0.35">
      <c r="A1089" s="2" t="s">
        <v>942</v>
      </c>
      <c r="B1089" s="2" t="s">
        <v>283</v>
      </c>
      <c r="C1089" s="2" t="s">
        <v>34</v>
      </c>
      <c r="D1089" s="2">
        <v>74.764700000000005</v>
      </c>
      <c r="E1089" s="2">
        <v>8500</v>
      </c>
      <c r="F1089" s="2">
        <v>574</v>
      </c>
      <c r="G1089" s="2">
        <v>69.3</v>
      </c>
      <c r="H1089" s="2" t="s">
        <v>881</v>
      </c>
      <c r="I1089" s="4">
        <f t="shared" si="496"/>
        <v>4.3143458484550292</v>
      </c>
      <c r="J1089" s="4">
        <f t="shared" si="497"/>
        <v>9.0478214424784085</v>
      </c>
      <c r="K1089" s="4">
        <f t="shared" si="498"/>
        <v>6.3526293963195668</v>
      </c>
      <c r="L1089" s="2">
        <v>0</v>
      </c>
      <c r="M1089" s="2">
        <v>1</v>
      </c>
      <c r="N1089" s="4">
        <f t="shared" si="499"/>
        <v>69.3</v>
      </c>
      <c r="O1089" s="4">
        <f t="shared" si="500"/>
        <v>1</v>
      </c>
      <c r="P1089" s="4">
        <f t="shared" si="501"/>
        <v>2</v>
      </c>
      <c r="Q1089" s="4">
        <f t="shared" si="502"/>
        <v>9.0478214424784085</v>
      </c>
      <c r="R1089" s="4">
        <f t="shared" si="503"/>
        <v>6.3526293963195668</v>
      </c>
      <c r="S1089" s="4">
        <f t="shared" si="504"/>
        <v>69.3</v>
      </c>
      <c r="T1089" s="4">
        <f t="shared" si="505"/>
        <v>1</v>
      </c>
      <c r="U1089" s="4">
        <f t="shared" si="506"/>
        <v>9.0478214424784085</v>
      </c>
      <c r="V1089" s="4">
        <f t="shared" si="507"/>
        <v>6.3526293963195668</v>
      </c>
      <c r="W1089" s="4">
        <f t="shared" si="508"/>
        <v>69.3</v>
      </c>
      <c r="X1089" s="4">
        <f t="shared" si="509"/>
        <v>2</v>
      </c>
      <c r="Y1089" s="4">
        <f t="shared" si="510"/>
        <v>9.0478214424784085</v>
      </c>
      <c r="Z1089" s="4">
        <f t="shared" si="511"/>
        <v>6.3526293963195668</v>
      </c>
      <c r="AA1089" s="4">
        <f t="shared" si="512"/>
        <v>69.3</v>
      </c>
      <c r="AB1089" s="4">
        <f t="shared" si="513"/>
        <v>0</v>
      </c>
      <c r="AC1089" s="4">
        <f t="shared" si="514"/>
        <v>1</v>
      </c>
      <c r="AD1089" s="4">
        <f t="shared" si="515"/>
        <v>9.0478214424784085</v>
      </c>
      <c r="AE1089" s="4">
        <f t="shared" si="516"/>
        <v>6.3526293963195668</v>
      </c>
      <c r="AF1089" s="4">
        <f t="shared" si="517"/>
        <v>69.3</v>
      </c>
      <c r="AG1089" s="4">
        <f t="shared" si="518"/>
        <v>9.0478214424784085</v>
      </c>
      <c r="AH1089" s="4">
        <f t="shared" si="519"/>
        <v>0</v>
      </c>
      <c r="AI1089" s="4">
        <f t="shared" si="520"/>
        <v>1</v>
      </c>
      <c r="AJ1089" s="4">
        <f t="shared" si="521"/>
        <v>9.0478214424784085</v>
      </c>
      <c r="AK1089" s="4">
        <f t="shared" si="522"/>
        <v>6.3526293963195668</v>
      </c>
      <c r="AL1089" s="4">
        <f t="shared" si="523"/>
        <v>1</v>
      </c>
      <c r="AM1089" s="4">
        <f>CER!$C$7+CER!$C$8*J1089+CER!$C$9*K1089+CER!$C$10*L1089+CER!$C$11*M1089</f>
        <v>4.5259652847231404</v>
      </c>
      <c r="AN1089" s="4">
        <f t="shared" si="524"/>
        <v>92.385060689206824</v>
      </c>
      <c r="AO1089" s="4">
        <f t="shared" si="525"/>
        <v>-0.21161943626811119</v>
      </c>
      <c r="AP1089" s="4">
        <f>Alternatives!$F$25+Alternatives!$F$26*J1089+Alternatives!$F$27*K1089+Alternatives!$F$28*G1089+Alternatives!$F$29*O1089</f>
        <v>4.0457097989766098</v>
      </c>
      <c r="AQ1089" s="4">
        <f t="shared" si="526"/>
        <v>0.26863604947841946</v>
      </c>
    </row>
    <row r="1090" spans="1:43" x14ac:dyDescent="0.35">
      <c r="A1090" s="2" t="s">
        <v>943</v>
      </c>
      <c r="B1090" s="2" t="s">
        <v>283</v>
      </c>
      <c r="C1090" s="2" t="s">
        <v>34</v>
      </c>
      <c r="D1090" s="2">
        <v>76.393900000000002</v>
      </c>
      <c r="E1090" s="2">
        <v>9000</v>
      </c>
      <c r="F1090" s="2">
        <v>804</v>
      </c>
      <c r="G1090" s="2">
        <v>64.8</v>
      </c>
      <c r="H1090" s="2" t="s">
        <v>911</v>
      </c>
      <c r="I1090" s="4">
        <f t="shared" ref="I1090:I1153" si="527">LN(D1090)</f>
        <v>4.3359028500529213</v>
      </c>
      <c r="J1090" s="4">
        <f t="shared" ref="J1090:J1153" si="528">LN(E1090)</f>
        <v>9.1049798563183568</v>
      </c>
      <c r="K1090" s="4">
        <f t="shared" ref="K1090:K1153" si="529">LN(F1090)</f>
        <v>6.6895992691789665</v>
      </c>
      <c r="L1090" s="2">
        <v>0</v>
      </c>
      <c r="M1090" s="2">
        <v>1</v>
      </c>
      <c r="N1090" s="4">
        <f t="shared" ref="N1090:N1153" si="530">G1090</f>
        <v>64.8</v>
      </c>
      <c r="O1090" s="4">
        <f t="shared" ref="O1090:O1153" si="531">L1090+M1090</f>
        <v>1</v>
      </c>
      <c r="P1090" s="4">
        <f t="shared" ref="P1090:P1153" si="532">L1090+2*M1090</f>
        <v>2</v>
      </c>
      <c r="Q1090" s="4">
        <f t="shared" ref="Q1090:Q1153" si="533">J1090</f>
        <v>9.1049798563183568</v>
      </c>
      <c r="R1090" s="4">
        <f t="shared" ref="R1090:R1153" si="534">K1090</f>
        <v>6.6895992691789665</v>
      </c>
      <c r="S1090" s="4">
        <f t="shared" ref="S1090:S1153" si="535">G1090</f>
        <v>64.8</v>
      </c>
      <c r="T1090" s="4">
        <f t="shared" ref="T1090:T1153" si="536">O1090</f>
        <v>1</v>
      </c>
      <c r="U1090" s="4">
        <f t="shared" ref="U1090:U1153" si="537">J1090</f>
        <v>9.1049798563183568</v>
      </c>
      <c r="V1090" s="4">
        <f t="shared" ref="V1090:V1153" si="538">K1090</f>
        <v>6.6895992691789665</v>
      </c>
      <c r="W1090" s="4">
        <f t="shared" ref="W1090:W1153" si="539">G1090</f>
        <v>64.8</v>
      </c>
      <c r="X1090" s="4">
        <f t="shared" ref="X1090:X1153" si="540">P1090</f>
        <v>2</v>
      </c>
      <c r="Y1090" s="4">
        <f t="shared" ref="Y1090:Y1153" si="541">J1090</f>
        <v>9.1049798563183568</v>
      </c>
      <c r="Z1090" s="4">
        <f t="shared" ref="Z1090:Z1153" si="542">K1090</f>
        <v>6.6895992691789665</v>
      </c>
      <c r="AA1090" s="4">
        <f t="shared" ref="AA1090:AA1153" si="543">G1090</f>
        <v>64.8</v>
      </c>
      <c r="AB1090" s="4">
        <f t="shared" ref="AB1090:AB1153" si="544">L1090</f>
        <v>0</v>
      </c>
      <c r="AC1090" s="4">
        <f t="shared" ref="AC1090:AC1153" si="545">M1090</f>
        <v>1</v>
      </c>
      <c r="AD1090" s="4">
        <f t="shared" ref="AD1090:AD1153" si="546">M1090*J1090</f>
        <v>9.1049798563183568</v>
      </c>
      <c r="AE1090" s="4">
        <f t="shared" ref="AE1090:AE1153" si="547">M1090*K1090</f>
        <v>6.6895992691789665</v>
      </c>
      <c r="AF1090" s="4">
        <f t="shared" ref="AF1090:AF1153" si="548">M1090*G1090</f>
        <v>64.8</v>
      </c>
      <c r="AG1090" s="4">
        <f t="shared" ref="AG1090:AG1153" si="549">J1090</f>
        <v>9.1049798563183568</v>
      </c>
      <c r="AH1090" s="4">
        <f t="shared" ref="AH1090:AH1153" si="550">L1090</f>
        <v>0</v>
      </c>
      <c r="AI1090" s="4">
        <f t="shared" ref="AI1090:AI1153" si="551">M1090</f>
        <v>1</v>
      </c>
      <c r="AJ1090" s="4">
        <f t="shared" ref="AJ1090:AJ1153" si="552">J1090</f>
        <v>9.1049798563183568</v>
      </c>
      <c r="AK1090" s="4">
        <f t="shared" ref="AK1090:AK1153" si="553">K1090</f>
        <v>6.6895992691789665</v>
      </c>
      <c r="AL1090" s="4">
        <f t="shared" ref="AL1090:AL1153" si="554">M1090</f>
        <v>1</v>
      </c>
      <c r="AM1090" s="4">
        <f>CER!$C$7+CER!$C$8*J1090+CER!$C$9*K1090+CER!$C$10*L1090+CER!$C$11*M1090</f>
        <v>4.3757662331603076</v>
      </c>
      <c r="AN1090" s="4">
        <f t="shared" ref="AN1090:AN1153" si="555">EXP(AM1090)</f>
        <v>79.500732317624568</v>
      </c>
      <c r="AO1090" s="4">
        <f t="shared" ref="AO1090:AO1153" si="556">I1090-AM1090</f>
        <v>-3.9863383107386241E-2</v>
      </c>
      <c r="AP1090" s="4">
        <f>Alternatives!$F$25+Alternatives!$F$26*J1090+Alternatives!$F$27*K1090+Alternatives!$F$28*G1090+Alternatives!$F$29*O1090</f>
        <v>4.0357251998557402</v>
      </c>
      <c r="AQ1090" s="4">
        <f t="shared" ref="AQ1090:AQ1153" si="557">I1090-AP1090</f>
        <v>0.30017765019718112</v>
      </c>
    </row>
    <row r="1091" spans="1:43" x14ac:dyDescent="0.35">
      <c r="A1091" s="2" t="s">
        <v>943</v>
      </c>
      <c r="B1091" s="2" t="s">
        <v>283</v>
      </c>
      <c r="C1091" s="2" t="s">
        <v>34</v>
      </c>
      <c r="D1091" s="2">
        <v>67.1096</v>
      </c>
      <c r="E1091" s="2">
        <v>9000</v>
      </c>
      <c r="F1091" s="2">
        <v>574</v>
      </c>
      <c r="G1091" s="2">
        <v>64.8</v>
      </c>
      <c r="H1091" s="2" t="s">
        <v>911</v>
      </c>
      <c r="I1091" s="4">
        <f t="shared" si="527"/>
        <v>4.2063271037888024</v>
      </c>
      <c r="J1091" s="4">
        <f t="shared" si="528"/>
        <v>9.1049798563183568</v>
      </c>
      <c r="K1091" s="4">
        <f t="shared" si="529"/>
        <v>6.3526293963195668</v>
      </c>
      <c r="L1091" s="2">
        <v>0</v>
      </c>
      <c r="M1091" s="2">
        <v>1</v>
      </c>
      <c r="N1091" s="4">
        <f t="shared" si="530"/>
        <v>64.8</v>
      </c>
      <c r="O1091" s="4">
        <f t="shared" si="531"/>
        <v>1</v>
      </c>
      <c r="P1091" s="4">
        <f t="shared" si="532"/>
        <v>2</v>
      </c>
      <c r="Q1091" s="4">
        <f t="shared" si="533"/>
        <v>9.1049798563183568</v>
      </c>
      <c r="R1091" s="4">
        <f t="shared" si="534"/>
        <v>6.3526293963195668</v>
      </c>
      <c r="S1091" s="4">
        <f t="shared" si="535"/>
        <v>64.8</v>
      </c>
      <c r="T1091" s="4">
        <f t="shared" si="536"/>
        <v>1</v>
      </c>
      <c r="U1091" s="4">
        <f t="shared" si="537"/>
        <v>9.1049798563183568</v>
      </c>
      <c r="V1091" s="4">
        <f t="shared" si="538"/>
        <v>6.3526293963195668</v>
      </c>
      <c r="W1091" s="4">
        <f t="shared" si="539"/>
        <v>64.8</v>
      </c>
      <c r="X1091" s="4">
        <f t="shared" si="540"/>
        <v>2</v>
      </c>
      <c r="Y1091" s="4">
        <f t="shared" si="541"/>
        <v>9.1049798563183568</v>
      </c>
      <c r="Z1091" s="4">
        <f t="shared" si="542"/>
        <v>6.3526293963195668</v>
      </c>
      <c r="AA1091" s="4">
        <f t="shared" si="543"/>
        <v>64.8</v>
      </c>
      <c r="AB1091" s="4">
        <f t="shared" si="544"/>
        <v>0</v>
      </c>
      <c r="AC1091" s="4">
        <f t="shared" si="545"/>
        <v>1</v>
      </c>
      <c r="AD1091" s="4">
        <f t="shared" si="546"/>
        <v>9.1049798563183568</v>
      </c>
      <c r="AE1091" s="4">
        <f t="shared" si="547"/>
        <v>6.3526293963195668</v>
      </c>
      <c r="AF1091" s="4">
        <f t="shared" si="548"/>
        <v>64.8</v>
      </c>
      <c r="AG1091" s="4">
        <f t="shared" si="549"/>
        <v>9.1049798563183568</v>
      </c>
      <c r="AH1091" s="4">
        <f t="shared" si="550"/>
        <v>0</v>
      </c>
      <c r="AI1091" s="4">
        <f t="shared" si="551"/>
        <v>1</v>
      </c>
      <c r="AJ1091" s="4">
        <f t="shared" si="552"/>
        <v>9.1049798563183568</v>
      </c>
      <c r="AK1091" s="4">
        <f t="shared" si="553"/>
        <v>6.3526293963195668</v>
      </c>
      <c r="AL1091" s="4">
        <f t="shared" si="554"/>
        <v>1</v>
      </c>
      <c r="AM1091" s="4">
        <f>CER!$C$7+CER!$C$8*J1091+CER!$C$9*K1091+CER!$C$10*L1091+CER!$C$11*M1091</f>
        <v>4.5000891495144781</v>
      </c>
      <c r="AN1091" s="4">
        <f t="shared" si="555"/>
        <v>90.025156641794297</v>
      </c>
      <c r="AO1091" s="4">
        <f t="shared" si="556"/>
        <v>-0.29376204572567577</v>
      </c>
      <c r="AP1091" s="4">
        <f>Alternatives!$F$25+Alternatives!$F$26*J1091+Alternatives!$F$27*K1091+Alternatives!$F$28*G1091+Alternatives!$F$29*O1091</f>
        <v>4.1253962419089056</v>
      </c>
      <c r="AQ1091" s="4">
        <f t="shared" si="557"/>
        <v>8.0930861879896732E-2</v>
      </c>
    </row>
    <row r="1092" spans="1:43" x14ac:dyDescent="0.35">
      <c r="A1092" s="2" t="s">
        <v>944</v>
      </c>
      <c r="B1092" s="2" t="s">
        <v>283</v>
      </c>
      <c r="C1092" s="2" t="s">
        <v>34</v>
      </c>
      <c r="D1092" s="2">
        <v>76.393900000000002</v>
      </c>
      <c r="E1092" s="2">
        <v>9000</v>
      </c>
      <c r="F1092" s="2">
        <v>804</v>
      </c>
      <c r="G1092" s="2">
        <v>69.3</v>
      </c>
      <c r="H1092" s="2" t="s">
        <v>911</v>
      </c>
      <c r="I1092" s="4">
        <f t="shared" si="527"/>
        <v>4.3359028500529213</v>
      </c>
      <c r="J1092" s="4">
        <f t="shared" si="528"/>
        <v>9.1049798563183568</v>
      </c>
      <c r="K1092" s="4">
        <f t="shared" si="529"/>
        <v>6.6895992691789665</v>
      </c>
      <c r="L1092" s="2">
        <v>0</v>
      </c>
      <c r="M1092" s="2">
        <v>1</v>
      </c>
      <c r="N1092" s="4">
        <f t="shared" si="530"/>
        <v>69.3</v>
      </c>
      <c r="O1092" s="4">
        <f t="shared" si="531"/>
        <v>1</v>
      </c>
      <c r="P1092" s="4">
        <f t="shared" si="532"/>
        <v>2</v>
      </c>
      <c r="Q1092" s="4">
        <f t="shared" si="533"/>
        <v>9.1049798563183568</v>
      </c>
      <c r="R1092" s="4">
        <f t="shared" si="534"/>
        <v>6.6895992691789665</v>
      </c>
      <c r="S1092" s="4">
        <f t="shared" si="535"/>
        <v>69.3</v>
      </c>
      <c r="T1092" s="4">
        <f t="shared" si="536"/>
        <v>1</v>
      </c>
      <c r="U1092" s="4">
        <f t="shared" si="537"/>
        <v>9.1049798563183568</v>
      </c>
      <c r="V1092" s="4">
        <f t="shared" si="538"/>
        <v>6.6895992691789665</v>
      </c>
      <c r="W1092" s="4">
        <f t="shared" si="539"/>
        <v>69.3</v>
      </c>
      <c r="X1092" s="4">
        <f t="shared" si="540"/>
        <v>2</v>
      </c>
      <c r="Y1092" s="4">
        <f t="shared" si="541"/>
        <v>9.1049798563183568</v>
      </c>
      <c r="Z1092" s="4">
        <f t="shared" si="542"/>
        <v>6.6895992691789665</v>
      </c>
      <c r="AA1092" s="4">
        <f t="shared" si="543"/>
        <v>69.3</v>
      </c>
      <c r="AB1092" s="4">
        <f t="shared" si="544"/>
        <v>0</v>
      </c>
      <c r="AC1092" s="4">
        <f t="shared" si="545"/>
        <v>1</v>
      </c>
      <c r="AD1092" s="4">
        <f t="shared" si="546"/>
        <v>9.1049798563183568</v>
      </c>
      <c r="AE1092" s="4">
        <f t="shared" si="547"/>
        <v>6.6895992691789665</v>
      </c>
      <c r="AF1092" s="4">
        <f t="shared" si="548"/>
        <v>69.3</v>
      </c>
      <c r="AG1092" s="4">
        <f t="shared" si="549"/>
        <v>9.1049798563183568</v>
      </c>
      <c r="AH1092" s="4">
        <f t="shared" si="550"/>
        <v>0</v>
      </c>
      <c r="AI1092" s="4">
        <f t="shared" si="551"/>
        <v>1</v>
      </c>
      <c r="AJ1092" s="4">
        <f t="shared" si="552"/>
        <v>9.1049798563183568</v>
      </c>
      <c r="AK1092" s="4">
        <f t="shared" si="553"/>
        <v>6.6895992691789665</v>
      </c>
      <c r="AL1092" s="4">
        <f t="shared" si="554"/>
        <v>1</v>
      </c>
      <c r="AM1092" s="4">
        <f>CER!$C$7+CER!$C$8*J1092+CER!$C$9*K1092+CER!$C$10*L1092+CER!$C$11*M1092</f>
        <v>4.3757662331603076</v>
      </c>
      <c r="AN1092" s="4">
        <f t="shared" si="555"/>
        <v>79.500732317624568</v>
      </c>
      <c r="AO1092" s="4">
        <f t="shared" si="556"/>
        <v>-3.9863383107386241E-2</v>
      </c>
      <c r="AP1092" s="4">
        <f>Alternatives!$F$25+Alternatives!$F$26*J1092+Alternatives!$F$27*K1092+Alternatives!$F$28*G1092+Alternatives!$F$29*O1092</f>
        <v>3.9771922844157128</v>
      </c>
      <c r="AQ1092" s="4">
        <f t="shared" si="557"/>
        <v>0.35871056563720849</v>
      </c>
    </row>
    <row r="1093" spans="1:43" x14ac:dyDescent="0.35">
      <c r="A1093" s="2" t="s">
        <v>944</v>
      </c>
      <c r="B1093" s="2" t="s">
        <v>283</v>
      </c>
      <c r="C1093" s="2" t="s">
        <v>34</v>
      </c>
      <c r="D1093" s="2">
        <v>67.1096</v>
      </c>
      <c r="E1093" s="2">
        <v>9000</v>
      </c>
      <c r="F1093" s="2">
        <v>574</v>
      </c>
      <c r="G1093" s="2">
        <v>69.3</v>
      </c>
      <c r="H1093" s="2" t="s">
        <v>911</v>
      </c>
      <c r="I1093" s="4">
        <f t="shared" si="527"/>
        <v>4.2063271037888024</v>
      </c>
      <c r="J1093" s="4">
        <f t="shared" si="528"/>
        <v>9.1049798563183568</v>
      </c>
      <c r="K1093" s="4">
        <f t="shared" si="529"/>
        <v>6.3526293963195668</v>
      </c>
      <c r="L1093" s="2">
        <v>0</v>
      </c>
      <c r="M1093" s="2">
        <v>1</v>
      </c>
      <c r="N1093" s="4">
        <f t="shared" si="530"/>
        <v>69.3</v>
      </c>
      <c r="O1093" s="4">
        <f t="shared" si="531"/>
        <v>1</v>
      </c>
      <c r="P1093" s="4">
        <f t="shared" si="532"/>
        <v>2</v>
      </c>
      <c r="Q1093" s="4">
        <f t="shared" si="533"/>
        <v>9.1049798563183568</v>
      </c>
      <c r="R1093" s="4">
        <f t="shared" si="534"/>
        <v>6.3526293963195668</v>
      </c>
      <c r="S1093" s="4">
        <f t="shared" si="535"/>
        <v>69.3</v>
      </c>
      <c r="T1093" s="4">
        <f t="shared" si="536"/>
        <v>1</v>
      </c>
      <c r="U1093" s="4">
        <f t="shared" si="537"/>
        <v>9.1049798563183568</v>
      </c>
      <c r="V1093" s="4">
        <f t="shared" si="538"/>
        <v>6.3526293963195668</v>
      </c>
      <c r="W1093" s="4">
        <f t="shared" si="539"/>
        <v>69.3</v>
      </c>
      <c r="X1093" s="4">
        <f t="shared" si="540"/>
        <v>2</v>
      </c>
      <c r="Y1093" s="4">
        <f t="shared" si="541"/>
        <v>9.1049798563183568</v>
      </c>
      <c r="Z1093" s="4">
        <f t="shared" si="542"/>
        <v>6.3526293963195668</v>
      </c>
      <c r="AA1093" s="4">
        <f t="shared" si="543"/>
        <v>69.3</v>
      </c>
      <c r="AB1093" s="4">
        <f t="shared" si="544"/>
        <v>0</v>
      </c>
      <c r="AC1093" s="4">
        <f t="shared" si="545"/>
        <v>1</v>
      </c>
      <c r="AD1093" s="4">
        <f t="shared" si="546"/>
        <v>9.1049798563183568</v>
      </c>
      <c r="AE1093" s="4">
        <f t="shared" si="547"/>
        <v>6.3526293963195668</v>
      </c>
      <c r="AF1093" s="4">
        <f t="shared" si="548"/>
        <v>69.3</v>
      </c>
      <c r="AG1093" s="4">
        <f t="shared" si="549"/>
        <v>9.1049798563183568</v>
      </c>
      <c r="AH1093" s="4">
        <f t="shared" si="550"/>
        <v>0</v>
      </c>
      <c r="AI1093" s="4">
        <f t="shared" si="551"/>
        <v>1</v>
      </c>
      <c r="AJ1093" s="4">
        <f t="shared" si="552"/>
        <v>9.1049798563183568</v>
      </c>
      <c r="AK1093" s="4">
        <f t="shared" si="553"/>
        <v>6.3526293963195668</v>
      </c>
      <c r="AL1093" s="4">
        <f t="shared" si="554"/>
        <v>1</v>
      </c>
      <c r="AM1093" s="4">
        <f>CER!$C$7+CER!$C$8*J1093+CER!$C$9*K1093+CER!$C$10*L1093+CER!$C$11*M1093</f>
        <v>4.5000891495144781</v>
      </c>
      <c r="AN1093" s="4">
        <f t="shared" si="555"/>
        <v>90.025156641794297</v>
      </c>
      <c r="AO1093" s="4">
        <f t="shared" si="556"/>
        <v>-0.29376204572567577</v>
      </c>
      <c r="AP1093" s="4">
        <f>Alternatives!$F$25+Alternatives!$F$26*J1093+Alternatives!$F$27*K1093+Alternatives!$F$28*G1093+Alternatives!$F$29*O1093</f>
        <v>4.0668633264688783</v>
      </c>
      <c r="AQ1093" s="4">
        <f t="shared" si="557"/>
        <v>0.1394637773199241</v>
      </c>
    </row>
    <row r="1094" spans="1:43" x14ac:dyDescent="0.35">
      <c r="A1094" s="2" t="s">
        <v>945</v>
      </c>
      <c r="B1094" s="2" t="s">
        <v>360</v>
      </c>
      <c r="C1094" s="2" t="s">
        <v>34</v>
      </c>
      <c r="D1094" s="2">
        <v>135.52850000000001</v>
      </c>
      <c r="E1094" s="2">
        <v>5500</v>
      </c>
      <c r="F1094" s="2">
        <v>288</v>
      </c>
      <c r="G1094" s="2">
        <v>56.2</v>
      </c>
      <c r="H1094" s="2" t="s">
        <v>881</v>
      </c>
      <c r="I1094" s="4">
        <f t="shared" si="527"/>
        <v>4.9091819503063814</v>
      </c>
      <c r="J1094" s="4">
        <f t="shared" si="528"/>
        <v>8.6125033712205621</v>
      </c>
      <c r="K1094" s="4">
        <f t="shared" si="529"/>
        <v>5.6629604801359461</v>
      </c>
      <c r="L1094" s="2">
        <v>0</v>
      </c>
      <c r="M1094" s="2">
        <v>1</v>
      </c>
      <c r="N1094" s="4">
        <f t="shared" si="530"/>
        <v>56.2</v>
      </c>
      <c r="O1094" s="4">
        <f t="shared" si="531"/>
        <v>1</v>
      </c>
      <c r="P1094" s="4">
        <f t="shared" si="532"/>
        <v>2</v>
      </c>
      <c r="Q1094" s="4">
        <f t="shared" si="533"/>
        <v>8.6125033712205621</v>
      </c>
      <c r="R1094" s="4">
        <f t="shared" si="534"/>
        <v>5.6629604801359461</v>
      </c>
      <c r="S1094" s="4">
        <f t="shared" si="535"/>
        <v>56.2</v>
      </c>
      <c r="T1094" s="4">
        <f t="shared" si="536"/>
        <v>1</v>
      </c>
      <c r="U1094" s="4">
        <f t="shared" si="537"/>
        <v>8.6125033712205621</v>
      </c>
      <c r="V1094" s="4">
        <f t="shared" si="538"/>
        <v>5.6629604801359461</v>
      </c>
      <c r="W1094" s="4">
        <f t="shared" si="539"/>
        <v>56.2</v>
      </c>
      <c r="X1094" s="4">
        <f t="shared" si="540"/>
        <v>2</v>
      </c>
      <c r="Y1094" s="4">
        <f t="shared" si="541"/>
        <v>8.6125033712205621</v>
      </c>
      <c r="Z1094" s="4">
        <f t="shared" si="542"/>
        <v>5.6629604801359461</v>
      </c>
      <c r="AA1094" s="4">
        <f t="shared" si="543"/>
        <v>56.2</v>
      </c>
      <c r="AB1094" s="4">
        <f t="shared" si="544"/>
        <v>0</v>
      </c>
      <c r="AC1094" s="4">
        <f t="shared" si="545"/>
        <v>1</v>
      </c>
      <c r="AD1094" s="4">
        <f t="shared" si="546"/>
        <v>8.6125033712205621</v>
      </c>
      <c r="AE1094" s="4">
        <f t="shared" si="547"/>
        <v>5.6629604801359461</v>
      </c>
      <c r="AF1094" s="4">
        <f t="shared" si="548"/>
        <v>56.2</v>
      </c>
      <c r="AG1094" s="4">
        <f t="shared" si="549"/>
        <v>8.6125033712205621</v>
      </c>
      <c r="AH1094" s="4">
        <f t="shared" si="550"/>
        <v>0</v>
      </c>
      <c r="AI1094" s="4">
        <f t="shared" si="551"/>
        <v>1</v>
      </c>
      <c r="AJ1094" s="4">
        <f t="shared" si="552"/>
        <v>8.6125033712205621</v>
      </c>
      <c r="AK1094" s="4">
        <f t="shared" si="553"/>
        <v>5.6629604801359461</v>
      </c>
      <c r="AL1094" s="4">
        <f t="shared" si="554"/>
        <v>1</v>
      </c>
      <c r="AM1094" s="4">
        <f>CER!$C$7+CER!$C$8*J1094+CER!$C$9*K1094+CER!$C$10*L1094+CER!$C$11*M1094</f>
        <v>4.977486756794959</v>
      </c>
      <c r="AN1094" s="4">
        <f t="shared" si="555"/>
        <v>145.10922820432842</v>
      </c>
      <c r="AO1094" s="4">
        <f t="shared" si="556"/>
        <v>-6.8304806488577618E-2</v>
      </c>
      <c r="AP1094" s="4">
        <f>Alternatives!$F$25+Alternatives!$F$26*J1094+Alternatives!$F$27*K1094+Alternatives!$F$28*G1094+Alternatives!$F$29*O1094</f>
        <v>4.23852827845025</v>
      </c>
      <c r="AQ1094" s="4">
        <f t="shared" si="557"/>
        <v>0.67065367185613134</v>
      </c>
    </row>
    <row r="1095" spans="1:43" x14ac:dyDescent="0.35">
      <c r="A1095" s="2" t="s">
        <v>945</v>
      </c>
      <c r="B1095" s="2" t="s">
        <v>360</v>
      </c>
      <c r="C1095" s="2" t="s">
        <v>34</v>
      </c>
      <c r="D1095" s="2">
        <v>130.98320000000001</v>
      </c>
      <c r="E1095" s="2">
        <v>5500</v>
      </c>
      <c r="F1095" s="2">
        <v>288</v>
      </c>
      <c r="G1095" s="2">
        <v>56.2</v>
      </c>
      <c r="H1095" s="2" t="s">
        <v>881</v>
      </c>
      <c r="I1095" s="4">
        <f t="shared" si="527"/>
        <v>4.8750690707023425</v>
      </c>
      <c r="J1095" s="4">
        <f t="shared" si="528"/>
        <v>8.6125033712205621</v>
      </c>
      <c r="K1095" s="4">
        <f t="shared" si="529"/>
        <v>5.6629604801359461</v>
      </c>
      <c r="L1095" s="2">
        <v>0</v>
      </c>
      <c r="M1095" s="2">
        <v>1</v>
      </c>
      <c r="N1095" s="4">
        <f t="shared" si="530"/>
        <v>56.2</v>
      </c>
      <c r="O1095" s="4">
        <f t="shared" si="531"/>
        <v>1</v>
      </c>
      <c r="P1095" s="4">
        <f t="shared" si="532"/>
        <v>2</v>
      </c>
      <c r="Q1095" s="4">
        <f t="shared" si="533"/>
        <v>8.6125033712205621</v>
      </c>
      <c r="R1095" s="4">
        <f t="shared" si="534"/>
        <v>5.6629604801359461</v>
      </c>
      <c r="S1095" s="4">
        <f t="shared" si="535"/>
        <v>56.2</v>
      </c>
      <c r="T1095" s="4">
        <f t="shared" si="536"/>
        <v>1</v>
      </c>
      <c r="U1095" s="4">
        <f t="shared" si="537"/>
        <v>8.6125033712205621</v>
      </c>
      <c r="V1095" s="4">
        <f t="shared" si="538"/>
        <v>5.6629604801359461</v>
      </c>
      <c r="W1095" s="4">
        <f t="shared" si="539"/>
        <v>56.2</v>
      </c>
      <c r="X1095" s="4">
        <f t="shared" si="540"/>
        <v>2</v>
      </c>
      <c r="Y1095" s="4">
        <f t="shared" si="541"/>
        <v>8.6125033712205621</v>
      </c>
      <c r="Z1095" s="4">
        <f t="shared" si="542"/>
        <v>5.6629604801359461</v>
      </c>
      <c r="AA1095" s="4">
        <f t="shared" si="543"/>
        <v>56.2</v>
      </c>
      <c r="AB1095" s="4">
        <f t="shared" si="544"/>
        <v>0</v>
      </c>
      <c r="AC1095" s="4">
        <f t="shared" si="545"/>
        <v>1</v>
      </c>
      <c r="AD1095" s="4">
        <f t="shared" si="546"/>
        <v>8.6125033712205621</v>
      </c>
      <c r="AE1095" s="4">
        <f t="shared" si="547"/>
        <v>5.6629604801359461</v>
      </c>
      <c r="AF1095" s="4">
        <f t="shared" si="548"/>
        <v>56.2</v>
      </c>
      <c r="AG1095" s="4">
        <f t="shared" si="549"/>
        <v>8.6125033712205621</v>
      </c>
      <c r="AH1095" s="4">
        <f t="shared" si="550"/>
        <v>0</v>
      </c>
      <c r="AI1095" s="4">
        <f t="shared" si="551"/>
        <v>1</v>
      </c>
      <c r="AJ1095" s="4">
        <f t="shared" si="552"/>
        <v>8.6125033712205621</v>
      </c>
      <c r="AK1095" s="4">
        <f t="shared" si="553"/>
        <v>5.6629604801359461</v>
      </c>
      <c r="AL1095" s="4">
        <f t="shared" si="554"/>
        <v>1</v>
      </c>
      <c r="AM1095" s="4">
        <f>CER!$C$7+CER!$C$8*J1095+CER!$C$9*K1095+CER!$C$10*L1095+CER!$C$11*M1095</f>
        <v>4.977486756794959</v>
      </c>
      <c r="AN1095" s="4">
        <f t="shared" si="555"/>
        <v>145.10922820432842</v>
      </c>
      <c r="AO1095" s="4">
        <f t="shared" si="556"/>
        <v>-0.10241768609261648</v>
      </c>
      <c r="AP1095" s="4">
        <f>Alternatives!$F$25+Alternatives!$F$26*J1095+Alternatives!$F$27*K1095+Alternatives!$F$28*G1095+Alternatives!$F$29*O1095</f>
        <v>4.23852827845025</v>
      </c>
      <c r="AQ1095" s="4">
        <f t="shared" si="557"/>
        <v>0.63654079225209248</v>
      </c>
    </row>
    <row r="1096" spans="1:43" x14ac:dyDescent="0.35">
      <c r="A1096" s="2" t="s">
        <v>946</v>
      </c>
      <c r="B1096" s="2" t="s">
        <v>360</v>
      </c>
      <c r="C1096" s="2" t="s">
        <v>34</v>
      </c>
      <c r="D1096" s="2">
        <v>141.75129999999999</v>
      </c>
      <c r="E1096" s="2">
        <v>5000</v>
      </c>
      <c r="F1096" s="2">
        <v>212</v>
      </c>
      <c r="G1096" s="2">
        <v>56.2</v>
      </c>
      <c r="H1096" s="2" t="s">
        <v>883</v>
      </c>
      <c r="I1096" s="4">
        <f t="shared" si="527"/>
        <v>4.9540741136416448</v>
      </c>
      <c r="J1096" s="4">
        <f t="shared" si="528"/>
        <v>8.5171931914162382</v>
      </c>
      <c r="K1096" s="4">
        <f t="shared" si="529"/>
        <v>5.3565862746720123</v>
      </c>
      <c r="L1096" s="2">
        <v>0</v>
      </c>
      <c r="M1096" s="2">
        <v>1</v>
      </c>
      <c r="N1096" s="4">
        <f t="shared" si="530"/>
        <v>56.2</v>
      </c>
      <c r="O1096" s="4">
        <f t="shared" si="531"/>
        <v>1</v>
      </c>
      <c r="P1096" s="4">
        <f t="shared" si="532"/>
        <v>2</v>
      </c>
      <c r="Q1096" s="4">
        <f t="shared" si="533"/>
        <v>8.5171931914162382</v>
      </c>
      <c r="R1096" s="4">
        <f t="shared" si="534"/>
        <v>5.3565862746720123</v>
      </c>
      <c r="S1096" s="4">
        <f t="shared" si="535"/>
        <v>56.2</v>
      </c>
      <c r="T1096" s="4">
        <f t="shared" si="536"/>
        <v>1</v>
      </c>
      <c r="U1096" s="4">
        <f t="shared" si="537"/>
        <v>8.5171931914162382</v>
      </c>
      <c r="V1096" s="4">
        <f t="shared" si="538"/>
        <v>5.3565862746720123</v>
      </c>
      <c r="W1096" s="4">
        <f t="shared" si="539"/>
        <v>56.2</v>
      </c>
      <c r="X1096" s="4">
        <f t="shared" si="540"/>
        <v>2</v>
      </c>
      <c r="Y1096" s="4">
        <f t="shared" si="541"/>
        <v>8.5171931914162382</v>
      </c>
      <c r="Z1096" s="4">
        <f t="shared" si="542"/>
        <v>5.3565862746720123</v>
      </c>
      <c r="AA1096" s="4">
        <f t="shared" si="543"/>
        <v>56.2</v>
      </c>
      <c r="AB1096" s="4">
        <f t="shared" si="544"/>
        <v>0</v>
      </c>
      <c r="AC1096" s="4">
        <f t="shared" si="545"/>
        <v>1</v>
      </c>
      <c r="AD1096" s="4">
        <f t="shared" si="546"/>
        <v>8.5171931914162382</v>
      </c>
      <c r="AE1096" s="4">
        <f t="shared" si="547"/>
        <v>5.3565862746720123</v>
      </c>
      <c r="AF1096" s="4">
        <f t="shared" si="548"/>
        <v>56.2</v>
      </c>
      <c r="AG1096" s="4">
        <f t="shared" si="549"/>
        <v>8.5171931914162382</v>
      </c>
      <c r="AH1096" s="4">
        <f t="shared" si="550"/>
        <v>0</v>
      </c>
      <c r="AI1096" s="4">
        <f t="shared" si="551"/>
        <v>1</v>
      </c>
      <c r="AJ1096" s="4">
        <f t="shared" si="552"/>
        <v>8.5171931914162382</v>
      </c>
      <c r="AK1096" s="4">
        <f t="shared" si="553"/>
        <v>5.3565862746720123</v>
      </c>
      <c r="AL1096" s="4">
        <f t="shared" si="554"/>
        <v>1</v>
      </c>
      <c r="AM1096" s="4">
        <f>CER!$C$7+CER!$C$8*J1096+CER!$C$9*K1096+CER!$C$10*L1096+CER!$C$11*M1096</f>
        <v>5.1336693815825409</v>
      </c>
      <c r="AN1096" s="4">
        <f t="shared" si="555"/>
        <v>169.63844559175581</v>
      </c>
      <c r="AO1096" s="4">
        <f t="shared" si="556"/>
        <v>-0.17959526794089609</v>
      </c>
      <c r="AP1096" s="4">
        <f>Alternatives!$F$25+Alternatives!$F$26*J1096+Alternatives!$F$27*K1096+Alternatives!$F$28*G1096+Alternatives!$F$29*O1096</f>
        <v>4.2847845473194184</v>
      </c>
      <c r="AQ1096" s="4">
        <f t="shared" si="557"/>
        <v>0.66928956632222647</v>
      </c>
    </row>
    <row r="1097" spans="1:43" x14ac:dyDescent="0.35">
      <c r="A1097" s="2" t="s">
        <v>947</v>
      </c>
      <c r="B1097" s="2" t="s">
        <v>360</v>
      </c>
      <c r="C1097" s="2" t="s">
        <v>34</v>
      </c>
      <c r="D1097" s="2">
        <v>124.66840000000001</v>
      </c>
      <c r="E1097" s="2">
        <v>6000</v>
      </c>
      <c r="F1097" s="2">
        <v>500</v>
      </c>
      <c r="G1097" s="2">
        <v>56</v>
      </c>
      <c r="H1097" s="2" t="s">
        <v>881</v>
      </c>
      <c r="I1097" s="4">
        <f t="shared" si="527"/>
        <v>4.825657412393082</v>
      </c>
      <c r="J1097" s="4">
        <f t="shared" si="528"/>
        <v>8.6995147482101913</v>
      </c>
      <c r="K1097" s="4">
        <f t="shared" si="529"/>
        <v>6.2146080984221914</v>
      </c>
      <c r="L1097" s="2">
        <v>0</v>
      </c>
      <c r="M1097" s="2">
        <v>1</v>
      </c>
      <c r="N1097" s="4">
        <f t="shared" si="530"/>
        <v>56</v>
      </c>
      <c r="O1097" s="4">
        <f t="shared" si="531"/>
        <v>1</v>
      </c>
      <c r="P1097" s="4">
        <f t="shared" si="532"/>
        <v>2</v>
      </c>
      <c r="Q1097" s="4">
        <f t="shared" si="533"/>
        <v>8.6995147482101913</v>
      </c>
      <c r="R1097" s="4">
        <f t="shared" si="534"/>
        <v>6.2146080984221914</v>
      </c>
      <c r="S1097" s="4">
        <f t="shared" si="535"/>
        <v>56</v>
      </c>
      <c r="T1097" s="4">
        <f t="shared" si="536"/>
        <v>1</v>
      </c>
      <c r="U1097" s="4">
        <f t="shared" si="537"/>
        <v>8.6995147482101913</v>
      </c>
      <c r="V1097" s="4">
        <f t="shared" si="538"/>
        <v>6.2146080984221914</v>
      </c>
      <c r="W1097" s="4">
        <f t="shared" si="539"/>
        <v>56</v>
      </c>
      <c r="X1097" s="4">
        <f t="shared" si="540"/>
        <v>2</v>
      </c>
      <c r="Y1097" s="4">
        <f t="shared" si="541"/>
        <v>8.6995147482101913</v>
      </c>
      <c r="Z1097" s="4">
        <f t="shared" si="542"/>
        <v>6.2146080984221914</v>
      </c>
      <c r="AA1097" s="4">
        <f t="shared" si="543"/>
        <v>56</v>
      </c>
      <c r="AB1097" s="4">
        <f t="shared" si="544"/>
        <v>0</v>
      </c>
      <c r="AC1097" s="4">
        <f t="shared" si="545"/>
        <v>1</v>
      </c>
      <c r="AD1097" s="4">
        <f t="shared" si="546"/>
        <v>8.6995147482101913</v>
      </c>
      <c r="AE1097" s="4">
        <f t="shared" si="547"/>
        <v>6.2146080984221914</v>
      </c>
      <c r="AF1097" s="4">
        <f t="shared" si="548"/>
        <v>56</v>
      </c>
      <c r="AG1097" s="4">
        <f t="shared" si="549"/>
        <v>8.6995147482101913</v>
      </c>
      <c r="AH1097" s="4">
        <f t="shared" si="550"/>
        <v>0</v>
      </c>
      <c r="AI1097" s="4">
        <f t="shared" si="551"/>
        <v>1</v>
      </c>
      <c r="AJ1097" s="4">
        <f t="shared" si="552"/>
        <v>8.6995147482101913</v>
      </c>
      <c r="AK1097" s="4">
        <f t="shared" si="553"/>
        <v>6.2146080984221914</v>
      </c>
      <c r="AL1097" s="4">
        <f t="shared" si="554"/>
        <v>1</v>
      </c>
      <c r="AM1097" s="4">
        <f>CER!$C$7+CER!$C$8*J1097+CER!$C$9*K1097+CER!$C$10*L1097+CER!$C$11*M1097</f>
        <v>4.7345689918839664</v>
      </c>
      <c r="AN1097" s="4">
        <f t="shared" si="555"/>
        <v>113.81439321795688</v>
      </c>
      <c r="AO1097" s="4">
        <f t="shared" si="556"/>
        <v>9.1088420509115586E-2</v>
      </c>
      <c r="AP1097" s="4">
        <f>Alternatives!$F$25+Alternatives!$F$26*J1097+Alternatives!$F$27*K1097+Alternatives!$F$28*G1097+Alternatives!$F$29*O1097</f>
        <v>4.126532501917584</v>
      </c>
      <c r="AQ1097" s="4">
        <f t="shared" si="557"/>
        <v>0.69912491047549796</v>
      </c>
    </row>
    <row r="1098" spans="1:43" x14ac:dyDescent="0.35">
      <c r="A1098" s="2" t="s">
        <v>948</v>
      </c>
      <c r="B1098" s="2" t="s">
        <v>360</v>
      </c>
      <c r="C1098" s="2" t="s">
        <v>34</v>
      </c>
      <c r="D1098" s="2">
        <v>128.6146</v>
      </c>
      <c r="E1098" s="2">
        <v>6000</v>
      </c>
      <c r="F1098" s="2">
        <v>340</v>
      </c>
      <c r="G1098" s="2">
        <v>56</v>
      </c>
      <c r="H1098" s="2" t="s">
        <v>881</v>
      </c>
      <c r="I1098" s="4">
        <f t="shared" si="527"/>
        <v>4.8568203356860336</v>
      </c>
      <c r="J1098" s="4">
        <f t="shared" si="528"/>
        <v>8.6995147482101913</v>
      </c>
      <c r="K1098" s="4">
        <f t="shared" si="529"/>
        <v>5.8289456176102075</v>
      </c>
      <c r="L1098" s="2">
        <v>0</v>
      </c>
      <c r="M1098" s="2">
        <v>1</v>
      </c>
      <c r="N1098" s="4">
        <f t="shared" si="530"/>
        <v>56</v>
      </c>
      <c r="O1098" s="4">
        <f t="shared" si="531"/>
        <v>1</v>
      </c>
      <c r="P1098" s="4">
        <f t="shared" si="532"/>
        <v>2</v>
      </c>
      <c r="Q1098" s="4">
        <f t="shared" si="533"/>
        <v>8.6995147482101913</v>
      </c>
      <c r="R1098" s="4">
        <f t="shared" si="534"/>
        <v>5.8289456176102075</v>
      </c>
      <c r="S1098" s="4">
        <f t="shared" si="535"/>
        <v>56</v>
      </c>
      <c r="T1098" s="4">
        <f t="shared" si="536"/>
        <v>1</v>
      </c>
      <c r="U1098" s="4">
        <f t="shared" si="537"/>
        <v>8.6995147482101913</v>
      </c>
      <c r="V1098" s="4">
        <f t="shared" si="538"/>
        <v>5.8289456176102075</v>
      </c>
      <c r="W1098" s="4">
        <f t="shared" si="539"/>
        <v>56</v>
      </c>
      <c r="X1098" s="4">
        <f t="shared" si="540"/>
        <v>2</v>
      </c>
      <c r="Y1098" s="4">
        <f t="shared" si="541"/>
        <v>8.6995147482101913</v>
      </c>
      <c r="Z1098" s="4">
        <f t="shared" si="542"/>
        <v>5.8289456176102075</v>
      </c>
      <c r="AA1098" s="4">
        <f t="shared" si="543"/>
        <v>56</v>
      </c>
      <c r="AB1098" s="4">
        <f t="shared" si="544"/>
        <v>0</v>
      </c>
      <c r="AC1098" s="4">
        <f t="shared" si="545"/>
        <v>1</v>
      </c>
      <c r="AD1098" s="4">
        <f t="shared" si="546"/>
        <v>8.6995147482101913</v>
      </c>
      <c r="AE1098" s="4">
        <f t="shared" si="547"/>
        <v>5.8289456176102075</v>
      </c>
      <c r="AF1098" s="4">
        <f t="shared" si="548"/>
        <v>56</v>
      </c>
      <c r="AG1098" s="4">
        <f t="shared" si="549"/>
        <v>8.6995147482101913</v>
      </c>
      <c r="AH1098" s="4">
        <f t="shared" si="550"/>
        <v>0</v>
      </c>
      <c r="AI1098" s="4">
        <f t="shared" si="551"/>
        <v>1</v>
      </c>
      <c r="AJ1098" s="4">
        <f t="shared" si="552"/>
        <v>8.6995147482101913</v>
      </c>
      <c r="AK1098" s="4">
        <f t="shared" si="553"/>
        <v>5.8289456176102075</v>
      </c>
      <c r="AL1098" s="4">
        <f t="shared" si="554"/>
        <v>1</v>
      </c>
      <c r="AM1098" s="4">
        <f>CER!$C$7+CER!$C$8*J1098+CER!$C$9*K1098+CER!$C$10*L1098+CER!$C$11*M1098</f>
        <v>4.8768567398540528</v>
      </c>
      <c r="AN1098" s="4">
        <f t="shared" si="555"/>
        <v>131.21756404630597</v>
      </c>
      <c r="AO1098" s="4">
        <f t="shared" si="556"/>
        <v>-2.0036404168019217E-2</v>
      </c>
      <c r="AP1098" s="4">
        <f>Alternatives!$F$25+Alternatives!$F$26*J1098+Alternatives!$F$27*K1098+Alternatives!$F$28*G1098+Alternatives!$F$29*O1098</f>
        <v>4.2291611323104519</v>
      </c>
      <c r="AQ1098" s="4">
        <f t="shared" si="557"/>
        <v>0.62765920337558168</v>
      </c>
    </row>
    <row r="1099" spans="1:43" x14ac:dyDescent="0.35">
      <c r="A1099" s="2" t="s">
        <v>949</v>
      </c>
      <c r="B1099" s="2" t="s">
        <v>360</v>
      </c>
      <c r="C1099" s="2" t="s">
        <v>34</v>
      </c>
      <c r="D1099" s="2">
        <v>111.92400000000001</v>
      </c>
      <c r="E1099" s="2">
        <v>6500</v>
      </c>
      <c r="F1099" s="2">
        <v>500</v>
      </c>
      <c r="G1099" s="2">
        <v>56</v>
      </c>
      <c r="H1099" s="2" t="s">
        <v>881</v>
      </c>
      <c r="I1099" s="4">
        <f t="shared" si="527"/>
        <v>4.7178200695327268</v>
      </c>
      <c r="J1099" s="4">
        <f t="shared" si="528"/>
        <v>8.7795574558837277</v>
      </c>
      <c r="K1099" s="4">
        <f t="shared" si="529"/>
        <v>6.2146080984221914</v>
      </c>
      <c r="L1099" s="2">
        <v>0</v>
      </c>
      <c r="M1099" s="2">
        <v>1</v>
      </c>
      <c r="N1099" s="4">
        <f t="shared" si="530"/>
        <v>56</v>
      </c>
      <c r="O1099" s="4">
        <f t="shared" si="531"/>
        <v>1</v>
      </c>
      <c r="P1099" s="4">
        <f t="shared" si="532"/>
        <v>2</v>
      </c>
      <c r="Q1099" s="4">
        <f t="shared" si="533"/>
        <v>8.7795574558837277</v>
      </c>
      <c r="R1099" s="4">
        <f t="shared" si="534"/>
        <v>6.2146080984221914</v>
      </c>
      <c r="S1099" s="4">
        <f t="shared" si="535"/>
        <v>56</v>
      </c>
      <c r="T1099" s="4">
        <f t="shared" si="536"/>
        <v>1</v>
      </c>
      <c r="U1099" s="4">
        <f t="shared" si="537"/>
        <v>8.7795574558837277</v>
      </c>
      <c r="V1099" s="4">
        <f t="shared" si="538"/>
        <v>6.2146080984221914</v>
      </c>
      <c r="W1099" s="4">
        <f t="shared" si="539"/>
        <v>56</v>
      </c>
      <c r="X1099" s="4">
        <f t="shared" si="540"/>
        <v>2</v>
      </c>
      <c r="Y1099" s="4">
        <f t="shared" si="541"/>
        <v>8.7795574558837277</v>
      </c>
      <c r="Z1099" s="4">
        <f t="shared" si="542"/>
        <v>6.2146080984221914</v>
      </c>
      <c r="AA1099" s="4">
        <f t="shared" si="543"/>
        <v>56</v>
      </c>
      <c r="AB1099" s="4">
        <f t="shared" si="544"/>
        <v>0</v>
      </c>
      <c r="AC1099" s="4">
        <f t="shared" si="545"/>
        <v>1</v>
      </c>
      <c r="AD1099" s="4">
        <f t="shared" si="546"/>
        <v>8.7795574558837277</v>
      </c>
      <c r="AE1099" s="4">
        <f t="shared" si="547"/>
        <v>6.2146080984221914</v>
      </c>
      <c r="AF1099" s="4">
        <f t="shared" si="548"/>
        <v>56</v>
      </c>
      <c r="AG1099" s="4">
        <f t="shared" si="549"/>
        <v>8.7795574558837277</v>
      </c>
      <c r="AH1099" s="4">
        <f t="shared" si="550"/>
        <v>0</v>
      </c>
      <c r="AI1099" s="4">
        <f t="shared" si="551"/>
        <v>1</v>
      </c>
      <c r="AJ1099" s="4">
        <f t="shared" si="552"/>
        <v>8.7795574558837277</v>
      </c>
      <c r="AK1099" s="4">
        <f t="shared" si="553"/>
        <v>6.2146080984221914</v>
      </c>
      <c r="AL1099" s="4">
        <f t="shared" si="554"/>
        <v>1</v>
      </c>
      <c r="AM1099" s="4">
        <f>CER!$C$7+CER!$C$8*J1099+CER!$C$9*K1099+CER!$C$10*L1099+CER!$C$11*M1099</f>
        <v>4.698332928160653</v>
      </c>
      <c r="AN1099" s="4">
        <f t="shared" si="555"/>
        <v>109.76403531091162</v>
      </c>
      <c r="AO1099" s="4">
        <f t="shared" si="556"/>
        <v>1.9487141372073857E-2</v>
      </c>
      <c r="AP1099" s="4">
        <f>Alternatives!$F$25+Alternatives!$F$26*J1099+Alternatives!$F$27*K1099+Alternatives!$F$28*G1099+Alternatives!$F$29*O1099</f>
        <v>4.1561551856762478</v>
      </c>
      <c r="AQ1099" s="4">
        <f t="shared" si="557"/>
        <v>0.56166488385647906</v>
      </c>
    </row>
    <row r="1100" spans="1:43" x14ac:dyDescent="0.35">
      <c r="A1100" s="2" t="s">
        <v>950</v>
      </c>
      <c r="B1100" s="2" t="s">
        <v>387</v>
      </c>
      <c r="C1100" s="2" t="s">
        <v>34</v>
      </c>
      <c r="D1100" s="2">
        <v>141.53190000000001</v>
      </c>
      <c r="E1100" s="2">
        <v>4500</v>
      </c>
      <c r="F1100" s="2">
        <v>320</v>
      </c>
      <c r="G1100" s="2">
        <v>52.8</v>
      </c>
      <c r="H1100" s="2" t="s">
        <v>924</v>
      </c>
      <c r="I1100" s="4">
        <f t="shared" si="527"/>
        <v>4.9525251333712452</v>
      </c>
      <c r="J1100" s="4">
        <f t="shared" si="528"/>
        <v>8.4118326757584114</v>
      </c>
      <c r="K1100" s="4">
        <f t="shared" si="529"/>
        <v>5.768320995793772</v>
      </c>
      <c r="L1100" s="2">
        <v>0</v>
      </c>
      <c r="M1100" s="2">
        <v>1</v>
      </c>
      <c r="N1100" s="4">
        <f t="shared" si="530"/>
        <v>52.8</v>
      </c>
      <c r="O1100" s="4">
        <f t="shared" si="531"/>
        <v>1</v>
      </c>
      <c r="P1100" s="4">
        <f t="shared" si="532"/>
        <v>2</v>
      </c>
      <c r="Q1100" s="4">
        <f t="shared" si="533"/>
        <v>8.4118326757584114</v>
      </c>
      <c r="R1100" s="4">
        <f t="shared" si="534"/>
        <v>5.768320995793772</v>
      </c>
      <c r="S1100" s="4">
        <f t="shared" si="535"/>
        <v>52.8</v>
      </c>
      <c r="T1100" s="4">
        <f t="shared" si="536"/>
        <v>1</v>
      </c>
      <c r="U1100" s="4">
        <f t="shared" si="537"/>
        <v>8.4118326757584114</v>
      </c>
      <c r="V1100" s="4">
        <f t="shared" si="538"/>
        <v>5.768320995793772</v>
      </c>
      <c r="W1100" s="4">
        <f t="shared" si="539"/>
        <v>52.8</v>
      </c>
      <c r="X1100" s="4">
        <f t="shared" si="540"/>
        <v>2</v>
      </c>
      <c r="Y1100" s="4">
        <f t="shared" si="541"/>
        <v>8.4118326757584114</v>
      </c>
      <c r="Z1100" s="4">
        <f t="shared" si="542"/>
        <v>5.768320995793772</v>
      </c>
      <c r="AA1100" s="4">
        <f t="shared" si="543"/>
        <v>52.8</v>
      </c>
      <c r="AB1100" s="4">
        <f t="shared" si="544"/>
        <v>0</v>
      </c>
      <c r="AC1100" s="4">
        <f t="shared" si="545"/>
        <v>1</v>
      </c>
      <c r="AD1100" s="4">
        <f t="shared" si="546"/>
        <v>8.4118326757584114</v>
      </c>
      <c r="AE1100" s="4">
        <f t="shared" si="547"/>
        <v>5.768320995793772</v>
      </c>
      <c r="AF1100" s="4">
        <f t="shared" si="548"/>
        <v>52.8</v>
      </c>
      <c r="AG1100" s="4">
        <f t="shared" si="549"/>
        <v>8.4118326757584114</v>
      </c>
      <c r="AH1100" s="4">
        <f t="shared" si="550"/>
        <v>0</v>
      </c>
      <c r="AI1100" s="4">
        <f t="shared" si="551"/>
        <v>1</v>
      </c>
      <c r="AJ1100" s="4">
        <f t="shared" si="552"/>
        <v>8.4118326757584114</v>
      </c>
      <c r="AK1100" s="4">
        <f t="shared" si="553"/>
        <v>5.768320995793772</v>
      </c>
      <c r="AL1100" s="4">
        <f t="shared" si="554"/>
        <v>1</v>
      </c>
      <c r="AM1100" s="4">
        <f>CER!$C$7+CER!$C$8*J1100+CER!$C$9*K1100+CER!$C$10*L1100+CER!$C$11*M1100</f>
        <v>5.0294601107304473</v>
      </c>
      <c r="AN1100" s="4">
        <f t="shared" si="555"/>
        <v>152.85046808757906</v>
      </c>
      <c r="AO1100" s="4">
        <f t="shared" si="556"/>
        <v>-7.6934977359202072E-2</v>
      </c>
      <c r="AP1100" s="4">
        <f>Alternatives!$F$25+Alternatives!$F$26*J1100+Alternatives!$F$27*K1100+Alternatives!$F$28*G1100+Alternatives!$F$29*O1100</f>
        <v>4.1804502538482247</v>
      </c>
      <c r="AQ1100" s="4">
        <f t="shared" si="557"/>
        <v>0.77207487952302056</v>
      </c>
    </row>
    <row r="1101" spans="1:43" x14ac:dyDescent="0.35">
      <c r="A1101" s="2" t="s">
        <v>951</v>
      </c>
      <c r="B1101" s="2" t="s">
        <v>387</v>
      </c>
      <c r="C1101" s="2" t="s">
        <v>34</v>
      </c>
      <c r="D1101" s="2">
        <v>165.0634</v>
      </c>
      <c r="E1101" s="2">
        <v>4500</v>
      </c>
      <c r="F1101" s="2">
        <v>225</v>
      </c>
      <c r="G1101" s="2">
        <v>53.1</v>
      </c>
      <c r="H1101" s="2" t="s">
        <v>911</v>
      </c>
      <c r="I1101" s="4">
        <f t="shared" si="527"/>
        <v>5.1063296425226072</v>
      </c>
      <c r="J1101" s="4">
        <f t="shared" si="528"/>
        <v>8.4118326757584114</v>
      </c>
      <c r="K1101" s="4">
        <f t="shared" si="529"/>
        <v>5.4161004022044201</v>
      </c>
      <c r="L1101" s="2">
        <v>0</v>
      </c>
      <c r="M1101" s="2">
        <v>1</v>
      </c>
      <c r="N1101" s="4">
        <f t="shared" si="530"/>
        <v>53.1</v>
      </c>
      <c r="O1101" s="4">
        <f t="shared" si="531"/>
        <v>1</v>
      </c>
      <c r="P1101" s="4">
        <f t="shared" si="532"/>
        <v>2</v>
      </c>
      <c r="Q1101" s="4">
        <f t="shared" si="533"/>
        <v>8.4118326757584114</v>
      </c>
      <c r="R1101" s="4">
        <f t="shared" si="534"/>
        <v>5.4161004022044201</v>
      </c>
      <c r="S1101" s="4">
        <f t="shared" si="535"/>
        <v>53.1</v>
      </c>
      <c r="T1101" s="4">
        <f t="shared" si="536"/>
        <v>1</v>
      </c>
      <c r="U1101" s="4">
        <f t="shared" si="537"/>
        <v>8.4118326757584114</v>
      </c>
      <c r="V1101" s="4">
        <f t="shared" si="538"/>
        <v>5.4161004022044201</v>
      </c>
      <c r="W1101" s="4">
        <f t="shared" si="539"/>
        <v>53.1</v>
      </c>
      <c r="X1101" s="4">
        <f t="shared" si="540"/>
        <v>2</v>
      </c>
      <c r="Y1101" s="4">
        <f t="shared" si="541"/>
        <v>8.4118326757584114</v>
      </c>
      <c r="Z1101" s="4">
        <f t="shared" si="542"/>
        <v>5.4161004022044201</v>
      </c>
      <c r="AA1101" s="4">
        <f t="shared" si="543"/>
        <v>53.1</v>
      </c>
      <c r="AB1101" s="4">
        <f t="shared" si="544"/>
        <v>0</v>
      </c>
      <c r="AC1101" s="4">
        <f t="shared" si="545"/>
        <v>1</v>
      </c>
      <c r="AD1101" s="4">
        <f t="shared" si="546"/>
        <v>8.4118326757584114</v>
      </c>
      <c r="AE1101" s="4">
        <f t="shared" si="547"/>
        <v>5.4161004022044201</v>
      </c>
      <c r="AF1101" s="4">
        <f t="shared" si="548"/>
        <v>53.1</v>
      </c>
      <c r="AG1101" s="4">
        <f t="shared" si="549"/>
        <v>8.4118326757584114</v>
      </c>
      <c r="AH1101" s="4">
        <f t="shared" si="550"/>
        <v>0</v>
      </c>
      <c r="AI1101" s="4">
        <f t="shared" si="551"/>
        <v>1</v>
      </c>
      <c r="AJ1101" s="4">
        <f t="shared" si="552"/>
        <v>8.4118326757584114</v>
      </c>
      <c r="AK1101" s="4">
        <f t="shared" si="553"/>
        <v>5.4161004022044201</v>
      </c>
      <c r="AL1101" s="4">
        <f t="shared" si="554"/>
        <v>1</v>
      </c>
      <c r="AM1101" s="4">
        <f>CER!$C$7+CER!$C$8*J1101+CER!$C$9*K1101+CER!$C$10*L1101+CER!$C$11*M1101</f>
        <v>5.1594096846298818</v>
      </c>
      <c r="AN1101" s="4">
        <f t="shared" si="555"/>
        <v>174.06167398980716</v>
      </c>
      <c r="AO1101" s="4">
        <f t="shared" si="556"/>
        <v>-5.3080042107274572E-2</v>
      </c>
      <c r="AP1101" s="4">
        <f>Alternatives!$F$25+Alternatives!$F$26*J1101+Alternatives!$F$27*K1101+Alternatives!$F$28*G1101+Alternatives!$F$29*O1101</f>
        <v>4.2702774703427693</v>
      </c>
      <c r="AQ1101" s="4">
        <f t="shared" si="557"/>
        <v>0.83605217217983796</v>
      </c>
    </row>
    <row r="1102" spans="1:43" x14ac:dyDescent="0.35">
      <c r="A1102" s="2" t="s">
        <v>952</v>
      </c>
      <c r="B1102" s="2" t="s">
        <v>387</v>
      </c>
      <c r="C1102" s="2" t="s">
        <v>34</v>
      </c>
      <c r="D1102" s="2">
        <v>159.04679999999999</v>
      </c>
      <c r="E1102" s="2">
        <v>4000</v>
      </c>
      <c r="F1102" s="2">
        <v>167</v>
      </c>
      <c r="G1102" s="2">
        <v>53.1</v>
      </c>
      <c r="H1102" s="2" t="s">
        <v>924</v>
      </c>
      <c r="I1102" s="4">
        <f t="shared" si="527"/>
        <v>5.0691984985334644</v>
      </c>
      <c r="J1102" s="4">
        <f t="shared" si="528"/>
        <v>8.2940496401020276</v>
      </c>
      <c r="K1102" s="4">
        <f t="shared" si="529"/>
        <v>5.1179938124167554</v>
      </c>
      <c r="L1102" s="2">
        <v>0</v>
      </c>
      <c r="M1102" s="2">
        <v>1</v>
      </c>
      <c r="N1102" s="4">
        <f t="shared" si="530"/>
        <v>53.1</v>
      </c>
      <c r="O1102" s="4">
        <f t="shared" si="531"/>
        <v>1</v>
      </c>
      <c r="P1102" s="4">
        <f t="shared" si="532"/>
        <v>2</v>
      </c>
      <c r="Q1102" s="4">
        <f t="shared" si="533"/>
        <v>8.2940496401020276</v>
      </c>
      <c r="R1102" s="4">
        <f t="shared" si="534"/>
        <v>5.1179938124167554</v>
      </c>
      <c r="S1102" s="4">
        <f t="shared" si="535"/>
        <v>53.1</v>
      </c>
      <c r="T1102" s="4">
        <f t="shared" si="536"/>
        <v>1</v>
      </c>
      <c r="U1102" s="4">
        <f t="shared" si="537"/>
        <v>8.2940496401020276</v>
      </c>
      <c r="V1102" s="4">
        <f t="shared" si="538"/>
        <v>5.1179938124167554</v>
      </c>
      <c r="W1102" s="4">
        <f t="shared" si="539"/>
        <v>53.1</v>
      </c>
      <c r="X1102" s="4">
        <f t="shared" si="540"/>
        <v>2</v>
      </c>
      <c r="Y1102" s="4">
        <f t="shared" si="541"/>
        <v>8.2940496401020276</v>
      </c>
      <c r="Z1102" s="4">
        <f t="shared" si="542"/>
        <v>5.1179938124167554</v>
      </c>
      <c r="AA1102" s="4">
        <f t="shared" si="543"/>
        <v>53.1</v>
      </c>
      <c r="AB1102" s="4">
        <f t="shared" si="544"/>
        <v>0</v>
      </c>
      <c r="AC1102" s="4">
        <f t="shared" si="545"/>
        <v>1</v>
      </c>
      <c r="AD1102" s="4">
        <f t="shared" si="546"/>
        <v>8.2940496401020276</v>
      </c>
      <c r="AE1102" s="4">
        <f t="shared" si="547"/>
        <v>5.1179938124167554</v>
      </c>
      <c r="AF1102" s="4">
        <f t="shared" si="548"/>
        <v>53.1</v>
      </c>
      <c r="AG1102" s="4">
        <f t="shared" si="549"/>
        <v>8.2940496401020276</v>
      </c>
      <c r="AH1102" s="4">
        <f t="shared" si="550"/>
        <v>0</v>
      </c>
      <c r="AI1102" s="4">
        <f t="shared" si="551"/>
        <v>1</v>
      </c>
      <c r="AJ1102" s="4">
        <f t="shared" si="552"/>
        <v>8.2940496401020276</v>
      </c>
      <c r="AK1102" s="4">
        <f t="shared" si="553"/>
        <v>5.1179938124167554</v>
      </c>
      <c r="AL1102" s="4">
        <f t="shared" si="554"/>
        <v>1</v>
      </c>
      <c r="AM1102" s="4">
        <f>CER!$C$7+CER!$C$8*J1102+CER!$C$9*K1102+CER!$C$10*L1102+CER!$C$11*M1102</f>
        <v>5.3227156913732863</v>
      </c>
      <c r="AN1102" s="4">
        <f t="shared" si="555"/>
        <v>204.93967988432135</v>
      </c>
      <c r="AO1102" s="4">
        <f t="shared" si="556"/>
        <v>-0.25351719283982188</v>
      </c>
      <c r="AP1102" s="4">
        <f>Alternatives!$F$25+Alternatives!$F$26*J1102+Alternatives!$F$27*K1102+Alternatives!$F$28*G1102+Alternatives!$F$29*O1102</f>
        <v>4.306016755431056</v>
      </c>
      <c r="AQ1102" s="4">
        <f t="shared" si="557"/>
        <v>0.76318174310240838</v>
      </c>
    </row>
    <row r="1103" spans="1:43" x14ac:dyDescent="0.35">
      <c r="A1103" s="2" t="s">
        <v>953</v>
      </c>
      <c r="B1103" s="2" t="s">
        <v>387</v>
      </c>
      <c r="C1103" s="2" t="s">
        <v>34</v>
      </c>
      <c r="D1103" s="2">
        <v>101.3116</v>
      </c>
      <c r="E1103" s="2">
        <v>5000</v>
      </c>
      <c r="F1103" s="2">
        <v>225</v>
      </c>
      <c r="G1103" s="2">
        <v>53.1</v>
      </c>
      <c r="H1103" s="2" t="s">
        <v>883</v>
      </c>
      <c r="I1103" s="4">
        <f t="shared" si="527"/>
        <v>4.6182009160511317</v>
      </c>
      <c r="J1103" s="4">
        <f t="shared" si="528"/>
        <v>8.5171931914162382</v>
      </c>
      <c r="K1103" s="4">
        <f t="shared" si="529"/>
        <v>5.4161004022044201</v>
      </c>
      <c r="L1103" s="2">
        <v>0</v>
      </c>
      <c r="M1103" s="2">
        <v>1</v>
      </c>
      <c r="N1103" s="4">
        <f t="shared" si="530"/>
        <v>53.1</v>
      </c>
      <c r="O1103" s="4">
        <f t="shared" si="531"/>
        <v>1</v>
      </c>
      <c r="P1103" s="4">
        <f t="shared" si="532"/>
        <v>2</v>
      </c>
      <c r="Q1103" s="4">
        <f t="shared" si="533"/>
        <v>8.5171931914162382</v>
      </c>
      <c r="R1103" s="4">
        <f t="shared" si="534"/>
        <v>5.4161004022044201</v>
      </c>
      <c r="S1103" s="4">
        <f t="shared" si="535"/>
        <v>53.1</v>
      </c>
      <c r="T1103" s="4">
        <f t="shared" si="536"/>
        <v>1</v>
      </c>
      <c r="U1103" s="4">
        <f t="shared" si="537"/>
        <v>8.5171931914162382</v>
      </c>
      <c r="V1103" s="4">
        <f t="shared" si="538"/>
        <v>5.4161004022044201</v>
      </c>
      <c r="W1103" s="4">
        <f t="shared" si="539"/>
        <v>53.1</v>
      </c>
      <c r="X1103" s="4">
        <f t="shared" si="540"/>
        <v>2</v>
      </c>
      <c r="Y1103" s="4">
        <f t="shared" si="541"/>
        <v>8.5171931914162382</v>
      </c>
      <c r="Z1103" s="4">
        <f t="shared" si="542"/>
        <v>5.4161004022044201</v>
      </c>
      <c r="AA1103" s="4">
        <f t="shared" si="543"/>
        <v>53.1</v>
      </c>
      <c r="AB1103" s="4">
        <f t="shared" si="544"/>
        <v>0</v>
      </c>
      <c r="AC1103" s="4">
        <f t="shared" si="545"/>
        <v>1</v>
      </c>
      <c r="AD1103" s="4">
        <f t="shared" si="546"/>
        <v>8.5171931914162382</v>
      </c>
      <c r="AE1103" s="4">
        <f t="shared" si="547"/>
        <v>5.4161004022044201</v>
      </c>
      <c r="AF1103" s="4">
        <f t="shared" si="548"/>
        <v>53.1</v>
      </c>
      <c r="AG1103" s="4">
        <f t="shared" si="549"/>
        <v>8.5171931914162382</v>
      </c>
      <c r="AH1103" s="4">
        <f t="shared" si="550"/>
        <v>0</v>
      </c>
      <c r="AI1103" s="4">
        <f t="shared" si="551"/>
        <v>1</v>
      </c>
      <c r="AJ1103" s="4">
        <f t="shared" si="552"/>
        <v>8.5171931914162382</v>
      </c>
      <c r="AK1103" s="4">
        <f t="shared" si="553"/>
        <v>5.4161004022044201</v>
      </c>
      <c r="AL1103" s="4">
        <f t="shared" si="554"/>
        <v>1</v>
      </c>
      <c r="AM1103" s="4">
        <f>CER!$C$7+CER!$C$8*J1103+CER!$C$9*K1103+CER!$C$10*L1103+CER!$C$11*M1103</f>
        <v>5.111712018343157</v>
      </c>
      <c r="AN1103" s="4">
        <f t="shared" si="555"/>
        <v>165.95422848927302</v>
      </c>
      <c r="AO1103" s="4">
        <f t="shared" si="556"/>
        <v>-0.49351110229202533</v>
      </c>
      <c r="AP1103" s="4">
        <f>Alternatives!$F$25+Alternatives!$F$26*J1103+Alternatives!$F$27*K1103+Alternatives!$F$28*G1103+Alternatives!$F$29*O1103</f>
        <v>4.3092699198325004</v>
      </c>
      <c r="AQ1103" s="4">
        <f t="shared" si="557"/>
        <v>0.30893099621863129</v>
      </c>
    </row>
    <row r="1104" spans="1:43" x14ac:dyDescent="0.35">
      <c r="A1104" s="2" t="s">
        <v>954</v>
      </c>
      <c r="B1104" s="2" t="s">
        <v>387</v>
      </c>
      <c r="C1104" s="2" t="s">
        <v>34</v>
      </c>
      <c r="D1104" s="2">
        <v>168.75409999999999</v>
      </c>
      <c r="E1104" s="2">
        <v>4000</v>
      </c>
      <c r="F1104" s="2">
        <v>133</v>
      </c>
      <c r="G1104" s="2">
        <v>45.7</v>
      </c>
      <c r="H1104" s="2" t="s">
        <v>883</v>
      </c>
      <c r="I1104" s="4">
        <f t="shared" si="527"/>
        <v>5.1284426257537854</v>
      </c>
      <c r="J1104" s="4">
        <f t="shared" si="528"/>
        <v>8.2940496401020276</v>
      </c>
      <c r="K1104" s="4">
        <f t="shared" si="529"/>
        <v>4.8903491282217537</v>
      </c>
      <c r="L1104" s="2">
        <v>0</v>
      </c>
      <c r="M1104" s="2">
        <v>1</v>
      </c>
      <c r="N1104" s="4">
        <f t="shared" si="530"/>
        <v>45.7</v>
      </c>
      <c r="O1104" s="4">
        <f t="shared" si="531"/>
        <v>1</v>
      </c>
      <c r="P1104" s="4">
        <f t="shared" si="532"/>
        <v>2</v>
      </c>
      <c r="Q1104" s="4">
        <f t="shared" si="533"/>
        <v>8.2940496401020276</v>
      </c>
      <c r="R1104" s="4">
        <f t="shared" si="534"/>
        <v>4.8903491282217537</v>
      </c>
      <c r="S1104" s="4">
        <f t="shared" si="535"/>
        <v>45.7</v>
      </c>
      <c r="T1104" s="4">
        <f t="shared" si="536"/>
        <v>1</v>
      </c>
      <c r="U1104" s="4">
        <f t="shared" si="537"/>
        <v>8.2940496401020276</v>
      </c>
      <c r="V1104" s="4">
        <f t="shared" si="538"/>
        <v>4.8903491282217537</v>
      </c>
      <c r="W1104" s="4">
        <f t="shared" si="539"/>
        <v>45.7</v>
      </c>
      <c r="X1104" s="4">
        <f t="shared" si="540"/>
        <v>2</v>
      </c>
      <c r="Y1104" s="4">
        <f t="shared" si="541"/>
        <v>8.2940496401020276</v>
      </c>
      <c r="Z1104" s="4">
        <f t="shared" si="542"/>
        <v>4.8903491282217537</v>
      </c>
      <c r="AA1104" s="4">
        <f t="shared" si="543"/>
        <v>45.7</v>
      </c>
      <c r="AB1104" s="4">
        <f t="shared" si="544"/>
        <v>0</v>
      </c>
      <c r="AC1104" s="4">
        <f t="shared" si="545"/>
        <v>1</v>
      </c>
      <c r="AD1104" s="4">
        <f t="shared" si="546"/>
        <v>8.2940496401020276</v>
      </c>
      <c r="AE1104" s="4">
        <f t="shared" si="547"/>
        <v>4.8903491282217537</v>
      </c>
      <c r="AF1104" s="4">
        <f t="shared" si="548"/>
        <v>45.7</v>
      </c>
      <c r="AG1104" s="4">
        <f t="shared" si="549"/>
        <v>8.2940496401020276</v>
      </c>
      <c r="AH1104" s="4">
        <f t="shared" si="550"/>
        <v>0</v>
      </c>
      <c r="AI1104" s="4">
        <f t="shared" si="551"/>
        <v>1</v>
      </c>
      <c r="AJ1104" s="4">
        <f t="shared" si="552"/>
        <v>8.2940496401020276</v>
      </c>
      <c r="AK1104" s="4">
        <f t="shared" si="553"/>
        <v>4.8903491282217537</v>
      </c>
      <c r="AL1104" s="4">
        <f t="shared" si="554"/>
        <v>1</v>
      </c>
      <c r="AM1104" s="4">
        <f>CER!$C$7+CER!$C$8*J1104+CER!$C$9*K1104+CER!$C$10*L1104+CER!$C$11*M1104</f>
        <v>5.4067037666023605</v>
      </c>
      <c r="AN1104" s="4">
        <f t="shared" si="555"/>
        <v>222.89565933459352</v>
      </c>
      <c r="AO1104" s="4">
        <f t="shared" si="556"/>
        <v>-0.27826114084857512</v>
      </c>
      <c r="AP1104" s="4">
        <f>Alternatives!$F$25+Alternatives!$F$26*J1104+Alternatives!$F$27*K1104+Alternatives!$F$28*G1104+Alternatives!$F$29*O1104</f>
        <v>4.4628494026495007</v>
      </c>
      <c r="AQ1104" s="4">
        <f t="shared" si="557"/>
        <v>0.6655932231042847</v>
      </c>
    </row>
    <row r="1105" spans="1:43" x14ac:dyDescent="0.35">
      <c r="A1105" s="2" t="s">
        <v>955</v>
      </c>
      <c r="B1105" s="2" t="s">
        <v>387</v>
      </c>
      <c r="C1105" s="2" t="s">
        <v>34</v>
      </c>
      <c r="D1105" s="2">
        <v>165.5635</v>
      </c>
      <c r="E1105" s="2">
        <v>4000</v>
      </c>
      <c r="F1105" s="2">
        <v>201</v>
      </c>
      <c r="G1105" s="2">
        <v>45.7</v>
      </c>
      <c r="H1105" s="2" t="s">
        <v>881</v>
      </c>
      <c r="I1105" s="4">
        <f t="shared" si="527"/>
        <v>5.1093548070291481</v>
      </c>
      <c r="J1105" s="4">
        <f t="shared" si="528"/>
        <v>8.2940496401020276</v>
      </c>
      <c r="K1105" s="4">
        <f t="shared" si="529"/>
        <v>5.3033049080590757</v>
      </c>
      <c r="L1105" s="2">
        <v>0</v>
      </c>
      <c r="M1105" s="2">
        <v>1</v>
      </c>
      <c r="N1105" s="4">
        <f t="shared" si="530"/>
        <v>45.7</v>
      </c>
      <c r="O1105" s="4">
        <f t="shared" si="531"/>
        <v>1</v>
      </c>
      <c r="P1105" s="4">
        <f t="shared" si="532"/>
        <v>2</v>
      </c>
      <c r="Q1105" s="4">
        <f t="shared" si="533"/>
        <v>8.2940496401020276</v>
      </c>
      <c r="R1105" s="4">
        <f t="shared" si="534"/>
        <v>5.3033049080590757</v>
      </c>
      <c r="S1105" s="4">
        <f t="shared" si="535"/>
        <v>45.7</v>
      </c>
      <c r="T1105" s="4">
        <f t="shared" si="536"/>
        <v>1</v>
      </c>
      <c r="U1105" s="4">
        <f t="shared" si="537"/>
        <v>8.2940496401020276</v>
      </c>
      <c r="V1105" s="4">
        <f t="shared" si="538"/>
        <v>5.3033049080590757</v>
      </c>
      <c r="W1105" s="4">
        <f t="shared" si="539"/>
        <v>45.7</v>
      </c>
      <c r="X1105" s="4">
        <f t="shared" si="540"/>
        <v>2</v>
      </c>
      <c r="Y1105" s="4">
        <f t="shared" si="541"/>
        <v>8.2940496401020276</v>
      </c>
      <c r="Z1105" s="4">
        <f t="shared" si="542"/>
        <v>5.3033049080590757</v>
      </c>
      <c r="AA1105" s="4">
        <f t="shared" si="543"/>
        <v>45.7</v>
      </c>
      <c r="AB1105" s="4">
        <f t="shared" si="544"/>
        <v>0</v>
      </c>
      <c r="AC1105" s="4">
        <f t="shared" si="545"/>
        <v>1</v>
      </c>
      <c r="AD1105" s="4">
        <f t="shared" si="546"/>
        <v>8.2940496401020276</v>
      </c>
      <c r="AE1105" s="4">
        <f t="shared" si="547"/>
        <v>5.3033049080590757</v>
      </c>
      <c r="AF1105" s="4">
        <f t="shared" si="548"/>
        <v>45.7</v>
      </c>
      <c r="AG1105" s="4">
        <f t="shared" si="549"/>
        <v>8.2940496401020276</v>
      </c>
      <c r="AH1105" s="4">
        <f t="shared" si="550"/>
        <v>0</v>
      </c>
      <c r="AI1105" s="4">
        <f t="shared" si="551"/>
        <v>1</v>
      </c>
      <c r="AJ1105" s="4">
        <f t="shared" si="552"/>
        <v>8.2940496401020276</v>
      </c>
      <c r="AK1105" s="4">
        <f t="shared" si="553"/>
        <v>5.3033049080590757</v>
      </c>
      <c r="AL1105" s="4">
        <f t="shared" si="554"/>
        <v>1</v>
      </c>
      <c r="AM1105" s="4">
        <f>CER!$C$7+CER!$C$8*J1105+CER!$C$9*K1105+CER!$C$10*L1105+CER!$C$11*M1105</f>
        <v>5.2543463275261724</v>
      </c>
      <c r="AN1105" s="4">
        <f t="shared" si="555"/>
        <v>191.39633443940136</v>
      </c>
      <c r="AO1105" s="4">
        <f t="shared" si="556"/>
        <v>-0.14499152049702424</v>
      </c>
      <c r="AP1105" s="4">
        <f>Alternatives!$F$25+Alternatives!$F$26*J1105+Alternatives!$F$27*K1105+Alternatives!$F$28*G1105+Alternatives!$F$29*O1105</f>
        <v>4.3529577533288473</v>
      </c>
      <c r="AQ1105" s="4">
        <f t="shared" si="557"/>
        <v>0.75639705370030086</v>
      </c>
    </row>
    <row r="1106" spans="1:43" x14ac:dyDescent="0.35">
      <c r="A1106" s="2" t="s">
        <v>956</v>
      </c>
      <c r="B1106" s="2" t="s">
        <v>387</v>
      </c>
      <c r="C1106" s="2" t="s">
        <v>34</v>
      </c>
      <c r="D1106" s="2">
        <v>191.41249999999999</v>
      </c>
      <c r="E1106" s="2">
        <v>4500</v>
      </c>
      <c r="F1106" s="2">
        <v>225</v>
      </c>
      <c r="G1106" s="2">
        <v>52.1</v>
      </c>
      <c r="H1106" s="2" t="s">
        <v>881</v>
      </c>
      <c r="I1106" s="4">
        <f t="shared" si="527"/>
        <v>5.2544307851413263</v>
      </c>
      <c r="J1106" s="4">
        <f t="shared" si="528"/>
        <v>8.4118326757584114</v>
      </c>
      <c r="K1106" s="4">
        <f t="shared" si="529"/>
        <v>5.4161004022044201</v>
      </c>
      <c r="L1106" s="2">
        <v>0</v>
      </c>
      <c r="M1106" s="2">
        <v>1</v>
      </c>
      <c r="N1106" s="4">
        <f t="shared" si="530"/>
        <v>52.1</v>
      </c>
      <c r="O1106" s="4">
        <f t="shared" si="531"/>
        <v>1</v>
      </c>
      <c r="P1106" s="4">
        <f t="shared" si="532"/>
        <v>2</v>
      </c>
      <c r="Q1106" s="4">
        <f t="shared" si="533"/>
        <v>8.4118326757584114</v>
      </c>
      <c r="R1106" s="4">
        <f t="shared" si="534"/>
        <v>5.4161004022044201</v>
      </c>
      <c r="S1106" s="4">
        <f t="shared" si="535"/>
        <v>52.1</v>
      </c>
      <c r="T1106" s="4">
        <f t="shared" si="536"/>
        <v>1</v>
      </c>
      <c r="U1106" s="4">
        <f t="shared" si="537"/>
        <v>8.4118326757584114</v>
      </c>
      <c r="V1106" s="4">
        <f t="shared" si="538"/>
        <v>5.4161004022044201</v>
      </c>
      <c r="W1106" s="4">
        <f t="shared" si="539"/>
        <v>52.1</v>
      </c>
      <c r="X1106" s="4">
        <f t="shared" si="540"/>
        <v>2</v>
      </c>
      <c r="Y1106" s="4">
        <f t="shared" si="541"/>
        <v>8.4118326757584114</v>
      </c>
      <c r="Z1106" s="4">
        <f t="shared" si="542"/>
        <v>5.4161004022044201</v>
      </c>
      <c r="AA1106" s="4">
        <f t="shared" si="543"/>
        <v>52.1</v>
      </c>
      <c r="AB1106" s="4">
        <f t="shared" si="544"/>
        <v>0</v>
      </c>
      <c r="AC1106" s="4">
        <f t="shared" si="545"/>
        <v>1</v>
      </c>
      <c r="AD1106" s="4">
        <f t="shared" si="546"/>
        <v>8.4118326757584114</v>
      </c>
      <c r="AE1106" s="4">
        <f t="shared" si="547"/>
        <v>5.4161004022044201</v>
      </c>
      <c r="AF1106" s="4">
        <f t="shared" si="548"/>
        <v>52.1</v>
      </c>
      <c r="AG1106" s="4">
        <f t="shared" si="549"/>
        <v>8.4118326757584114</v>
      </c>
      <c r="AH1106" s="4">
        <f t="shared" si="550"/>
        <v>0</v>
      </c>
      <c r="AI1106" s="4">
        <f t="shared" si="551"/>
        <v>1</v>
      </c>
      <c r="AJ1106" s="4">
        <f t="shared" si="552"/>
        <v>8.4118326757584114</v>
      </c>
      <c r="AK1106" s="4">
        <f t="shared" si="553"/>
        <v>5.4161004022044201</v>
      </c>
      <c r="AL1106" s="4">
        <f t="shared" si="554"/>
        <v>1</v>
      </c>
      <c r="AM1106" s="4">
        <f>CER!$C$7+CER!$C$8*J1106+CER!$C$9*K1106+CER!$C$10*L1106+CER!$C$11*M1106</f>
        <v>5.1594096846298818</v>
      </c>
      <c r="AN1106" s="4">
        <f t="shared" si="555"/>
        <v>174.06167398980716</v>
      </c>
      <c r="AO1106" s="4">
        <f t="shared" si="556"/>
        <v>9.5021100511444523E-2</v>
      </c>
      <c r="AP1106" s="4">
        <f>Alternatives!$F$25+Alternatives!$F$26*J1106+Alternatives!$F$27*K1106+Alternatives!$F$28*G1106+Alternatives!$F$29*O1106</f>
        <v>4.2832847848849971</v>
      </c>
      <c r="AQ1106" s="4">
        <f t="shared" si="557"/>
        <v>0.97114600025632924</v>
      </c>
    </row>
    <row r="1107" spans="1:43" x14ac:dyDescent="0.35">
      <c r="A1107" s="2" t="s">
        <v>957</v>
      </c>
      <c r="B1107" s="2" t="s">
        <v>387</v>
      </c>
      <c r="C1107" s="2" t="s">
        <v>34</v>
      </c>
      <c r="D1107" s="2">
        <v>161.73490000000001</v>
      </c>
      <c r="E1107" s="2">
        <v>4500</v>
      </c>
      <c r="F1107" s="2">
        <v>225</v>
      </c>
      <c r="G1107" s="2">
        <v>51.9</v>
      </c>
      <c r="H1107" s="2" t="s">
        <v>881</v>
      </c>
      <c r="I1107" s="4">
        <f t="shared" si="527"/>
        <v>5.0859585750819924</v>
      </c>
      <c r="J1107" s="4">
        <f t="shared" si="528"/>
        <v>8.4118326757584114</v>
      </c>
      <c r="K1107" s="4">
        <f t="shared" si="529"/>
        <v>5.4161004022044201</v>
      </c>
      <c r="L1107" s="2">
        <v>0</v>
      </c>
      <c r="M1107" s="2">
        <v>1</v>
      </c>
      <c r="N1107" s="4">
        <f t="shared" si="530"/>
        <v>51.9</v>
      </c>
      <c r="O1107" s="4">
        <f t="shared" si="531"/>
        <v>1</v>
      </c>
      <c r="P1107" s="4">
        <f t="shared" si="532"/>
        <v>2</v>
      </c>
      <c r="Q1107" s="4">
        <f t="shared" si="533"/>
        <v>8.4118326757584114</v>
      </c>
      <c r="R1107" s="4">
        <f t="shared" si="534"/>
        <v>5.4161004022044201</v>
      </c>
      <c r="S1107" s="4">
        <f t="shared" si="535"/>
        <v>51.9</v>
      </c>
      <c r="T1107" s="4">
        <f t="shared" si="536"/>
        <v>1</v>
      </c>
      <c r="U1107" s="4">
        <f t="shared" si="537"/>
        <v>8.4118326757584114</v>
      </c>
      <c r="V1107" s="4">
        <f t="shared" si="538"/>
        <v>5.4161004022044201</v>
      </c>
      <c r="W1107" s="4">
        <f t="shared" si="539"/>
        <v>51.9</v>
      </c>
      <c r="X1107" s="4">
        <f t="shared" si="540"/>
        <v>2</v>
      </c>
      <c r="Y1107" s="4">
        <f t="shared" si="541"/>
        <v>8.4118326757584114</v>
      </c>
      <c r="Z1107" s="4">
        <f t="shared" si="542"/>
        <v>5.4161004022044201</v>
      </c>
      <c r="AA1107" s="4">
        <f t="shared" si="543"/>
        <v>51.9</v>
      </c>
      <c r="AB1107" s="4">
        <f t="shared" si="544"/>
        <v>0</v>
      </c>
      <c r="AC1107" s="4">
        <f t="shared" si="545"/>
        <v>1</v>
      </c>
      <c r="AD1107" s="4">
        <f t="shared" si="546"/>
        <v>8.4118326757584114</v>
      </c>
      <c r="AE1107" s="4">
        <f t="shared" si="547"/>
        <v>5.4161004022044201</v>
      </c>
      <c r="AF1107" s="4">
        <f t="shared" si="548"/>
        <v>51.9</v>
      </c>
      <c r="AG1107" s="4">
        <f t="shared" si="549"/>
        <v>8.4118326757584114</v>
      </c>
      <c r="AH1107" s="4">
        <f t="shared" si="550"/>
        <v>0</v>
      </c>
      <c r="AI1107" s="4">
        <f t="shared" si="551"/>
        <v>1</v>
      </c>
      <c r="AJ1107" s="4">
        <f t="shared" si="552"/>
        <v>8.4118326757584114</v>
      </c>
      <c r="AK1107" s="4">
        <f t="shared" si="553"/>
        <v>5.4161004022044201</v>
      </c>
      <c r="AL1107" s="4">
        <f t="shared" si="554"/>
        <v>1</v>
      </c>
      <c r="AM1107" s="4">
        <f>CER!$C$7+CER!$C$8*J1107+CER!$C$9*K1107+CER!$C$10*L1107+CER!$C$11*M1107</f>
        <v>5.1594096846298818</v>
      </c>
      <c r="AN1107" s="4">
        <f t="shared" si="555"/>
        <v>174.06167398980716</v>
      </c>
      <c r="AO1107" s="4">
        <f t="shared" si="556"/>
        <v>-7.3451109547889359E-2</v>
      </c>
      <c r="AP1107" s="4">
        <f>Alternatives!$F$25+Alternatives!$F$26*J1107+Alternatives!$F$27*K1107+Alternatives!$F$28*G1107+Alternatives!$F$29*O1107</f>
        <v>4.2858862477934423</v>
      </c>
      <c r="AQ1107" s="4">
        <f t="shared" si="557"/>
        <v>0.80007232728855016</v>
      </c>
    </row>
    <row r="1108" spans="1:43" x14ac:dyDescent="0.35">
      <c r="A1108" s="2" t="s">
        <v>958</v>
      </c>
      <c r="B1108" s="2" t="s">
        <v>387</v>
      </c>
      <c r="C1108" s="2" t="s">
        <v>34</v>
      </c>
      <c r="D1108" s="2">
        <v>176.8451</v>
      </c>
      <c r="E1108" s="2">
        <v>4500</v>
      </c>
      <c r="F1108" s="2">
        <v>321</v>
      </c>
      <c r="G1108" s="2">
        <v>52.1</v>
      </c>
      <c r="H1108" s="2" t="s">
        <v>883</v>
      </c>
      <c r="I1108" s="4">
        <f t="shared" si="527"/>
        <v>5.1752742081712313</v>
      </c>
      <c r="J1108" s="4">
        <f t="shared" si="528"/>
        <v>8.4118326757584114</v>
      </c>
      <c r="K1108" s="4">
        <f t="shared" si="529"/>
        <v>5.7714411231300158</v>
      </c>
      <c r="L1108" s="2">
        <v>0</v>
      </c>
      <c r="M1108" s="2">
        <v>1</v>
      </c>
      <c r="N1108" s="4">
        <f t="shared" si="530"/>
        <v>52.1</v>
      </c>
      <c r="O1108" s="4">
        <f t="shared" si="531"/>
        <v>1</v>
      </c>
      <c r="P1108" s="4">
        <f t="shared" si="532"/>
        <v>2</v>
      </c>
      <c r="Q1108" s="4">
        <f t="shared" si="533"/>
        <v>8.4118326757584114</v>
      </c>
      <c r="R1108" s="4">
        <f t="shared" si="534"/>
        <v>5.7714411231300158</v>
      </c>
      <c r="S1108" s="4">
        <f t="shared" si="535"/>
        <v>52.1</v>
      </c>
      <c r="T1108" s="4">
        <f t="shared" si="536"/>
        <v>1</v>
      </c>
      <c r="U1108" s="4">
        <f t="shared" si="537"/>
        <v>8.4118326757584114</v>
      </c>
      <c r="V1108" s="4">
        <f t="shared" si="538"/>
        <v>5.7714411231300158</v>
      </c>
      <c r="W1108" s="4">
        <f t="shared" si="539"/>
        <v>52.1</v>
      </c>
      <c r="X1108" s="4">
        <f t="shared" si="540"/>
        <v>2</v>
      </c>
      <c r="Y1108" s="4">
        <f t="shared" si="541"/>
        <v>8.4118326757584114</v>
      </c>
      <c r="Z1108" s="4">
        <f t="shared" si="542"/>
        <v>5.7714411231300158</v>
      </c>
      <c r="AA1108" s="4">
        <f t="shared" si="543"/>
        <v>52.1</v>
      </c>
      <c r="AB1108" s="4">
        <f t="shared" si="544"/>
        <v>0</v>
      </c>
      <c r="AC1108" s="4">
        <f t="shared" si="545"/>
        <v>1</v>
      </c>
      <c r="AD1108" s="4">
        <f t="shared" si="546"/>
        <v>8.4118326757584114</v>
      </c>
      <c r="AE1108" s="4">
        <f t="shared" si="547"/>
        <v>5.7714411231300158</v>
      </c>
      <c r="AF1108" s="4">
        <f t="shared" si="548"/>
        <v>52.1</v>
      </c>
      <c r="AG1108" s="4">
        <f t="shared" si="549"/>
        <v>8.4118326757584114</v>
      </c>
      <c r="AH1108" s="4">
        <f t="shared" si="550"/>
        <v>0</v>
      </c>
      <c r="AI1108" s="4">
        <f t="shared" si="551"/>
        <v>1</v>
      </c>
      <c r="AJ1108" s="4">
        <f t="shared" si="552"/>
        <v>8.4118326757584114</v>
      </c>
      <c r="AK1108" s="4">
        <f t="shared" si="553"/>
        <v>5.7714411231300158</v>
      </c>
      <c r="AL1108" s="4">
        <f t="shared" si="554"/>
        <v>1</v>
      </c>
      <c r="AM1108" s="4">
        <f>CER!$C$7+CER!$C$8*J1108+CER!$C$9*K1108+CER!$C$10*L1108+CER!$C$11*M1108</f>
        <v>5.0283089593632742</v>
      </c>
      <c r="AN1108" s="4">
        <f t="shared" si="555"/>
        <v>152.67461529827568</v>
      </c>
      <c r="AO1108" s="4">
        <f t="shared" si="556"/>
        <v>0.14696524880795714</v>
      </c>
      <c r="AP1108" s="4">
        <f>Alternatives!$F$25+Alternatives!$F$26*J1108+Alternatives!$F$27*K1108+Alternatives!$F$28*G1108+Alternatives!$F$29*O1108</f>
        <v>4.188725077042462</v>
      </c>
      <c r="AQ1108" s="4">
        <f t="shared" si="557"/>
        <v>0.9865491311287693</v>
      </c>
    </row>
    <row r="1109" spans="1:43" x14ac:dyDescent="0.35">
      <c r="A1109" s="2" t="s">
        <v>959</v>
      </c>
      <c r="B1109" s="2" t="s">
        <v>387</v>
      </c>
      <c r="C1109" s="2" t="s">
        <v>34</v>
      </c>
      <c r="D1109" s="2">
        <v>148.06180000000001</v>
      </c>
      <c r="E1109" s="2">
        <v>4500</v>
      </c>
      <c r="F1109" s="2">
        <v>321</v>
      </c>
      <c r="G1109" s="2">
        <v>51.9</v>
      </c>
      <c r="H1109" s="2" t="s">
        <v>883</v>
      </c>
      <c r="I1109" s="4">
        <f t="shared" si="527"/>
        <v>4.997629754174608</v>
      </c>
      <c r="J1109" s="4">
        <f t="shared" si="528"/>
        <v>8.4118326757584114</v>
      </c>
      <c r="K1109" s="4">
        <f t="shared" si="529"/>
        <v>5.7714411231300158</v>
      </c>
      <c r="L1109" s="2">
        <v>0</v>
      </c>
      <c r="M1109" s="2">
        <v>1</v>
      </c>
      <c r="N1109" s="4">
        <f t="shared" si="530"/>
        <v>51.9</v>
      </c>
      <c r="O1109" s="4">
        <f t="shared" si="531"/>
        <v>1</v>
      </c>
      <c r="P1109" s="4">
        <f t="shared" si="532"/>
        <v>2</v>
      </c>
      <c r="Q1109" s="4">
        <f t="shared" si="533"/>
        <v>8.4118326757584114</v>
      </c>
      <c r="R1109" s="4">
        <f t="shared" si="534"/>
        <v>5.7714411231300158</v>
      </c>
      <c r="S1109" s="4">
        <f t="shared" si="535"/>
        <v>51.9</v>
      </c>
      <c r="T1109" s="4">
        <f t="shared" si="536"/>
        <v>1</v>
      </c>
      <c r="U1109" s="4">
        <f t="shared" si="537"/>
        <v>8.4118326757584114</v>
      </c>
      <c r="V1109" s="4">
        <f t="shared" si="538"/>
        <v>5.7714411231300158</v>
      </c>
      <c r="W1109" s="4">
        <f t="shared" si="539"/>
        <v>51.9</v>
      </c>
      <c r="X1109" s="4">
        <f t="shared" si="540"/>
        <v>2</v>
      </c>
      <c r="Y1109" s="4">
        <f t="shared" si="541"/>
        <v>8.4118326757584114</v>
      </c>
      <c r="Z1109" s="4">
        <f t="shared" si="542"/>
        <v>5.7714411231300158</v>
      </c>
      <c r="AA1109" s="4">
        <f t="shared" si="543"/>
        <v>51.9</v>
      </c>
      <c r="AB1109" s="4">
        <f t="shared" si="544"/>
        <v>0</v>
      </c>
      <c r="AC1109" s="4">
        <f t="shared" si="545"/>
        <v>1</v>
      </c>
      <c r="AD1109" s="4">
        <f t="shared" si="546"/>
        <v>8.4118326757584114</v>
      </c>
      <c r="AE1109" s="4">
        <f t="shared" si="547"/>
        <v>5.7714411231300158</v>
      </c>
      <c r="AF1109" s="4">
        <f t="shared" si="548"/>
        <v>51.9</v>
      </c>
      <c r="AG1109" s="4">
        <f t="shared" si="549"/>
        <v>8.4118326757584114</v>
      </c>
      <c r="AH1109" s="4">
        <f t="shared" si="550"/>
        <v>0</v>
      </c>
      <c r="AI1109" s="4">
        <f t="shared" si="551"/>
        <v>1</v>
      </c>
      <c r="AJ1109" s="4">
        <f t="shared" si="552"/>
        <v>8.4118326757584114</v>
      </c>
      <c r="AK1109" s="4">
        <f t="shared" si="553"/>
        <v>5.7714411231300158</v>
      </c>
      <c r="AL1109" s="4">
        <f t="shared" si="554"/>
        <v>1</v>
      </c>
      <c r="AM1109" s="4">
        <f>CER!$C$7+CER!$C$8*J1109+CER!$C$9*K1109+CER!$C$10*L1109+CER!$C$11*M1109</f>
        <v>5.0283089593632742</v>
      </c>
      <c r="AN1109" s="4">
        <f t="shared" si="555"/>
        <v>152.67461529827568</v>
      </c>
      <c r="AO1109" s="4">
        <f t="shared" si="556"/>
        <v>-3.0679205188666181E-2</v>
      </c>
      <c r="AP1109" s="4">
        <f>Alternatives!$F$25+Alternatives!$F$26*J1109+Alternatives!$F$27*K1109+Alternatives!$F$28*G1109+Alternatives!$F$29*O1109</f>
        <v>4.1913265399509072</v>
      </c>
      <c r="AQ1109" s="4">
        <f t="shared" si="557"/>
        <v>0.80630321422370077</v>
      </c>
    </row>
    <row r="1110" spans="1:43" x14ac:dyDescent="0.35">
      <c r="A1110" s="2" t="s">
        <v>960</v>
      </c>
      <c r="B1110" s="2" t="s">
        <v>387</v>
      </c>
      <c r="C1110" s="2" t="s">
        <v>34</v>
      </c>
      <c r="D1110" s="2">
        <v>198.58850000000001</v>
      </c>
      <c r="E1110" s="2">
        <v>4000</v>
      </c>
      <c r="F1110" s="2">
        <v>149</v>
      </c>
      <c r="G1110" s="2">
        <v>52.1</v>
      </c>
      <c r="H1110" s="2" t="s">
        <v>883</v>
      </c>
      <c r="I1110" s="4">
        <f t="shared" si="527"/>
        <v>5.291234844597132</v>
      </c>
      <c r="J1110" s="4">
        <f t="shared" si="528"/>
        <v>8.2940496401020276</v>
      </c>
      <c r="K1110" s="4">
        <f t="shared" si="529"/>
        <v>5.0039463059454592</v>
      </c>
      <c r="L1110" s="2">
        <v>0</v>
      </c>
      <c r="M1110" s="2">
        <v>1</v>
      </c>
      <c r="N1110" s="4">
        <f t="shared" si="530"/>
        <v>52.1</v>
      </c>
      <c r="O1110" s="4">
        <f t="shared" si="531"/>
        <v>1</v>
      </c>
      <c r="P1110" s="4">
        <f t="shared" si="532"/>
        <v>2</v>
      </c>
      <c r="Q1110" s="4">
        <f t="shared" si="533"/>
        <v>8.2940496401020276</v>
      </c>
      <c r="R1110" s="4">
        <f t="shared" si="534"/>
        <v>5.0039463059454592</v>
      </c>
      <c r="S1110" s="4">
        <f t="shared" si="535"/>
        <v>52.1</v>
      </c>
      <c r="T1110" s="4">
        <f t="shared" si="536"/>
        <v>1</v>
      </c>
      <c r="U1110" s="4">
        <f t="shared" si="537"/>
        <v>8.2940496401020276</v>
      </c>
      <c r="V1110" s="4">
        <f t="shared" si="538"/>
        <v>5.0039463059454592</v>
      </c>
      <c r="W1110" s="4">
        <f t="shared" si="539"/>
        <v>52.1</v>
      </c>
      <c r="X1110" s="4">
        <f t="shared" si="540"/>
        <v>2</v>
      </c>
      <c r="Y1110" s="4">
        <f t="shared" si="541"/>
        <v>8.2940496401020276</v>
      </c>
      <c r="Z1110" s="4">
        <f t="shared" si="542"/>
        <v>5.0039463059454592</v>
      </c>
      <c r="AA1110" s="4">
        <f t="shared" si="543"/>
        <v>52.1</v>
      </c>
      <c r="AB1110" s="4">
        <f t="shared" si="544"/>
        <v>0</v>
      </c>
      <c r="AC1110" s="4">
        <f t="shared" si="545"/>
        <v>1</v>
      </c>
      <c r="AD1110" s="4">
        <f t="shared" si="546"/>
        <v>8.2940496401020276</v>
      </c>
      <c r="AE1110" s="4">
        <f t="shared" si="547"/>
        <v>5.0039463059454592</v>
      </c>
      <c r="AF1110" s="4">
        <f t="shared" si="548"/>
        <v>52.1</v>
      </c>
      <c r="AG1110" s="4">
        <f t="shared" si="549"/>
        <v>8.2940496401020276</v>
      </c>
      <c r="AH1110" s="4">
        <f t="shared" si="550"/>
        <v>0</v>
      </c>
      <c r="AI1110" s="4">
        <f t="shared" si="551"/>
        <v>1</v>
      </c>
      <c r="AJ1110" s="4">
        <f t="shared" si="552"/>
        <v>8.2940496401020276</v>
      </c>
      <c r="AK1110" s="4">
        <f t="shared" si="553"/>
        <v>5.0039463059454592</v>
      </c>
      <c r="AL1110" s="4">
        <f t="shared" si="554"/>
        <v>1</v>
      </c>
      <c r="AM1110" s="4">
        <f>CER!$C$7+CER!$C$8*J1110+CER!$C$9*K1110+CER!$C$10*L1110+CER!$C$11*M1110</f>
        <v>5.3647928019681217</v>
      </c>
      <c r="AN1110" s="4">
        <f t="shared" si="555"/>
        <v>213.74694214670279</v>
      </c>
      <c r="AO1110" s="4">
        <f t="shared" si="556"/>
        <v>-7.3557957370989691E-2</v>
      </c>
      <c r="AP1110" s="4">
        <f>Alternatives!$F$25+Alternatives!$F$26*J1110+Alternatives!$F$27*K1110+Alternatives!$F$28*G1110+Alternatives!$F$29*O1110</f>
        <v>4.3493732482605472</v>
      </c>
      <c r="AQ1110" s="4">
        <f t="shared" si="557"/>
        <v>0.94186159633658484</v>
      </c>
    </row>
    <row r="1111" spans="1:43" x14ac:dyDescent="0.35">
      <c r="A1111" s="2" t="s">
        <v>961</v>
      </c>
      <c r="B1111" s="2" t="s">
        <v>387</v>
      </c>
      <c r="C1111" s="2" t="s">
        <v>34</v>
      </c>
      <c r="D1111" s="2">
        <v>143.68889999999999</v>
      </c>
      <c r="E1111" s="2">
        <v>5000</v>
      </c>
      <c r="F1111" s="2">
        <v>182</v>
      </c>
      <c r="G1111" s="2">
        <v>52.9</v>
      </c>
      <c r="H1111" s="2" t="s">
        <v>883</v>
      </c>
      <c r="I1111" s="4">
        <f t="shared" si="527"/>
        <v>4.9676505458426155</v>
      </c>
      <c r="J1111" s="4">
        <f t="shared" si="528"/>
        <v>8.5171931914162382</v>
      </c>
      <c r="K1111" s="4">
        <f t="shared" si="529"/>
        <v>5.2040066870767951</v>
      </c>
      <c r="L1111" s="2">
        <v>0</v>
      </c>
      <c r="M1111" s="2">
        <v>1</v>
      </c>
      <c r="N1111" s="4">
        <f t="shared" si="530"/>
        <v>52.9</v>
      </c>
      <c r="O1111" s="4">
        <f t="shared" si="531"/>
        <v>1</v>
      </c>
      <c r="P1111" s="4">
        <f t="shared" si="532"/>
        <v>2</v>
      </c>
      <c r="Q1111" s="4">
        <f t="shared" si="533"/>
        <v>8.5171931914162382</v>
      </c>
      <c r="R1111" s="4">
        <f t="shared" si="534"/>
        <v>5.2040066870767951</v>
      </c>
      <c r="S1111" s="4">
        <f t="shared" si="535"/>
        <v>52.9</v>
      </c>
      <c r="T1111" s="4">
        <f t="shared" si="536"/>
        <v>1</v>
      </c>
      <c r="U1111" s="4">
        <f t="shared" si="537"/>
        <v>8.5171931914162382</v>
      </c>
      <c r="V1111" s="4">
        <f t="shared" si="538"/>
        <v>5.2040066870767951</v>
      </c>
      <c r="W1111" s="4">
        <f t="shared" si="539"/>
        <v>52.9</v>
      </c>
      <c r="X1111" s="4">
        <f t="shared" si="540"/>
        <v>2</v>
      </c>
      <c r="Y1111" s="4">
        <f t="shared" si="541"/>
        <v>8.5171931914162382</v>
      </c>
      <c r="Z1111" s="4">
        <f t="shared" si="542"/>
        <v>5.2040066870767951</v>
      </c>
      <c r="AA1111" s="4">
        <f t="shared" si="543"/>
        <v>52.9</v>
      </c>
      <c r="AB1111" s="4">
        <f t="shared" si="544"/>
        <v>0</v>
      </c>
      <c r="AC1111" s="4">
        <f t="shared" si="545"/>
        <v>1</v>
      </c>
      <c r="AD1111" s="4">
        <f t="shared" si="546"/>
        <v>8.5171931914162382</v>
      </c>
      <c r="AE1111" s="4">
        <f t="shared" si="547"/>
        <v>5.2040066870767951</v>
      </c>
      <c r="AF1111" s="4">
        <f t="shared" si="548"/>
        <v>52.9</v>
      </c>
      <c r="AG1111" s="4">
        <f t="shared" si="549"/>
        <v>8.5171931914162382</v>
      </c>
      <c r="AH1111" s="4">
        <f t="shared" si="550"/>
        <v>0</v>
      </c>
      <c r="AI1111" s="4">
        <f t="shared" si="551"/>
        <v>1</v>
      </c>
      <c r="AJ1111" s="4">
        <f t="shared" si="552"/>
        <v>8.5171931914162382</v>
      </c>
      <c r="AK1111" s="4">
        <f t="shared" si="553"/>
        <v>5.2040066870767951</v>
      </c>
      <c r="AL1111" s="4">
        <f t="shared" si="554"/>
        <v>1</v>
      </c>
      <c r="AM1111" s="4">
        <f>CER!$C$7+CER!$C$8*J1111+CER!$C$9*K1111+CER!$C$10*L1111+CER!$C$11*M1111</f>
        <v>5.1899626612902754</v>
      </c>
      <c r="AN1111" s="4">
        <f t="shared" si="555"/>
        <v>179.46185193273391</v>
      </c>
      <c r="AO1111" s="4">
        <f t="shared" si="556"/>
        <v>-0.22231211544765994</v>
      </c>
      <c r="AP1111" s="4">
        <f>Alternatives!$F$25+Alternatives!$F$26*J1111+Alternatives!$F$27*K1111+Alternatives!$F$28*G1111+Alternatives!$F$29*O1111</f>
        <v>4.3683116344674167</v>
      </c>
      <c r="AQ1111" s="4">
        <f t="shared" si="557"/>
        <v>0.59933891137519879</v>
      </c>
    </row>
    <row r="1112" spans="1:43" x14ac:dyDescent="0.35">
      <c r="A1112" s="2" t="s">
        <v>962</v>
      </c>
      <c r="B1112" s="2" t="s">
        <v>387</v>
      </c>
      <c r="C1112" s="2" t="s">
        <v>34</v>
      </c>
      <c r="D1112" s="2">
        <v>167.1626</v>
      </c>
      <c r="E1112" s="2">
        <v>4500</v>
      </c>
      <c r="F1112" s="2">
        <v>225</v>
      </c>
      <c r="G1112" s="2">
        <v>51.1</v>
      </c>
      <c r="H1112" s="2" t="s">
        <v>883</v>
      </c>
      <c r="I1112" s="4">
        <f t="shared" si="527"/>
        <v>5.1189669914190308</v>
      </c>
      <c r="J1112" s="4">
        <f t="shared" si="528"/>
        <v>8.4118326757584114</v>
      </c>
      <c r="K1112" s="4">
        <f t="shared" si="529"/>
        <v>5.4161004022044201</v>
      </c>
      <c r="L1112" s="2">
        <v>0</v>
      </c>
      <c r="M1112" s="2">
        <v>1</v>
      </c>
      <c r="N1112" s="4">
        <f t="shared" si="530"/>
        <v>51.1</v>
      </c>
      <c r="O1112" s="4">
        <f t="shared" si="531"/>
        <v>1</v>
      </c>
      <c r="P1112" s="4">
        <f t="shared" si="532"/>
        <v>2</v>
      </c>
      <c r="Q1112" s="4">
        <f t="shared" si="533"/>
        <v>8.4118326757584114</v>
      </c>
      <c r="R1112" s="4">
        <f t="shared" si="534"/>
        <v>5.4161004022044201</v>
      </c>
      <c r="S1112" s="4">
        <f t="shared" si="535"/>
        <v>51.1</v>
      </c>
      <c r="T1112" s="4">
        <f t="shared" si="536"/>
        <v>1</v>
      </c>
      <c r="U1112" s="4">
        <f t="shared" si="537"/>
        <v>8.4118326757584114</v>
      </c>
      <c r="V1112" s="4">
        <f t="shared" si="538"/>
        <v>5.4161004022044201</v>
      </c>
      <c r="W1112" s="4">
        <f t="shared" si="539"/>
        <v>51.1</v>
      </c>
      <c r="X1112" s="4">
        <f t="shared" si="540"/>
        <v>2</v>
      </c>
      <c r="Y1112" s="4">
        <f t="shared" si="541"/>
        <v>8.4118326757584114</v>
      </c>
      <c r="Z1112" s="4">
        <f t="shared" si="542"/>
        <v>5.4161004022044201</v>
      </c>
      <c r="AA1112" s="4">
        <f t="shared" si="543"/>
        <v>51.1</v>
      </c>
      <c r="AB1112" s="4">
        <f t="shared" si="544"/>
        <v>0</v>
      </c>
      <c r="AC1112" s="4">
        <f t="shared" si="545"/>
        <v>1</v>
      </c>
      <c r="AD1112" s="4">
        <f t="shared" si="546"/>
        <v>8.4118326757584114</v>
      </c>
      <c r="AE1112" s="4">
        <f t="shared" si="547"/>
        <v>5.4161004022044201</v>
      </c>
      <c r="AF1112" s="4">
        <f t="shared" si="548"/>
        <v>51.1</v>
      </c>
      <c r="AG1112" s="4">
        <f t="shared" si="549"/>
        <v>8.4118326757584114</v>
      </c>
      <c r="AH1112" s="4">
        <f t="shared" si="550"/>
        <v>0</v>
      </c>
      <c r="AI1112" s="4">
        <f t="shared" si="551"/>
        <v>1</v>
      </c>
      <c r="AJ1112" s="4">
        <f t="shared" si="552"/>
        <v>8.4118326757584114</v>
      </c>
      <c r="AK1112" s="4">
        <f t="shared" si="553"/>
        <v>5.4161004022044201</v>
      </c>
      <c r="AL1112" s="4">
        <f t="shared" si="554"/>
        <v>1</v>
      </c>
      <c r="AM1112" s="4">
        <f>CER!$C$7+CER!$C$8*J1112+CER!$C$9*K1112+CER!$C$10*L1112+CER!$C$11*M1112</f>
        <v>5.1594096846298818</v>
      </c>
      <c r="AN1112" s="4">
        <f t="shared" si="555"/>
        <v>174.06167398980716</v>
      </c>
      <c r="AO1112" s="4">
        <f t="shared" si="556"/>
        <v>-4.0442693210851033E-2</v>
      </c>
      <c r="AP1112" s="4">
        <f>Alternatives!$F$25+Alternatives!$F$26*J1112+Alternatives!$F$27*K1112+Alternatives!$F$28*G1112+Alternatives!$F$29*O1112</f>
        <v>4.2962920994272249</v>
      </c>
      <c r="AQ1112" s="4">
        <f t="shared" si="557"/>
        <v>0.82267489199180588</v>
      </c>
    </row>
    <row r="1113" spans="1:43" x14ac:dyDescent="0.35">
      <c r="A1113" s="2" t="s">
        <v>963</v>
      </c>
      <c r="B1113" s="2" t="s">
        <v>387</v>
      </c>
      <c r="C1113" s="2" t="s">
        <v>34</v>
      </c>
      <c r="D1113" s="2">
        <v>145.2961</v>
      </c>
      <c r="E1113" s="2">
        <v>5000</v>
      </c>
      <c r="F1113" s="2">
        <v>314</v>
      </c>
      <c r="G1113" s="2">
        <v>51.1</v>
      </c>
      <c r="H1113" s="2" t="s">
        <v>881</v>
      </c>
      <c r="I1113" s="4">
        <f t="shared" si="527"/>
        <v>4.9787737291974281</v>
      </c>
      <c r="J1113" s="4">
        <f t="shared" si="528"/>
        <v>8.5171931914162382</v>
      </c>
      <c r="K1113" s="4">
        <f t="shared" si="529"/>
        <v>5.7493929859082531</v>
      </c>
      <c r="L1113" s="2">
        <v>0</v>
      </c>
      <c r="M1113" s="2">
        <v>1</v>
      </c>
      <c r="N1113" s="4">
        <f t="shared" si="530"/>
        <v>51.1</v>
      </c>
      <c r="O1113" s="4">
        <f t="shared" si="531"/>
        <v>1</v>
      </c>
      <c r="P1113" s="4">
        <f t="shared" si="532"/>
        <v>2</v>
      </c>
      <c r="Q1113" s="4">
        <f t="shared" si="533"/>
        <v>8.5171931914162382</v>
      </c>
      <c r="R1113" s="4">
        <f t="shared" si="534"/>
        <v>5.7493929859082531</v>
      </c>
      <c r="S1113" s="4">
        <f t="shared" si="535"/>
        <v>51.1</v>
      </c>
      <c r="T1113" s="4">
        <f t="shared" si="536"/>
        <v>1</v>
      </c>
      <c r="U1113" s="4">
        <f t="shared" si="537"/>
        <v>8.5171931914162382</v>
      </c>
      <c r="V1113" s="4">
        <f t="shared" si="538"/>
        <v>5.7493929859082531</v>
      </c>
      <c r="W1113" s="4">
        <f t="shared" si="539"/>
        <v>51.1</v>
      </c>
      <c r="X1113" s="4">
        <f t="shared" si="540"/>
        <v>2</v>
      </c>
      <c r="Y1113" s="4">
        <f t="shared" si="541"/>
        <v>8.5171931914162382</v>
      </c>
      <c r="Z1113" s="4">
        <f t="shared" si="542"/>
        <v>5.7493929859082531</v>
      </c>
      <c r="AA1113" s="4">
        <f t="shared" si="543"/>
        <v>51.1</v>
      </c>
      <c r="AB1113" s="4">
        <f t="shared" si="544"/>
        <v>0</v>
      </c>
      <c r="AC1113" s="4">
        <f t="shared" si="545"/>
        <v>1</v>
      </c>
      <c r="AD1113" s="4">
        <f t="shared" si="546"/>
        <v>8.5171931914162382</v>
      </c>
      <c r="AE1113" s="4">
        <f t="shared" si="547"/>
        <v>5.7493929859082531</v>
      </c>
      <c r="AF1113" s="4">
        <f t="shared" si="548"/>
        <v>51.1</v>
      </c>
      <c r="AG1113" s="4">
        <f t="shared" si="549"/>
        <v>8.5171931914162382</v>
      </c>
      <c r="AH1113" s="4">
        <f t="shared" si="550"/>
        <v>0</v>
      </c>
      <c r="AI1113" s="4">
        <f t="shared" si="551"/>
        <v>1</v>
      </c>
      <c r="AJ1113" s="4">
        <f t="shared" si="552"/>
        <v>8.5171931914162382</v>
      </c>
      <c r="AK1113" s="4">
        <f t="shared" si="553"/>
        <v>5.7493929859082531</v>
      </c>
      <c r="AL1113" s="4">
        <f t="shared" si="554"/>
        <v>1</v>
      </c>
      <c r="AM1113" s="4">
        <f>CER!$C$7+CER!$C$8*J1113+CER!$C$9*K1113+CER!$C$10*L1113+CER!$C$11*M1113</f>
        <v>4.9887458147070056</v>
      </c>
      <c r="AN1113" s="4">
        <f t="shared" si="555"/>
        <v>146.75225351012628</v>
      </c>
      <c r="AO1113" s="4">
        <f t="shared" si="556"/>
        <v>-9.9720855095775107E-3</v>
      </c>
      <c r="AP1113" s="4">
        <f>Alternatives!$F$25+Alternatives!$F$26*J1113+Alternatives!$F$27*K1113+Alternatives!$F$28*G1113+Alternatives!$F$29*O1113</f>
        <v>4.2465920701629738</v>
      </c>
      <c r="AQ1113" s="4">
        <f t="shared" si="557"/>
        <v>0.73218165903445431</v>
      </c>
    </row>
    <row r="1114" spans="1:43" x14ac:dyDescent="0.35">
      <c r="A1114" s="2" t="s">
        <v>964</v>
      </c>
      <c r="B1114" s="2" t="s">
        <v>387</v>
      </c>
      <c r="C1114" s="2" t="s">
        <v>34</v>
      </c>
      <c r="D1114" s="2">
        <v>135.63849999999999</v>
      </c>
      <c r="E1114" s="2">
        <v>5000</v>
      </c>
      <c r="F1114" s="2">
        <v>314</v>
      </c>
      <c r="G1114" s="2">
        <v>50.9</v>
      </c>
      <c r="H1114" s="2" t="s">
        <v>881</v>
      </c>
      <c r="I1114" s="4">
        <f t="shared" si="527"/>
        <v>4.9099932585115367</v>
      </c>
      <c r="J1114" s="4">
        <f t="shared" si="528"/>
        <v>8.5171931914162382</v>
      </c>
      <c r="K1114" s="4">
        <f t="shared" si="529"/>
        <v>5.7493929859082531</v>
      </c>
      <c r="L1114" s="2">
        <v>0</v>
      </c>
      <c r="M1114" s="2">
        <v>1</v>
      </c>
      <c r="N1114" s="4">
        <f t="shared" si="530"/>
        <v>50.9</v>
      </c>
      <c r="O1114" s="4">
        <f t="shared" si="531"/>
        <v>1</v>
      </c>
      <c r="P1114" s="4">
        <f t="shared" si="532"/>
        <v>2</v>
      </c>
      <c r="Q1114" s="4">
        <f t="shared" si="533"/>
        <v>8.5171931914162382</v>
      </c>
      <c r="R1114" s="4">
        <f t="shared" si="534"/>
        <v>5.7493929859082531</v>
      </c>
      <c r="S1114" s="4">
        <f t="shared" si="535"/>
        <v>50.9</v>
      </c>
      <c r="T1114" s="4">
        <f t="shared" si="536"/>
        <v>1</v>
      </c>
      <c r="U1114" s="4">
        <f t="shared" si="537"/>
        <v>8.5171931914162382</v>
      </c>
      <c r="V1114" s="4">
        <f t="shared" si="538"/>
        <v>5.7493929859082531</v>
      </c>
      <c r="W1114" s="4">
        <f t="shared" si="539"/>
        <v>50.9</v>
      </c>
      <c r="X1114" s="4">
        <f t="shared" si="540"/>
        <v>2</v>
      </c>
      <c r="Y1114" s="4">
        <f t="shared" si="541"/>
        <v>8.5171931914162382</v>
      </c>
      <c r="Z1114" s="4">
        <f t="shared" si="542"/>
        <v>5.7493929859082531</v>
      </c>
      <c r="AA1114" s="4">
        <f t="shared" si="543"/>
        <v>50.9</v>
      </c>
      <c r="AB1114" s="4">
        <f t="shared" si="544"/>
        <v>0</v>
      </c>
      <c r="AC1114" s="4">
        <f t="shared" si="545"/>
        <v>1</v>
      </c>
      <c r="AD1114" s="4">
        <f t="shared" si="546"/>
        <v>8.5171931914162382</v>
      </c>
      <c r="AE1114" s="4">
        <f t="shared" si="547"/>
        <v>5.7493929859082531</v>
      </c>
      <c r="AF1114" s="4">
        <f t="shared" si="548"/>
        <v>50.9</v>
      </c>
      <c r="AG1114" s="4">
        <f t="shared" si="549"/>
        <v>8.5171931914162382</v>
      </c>
      <c r="AH1114" s="4">
        <f t="shared" si="550"/>
        <v>0</v>
      </c>
      <c r="AI1114" s="4">
        <f t="shared" si="551"/>
        <v>1</v>
      </c>
      <c r="AJ1114" s="4">
        <f t="shared" si="552"/>
        <v>8.5171931914162382</v>
      </c>
      <c r="AK1114" s="4">
        <f t="shared" si="553"/>
        <v>5.7493929859082531</v>
      </c>
      <c r="AL1114" s="4">
        <f t="shared" si="554"/>
        <v>1</v>
      </c>
      <c r="AM1114" s="4">
        <f>CER!$C$7+CER!$C$8*J1114+CER!$C$9*K1114+CER!$C$10*L1114+CER!$C$11*M1114</f>
        <v>4.9887458147070056</v>
      </c>
      <c r="AN1114" s="4">
        <f t="shared" si="555"/>
        <v>146.75225351012628</v>
      </c>
      <c r="AO1114" s="4">
        <f t="shared" si="556"/>
        <v>-7.8752556195468948E-2</v>
      </c>
      <c r="AP1114" s="4">
        <f>Alternatives!$F$25+Alternatives!$F$26*J1114+Alternatives!$F$27*K1114+Alternatives!$F$28*G1114+Alternatives!$F$29*O1114</f>
        <v>4.2491935330714199</v>
      </c>
      <c r="AQ1114" s="4">
        <f t="shared" si="557"/>
        <v>0.66079972544011678</v>
      </c>
    </row>
    <row r="1115" spans="1:43" x14ac:dyDescent="0.35">
      <c r="A1115" s="2" t="s">
        <v>965</v>
      </c>
      <c r="B1115" s="2" t="s">
        <v>387</v>
      </c>
      <c r="C1115" s="2" t="s">
        <v>34</v>
      </c>
      <c r="D1115" s="2">
        <v>130.72120000000001</v>
      </c>
      <c r="E1115" s="2">
        <v>5000</v>
      </c>
      <c r="F1115" s="2">
        <v>430</v>
      </c>
      <c r="G1115" s="2">
        <v>50.9</v>
      </c>
      <c r="H1115" s="2" t="s">
        <v>883</v>
      </c>
      <c r="I1115" s="4">
        <f t="shared" si="527"/>
        <v>4.8730668109961179</v>
      </c>
      <c r="J1115" s="4">
        <f t="shared" si="528"/>
        <v>8.5171931914162382</v>
      </c>
      <c r="K1115" s="4">
        <f t="shared" si="529"/>
        <v>6.0637852086876078</v>
      </c>
      <c r="L1115" s="2">
        <v>0</v>
      </c>
      <c r="M1115" s="2">
        <v>1</v>
      </c>
      <c r="N1115" s="4">
        <f t="shared" si="530"/>
        <v>50.9</v>
      </c>
      <c r="O1115" s="4">
        <f t="shared" si="531"/>
        <v>1</v>
      </c>
      <c r="P1115" s="4">
        <f t="shared" si="532"/>
        <v>2</v>
      </c>
      <c r="Q1115" s="4">
        <f t="shared" si="533"/>
        <v>8.5171931914162382</v>
      </c>
      <c r="R1115" s="4">
        <f t="shared" si="534"/>
        <v>6.0637852086876078</v>
      </c>
      <c r="S1115" s="4">
        <f t="shared" si="535"/>
        <v>50.9</v>
      </c>
      <c r="T1115" s="4">
        <f t="shared" si="536"/>
        <v>1</v>
      </c>
      <c r="U1115" s="4">
        <f t="shared" si="537"/>
        <v>8.5171931914162382</v>
      </c>
      <c r="V1115" s="4">
        <f t="shared" si="538"/>
        <v>6.0637852086876078</v>
      </c>
      <c r="W1115" s="4">
        <f t="shared" si="539"/>
        <v>50.9</v>
      </c>
      <c r="X1115" s="4">
        <f t="shared" si="540"/>
        <v>2</v>
      </c>
      <c r="Y1115" s="4">
        <f t="shared" si="541"/>
        <v>8.5171931914162382</v>
      </c>
      <c r="Z1115" s="4">
        <f t="shared" si="542"/>
        <v>6.0637852086876078</v>
      </c>
      <c r="AA1115" s="4">
        <f t="shared" si="543"/>
        <v>50.9</v>
      </c>
      <c r="AB1115" s="4">
        <f t="shared" si="544"/>
        <v>0</v>
      </c>
      <c r="AC1115" s="4">
        <f t="shared" si="545"/>
        <v>1</v>
      </c>
      <c r="AD1115" s="4">
        <f t="shared" si="546"/>
        <v>8.5171931914162382</v>
      </c>
      <c r="AE1115" s="4">
        <f t="shared" si="547"/>
        <v>6.0637852086876078</v>
      </c>
      <c r="AF1115" s="4">
        <f t="shared" si="548"/>
        <v>50.9</v>
      </c>
      <c r="AG1115" s="4">
        <f t="shared" si="549"/>
        <v>8.5171931914162382</v>
      </c>
      <c r="AH1115" s="4">
        <f t="shared" si="550"/>
        <v>0</v>
      </c>
      <c r="AI1115" s="4">
        <f t="shared" si="551"/>
        <v>1</v>
      </c>
      <c r="AJ1115" s="4">
        <f t="shared" si="552"/>
        <v>8.5171931914162382</v>
      </c>
      <c r="AK1115" s="4">
        <f t="shared" si="553"/>
        <v>6.0637852086876078</v>
      </c>
      <c r="AL1115" s="4">
        <f t="shared" si="554"/>
        <v>1</v>
      </c>
      <c r="AM1115" s="4">
        <f>CER!$C$7+CER!$C$8*J1115+CER!$C$9*K1115+CER!$C$10*L1115+CER!$C$11*M1115</f>
        <v>4.8727527804237649</v>
      </c>
      <c r="AN1115" s="4">
        <f t="shared" si="555"/>
        <v>130.68015599161933</v>
      </c>
      <c r="AO1115" s="4">
        <f t="shared" si="556"/>
        <v>3.1403057235301901E-4</v>
      </c>
      <c r="AP1115" s="4">
        <f>Alternatives!$F$25+Alternatives!$F$26*J1115+Alternatives!$F$27*K1115+Alternatives!$F$28*G1115+Alternatives!$F$29*O1115</f>
        <v>4.1655306287565326</v>
      </c>
      <c r="AQ1115" s="4">
        <f t="shared" si="557"/>
        <v>0.70753618223958537</v>
      </c>
    </row>
    <row r="1116" spans="1:43" x14ac:dyDescent="0.35">
      <c r="A1116" s="2" t="s">
        <v>966</v>
      </c>
      <c r="B1116" s="2" t="s">
        <v>387</v>
      </c>
      <c r="C1116" s="2" t="s">
        <v>34</v>
      </c>
      <c r="D1116" s="2">
        <v>129.58680000000001</v>
      </c>
      <c r="E1116" s="2">
        <v>5000</v>
      </c>
      <c r="F1116" s="2">
        <v>430</v>
      </c>
      <c r="G1116" s="2">
        <v>51.1</v>
      </c>
      <c r="H1116" s="2" t="s">
        <v>883</v>
      </c>
      <c r="I1116" s="4">
        <f t="shared" si="527"/>
        <v>4.8643509268790703</v>
      </c>
      <c r="J1116" s="4">
        <f t="shared" si="528"/>
        <v>8.5171931914162382</v>
      </c>
      <c r="K1116" s="4">
        <f t="shared" si="529"/>
        <v>6.0637852086876078</v>
      </c>
      <c r="L1116" s="2">
        <v>0</v>
      </c>
      <c r="M1116" s="2">
        <v>1</v>
      </c>
      <c r="N1116" s="4">
        <f t="shared" si="530"/>
        <v>51.1</v>
      </c>
      <c r="O1116" s="4">
        <f t="shared" si="531"/>
        <v>1</v>
      </c>
      <c r="P1116" s="4">
        <f t="shared" si="532"/>
        <v>2</v>
      </c>
      <c r="Q1116" s="4">
        <f t="shared" si="533"/>
        <v>8.5171931914162382</v>
      </c>
      <c r="R1116" s="4">
        <f t="shared" si="534"/>
        <v>6.0637852086876078</v>
      </c>
      <c r="S1116" s="4">
        <f t="shared" si="535"/>
        <v>51.1</v>
      </c>
      <c r="T1116" s="4">
        <f t="shared" si="536"/>
        <v>1</v>
      </c>
      <c r="U1116" s="4">
        <f t="shared" si="537"/>
        <v>8.5171931914162382</v>
      </c>
      <c r="V1116" s="4">
        <f t="shared" si="538"/>
        <v>6.0637852086876078</v>
      </c>
      <c r="W1116" s="4">
        <f t="shared" si="539"/>
        <v>51.1</v>
      </c>
      <c r="X1116" s="4">
        <f t="shared" si="540"/>
        <v>2</v>
      </c>
      <c r="Y1116" s="4">
        <f t="shared" si="541"/>
        <v>8.5171931914162382</v>
      </c>
      <c r="Z1116" s="4">
        <f t="shared" si="542"/>
        <v>6.0637852086876078</v>
      </c>
      <c r="AA1116" s="4">
        <f t="shared" si="543"/>
        <v>51.1</v>
      </c>
      <c r="AB1116" s="4">
        <f t="shared" si="544"/>
        <v>0</v>
      </c>
      <c r="AC1116" s="4">
        <f t="shared" si="545"/>
        <v>1</v>
      </c>
      <c r="AD1116" s="4">
        <f t="shared" si="546"/>
        <v>8.5171931914162382</v>
      </c>
      <c r="AE1116" s="4">
        <f t="shared" si="547"/>
        <v>6.0637852086876078</v>
      </c>
      <c r="AF1116" s="4">
        <f t="shared" si="548"/>
        <v>51.1</v>
      </c>
      <c r="AG1116" s="4">
        <f t="shared" si="549"/>
        <v>8.5171931914162382</v>
      </c>
      <c r="AH1116" s="4">
        <f t="shared" si="550"/>
        <v>0</v>
      </c>
      <c r="AI1116" s="4">
        <f t="shared" si="551"/>
        <v>1</v>
      </c>
      <c r="AJ1116" s="4">
        <f t="shared" si="552"/>
        <v>8.5171931914162382</v>
      </c>
      <c r="AK1116" s="4">
        <f t="shared" si="553"/>
        <v>6.0637852086876078</v>
      </c>
      <c r="AL1116" s="4">
        <f t="shared" si="554"/>
        <v>1</v>
      </c>
      <c r="AM1116" s="4">
        <f>CER!$C$7+CER!$C$8*J1116+CER!$C$9*K1116+CER!$C$10*L1116+CER!$C$11*M1116</f>
        <v>4.8727527804237649</v>
      </c>
      <c r="AN1116" s="4">
        <f t="shared" si="555"/>
        <v>130.68015599161933</v>
      </c>
      <c r="AO1116" s="4">
        <f t="shared" si="556"/>
        <v>-8.4018535446945819E-3</v>
      </c>
      <c r="AP1116" s="4">
        <f>Alternatives!$F$25+Alternatives!$F$26*J1116+Alternatives!$F$27*K1116+Alternatives!$F$28*G1116+Alternatives!$F$29*O1116</f>
        <v>4.1629291658480874</v>
      </c>
      <c r="AQ1116" s="4">
        <f t="shared" si="557"/>
        <v>0.70142176103098297</v>
      </c>
    </row>
    <row r="1117" spans="1:43" x14ac:dyDescent="0.35">
      <c r="A1117" s="2" t="s">
        <v>967</v>
      </c>
      <c r="B1117" s="2" t="s">
        <v>424</v>
      </c>
      <c r="C1117" s="2" t="s">
        <v>34</v>
      </c>
      <c r="D1117" s="2">
        <v>112.875</v>
      </c>
      <c r="E1117" s="2">
        <v>5000</v>
      </c>
      <c r="F1117" s="2">
        <v>400</v>
      </c>
      <c r="G1117" s="2">
        <v>52.6</v>
      </c>
      <c r="H1117" s="2" t="s">
        <v>883</v>
      </c>
      <c r="I1117" s="4">
        <f t="shared" si="527"/>
        <v>4.7262810117371492</v>
      </c>
      <c r="J1117" s="4">
        <f t="shared" si="528"/>
        <v>8.5171931914162382</v>
      </c>
      <c r="K1117" s="4">
        <f t="shared" si="529"/>
        <v>5.9914645471079817</v>
      </c>
      <c r="L1117" s="2">
        <v>0</v>
      </c>
      <c r="M1117" s="2">
        <v>1</v>
      </c>
      <c r="N1117" s="4">
        <f t="shared" si="530"/>
        <v>52.6</v>
      </c>
      <c r="O1117" s="4">
        <f t="shared" si="531"/>
        <v>1</v>
      </c>
      <c r="P1117" s="4">
        <f t="shared" si="532"/>
        <v>2</v>
      </c>
      <c r="Q1117" s="4">
        <f t="shared" si="533"/>
        <v>8.5171931914162382</v>
      </c>
      <c r="R1117" s="4">
        <f t="shared" si="534"/>
        <v>5.9914645471079817</v>
      </c>
      <c r="S1117" s="4">
        <f t="shared" si="535"/>
        <v>52.6</v>
      </c>
      <c r="T1117" s="4">
        <f t="shared" si="536"/>
        <v>1</v>
      </c>
      <c r="U1117" s="4">
        <f t="shared" si="537"/>
        <v>8.5171931914162382</v>
      </c>
      <c r="V1117" s="4">
        <f t="shared" si="538"/>
        <v>5.9914645471079817</v>
      </c>
      <c r="W1117" s="4">
        <f t="shared" si="539"/>
        <v>52.6</v>
      </c>
      <c r="X1117" s="4">
        <f t="shared" si="540"/>
        <v>2</v>
      </c>
      <c r="Y1117" s="4">
        <f t="shared" si="541"/>
        <v>8.5171931914162382</v>
      </c>
      <c r="Z1117" s="4">
        <f t="shared" si="542"/>
        <v>5.9914645471079817</v>
      </c>
      <c r="AA1117" s="4">
        <f t="shared" si="543"/>
        <v>52.6</v>
      </c>
      <c r="AB1117" s="4">
        <f t="shared" si="544"/>
        <v>0</v>
      </c>
      <c r="AC1117" s="4">
        <f t="shared" si="545"/>
        <v>1</v>
      </c>
      <c r="AD1117" s="4">
        <f t="shared" si="546"/>
        <v>8.5171931914162382</v>
      </c>
      <c r="AE1117" s="4">
        <f t="shared" si="547"/>
        <v>5.9914645471079817</v>
      </c>
      <c r="AF1117" s="4">
        <f t="shared" si="548"/>
        <v>52.6</v>
      </c>
      <c r="AG1117" s="4">
        <f t="shared" si="549"/>
        <v>8.5171931914162382</v>
      </c>
      <c r="AH1117" s="4">
        <f t="shared" si="550"/>
        <v>0</v>
      </c>
      <c r="AI1117" s="4">
        <f t="shared" si="551"/>
        <v>1</v>
      </c>
      <c r="AJ1117" s="4">
        <f t="shared" si="552"/>
        <v>8.5171931914162382</v>
      </c>
      <c r="AK1117" s="4">
        <f t="shared" si="553"/>
        <v>5.9914645471079817</v>
      </c>
      <c r="AL1117" s="4">
        <f t="shared" si="554"/>
        <v>1</v>
      </c>
      <c r="AM1117" s="4">
        <f>CER!$C$7+CER!$C$8*J1117+CER!$C$9*K1117+CER!$C$10*L1117+CER!$C$11*M1117</f>
        <v>4.8994350338962986</v>
      </c>
      <c r="AN1117" s="4">
        <f t="shared" si="555"/>
        <v>134.21393193906016</v>
      </c>
      <c r="AO1117" s="4">
        <f t="shared" si="556"/>
        <v>-0.17315402215914943</v>
      </c>
      <c r="AP1117" s="4">
        <f>Alternatives!$F$25+Alternatives!$F$26*J1117+Alternatives!$F$27*K1117+Alternatives!$F$28*G1117+Alternatives!$F$29*O1117</f>
        <v>4.1626634429669114</v>
      </c>
      <c r="AQ1117" s="4">
        <f t="shared" si="557"/>
        <v>0.56361756877023783</v>
      </c>
    </row>
    <row r="1118" spans="1:43" x14ac:dyDescent="0.35">
      <c r="A1118" s="2" t="s">
        <v>968</v>
      </c>
      <c r="B1118" s="2" t="s">
        <v>424</v>
      </c>
      <c r="C1118" s="2" t="s">
        <v>34</v>
      </c>
      <c r="D1118" s="2">
        <v>113.5787</v>
      </c>
      <c r="E1118" s="2">
        <v>5000</v>
      </c>
      <c r="F1118" s="2">
        <v>400</v>
      </c>
      <c r="G1118" s="2">
        <v>53.1</v>
      </c>
      <c r="H1118" s="2" t="s">
        <v>924</v>
      </c>
      <c r="I1118" s="4">
        <f t="shared" si="527"/>
        <v>4.7324959887067282</v>
      </c>
      <c r="J1118" s="4">
        <f t="shared" si="528"/>
        <v>8.5171931914162382</v>
      </c>
      <c r="K1118" s="4">
        <f t="shared" si="529"/>
        <v>5.9914645471079817</v>
      </c>
      <c r="L1118" s="2">
        <v>0</v>
      </c>
      <c r="M1118" s="2">
        <v>1</v>
      </c>
      <c r="N1118" s="4">
        <f t="shared" si="530"/>
        <v>53.1</v>
      </c>
      <c r="O1118" s="4">
        <f t="shared" si="531"/>
        <v>1</v>
      </c>
      <c r="P1118" s="4">
        <f t="shared" si="532"/>
        <v>2</v>
      </c>
      <c r="Q1118" s="4">
        <f t="shared" si="533"/>
        <v>8.5171931914162382</v>
      </c>
      <c r="R1118" s="4">
        <f t="shared" si="534"/>
        <v>5.9914645471079817</v>
      </c>
      <c r="S1118" s="4">
        <f t="shared" si="535"/>
        <v>53.1</v>
      </c>
      <c r="T1118" s="4">
        <f t="shared" si="536"/>
        <v>1</v>
      </c>
      <c r="U1118" s="4">
        <f t="shared" si="537"/>
        <v>8.5171931914162382</v>
      </c>
      <c r="V1118" s="4">
        <f t="shared" si="538"/>
        <v>5.9914645471079817</v>
      </c>
      <c r="W1118" s="4">
        <f t="shared" si="539"/>
        <v>53.1</v>
      </c>
      <c r="X1118" s="4">
        <f t="shared" si="540"/>
        <v>2</v>
      </c>
      <c r="Y1118" s="4">
        <f t="shared" si="541"/>
        <v>8.5171931914162382</v>
      </c>
      <c r="Z1118" s="4">
        <f t="shared" si="542"/>
        <v>5.9914645471079817</v>
      </c>
      <c r="AA1118" s="4">
        <f t="shared" si="543"/>
        <v>53.1</v>
      </c>
      <c r="AB1118" s="4">
        <f t="shared" si="544"/>
        <v>0</v>
      </c>
      <c r="AC1118" s="4">
        <f t="shared" si="545"/>
        <v>1</v>
      </c>
      <c r="AD1118" s="4">
        <f t="shared" si="546"/>
        <v>8.5171931914162382</v>
      </c>
      <c r="AE1118" s="4">
        <f t="shared" si="547"/>
        <v>5.9914645471079817</v>
      </c>
      <c r="AF1118" s="4">
        <f t="shared" si="548"/>
        <v>53.1</v>
      </c>
      <c r="AG1118" s="4">
        <f t="shared" si="549"/>
        <v>8.5171931914162382</v>
      </c>
      <c r="AH1118" s="4">
        <f t="shared" si="550"/>
        <v>0</v>
      </c>
      <c r="AI1118" s="4">
        <f t="shared" si="551"/>
        <v>1</v>
      </c>
      <c r="AJ1118" s="4">
        <f t="shared" si="552"/>
        <v>8.5171931914162382</v>
      </c>
      <c r="AK1118" s="4">
        <f t="shared" si="553"/>
        <v>5.9914645471079817</v>
      </c>
      <c r="AL1118" s="4">
        <f t="shared" si="554"/>
        <v>1</v>
      </c>
      <c r="AM1118" s="4">
        <f>CER!$C$7+CER!$C$8*J1118+CER!$C$9*K1118+CER!$C$10*L1118+CER!$C$11*M1118</f>
        <v>4.8994350338962986</v>
      </c>
      <c r="AN1118" s="4">
        <f t="shared" si="555"/>
        <v>134.21393193906016</v>
      </c>
      <c r="AO1118" s="4">
        <f t="shared" si="556"/>
        <v>-0.16693904518957048</v>
      </c>
      <c r="AP1118" s="4">
        <f>Alternatives!$F$25+Alternatives!$F$26*J1118+Alternatives!$F$27*K1118+Alternatives!$F$28*G1118+Alternatives!$F$29*O1118</f>
        <v>4.156159785695797</v>
      </c>
      <c r="AQ1118" s="4">
        <f t="shared" si="557"/>
        <v>0.57633620301093114</v>
      </c>
    </row>
    <row r="1119" spans="1:43" x14ac:dyDescent="0.35">
      <c r="A1119" s="2" t="s">
        <v>969</v>
      </c>
      <c r="B1119" s="2" t="s">
        <v>424</v>
      </c>
      <c r="C1119" s="2" t="s">
        <v>34</v>
      </c>
      <c r="D1119" s="2">
        <v>106.1105</v>
      </c>
      <c r="E1119" s="2">
        <v>5000</v>
      </c>
      <c r="F1119" s="2">
        <v>400</v>
      </c>
      <c r="G1119" s="2">
        <v>52.8</v>
      </c>
      <c r="H1119" s="2" t="s">
        <v>924</v>
      </c>
      <c r="I1119" s="4">
        <f t="shared" si="527"/>
        <v>4.6644810039656228</v>
      </c>
      <c r="J1119" s="4">
        <f t="shared" si="528"/>
        <v>8.5171931914162382</v>
      </c>
      <c r="K1119" s="4">
        <f t="shared" si="529"/>
        <v>5.9914645471079817</v>
      </c>
      <c r="L1119" s="2">
        <v>0</v>
      </c>
      <c r="M1119" s="2">
        <v>1</v>
      </c>
      <c r="N1119" s="4">
        <f t="shared" si="530"/>
        <v>52.8</v>
      </c>
      <c r="O1119" s="4">
        <f t="shared" si="531"/>
        <v>1</v>
      </c>
      <c r="P1119" s="4">
        <f t="shared" si="532"/>
        <v>2</v>
      </c>
      <c r="Q1119" s="4">
        <f t="shared" si="533"/>
        <v>8.5171931914162382</v>
      </c>
      <c r="R1119" s="4">
        <f t="shared" si="534"/>
        <v>5.9914645471079817</v>
      </c>
      <c r="S1119" s="4">
        <f t="shared" si="535"/>
        <v>52.8</v>
      </c>
      <c r="T1119" s="4">
        <f t="shared" si="536"/>
        <v>1</v>
      </c>
      <c r="U1119" s="4">
        <f t="shared" si="537"/>
        <v>8.5171931914162382</v>
      </c>
      <c r="V1119" s="4">
        <f t="shared" si="538"/>
        <v>5.9914645471079817</v>
      </c>
      <c r="W1119" s="4">
        <f t="shared" si="539"/>
        <v>52.8</v>
      </c>
      <c r="X1119" s="4">
        <f t="shared" si="540"/>
        <v>2</v>
      </c>
      <c r="Y1119" s="4">
        <f t="shared" si="541"/>
        <v>8.5171931914162382</v>
      </c>
      <c r="Z1119" s="4">
        <f t="shared" si="542"/>
        <v>5.9914645471079817</v>
      </c>
      <c r="AA1119" s="4">
        <f t="shared" si="543"/>
        <v>52.8</v>
      </c>
      <c r="AB1119" s="4">
        <f t="shared" si="544"/>
        <v>0</v>
      </c>
      <c r="AC1119" s="4">
        <f t="shared" si="545"/>
        <v>1</v>
      </c>
      <c r="AD1119" s="4">
        <f t="shared" si="546"/>
        <v>8.5171931914162382</v>
      </c>
      <c r="AE1119" s="4">
        <f t="shared" si="547"/>
        <v>5.9914645471079817</v>
      </c>
      <c r="AF1119" s="4">
        <f t="shared" si="548"/>
        <v>52.8</v>
      </c>
      <c r="AG1119" s="4">
        <f t="shared" si="549"/>
        <v>8.5171931914162382</v>
      </c>
      <c r="AH1119" s="4">
        <f t="shared" si="550"/>
        <v>0</v>
      </c>
      <c r="AI1119" s="4">
        <f t="shared" si="551"/>
        <v>1</v>
      </c>
      <c r="AJ1119" s="4">
        <f t="shared" si="552"/>
        <v>8.5171931914162382</v>
      </c>
      <c r="AK1119" s="4">
        <f t="shared" si="553"/>
        <v>5.9914645471079817</v>
      </c>
      <c r="AL1119" s="4">
        <f t="shared" si="554"/>
        <v>1</v>
      </c>
      <c r="AM1119" s="4">
        <f>CER!$C$7+CER!$C$8*J1119+CER!$C$9*K1119+CER!$C$10*L1119+CER!$C$11*M1119</f>
        <v>4.8994350338962986</v>
      </c>
      <c r="AN1119" s="4">
        <f t="shared" si="555"/>
        <v>134.21393193906016</v>
      </c>
      <c r="AO1119" s="4">
        <f t="shared" si="556"/>
        <v>-0.23495402993067582</v>
      </c>
      <c r="AP1119" s="4">
        <f>Alternatives!$F$25+Alternatives!$F$26*J1119+Alternatives!$F$27*K1119+Alternatives!$F$28*G1119+Alternatives!$F$29*O1119</f>
        <v>4.1600619800584653</v>
      </c>
      <c r="AQ1119" s="4">
        <f t="shared" si="557"/>
        <v>0.50441902390715754</v>
      </c>
    </row>
    <row r="1120" spans="1:43" x14ac:dyDescent="0.35">
      <c r="A1120" s="2" t="s">
        <v>970</v>
      </c>
      <c r="B1120" s="2" t="s">
        <v>462</v>
      </c>
      <c r="C1120" s="2" t="s">
        <v>34</v>
      </c>
      <c r="D1120" s="2">
        <v>164.6079</v>
      </c>
      <c r="E1120" s="2">
        <v>4000</v>
      </c>
      <c r="F1120" s="2">
        <v>201</v>
      </c>
      <c r="G1120" s="2">
        <v>46.1</v>
      </c>
      <c r="H1120" s="2" t="s">
        <v>881</v>
      </c>
      <c r="I1120" s="4">
        <f t="shared" si="527"/>
        <v>5.1035662822309726</v>
      </c>
      <c r="J1120" s="4">
        <f t="shared" si="528"/>
        <v>8.2940496401020276</v>
      </c>
      <c r="K1120" s="4">
        <f t="shared" si="529"/>
        <v>5.3033049080590757</v>
      </c>
      <c r="L1120" s="2">
        <v>0</v>
      </c>
      <c r="M1120" s="2">
        <v>1</v>
      </c>
      <c r="N1120" s="4">
        <f t="shared" si="530"/>
        <v>46.1</v>
      </c>
      <c r="O1120" s="4">
        <f t="shared" si="531"/>
        <v>1</v>
      </c>
      <c r="P1120" s="4">
        <f t="shared" si="532"/>
        <v>2</v>
      </c>
      <c r="Q1120" s="4">
        <f t="shared" si="533"/>
        <v>8.2940496401020276</v>
      </c>
      <c r="R1120" s="4">
        <f t="shared" si="534"/>
        <v>5.3033049080590757</v>
      </c>
      <c r="S1120" s="4">
        <f t="shared" si="535"/>
        <v>46.1</v>
      </c>
      <c r="T1120" s="4">
        <f t="shared" si="536"/>
        <v>1</v>
      </c>
      <c r="U1120" s="4">
        <f t="shared" si="537"/>
        <v>8.2940496401020276</v>
      </c>
      <c r="V1120" s="4">
        <f t="shared" si="538"/>
        <v>5.3033049080590757</v>
      </c>
      <c r="W1120" s="4">
        <f t="shared" si="539"/>
        <v>46.1</v>
      </c>
      <c r="X1120" s="4">
        <f t="shared" si="540"/>
        <v>2</v>
      </c>
      <c r="Y1120" s="4">
        <f t="shared" si="541"/>
        <v>8.2940496401020276</v>
      </c>
      <c r="Z1120" s="4">
        <f t="shared" si="542"/>
        <v>5.3033049080590757</v>
      </c>
      <c r="AA1120" s="4">
        <f t="shared" si="543"/>
        <v>46.1</v>
      </c>
      <c r="AB1120" s="4">
        <f t="shared" si="544"/>
        <v>0</v>
      </c>
      <c r="AC1120" s="4">
        <f t="shared" si="545"/>
        <v>1</v>
      </c>
      <c r="AD1120" s="4">
        <f t="shared" si="546"/>
        <v>8.2940496401020276</v>
      </c>
      <c r="AE1120" s="4">
        <f t="shared" si="547"/>
        <v>5.3033049080590757</v>
      </c>
      <c r="AF1120" s="4">
        <f t="shared" si="548"/>
        <v>46.1</v>
      </c>
      <c r="AG1120" s="4">
        <f t="shared" si="549"/>
        <v>8.2940496401020276</v>
      </c>
      <c r="AH1120" s="4">
        <f t="shared" si="550"/>
        <v>0</v>
      </c>
      <c r="AI1120" s="4">
        <f t="shared" si="551"/>
        <v>1</v>
      </c>
      <c r="AJ1120" s="4">
        <f t="shared" si="552"/>
        <v>8.2940496401020276</v>
      </c>
      <c r="AK1120" s="4">
        <f t="shared" si="553"/>
        <v>5.3033049080590757</v>
      </c>
      <c r="AL1120" s="4">
        <f t="shared" si="554"/>
        <v>1</v>
      </c>
      <c r="AM1120" s="4">
        <f>CER!$C$7+CER!$C$8*J1120+CER!$C$9*K1120+CER!$C$10*L1120+CER!$C$11*M1120</f>
        <v>5.2543463275261724</v>
      </c>
      <c r="AN1120" s="4">
        <f t="shared" si="555"/>
        <v>191.39633443940136</v>
      </c>
      <c r="AO1120" s="4">
        <f t="shared" si="556"/>
        <v>-0.15078004529519973</v>
      </c>
      <c r="AP1120" s="4">
        <f>Alternatives!$F$25+Alternatives!$F$26*J1120+Alternatives!$F$27*K1120+Alternatives!$F$28*G1120+Alternatives!$F$29*O1120</f>
        <v>4.347754827511956</v>
      </c>
      <c r="AQ1120" s="4">
        <f t="shared" si="557"/>
        <v>0.75581145471901667</v>
      </c>
    </row>
    <row r="1121" spans="1:43" x14ac:dyDescent="0.35">
      <c r="A1121" s="2" t="s">
        <v>971</v>
      </c>
      <c r="B1121" s="2" t="s">
        <v>462</v>
      </c>
      <c r="C1121" s="2" t="s">
        <v>34</v>
      </c>
      <c r="D1121" s="2">
        <v>155.0249</v>
      </c>
      <c r="E1121" s="2">
        <v>4500</v>
      </c>
      <c r="F1121" s="2">
        <v>320</v>
      </c>
      <c r="G1121" s="2">
        <v>51.1</v>
      </c>
      <c r="H1121" s="2" t="s">
        <v>924</v>
      </c>
      <c r="I1121" s="4">
        <f t="shared" si="527"/>
        <v>5.0435857491784848</v>
      </c>
      <c r="J1121" s="4">
        <f t="shared" si="528"/>
        <v>8.4118326757584114</v>
      </c>
      <c r="K1121" s="4">
        <f t="shared" si="529"/>
        <v>5.768320995793772</v>
      </c>
      <c r="L1121" s="2">
        <v>0</v>
      </c>
      <c r="M1121" s="2">
        <v>1</v>
      </c>
      <c r="N1121" s="4">
        <f t="shared" si="530"/>
        <v>51.1</v>
      </c>
      <c r="O1121" s="4">
        <f t="shared" si="531"/>
        <v>1</v>
      </c>
      <c r="P1121" s="4">
        <f t="shared" si="532"/>
        <v>2</v>
      </c>
      <c r="Q1121" s="4">
        <f t="shared" si="533"/>
        <v>8.4118326757584114</v>
      </c>
      <c r="R1121" s="4">
        <f t="shared" si="534"/>
        <v>5.768320995793772</v>
      </c>
      <c r="S1121" s="4">
        <f t="shared" si="535"/>
        <v>51.1</v>
      </c>
      <c r="T1121" s="4">
        <f t="shared" si="536"/>
        <v>1</v>
      </c>
      <c r="U1121" s="4">
        <f t="shared" si="537"/>
        <v>8.4118326757584114</v>
      </c>
      <c r="V1121" s="4">
        <f t="shared" si="538"/>
        <v>5.768320995793772</v>
      </c>
      <c r="W1121" s="4">
        <f t="shared" si="539"/>
        <v>51.1</v>
      </c>
      <c r="X1121" s="4">
        <f t="shared" si="540"/>
        <v>2</v>
      </c>
      <c r="Y1121" s="4">
        <f t="shared" si="541"/>
        <v>8.4118326757584114</v>
      </c>
      <c r="Z1121" s="4">
        <f t="shared" si="542"/>
        <v>5.768320995793772</v>
      </c>
      <c r="AA1121" s="4">
        <f t="shared" si="543"/>
        <v>51.1</v>
      </c>
      <c r="AB1121" s="4">
        <f t="shared" si="544"/>
        <v>0</v>
      </c>
      <c r="AC1121" s="4">
        <f t="shared" si="545"/>
        <v>1</v>
      </c>
      <c r="AD1121" s="4">
        <f t="shared" si="546"/>
        <v>8.4118326757584114</v>
      </c>
      <c r="AE1121" s="4">
        <f t="shared" si="547"/>
        <v>5.768320995793772</v>
      </c>
      <c r="AF1121" s="4">
        <f t="shared" si="548"/>
        <v>51.1</v>
      </c>
      <c r="AG1121" s="4">
        <f t="shared" si="549"/>
        <v>8.4118326757584114</v>
      </c>
      <c r="AH1121" s="4">
        <f t="shared" si="550"/>
        <v>0</v>
      </c>
      <c r="AI1121" s="4">
        <f t="shared" si="551"/>
        <v>1</v>
      </c>
      <c r="AJ1121" s="4">
        <f t="shared" si="552"/>
        <v>8.4118326757584114</v>
      </c>
      <c r="AK1121" s="4">
        <f t="shared" si="553"/>
        <v>5.768320995793772</v>
      </c>
      <c r="AL1121" s="4">
        <f t="shared" si="554"/>
        <v>1</v>
      </c>
      <c r="AM1121" s="4">
        <f>CER!$C$7+CER!$C$8*J1121+CER!$C$9*K1121+CER!$C$10*L1121+CER!$C$11*M1121</f>
        <v>5.0294601107304473</v>
      </c>
      <c r="AN1121" s="4">
        <f t="shared" si="555"/>
        <v>152.85046808757906</v>
      </c>
      <c r="AO1121" s="4">
        <f t="shared" si="556"/>
        <v>1.4125638448037492E-2</v>
      </c>
      <c r="AP1121" s="4">
        <f>Alternatives!$F$25+Alternatives!$F$26*J1121+Alternatives!$F$27*K1121+Alternatives!$F$28*G1121+Alternatives!$F$29*O1121</f>
        <v>4.202562688570012</v>
      </c>
      <c r="AQ1121" s="4">
        <f t="shared" si="557"/>
        <v>0.84102306060847276</v>
      </c>
    </row>
    <row r="1122" spans="1:43" x14ac:dyDescent="0.35">
      <c r="A1122" s="2" t="s">
        <v>972</v>
      </c>
      <c r="B1122" s="2" t="s">
        <v>462</v>
      </c>
      <c r="C1122" s="2" t="s">
        <v>34</v>
      </c>
      <c r="D1122" s="2">
        <v>123.87779999999999</v>
      </c>
      <c r="E1122" s="2">
        <v>5000</v>
      </c>
      <c r="F1122" s="2">
        <v>577</v>
      </c>
      <c r="G1122" s="2">
        <v>50.9</v>
      </c>
      <c r="H1122" s="2" t="s">
        <v>881</v>
      </c>
      <c r="I1122" s="4">
        <f t="shared" si="527"/>
        <v>4.8192955958255759</v>
      </c>
      <c r="J1122" s="4">
        <f t="shared" si="528"/>
        <v>8.5171931914162382</v>
      </c>
      <c r="K1122" s="4">
        <f t="shared" si="529"/>
        <v>6.3578422665080998</v>
      </c>
      <c r="L1122" s="2">
        <v>0</v>
      </c>
      <c r="M1122" s="2">
        <v>1</v>
      </c>
      <c r="N1122" s="4">
        <f t="shared" si="530"/>
        <v>50.9</v>
      </c>
      <c r="O1122" s="4">
        <f t="shared" si="531"/>
        <v>1</v>
      </c>
      <c r="P1122" s="4">
        <f t="shared" si="532"/>
        <v>2</v>
      </c>
      <c r="Q1122" s="4">
        <f t="shared" si="533"/>
        <v>8.5171931914162382</v>
      </c>
      <c r="R1122" s="4">
        <f t="shared" si="534"/>
        <v>6.3578422665080998</v>
      </c>
      <c r="S1122" s="4">
        <f t="shared" si="535"/>
        <v>50.9</v>
      </c>
      <c r="T1122" s="4">
        <f t="shared" si="536"/>
        <v>1</v>
      </c>
      <c r="U1122" s="4">
        <f t="shared" si="537"/>
        <v>8.5171931914162382</v>
      </c>
      <c r="V1122" s="4">
        <f t="shared" si="538"/>
        <v>6.3578422665080998</v>
      </c>
      <c r="W1122" s="4">
        <f t="shared" si="539"/>
        <v>50.9</v>
      </c>
      <c r="X1122" s="4">
        <f t="shared" si="540"/>
        <v>2</v>
      </c>
      <c r="Y1122" s="4">
        <f t="shared" si="541"/>
        <v>8.5171931914162382</v>
      </c>
      <c r="Z1122" s="4">
        <f t="shared" si="542"/>
        <v>6.3578422665080998</v>
      </c>
      <c r="AA1122" s="4">
        <f t="shared" si="543"/>
        <v>50.9</v>
      </c>
      <c r="AB1122" s="4">
        <f t="shared" si="544"/>
        <v>0</v>
      </c>
      <c r="AC1122" s="4">
        <f t="shared" si="545"/>
        <v>1</v>
      </c>
      <c r="AD1122" s="4">
        <f t="shared" si="546"/>
        <v>8.5171931914162382</v>
      </c>
      <c r="AE1122" s="4">
        <f t="shared" si="547"/>
        <v>6.3578422665080998</v>
      </c>
      <c r="AF1122" s="4">
        <f t="shared" si="548"/>
        <v>50.9</v>
      </c>
      <c r="AG1122" s="4">
        <f t="shared" si="549"/>
        <v>8.5171931914162382</v>
      </c>
      <c r="AH1122" s="4">
        <f t="shared" si="550"/>
        <v>0</v>
      </c>
      <c r="AI1122" s="4">
        <f t="shared" si="551"/>
        <v>1</v>
      </c>
      <c r="AJ1122" s="4">
        <f t="shared" si="552"/>
        <v>8.5171931914162382</v>
      </c>
      <c r="AK1122" s="4">
        <f t="shared" si="553"/>
        <v>6.3578422665080998</v>
      </c>
      <c r="AL1122" s="4">
        <f t="shared" si="554"/>
        <v>1</v>
      </c>
      <c r="AM1122" s="4">
        <f>CER!$C$7+CER!$C$8*J1122+CER!$C$9*K1122+CER!$C$10*L1122+CER!$C$11*M1122</f>
        <v>4.7642622774225529</v>
      </c>
      <c r="AN1122" s="4">
        <f t="shared" si="555"/>
        <v>117.24459139352545</v>
      </c>
      <c r="AO1122" s="4">
        <f t="shared" si="556"/>
        <v>5.5033318403022946E-2</v>
      </c>
      <c r="AP1122" s="4">
        <f>Alternatives!$F$25+Alternatives!$F$26*J1122+Alternatives!$F$27*K1122+Alternatives!$F$28*G1122+Alternatives!$F$29*O1122</f>
        <v>4.0872791145362886</v>
      </c>
      <c r="AQ1122" s="4">
        <f t="shared" si="557"/>
        <v>0.73201648128928731</v>
      </c>
    </row>
    <row r="1123" spans="1:43" x14ac:dyDescent="0.35">
      <c r="A1123" s="2" t="s">
        <v>973</v>
      </c>
      <c r="B1123" s="2" t="s">
        <v>462</v>
      </c>
      <c r="C1123" s="2" t="s">
        <v>34</v>
      </c>
      <c r="D1123" s="2">
        <v>140.5857</v>
      </c>
      <c r="E1123" s="2">
        <v>5000</v>
      </c>
      <c r="F1123" s="2">
        <v>320</v>
      </c>
      <c r="G1123" s="2">
        <v>50.9</v>
      </c>
      <c r="H1123" s="2" t="s">
        <v>911</v>
      </c>
      <c r="I1123" s="4">
        <f t="shared" si="527"/>
        <v>4.9458172672339318</v>
      </c>
      <c r="J1123" s="4">
        <f t="shared" si="528"/>
        <v>8.5171931914162382</v>
      </c>
      <c r="K1123" s="4">
        <f t="shared" si="529"/>
        <v>5.768320995793772</v>
      </c>
      <c r="L1123" s="2">
        <v>0</v>
      </c>
      <c r="M1123" s="2">
        <v>1</v>
      </c>
      <c r="N1123" s="4">
        <f t="shared" si="530"/>
        <v>50.9</v>
      </c>
      <c r="O1123" s="4">
        <f t="shared" si="531"/>
        <v>1</v>
      </c>
      <c r="P1123" s="4">
        <f t="shared" si="532"/>
        <v>2</v>
      </c>
      <c r="Q1123" s="4">
        <f t="shared" si="533"/>
        <v>8.5171931914162382</v>
      </c>
      <c r="R1123" s="4">
        <f t="shared" si="534"/>
        <v>5.768320995793772</v>
      </c>
      <c r="S1123" s="4">
        <f t="shared" si="535"/>
        <v>50.9</v>
      </c>
      <c r="T1123" s="4">
        <f t="shared" si="536"/>
        <v>1</v>
      </c>
      <c r="U1123" s="4">
        <f t="shared" si="537"/>
        <v>8.5171931914162382</v>
      </c>
      <c r="V1123" s="4">
        <f t="shared" si="538"/>
        <v>5.768320995793772</v>
      </c>
      <c r="W1123" s="4">
        <f t="shared" si="539"/>
        <v>50.9</v>
      </c>
      <c r="X1123" s="4">
        <f t="shared" si="540"/>
        <v>2</v>
      </c>
      <c r="Y1123" s="4">
        <f t="shared" si="541"/>
        <v>8.5171931914162382</v>
      </c>
      <c r="Z1123" s="4">
        <f t="shared" si="542"/>
        <v>5.768320995793772</v>
      </c>
      <c r="AA1123" s="4">
        <f t="shared" si="543"/>
        <v>50.9</v>
      </c>
      <c r="AB1123" s="4">
        <f t="shared" si="544"/>
        <v>0</v>
      </c>
      <c r="AC1123" s="4">
        <f t="shared" si="545"/>
        <v>1</v>
      </c>
      <c r="AD1123" s="4">
        <f t="shared" si="546"/>
        <v>8.5171931914162382</v>
      </c>
      <c r="AE1123" s="4">
        <f t="shared" si="547"/>
        <v>5.768320995793772</v>
      </c>
      <c r="AF1123" s="4">
        <f t="shared" si="548"/>
        <v>50.9</v>
      </c>
      <c r="AG1123" s="4">
        <f t="shared" si="549"/>
        <v>8.5171931914162382</v>
      </c>
      <c r="AH1123" s="4">
        <f t="shared" si="550"/>
        <v>0</v>
      </c>
      <c r="AI1123" s="4">
        <f t="shared" si="551"/>
        <v>1</v>
      </c>
      <c r="AJ1123" s="4">
        <f t="shared" si="552"/>
        <v>8.5171931914162382</v>
      </c>
      <c r="AK1123" s="4">
        <f t="shared" si="553"/>
        <v>5.768320995793772</v>
      </c>
      <c r="AL1123" s="4">
        <f t="shared" si="554"/>
        <v>1</v>
      </c>
      <c r="AM1123" s="4">
        <f>CER!$C$7+CER!$C$8*J1123+CER!$C$9*K1123+CER!$C$10*L1123+CER!$C$11*M1123</f>
        <v>4.9817624444437225</v>
      </c>
      <c r="AN1123" s="4">
        <f t="shared" si="555"/>
        <v>145.73099823907154</v>
      </c>
      <c r="AO1123" s="4">
        <f t="shared" si="556"/>
        <v>-3.5945177209790735E-2</v>
      </c>
      <c r="AP1123" s="4">
        <f>Alternatives!$F$25+Alternatives!$F$26*J1123+Alternatives!$F$27*K1123+Alternatives!$F$28*G1123+Alternatives!$F$29*O1123</f>
        <v>4.2441566009681893</v>
      </c>
      <c r="AQ1123" s="4">
        <f t="shared" si="557"/>
        <v>0.70166066626574253</v>
      </c>
    </row>
    <row r="1124" spans="1:43" x14ac:dyDescent="0.35">
      <c r="A1124" s="2" t="s">
        <v>974</v>
      </c>
      <c r="B1124" s="2" t="s">
        <v>462</v>
      </c>
      <c r="C1124" s="2" t="s">
        <v>34</v>
      </c>
      <c r="D1124" s="2">
        <v>170.07650000000001</v>
      </c>
      <c r="E1124" s="2">
        <v>4000</v>
      </c>
      <c r="F1124" s="2">
        <v>167</v>
      </c>
      <c r="G1124" s="2">
        <v>51.1</v>
      </c>
      <c r="H1124" s="2" t="s">
        <v>883</v>
      </c>
      <c r="I1124" s="4">
        <f t="shared" si="527"/>
        <v>5.1362483358306266</v>
      </c>
      <c r="J1124" s="4">
        <f t="shared" si="528"/>
        <v>8.2940496401020276</v>
      </c>
      <c r="K1124" s="4">
        <f t="shared" si="529"/>
        <v>5.1179938124167554</v>
      </c>
      <c r="L1124" s="2">
        <v>0</v>
      </c>
      <c r="M1124" s="2">
        <v>1</v>
      </c>
      <c r="N1124" s="4">
        <f t="shared" si="530"/>
        <v>51.1</v>
      </c>
      <c r="O1124" s="4">
        <f t="shared" si="531"/>
        <v>1</v>
      </c>
      <c r="P1124" s="4">
        <f t="shared" si="532"/>
        <v>2</v>
      </c>
      <c r="Q1124" s="4">
        <f t="shared" si="533"/>
        <v>8.2940496401020276</v>
      </c>
      <c r="R1124" s="4">
        <f t="shared" si="534"/>
        <v>5.1179938124167554</v>
      </c>
      <c r="S1124" s="4">
        <f t="shared" si="535"/>
        <v>51.1</v>
      </c>
      <c r="T1124" s="4">
        <f t="shared" si="536"/>
        <v>1</v>
      </c>
      <c r="U1124" s="4">
        <f t="shared" si="537"/>
        <v>8.2940496401020276</v>
      </c>
      <c r="V1124" s="4">
        <f t="shared" si="538"/>
        <v>5.1179938124167554</v>
      </c>
      <c r="W1124" s="4">
        <f t="shared" si="539"/>
        <v>51.1</v>
      </c>
      <c r="X1124" s="4">
        <f t="shared" si="540"/>
        <v>2</v>
      </c>
      <c r="Y1124" s="4">
        <f t="shared" si="541"/>
        <v>8.2940496401020276</v>
      </c>
      <c r="Z1124" s="4">
        <f t="shared" si="542"/>
        <v>5.1179938124167554</v>
      </c>
      <c r="AA1124" s="4">
        <f t="shared" si="543"/>
        <v>51.1</v>
      </c>
      <c r="AB1124" s="4">
        <f t="shared" si="544"/>
        <v>0</v>
      </c>
      <c r="AC1124" s="4">
        <f t="shared" si="545"/>
        <v>1</v>
      </c>
      <c r="AD1124" s="4">
        <f t="shared" si="546"/>
        <v>8.2940496401020276</v>
      </c>
      <c r="AE1124" s="4">
        <f t="shared" si="547"/>
        <v>5.1179938124167554</v>
      </c>
      <c r="AF1124" s="4">
        <f t="shared" si="548"/>
        <v>51.1</v>
      </c>
      <c r="AG1124" s="4">
        <f t="shared" si="549"/>
        <v>8.2940496401020276</v>
      </c>
      <c r="AH1124" s="4">
        <f t="shared" si="550"/>
        <v>0</v>
      </c>
      <c r="AI1124" s="4">
        <f t="shared" si="551"/>
        <v>1</v>
      </c>
      <c r="AJ1124" s="4">
        <f t="shared" si="552"/>
        <v>8.2940496401020276</v>
      </c>
      <c r="AK1124" s="4">
        <f t="shared" si="553"/>
        <v>5.1179938124167554</v>
      </c>
      <c r="AL1124" s="4">
        <f t="shared" si="554"/>
        <v>1</v>
      </c>
      <c r="AM1124" s="4">
        <f>CER!$C$7+CER!$C$8*J1124+CER!$C$9*K1124+CER!$C$10*L1124+CER!$C$11*M1124</f>
        <v>5.3227156913732863</v>
      </c>
      <c r="AN1124" s="4">
        <f t="shared" si="555"/>
        <v>204.93967988432135</v>
      </c>
      <c r="AO1124" s="4">
        <f t="shared" si="556"/>
        <v>-0.1864673555426597</v>
      </c>
      <c r="AP1124" s="4">
        <f>Alternatives!$F$25+Alternatives!$F$26*J1124+Alternatives!$F$27*K1124+Alternatives!$F$28*G1124+Alternatives!$F$29*O1124</f>
        <v>4.3320313845155116</v>
      </c>
      <c r="AQ1124" s="4">
        <f t="shared" si="557"/>
        <v>0.80421695131511495</v>
      </c>
    </row>
    <row r="1125" spans="1:43" x14ac:dyDescent="0.35">
      <c r="A1125" s="2" t="s">
        <v>975</v>
      </c>
      <c r="B1125" s="2" t="s">
        <v>462</v>
      </c>
      <c r="C1125" s="2" t="s">
        <v>34</v>
      </c>
      <c r="D1125" s="2">
        <v>171.74289999999999</v>
      </c>
      <c r="E1125" s="2">
        <v>4500</v>
      </c>
      <c r="F1125" s="2">
        <v>225</v>
      </c>
      <c r="G1125" s="2">
        <v>51.1</v>
      </c>
      <c r="H1125" s="2" t="s">
        <v>881</v>
      </c>
      <c r="I1125" s="4">
        <f t="shared" si="527"/>
        <v>5.1459985910922228</v>
      </c>
      <c r="J1125" s="4">
        <f t="shared" si="528"/>
        <v>8.4118326757584114</v>
      </c>
      <c r="K1125" s="4">
        <f t="shared" si="529"/>
        <v>5.4161004022044201</v>
      </c>
      <c r="L1125" s="2">
        <v>0</v>
      </c>
      <c r="M1125" s="2">
        <v>1</v>
      </c>
      <c r="N1125" s="4">
        <f t="shared" si="530"/>
        <v>51.1</v>
      </c>
      <c r="O1125" s="4">
        <f t="shared" si="531"/>
        <v>1</v>
      </c>
      <c r="P1125" s="4">
        <f t="shared" si="532"/>
        <v>2</v>
      </c>
      <c r="Q1125" s="4">
        <f t="shared" si="533"/>
        <v>8.4118326757584114</v>
      </c>
      <c r="R1125" s="4">
        <f t="shared" si="534"/>
        <v>5.4161004022044201</v>
      </c>
      <c r="S1125" s="4">
        <f t="shared" si="535"/>
        <v>51.1</v>
      </c>
      <c r="T1125" s="4">
        <f t="shared" si="536"/>
        <v>1</v>
      </c>
      <c r="U1125" s="4">
        <f t="shared" si="537"/>
        <v>8.4118326757584114</v>
      </c>
      <c r="V1125" s="4">
        <f t="shared" si="538"/>
        <v>5.4161004022044201</v>
      </c>
      <c r="W1125" s="4">
        <f t="shared" si="539"/>
        <v>51.1</v>
      </c>
      <c r="X1125" s="4">
        <f t="shared" si="540"/>
        <v>2</v>
      </c>
      <c r="Y1125" s="4">
        <f t="shared" si="541"/>
        <v>8.4118326757584114</v>
      </c>
      <c r="Z1125" s="4">
        <f t="shared" si="542"/>
        <v>5.4161004022044201</v>
      </c>
      <c r="AA1125" s="4">
        <f t="shared" si="543"/>
        <v>51.1</v>
      </c>
      <c r="AB1125" s="4">
        <f t="shared" si="544"/>
        <v>0</v>
      </c>
      <c r="AC1125" s="4">
        <f t="shared" si="545"/>
        <v>1</v>
      </c>
      <c r="AD1125" s="4">
        <f t="shared" si="546"/>
        <v>8.4118326757584114</v>
      </c>
      <c r="AE1125" s="4">
        <f t="shared" si="547"/>
        <v>5.4161004022044201</v>
      </c>
      <c r="AF1125" s="4">
        <f t="shared" si="548"/>
        <v>51.1</v>
      </c>
      <c r="AG1125" s="4">
        <f t="shared" si="549"/>
        <v>8.4118326757584114</v>
      </c>
      <c r="AH1125" s="4">
        <f t="shared" si="550"/>
        <v>0</v>
      </c>
      <c r="AI1125" s="4">
        <f t="shared" si="551"/>
        <v>1</v>
      </c>
      <c r="AJ1125" s="4">
        <f t="shared" si="552"/>
        <v>8.4118326757584114</v>
      </c>
      <c r="AK1125" s="4">
        <f t="shared" si="553"/>
        <v>5.4161004022044201</v>
      </c>
      <c r="AL1125" s="4">
        <f t="shared" si="554"/>
        <v>1</v>
      </c>
      <c r="AM1125" s="4">
        <f>CER!$C$7+CER!$C$8*J1125+CER!$C$9*K1125+CER!$C$10*L1125+CER!$C$11*M1125</f>
        <v>5.1594096846298818</v>
      </c>
      <c r="AN1125" s="4">
        <f t="shared" si="555"/>
        <v>174.06167398980716</v>
      </c>
      <c r="AO1125" s="4">
        <f t="shared" si="556"/>
        <v>-1.3411093537659013E-2</v>
      </c>
      <c r="AP1125" s="4">
        <f>Alternatives!$F$25+Alternatives!$F$26*J1125+Alternatives!$F$27*K1125+Alternatives!$F$28*G1125+Alternatives!$F$29*O1125</f>
        <v>4.2962920994272249</v>
      </c>
      <c r="AQ1125" s="4">
        <f t="shared" si="557"/>
        <v>0.8497064916649979</v>
      </c>
    </row>
    <row r="1126" spans="1:43" x14ac:dyDescent="0.35">
      <c r="A1126" s="2" t="s">
        <v>976</v>
      </c>
      <c r="B1126" s="2" t="s">
        <v>462</v>
      </c>
      <c r="C1126" s="2" t="s">
        <v>34</v>
      </c>
      <c r="D1126" s="2">
        <v>131.018</v>
      </c>
      <c r="E1126" s="2">
        <v>5500</v>
      </c>
      <c r="F1126" s="2">
        <v>215</v>
      </c>
      <c r="G1126" s="2">
        <v>56.9</v>
      </c>
      <c r="H1126" s="2" t="s">
        <v>881</v>
      </c>
      <c r="I1126" s="4">
        <f t="shared" si="527"/>
        <v>4.8753347183421596</v>
      </c>
      <c r="J1126" s="4">
        <f t="shared" si="528"/>
        <v>8.6125033712205621</v>
      </c>
      <c r="K1126" s="4">
        <f t="shared" si="529"/>
        <v>5.3706380281276624</v>
      </c>
      <c r="L1126" s="2">
        <v>0</v>
      </c>
      <c r="M1126" s="2">
        <v>1</v>
      </c>
      <c r="N1126" s="4">
        <f t="shared" si="530"/>
        <v>56.9</v>
      </c>
      <c r="O1126" s="4">
        <f t="shared" si="531"/>
        <v>1</v>
      </c>
      <c r="P1126" s="4">
        <f t="shared" si="532"/>
        <v>2</v>
      </c>
      <c r="Q1126" s="4">
        <f t="shared" si="533"/>
        <v>8.6125033712205621</v>
      </c>
      <c r="R1126" s="4">
        <f t="shared" si="534"/>
        <v>5.3706380281276624</v>
      </c>
      <c r="S1126" s="4">
        <f t="shared" si="535"/>
        <v>56.9</v>
      </c>
      <c r="T1126" s="4">
        <f t="shared" si="536"/>
        <v>1</v>
      </c>
      <c r="U1126" s="4">
        <f t="shared" si="537"/>
        <v>8.6125033712205621</v>
      </c>
      <c r="V1126" s="4">
        <f t="shared" si="538"/>
        <v>5.3706380281276624</v>
      </c>
      <c r="W1126" s="4">
        <f t="shared" si="539"/>
        <v>56.9</v>
      </c>
      <c r="X1126" s="4">
        <f t="shared" si="540"/>
        <v>2</v>
      </c>
      <c r="Y1126" s="4">
        <f t="shared" si="541"/>
        <v>8.6125033712205621</v>
      </c>
      <c r="Z1126" s="4">
        <f t="shared" si="542"/>
        <v>5.3706380281276624</v>
      </c>
      <c r="AA1126" s="4">
        <f t="shared" si="543"/>
        <v>56.9</v>
      </c>
      <c r="AB1126" s="4">
        <f t="shared" si="544"/>
        <v>0</v>
      </c>
      <c r="AC1126" s="4">
        <f t="shared" si="545"/>
        <v>1</v>
      </c>
      <c r="AD1126" s="4">
        <f t="shared" si="546"/>
        <v>8.6125033712205621</v>
      </c>
      <c r="AE1126" s="4">
        <f t="shared" si="547"/>
        <v>5.3706380281276624</v>
      </c>
      <c r="AF1126" s="4">
        <f t="shared" si="548"/>
        <v>56.9</v>
      </c>
      <c r="AG1126" s="4">
        <f t="shared" si="549"/>
        <v>8.6125033712205621</v>
      </c>
      <c r="AH1126" s="4">
        <f t="shared" si="550"/>
        <v>0</v>
      </c>
      <c r="AI1126" s="4">
        <f t="shared" si="551"/>
        <v>1</v>
      </c>
      <c r="AJ1126" s="4">
        <f t="shared" si="552"/>
        <v>8.6125033712205621</v>
      </c>
      <c r="AK1126" s="4">
        <f t="shared" si="553"/>
        <v>5.3706380281276624</v>
      </c>
      <c r="AL1126" s="4">
        <f t="shared" si="554"/>
        <v>1</v>
      </c>
      <c r="AM1126" s="4">
        <f>CER!$C$7+CER!$C$8*J1126+CER!$C$9*K1126+CER!$C$10*L1126+CER!$C$11*M1126</f>
        <v>5.0853372878857179</v>
      </c>
      <c r="AN1126" s="4">
        <f t="shared" si="555"/>
        <v>161.63444738563209</v>
      </c>
      <c r="AO1126" s="4">
        <f t="shared" si="556"/>
        <v>-0.21000256954355834</v>
      </c>
      <c r="AP1126" s="4">
        <f>Alternatives!$F$25+Alternatives!$F$26*J1126+Alternatives!$F$27*K1126+Alternatives!$F$28*G1126+Alternatives!$F$29*O1126</f>
        <v>4.3072130765939125</v>
      </c>
      <c r="AQ1126" s="4">
        <f t="shared" si="557"/>
        <v>0.56812164174824709</v>
      </c>
    </row>
    <row r="1127" spans="1:43" x14ac:dyDescent="0.35">
      <c r="A1127" s="2" t="s">
        <v>977</v>
      </c>
      <c r="B1127" s="2" t="s">
        <v>462</v>
      </c>
      <c r="C1127" s="2" t="s">
        <v>34</v>
      </c>
      <c r="D1127" s="2">
        <v>132.01859999999999</v>
      </c>
      <c r="E1127" s="2">
        <v>5500</v>
      </c>
      <c r="F1127" s="2">
        <v>200</v>
      </c>
      <c r="G1127" s="2">
        <v>56.9</v>
      </c>
      <c r="H1127" s="2" t="s">
        <v>881</v>
      </c>
      <c r="I1127" s="4">
        <f t="shared" si="527"/>
        <v>4.8829428217505262</v>
      </c>
      <c r="J1127" s="4">
        <f t="shared" si="528"/>
        <v>8.6125033712205621</v>
      </c>
      <c r="K1127" s="4">
        <f t="shared" si="529"/>
        <v>5.2983173665480363</v>
      </c>
      <c r="L1127" s="2">
        <v>0</v>
      </c>
      <c r="M1127" s="2">
        <v>1</v>
      </c>
      <c r="N1127" s="4">
        <f t="shared" si="530"/>
        <v>56.9</v>
      </c>
      <c r="O1127" s="4">
        <f t="shared" si="531"/>
        <v>1</v>
      </c>
      <c r="P1127" s="4">
        <f t="shared" si="532"/>
        <v>2</v>
      </c>
      <c r="Q1127" s="4">
        <f t="shared" si="533"/>
        <v>8.6125033712205621</v>
      </c>
      <c r="R1127" s="4">
        <f t="shared" si="534"/>
        <v>5.2983173665480363</v>
      </c>
      <c r="S1127" s="4">
        <f t="shared" si="535"/>
        <v>56.9</v>
      </c>
      <c r="T1127" s="4">
        <f t="shared" si="536"/>
        <v>1</v>
      </c>
      <c r="U1127" s="4">
        <f t="shared" si="537"/>
        <v>8.6125033712205621</v>
      </c>
      <c r="V1127" s="4">
        <f t="shared" si="538"/>
        <v>5.2983173665480363</v>
      </c>
      <c r="W1127" s="4">
        <f t="shared" si="539"/>
        <v>56.9</v>
      </c>
      <c r="X1127" s="4">
        <f t="shared" si="540"/>
        <v>2</v>
      </c>
      <c r="Y1127" s="4">
        <f t="shared" si="541"/>
        <v>8.6125033712205621</v>
      </c>
      <c r="Z1127" s="4">
        <f t="shared" si="542"/>
        <v>5.2983173665480363</v>
      </c>
      <c r="AA1127" s="4">
        <f t="shared" si="543"/>
        <v>56.9</v>
      </c>
      <c r="AB1127" s="4">
        <f t="shared" si="544"/>
        <v>0</v>
      </c>
      <c r="AC1127" s="4">
        <f t="shared" si="545"/>
        <v>1</v>
      </c>
      <c r="AD1127" s="4">
        <f t="shared" si="546"/>
        <v>8.6125033712205621</v>
      </c>
      <c r="AE1127" s="4">
        <f t="shared" si="547"/>
        <v>5.2983173665480363</v>
      </c>
      <c r="AF1127" s="4">
        <f t="shared" si="548"/>
        <v>56.9</v>
      </c>
      <c r="AG1127" s="4">
        <f t="shared" si="549"/>
        <v>8.6125033712205621</v>
      </c>
      <c r="AH1127" s="4">
        <f t="shared" si="550"/>
        <v>0</v>
      </c>
      <c r="AI1127" s="4">
        <f t="shared" si="551"/>
        <v>1</v>
      </c>
      <c r="AJ1127" s="4">
        <f t="shared" si="552"/>
        <v>8.6125033712205621</v>
      </c>
      <c r="AK1127" s="4">
        <f t="shared" si="553"/>
        <v>5.2983173665480363</v>
      </c>
      <c r="AL1127" s="4">
        <f t="shared" si="554"/>
        <v>1</v>
      </c>
      <c r="AM1127" s="4">
        <f>CER!$C$7+CER!$C$8*J1127+CER!$C$9*K1127+CER!$C$10*L1127+CER!$C$11*M1127</f>
        <v>5.1120195413582525</v>
      </c>
      <c r="AN1127" s="4">
        <f t="shared" si="555"/>
        <v>166.00527108196965</v>
      </c>
      <c r="AO1127" s="4">
        <f t="shared" si="556"/>
        <v>-0.22907671960772635</v>
      </c>
      <c r="AP1127" s="4">
        <f>Alternatives!$F$25+Alternatives!$F$26*J1127+Alternatives!$F$27*K1127+Alternatives!$F$28*G1127+Alternatives!$F$29*O1127</f>
        <v>4.3264583255260787</v>
      </c>
      <c r="AQ1127" s="4">
        <f t="shared" si="557"/>
        <v>0.55648449622444751</v>
      </c>
    </row>
    <row r="1128" spans="1:43" x14ac:dyDescent="0.35">
      <c r="A1128" s="2" t="s">
        <v>978</v>
      </c>
      <c r="B1128" s="2" t="s">
        <v>462</v>
      </c>
      <c r="C1128" s="2" t="s">
        <v>34</v>
      </c>
      <c r="D1128" s="2">
        <v>122.7169</v>
      </c>
      <c r="E1128" s="2">
        <v>6000</v>
      </c>
      <c r="F1128" s="2">
        <v>378</v>
      </c>
      <c r="G1128" s="2">
        <v>56.9</v>
      </c>
      <c r="H1128" s="2" t="s">
        <v>881</v>
      </c>
      <c r="I1128" s="4">
        <f t="shared" si="527"/>
        <v>4.8098800765436946</v>
      </c>
      <c r="J1128" s="4">
        <f t="shared" si="528"/>
        <v>8.6995147482101913</v>
      </c>
      <c r="K1128" s="4">
        <f t="shared" si="529"/>
        <v>5.934894195619588</v>
      </c>
      <c r="L1128" s="2">
        <v>0</v>
      </c>
      <c r="M1128" s="2">
        <v>1</v>
      </c>
      <c r="N1128" s="4">
        <f t="shared" si="530"/>
        <v>56.9</v>
      </c>
      <c r="O1128" s="4">
        <f t="shared" si="531"/>
        <v>1</v>
      </c>
      <c r="P1128" s="4">
        <f t="shared" si="532"/>
        <v>2</v>
      </c>
      <c r="Q1128" s="4">
        <f t="shared" si="533"/>
        <v>8.6995147482101913</v>
      </c>
      <c r="R1128" s="4">
        <f t="shared" si="534"/>
        <v>5.934894195619588</v>
      </c>
      <c r="S1128" s="4">
        <f t="shared" si="535"/>
        <v>56.9</v>
      </c>
      <c r="T1128" s="4">
        <f t="shared" si="536"/>
        <v>1</v>
      </c>
      <c r="U1128" s="4">
        <f t="shared" si="537"/>
        <v>8.6995147482101913</v>
      </c>
      <c r="V1128" s="4">
        <f t="shared" si="538"/>
        <v>5.934894195619588</v>
      </c>
      <c r="W1128" s="4">
        <f t="shared" si="539"/>
        <v>56.9</v>
      </c>
      <c r="X1128" s="4">
        <f t="shared" si="540"/>
        <v>2</v>
      </c>
      <c r="Y1128" s="4">
        <f t="shared" si="541"/>
        <v>8.6995147482101913</v>
      </c>
      <c r="Z1128" s="4">
        <f t="shared" si="542"/>
        <v>5.934894195619588</v>
      </c>
      <c r="AA1128" s="4">
        <f t="shared" si="543"/>
        <v>56.9</v>
      </c>
      <c r="AB1128" s="4">
        <f t="shared" si="544"/>
        <v>0</v>
      </c>
      <c r="AC1128" s="4">
        <f t="shared" si="545"/>
        <v>1</v>
      </c>
      <c r="AD1128" s="4">
        <f t="shared" si="546"/>
        <v>8.6995147482101913</v>
      </c>
      <c r="AE1128" s="4">
        <f t="shared" si="547"/>
        <v>5.934894195619588</v>
      </c>
      <c r="AF1128" s="4">
        <f t="shared" si="548"/>
        <v>56.9</v>
      </c>
      <c r="AG1128" s="4">
        <f t="shared" si="549"/>
        <v>8.6995147482101913</v>
      </c>
      <c r="AH1128" s="4">
        <f t="shared" si="550"/>
        <v>0</v>
      </c>
      <c r="AI1128" s="4">
        <f t="shared" si="551"/>
        <v>1</v>
      </c>
      <c r="AJ1128" s="4">
        <f t="shared" si="552"/>
        <v>8.6995147482101913</v>
      </c>
      <c r="AK1128" s="4">
        <f t="shared" si="553"/>
        <v>5.934894195619588</v>
      </c>
      <c r="AL1128" s="4">
        <f t="shared" si="554"/>
        <v>1</v>
      </c>
      <c r="AM1128" s="4">
        <f>CER!$C$7+CER!$C$8*J1128+CER!$C$9*K1128+CER!$C$10*L1128+CER!$C$11*M1128</f>
        <v>4.8377676780043029</v>
      </c>
      <c r="AN1128" s="4">
        <f t="shared" si="555"/>
        <v>126.18734629504279</v>
      </c>
      <c r="AO1128" s="4">
        <f t="shared" si="556"/>
        <v>-2.7887601460608202E-2</v>
      </c>
      <c r="AP1128" s="4">
        <f>Alternatives!$F$25+Alternatives!$F$26*J1128+Alternatives!$F$27*K1128+Alternatives!$F$28*G1128+Alternatives!$F$29*O1128</f>
        <v>4.1892605765282882</v>
      </c>
      <c r="AQ1128" s="4">
        <f t="shared" si="557"/>
        <v>0.62061950001540644</v>
      </c>
    </row>
    <row r="1129" spans="1:43" x14ac:dyDescent="0.35">
      <c r="A1129" s="2" t="s">
        <v>979</v>
      </c>
      <c r="B1129" s="2" t="s">
        <v>462</v>
      </c>
      <c r="C1129" s="2" t="s">
        <v>34</v>
      </c>
      <c r="D1129" s="2">
        <v>119.6905</v>
      </c>
      <c r="E1129" s="2">
        <v>6000</v>
      </c>
      <c r="F1129" s="2">
        <v>378</v>
      </c>
      <c r="G1129" s="2">
        <v>56.6</v>
      </c>
      <c r="H1129" s="2" t="s">
        <v>881</v>
      </c>
      <c r="I1129" s="4">
        <f t="shared" si="527"/>
        <v>4.7849092443349877</v>
      </c>
      <c r="J1129" s="4">
        <f t="shared" si="528"/>
        <v>8.6995147482101913</v>
      </c>
      <c r="K1129" s="4">
        <f t="shared" si="529"/>
        <v>5.934894195619588</v>
      </c>
      <c r="L1129" s="2">
        <v>0</v>
      </c>
      <c r="M1129" s="2">
        <v>1</v>
      </c>
      <c r="N1129" s="4">
        <f t="shared" si="530"/>
        <v>56.6</v>
      </c>
      <c r="O1129" s="4">
        <f t="shared" si="531"/>
        <v>1</v>
      </c>
      <c r="P1129" s="4">
        <f t="shared" si="532"/>
        <v>2</v>
      </c>
      <c r="Q1129" s="4">
        <f t="shared" si="533"/>
        <v>8.6995147482101913</v>
      </c>
      <c r="R1129" s="4">
        <f t="shared" si="534"/>
        <v>5.934894195619588</v>
      </c>
      <c r="S1129" s="4">
        <f t="shared" si="535"/>
        <v>56.6</v>
      </c>
      <c r="T1129" s="4">
        <f t="shared" si="536"/>
        <v>1</v>
      </c>
      <c r="U1129" s="4">
        <f t="shared" si="537"/>
        <v>8.6995147482101913</v>
      </c>
      <c r="V1129" s="4">
        <f t="shared" si="538"/>
        <v>5.934894195619588</v>
      </c>
      <c r="W1129" s="4">
        <f t="shared" si="539"/>
        <v>56.6</v>
      </c>
      <c r="X1129" s="4">
        <f t="shared" si="540"/>
        <v>2</v>
      </c>
      <c r="Y1129" s="4">
        <f t="shared" si="541"/>
        <v>8.6995147482101913</v>
      </c>
      <c r="Z1129" s="4">
        <f t="shared" si="542"/>
        <v>5.934894195619588</v>
      </c>
      <c r="AA1129" s="4">
        <f t="shared" si="543"/>
        <v>56.6</v>
      </c>
      <c r="AB1129" s="4">
        <f t="shared" si="544"/>
        <v>0</v>
      </c>
      <c r="AC1129" s="4">
        <f t="shared" si="545"/>
        <v>1</v>
      </c>
      <c r="AD1129" s="4">
        <f t="shared" si="546"/>
        <v>8.6995147482101913</v>
      </c>
      <c r="AE1129" s="4">
        <f t="shared" si="547"/>
        <v>5.934894195619588</v>
      </c>
      <c r="AF1129" s="4">
        <f t="shared" si="548"/>
        <v>56.6</v>
      </c>
      <c r="AG1129" s="4">
        <f t="shared" si="549"/>
        <v>8.6995147482101913</v>
      </c>
      <c r="AH1129" s="4">
        <f t="shared" si="550"/>
        <v>0</v>
      </c>
      <c r="AI1129" s="4">
        <f t="shared" si="551"/>
        <v>1</v>
      </c>
      <c r="AJ1129" s="4">
        <f t="shared" si="552"/>
        <v>8.6995147482101913</v>
      </c>
      <c r="AK1129" s="4">
        <f t="shared" si="553"/>
        <v>5.934894195619588</v>
      </c>
      <c r="AL1129" s="4">
        <f t="shared" si="554"/>
        <v>1</v>
      </c>
      <c r="AM1129" s="4">
        <f>CER!$C$7+CER!$C$8*J1129+CER!$C$9*K1129+CER!$C$10*L1129+CER!$C$11*M1129</f>
        <v>4.8377676780043029</v>
      </c>
      <c r="AN1129" s="4">
        <f t="shared" si="555"/>
        <v>126.18734629504279</v>
      </c>
      <c r="AO1129" s="4">
        <f t="shared" si="556"/>
        <v>-5.2858433669315197E-2</v>
      </c>
      <c r="AP1129" s="4">
        <f>Alternatives!$F$25+Alternatives!$F$26*J1129+Alternatives!$F$27*K1129+Alternatives!$F$28*G1129+Alternatives!$F$29*O1129</f>
        <v>4.1931627708909573</v>
      </c>
      <c r="AQ1129" s="4">
        <f t="shared" si="557"/>
        <v>0.59174647344403031</v>
      </c>
    </row>
    <row r="1130" spans="1:43" x14ac:dyDescent="0.35">
      <c r="A1130" s="2" t="s">
        <v>980</v>
      </c>
      <c r="B1130" s="2" t="s">
        <v>981</v>
      </c>
      <c r="C1130" s="2" t="s">
        <v>34</v>
      </c>
      <c r="D1130" s="2">
        <v>144.96289999999999</v>
      </c>
      <c r="E1130" s="2">
        <v>5500</v>
      </c>
      <c r="F1130" s="2">
        <v>1234</v>
      </c>
      <c r="G1130" s="2">
        <v>53.7</v>
      </c>
      <c r="H1130" s="2" t="s">
        <v>881</v>
      </c>
      <c r="I1130" s="4">
        <f t="shared" si="527"/>
        <v>4.9764778476133253</v>
      </c>
      <c r="J1130" s="4">
        <f t="shared" si="528"/>
        <v>8.6125033712205621</v>
      </c>
      <c r="K1130" s="4">
        <f t="shared" si="529"/>
        <v>7.1180162044653335</v>
      </c>
      <c r="L1130" s="2">
        <v>0</v>
      </c>
      <c r="M1130" s="2">
        <v>1</v>
      </c>
      <c r="N1130" s="4">
        <f t="shared" si="530"/>
        <v>53.7</v>
      </c>
      <c r="O1130" s="4">
        <f t="shared" si="531"/>
        <v>1</v>
      </c>
      <c r="P1130" s="4">
        <f t="shared" si="532"/>
        <v>2</v>
      </c>
      <c r="Q1130" s="4">
        <f t="shared" si="533"/>
        <v>8.6125033712205621</v>
      </c>
      <c r="R1130" s="4">
        <f t="shared" si="534"/>
        <v>7.1180162044653335</v>
      </c>
      <c r="S1130" s="4">
        <f t="shared" si="535"/>
        <v>53.7</v>
      </c>
      <c r="T1130" s="4">
        <f t="shared" si="536"/>
        <v>1</v>
      </c>
      <c r="U1130" s="4">
        <f t="shared" si="537"/>
        <v>8.6125033712205621</v>
      </c>
      <c r="V1130" s="4">
        <f t="shared" si="538"/>
        <v>7.1180162044653335</v>
      </c>
      <c r="W1130" s="4">
        <f t="shared" si="539"/>
        <v>53.7</v>
      </c>
      <c r="X1130" s="4">
        <f t="shared" si="540"/>
        <v>2</v>
      </c>
      <c r="Y1130" s="4">
        <f t="shared" si="541"/>
        <v>8.6125033712205621</v>
      </c>
      <c r="Z1130" s="4">
        <f t="shared" si="542"/>
        <v>7.1180162044653335</v>
      </c>
      <c r="AA1130" s="4">
        <f t="shared" si="543"/>
        <v>53.7</v>
      </c>
      <c r="AB1130" s="4">
        <f t="shared" si="544"/>
        <v>0</v>
      </c>
      <c r="AC1130" s="4">
        <f t="shared" si="545"/>
        <v>1</v>
      </c>
      <c r="AD1130" s="4">
        <f t="shared" si="546"/>
        <v>8.6125033712205621</v>
      </c>
      <c r="AE1130" s="4">
        <f t="shared" si="547"/>
        <v>7.1180162044653335</v>
      </c>
      <c r="AF1130" s="4">
        <f t="shared" si="548"/>
        <v>53.7</v>
      </c>
      <c r="AG1130" s="4">
        <f t="shared" si="549"/>
        <v>8.6125033712205621</v>
      </c>
      <c r="AH1130" s="4">
        <f t="shared" si="550"/>
        <v>0</v>
      </c>
      <c r="AI1130" s="4">
        <f t="shared" si="551"/>
        <v>1</v>
      </c>
      <c r="AJ1130" s="4">
        <f t="shared" si="552"/>
        <v>8.6125033712205621</v>
      </c>
      <c r="AK1130" s="4">
        <f t="shared" si="553"/>
        <v>7.1180162044653335</v>
      </c>
      <c r="AL1130" s="4">
        <f t="shared" si="554"/>
        <v>1</v>
      </c>
      <c r="AM1130" s="4">
        <f>CER!$C$7+CER!$C$8*J1130+CER!$C$9*K1130+CER!$C$10*L1130+CER!$C$11*M1130</f>
        <v>4.4406530939768629</v>
      </c>
      <c r="AN1130" s="4">
        <f t="shared" si="555"/>
        <v>84.830325761162413</v>
      </c>
      <c r="AO1130" s="4">
        <f t="shared" si="556"/>
        <v>0.53582475363646243</v>
      </c>
      <c r="AP1130" s="4">
        <f>Alternatives!$F$25+Alternatives!$F$26*J1130+Alternatives!$F$27*K1130+Alternatives!$F$28*G1130+Alternatives!$F$29*O1130</f>
        <v>3.8838417326976393</v>
      </c>
      <c r="AQ1130" s="4">
        <f t="shared" si="557"/>
        <v>1.092636114915686</v>
      </c>
    </row>
    <row r="1131" spans="1:43" x14ac:dyDescent="0.35">
      <c r="A1131" s="2" t="s">
        <v>982</v>
      </c>
      <c r="B1131" s="2" t="s">
        <v>981</v>
      </c>
      <c r="C1131" s="2" t="s">
        <v>34</v>
      </c>
      <c r="D1131" s="2">
        <v>188.44319999999999</v>
      </c>
      <c r="E1131" s="2">
        <v>4500</v>
      </c>
      <c r="F1131" s="2">
        <v>430</v>
      </c>
      <c r="G1131" s="2">
        <v>53.3</v>
      </c>
      <c r="H1131" s="2" t="s">
        <v>924</v>
      </c>
      <c r="I1131" s="4">
        <f t="shared" si="527"/>
        <v>5.2387966352202389</v>
      </c>
      <c r="J1131" s="4">
        <f t="shared" si="528"/>
        <v>8.4118326757584114</v>
      </c>
      <c r="K1131" s="4">
        <f t="shared" si="529"/>
        <v>6.0637852086876078</v>
      </c>
      <c r="L1131" s="2">
        <v>0</v>
      </c>
      <c r="M1131" s="2">
        <v>1</v>
      </c>
      <c r="N1131" s="4">
        <f t="shared" si="530"/>
        <v>53.3</v>
      </c>
      <c r="O1131" s="4">
        <f t="shared" si="531"/>
        <v>1</v>
      </c>
      <c r="P1131" s="4">
        <f t="shared" si="532"/>
        <v>2</v>
      </c>
      <c r="Q1131" s="4">
        <f t="shared" si="533"/>
        <v>8.4118326757584114</v>
      </c>
      <c r="R1131" s="4">
        <f t="shared" si="534"/>
        <v>6.0637852086876078</v>
      </c>
      <c r="S1131" s="4">
        <f t="shared" si="535"/>
        <v>53.3</v>
      </c>
      <c r="T1131" s="4">
        <f t="shared" si="536"/>
        <v>1</v>
      </c>
      <c r="U1131" s="4">
        <f t="shared" si="537"/>
        <v>8.4118326757584114</v>
      </c>
      <c r="V1131" s="4">
        <f t="shared" si="538"/>
        <v>6.0637852086876078</v>
      </c>
      <c r="W1131" s="4">
        <f t="shared" si="539"/>
        <v>53.3</v>
      </c>
      <c r="X1131" s="4">
        <f t="shared" si="540"/>
        <v>2</v>
      </c>
      <c r="Y1131" s="4">
        <f t="shared" si="541"/>
        <v>8.4118326757584114</v>
      </c>
      <c r="Z1131" s="4">
        <f t="shared" si="542"/>
        <v>6.0637852086876078</v>
      </c>
      <c r="AA1131" s="4">
        <f t="shared" si="543"/>
        <v>53.3</v>
      </c>
      <c r="AB1131" s="4">
        <f t="shared" si="544"/>
        <v>0</v>
      </c>
      <c r="AC1131" s="4">
        <f t="shared" si="545"/>
        <v>1</v>
      </c>
      <c r="AD1131" s="4">
        <f t="shared" si="546"/>
        <v>8.4118326757584114</v>
      </c>
      <c r="AE1131" s="4">
        <f t="shared" si="547"/>
        <v>6.0637852086876078</v>
      </c>
      <c r="AF1131" s="4">
        <f t="shared" si="548"/>
        <v>53.3</v>
      </c>
      <c r="AG1131" s="4">
        <f t="shared" si="549"/>
        <v>8.4118326757584114</v>
      </c>
      <c r="AH1131" s="4">
        <f t="shared" si="550"/>
        <v>0</v>
      </c>
      <c r="AI1131" s="4">
        <f t="shared" si="551"/>
        <v>1</v>
      </c>
      <c r="AJ1131" s="4">
        <f t="shared" si="552"/>
        <v>8.4118326757584114</v>
      </c>
      <c r="AK1131" s="4">
        <f t="shared" si="553"/>
        <v>6.0637852086876078</v>
      </c>
      <c r="AL1131" s="4">
        <f t="shared" si="554"/>
        <v>1</v>
      </c>
      <c r="AM1131" s="4">
        <f>CER!$C$7+CER!$C$8*J1131+CER!$C$9*K1131+CER!$C$10*L1131+CER!$C$11*M1131</f>
        <v>4.9204504467104897</v>
      </c>
      <c r="AN1131" s="4">
        <f t="shared" si="555"/>
        <v>137.06433946406298</v>
      </c>
      <c r="AO1131" s="4">
        <f t="shared" si="556"/>
        <v>0.31834618850974916</v>
      </c>
      <c r="AP1131" s="4">
        <f>Alternatives!$F$25+Alternatives!$F$26*J1131+Alternatives!$F$27*K1131+Alternatives!$F$28*G1131+Alternatives!$F$29*O1131</f>
        <v>4.0953206243654536</v>
      </c>
      <c r="AQ1131" s="4">
        <f t="shared" si="557"/>
        <v>1.1434760108547852</v>
      </c>
    </row>
    <row r="1132" spans="1:43" x14ac:dyDescent="0.35">
      <c r="A1132" s="2" t="s">
        <v>983</v>
      </c>
      <c r="B1132" s="2" t="s">
        <v>981</v>
      </c>
      <c r="C1132" s="2" t="s">
        <v>34</v>
      </c>
      <c r="D1132" s="2">
        <v>178.8656</v>
      </c>
      <c r="E1132" s="2">
        <v>4500</v>
      </c>
      <c r="F1132" s="2">
        <v>430</v>
      </c>
      <c r="G1132" s="2">
        <v>53.1</v>
      </c>
      <c r="H1132" s="2" t="s">
        <v>924</v>
      </c>
      <c r="I1132" s="4">
        <f t="shared" si="527"/>
        <v>5.1866346858319092</v>
      </c>
      <c r="J1132" s="4">
        <f t="shared" si="528"/>
        <v>8.4118326757584114</v>
      </c>
      <c r="K1132" s="4">
        <f t="shared" si="529"/>
        <v>6.0637852086876078</v>
      </c>
      <c r="L1132" s="2">
        <v>0</v>
      </c>
      <c r="M1132" s="2">
        <v>1</v>
      </c>
      <c r="N1132" s="4">
        <f t="shared" si="530"/>
        <v>53.1</v>
      </c>
      <c r="O1132" s="4">
        <f t="shared" si="531"/>
        <v>1</v>
      </c>
      <c r="P1132" s="4">
        <f t="shared" si="532"/>
        <v>2</v>
      </c>
      <c r="Q1132" s="4">
        <f t="shared" si="533"/>
        <v>8.4118326757584114</v>
      </c>
      <c r="R1132" s="4">
        <f t="shared" si="534"/>
        <v>6.0637852086876078</v>
      </c>
      <c r="S1132" s="4">
        <f t="shared" si="535"/>
        <v>53.1</v>
      </c>
      <c r="T1132" s="4">
        <f t="shared" si="536"/>
        <v>1</v>
      </c>
      <c r="U1132" s="4">
        <f t="shared" si="537"/>
        <v>8.4118326757584114</v>
      </c>
      <c r="V1132" s="4">
        <f t="shared" si="538"/>
        <v>6.0637852086876078</v>
      </c>
      <c r="W1132" s="4">
        <f t="shared" si="539"/>
        <v>53.1</v>
      </c>
      <c r="X1132" s="4">
        <f t="shared" si="540"/>
        <v>2</v>
      </c>
      <c r="Y1132" s="4">
        <f t="shared" si="541"/>
        <v>8.4118326757584114</v>
      </c>
      <c r="Z1132" s="4">
        <f t="shared" si="542"/>
        <v>6.0637852086876078</v>
      </c>
      <c r="AA1132" s="4">
        <f t="shared" si="543"/>
        <v>53.1</v>
      </c>
      <c r="AB1132" s="4">
        <f t="shared" si="544"/>
        <v>0</v>
      </c>
      <c r="AC1132" s="4">
        <f t="shared" si="545"/>
        <v>1</v>
      </c>
      <c r="AD1132" s="4">
        <f t="shared" si="546"/>
        <v>8.4118326757584114</v>
      </c>
      <c r="AE1132" s="4">
        <f t="shared" si="547"/>
        <v>6.0637852086876078</v>
      </c>
      <c r="AF1132" s="4">
        <f t="shared" si="548"/>
        <v>53.1</v>
      </c>
      <c r="AG1132" s="4">
        <f t="shared" si="549"/>
        <v>8.4118326757584114</v>
      </c>
      <c r="AH1132" s="4">
        <f t="shared" si="550"/>
        <v>0</v>
      </c>
      <c r="AI1132" s="4">
        <f t="shared" si="551"/>
        <v>1</v>
      </c>
      <c r="AJ1132" s="4">
        <f t="shared" si="552"/>
        <v>8.4118326757584114</v>
      </c>
      <c r="AK1132" s="4">
        <f t="shared" si="553"/>
        <v>6.0637852086876078</v>
      </c>
      <c r="AL1132" s="4">
        <f t="shared" si="554"/>
        <v>1</v>
      </c>
      <c r="AM1132" s="4">
        <f>CER!$C$7+CER!$C$8*J1132+CER!$C$9*K1132+CER!$C$10*L1132+CER!$C$11*M1132</f>
        <v>4.9204504467104897</v>
      </c>
      <c r="AN1132" s="4">
        <f t="shared" si="555"/>
        <v>137.06433946406298</v>
      </c>
      <c r="AO1132" s="4">
        <f t="shared" si="556"/>
        <v>0.26618423912141953</v>
      </c>
      <c r="AP1132" s="4">
        <f>Alternatives!$F$25+Alternatives!$F$26*J1132+Alternatives!$F$27*K1132+Alternatives!$F$28*G1132+Alternatives!$F$29*O1132</f>
        <v>4.0979220872738988</v>
      </c>
      <c r="AQ1132" s="4">
        <f t="shared" si="557"/>
        <v>1.0887125985580104</v>
      </c>
    </row>
    <row r="1133" spans="1:43" x14ac:dyDescent="0.35">
      <c r="A1133" s="2" t="s">
        <v>984</v>
      </c>
      <c r="B1133" s="2" t="s">
        <v>981</v>
      </c>
      <c r="C1133" s="2" t="s">
        <v>34</v>
      </c>
      <c r="D1133" s="2">
        <v>180.56200000000001</v>
      </c>
      <c r="E1133" s="2">
        <v>5000</v>
      </c>
      <c r="F1133" s="2">
        <v>719.5</v>
      </c>
      <c r="G1133" s="2">
        <v>53.3</v>
      </c>
      <c r="H1133" s="2" t="s">
        <v>924</v>
      </c>
      <c r="I1133" s="4">
        <f t="shared" si="527"/>
        <v>5.1960742090983558</v>
      </c>
      <c r="J1133" s="4">
        <f t="shared" si="528"/>
        <v>8.5171931914162382</v>
      </c>
      <c r="K1133" s="4">
        <f t="shared" si="529"/>
        <v>6.5785565263274224</v>
      </c>
      <c r="L1133" s="2">
        <v>0</v>
      </c>
      <c r="M1133" s="2">
        <v>1</v>
      </c>
      <c r="N1133" s="4">
        <f t="shared" si="530"/>
        <v>53.3</v>
      </c>
      <c r="O1133" s="4">
        <f t="shared" si="531"/>
        <v>1</v>
      </c>
      <c r="P1133" s="4">
        <f t="shared" si="532"/>
        <v>2</v>
      </c>
      <c r="Q1133" s="4">
        <f t="shared" si="533"/>
        <v>8.5171931914162382</v>
      </c>
      <c r="R1133" s="4">
        <f t="shared" si="534"/>
        <v>6.5785565263274224</v>
      </c>
      <c r="S1133" s="4">
        <f t="shared" si="535"/>
        <v>53.3</v>
      </c>
      <c r="T1133" s="4">
        <f t="shared" si="536"/>
        <v>1</v>
      </c>
      <c r="U1133" s="4">
        <f t="shared" si="537"/>
        <v>8.5171931914162382</v>
      </c>
      <c r="V1133" s="4">
        <f t="shared" si="538"/>
        <v>6.5785565263274224</v>
      </c>
      <c r="W1133" s="4">
        <f t="shared" si="539"/>
        <v>53.3</v>
      </c>
      <c r="X1133" s="4">
        <f t="shared" si="540"/>
        <v>2</v>
      </c>
      <c r="Y1133" s="4">
        <f t="shared" si="541"/>
        <v>8.5171931914162382</v>
      </c>
      <c r="Z1133" s="4">
        <f t="shared" si="542"/>
        <v>6.5785565263274224</v>
      </c>
      <c r="AA1133" s="4">
        <f t="shared" si="543"/>
        <v>53.3</v>
      </c>
      <c r="AB1133" s="4">
        <f t="shared" si="544"/>
        <v>0</v>
      </c>
      <c r="AC1133" s="4">
        <f t="shared" si="545"/>
        <v>1</v>
      </c>
      <c r="AD1133" s="4">
        <f t="shared" si="546"/>
        <v>8.5171931914162382</v>
      </c>
      <c r="AE1133" s="4">
        <f t="shared" si="547"/>
        <v>6.5785565263274224</v>
      </c>
      <c r="AF1133" s="4">
        <f t="shared" si="548"/>
        <v>53.3</v>
      </c>
      <c r="AG1133" s="4">
        <f t="shared" si="549"/>
        <v>8.5171931914162382</v>
      </c>
      <c r="AH1133" s="4">
        <f t="shared" si="550"/>
        <v>0</v>
      </c>
      <c r="AI1133" s="4">
        <f t="shared" si="551"/>
        <v>1</v>
      </c>
      <c r="AJ1133" s="4">
        <f t="shared" si="552"/>
        <v>8.5171931914162382</v>
      </c>
      <c r="AK1133" s="4">
        <f t="shared" si="553"/>
        <v>6.5785565263274224</v>
      </c>
      <c r="AL1133" s="4">
        <f t="shared" si="554"/>
        <v>1</v>
      </c>
      <c r="AM1133" s="4">
        <f>CER!$C$7+CER!$C$8*J1133+CER!$C$9*K1133+CER!$C$10*L1133+CER!$C$11*M1133</f>
        <v>4.6828311387013191</v>
      </c>
      <c r="AN1133" s="4">
        <f t="shared" si="555"/>
        <v>108.07561690981512</v>
      </c>
      <c r="AO1133" s="4">
        <f t="shared" si="556"/>
        <v>0.51324307039703676</v>
      </c>
      <c r="AP1133" s="4">
        <f>Alternatives!$F$25+Alternatives!$F$26*J1133+Alternatives!$F$27*K1133+Alternatives!$F$28*G1133+Alternatives!$F$29*O1133</f>
        <v>3.9973272950371976</v>
      </c>
      <c r="AQ1133" s="4">
        <f t="shared" si="557"/>
        <v>1.1987469140611582</v>
      </c>
    </row>
    <row r="1134" spans="1:43" x14ac:dyDescent="0.35">
      <c r="A1134" s="2" t="s">
        <v>985</v>
      </c>
      <c r="B1134" s="2" t="s">
        <v>981</v>
      </c>
      <c r="C1134" s="2" t="s">
        <v>34</v>
      </c>
      <c r="D1134" s="2">
        <v>166.4589</v>
      </c>
      <c r="E1134" s="2">
        <v>5000</v>
      </c>
      <c r="F1134" s="2">
        <v>719.5</v>
      </c>
      <c r="G1134" s="2">
        <v>53.1</v>
      </c>
      <c r="H1134" s="2" t="s">
        <v>924</v>
      </c>
      <c r="I1134" s="4">
        <f t="shared" si="527"/>
        <v>5.1147484321019538</v>
      </c>
      <c r="J1134" s="4">
        <f t="shared" si="528"/>
        <v>8.5171931914162382</v>
      </c>
      <c r="K1134" s="4">
        <f t="shared" si="529"/>
        <v>6.5785565263274224</v>
      </c>
      <c r="L1134" s="2">
        <v>0</v>
      </c>
      <c r="M1134" s="2">
        <v>1</v>
      </c>
      <c r="N1134" s="4">
        <f t="shared" si="530"/>
        <v>53.1</v>
      </c>
      <c r="O1134" s="4">
        <f t="shared" si="531"/>
        <v>1</v>
      </c>
      <c r="P1134" s="4">
        <f t="shared" si="532"/>
        <v>2</v>
      </c>
      <c r="Q1134" s="4">
        <f t="shared" si="533"/>
        <v>8.5171931914162382</v>
      </c>
      <c r="R1134" s="4">
        <f t="shared" si="534"/>
        <v>6.5785565263274224</v>
      </c>
      <c r="S1134" s="4">
        <f t="shared" si="535"/>
        <v>53.1</v>
      </c>
      <c r="T1134" s="4">
        <f t="shared" si="536"/>
        <v>1</v>
      </c>
      <c r="U1134" s="4">
        <f t="shared" si="537"/>
        <v>8.5171931914162382</v>
      </c>
      <c r="V1134" s="4">
        <f t="shared" si="538"/>
        <v>6.5785565263274224</v>
      </c>
      <c r="W1134" s="4">
        <f t="shared" si="539"/>
        <v>53.1</v>
      </c>
      <c r="X1134" s="4">
        <f t="shared" si="540"/>
        <v>2</v>
      </c>
      <c r="Y1134" s="4">
        <f t="shared" si="541"/>
        <v>8.5171931914162382</v>
      </c>
      <c r="Z1134" s="4">
        <f t="shared" si="542"/>
        <v>6.5785565263274224</v>
      </c>
      <c r="AA1134" s="4">
        <f t="shared" si="543"/>
        <v>53.1</v>
      </c>
      <c r="AB1134" s="4">
        <f t="shared" si="544"/>
        <v>0</v>
      </c>
      <c r="AC1134" s="4">
        <f t="shared" si="545"/>
        <v>1</v>
      </c>
      <c r="AD1134" s="4">
        <f t="shared" si="546"/>
        <v>8.5171931914162382</v>
      </c>
      <c r="AE1134" s="4">
        <f t="shared" si="547"/>
        <v>6.5785565263274224</v>
      </c>
      <c r="AF1134" s="4">
        <f t="shared" si="548"/>
        <v>53.1</v>
      </c>
      <c r="AG1134" s="4">
        <f t="shared" si="549"/>
        <v>8.5171931914162382</v>
      </c>
      <c r="AH1134" s="4">
        <f t="shared" si="550"/>
        <v>0</v>
      </c>
      <c r="AI1134" s="4">
        <f t="shared" si="551"/>
        <v>1</v>
      </c>
      <c r="AJ1134" s="4">
        <f t="shared" si="552"/>
        <v>8.5171931914162382</v>
      </c>
      <c r="AK1134" s="4">
        <f t="shared" si="553"/>
        <v>6.5785565263274224</v>
      </c>
      <c r="AL1134" s="4">
        <f t="shared" si="554"/>
        <v>1</v>
      </c>
      <c r="AM1134" s="4">
        <f>CER!$C$7+CER!$C$8*J1134+CER!$C$9*K1134+CER!$C$10*L1134+CER!$C$11*M1134</f>
        <v>4.6828311387013191</v>
      </c>
      <c r="AN1134" s="4">
        <f t="shared" si="555"/>
        <v>108.07561690981512</v>
      </c>
      <c r="AO1134" s="4">
        <f t="shared" si="556"/>
        <v>0.43191729340063478</v>
      </c>
      <c r="AP1134" s="4">
        <f>Alternatives!$F$25+Alternatives!$F$26*J1134+Alternatives!$F$27*K1134+Alternatives!$F$28*G1134+Alternatives!$F$29*O1134</f>
        <v>3.9999287579456433</v>
      </c>
      <c r="AQ1134" s="4">
        <f t="shared" si="557"/>
        <v>1.1148196741563106</v>
      </c>
    </row>
    <row r="1135" spans="1:43" x14ac:dyDescent="0.35">
      <c r="A1135" s="2" t="s">
        <v>986</v>
      </c>
      <c r="B1135" s="2" t="s">
        <v>981</v>
      </c>
      <c r="C1135" s="2" t="s">
        <v>34</v>
      </c>
      <c r="D1135" s="2">
        <v>159.6148</v>
      </c>
      <c r="E1135" s="2">
        <v>5000</v>
      </c>
      <c r="F1135" s="2">
        <v>719.5</v>
      </c>
      <c r="G1135" s="2">
        <v>53.1</v>
      </c>
      <c r="H1135" s="2" t="s">
        <v>924</v>
      </c>
      <c r="I1135" s="4">
        <f t="shared" si="527"/>
        <v>5.0727634125459522</v>
      </c>
      <c r="J1135" s="4">
        <f t="shared" si="528"/>
        <v>8.5171931914162382</v>
      </c>
      <c r="K1135" s="4">
        <f t="shared" si="529"/>
        <v>6.5785565263274224</v>
      </c>
      <c r="L1135" s="2">
        <v>0</v>
      </c>
      <c r="M1135" s="2">
        <v>1</v>
      </c>
      <c r="N1135" s="4">
        <f t="shared" si="530"/>
        <v>53.1</v>
      </c>
      <c r="O1135" s="4">
        <f t="shared" si="531"/>
        <v>1</v>
      </c>
      <c r="P1135" s="4">
        <f t="shared" si="532"/>
        <v>2</v>
      </c>
      <c r="Q1135" s="4">
        <f t="shared" si="533"/>
        <v>8.5171931914162382</v>
      </c>
      <c r="R1135" s="4">
        <f t="shared" si="534"/>
        <v>6.5785565263274224</v>
      </c>
      <c r="S1135" s="4">
        <f t="shared" si="535"/>
        <v>53.1</v>
      </c>
      <c r="T1135" s="4">
        <f t="shared" si="536"/>
        <v>1</v>
      </c>
      <c r="U1135" s="4">
        <f t="shared" si="537"/>
        <v>8.5171931914162382</v>
      </c>
      <c r="V1135" s="4">
        <f t="shared" si="538"/>
        <v>6.5785565263274224</v>
      </c>
      <c r="W1135" s="4">
        <f t="shared" si="539"/>
        <v>53.1</v>
      </c>
      <c r="X1135" s="4">
        <f t="shared" si="540"/>
        <v>2</v>
      </c>
      <c r="Y1135" s="4">
        <f t="shared" si="541"/>
        <v>8.5171931914162382</v>
      </c>
      <c r="Z1135" s="4">
        <f t="shared" si="542"/>
        <v>6.5785565263274224</v>
      </c>
      <c r="AA1135" s="4">
        <f t="shared" si="543"/>
        <v>53.1</v>
      </c>
      <c r="AB1135" s="4">
        <f t="shared" si="544"/>
        <v>0</v>
      </c>
      <c r="AC1135" s="4">
        <f t="shared" si="545"/>
        <v>1</v>
      </c>
      <c r="AD1135" s="4">
        <f t="shared" si="546"/>
        <v>8.5171931914162382</v>
      </c>
      <c r="AE1135" s="4">
        <f t="shared" si="547"/>
        <v>6.5785565263274224</v>
      </c>
      <c r="AF1135" s="4">
        <f t="shared" si="548"/>
        <v>53.1</v>
      </c>
      <c r="AG1135" s="4">
        <f t="shared" si="549"/>
        <v>8.5171931914162382</v>
      </c>
      <c r="AH1135" s="4">
        <f t="shared" si="550"/>
        <v>0</v>
      </c>
      <c r="AI1135" s="4">
        <f t="shared" si="551"/>
        <v>1</v>
      </c>
      <c r="AJ1135" s="4">
        <f t="shared" si="552"/>
        <v>8.5171931914162382</v>
      </c>
      <c r="AK1135" s="4">
        <f t="shared" si="553"/>
        <v>6.5785565263274224</v>
      </c>
      <c r="AL1135" s="4">
        <f t="shared" si="554"/>
        <v>1</v>
      </c>
      <c r="AM1135" s="4">
        <f>CER!$C$7+CER!$C$8*J1135+CER!$C$9*K1135+CER!$C$10*L1135+CER!$C$11*M1135</f>
        <v>4.6828311387013191</v>
      </c>
      <c r="AN1135" s="4">
        <f t="shared" si="555"/>
        <v>108.07561690981512</v>
      </c>
      <c r="AO1135" s="4">
        <f t="shared" si="556"/>
        <v>0.38993227384463314</v>
      </c>
      <c r="AP1135" s="4">
        <f>Alternatives!$F$25+Alternatives!$F$26*J1135+Alternatives!$F$27*K1135+Alternatives!$F$28*G1135+Alternatives!$F$29*O1135</f>
        <v>3.9999287579456433</v>
      </c>
      <c r="AQ1135" s="4">
        <f t="shared" si="557"/>
        <v>1.0728346546003089</v>
      </c>
    </row>
    <row r="1136" spans="1:43" x14ac:dyDescent="0.35">
      <c r="A1136" s="2" t="s">
        <v>987</v>
      </c>
      <c r="B1136" s="2" t="s">
        <v>981</v>
      </c>
      <c r="C1136" s="2" t="s">
        <v>34</v>
      </c>
      <c r="D1136" s="2">
        <v>153.3477</v>
      </c>
      <c r="E1136" s="2">
        <v>5500</v>
      </c>
      <c r="F1136" s="2">
        <v>819</v>
      </c>
      <c r="G1136" s="2">
        <v>53.1</v>
      </c>
      <c r="H1136" s="2" t="s">
        <v>911</v>
      </c>
      <c r="I1136" s="4">
        <f t="shared" si="527"/>
        <v>5.032707892078041</v>
      </c>
      <c r="J1136" s="4">
        <f t="shared" si="528"/>
        <v>8.6125033712205621</v>
      </c>
      <c r="K1136" s="4">
        <f t="shared" si="529"/>
        <v>6.7080840838530698</v>
      </c>
      <c r="L1136" s="2">
        <v>0</v>
      </c>
      <c r="M1136" s="2">
        <v>1</v>
      </c>
      <c r="N1136" s="4">
        <f t="shared" si="530"/>
        <v>53.1</v>
      </c>
      <c r="O1136" s="4">
        <f t="shared" si="531"/>
        <v>1</v>
      </c>
      <c r="P1136" s="4">
        <f t="shared" si="532"/>
        <v>2</v>
      </c>
      <c r="Q1136" s="4">
        <f t="shared" si="533"/>
        <v>8.6125033712205621</v>
      </c>
      <c r="R1136" s="4">
        <f t="shared" si="534"/>
        <v>6.7080840838530698</v>
      </c>
      <c r="S1136" s="4">
        <f t="shared" si="535"/>
        <v>53.1</v>
      </c>
      <c r="T1136" s="4">
        <f t="shared" si="536"/>
        <v>1</v>
      </c>
      <c r="U1136" s="4">
        <f t="shared" si="537"/>
        <v>8.6125033712205621</v>
      </c>
      <c r="V1136" s="4">
        <f t="shared" si="538"/>
        <v>6.7080840838530698</v>
      </c>
      <c r="W1136" s="4">
        <f t="shared" si="539"/>
        <v>53.1</v>
      </c>
      <c r="X1136" s="4">
        <f t="shared" si="540"/>
        <v>2</v>
      </c>
      <c r="Y1136" s="4">
        <f t="shared" si="541"/>
        <v>8.6125033712205621</v>
      </c>
      <c r="Z1136" s="4">
        <f t="shared" si="542"/>
        <v>6.7080840838530698</v>
      </c>
      <c r="AA1136" s="4">
        <f t="shared" si="543"/>
        <v>53.1</v>
      </c>
      <c r="AB1136" s="4">
        <f t="shared" si="544"/>
        <v>0</v>
      </c>
      <c r="AC1136" s="4">
        <f t="shared" si="545"/>
        <v>1</v>
      </c>
      <c r="AD1136" s="4">
        <f t="shared" si="546"/>
        <v>8.6125033712205621</v>
      </c>
      <c r="AE1136" s="4">
        <f t="shared" si="547"/>
        <v>6.7080840838530698</v>
      </c>
      <c r="AF1136" s="4">
        <f t="shared" si="548"/>
        <v>53.1</v>
      </c>
      <c r="AG1136" s="4">
        <f t="shared" si="549"/>
        <v>8.6125033712205621</v>
      </c>
      <c r="AH1136" s="4">
        <f t="shared" si="550"/>
        <v>0</v>
      </c>
      <c r="AI1136" s="4">
        <f t="shared" si="551"/>
        <v>1</v>
      </c>
      <c r="AJ1136" s="4">
        <f t="shared" si="552"/>
        <v>8.6125033712205621</v>
      </c>
      <c r="AK1136" s="4">
        <f t="shared" si="553"/>
        <v>6.7080840838530698</v>
      </c>
      <c r="AL1136" s="4">
        <f t="shared" si="554"/>
        <v>1</v>
      </c>
      <c r="AM1136" s="4">
        <f>CER!$C$7+CER!$C$8*J1136+CER!$C$9*K1136+CER!$C$10*L1136+CER!$C$11*M1136</f>
        <v>4.5918949729890883</v>
      </c>
      <c r="AN1136" s="4">
        <f t="shared" si="555"/>
        <v>98.681251401375064</v>
      </c>
      <c r="AO1136" s="4">
        <f t="shared" si="556"/>
        <v>0.4408129190889527</v>
      </c>
      <c r="AP1136" s="4">
        <f>Alternatives!$F$25+Alternatives!$F$26*J1136+Alternatives!$F$27*K1136+Alternatives!$F$28*G1136+Alternatives!$F$29*O1136</f>
        <v>4.0007331448842791</v>
      </c>
      <c r="AQ1136" s="4">
        <f t="shared" si="557"/>
        <v>1.0319747471937619</v>
      </c>
    </row>
    <row r="1137" spans="1:43" x14ac:dyDescent="0.35">
      <c r="A1137" s="2" t="s">
        <v>988</v>
      </c>
      <c r="B1137" s="2" t="s">
        <v>981</v>
      </c>
      <c r="C1137" s="2" t="s">
        <v>34</v>
      </c>
      <c r="D1137" s="2">
        <v>160.0455</v>
      </c>
      <c r="E1137" s="2">
        <v>5500</v>
      </c>
      <c r="F1137" s="2">
        <v>819</v>
      </c>
      <c r="G1137" s="2">
        <v>53.1</v>
      </c>
      <c r="H1137" s="2" t="s">
        <v>911</v>
      </c>
      <c r="I1137" s="4">
        <f t="shared" si="527"/>
        <v>5.0754581498069209</v>
      </c>
      <c r="J1137" s="4">
        <f t="shared" si="528"/>
        <v>8.6125033712205621</v>
      </c>
      <c r="K1137" s="4">
        <f t="shared" si="529"/>
        <v>6.7080840838530698</v>
      </c>
      <c r="L1137" s="2">
        <v>0</v>
      </c>
      <c r="M1137" s="2">
        <v>1</v>
      </c>
      <c r="N1137" s="4">
        <f t="shared" si="530"/>
        <v>53.1</v>
      </c>
      <c r="O1137" s="4">
        <f t="shared" si="531"/>
        <v>1</v>
      </c>
      <c r="P1137" s="4">
        <f t="shared" si="532"/>
        <v>2</v>
      </c>
      <c r="Q1137" s="4">
        <f t="shared" si="533"/>
        <v>8.6125033712205621</v>
      </c>
      <c r="R1137" s="4">
        <f t="shared" si="534"/>
        <v>6.7080840838530698</v>
      </c>
      <c r="S1137" s="4">
        <f t="shared" si="535"/>
        <v>53.1</v>
      </c>
      <c r="T1137" s="4">
        <f t="shared" si="536"/>
        <v>1</v>
      </c>
      <c r="U1137" s="4">
        <f t="shared" si="537"/>
        <v>8.6125033712205621</v>
      </c>
      <c r="V1137" s="4">
        <f t="shared" si="538"/>
        <v>6.7080840838530698</v>
      </c>
      <c r="W1137" s="4">
        <f t="shared" si="539"/>
        <v>53.1</v>
      </c>
      <c r="X1137" s="4">
        <f t="shared" si="540"/>
        <v>2</v>
      </c>
      <c r="Y1137" s="4">
        <f t="shared" si="541"/>
        <v>8.6125033712205621</v>
      </c>
      <c r="Z1137" s="4">
        <f t="shared" si="542"/>
        <v>6.7080840838530698</v>
      </c>
      <c r="AA1137" s="4">
        <f t="shared" si="543"/>
        <v>53.1</v>
      </c>
      <c r="AB1137" s="4">
        <f t="shared" si="544"/>
        <v>0</v>
      </c>
      <c r="AC1137" s="4">
        <f t="shared" si="545"/>
        <v>1</v>
      </c>
      <c r="AD1137" s="4">
        <f t="shared" si="546"/>
        <v>8.6125033712205621</v>
      </c>
      <c r="AE1137" s="4">
        <f t="shared" si="547"/>
        <v>6.7080840838530698</v>
      </c>
      <c r="AF1137" s="4">
        <f t="shared" si="548"/>
        <v>53.1</v>
      </c>
      <c r="AG1137" s="4">
        <f t="shared" si="549"/>
        <v>8.6125033712205621</v>
      </c>
      <c r="AH1137" s="4">
        <f t="shared" si="550"/>
        <v>0</v>
      </c>
      <c r="AI1137" s="4">
        <f t="shared" si="551"/>
        <v>1</v>
      </c>
      <c r="AJ1137" s="4">
        <f t="shared" si="552"/>
        <v>8.6125033712205621</v>
      </c>
      <c r="AK1137" s="4">
        <f t="shared" si="553"/>
        <v>6.7080840838530698</v>
      </c>
      <c r="AL1137" s="4">
        <f t="shared" si="554"/>
        <v>1</v>
      </c>
      <c r="AM1137" s="4">
        <f>CER!$C$7+CER!$C$8*J1137+CER!$C$9*K1137+CER!$C$10*L1137+CER!$C$11*M1137</f>
        <v>4.5918949729890883</v>
      </c>
      <c r="AN1137" s="4">
        <f t="shared" si="555"/>
        <v>98.681251401375064</v>
      </c>
      <c r="AO1137" s="4">
        <f t="shared" si="556"/>
        <v>0.48356317681783256</v>
      </c>
      <c r="AP1137" s="4">
        <f>Alternatives!$F$25+Alternatives!$F$26*J1137+Alternatives!$F$27*K1137+Alternatives!$F$28*G1137+Alternatives!$F$29*O1137</f>
        <v>4.0007331448842791</v>
      </c>
      <c r="AQ1137" s="4">
        <f t="shared" si="557"/>
        <v>1.0747250049226418</v>
      </c>
    </row>
    <row r="1138" spans="1:43" x14ac:dyDescent="0.35">
      <c r="A1138" s="2" t="s">
        <v>989</v>
      </c>
      <c r="B1138" s="2" t="s">
        <v>981</v>
      </c>
      <c r="C1138" s="2" t="s">
        <v>34</v>
      </c>
      <c r="D1138" s="2">
        <v>174.7996</v>
      </c>
      <c r="E1138" s="2">
        <v>5500</v>
      </c>
      <c r="F1138" s="2">
        <v>819</v>
      </c>
      <c r="G1138" s="2">
        <v>53.3</v>
      </c>
      <c r="H1138" s="2" t="s">
        <v>911</v>
      </c>
      <c r="I1138" s="4">
        <f t="shared" si="527"/>
        <v>5.1636401748892977</v>
      </c>
      <c r="J1138" s="4">
        <f t="shared" si="528"/>
        <v>8.6125033712205621</v>
      </c>
      <c r="K1138" s="4">
        <f t="shared" si="529"/>
        <v>6.7080840838530698</v>
      </c>
      <c r="L1138" s="2">
        <v>0</v>
      </c>
      <c r="M1138" s="2">
        <v>1</v>
      </c>
      <c r="N1138" s="4">
        <f t="shared" si="530"/>
        <v>53.3</v>
      </c>
      <c r="O1138" s="4">
        <f t="shared" si="531"/>
        <v>1</v>
      </c>
      <c r="P1138" s="4">
        <f t="shared" si="532"/>
        <v>2</v>
      </c>
      <c r="Q1138" s="4">
        <f t="shared" si="533"/>
        <v>8.6125033712205621</v>
      </c>
      <c r="R1138" s="4">
        <f t="shared" si="534"/>
        <v>6.7080840838530698</v>
      </c>
      <c r="S1138" s="4">
        <f t="shared" si="535"/>
        <v>53.3</v>
      </c>
      <c r="T1138" s="4">
        <f t="shared" si="536"/>
        <v>1</v>
      </c>
      <c r="U1138" s="4">
        <f t="shared" si="537"/>
        <v>8.6125033712205621</v>
      </c>
      <c r="V1138" s="4">
        <f t="shared" si="538"/>
        <v>6.7080840838530698</v>
      </c>
      <c r="W1138" s="4">
        <f t="shared" si="539"/>
        <v>53.3</v>
      </c>
      <c r="X1138" s="4">
        <f t="shared" si="540"/>
        <v>2</v>
      </c>
      <c r="Y1138" s="4">
        <f t="shared" si="541"/>
        <v>8.6125033712205621</v>
      </c>
      <c r="Z1138" s="4">
        <f t="shared" si="542"/>
        <v>6.7080840838530698</v>
      </c>
      <c r="AA1138" s="4">
        <f t="shared" si="543"/>
        <v>53.3</v>
      </c>
      <c r="AB1138" s="4">
        <f t="shared" si="544"/>
        <v>0</v>
      </c>
      <c r="AC1138" s="4">
        <f t="shared" si="545"/>
        <v>1</v>
      </c>
      <c r="AD1138" s="4">
        <f t="shared" si="546"/>
        <v>8.6125033712205621</v>
      </c>
      <c r="AE1138" s="4">
        <f t="shared" si="547"/>
        <v>6.7080840838530698</v>
      </c>
      <c r="AF1138" s="4">
        <f t="shared" si="548"/>
        <v>53.3</v>
      </c>
      <c r="AG1138" s="4">
        <f t="shared" si="549"/>
        <v>8.6125033712205621</v>
      </c>
      <c r="AH1138" s="4">
        <f t="shared" si="550"/>
        <v>0</v>
      </c>
      <c r="AI1138" s="4">
        <f t="shared" si="551"/>
        <v>1</v>
      </c>
      <c r="AJ1138" s="4">
        <f t="shared" si="552"/>
        <v>8.6125033712205621</v>
      </c>
      <c r="AK1138" s="4">
        <f t="shared" si="553"/>
        <v>6.7080840838530698</v>
      </c>
      <c r="AL1138" s="4">
        <f t="shared" si="554"/>
        <v>1</v>
      </c>
      <c r="AM1138" s="4">
        <f>CER!$C$7+CER!$C$8*J1138+CER!$C$9*K1138+CER!$C$10*L1138+CER!$C$11*M1138</f>
        <v>4.5918949729890883</v>
      </c>
      <c r="AN1138" s="4">
        <f t="shared" si="555"/>
        <v>98.681251401375064</v>
      </c>
      <c r="AO1138" s="4">
        <f t="shared" si="556"/>
        <v>0.57174520190020939</v>
      </c>
      <c r="AP1138" s="4">
        <f>Alternatives!$F$25+Alternatives!$F$26*J1138+Alternatives!$F$27*K1138+Alternatives!$F$28*G1138+Alternatives!$F$29*O1138</f>
        <v>3.998131681975833</v>
      </c>
      <c r="AQ1138" s="4">
        <f t="shared" si="557"/>
        <v>1.1655084929134647</v>
      </c>
    </row>
    <row r="1139" spans="1:43" x14ac:dyDescent="0.35">
      <c r="A1139" s="2" t="s">
        <v>990</v>
      </c>
      <c r="B1139" s="2" t="s">
        <v>490</v>
      </c>
      <c r="C1139" s="2" t="s">
        <v>34</v>
      </c>
      <c r="D1139" s="2">
        <v>117.8</v>
      </c>
      <c r="E1139" s="2">
        <v>5000</v>
      </c>
      <c r="F1139" s="2">
        <v>751</v>
      </c>
      <c r="G1139" s="2">
        <v>52.1</v>
      </c>
      <c r="H1139" s="2" t="s">
        <v>883</v>
      </c>
      <c r="I1139" s="4">
        <f t="shared" si="527"/>
        <v>4.768988271217486</v>
      </c>
      <c r="J1139" s="4">
        <f t="shared" si="528"/>
        <v>8.5171931914162382</v>
      </c>
      <c r="K1139" s="4">
        <f t="shared" si="529"/>
        <v>6.6214056517641344</v>
      </c>
      <c r="L1139" s="2">
        <v>0</v>
      </c>
      <c r="M1139" s="2">
        <v>1</v>
      </c>
      <c r="N1139" s="4">
        <f t="shared" si="530"/>
        <v>52.1</v>
      </c>
      <c r="O1139" s="4">
        <f t="shared" si="531"/>
        <v>1</v>
      </c>
      <c r="P1139" s="4">
        <f t="shared" si="532"/>
        <v>2</v>
      </c>
      <c r="Q1139" s="4">
        <f t="shared" si="533"/>
        <v>8.5171931914162382</v>
      </c>
      <c r="R1139" s="4">
        <f t="shared" si="534"/>
        <v>6.6214056517641344</v>
      </c>
      <c r="S1139" s="4">
        <f t="shared" si="535"/>
        <v>52.1</v>
      </c>
      <c r="T1139" s="4">
        <f t="shared" si="536"/>
        <v>1</v>
      </c>
      <c r="U1139" s="4">
        <f t="shared" si="537"/>
        <v>8.5171931914162382</v>
      </c>
      <c r="V1139" s="4">
        <f t="shared" si="538"/>
        <v>6.6214056517641344</v>
      </c>
      <c r="W1139" s="4">
        <f t="shared" si="539"/>
        <v>52.1</v>
      </c>
      <c r="X1139" s="4">
        <f t="shared" si="540"/>
        <v>2</v>
      </c>
      <c r="Y1139" s="4">
        <f t="shared" si="541"/>
        <v>8.5171931914162382</v>
      </c>
      <c r="Z1139" s="4">
        <f t="shared" si="542"/>
        <v>6.6214056517641344</v>
      </c>
      <c r="AA1139" s="4">
        <f t="shared" si="543"/>
        <v>52.1</v>
      </c>
      <c r="AB1139" s="4">
        <f t="shared" si="544"/>
        <v>0</v>
      </c>
      <c r="AC1139" s="4">
        <f t="shared" si="545"/>
        <v>1</v>
      </c>
      <c r="AD1139" s="4">
        <f t="shared" si="546"/>
        <v>8.5171931914162382</v>
      </c>
      <c r="AE1139" s="4">
        <f t="shared" si="547"/>
        <v>6.6214056517641344</v>
      </c>
      <c r="AF1139" s="4">
        <f t="shared" si="548"/>
        <v>52.1</v>
      </c>
      <c r="AG1139" s="4">
        <f t="shared" si="549"/>
        <v>8.5171931914162382</v>
      </c>
      <c r="AH1139" s="4">
        <f t="shared" si="550"/>
        <v>0</v>
      </c>
      <c r="AI1139" s="4">
        <f t="shared" si="551"/>
        <v>1</v>
      </c>
      <c r="AJ1139" s="4">
        <f t="shared" si="552"/>
        <v>8.5171931914162382</v>
      </c>
      <c r="AK1139" s="4">
        <f t="shared" si="553"/>
        <v>6.6214056517641344</v>
      </c>
      <c r="AL1139" s="4">
        <f t="shared" si="554"/>
        <v>1</v>
      </c>
      <c r="AM1139" s="4">
        <f>CER!$C$7+CER!$C$8*J1139+CER!$C$9*K1139+CER!$C$10*L1139+CER!$C$11*M1139</f>
        <v>4.6670222232267289</v>
      </c>
      <c r="AN1139" s="4">
        <f t="shared" si="555"/>
        <v>106.38049295676001</v>
      </c>
      <c r="AO1139" s="4">
        <f t="shared" si="556"/>
        <v>0.10196604799075715</v>
      </c>
      <c r="AP1139" s="4">
        <f>Alternatives!$F$25+Alternatives!$F$26*J1139+Alternatives!$F$27*K1139+Alternatives!$F$28*G1139+Alternatives!$F$29*O1139</f>
        <v>4.0015334930929471</v>
      </c>
      <c r="AQ1139" s="4">
        <f t="shared" si="557"/>
        <v>0.76745477812453888</v>
      </c>
    </row>
    <row r="1140" spans="1:43" x14ac:dyDescent="0.35">
      <c r="A1140" s="2" t="s">
        <v>991</v>
      </c>
      <c r="B1140" s="2" t="s">
        <v>490</v>
      </c>
      <c r="C1140" s="2" t="s">
        <v>34</v>
      </c>
      <c r="D1140" s="2">
        <v>110.199</v>
      </c>
      <c r="E1140" s="2">
        <v>5500</v>
      </c>
      <c r="F1140" s="2">
        <v>751</v>
      </c>
      <c r="G1140" s="2">
        <v>52.2</v>
      </c>
      <c r="H1140" s="2" t="s">
        <v>881</v>
      </c>
      <c r="I1140" s="4">
        <f t="shared" si="527"/>
        <v>4.7022878222674782</v>
      </c>
      <c r="J1140" s="4">
        <f t="shared" si="528"/>
        <v>8.6125033712205621</v>
      </c>
      <c r="K1140" s="4">
        <f t="shared" si="529"/>
        <v>6.6214056517641344</v>
      </c>
      <c r="L1140" s="2">
        <v>0</v>
      </c>
      <c r="M1140" s="2">
        <v>1</v>
      </c>
      <c r="N1140" s="4">
        <f t="shared" si="530"/>
        <v>52.2</v>
      </c>
      <c r="O1140" s="4">
        <f t="shared" si="531"/>
        <v>1</v>
      </c>
      <c r="P1140" s="4">
        <f t="shared" si="532"/>
        <v>2</v>
      </c>
      <c r="Q1140" s="4">
        <f t="shared" si="533"/>
        <v>8.6125033712205621</v>
      </c>
      <c r="R1140" s="4">
        <f t="shared" si="534"/>
        <v>6.6214056517641344</v>
      </c>
      <c r="S1140" s="4">
        <f t="shared" si="535"/>
        <v>52.2</v>
      </c>
      <c r="T1140" s="4">
        <f t="shared" si="536"/>
        <v>1</v>
      </c>
      <c r="U1140" s="4">
        <f t="shared" si="537"/>
        <v>8.6125033712205621</v>
      </c>
      <c r="V1140" s="4">
        <f t="shared" si="538"/>
        <v>6.6214056517641344</v>
      </c>
      <c r="W1140" s="4">
        <f t="shared" si="539"/>
        <v>52.2</v>
      </c>
      <c r="X1140" s="4">
        <f t="shared" si="540"/>
        <v>2</v>
      </c>
      <c r="Y1140" s="4">
        <f t="shared" si="541"/>
        <v>8.6125033712205621</v>
      </c>
      <c r="Z1140" s="4">
        <f t="shared" si="542"/>
        <v>6.6214056517641344</v>
      </c>
      <c r="AA1140" s="4">
        <f t="shared" si="543"/>
        <v>52.2</v>
      </c>
      <c r="AB1140" s="4">
        <f t="shared" si="544"/>
        <v>0</v>
      </c>
      <c r="AC1140" s="4">
        <f t="shared" si="545"/>
        <v>1</v>
      </c>
      <c r="AD1140" s="4">
        <f t="shared" si="546"/>
        <v>8.6125033712205621</v>
      </c>
      <c r="AE1140" s="4">
        <f t="shared" si="547"/>
        <v>6.6214056517641344</v>
      </c>
      <c r="AF1140" s="4">
        <f t="shared" si="548"/>
        <v>52.2</v>
      </c>
      <c r="AG1140" s="4">
        <f t="shared" si="549"/>
        <v>8.6125033712205621</v>
      </c>
      <c r="AH1140" s="4">
        <f t="shared" si="550"/>
        <v>0</v>
      </c>
      <c r="AI1140" s="4">
        <f t="shared" si="551"/>
        <v>1</v>
      </c>
      <c r="AJ1140" s="4">
        <f t="shared" si="552"/>
        <v>8.6125033712205621</v>
      </c>
      <c r="AK1140" s="4">
        <f t="shared" si="553"/>
        <v>6.6214056517641344</v>
      </c>
      <c r="AL1140" s="4">
        <f t="shared" si="554"/>
        <v>1</v>
      </c>
      <c r="AM1140" s="4">
        <f>CER!$C$7+CER!$C$8*J1140+CER!$C$9*K1140+CER!$C$10*L1140+CER!$C$11*M1140</f>
        <v>4.6238744356361829</v>
      </c>
      <c r="AN1140" s="4">
        <f t="shared" si="555"/>
        <v>101.88802698548051</v>
      </c>
      <c r="AO1140" s="4">
        <f t="shared" si="556"/>
        <v>7.8413386631295268E-2</v>
      </c>
      <c r="AP1140" s="4">
        <f>Alternatives!$F$25+Alternatives!$F$26*J1140+Alternatives!$F$27*K1140+Alternatives!$F$28*G1140+Alternatives!$F$29*O1140</f>
        <v>4.0355057227539373</v>
      </c>
      <c r="AQ1140" s="4">
        <f t="shared" si="557"/>
        <v>0.66678209951354095</v>
      </c>
    </row>
    <row r="1141" spans="1:43" x14ac:dyDescent="0.35">
      <c r="A1141" s="2" t="s">
        <v>992</v>
      </c>
      <c r="B1141" s="2" t="s">
        <v>505</v>
      </c>
      <c r="C1141" s="2" t="s">
        <v>34</v>
      </c>
      <c r="D1141" s="2">
        <v>114.4873</v>
      </c>
      <c r="E1141" s="2">
        <v>6500</v>
      </c>
      <c r="F1141" s="2">
        <v>649</v>
      </c>
      <c r="G1141" s="2">
        <v>57.2</v>
      </c>
      <c r="H1141" s="2" t="s">
        <v>881</v>
      </c>
      <c r="I1141" s="4">
        <f t="shared" si="527"/>
        <v>4.7404638998119779</v>
      </c>
      <c r="J1141" s="4">
        <f t="shared" si="528"/>
        <v>8.7795574558837277</v>
      </c>
      <c r="K1141" s="4">
        <f t="shared" si="529"/>
        <v>6.4754327167040904</v>
      </c>
      <c r="L1141" s="2">
        <v>0</v>
      </c>
      <c r="M1141" s="2">
        <v>1</v>
      </c>
      <c r="N1141" s="4">
        <f t="shared" si="530"/>
        <v>57.2</v>
      </c>
      <c r="O1141" s="4">
        <f t="shared" si="531"/>
        <v>1</v>
      </c>
      <c r="P1141" s="4">
        <f t="shared" si="532"/>
        <v>2</v>
      </c>
      <c r="Q1141" s="4">
        <f t="shared" si="533"/>
        <v>8.7795574558837277</v>
      </c>
      <c r="R1141" s="4">
        <f t="shared" si="534"/>
        <v>6.4754327167040904</v>
      </c>
      <c r="S1141" s="4">
        <f t="shared" si="535"/>
        <v>57.2</v>
      </c>
      <c r="T1141" s="4">
        <f t="shared" si="536"/>
        <v>1</v>
      </c>
      <c r="U1141" s="4">
        <f t="shared" si="537"/>
        <v>8.7795574558837277</v>
      </c>
      <c r="V1141" s="4">
        <f t="shared" si="538"/>
        <v>6.4754327167040904</v>
      </c>
      <c r="W1141" s="4">
        <f t="shared" si="539"/>
        <v>57.2</v>
      </c>
      <c r="X1141" s="4">
        <f t="shared" si="540"/>
        <v>2</v>
      </c>
      <c r="Y1141" s="4">
        <f t="shared" si="541"/>
        <v>8.7795574558837277</v>
      </c>
      <c r="Z1141" s="4">
        <f t="shared" si="542"/>
        <v>6.4754327167040904</v>
      </c>
      <c r="AA1141" s="4">
        <f t="shared" si="543"/>
        <v>57.2</v>
      </c>
      <c r="AB1141" s="4">
        <f t="shared" si="544"/>
        <v>0</v>
      </c>
      <c r="AC1141" s="4">
        <f t="shared" si="545"/>
        <v>1</v>
      </c>
      <c r="AD1141" s="4">
        <f t="shared" si="546"/>
        <v>8.7795574558837277</v>
      </c>
      <c r="AE1141" s="4">
        <f t="shared" si="547"/>
        <v>6.4754327167040904</v>
      </c>
      <c r="AF1141" s="4">
        <f t="shared" si="548"/>
        <v>57.2</v>
      </c>
      <c r="AG1141" s="4">
        <f t="shared" si="549"/>
        <v>8.7795574558837277</v>
      </c>
      <c r="AH1141" s="4">
        <f t="shared" si="550"/>
        <v>0</v>
      </c>
      <c r="AI1141" s="4">
        <f t="shared" si="551"/>
        <v>1</v>
      </c>
      <c r="AJ1141" s="4">
        <f t="shared" si="552"/>
        <v>8.7795574558837277</v>
      </c>
      <c r="AK1141" s="4">
        <f t="shared" si="553"/>
        <v>6.4754327167040904</v>
      </c>
      <c r="AL1141" s="4">
        <f t="shared" si="554"/>
        <v>1</v>
      </c>
      <c r="AM1141" s="4">
        <f>CER!$C$7+CER!$C$8*J1141+CER!$C$9*K1141+CER!$C$10*L1141+CER!$C$11*M1141</f>
        <v>4.602103324823684</v>
      </c>
      <c r="AN1141" s="4">
        <f t="shared" si="555"/>
        <v>99.69378368503466</v>
      </c>
      <c r="AO1141" s="4">
        <f t="shared" si="556"/>
        <v>0.13836057498829391</v>
      </c>
      <c r="AP1141" s="4">
        <f>Alternatives!$F$25+Alternatives!$F$26*J1141+Alternatives!$F$27*K1141+Alternatives!$F$28*G1141+Alternatives!$F$29*O1141</f>
        <v>4.0711383774245071</v>
      </c>
      <c r="AQ1141" s="4">
        <f t="shared" si="557"/>
        <v>0.66932552238747078</v>
      </c>
    </row>
    <row r="1142" spans="1:43" x14ac:dyDescent="0.35">
      <c r="A1142" s="2" t="s">
        <v>993</v>
      </c>
      <c r="B1142" s="2" t="s">
        <v>505</v>
      </c>
      <c r="C1142" s="2" t="s">
        <v>34</v>
      </c>
      <c r="D1142" s="2">
        <v>137.8888</v>
      </c>
      <c r="E1142" s="2">
        <v>6000</v>
      </c>
      <c r="F1142" s="2">
        <v>355</v>
      </c>
      <c r="G1142" s="2">
        <v>57.7</v>
      </c>
      <c r="H1142" s="2" t="s">
        <v>881</v>
      </c>
      <c r="I1142" s="4">
        <f t="shared" si="527"/>
        <v>4.9264475632267617</v>
      </c>
      <c r="J1142" s="4">
        <f t="shared" si="528"/>
        <v>8.6995147482101913</v>
      </c>
      <c r="K1142" s="4">
        <f t="shared" si="529"/>
        <v>5.872117789475416</v>
      </c>
      <c r="L1142" s="2">
        <v>0</v>
      </c>
      <c r="M1142" s="2">
        <v>1</v>
      </c>
      <c r="N1142" s="4">
        <f t="shared" si="530"/>
        <v>57.7</v>
      </c>
      <c r="O1142" s="4">
        <f t="shared" si="531"/>
        <v>1</v>
      </c>
      <c r="P1142" s="4">
        <f t="shared" si="532"/>
        <v>2</v>
      </c>
      <c r="Q1142" s="4">
        <f t="shared" si="533"/>
        <v>8.6995147482101913</v>
      </c>
      <c r="R1142" s="4">
        <f t="shared" si="534"/>
        <v>5.872117789475416</v>
      </c>
      <c r="S1142" s="4">
        <f t="shared" si="535"/>
        <v>57.7</v>
      </c>
      <c r="T1142" s="4">
        <f t="shared" si="536"/>
        <v>1</v>
      </c>
      <c r="U1142" s="4">
        <f t="shared" si="537"/>
        <v>8.6995147482101913</v>
      </c>
      <c r="V1142" s="4">
        <f t="shared" si="538"/>
        <v>5.872117789475416</v>
      </c>
      <c r="W1142" s="4">
        <f t="shared" si="539"/>
        <v>57.7</v>
      </c>
      <c r="X1142" s="4">
        <f t="shared" si="540"/>
        <v>2</v>
      </c>
      <c r="Y1142" s="4">
        <f t="shared" si="541"/>
        <v>8.6995147482101913</v>
      </c>
      <c r="Z1142" s="4">
        <f t="shared" si="542"/>
        <v>5.872117789475416</v>
      </c>
      <c r="AA1142" s="4">
        <f t="shared" si="543"/>
        <v>57.7</v>
      </c>
      <c r="AB1142" s="4">
        <f t="shared" si="544"/>
        <v>0</v>
      </c>
      <c r="AC1142" s="4">
        <f t="shared" si="545"/>
        <v>1</v>
      </c>
      <c r="AD1142" s="4">
        <f t="shared" si="546"/>
        <v>8.6995147482101913</v>
      </c>
      <c r="AE1142" s="4">
        <f t="shared" si="547"/>
        <v>5.872117789475416</v>
      </c>
      <c r="AF1142" s="4">
        <f t="shared" si="548"/>
        <v>57.7</v>
      </c>
      <c r="AG1142" s="4">
        <f t="shared" si="549"/>
        <v>8.6995147482101913</v>
      </c>
      <c r="AH1142" s="4">
        <f t="shared" si="550"/>
        <v>0</v>
      </c>
      <c r="AI1142" s="4">
        <f t="shared" si="551"/>
        <v>1</v>
      </c>
      <c r="AJ1142" s="4">
        <f t="shared" si="552"/>
        <v>8.6995147482101913</v>
      </c>
      <c r="AK1142" s="4">
        <f t="shared" si="553"/>
        <v>5.872117789475416</v>
      </c>
      <c r="AL1142" s="4">
        <f t="shared" si="554"/>
        <v>1</v>
      </c>
      <c r="AM1142" s="4">
        <f>CER!$C$7+CER!$C$8*J1142+CER!$C$9*K1142+CER!$C$10*L1142+CER!$C$11*M1142</f>
        <v>4.8609286384303809</v>
      </c>
      <c r="AN1142" s="4">
        <f t="shared" si="555"/>
        <v>129.14407459038705</v>
      </c>
      <c r="AO1142" s="4">
        <f t="shared" si="556"/>
        <v>6.5518924796380773E-2</v>
      </c>
      <c r="AP1142" s="4">
        <f>Alternatives!$F$25+Alternatives!$F$26*J1142+Alternatives!$F$27*K1142+Alternatives!$F$28*G1142+Alternatives!$F$29*O1142</f>
        <v>4.19556015231902</v>
      </c>
      <c r="AQ1142" s="4">
        <f t="shared" si="557"/>
        <v>0.73088741090774167</v>
      </c>
    </row>
    <row r="1143" spans="1:43" x14ac:dyDescent="0.35">
      <c r="A1143" s="2" t="s">
        <v>994</v>
      </c>
      <c r="B1143" s="2" t="s">
        <v>505</v>
      </c>
      <c r="C1143" s="2" t="s">
        <v>34</v>
      </c>
      <c r="D1143" s="2">
        <v>132.54400000000001</v>
      </c>
      <c r="E1143" s="2">
        <v>6000</v>
      </c>
      <c r="F1143" s="2">
        <v>516</v>
      </c>
      <c r="G1143" s="2">
        <v>57.7</v>
      </c>
      <c r="H1143" s="2" t="s">
        <v>881</v>
      </c>
      <c r="I1143" s="4">
        <f t="shared" si="527"/>
        <v>4.8869146657731193</v>
      </c>
      <c r="J1143" s="4">
        <f t="shared" si="528"/>
        <v>8.6995147482101913</v>
      </c>
      <c r="K1143" s="4">
        <f t="shared" si="529"/>
        <v>6.2461067654815627</v>
      </c>
      <c r="L1143" s="2">
        <v>0</v>
      </c>
      <c r="M1143" s="2">
        <v>1</v>
      </c>
      <c r="N1143" s="4">
        <f t="shared" si="530"/>
        <v>57.7</v>
      </c>
      <c r="O1143" s="4">
        <f t="shared" si="531"/>
        <v>1</v>
      </c>
      <c r="P1143" s="4">
        <f t="shared" si="532"/>
        <v>2</v>
      </c>
      <c r="Q1143" s="4">
        <f t="shared" si="533"/>
        <v>8.6995147482101913</v>
      </c>
      <c r="R1143" s="4">
        <f t="shared" si="534"/>
        <v>6.2461067654815627</v>
      </c>
      <c r="S1143" s="4">
        <f t="shared" si="535"/>
        <v>57.7</v>
      </c>
      <c r="T1143" s="4">
        <f t="shared" si="536"/>
        <v>1</v>
      </c>
      <c r="U1143" s="4">
        <f t="shared" si="537"/>
        <v>8.6995147482101913</v>
      </c>
      <c r="V1143" s="4">
        <f t="shared" si="538"/>
        <v>6.2461067654815627</v>
      </c>
      <c r="W1143" s="4">
        <f t="shared" si="539"/>
        <v>57.7</v>
      </c>
      <c r="X1143" s="4">
        <f t="shared" si="540"/>
        <v>2</v>
      </c>
      <c r="Y1143" s="4">
        <f t="shared" si="541"/>
        <v>8.6995147482101913</v>
      </c>
      <c r="Z1143" s="4">
        <f t="shared" si="542"/>
        <v>6.2461067654815627</v>
      </c>
      <c r="AA1143" s="4">
        <f t="shared" si="543"/>
        <v>57.7</v>
      </c>
      <c r="AB1143" s="4">
        <f t="shared" si="544"/>
        <v>0</v>
      </c>
      <c r="AC1143" s="4">
        <f t="shared" si="545"/>
        <v>1</v>
      </c>
      <c r="AD1143" s="4">
        <f t="shared" si="546"/>
        <v>8.6995147482101913</v>
      </c>
      <c r="AE1143" s="4">
        <f t="shared" si="547"/>
        <v>6.2461067654815627</v>
      </c>
      <c r="AF1143" s="4">
        <f t="shared" si="548"/>
        <v>57.7</v>
      </c>
      <c r="AG1143" s="4">
        <f t="shared" si="549"/>
        <v>8.6995147482101913</v>
      </c>
      <c r="AH1143" s="4">
        <f t="shared" si="550"/>
        <v>0</v>
      </c>
      <c r="AI1143" s="4">
        <f t="shared" si="551"/>
        <v>1</v>
      </c>
      <c r="AJ1143" s="4">
        <f t="shared" si="552"/>
        <v>8.6995147482101913</v>
      </c>
      <c r="AK1143" s="4">
        <f t="shared" si="553"/>
        <v>6.2461067654815627</v>
      </c>
      <c r="AL1143" s="4">
        <f t="shared" si="554"/>
        <v>1</v>
      </c>
      <c r="AM1143" s="4">
        <f>CER!$C$7+CER!$C$8*J1143+CER!$C$9*K1143+CER!$C$10*L1143+CER!$C$11*M1143</f>
        <v>4.7229477566772093</v>
      </c>
      <c r="AN1143" s="4">
        <f t="shared" si="555"/>
        <v>112.49938519286259</v>
      </c>
      <c r="AO1143" s="4">
        <f t="shared" si="556"/>
        <v>0.16396690909590994</v>
      </c>
      <c r="AP1143" s="4">
        <f>Alternatives!$F$25+Alternatives!$F$26*J1143+Alternatives!$F$27*K1143+Alternatives!$F$28*G1143+Alternatives!$F$29*O1143</f>
        <v>4.0960379579154269</v>
      </c>
      <c r="AQ1143" s="4">
        <f t="shared" si="557"/>
        <v>0.79087670785769237</v>
      </c>
    </row>
    <row r="1144" spans="1:43" x14ac:dyDescent="0.35">
      <c r="A1144" s="2" t="s">
        <v>995</v>
      </c>
      <c r="B1144" s="2" t="s">
        <v>505</v>
      </c>
      <c r="C1144" s="2" t="s">
        <v>34</v>
      </c>
      <c r="D1144" s="2">
        <v>119.1435</v>
      </c>
      <c r="E1144" s="2">
        <v>6500</v>
      </c>
      <c r="F1144" s="2">
        <v>355</v>
      </c>
      <c r="G1144" s="2">
        <v>57.8</v>
      </c>
      <c r="H1144" s="2" t="s">
        <v>881</v>
      </c>
      <c r="I1144" s="4">
        <f t="shared" si="527"/>
        <v>4.78032864897233</v>
      </c>
      <c r="J1144" s="4">
        <f t="shared" si="528"/>
        <v>8.7795574558837277</v>
      </c>
      <c r="K1144" s="4">
        <f t="shared" si="529"/>
        <v>5.872117789475416</v>
      </c>
      <c r="L1144" s="2">
        <v>0</v>
      </c>
      <c r="M1144" s="2">
        <v>1</v>
      </c>
      <c r="N1144" s="4">
        <f t="shared" si="530"/>
        <v>57.8</v>
      </c>
      <c r="O1144" s="4">
        <f t="shared" si="531"/>
        <v>1</v>
      </c>
      <c r="P1144" s="4">
        <f t="shared" si="532"/>
        <v>2</v>
      </c>
      <c r="Q1144" s="4">
        <f t="shared" si="533"/>
        <v>8.7795574558837277</v>
      </c>
      <c r="R1144" s="4">
        <f t="shared" si="534"/>
        <v>5.872117789475416</v>
      </c>
      <c r="S1144" s="4">
        <f t="shared" si="535"/>
        <v>57.8</v>
      </c>
      <c r="T1144" s="4">
        <f t="shared" si="536"/>
        <v>1</v>
      </c>
      <c r="U1144" s="4">
        <f t="shared" si="537"/>
        <v>8.7795574558837277</v>
      </c>
      <c r="V1144" s="4">
        <f t="shared" si="538"/>
        <v>5.872117789475416</v>
      </c>
      <c r="W1144" s="4">
        <f t="shared" si="539"/>
        <v>57.8</v>
      </c>
      <c r="X1144" s="4">
        <f t="shared" si="540"/>
        <v>2</v>
      </c>
      <c r="Y1144" s="4">
        <f t="shared" si="541"/>
        <v>8.7795574558837277</v>
      </c>
      <c r="Z1144" s="4">
        <f t="shared" si="542"/>
        <v>5.872117789475416</v>
      </c>
      <c r="AA1144" s="4">
        <f t="shared" si="543"/>
        <v>57.8</v>
      </c>
      <c r="AB1144" s="4">
        <f t="shared" si="544"/>
        <v>0</v>
      </c>
      <c r="AC1144" s="4">
        <f t="shared" si="545"/>
        <v>1</v>
      </c>
      <c r="AD1144" s="4">
        <f t="shared" si="546"/>
        <v>8.7795574558837277</v>
      </c>
      <c r="AE1144" s="4">
        <f t="shared" si="547"/>
        <v>5.872117789475416</v>
      </c>
      <c r="AF1144" s="4">
        <f t="shared" si="548"/>
        <v>57.8</v>
      </c>
      <c r="AG1144" s="4">
        <f t="shared" si="549"/>
        <v>8.7795574558837277</v>
      </c>
      <c r="AH1144" s="4">
        <f t="shared" si="550"/>
        <v>0</v>
      </c>
      <c r="AI1144" s="4">
        <f t="shared" si="551"/>
        <v>1</v>
      </c>
      <c r="AJ1144" s="4">
        <f t="shared" si="552"/>
        <v>8.7795574558837277</v>
      </c>
      <c r="AK1144" s="4">
        <f t="shared" si="553"/>
        <v>5.872117789475416</v>
      </c>
      <c r="AL1144" s="4">
        <f t="shared" si="554"/>
        <v>1</v>
      </c>
      <c r="AM1144" s="4">
        <f>CER!$C$7+CER!$C$8*J1144+CER!$C$9*K1144+CER!$C$10*L1144+CER!$C$11*M1144</f>
        <v>4.8246925747070675</v>
      </c>
      <c r="AN1144" s="4">
        <f t="shared" si="555"/>
        <v>124.54817323840685</v>
      </c>
      <c r="AO1144" s="4">
        <f t="shared" si="556"/>
        <v>-4.4363925734737464E-2</v>
      </c>
      <c r="AP1144" s="4">
        <f>Alternatives!$F$25+Alternatives!$F$26*J1144+Alternatives!$F$27*K1144+Alternatives!$F$28*G1144+Alternatives!$F$29*O1144</f>
        <v>4.2238821046234616</v>
      </c>
      <c r="AQ1144" s="4">
        <f t="shared" si="557"/>
        <v>0.55644654434886842</v>
      </c>
    </row>
    <row r="1145" spans="1:43" x14ac:dyDescent="0.35">
      <c r="A1145" s="2" t="s">
        <v>996</v>
      </c>
      <c r="B1145" s="2" t="s">
        <v>505</v>
      </c>
      <c r="C1145" s="2" t="s">
        <v>34</v>
      </c>
      <c r="D1145" s="2">
        <v>129.35679999999999</v>
      </c>
      <c r="E1145" s="2">
        <v>6000</v>
      </c>
      <c r="F1145" s="2">
        <v>355</v>
      </c>
      <c r="G1145" s="2">
        <v>57.7</v>
      </c>
      <c r="H1145" s="2" t="s">
        <v>881</v>
      </c>
      <c r="I1145" s="4">
        <f t="shared" si="527"/>
        <v>4.8625744777952882</v>
      </c>
      <c r="J1145" s="4">
        <f t="shared" si="528"/>
        <v>8.6995147482101913</v>
      </c>
      <c r="K1145" s="4">
        <f t="shared" si="529"/>
        <v>5.872117789475416</v>
      </c>
      <c r="L1145" s="2">
        <v>0</v>
      </c>
      <c r="M1145" s="2">
        <v>1</v>
      </c>
      <c r="N1145" s="4">
        <f t="shared" si="530"/>
        <v>57.7</v>
      </c>
      <c r="O1145" s="4">
        <f t="shared" si="531"/>
        <v>1</v>
      </c>
      <c r="P1145" s="4">
        <f t="shared" si="532"/>
        <v>2</v>
      </c>
      <c r="Q1145" s="4">
        <f t="shared" si="533"/>
        <v>8.6995147482101913</v>
      </c>
      <c r="R1145" s="4">
        <f t="shared" si="534"/>
        <v>5.872117789475416</v>
      </c>
      <c r="S1145" s="4">
        <f t="shared" si="535"/>
        <v>57.7</v>
      </c>
      <c r="T1145" s="4">
        <f t="shared" si="536"/>
        <v>1</v>
      </c>
      <c r="U1145" s="4">
        <f t="shared" si="537"/>
        <v>8.6995147482101913</v>
      </c>
      <c r="V1145" s="4">
        <f t="shared" si="538"/>
        <v>5.872117789475416</v>
      </c>
      <c r="W1145" s="4">
        <f t="shared" si="539"/>
        <v>57.7</v>
      </c>
      <c r="X1145" s="4">
        <f t="shared" si="540"/>
        <v>2</v>
      </c>
      <c r="Y1145" s="4">
        <f t="shared" si="541"/>
        <v>8.6995147482101913</v>
      </c>
      <c r="Z1145" s="4">
        <f t="shared" si="542"/>
        <v>5.872117789475416</v>
      </c>
      <c r="AA1145" s="4">
        <f t="shared" si="543"/>
        <v>57.7</v>
      </c>
      <c r="AB1145" s="4">
        <f t="shared" si="544"/>
        <v>0</v>
      </c>
      <c r="AC1145" s="4">
        <f t="shared" si="545"/>
        <v>1</v>
      </c>
      <c r="AD1145" s="4">
        <f t="shared" si="546"/>
        <v>8.6995147482101913</v>
      </c>
      <c r="AE1145" s="4">
        <f t="shared" si="547"/>
        <v>5.872117789475416</v>
      </c>
      <c r="AF1145" s="4">
        <f t="shared" si="548"/>
        <v>57.7</v>
      </c>
      <c r="AG1145" s="4">
        <f t="shared" si="549"/>
        <v>8.6995147482101913</v>
      </c>
      <c r="AH1145" s="4">
        <f t="shared" si="550"/>
        <v>0</v>
      </c>
      <c r="AI1145" s="4">
        <f t="shared" si="551"/>
        <v>1</v>
      </c>
      <c r="AJ1145" s="4">
        <f t="shared" si="552"/>
        <v>8.6995147482101913</v>
      </c>
      <c r="AK1145" s="4">
        <f t="shared" si="553"/>
        <v>5.872117789475416</v>
      </c>
      <c r="AL1145" s="4">
        <f t="shared" si="554"/>
        <v>1</v>
      </c>
      <c r="AM1145" s="4">
        <f>CER!$C$7+CER!$C$8*J1145+CER!$C$9*K1145+CER!$C$10*L1145+CER!$C$11*M1145</f>
        <v>4.8609286384303809</v>
      </c>
      <c r="AN1145" s="4">
        <f t="shared" si="555"/>
        <v>129.14407459038705</v>
      </c>
      <c r="AO1145" s="4">
        <f t="shared" si="556"/>
        <v>1.6458393649072534E-3</v>
      </c>
      <c r="AP1145" s="4">
        <f>Alternatives!$F$25+Alternatives!$F$26*J1145+Alternatives!$F$27*K1145+Alternatives!$F$28*G1145+Alternatives!$F$29*O1145</f>
        <v>4.19556015231902</v>
      </c>
      <c r="AQ1145" s="4">
        <f t="shared" si="557"/>
        <v>0.66701432547626816</v>
      </c>
    </row>
    <row r="1146" spans="1:43" x14ac:dyDescent="0.35">
      <c r="A1146" s="2" t="s">
        <v>997</v>
      </c>
      <c r="B1146" s="2" t="s">
        <v>505</v>
      </c>
      <c r="C1146" s="2" t="s">
        <v>34</v>
      </c>
      <c r="D1146" s="2">
        <v>153.00720000000001</v>
      </c>
      <c r="E1146" s="2">
        <v>5000</v>
      </c>
      <c r="F1146" s="2">
        <v>188</v>
      </c>
      <c r="G1146" s="2">
        <v>48.4</v>
      </c>
      <c r="H1146" s="2" t="s">
        <v>881</v>
      </c>
      <c r="I1146" s="4">
        <f t="shared" si="527"/>
        <v>5.0304849791087332</v>
      </c>
      <c r="J1146" s="4">
        <f t="shared" si="528"/>
        <v>8.5171931914162382</v>
      </c>
      <c r="K1146" s="4">
        <f t="shared" si="529"/>
        <v>5.2364419628299492</v>
      </c>
      <c r="L1146" s="2">
        <v>0</v>
      </c>
      <c r="M1146" s="2">
        <v>1</v>
      </c>
      <c r="N1146" s="4">
        <f t="shared" si="530"/>
        <v>48.4</v>
      </c>
      <c r="O1146" s="4">
        <f t="shared" si="531"/>
        <v>1</v>
      </c>
      <c r="P1146" s="4">
        <f t="shared" si="532"/>
        <v>2</v>
      </c>
      <c r="Q1146" s="4">
        <f t="shared" si="533"/>
        <v>8.5171931914162382</v>
      </c>
      <c r="R1146" s="4">
        <f t="shared" si="534"/>
        <v>5.2364419628299492</v>
      </c>
      <c r="S1146" s="4">
        <f t="shared" si="535"/>
        <v>48.4</v>
      </c>
      <c r="T1146" s="4">
        <f t="shared" si="536"/>
        <v>1</v>
      </c>
      <c r="U1146" s="4">
        <f t="shared" si="537"/>
        <v>8.5171931914162382</v>
      </c>
      <c r="V1146" s="4">
        <f t="shared" si="538"/>
        <v>5.2364419628299492</v>
      </c>
      <c r="W1146" s="4">
        <f t="shared" si="539"/>
        <v>48.4</v>
      </c>
      <c r="X1146" s="4">
        <f t="shared" si="540"/>
        <v>2</v>
      </c>
      <c r="Y1146" s="4">
        <f t="shared" si="541"/>
        <v>8.5171931914162382</v>
      </c>
      <c r="Z1146" s="4">
        <f t="shared" si="542"/>
        <v>5.2364419628299492</v>
      </c>
      <c r="AA1146" s="4">
        <f t="shared" si="543"/>
        <v>48.4</v>
      </c>
      <c r="AB1146" s="4">
        <f t="shared" si="544"/>
        <v>0</v>
      </c>
      <c r="AC1146" s="4">
        <f t="shared" si="545"/>
        <v>1</v>
      </c>
      <c r="AD1146" s="4">
        <f t="shared" si="546"/>
        <v>8.5171931914162382</v>
      </c>
      <c r="AE1146" s="4">
        <f t="shared" si="547"/>
        <v>5.2364419628299492</v>
      </c>
      <c r="AF1146" s="4">
        <f t="shared" si="548"/>
        <v>48.4</v>
      </c>
      <c r="AG1146" s="4">
        <f t="shared" si="549"/>
        <v>8.5171931914162382</v>
      </c>
      <c r="AH1146" s="4">
        <f t="shared" si="550"/>
        <v>0</v>
      </c>
      <c r="AI1146" s="4">
        <f t="shared" si="551"/>
        <v>1</v>
      </c>
      <c r="AJ1146" s="4">
        <f t="shared" si="552"/>
        <v>8.5171931914162382</v>
      </c>
      <c r="AK1146" s="4">
        <f t="shared" si="553"/>
        <v>5.2364419628299492</v>
      </c>
      <c r="AL1146" s="4">
        <f t="shared" si="554"/>
        <v>1</v>
      </c>
      <c r="AM1146" s="4">
        <f>CER!$C$7+CER!$C$8*J1146+CER!$C$9*K1146+CER!$C$10*L1146+CER!$C$11*M1146</f>
        <v>5.1779958701935946</v>
      </c>
      <c r="AN1146" s="4">
        <f t="shared" si="555"/>
        <v>177.32706817223351</v>
      </c>
      <c r="AO1146" s="4">
        <f t="shared" si="556"/>
        <v>-0.14751089108486148</v>
      </c>
      <c r="AP1146" s="4">
        <f>Alternatives!$F$25+Alternatives!$F$26*J1146+Alternatives!$F$27*K1146+Alternatives!$F$28*G1146+Alternatives!$F$29*O1146</f>
        <v>4.4182131997176279</v>
      </c>
      <c r="AQ1146" s="4">
        <f t="shared" si="557"/>
        <v>0.61227177939110522</v>
      </c>
    </row>
    <row r="1147" spans="1:43" x14ac:dyDescent="0.35">
      <c r="A1147" s="2" t="s">
        <v>998</v>
      </c>
      <c r="B1147" s="2" t="s">
        <v>505</v>
      </c>
      <c r="C1147" s="2" t="s">
        <v>34</v>
      </c>
      <c r="D1147" s="2">
        <v>120.788</v>
      </c>
      <c r="E1147" s="2">
        <v>5000</v>
      </c>
      <c r="F1147" s="2">
        <v>225</v>
      </c>
      <c r="G1147" s="2">
        <v>48.4</v>
      </c>
      <c r="H1147" s="2" t="s">
        <v>883</v>
      </c>
      <c r="I1147" s="4">
        <f t="shared" si="527"/>
        <v>4.7940369428180496</v>
      </c>
      <c r="J1147" s="4">
        <f t="shared" si="528"/>
        <v>8.5171931914162382</v>
      </c>
      <c r="K1147" s="4">
        <f t="shared" si="529"/>
        <v>5.4161004022044201</v>
      </c>
      <c r="L1147" s="2">
        <v>0</v>
      </c>
      <c r="M1147" s="2">
        <v>1</v>
      </c>
      <c r="N1147" s="4">
        <f t="shared" si="530"/>
        <v>48.4</v>
      </c>
      <c r="O1147" s="4">
        <f t="shared" si="531"/>
        <v>1</v>
      </c>
      <c r="P1147" s="4">
        <f t="shared" si="532"/>
        <v>2</v>
      </c>
      <c r="Q1147" s="4">
        <f t="shared" si="533"/>
        <v>8.5171931914162382</v>
      </c>
      <c r="R1147" s="4">
        <f t="shared" si="534"/>
        <v>5.4161004022044201</v>
      </c>
      <c r="S1147" s="4">
        <f t="shared" si="535"/>
        <v>48.4</v>
      </c>
      <c r="T1147" s="4">
        <f t="shared" si="536"/>
        <v>1</v>
      </c>
      <c r="U1147" s="4">
        <f t="shared" si="537"/>
        <v>8.5171931914162382</v>
      </c>
      <c r="V1147" s="4">
        <f t="shared" si="538"/>
        <v>5.4161004022044201</v>
      </c>
      <c r="W1147" s="4">
        <f t="shared" si="539"/>
        <v>48.4</v>
      </c>
      <c r="X1147" s="4">
        <f t="shared" si="540"/>
        <v>2</v>
      </c>
      <c r="Y1147" s="4">
        <f t="shared" si="541"/>
        <v>8.5171931914162382</v>
      </c>
      <c r="Z1147" s="4">
        <f t="shared" si="542"/>
        <v>5.4161004022044201</v>
      </c>
      <c r="AA1147" s="4">
        <f t="shared" si="543"/>
        <v>48.4</v>
      </c>
      <c r="AB1147" s="4">
        <f t="shared" si="544"/>
        <v>0</v>
      </c>
      <c r="AC1147" s="4">
        <f t="shared" si="545"/>
        <v>1</v>
      </c>
      <c r="AD1147" s="4">
        <f t="shared" si="546"/>
        <v>8.5171931914162382</v>
      </c>
      <c r="AE1147" s="4">
        <f t="shared" si="547"/>
        <v>5.4161004022044201</v>
      </c>
      <c r="AF1147" s="4">
        <f t="shared" si="548"/>
        <v>48.4</v>
      </c>
      <c r="AG1147" s="4">
        <f t="shared" si="549"/>
        <v>8.5171931914162382</v>
      </c>
      <c r="AH1147" s="4">
        <f t="shared" si="550"/>
        <v>0</v>
      </c>
      <c r="AI1147" s="4">
        <f t="shared" si="551"/>
        <v>1</v>
      </c>
      <c r="AJ1147" s="4">
        <f t="shared" si="552"/>
        <v>8.5171931914162382</v>
      </c>
      <c r="AK1147" s="4">
        <f t="shared" si="553"/>
        <v>5.4161004022044201</v>
      </c>
      <c r="AL1147" s="4">
        <f t="shared" si="554"/>
        <v>1</v>
      </c>
      <c r="AM1147" s="4">
        <f>CER!$C$7+CER!$C$8*J1147+CER!$C$9*K1147+CER!$C$10*L1147+CER!$C$11*M1147</f>
        <v>5.111712018343157</v>
      </c>
      <c r="AN1147" s="4">
        <f t="shared" si="555"/>
        <v>165.95422848927302</v>
      </c>
      <c r="AO1147" s="4">
        <f t="shared" si="556"/>
        <v>-0.31767507552510743</v>
      </c>
      <c r="AP1147" s="4">
        <f>Alternatives!$F$25+Alternatives!$F$26*J1147+Alternatives!$F$27*K1147+Alternatives!$F$28*G1147+Alternatives!$F$29*O1147</f>
        <v>4.370404298180973</v>
      </c>
      <c r="AQ1147" s="4">
        <f t="shared" si="557"/>
        <v>0.42363264463707662</v>
      </c>
    </row>
    <row r="1148" spans="1:43" x14ac:dyDescent="0.35">
      <c r="A1148" s="2" t="s">
        <v>999</v>
      </c>
      <c r="B1148" s="2" t="s">
        <v>505</v>
      </c>
      <c r="C1148" s="2" t="s">
        <v>34</v>
      </c>
      <c r="D1148" s="2">
        <v>123.4585</v>
      </c>
      <c r="E1148" s="2">
        <v>5000</v>
      </c>
      <c r="F1148" s="2">
        <v>288</v>
      </c>
      <c r="G1148" s="2">
        <v>48.3</v>
      </c>
      <c r="H1148" s="2" t="s">
        <v>883</v>
      </c>
      <c r="I1148" s="4">
        <f t="shared" si="527"/>
        <v>4.8159050672078338</v>
      </c>
      <c r="J1148" s="4">
        <f t="shared" si="528"/>
        <v>8.5171931914162382</v>
      </c>
      <c r="K1148" s="4">
        <f t="shared" si="529"/>
        <v>5.6629604801359461</v>
      </c>
      <c r="L1148" s="2">
        <v>0</v>
      </c>
      <c r="M1148" s="2">
        <v>1</v>
      </c>
      <c r="N1148" s="4">
        <f t="shared" si="530"/>
        <v>48.3</v>
      </c>
      <c r="O1148" s="4">
        <f t="shared" si="531"/>
        <v>1</v>
      </c>
      <c r="P1148" s="4">
        <f t="shared" si="532"/>
        <v>2</v>
      </c>
      <c r="Q1148" s="4">
        <f t="shared" si="533"/>
        <v>8.5171931914162382</v>
      </c>
      <c r="R1148" s="4">
        <f t="shared" si="534"/>
        <v>5.6629604801359461</v>
      </c>
      <c r="S1148" s="4">
        <f t="shared" si="535"/>
        <v>48.3</v>
      </c>
      <c r="T1148" s="4">
        <f t="shared" si="536"/>
        <v>1</v>
      </c>
      <c r="U1148" s="4">
        <f t="shared" si="537"/>
        <v>8.5171931914162382</v>
      </c>
      <c r="V1148" s="4">
        <f t="shared" si="538"/>
        <v>5.6629604801359461</v>
      </c>
      <c r="W1148" s="4">
        <f t="shared" si="539"/>
        <v>48.3</v>
      </c>
      <c r="X1148" s="4">
        <f t="shared" si="540"/>
        <v>2</v>
      </c>
      <c r="Y1148" s="4">
        <f t="shared" si="541"/>
        <v>8.5171931914162382</v>
      </c>
      <c r="Z1148" s="4">
        <f t="shared" si="542"/>
        <v>5.6629604801359461</v>
      </c>
      <c r="AA1148" s="4">
        <f t="shared" si="543"/>
        <v>48.3</v>
      </c>
      <c r="AB1148" s="4">
        <f t="shared" si="544"/>
        <v>0</v>
      </c>
      <c r="AC1148" s="4">
        <f t="shared" si="545"/>
        <v>1</v>
      </c>
      <c r="AD1148" s="4">
        <f t="shared" si="546"/>
        <v>8.5171931914162382</v>
      </c>
      <c r="AE1148" s="4">
        <f t="shared" si="547"/>
        <v>5.6629604801359461</v>
      </c>
      <c r="AF1148" s="4">
        <f t="shared" si="548"/>
        <v>48.3</v>
      </c>
      <c r="AG1148" s="4">
        <f t="shared" si="549"/>
        <v>8.5171931914162382</v>
      </c>
      <c r="AH1148" s="4">
        <f t="shared" si="550"/>
        <v>0</v>
      </c>
      <c r="AI1148" s="4">
        <f t="shared" si="551"/>
        <v>1</v>
      </c>
      <c r="AJ1148" s="4">
        <f t="shared" si="552"/>
        <v>8.5171931914162382</v>
      </c>
      <c r="AK1148" s="4">
        <f t="shared" si="553"/>
        <v>5.6629604801359461</v>
      </c>
      <c r="AL1148" s="4">
        <f t="shared" si="554"/>
        <v>1</v>
      </c>
      <c r="AM1148" s="4">
        <f>CER!$C$7+CER!$C$8*J1148+CER!$C$9*K1148+CER!$C$10*L1148+CER!$C$11*M1148</f>
        <v>5.0206345443855049</v>
      </c>
      <c r="AN1148" s="4">
        <f t="shared" si="555"/>
        <v>151.50741147584742</v>
      </c>
      <c r="AO1148" s="4">
        <f t="shared" si="556"/>
        <v>-0.20472947717767109</v>
      </c>
      <c r="AP1148" s="4">
        <f>Alternatives!$F$25+Alternatives!$F$26*J1148+Alternatives!$F$27*K1148+Alternatives!$F$28*G1148+Alternatives!$F$29*O1148</f>
        <v>4.3060131022186408</v>
      </c>
      <c r="AQ1148" s="4">
        <f t="shared" si="557"/>
        <v>0.50989196498919309</v>
      </c>
    </row>
    <row r="1149" spans="1:43" x14ac:dyDescent="0.35">
      <c r="A1149" s="2" t="s">
        <v>1000</v>
      </c>
      <c r="B1149" s="2" t="s">
        <v>505</v>
      </c>
      <c r="C1149" s="2" t="s">
        <v>34</v>
      </c>
      <c r="D1149" s="2">
        <v>99.969399999999993</v>
      </c>
      <c r="E1149" s="2">
        <v>6000</v>
      </c>
      <c r="F1149" s="2">
        <v>617</v>
      </c>
      <c r="G1149" s="2">
        <v>54.7</v>
      </c>
      <c r="H1149" s="2" t="s">
        <v>881</v>
      </c>
      <c r="I1149" s="4">
        <f t="shared" si="527"/>
        <v>4.6048641391605383</v>
      </c>
      <c r="J1149" s="4">
        <f t="shared" si="528"/>
        <v>8.6995147482101913</v>
      </c>
      <c r="K1149" s="4">
        <f t="shared" si="529"/>
        <v>6.4248690239053881</v>
      </c>
      <c r="L1149" s="2">
        <v>0</v>
      </c>
      <c r="M1149" s="2">
        <v>1</v>
      </c>
      <c r="N1149" s="4">
        <f t="shared" si="530"/>
        <v>54.7</v>
      </c>
      <c r="O1149" s="4">
        <f t="shared" si="531"/>
        <v>1</v>
      </c>
      <c r="P1149" s="4">
        <f t="shared" si="532"/>
        <v>2</v>
      </c>
      <c r="Q1149" s="4">
        <f t="shared" si="533"/>
        <v>8.6995147482101913</v>
      </c>
      <c r="R1149" s="4">
        <f t="shared" si="534"/>
        <v>6.4248690239053881</v>
      </c>
      <c r="S1149" s="4">
        <f t="shared" si="535"/>
        <v>54.7</v>
      </c>
      <c r="T1149" s="4">
        <f t="shared" si="536"/>
        <v>1</v>
      </c>
      <c r="U1149" s="4">
        <f t="shared" si="537"/>
        <v>8.6995147482101913</v>
      </c>
      <c r="V1149" s="4">
        <f t="shared" si="538"/>
        <v>6.4248690239053881</v>
      </c>
      <c r="W1149" s="4">
        <f t="shared" si="539"/>
        <v>54.7</v>
      </c>
      <c r="X1149" s="4">
        <f t="shared" si="540"/>
        <v>2</v>
      </c>
      <c r="Y1149" s="4">
        <f t="shared" si="541"/>
        <v>8.6995147482101913</v>
      </c>
      <c r="Z1149" s="4">
        <f t="shared" si="542"/>
        <v>6.4248690239053881</v>
      </c>
      <c r="AA1149" s="4">
        <f t="shared" si="543"/>
        <v>54.7</v>
      </c>
      <c r="AB1149" s="4">
        <f t="shared" si="544"/>
        <v>0</v>
      </c>
      <c r="AC1149" s="4">
        <f t="shared" si="545"/>
        <v>1</v>
      </c>
      <c r="AD1149" s="4">
        <f t="shared" si="546"/>
        <v>8.6995147482101913</v>
      </c>
      <c r="AE1149" s="4">
        <f t="shared" si="547"/>
        <v>6.4248690239053881</v>
      </c>
      <c r="AF1149" s="4">
        <f t="shared" si="548"/>
        <v>54.7</v>
      </c>
      <c r="AG1149" s="4">
        <f t="shared" si="549"/>
        <v>8.6995147482101913</v>
      </c>
      <c r="AH1149" s="4">
        <f t="shared" si="550"/>
        <v>0</v>
      </c>
      <c r="AI1149" s="4">
        <f t="shared" si="551"/>
        <v>1</v>
      </c>
      <c r="AJ1149" s="4">
        <f t="shared" si="552"/>
        <v>8.6995147482101913</v>
      </c>
      <c r="AK1149" s="4">
        <f t="shared" si="553"/>
        <v>6.4248690239053881</v>
      </c>
      <c r="AL1149" s="4">
        <f t="shared" si="554"/>
        <v>1</v>
      </c>
      <c r="AM1149" s="4">
        <f>CER!$C$7+CER!$C$8*J1149+CER!$C$9*K1149+CER!$C$10*L1149+CER!$C$11*M1149</f>
        <v>4.6569945451550003</v>
      </c>
      <c r="AN1149" s="4">
        <f t="shared" si="555"/>
        <v>105.31907429676046</v>
      </c>
      <c r="AO1149" s="4">
        <f t="shared" si="556"/>
        <v>-5.2130405994462059E-2</v>
      </c>
      <c r="AP1149" s="4">
        <f>Alternatives!$F$25+Alternatives!$F$26*J1149+Alternatives!$F$27*K1149+Alternatives!$F$28*G1149+Alternatives!$F$29*O1149</f>
        <v>4.0874894826894739</v>
      </c>
      <c r="AQ1149" s="4">
        <f t="shared" si="557"/>
        <v>0.5173746564710644</v>
      </c>
    </row>
    <row r="1150" spans="1:43" x14ac:dyDescent="0.35">
      <c r="A1150" s="2" t="s">
        <v>1001</v>
      </c>
      <c r="B1150" s="2" t="s">
        <v>505</v>
      </c>
      <c r="C1150" s="2" t="s">
        <v>34</v>
      </c>
      <c r="D1150" s="2">
        <v>138.9648</v>
      </c>
      <c r="E1150" s="2">
        <v>5500</v>
      </c>
      <c r="F1150" s="2">
        <v>288</v>
      </c>
      <c r="G1150" s="2">
        <v>54.7</v>
      </c>
      <c r="H1150" s="2" t="s">
        <v>881</v>
      </c>
      <c r="I1150" s="4">
        <f t="shared" si="527"/>
        <v>4.9342206636506125</v>
      </c>
      <c r="J1150" s="4">
        <f t="shared" si="528"/>
        <v>8.6125033712205621</v>
      </c>
      <c r="K1150" s="4">
        <f t="shared" si="529"/>
        <v>5.6629604801359461</v>
      </c>
      <c r="L1150" s="2">
        <v>0</v>
      </c>
      <c r="M1150" s="2">
        <v>1</v>
      </c>
      <c r="N1150" s="4">
        <f t="shared" si="530"/>
        <v>54.7</v>
      </c>
      <c r="O1150" s="4">
        <f t="shared" si="531"/>
        <v>1</v>
      </c>
      <c r="P1150" s="4">
        <f t="shared" si="532"/>
        <v>2</v>
      </c>
      <c r="Q1150" s="4">
        <f t="shared" si="533"/>
        <v>8.6125033712205621</v>
      </c>
      <c r="R1150" s="4">
        <f t="shared" si="534"/>
        <v>5.6629604801359461</v>
      </c>
      <c r="S1150" s="4">
        <f t="shared" si="535"/>
        <v>54.7</v>
      </c>
      <c r="T1150" s="4">
        <f t="shared" si="536"/>
        <v>1</v>
      </c>
      <c r="U1150" s="4">
        <f t="shared" si="537"/>
        <v>8.6125033712205621</v>
      </c>
      <c r="V1150" s="4">
        <f t="shared" si="538"/>
        <v>5.6629604801359461</v>
      </c>
      <c r="W1150" s="4">
        <f t="shared" si="539"/>
        <v>54.7</v>
      </c>
      <c r="X1150" s="4">
        <f t="shared" si="540"/>
        <v>2</v>
      </c>
      <c r="Y1150" s="4">
        <f t="shared" si="541"/>
        <v>8.6125033712205621</v>
      </c>
      <c r="Z1150" s="4">
        <f t="shared" si="542"/>
        <v>5.6629604801359461</v>
      </c>
      <c r="AA1150" s="4">
        <f t="shared" si="543"/>
        <v>54.7</v>
      </c>
      <c r="AB1150" s="4">
        <f t="shared" si="544"/>
        <v>0</v>
      </c>
      <c r="AC1150" s="4">
        <f t="shared" si="545"/>
        <v>1</v>
      </c>
      <c r="AD1150" s="4">
        <f t="shared" si="546"/>
        <v>8.6125033712205621</v>
      </c>
      <c r="AE1150" s="4">
        <f t="shared" si="547"/>
        <v>5.6629604801359461</v>
      </c>
      <c r="AF1150" s="4">
        <f t="shared" si="548"/>
        <v>54.7</v>
      </c>
      <c r="AG1150" s="4">
        <f t="shared" si="549"/>
        <v>8.6125033712205621</v>
      </c>
      <c r="AH1150" s="4">
        <f t="shared" si="550"/>
        <v>0</v>
      </c>
      <c r="AI1150" s="4">
        <f t="shared" si="551"/>
        <v>1</v>
      </c>
      <c r="AJ1150" s="4">
        <f t="shared" si="552"/>
        <v>8.6125033712205621</v>
      </c>
      <c r="AK1150" s="4">
        <f t="shared" si="553"/>
        <v>5.6629604801359461</v>
      </c>
      <c r="AL1150" s="4">
        <f t="shared" si="554"/>
        <v>1</v>
      </c>
      <c r="AM1150" s="4">
        <f>CER!$C$7+CER!$C$8*J1150+CER!$C$9*K1150+CER!$C$10*L1150+CER!$C$11*M1150</f>
        <v>4.977486756794959</v>
      </c>
      <c r="AN1150" s="4">
        <f t="shared" si="555"/>
        <v>145.10922820432842</v>
      </c>
      <c r="AO1150" s="4">
        <f t="shared" si="556"/>
        <v>-4.3266093144346485E-2</v>
      </c>
      <c r="AP1150" s="4">
        <f>Alternatives!$F$25+Alternatives!$F$26*J1150+Alternatives!$F$27*K1150+Alternatives!$F$28*G1150+Alternatives!$F$29*O1150</f>
        <v>4.2580392502635931</v>
      </c>
      <c r="AQ1150" s="4">
        <f t="shared" si="557"/>
        <v>0.67618141338701943</v>
      </c>
    </row>
    <row r="1151" spans="1:43" x14ac:dyDescent="0.35">
      <c r="A1151" s="2" t="s">
        <v>1002</v>
      </c>
      <c r="B1151" s="2" t="s">
        <v>505</v>
      </c>
      <c r="C1151" s="2" t="s">
        <v>34</v>
      </c>
      <c r="D1151" s="2">
        <v>128.1431</v>
      </c>
      <c r="E1151" s="2">
        <v>6000</v>
      </c>
      <c r="F1151" s="2">
        <v>288</v>
      </c>
      <c r="G1151" s="2">
        <v>54.7</v>
      </c>
      <c r="H1151" s="2" t="s">
        <v>881</v>
      </c>
      <c r="I1151" s="4">
        <f t="shared" si="527"/>
        <v>4.8531476082079301</v>
      </c>
      <c r="J1151" s="4">
        <f t="shared" si="528"/>
        <v>8.6995147482101913</v>
      </c>
      <c r="K1151" s="4">
        <f t="shared" si="529"/>
        <v>5.6629604801359461</v>
      </c>
      <c r="L1151" s="2">
        <v>0</v>
      </c>
      <c r="M1151" s="2">
        <v>1</v>
      </c>
      <c r="N1151" s="4">
        <f t="shared" si="530"/>
        <v>54.7</v>
      </c>
      <c r="O1151" s="4">
        <f t="shared" si="531"/>
        <v>1</v>
      </c>
      <c r="P1151" s="4">
        <f t="shared" si="532"/>
        <v>2</v>
      </c>
      <c r="Q1151" s="4">
        <f t="shared" si="533"/>
        <v>8.6995147482101913</v>
      </c>
      <c r="R1151" s="4">
        <f t="shared" si="534"/>
        <v>5.6629604801359461</v>
      </c>
      <c r="S1151" s="4">
        <f t="shared" si="535"/>
        <v>54.7</v>
      </c>
      <c r="T1151" s="4">
        <f t="shared" si="536"/>
        <v>1</v>
      </c>
      <c r="U1151" s="4">
        <f t="shared" si="537"/>
        <v>8.6995147482101913</v>
      </c>
      <c r="V1151" s="4">
        <f t="shared" si="538"/>
        <v>5.6629604801359461</v>
      </c>
      <c r="W1151" s="4">
        <f t="shared" si="539"/>
        <v>54.7</v>
      </c>
      <c r="X1151" s="4">
        <f t="shared" si="540"/>
        <v>2</v>
      </c>
      <c r="Y1151" s="4">
        <f t="shared" si="541"/>
        <v>8.6995147482101913</v>
      </c>
      <c r="Z1151" s="4">
        <f t="shared" si="542"/>
        <v>5.6629604801359461</v>
      </c>
      <c r="AA1151" s="4">
        <f t="shared" si="543"/>
        <v>54.7</v>
      </c>
      <c r="AB1151" s="4">
        <f t="shared" si="544"/>
        <v>0</v>
      </c>
      <c r="AC1151" s="4">
        <f t="shared" si="545"/>
        <v>1</v>
      </c>
      <c r="AD1151" s="4">
        <f t="shared" si="546"/>
        <v>8.6995147482101913</v>
      </c>
      <c r="AE1151" s="4">
        <f t="shared" si="547"/>
        <v>5.6629604801359461</v>
      </c>
      <c r="AF1151" s="4">
        <f t="shared" si="548"/>
        <v>54.7</v>
      </c>
      <c r="AG1151" s="4">
        <f t="shared" si="549"/>
        <v>8.6995147482101913</v>
      </c>
      <c r="AH1151" s="4">
        <f t="shared" si="550"/>
        <v>0</v>
      </c>
      <c r="AI1151" s="4">
        <f t="shared" si="551"/>
        <v>1</v>
      </c>
      <c r="AJ1151" s="4">
        <f t="shared" si="552"/>
        <v>8.6995147482101913</v>
      </c>
      <c r="AK1151" s="4">
        <f t="shared" si="553"/>
        <v>5.6629604801359461</v>
      </c>
      <c r="AL1151" s="4">
        <f t="shared" si="554"/>
        <v>1</v>
      </c>
      <c r="AM1151" s="4">
        <f>CER!$C$7+CER!$C$8*J1151+CER!$C$9*K1151+CER!$C$10*L1151+CER!$C$11*M1151</f>
        <v>4.9380959129205966</v>
      </c>
      <c r="AN1151" s="4">
        <f t="shared" si="555"/>
        <v>139.50436804484011</v>
      </c>
      <c r="AO1151" s="4">
        <f t="shared" si="556"/>
        <v>-8.4948304712666456E-2</v>
      </c>
      <c r="AP1151" s="4">
        <f>Alternatives!$F$25+Alternatives!$F$26*J1151+Alternatives!$F$27*K1151+Alternatives!$F$28*G1151+Alternatives!$F$29*O1151</f>
        <v>4.2902409408221196</v>
      </c>
      <c r="AQ1151" s="4">
        <f t="shared" si="557"/>
        <v>0.56290666738581052</v>
      </c>
    </row>
    <row r="1152" spans="1:43" x14ac:dyDescent="0.35">
      <c r="A1152" s="2" t="s">
        <v>1003</v>
      </c>
      <c r="B1152" s="2" t="s">
        <v>505</v>
      </c>
      <c r="C1152" s="2" t="s">
        <v>34</v>
      </c>
      <c r="D1152" s="2">
        <v>123.7899</v>
      </c>
      <c r="E1152" s="2">
        <v>6000</v>
      </c>
      <c r="F1152" s="2">
        <v>402</v>
      </c>
      <c r="G1152" s="2">
        <v>54.7</v>
      </c>
      <c r="H1152" s="2" t="s">
        <v>881</v>
      </c>
      <c r="I1152" s="4">
        <f t="shared" si="527"/>
        <v>4.8185857737236981</v>
      </c>
      <c r="J1152" s="4">
        <f t="shared" si="528"/>
        <v>8.6995147482101913</v>
      </c>
      <c r="K1152" s="4">
        <f t="shared" si="529"/>
        <v>5.9964520886190211</v>
      </c>
      <c r="L1152" s="2">
        <v>0</v>
      </c>
      <c r="M1152" s="2">
        <v>1</v>
      </c>
      <c r="N1152" s="4">
        <f t="shared" si="530"/>
        <v>54.7</v>
      </c>
      <c r="O1152" s="4">
        <f t="shared" si="531"/>
        <v>1</v>
      </c>
      <c r="P1152" s="4">
        <f t="shared" si="532"/>
        <v>2</v>
      </c>
      <c r="Q1152" s="4">
        <f t="shared" si="533"/>
        <v>8.6995147482101913</v>
      </c>
      <c r="R1152" s="4">
        <f t="shared" si="534"/>
        <v>5.9964520886190211</v>
      </c>
      <c r="S1152" s="4">
        <f t="shared" si="535"/>
        <v>54.7</v>
      </c>
      <c r="T1152" s="4">
        <f t="shared" si="536"/>
        <v>1</v>
      </c>
      <c r="U1152" s="4">
        <f t="shared" si="537"/>
        <v>8.6995147482101913</v>
      </c>
      <c r="V1152" s="4">
        <f t="shared" si="538"/>
        <v>5.9964520886190211</v>
      </c>
      <c r="W1152" s="4">
        <f t="shared" si="539"/>
        <v>54.7</v>
      </c>
      <c r="X1152" s="4">
        <f t="shared" si="540"/>
        <v>2</v>
      </c>
      <c r="Y1152" s="4">
        <f t="shared" si="541"/>
        <v>8.6995147482101913</v>
      </c>
      <c r="Z1152" s="4">
        <f t="shared" si="542"/>
        <v>5.9964520886190211</v>
      </c>
      <c r="AA1152" s="4">
        <f t="shared" si="543"/>
        <v>54.7</v>
      </c>
      <c r="AB1152" s="4">
        <f t="shared" si="544"/>
        <v>0</v>
      </c>
      <c r="AC1152" s="4">
        <f t="shared" si="545"/>
        <v>1</v>
      </c>
      <c r="AD1152" s="4">
        <f t="shared" si="546"/>
        <v>8.6995147482101913</v>
      </c>
      <c r="AE1152" s="4">
        <f t="shared" si="547"/>
        <v>5.9964520886190211</v>
      </c>
      <c r="AF1152" s="4">
        <f t="shared" si="548"/>
        <v>54.7</v>
      </c>
      <c r="AG1152" s="4">
        <f t="shared" si="549"/>
        <v>8.6995147482101913</v>
      </c>
      <c r="AH1152" s="4">
        <f t="shared" si="550"/>
        <v>0</v>
      </c>
      <c r="AI1152" s="4">
        <f t="shared" si="551"/>
        <v>1</v>
      </c>
      <c r="AJ1152" s="4">
        <f t="shared" si="552"/>
        <v>8.6995147482101913</v>
      </c>
      <c r="AK1152" s="4">
        <f t="shared" si="553"/>
        <v>5.9964520886190211</v>
      </c>
      <c r="AL1152" s="4">
        <f t="shared" si="554"/>
        <v>1</v>
      </c>
      <c r="AM1152" s="4">
        <f>CER!$C$7+CER!$C$8*J1152+CER!$C$9*K1152+CER!$C$10*L1152+CER!$C$11*M1152</f>
        <v>4.8150562803432404</v>
      </c>
      <c r="AN1152" s="4">
        <f t="shared" si="555"/>
        <v>123.35375450646571</v>
      </c>
      <c r="AO1152" s="4">
        <f t="shared" si="556"/>
        <v>3.5294933804577155E-3</v>
      </c>
      <c r="AP1152" s="4">
        <f>Alternatives!$F$25+Alternatives!$F$26*J1152+Alternatives!$F$27*K1152+Alternatives!$F$28*G1152+Alternatives!$F$29*O1152</f>
        <v>4.2014954995905196</v>
      </c>
      <c r="AQ1152" s="4">
        <f t="shared" si="557"/>
        <v>0.61709027413317852</v>
      </c>
    </row>
    <row r="1153" spans="1:43" x14ac:dyDescent="0.35">
      <c r="A1153" s="2" t="s">
        <v>1004</v>
      </c>
      <c r="B1153" s="2" t="s">
        <v>505</v>
      </c>
      <c r="C1153" s="2" t="s">
        <v>34</v>
      </c>
      <c r="D1153" s="2">
        <v>116.8937</v>
      </c>
      <c r="E1153" s="2">
        <v>6000</v>
      </c>
      <c r="F1153" s="2">
        <v>402</v>
      </c>
      <c r="G1153" s="2">
        <v>53.9</v>
      </c>
      <c r="H1153" s="2" t="s">
        <v>881</v>
      </c>
      <c r="I1153" s="4">
        <f t="shared" si="527"/>
        <v>4.7612649748102163</v>
      </c>
      <c r="J1153" s="4">
        <f t="shared" si="528"/>
        <v>8.6995147482101913</v>
      </c>
      <c r="K1153" s="4">
        <f t="shared" si="529"/>
        <v>5.9964520886190211</v>
      </c>
      <c r="L1153" s="2">
        <v>0</v>
      </c>
      <c r="M1153" s="2">
        <v>1</v>
      </c>
      <c r="N1153" s="4">
        <f t="shared" si="530"/>
        <v>53.9</v>
      </c>
      <c r="O1153" s="4">
        <f t="shared" si="531"/>
        <v>1</v>
      </c>
      <c r="P1153" s="4">
        <f t="shared" si="532"/>
        <v>2</v>
      </c>
      <c r="Q1153" s="4">
        <f t="shared" si="533"/>
        <v>8.6995147482101913</v>
      </c>
      <c r="R1153" s="4">
        <f t="shared" si="534"/>
        <v>5.9964520886190211</v>
      </c>
      <c r="S1153" s="4">
        <f t="shared" si="535"/>
        <v>53.9</v>
      </c>
      <c r="T1153" s="4">
        <f t="shared" si="536"/>
        <v>1</v>
      </c>
      <c r="U1153" s="4">
        <f t="shared" si="537"/>
        <v>8.6995147482101913</v>
      </c>
      <c r="V1153" s="4">
        <f t="shared" si="538"/>
        <v>5.9964520886190211</v>
      </c>
      <c r="W1153" s="4">
        <f t="shared" si="539"/>
        <v>53.9</v>
      </c>
      <c r="X1153" s="4">
        <f t="shared" si="540"/>
        <v>2</v>
      </c>
      <c r="Y1153" s="4">
        <f t="shared" si="541"/>
        <v>8.6995147482101913</v>
      </c>
      <c r="Z1153" s="4">
        <f t="shared" si="542"/>
        <v>5.9964520886190211</v>
      </c>
      <c r="AA1153" s="4">
        <f t="shared" si="543"/>
        <v>53.9</v>
      </c>
      <c r="AB1153" s="4">
        <f t="shared" si="544"/>
        <v>0</v>
      </c>
      <c r="AC1153" s="4">
        <f t="shared" si="545"/>
        <v>1</v>
      </c>
      <c r="AD1153" s="4">
        <f t="shared" si="546"/>
        <v>8.6995147482101913</v>
      </c>
      <c r="AE1153" s="4">
        <f t="shared" si="547"/>
        <v>5.9964520886190211</v>
      </c>
      <c r="AF1153" s="4">
        <f t="shared" si="548"/>
        <v>53.9</v>
      </c>
      <c r="AG1153" s="4">
        <f t="shared" si="549"/>
        <v>8.6995147482101913</v>
      </c>
      <c r="AH1153" s="4">
        <f t="shared" si="550"/>
        <v>0</v>
      </c>
      <c r="AI1153" s="4">
        <f t="shared" si="551"/>
        <v>1</v>
      </c>
      <c r="AJ1153" s="4">
        <f t="shared" si="552"/>
        <v>8.6995147482101913</v>
      </c>
      <c r="AK1153" s="4">
        <f t="shared" si="553"/>
        <v>5.9964520886190211</v>
      </c>
      <c r="AL1153" s="4">
        <f t="shared" si="554"/>
        <v>1</v>
      </c>
      <c r="AM1153" s="4">
        <f>CER!$C$7+CER!$C$8*J1153+CER!$C$9*K1153+CER!$C$10*L1153+CER!$C$11*M1153</f>
        <v>4.8150562803432404</v>
      </c>
      <c r="AN1153" s="4">
        <f t="shared" si="555"/>
        <v>123.35375450646571</v>
      </c>
      <c r="AO1153" s="4">
        <f t="shared" si="556"/>
        <v>-5.3791305533024136E-2</v>
      </c>
      <c r="AP1153" s="4">
        <f>Alternatives!$F$25+Alternatives!$F$26*J1153+Alternatives!$F$27*K1153+Alternatives!$F$28*G1153+Alternatives!$F$29*O1153</f>
        <v>4.2119013512243022</v>
      </c>
      <c r="AQ1153" s="4">
        <f t="shared" si="557"/>
        <v>0.54936362358591406</v>
      </c>
    </row>
    <row r="1154" spans="1:43" x14ac:dyDescent="0.35">
      <c r="A1154" s="2" t="s">
        <v>1005</v>
      </c>
      <c r="B1154" s="2" t="s">
        <v>505</v>
      </c>
      <c r="C1154" s="2" t="s">
        <v>34</v>
      </c>
      <c r="D1154" s="2">
        <v>133.47020000000001</v>
      </c>
      <c r="E1154" s="2">
        <v>5500</v>
      </c>
      <c r="F1154" s="2">
        <v>288</v>
      </c>
      <c r="G1154" s="2">
        <v>53.9</v>
      </c>
      <c r="H1154" s="2" t="s">
        <v>881</v>
      </c>
      <c r="I1154" s="4">
        <f t="shared" ref="I1154:I1217" si="558">LN(D1154)</f>
        <v>4.8938782319490119</v>
      </c>
      <c r="J1154" s="4">
        <f t="shared" ref="J1154:J1217" si="559">LN(E1154)</f>
        <v>8.6125033712205621</v>
      </c>
      <c r="K1154" s="4">
        <f t="shared" ref="K1154:K1217" si="560">LN(F1154)</f>
        <v>5.6629604801359461</v>
      </c>
      <c r="L1154" s="2">
        <v>0</v>
      </c>
      <c r="M1154" s="2">
        <v>1</v>
      </c>
      <c r="N1154" s="4">
        <f t="shared" ref="N1154:N1217" si="561">G1154</f>
        <v>53.9</v>
      </c>
      <c r="O1154" s="4">
        <f t="shared" ref="O1154:O1217" si="562">L1154+M1154</f>
        <v>1</v>
      </c>
      <c r="P1154" s="4">
        <f t="shared" ref="P1154:P1217" si="563">L1154+2*M1154</f>
        <v>2</v>
      </c>
      <c r="Q1154" s="4">
        <f t="shared" ref="Q1154:Q1217" si="564">J1154</f>
        <v>8.6125033712205621</v>
      </c>
      <c r="R1154" s="4">
        <f t="shared" ref="R1154:R1217" si="565">K1154</f>
        <v>5.6629604801359461</v>
      </c>
      <c r="S1154" s="4">
        <f t="shared" ref="S1154:S1217" si="566">G1154</f>
        <v>53.9</v>
      </c>
      <c r="T1154" s="4">
        <f t="shared" ref="T1154:T1217" si="567">O1154</f>
        <v>1</v>
      </c>
      <c r="U1154" s="4">
        <f t="shared" ref="U1154:U1217" si="568">J1154</f>
        <v>8.6125033712205621</v>
      </c>
      <c r="V1154" s="4">
        <f t="shared" ref="V1154:V1217" si="569">K1154</f>
        <v>5.6629604801359461</v>
      </c>
      <c r="W1154" s="4">
        <f t="shared" ref="W1154:W1217" si="570">G1154</f>
        <v>53.9</v>
      </c>
      <c r="X1154" s="4">
        <f t="shared" ref="X1154:X1217" si="571">P1154</f>
        <v>2</v>
      </c>
      <c r="Y1154" s="4">
        <f t="shared" ref="Y1154:Y1217" si="572">J1154</f>
        <v>8.6125033712205621</v>
      </c>
      <c r="Z1154" s="4">
        <f t="shared" ref="Z1154:Z1217" si="573">K1154</f>
        <v>5.6629604801359461</v>
      </c>
      <c r="AA1154" s="4">
        <f t="shared" ref="AA1154:AA1217" si="574">G1154</f>
        <v>53.9</v>
      </c>
      <c r="AB1154" s="4">
        <f t="shared" ref="AB1154:AB1217" si="575">L1154</f>
        <v>0</v>
      </c>
      <c r="AC1154" s="4">
        <f t="shared" ref="AC1154:AC1217" si="576">M1154</f>
        <v>1</v>
      </c>
      <c r="AD1154" s="4">
        <f t="shared" ref="AD1154:AD1217" si="577">M1154*J1154</f>
        <v>8.6125033712205621</v>
      </c>
      <c r="AE1154" s="4">
        <f t="shared" ref="AE1154:AE1217" si="578">M1154*K1154</f>
        <v>5.6629604801359461</v>
      </c>
      <c r="AF1154" s="4">
        <f t="shared" ref="AF1154:AF1217" si="579">M1154*G1154</f>
        <v>53.9</v>
      </c>
      <c r="AG1154" s="4">
        <f t="shared" ref="AG1154:AG1217" si="580">J1154</f>
        <v>8.6125033712205621</v>
      </c>
      <c r="AH1154" s="4">
        <f t="shared" ref="AH1154:AH1217" si="581">L1154</f>
        <v>0</v>
      </c>
      <c r="AI1154" s="4">
        <f t="shared" ref="AI1154:AI1217" si="582">M1154</f>
        <v>1</v>
      </c>
      <c r="AJ1154" s="4">
        <f t="shared" ref="AJ1154:AJ1217" si="583">J1154</f>
        <v>8.6125033712205621</v>
      </c>
      <c r="AK1154" s="4">
        <f t="shared" ref="AK1154:AK1217" si="584">K1154</f>
        <v>5.6629604801359461</v>
      </c>
      <c r="AL1154" s="4">
        <f t="shared" ref="AL1154:AL1217" si="585">M1154</f>
        <v>1</v>
      </c>
      <c r="AM1154" s="4">
        <f>CER!$C$7+CER!$C$8*J1154+CER!$C$9*K1154+CER!$C$10*L1154+CER!$C$11*M1154</f>
        <v>4.977486756794959</v>
      </c>
      <c r="AN1154" s="4">
        <f t="shared" ref="AN1154:AN1217" si="586">EXP(AM1154)</f>
        <v>145.10922820432842</v>
      </c>
      <c r="AO1154" s="4">
        <f t="shared" ref="AO1154:AO1217" si="587">I1154-AM1154</f>
        <v>-8.3608524845947052E-2</v>
      </c>
      <c r="AP1154" s="4">
        <f>Alternatives!$F$25+Alternatives!$F$26*J1154+Alternatives!$F$27*K1154+Alternatives!$F$28*G1154+Alternatives!$F$29*O1154</f>
        <v>4.2684451018973757</v>
      </c>
      <c r="AQ1154" s="4">
        <f t="shared" ref="AQ1154:AQ1217" si="588">I1154-AP1154</f>
        <v>0.62543313005163625</v>
      </c>
    </row>
    <row r="1155" spans="1:43" x14ac:dyDescent="0.35">
      <c r="A1155" s="2" t="s">
        <v>1006</v>
      </c>
      <c r="B1155" s="2" t="s">
        <v>505</v>
      </c>
      <c r="C1155" s="2" t="s">
        <v>34</v>
      </c>
      <c r="D1155" s="2">
        <v>119.1268</v>
      </c>
      <c r="E1155" s="2">
        <v>6000</v>
      </c>
      <c r="F1155" s="2">
        <v>288</v>
      </c>
      <c r="G1155" s="2">
        <v>53.9</v>
      </c>
      <c r="H1155" s="2" t="s">
        <v>881</v>
      </c>
      <c r="I1155" s="4">
        <f t="shared" si="558"/>
        <v>4.780188472038593</v>
      </c>
      <c r="J1155" s="4">
        <f t="shared" si="559"/>
        <v>8.6995147482101913</v>
      </c>
      <c r="K1155" s="4">
        <f t="shared" si="560"/>
        <v>5.6629604801359461</v>
      </c>
      <c r="L1155" s="2">
        <v>0</v>
      </c>
      <c r="M1155" s="2">
        <v>1</v>
      </c>
      <c r="N1155" s="4">
        <f t="shared" si="561"/>
        <v>53.9</v>
      </c>
      <c r="O1155" s="4">
        <f t="shared" si="562"/>
        <v>1</v>
      </c>
      <c r="P1155" s="4">
        <f t="shared" si="563"/>
        <v>2</v>
      </c>
      <c r="Q1155" s="4">
        <f t="shared" si="564"/>
        <v>8.6995147482101913</v>
      </c>
      <c r="R1155" s="4">
        <f t="shared" si="565"/>
        <v>5.6629604801359461</v>
      </c>
      <c r="S1155" s="4">
        <f t="shared" si="566"/>
        <v>53.9</v>
      </c>
      <c r="T1155" s="4">
        <f t="shared" si="567"/>
        <v>1</v>
      </c>
      <c r="U1155" s="4">
        <f t="shared" si="568"/>
        <v>8.6995147482101913</v>
      </c>
      <c r="V1155" s="4">
        <f t="shared" si="569"/>
        <v>5.6629604801359461</v>
      </c>
      <c r="W1155" s="4">
        <f t="shared" si="570"/>
        <v>53.9</v>
      </c>
      <c r="X1155" s="4">
        <f t="shared" si="571"/>
        <v>2</v>
      </c>
      <c r="Y1155" s="4">
        <f t="shared" si="572"/>
        <v>8.6995147482101913</v>
      </c>
      <c r="Z1155" s="4">
        <f t="shared" si="573"/>
        <v>5.6629604801359461</v>
      </c>
      <c r="AA1155" s="4">
        <f t="shared" si="574"/>
        <v>53.9</v>
      </c>
      <c r="AB1155" s="4">
        <f t="shared" si="575"/>
        <v>0</v>
      </c>
      <c r="AC1155" s="4">
        <f t="shared" si="576"/>
        <v>1</v>
      </c>
      <c r="AD1155" s="4">
        <f t="shared" si="577"/>
        <v>8.6995147482101913</v>
      </c>
      <c r="AE1155" s="4">
        <f t="shared" si="578"/>
        <v>5.6629604801359461</v>
      </c>
      <c r="AF1155" s="4">
        <f t="shared" si="579"/>
        <v>53.9</v>
      </c>
      <c r="AG1155" s="4">
        <f t="shared" si="580"/>
        <v>8.6995147482101913</v>
      </c>
      <c r="AH1155" s="4">
        <f t="shared" si="581"/>
        <v>0</v>
      </c>
      <c r="AI1155" s="4">
        <f t="shared" si="582"/>
        <v>1</v>
      </c>
      <c r="AJ1155" s="4">
        <f t="shared" si="583"/>
        <v>8.6995147482101913</v>
      </c>
      <c r="AK1155" s="4">
        <f t="shared" si="584"/>
        <v>5.6629604801359461</v>
      </c>
      <c r="AL1155" s="4">
        <f t="shared" si="585"/>
        <v>1</v>
      </c>
      <c r="AM1155" s="4">
        <f>CER!$C$7+CER!$C$8*J1155+CER!$C$9*K1155+CER!$C$10*L1155+CER!$C$11*M1155</f>
        <v>4.9380959129205966</v>
      </c>
      <c r="AN1155" s="4">
        <f t="shared" si="586"/>
        <v>139.50436804484011</v>
      </c>
      <c r="AO1155" s="4">
        <f t="shared" si="587"/>
        <v>-0.15790744088200359</v>
      </c>
      <c r="AP1155" s="4">
        <f>Alternatives!$F$25+Alternatives!$F$26*J1155+Alternatives!$F$27*K1155+Alternatives!$F$28*G1155+Alternatives!$F$29*O1155</f>
        <v>4.3006467924559022</v>
      </c>
      <c r="AQ1155" s="4">
        <f t="shared" si="588"/>
        <v>0.47954167958269078</v>
      </c>
    </row>
    <row r="1156" spans="1:43" x14ac:dyDescent="0.35">
      <c r="A1156" s="2" t="s">
        <v>1007</v>
      </c>
      <c r="B1156" s="2" t="s">
        <v>505</v>
      </c>
      <c r="C1156" s="2" t="s">
        <v>34</v>
      </c>
      <c r="D1156" s="2">
        <v>113.95180000000001</v>
      </c>
      <c r="E1156" s="2">
        <v>6500</v>
      </c>
      <c r="F1156" s="2">
        <v>355</v>
      </c>
      <c r="G1156" s="2">
        <v>57.8</v>
      </c>
      <c r="H1156" s="2" t="s">
        <v>881</v>
      </c>
      <c r="I1156" s="4">
        <f t="shared" si="558"/>
        <v>4.735775551968862</v>
      </c>
      <c r="J1156" s="4">
        <f t="shared" si="559"/>
        <v>8.7795574558837277</v>
      </c>
      <c r="K1156" s="4">
        <f t="shared" si="560"/>
        <v>5.872117789475416</v>
      </c>
      <c r="L1156" s="2">
        <v>0</v>
      </c>
      <c r="M1156" s="2">
        <v>1</v>
      </c>
      <c r="N1156" s="4">
        <f t="shared" si="561"/>
        <v>57.8</v>
      </c>
      <c r="O1156" s="4">
        <f t="shared" si="562"/>
        <v>1</v>
      </c>
      <c r="P1156" s="4">
        <f t="shared" si="563"/>
        <v>2</v>
      </c>
      <c r="Q1156" s="4">
        <f t="shared" si="564"/>
        <v>8.7795574558837277</v>
      </c>
      <c r="R1156" s="4">
        <f t="shared" si="565"/>
        <v>5.872117789475416</v>
      </c>
      <c r="S1156" s="4">
        <f t="shared" si="566"/>
        <v>57.8</v>
      </c>
      <c r="T1156" s="4">
        <f t="shared" si="567"/>
        <v>1</v>
      </c>
      <c r="U1156" s="4">
        <f t="shared" si="568"/>
        <v>8.7795574558837277</v>
      </c>
      <c r="V1156" s="4">
        <f t="shared" si="569"/>
        <v>5.872117789475416</v>
      </c>
      <c r="W1156" s="4">
        <f t="shared" si="570"/>
        <v>57.8</v>
      </c>
      <c r="X1156" s="4">
        <f t="shared" si="571"/>
        <v>2</v>
      </c>
      <c r="Y1156" s="4">
        <f t="shared" si="572"/>
        <v>8.7795574558837277</v>
      </c>
      <c r="Z1156" s="4">
        <f t="shared" si="573"/>
        <v>5.872117789475416</v>
      </c>
      <c r="AA1156" s="4">
        <f t="shared" si="574"/>
        <v>57.8</v>
      </c>
      <c r="AB1156" s="4">
        <f t="shared" si="575"/>
        <v>0</v>
      </c>
      <c r="AC1156" s="4">
        <f t="shared" si="576"/>
        <v>1</v>
      </c>
      <c r="AD1156" s="4">
        <f t="shared" si="577"/>
        <v>8.7795574558837277</v>
      </c>
      <c r="AE1156" s="4">
        <f t="shared" si="578"/>
        <v>5.872117789475416</v>
      </c>
      <c r="AF1156" s="4">
        <f t="shared" si="579"/>
        <v>57.8</v>
      </c>
      <c r="AG1156" s="4">
        <f t="shared" si="580"/>
        <v>8.7795574558837277</v>
      </c>
      <c r="AH1156" s="4">
        <f t="shared" si="581"/>
        <v>0</v>
      </c>
      <c r="AI1156" s="4">
        <f t="shared" si="582"/>
        <v>1</v>
      </c>
      <c r="AJ1156" s="4">
        <f t="shared" si="583"/>
        <v>8.7795574558837277</v>
      </c>
      <c r="AK1156" s="4">
        <f t="shared" si="584"/>
        <v>5.872117789475416</v>
      </c>
      <c r="AL1156" s="4">
        <f t="shared" si="585"/>
        <v>1</v>
      </c>
      <c r="AM1156" s="4">
        <f>CER!$C$7+CER!$C$8*J1156+CER!$C$9*K1156+CER!$C$10*L1156+CER!$C$11*M1156</f>
        <v>4.8246925747070675</v>
      </c>
      <c r="AN1156" s="4">
        <f t="shared" si="586"/>
        <v>124.54817323840685</v>
      </c>
      <c r="AO1156" s="4">
        <f t="shared" si="587"/>
        <v>-8.8917022738205453E-2</v>
      </c>
      <c r="AP1156" s="4">
        <f>Alternatives!$F$25+Alternatives!$F$26*J1156+Alternatives!$F$27*K1156+Alternatives!$F$28*G1156+Alternatives!$F$29*O1156</f>
        <v>4.2238821046234616</v>
      </c>
      <c r="AQ1156" s="4">
        <f t="shared" si="588"/>
        <v>0.51189344734540043</v>
      </c>
    </row>
    <row r="1157" spans="1:43" x14ac:dyDescent="0.35">
      <c r="A1157" s="2" t="s">
        <v>1008</v>
      </c>
      <c r="B1157" s="2" t="s">
        <v>505</v>
      </c>
      <c r="C1157" s="2" t="s">
        <v>34</v>
      </c>
      <c r="D1157" s="2">
        <v>116.313</v>
      </c>
      <c r="E1157" s="2">
        <v>6500</v>
      </c>
      <c r="F1157" s="2">
        <v>536</v>
      </c>
      <c r="G1157" s="2">
        <v>57.8</v>
      </c>
      <c r="H1157" s="2" t="s">
        <v>881</v>
      </c>
      <c r="I1157" s="4">
        <f t="shared" si="558"/>
        <v>4.7562848331573351</v>
      </c>
      <c r="J1157" s="4">
        <f t="shared" si="559"/>
        <v>8.7795574558837277</v>
      </c>
      <c r="K1157" s="4">
        <f t="shared" si="560"/>
        <v>6.2841341610708019</v>
      </c>
      <c r="L1157" s="2">
        <v>0</v>
      </c>
      <c r="M1157" s="2">
        <v>1</v>
      </c>
      <c r="N1157" s="4">
        <f t="shared" si="561"/>
        <v>57.8</v>
      </c>
      <c r="O1157" s="4">
        <f t="shared" si="562"/>
        <v>1</v>
      </c>
      <c r="P1157" s="4">
        <f t="shared" si="563"/>
        <v>2</v>
      </c>
      <c r="Q1157" s="4">
        <f t="shared" si="564"/>
        <v>8.7795574558837277</v>
      </c>
      <c r="R1157" s="4">
        <f t="shared" si="565"/>
        <v>6.2841341610708019</v>
      </c>
      <c r="S1157" s="4">
        <f t="shared" si="566"/>
        <v>57.8</v>
      </c>
      <c r="T1157" s="4">
        <f t="shared" si="567"/>
        <v>1</v>
      </c>
      <c r="U1157" s="4">
        <f t="shared" si="568"/>
        <v>8.7795574558837277</v>
      </c>
      <c r="V1157" s="4">
        <f t="shared" si="569"/>
        <v>6.2841341610708019</v>
      </c>
      <c r="W1157" s="4">
        <f t="shared" si="570"/>
        <v>57.8</v>
      </c>
      <c r="X1157" s="4">
        <f t="shared" si="571"/>
        <v>2</v>
      </c>
      <c r="Y1157" s="4">
        <f t="shared" si="572"/>
        <v>8.7795574558837277</v>
      </c>
      <c r="Z1157" s="4">
        <f t="shared" si="573"/>
        <v>6.2841341610708019</v>
      </c>
      <c r="AA1157" s="4">
        <f t="shared" si="574"/>
        <v>57.8</v>
      </c>
      <c r="AB1157" s="4">
        <f t="shared" si="575"/>
        <v>0</v>
      </c>
      <c r="AC1157" s="4">
        <f t="shared" si="576"/>
        <v>1</v>
      </c>
      <c r="AD1157" s="4">
        <f t="shared" si="577"/>
        <v>8.7795574558837277</v>
      </c>
      <c r="AE1157" s="4">
        <f t="shared" si="578"/>
        <v>6.2841341610708019</v>
      </c>
      <c r="AF1157" s="4">
        <f t="shared" si="579"/>
        <v>57.8</v>
      </c>
      <c r="AG1157" s="4">
        <f t="shared" si="580"/>
        <v>8.7795574558837277</v>
      </c>
      <c r="AH1157" s="4">
        <f t="shared" si="581"/>
        <v>0</v>
      </c>
      <c r="AI1157" s="4">
        <f t="shared" si="582"/>
        <v>1</v>
      </c>
      <c r="AJ1157" s="4">
        <f t="shared" si="583"/>
        <v>8.7795574558837277</v>
      </c>
      <c r="AK1157" s="4">
        <f t="shared" si="584"/>
        <v>6.2841341610708019</v>
      </c>
      <c r="AL1157" s="4">
        <f t="shared" si="585"/>
        <v>1</v>
      </c>
      <c r="AM1157" s="4">
        <f>CER!$C$7+CER!$C$8*J1157+CER!$C$9*K1157+CER!$C$10*L1157+CER!$C$11*M1157</f>
        <v>4.6726817243964973</v>
      </c>
      <c r="AN1157" s="4">
        <f t="shared" si="586"/>
        <v>106.98426038075785</v>
      </c>
      <c r="AO1157" s="4">
        <f t="shared" si="587"/>
        <v>8.3603108760837763E-2</v>
      </c>
      <c r="AP1157" s="4">
        <f>Alternatives!$F$25+Alternatives!$F$26*J1157+Alternatives!$F$27*K1157+Alternatives!$F$28*G1157+Alternatives!$F$29*O1157</f>
        <v>4.1142404411999252</v>
      </c>
      <c r="AQ1157" s="4">
        <f t="shared" si="588"/>
        <v>0.64204439195740992</v>
      </c>
    </row>
    <row r="1158" spans="1:43" x14ac:dyDescent="0.35">
      <c r="A1158" s="2" t="s">
        <v>1009</v>
      </c>
      <c r="B1158" s="2" t="s">
        <v>505</v>
      </c>
      <c r="C1158" s="2" t="s">
        <v>34</v>
      </c>
      <c r="D1158" s="2">
        <v>105.0979</v>
      </c>
      <c r="E1158" s="2">
        <v>7000</v>
      </c>
      <c r="F1158" s="2">
        <v>649</v>
      </c>
      <c r="G1158" s="2">
        <v>52.2</v>
      </c>
      <c r="H1158" s="2" t="s">
        <v>881</v>
      </c>
      <c r="I1158" s="4">
        <f t="shared" si="558"/>
        <v>4.654892296712779</v>
      </c>
      <c r="J1158" s="4">
        <f t="shared" si="559"/>
        <v>8.8536654280374503</v>
      </c>
      <c r="K1158" s="4">
        <f t="shared" si="560"/>
        <v>6.4754327167040904</v>
      </c>
      <c r="L1158" s="2">
        <v>0</v>
      </c>
      <c r="M1158" s="2">
        <v>1</v>
      </c>
      <c r="N1158" s="4">
        <f t="shared" si="561"/>
        <v>52.2</v>
      </c>
      <c r="O1158" s="4">
        <f t="shared" si="562"/>
        <v>1</v>
      </c>
      <c r="P1158" s="4">
        <f t="shared" si="563"/>
        <v>2</v>
      </c>
      <c r="Q1158" s="4">
        <f t="shared" si="564"/>
        <v>8.8536654280374503</v>
      </c>
      <c r="R1158" s="4">
        <f t="shared" si="565"/>
        <v>6.4754327167040904</v>
      </c>
      <c r="S1158" s="4">
        <f t="shared" si="566"/>
        <v>52.2</v>
      </c>
      <c r="T1158" s="4">
        <f t="shared" si="567"/>
        <v>1</v>
      </c>
      <c r="U1158" s="4">
        <f t="shared" si="568"/>
        <v>8.8536654280374503</v>
      </c>
      <c r="V1158" s="4">
        <f t="shared" si="569"/>
        <v>6.4754327167040904</v>
      </c>
      <c r="W1158" s="4">
        <f t="shared" si="570"/>
        <v>52.2</v>
      </c>
      <c r="X1158" s="4">
        <f t="shared" si="571"/>
        <v>2</v>
      </c>
      <c r="Y1158" s="4">
        <f t="shared" si="572"/>
        <v>8.8536654280374503</v>
      </c>
      <c r="Z1158" s="4">
        <f t="shared" si="573"/>
        <v>6.4754327167040904</v>
      </c>
      <c r="AA1158" s="4">
        <f t="shared" si="574"/>
        <v>52.2</v>
      </c>
      <c r="AB1158" s="4">
        <f t="shared" si="575"/>
        <v>0</v>
      </c>
      <c r="AC1158" s="4">
        <f t="shared" si="576"/>
        <v>1</v>
      </c>
      <c r="AD1158" s="4">
        <f t="shared" si="577"/>
        <v>8.8536654280374503</v>
      </c>
      <c r="AE1158" s="4">
        <f t="shared" si="578"/>
        <v>6.4754327167040904</v>
      </c>
      <c r="AF1158" s="4">
        <f t="shared" si="579"/>
        <v>52.2</v>
      </c>
      <c r="AG1158" s="4">
        <f t="shared" si="580"/>
        <v>8.8536654280374503</v>
      </c>
      <c r="AH1158" s="4">
        <f t="shared" si="581"/>
        <v>0</v>
      </c>
      <c r="AI1158" s="4">
        <f t="shared" si="582"/>
        <v>1</v>
      </c>
      <c r="AJ1158" s="4">
        <f t="shared" si="583"/>
        <v>8.8536654280374503</v>
      </c>
      <c r="AK1158" s="4">
        <f t="shared" si="584"/>
        <v>6.4754327167040904</v>
      </c>
      <c r="AL1158" s="4">
        <f t="shared" si="585"/>
        <v>1</v>
      </c>
      <c r="AM1158" s="4">
        <f>CER!$C$7+CER!$C$8*J1158+CER!$C$9*K1158+CER!$C$10*L1158+CER!$C$11*M1158</f>
        <v>4.5685539699927542</v>
      </c>
      <c r="AN1158" s="4">
        <f t="shared" si="586"/>
        <v>96.404604981456274</v>
      </c>
      <c r="AO1158" s="4">
        <f t="shared" si="587"/>
        <v>8.6338326720024838E-2</v>
      </c>
      <c r="AP1158" s="4">
        <f>Alternatives!$F$25+Alternatives!$F$26*J1158+Alternatives!$F$27*K1158+Alternatives!$F$28*G1158+Alternatives!$F$29*O1158</f>
        <v>4.1636012714947324</v>
      </c>
      <c r="AQ1158" s="4">
        <f t="shared" si="588"/>
        <v>0.49129102521804668</v>
      </c>
    </row>
    <row r="1159" spans="1:43" x14ac:dyDescent="0.35">
      <c r="A1159" s="2" t="s">
        <v>1010</v>
      </c>
      <c r="B1159" s="2" t="s">
        <v>505</v>
      </c>
      <c r="C1159" s="2" t="s">
        <v>34</v>
      </c>
      <c r="D1159" s="2">
        <v>104.3985</v>
      </c>
      <c r="E1159" s="2">
        <v>6000</v>
      </c>
      <c r="F1159" s="2">
        <v>617</v>
      </c>
      <c r="G1159" s="2">
        <v>54</v>
      </c>
      <c r="H1159" s="2" t="s">
        <v>881</v>
      </c>
      <c r="I1159" s="4">
        <f t="shared" si="558"/>
        <v>4.6482153075292283</v>
      </c>
      <c r="J1159" s="4">
        <f t="shared" si="559"/>
        <v>8.6995147482101913</v>
      </c>
      <c r="K1159" s="4">
        <f t="shared" si="560"/>
        <v>6.4248690239053881</v>
      </c>
      <c r="L1159" s="2">
        <v>0</v>
      </c>
      <c r="M1159" s="2">
        <v>1</v>
      </c>
      <c r="N1159" s="4">
        <f t="shared" si="561"/>
        <v>54</v>
      </c>
      <c r="O1159" s="4">
        <f t="shared" si="562"/>
        <v>1</v>
      </c>
      <c r="P1159" s="4">
        <f t="shared" si="563"/>
        <v>2</v>
      </c>
      <c r="Q1159" s="4">
        <f t="shared" si="564"/>
        <v>8.6995147482101913</v>
      </c>
      <c r="R1159" s="4">
        <f t="shared" si="565"/>
        <v>6.4248690239053881</v>
      </c>
      <c r="S1159" s="4">
        <f t="shared" si="566"/>
        <v>54</v>
      </c>
      <c r="T1159" s="4">
        <f t="shared" si="567"/>
        <v>1</v>
      </c>
      <c r="U1159" s="4">
        <f t="shared" si="568"/>
        <v>8.6995147482101913</v>
      </c>
      <c r="V1159" s="4">
        <f t="shared" si="569"/>
        <v>6.4248690239053881</v>
      </c>
      <c r="W1159" s="4">
        <f t="shared" si="570"/>
        <v>54</v>
      </c>
      <c r="X1159" s="4">
        <f t="shared" si="571"/>
        <v>2</v>
      </c>
      <c r="Y1159" s="4">
        <f t="shared" si="572"/>
        <v>8.6995147482101913</v>
      </c>
      <c r="Z1159" s="4">
        <f t="shared" si="573"/>
        <v>6.4248690239053881</v>
      </c>
      <c r="AA1159" s="4">
        <f t="shared" si="574"/>
        <v>54</v>
      </c>
      <c r="AB1159" s="4">
        <f t="shared" si="575"/>
        <v>0</v>
      </c>
      <c r="AC1159" s="4">
        <f t="shared" si="576"/>
        <v>1</v>
      </c>
      <c r="AD1159" s="4">
        <f t="shared" si="577"/>
        <v>8.6995147482101913</v>
      </c>
      <c r="AE1159" s="4">
        <f t="shared" si="578"/>
        <v>6.4248690239053881</v>
      </c>
      <c r="AF1159" s="4">
        <f t="shared" si="579"/>
        <v>54</v>
      </c>
      <c r="AG1159" s="4">
        <f t="shared" si="580"/>
        <v>8.6995147482101913</v>
      </c>
      <c r="AH1159" s="4">
        <f t="shared" si="581"/>
        <v>0</v>
      </c>
      <c r="AI1159" s="4">
        <f t="shared" si="582"/>
        <v>1</v>
      </c>
      <c r="AJ1159" s="4">
        <f t="shared" si="583"/>
        <v>8.6995147482101913</v>
      </c>
      <c r="AK1159" s="4">
        <f t="shared" si="584"/>
        <v>6.4248690239053881</v>
      </c>
      <c r="AL1159" s="4">
        <f t="shared" si="585"/>
        <v>1</v>
      </c>
      <c r="AM1159" s="4">
        <f>CER!$C$7+CER!$C$8*J1159+CER!$C$9*K1159+CER!$C$10*L1159+CER!$C$11*M1159</f>
        <v>4.6569945451550003</v>
      </c>
      <c r="AN1159" s="4">
        <f t="shared" si="586"/>
        <v>105.31907429676046</v>
      </c>
      <c r="AO1159" s="4">
        <f t="shared" si="587"/>
        <v>-8.7792376257720406E-3</v>
      </c>
      <c r="AP1159" s="4">
        <f>Alternatives!$F$25+Alternatives!$F$26*J1159+Alternatives!$F$27*K1159+Alternatives!$F$28*G1159+Alternatives!$F$29*O1159</f>
        <v>4.0965946028690343</v>
      </c>
      <c r="AQ1159" s="4">
        <f t="shared" si="588"/>
        <v>0.55162070466019397</v>
      </c>
    </row>
    <row r="1160" spans="1:43" x14ac:dyDescent="0.35">
      <c r="A1160" s="2" t="s">
        <v>1011</v>
      </c>
      <c r="B1160" s="2" t="s">
        <v>577</v>
      </c>
      <c r="C1160" s="2" t="s">
        <v>34</v>
      </c>
      <c r="D1160" s="2">
        <v>158.25069999999999</v>
      </c>
      <c r="E1160" s="2">
        <v>4000</v>
      </c>
      <c r="F1160" s="2">
        <v>147</v>
      </c>
      <c r="G1160" s="2">
        <v>45</v>
      </c>
      <c r="H1160" s="2" t="s">
        <v>883</v>
      </c>
      <c r="I1160" s="4">
        <f t="shared" si="558"/>
        <v>5.0641804843952292</v>
      </c>
      <c r="J1160" s="4">
        <f t="shared" si="559"/>
        <v>8.2940496401020276</v>
      </c>
      <c r="K1160" s="4">
        <f t="shared" si="560"/>
        <v>4.990432586778736</v>
      </c>
      <c r="L1160" s="2">
        <v>0</v>
      </c>
      <c r="M1160" s="2">
        <v>1</v>
      </c>
      <c r="N1160" s="4">
        <f t="shared" si="561"/>
        <v>45</v>
      </c>
      <c r="O1160" s="4">
        <f t="shared" si="562"/>
        <v>1</v>
      </c>
      <c r="P1160" s="4">
        <f t="shared" si="563"/>
        <v>2</v>
      </c>
      <c r="Q1160" s="4">
        <f t="shared" si="564"/>
        <v>8.2940496401020276</v>
      </c>
      <c r="R1160" s="4">
        <f t="shared" si="565"/>
        <v>4.990432586778736</v>
      </c>
      <c r="S1160" s="4">
        <f t="shared" si="566"/>
        <v>45</v>
      </c>
      <c r="T1160" s="4">
        <f t="shared" si="567"/>
        <v>1</v>
      </c>
      <c r="U1160" s="4">
        <f t="shared" si="568"/>
        <v>8.2940496401020276</v>
      </c>
      <c r="V1160" s="4">
        <f t="shared" si="569"/>
        <v>4.990432586778736</v>
      </c>
      <c r="W1160" s="4">
        <f t="shared" si="570"/>
        <v>45</v>
      </c>
      <c r="X1160" s="4">
        <f t="shared" si="571"/>
        <v>2</v>
      </c>
      <c r="Y1160" s="4">
        <f t="shared" si="572"/>
        <v>8.2940496401020276</v>
      </c>
      <c r="Z1160" s="4">
        <f t="shared" si="573"/>
        <v>4.990432586778736</v>
      </c>
      <c r="AA1160" s="4">
        <f t="shared" si="574"/>
        <v>45</v>
      </c>
      <c r="AB1160" s="4">
        <f t="shared" si="575"/>
        <v>0</v>
      </c>
      <c r="AC1160" s="4">
        <f t="shared" si="576"/>
        <v>1</v>
      </c>
      <c r="AD1160" s="4">
        <f t="shared" si="577"/>
        <v>8.2940496401020276</v>
      </c>
      <c r="AE1160" s="4">
        <f t="shared" si="578"/>
        <v>4.990432586778736</v>
      </c>
      <c r="AF1160" s="4">
        <f t="shared" si="579"/>
        <v>45</v>
      </c>
      <c r="AG1160" s="4">
        <f t="shared" si="580"/>
        <v>8.2940496401020276</v>
      </c>
      <c r="AH1160" s="4">
        <f t="shared" si="581"/>
        <v>0</v>
      </c>
      <c r="AI1160" s="4">
        <f t="shared" si="582"/>
        <v>1</v>
      </c>
      <c r="AJ1160" s="4">
        <f t="shared" si="583"/>
        <v>8.2940496401020276</v>
      </c>
      <c r="AK1160" s="4">
        <f t="shared" si="584"/>
        <v>4.990432586778736</v>
      </c>
      <c r="AL1160" s="4">
        <f t="shared" si="585"/>
        <v>1</v>
      </c>
      <c r="AM1160" s="4">
        <f>CER!$C$7+CER!$C$8*J1160+CER!$C$9*K1160+CER!$C$10*L1160+CER!$C$11*M1160</f>
        <v>5.3697786037056536</v>
      </c>
      <c r="AN1160" s="4">
        <f t="shared" si="586"/>
        <v>214.81530312713789</v>
      </c>
      <c r="AO1160" s="4">
        <f t="shared" si="587"/>
        <v>-0.30559811931042447</v>
      </c>
      <c r="AP1160" s="4">
        <f>Alternatives!$F$25+Alternatives!$F$26*J1160+Alternatives!$F$27*K1160+Alternatives!$F$28*G1160+Alternatives!$F$29*O1160</f>
        <v>4.445321316884165</v>
      </c>
      <c r="AQ1160" s="4">
        <f t="shared" si="588"/>
        <v>0.61885916751106418</v>
      </c>
    </row>
    <row r="1161" spans="1:43" x14ac:dyDescent="0.35">
      <c r="A1161" s="2" t="s">
        <v>1012</v>
      </c>
      <c r="B1161" s="2" t="s">
        <v>577</v>
      </c>
      <c r="C1161" s="2" t="s">
        <v>34</v>
      </c>
      <c r="D1161" s="2">
        <v>156.42060000000001</v>
      </c>
      <c r="E1161" s="2">
        <v>4000</v>
      </c>
      <c r="F1161" s="2">
        <v>214</v>
      </c>
      <c r="G1161" s="2">
        <v>44.7</v>
      </c>
      <c r="H1161" s="2" t="s">
        <v>924</v>
      </c>
      <c r="I1161" s="4">
        <f t="shared" si="558"/>
        <v>5.0525485329927289</v>
      </c>
      <c r="J1161" s="4">
        <f t="shared" si="559"/>
        <v>8.2940496401020276</v>
      </c>
      <c r="K1161" s="4">
        <f t="shared" si="560"/>
        <v>5.3659760150218512</v>
      </c>
      <c r="L1161" s="2">
        <v>0</v>
      </c>
      <c r="M1161" s="2">
        <v>1</v>
      </c>
      <c r="N1161" s="4">
        <f t="shared" si="561"/>
        <v>44.7</v>
      </c>
      <c r="O1161" s="4">
        <f t="shared" si="562"/>
        <v>1</v>
      </c>
      <c r="P1161" s="4">
        <f t="shared" si="563"/>
        <v>2</v>
      </c>
      <c r="Q1161" s="4">
        <f t="shared" si="564"/>
        <v>8.2940496401020276</v>
      </c>
      <c r="R1161" s="4">
        <f t="shared" si="565"/>
        <v>5.3659760150218512</v>
      </c>
      <c r="S1161" s="4">
        <f t="shared" si="566"/>
        <v>44.7</v>
      </c>
      <c r="T1161" s="4">
        <f t="shared" si="567"/>
        <v>1</v>
      </c>
      <c r="U1161" s="4">
        <f t="shared" si="568"/>
        <v>8.2940496401020276</v>
      </c>
      <c r="V1161" s="4">
        <f t="shared" si="569"/>
        <v>5.3659760150218512</v>
      </c>
      <c r="W1161" s="4">
        <f t="shared" si="570"/>
        <v>44.7</v>
      </c>
      <c r="X1161" s="4">
        <f t="shared" si="571"/>
        <v>2</v>
      </c>
      <c r="Y1161" s="4">
        <f t="shared" si="572"/>
        <v>8.2940496401020276</v>
      </c>
      <c r="Z1161" s="4">
        <f t="shared" si="573"/>
        <v>5.3659760150218512</v>
      </c>
      <c r="AA1161" s="4">
        <f t="shared" si="574"/>
        <v>44.7</v>
      </c>
      <c r="AB1161" s="4">
        <f t="shared" si="575"/>
        <v>0</v>
      </c>
      <c r="AC1161" s="4">
        <f t="shared" si="576"/>
        <v>1</v>
      </c>
      <c r="AD1161" s="4">
        <f t="shared" si="577"/>
        <v>8.2940496401020276</v>
      </c>
      <c r="AE1161" s="4">
        <f t="shared" si="578"/>
        <v>5.3659760150218512</v>
      </c>
      <c r="AF1161" s="4">
        <f t="shared" si="579"/>
        <v>44.7</v>
      </c>
      <c r="AG1161" s="4">
        <f t="shared" si="580"/>
        <v>8.2940496401020276</v>
      </c>
      <c r="AH1161" s="4">
        <f t="shared" si="581"/>
        <v>0</v>
      </c>
      <c r="AI1161" s="4">
        <f t="shared" si="582"/>
        <v>1</v>
      </c>
      <c r="AJ1161" s="4">
        <f t="shared" si="583"/>
        <v>8.2940496401020276</v>
      </c>
      <c r="AK1161" s="4">
        <f t="shared" si="584"/>
        <v>5.3659760150218512</v>
      </c>
      <c r="AL1161" s="4">
        <f t="shared" si="585"/>
        <v>1</v>
      </c>
      <c r="AM1161" s="4">
        <f>CER!$C$7+CER!$C$8*J1161+CER!$C$9*K1161+CER!$C$10*L1161+CER!$C$11*M1161</f>
        <v>5.231224216571146</v>
      </c>
      <c r="AN1161" s="4">
        <f t="shared" si="586"/>
        <v>187.02161839651279</v>
      </c>
      <c r="AO1161" s="4">
        <f t="shared" si="587"/>
        <v>-0.17867568357841712</v>
      </c>
      <c r="AP1161" s="4">
        <f>Alternatives!$F$25+Alternatives!$F$26*J1161+Alternatives!$F$27*K1161+Alternatives!$F$28*G1161+Alternatives!$F$29*O1161</f>
        <v>4.3492876616083436</v>
      </c>
      <c r="AQ1161" s="4">
        <f t="shared" si="588"/>
        <v>0.70326087138438531</v>
      </c>
    </row>
    <row r="1162" spans="1:43" x14ac:dyDescent="0.35">
      <c r="A1162" s="2" t="s">
        <v>1013</v>
      </c>
      <c r="B1162" s="2" t="s">
        <v>577</v>
      </c>
      <c r="C1162" s="2" t="s">
        <v>34</v>
      </c>
      <c r="D1162" s="2">
        <v>144.77979999999999</v>
      </c>
      <c r="E1162" s="2">
        <v>4500</v>
      </c>
      <c r="F1162" s="2">
        <v>214</v>
      </c>
      <c r="G1162" s="2">
        <v>49</v>
      </c>
      <c r="H1162" s="2" t="s">
        <v>924</v>
      </c>
      <c r="I1162" s="4">
        <f t="shared" si="558"/>
        <v>4.97521396745777</v>
      </c>
      <c r="J1162" s="4">
        <f t="shared" si="559"/>
        <v>8.4118326757584114</v>
      </c>
      <c r="K1162" s="4">
        <f t="shared" si="560"/>
        <v>5.3659760150218512</v>
      </c>
      <c r="L1162" s="2">
        <v>0</v>
      </c>
      <c r="M1162" s="2">
        <v>1</v>
      </c>
      <c r="N1162" s="4">
        <f t="shared" si="561"/>
        <v>49</v>
      </c>
      <c r="O1162" s="4">
        <f t="shared" si="562"/>
        <v>1</v>
      </c>
      <c r="P1162" s="4">
        <f t="shared" si="563"/>
        <v>2</v>
      </c>
      <c r="Q1162" s="4">
        <f t="shared" si="564"/>
        <v>8.4118326757584114</v>
      </c>
      <c r="R1162" s="4">
        <f t="shared" si="565"/>
        <v>5.3659760150218512</v>
      </c>
      <c r="S1162" s="4">
        <f t="shared" si="566"/>
        <v>49</v>
      </c>
      <c r="T1162" s="4">
        <f t="shared" si="567"/>
        <v>1</v>
      </c>
      <c r="U1162" s="4">
        <f t="shared" si="568"/>
        <v>8.4118326757584114</v>
      </c>
      <c r="V1162" s="4">
        <f t="shared" si="569"/>
        <v>5.3659760150218512</v>
      </c>
      <c r="W1162" s="4">
        <f t="shared" si="570"/>
        <v>49</v>
      </c>
      <c r="X1162" s="4">
        <f t="shared" si="571"/>
        <v>2</v>
      </c>
      <c r="Y1162" s="4">
        <f t="shared" si="572"/>
        <v>8.4118326757584114</v>
      </c>
      <c r="Z1162" s="4">
        <f t="shared" si="573"/>
        <v>5.3659760150218512</v>
      </c>
      <c r="AA1162" s="4">
        <f t="shared" si="574"/>
        <v>49</v>
      </c>
      <c r="AB1162" s="4">
        <f t="shared" si="575"/>
        <v>0</v>
      </c>
      <c r="AC1162" s="4">
        <f t="shared" si="576"/>
        <v>1</v>
      </c>
      <c r="AD1162" s="4">
        <f t="shared" si="577"/>
        <v>8.4118326757584114</v>
      </c>
      <c r="AE1162" s="4">
        <f t="shared" si="578"/>
        <v>5.3659760150218512</v>
      </c>
      <c r="AF1162" s="4">
        <f t="shared" si="579"/>
        <v>49</v>
      </c>
      <c r="AG1162" s="4">
        <f t="shared" si="580"/>
        <v>8.4118326757584114</v>
      </c>
      <c r="AH1162" s="4">
        <f t="shared" si="581"/>
        <v>0</v>
      </c>
      <c r="AI1162" s="4">
        <f t="shared" si="582"/>
        <v>1</v>
      </c>
      <c r="AJ1162" s="4">
        <f t="shared" si="583"/>
        <v>8.4118326757584114</v>
      </c>
      <c r="AK1162" s="4">
        <f t="shared" si="584"/>
        <v>5.3659760150218512</v>
      </c>
      <c r="AL1162" s="4">
        <f t="shared" si="585"/>
        <v>1</v>
      </c>
      <c r="AM1162" s="4">
        <f>CER!$C$7+CER!$C$8*J1162+CER!$C$9*K1162+CER!$C$10*L1162+CER!$C$11*M1162</f>
        <v>5.1779027621923461</v>
      </c>
      <c r="AN1162" s="4">
        <f t="shared" si="586"/>
        <v>177.31055837195794</v>
      </c>
      <c r="AO1162" s="4">
        <f t="shared" si="587"/>
        <v>-0.20268879473457613</v>
      </c>
      <c r="AP1162" s="4">
        <f>Alternatives!$F$25+Alternatives!$F$26*J1162+Alternatives!$F$27*K1162+Alternatives!$F$28*G1162+Alternatives!$F$29*O1162</f>
        <v>4.336946059030554</v>
      </c>
      <c r="AQ1162" s="4">
        <f t="shared" si="588"/>
        <v>0.63826790842721604</v>
      </c>
    </row>
    <row r="1163" spans="1:43" x14ac:dyDescent="0.35">
      <c r="A1163" s="2" t="s">
        <v>1014</v>
      </c>
      <c r="B1163" s="2" t="s">
        <v>577</v>
      </c>
      <c r="C1163" s="2" t="s">
        <v>34</v>
      </c>
      <c r="D1163" s="2">
        <v>136.42580000000001</v>
      </c>
      <c r="E1163" s="2">
        <v>5000</v>
      </c>
      <c r="F1163" s="2">
        <v>335</v>
      </c>
      <c r="G1163" s="2">
        <v>49</v>
      </c>
      <c r="H1163" s="2" t="s">
        <v>911</v>
      </c>
      <c r="I1163" s="4">
        <f t="shared" si="558"/>
        <v>4.9157808770829563</v>
      </c>
      <c r="J1163" s="4">
        <f t="shared" si="559"/>
        <v>8.5171931914162382</v>
      </c>
      <c r="K1163" s="4">
        <f t="shared" si="560"/>
        <v>5.8141305318250662</v>
      </c>
      <c r="L1163" s="2">
        <v>0</v>
      </c>
      <c r="M1163" s="2">
        <v>1</v>
      </c>
      <c r="N1163" s="4">
        <f t="shared" si="561"/>
        <v>49</v>
      </c>
      <c r="O1163" s="4">
        <f t="shared" si="562"/>
        <v>1</v>
      </c>
      <c r="P1163" s="4">
        <f t="shared" si="563"/>
        <v>2</v>
      </c>
      <c r="Q1163" s="4">
        <f t="shared" si="564"/>
        <v>8.5171931914162382</v>
      </c>
      <c r="R1163" s="4">
        <f t="shared" si="565"/>
        <v>5.8141305318250662</v>
      </c>
      <c r="S1163" s="4">
        <f t="shared" si="566"/>
        <v>49</v>
      </c>
      <c r="T1163" s="4">
        <f t="shared" si="567"/>
        <v>1</v>
      </c>
      <c r="U1163" s="4">
        <f t="shared" si="568"/>
        <v>8.5171931914162382</v>
      </c>
      <c r="V1163" s="4">
        <f t="shared" si="569"/>
        <v>5.8141305318250662</v>
      </c>
      <c r="W1163" s="4">
        <f t="shared" si="570"/>
        <v>49</v>
      </c>
      <c r="X1163" s="4">
        <f t="shared" si="571"/>
        <v>2</v>
      </c>
      <c r="Y1163" s="4">
        <f t="shared" si="572"/>
        <v>8.5171931914162382</v>
      </c>
      <c r="Z1163" s="4">
        <f t="shared" si="573"/>
        <v>5.8141305318250662</v>
      </c>
      <c r="AA1163" s="4">
        <f t="shared" si="574"/>
        <v>49</v>
      </c>
      <c r="AB1163" s="4">
        <f t="shared" si="575"/>
        <v>0</v>
      </c>
      <c r="AC1163" s="4">
        <f t="shared" si="576"/>
        <v>1</v>
      </c>
      <c r="AD1163" s="4">
        <f t="shared" si="577"/>
        <v>8.5171931914162382</v>
      </c>
      <c r="AE1163" s="4">
        <f t="shared" si="578"/>
        <v>5.8141305318250662</v>
      </c>
      <c r="AF1163" s="4">
        <f t="shared" si="579"/>
        <v>49</v>
      </c>
      <c r="AG1163" s="4">
        <f t="shared" si="580"/>
        <v>8.5171931914162382</v>
      </c>
      <c r="AH1163" s="4">
        <f t="shared" si="581"/>
        <v>0</v>
      </c>
      <c r="AI1163" s="4">
        <f t="shared" si="582"/>
        <v>1</v>
      </c>
      <c r="AJ1163" s="4">
        <f t="shared" si="583"/>
        <v>8.5171931914162382</v>
      </c>
      <c r="AK1163" s="4">
        <f t="shared" si="584"/>
        <v>5.8141305318250662</v>
      </c>
      <c r="AL1163" s="4">
        <f t="shared" si="585"/>
        <v>1</v>
      </c>
      <c r="AM1163" s="4">
        <f>CER!$C$7+CER!$C$8*J1163+CER!$C$9*K1163+CER!$C$10*L1163+CER!$C$11*M1163</f>
        <v>4.9648613040897951</v>
      </c>
      <c r="AN1163" s="4">
        <f t="shared" si="586"/>
        <v>143.28867534184133</v>
      </c>
      <c r="AO1163" s="4">
        <f t="shared" si="587"/>
        <v>-4.9080427006838789E-2</v>
      </c>
      <c r="AP1163" s="4">
        <f>Alternatives!$F$25+Alternatives!$F$26*J1163+Alternatives!$F$27*K1163+Alternatives!$F$28*G1163+Alternatives!$F$29*O1163</f>
        <v>4.2566801244351744</v>
      </c>
      <c r="AQ1163" s="4">
        <f t="shared" si="588"/>
        <v>0.6591007526477819</v>
      </c>
    </row>
    <row r="1164" spans="1:43" x14ac:dyDescent="0.35">
      <c r="A1164" s="2" t="s">
        <v>1015</v>
      </c>
      <c r="B1164" s="2" t="s">
        <v>577</v>
      </c>
      <c r="C1164" s="2" t="s">
        <v>34</v>
      </c>
      <c r="D1164" s="2">
        <v>147.19909999999999</v>
      </c>
      <c r="E1164" s="2">
        <v>4500</v>
      </c>
      <c r="F1164" s="2">
        <v>239</v>
      </c>
      <c r="G1164" s="2">
        <v>49</v>
      </c>
      <c r="H1164" s="2" t="s">
        <v>924</v>
      </c>
      <c r="I1164" s="4">
        <f t="shared" si="558"/>
        <v>4.9917860921456496</v>
      </c>
      <c r="J1164" s="4">
        <f t="shared" si="559"/>
        <v>8.4118326757584114</v>
      </c>
      <c r="K1164" s="4">
        <f t="shared" si="560"/>
        <v>5.476463551931511</v>
      </c>
      <c r="L1164" s="2">
        <v>0</v>
      </c>
      <c r="M1164" s="2">
        <v>1</v>
      </c>
      <c r="N1164" s="4">
        <f t="shared" si="561"/>
        <v>49</v>
      </c>
      <c r="O1164" s="4">
        <f t="shared" si="562"/>
        <v>1</v>
      </c>
      <c r="P1164" s="4">
        <f t="shared" si="563"/>
        <v>2</v>
      </c>
      <c r="Q1164" s="4">
        <f t="shared" si="564"/>
        <v>8.4118326757584114</v>
      </c>
      <c r="R1164" s="4">
        <f t="shared" si="565"/>
        <v>5.476463551931511</v>
      </c>
      <c r="S1164" s="4">
        <f t="shared" si="566"/>
        <v>49</v>
      </c>
      <c r="T1164" s="4">
        <f t="shared" si="567"/>
        <v>1</v>
      </c>
      <c r="U1164" s="4">
        <f t="shared" si="568"/>
        <v>8.4118326757584114</v>
      </c>
      <c r="V1164" s="4">
        <f t="shared" si="569"/>
        <v>5.476463551931511</v>
      </c>
      <c r="W1164" s="4">
        <f t="shared" si="570"/>
        <v>49</v>
      </c>
      <c r="X1164" s="4">
        <f t="shared" si="571"/>
        <v>2</v>
      </c>
      <c r="Y1164" s="4">
        <f t="shared" si="572"/>
        <v>8.4118326757584114</v>
      </c>
      <c r="Z1164" s="4">
        <f t="shared" si="573"/>
        <v>5.476463551931511</v>
      </c>
      <c r="AA1164" s="4">
        <f t="shared" si="574"/>
        <v>49</v>
      </c>
      <c r="AB1164" s="4">
        <f t="shared" si="575"/>
        <v>0</v>
      </c>
      <c r="AC1164" s="4">
        <f t="shared" si="576"/>
        <v>1</v>
      </c>
      <c r="AD1164" s="4">
        <f t="shared" si="577"/>
        <v>8.4118326757584114</v>
      </c>
      <c r="AE1164" s="4">
        <f t="shared" si="578"/>
        <v>5.476463551931511</v>
      </c>
      <c r="AF1164" s="4">
        <f t="shared" si="579"/>
        <v>49</v>
      </c>
      <c r="AG1164" s="4">
        <f t="shared" si="580"/>
        <v>8.4118326757584114</v>
      </c>
      <c r="AH1164" s="4">
        <f t="shared" si="581"/>
        <v>0</v>
      </c>
      <c r="AI1164" s="4">
        <f t="shared" si="582"/>
        <v>1</v>
      </c>
      <c r="AJ1164" s="4">
        <f t="shared" si="583"/>
        <v>8.4118326757584114</v>
      </c>
      <c r="AK1164" s="4">
        <f t="shared" si="584"/>
        <v>5.476463551931511</v>
      </c>
      <c r="AL1164" s="4">
        <f t="shared" si="585"/>
        <v>1</v>
      </c>
      <c r="AM1164" s="4">
        <f>CER!$C$7+CER!$C$8*J1164+CER!$C$9*K1164+CER!$C$10*L1164+CER!$C$11*M1164</f>
        <v>5.1371390799888346</v>
      </c>
      <c r="AN1164" s="4">
        <f t="shared" si="586"/>
        <v>170.22806214034793</v>
      </c>
      <c r="AO1164" s="4">
        <f t="shared" si="587"/>
        <v>-0.14535298784318496</v>
      </c>
      <c r="AP1164" s="4">
        <f>Alternatives!$F$25+Alternatives!$F$26*J1164+Alternatives!$F$27*K1164+Alternatives!$F$28*G1164+Alternatives!$F$29*O1164</f>
        <v>4.3075442241290975</v>
      </c>
      <c r="AQ1164" s="4">
        <f t="shared" si="588"/>
        <v>0.68424186801655207</v>
      </c>
    </row>
    <row r="1165" spans="1:43" x14ac:dyDescent="0.35">
      <c r="A1165" s="2" t="s">
        <v>1016</v>
      </c>
      <c r="B1165" s="2" t="s">
        <v>577</v>
      </c>
      <c r="C1165" s="2" t="s">
        <v>34</v>
      </c>
      <c r="D1165" s="2">
        <v>131.4178</v>
      </c>
      <c r="E1165" s="2">
        <v>5000</v>
      </c>
      <c r="F1165" s="2">
        <v>389</v>
      </c>
      <c r="G1165" s="2">
        <v>49</v>
      </c>
      <c r="H1165" s="2" t="s">
        <v>924</v>
      </c>
      <c r="I1165" s="4">
        <f t="shared" si="558"/>
        <v>4.8783815611074139</v>
      </c>
      <c r="J1165" s="4">
        <f t="shared" si="559"/>
        <v>8.5171931914162382</v>
      </c>
      <c r="K1165" s="4">
        <f t="shared" si="560"/>
        <v>5.9635793436184459</v>
      </c>
      <c r="L1165" s="2">
        <v>0</v>
      </c>
      <c r="M1165" s="2">
        <v>1</v>
      </c>
      <c r="N1165" s="4">
        <f t="shared" si="561"/>
        <v>49</v>
      </c>
      <c r="O1165" s="4">
        <f t="shared" si="562"/>
        <v>1</v>
      </c>
      <c r="P1165" s="4">
        <f t="shared" si="563"/>
        <v>2</v>
      </c>
      <c r="Q1165" s="4">
        <f t="shared" si="564"/>
        <v>8.5171931914162382</v>
      </c>
      <c r="R1165" s="4">
        <f t="shared" si="565"/>
        <v>5.9635793436184459</v>
      </c>
      <c r="S1165" s="4">
        <f t="shared" si="566"/>
        <v>49</v>
      </c>
      <c r="T1165" s="4">
        <f t="shared" si="567"/>
        <v>1</v>
      </c>
      <c r="U1165" s="4">
        <f t="shared" si="568"/>
        <v>8.5171931914162382</v>
      </c>
      <c r="V1165" s="4">
        <f t="shared" si="569"/>
        <v>5.9635793436184459</v>
      </c>
      <c r="W1165" s="4">
        <f t="shared" si="570"/>
        <v>49</v>
      </c>
      <c r="X1165" s="4">
        <f t="shared" si="571"/>
        <v>2</v>
      </c>
      <c r="Y1165" s="4">
        <f t="shared" si="572"/>
        <v>8.5171931914162382</v>
      </c>
      <c r="Z1165" s="4">
        <f t="shared" si="573"/>
        <v>5.9635793436184459</v>
      </c>
      <c r="AA1165" s="4">
        <f t="shared" si="574"/>
        <v>49</v>
      </c>
      <c r="AB1165" s="4">
        <f t="shared" si="575"/>
        <v>0</v>
      </c>
      <c r="AC1165" s="4">
        <f t="shared" si="576"/>
        <v>1</v>
      </c>
      <c r="AD1165" s="4">
        <f t="shared" si="577"/>
        <v>8.5171931914162382</v>
      </c>
      <c r="AE1165" s="4">
        <f t="shared" si="578"/>
        <v>5.9635793436184459</v>
      </c>
      <c r="AF1165" s="4">
        <f t="shared" si="579"/>
        <v>49</v>
      </c>
      <c r="AG1165" s="4">
        <f t="shared" si="580"/>
        <v>8.5171931914162382</v>
      </c>
      <c r="AH1165" s="4">
        <f t="shared" si="581"/>
        <v>0</v>
      </c>
      <c r="AI1165" s="4">
        <f t="shared" si="582"/>
        <v>1</v>
      </c>
      <c r="AJ1165" s="4">
        <f t="shared" si="583"/>
        <v>8.5171931914162382</v>
      </c>
      <c r="AK1165" s="4">
        <f t="shared" si="584"/>
        <v>5.9635793436184459</v>
      </c>
      <c r="AL1165" s="4">
        <f t="shared" si="585"/>
        <v>1</v>
      </c>
      <c r="AM1165" s="4">
        <f>CER!$C$7+CER!$C$8*J1165+CER!$C$9*K1165+CER!$C$10*L1165+CER!$C$11*M1165</f>
        <v>4.9097231044336764</v>
      </c>
      <c r="AN1165" s="4">
        <f t="shared" si="586"/>
        <v>135.60186165533213</v>
      </c>
      <c r="AO1165" s="4">
        <f t="shared" si="587"/>
        <v>-3.1341543326262489E-2</v>
      </c>
      <c r="AP1165" s="4">
        <f>Alternatives!$F$25+Alternatives!$F$26*J1165+Alternatives!$F$27*K1165+Alternatives!$F$28*G1165+Alternatives!$F$29*O1165</f>
        <v>4.2169103059246886</v>
      </c>
      <c r="AQ1165" s="4">
        <f t="shared" si="588"/>
        <v>0.66147125518272532</v>
      </c>
    </row>
    <row r="1166" spans="1:43" x14ac:dyDescent="0.35">
      <c r="A1166" s="2" t="s">
        <v>1017</v>
      </c>
      <c r="B1166" s="2" t="s">
        <v>577</v>
      </c>
      <c r="C1166" s="2" t="s">
        <v>34</v>
      </c>
      <c r="D1166" s="2">
        <v>128.75049999999999</v>
      </c>
      <c r="E1166" s="2">
        <v>5000</v>
      </c>
      <c r="F1166" s="2">
        <v>389</v>
      </c>
      <c r="G1166" s="2">
        <v>49</v>
      </c>
      <c r="H1166" s="2" t="s">
        <v>924</v>
      </c>
      <c r="I1166" s="4">
        <f t="shared" si="558"/>
        <v>4.85787642303145</v>
      </c>
      <c r="J1166" s="4">
        <f t="shared" si="559"/>
        <v>8.5171931914162382</v>
      </c>
      <c r="K1166" s="4">
        <f t="shared" si="560"/>
        <v>5.9635793436184459</v>
      </c>
      <c r="L1166" s="2">
        <v>0</v>
      </c>
      <c r="M1166" s="2">
        <v>1</v>
      </c>
      <c r="N1166" s="4">
        <f t="shared" si="561"/>
        <v>49</v>
      </c>
      <c r="O1166" s="4">
        <f t="shared" si="562"/>
        <v>1</v>
      </c>
      <c r="P1166" s="4">
        <f t="shared" si="563"/>
        <v>2</v>
      </c>
      <c r="Q1166" s="4">
        <f t="shared" si="564"/>
        <v>8.5171931914162382</v>
      </c>
      <c r="R1166" s="4">
        <f t="shared" si="565"/>
        <v>5.9635793436184459</v>
      </c>
      <c r="S1166" s="4">
        <f t="shared" si="566"/>
        <v>49</v>
      </c>
      <c r="T1166" s="4">
        <f t="shared" si="567"/>
        <v>1</v>
      </c>
      <c r="U1166" s="4">
        <f t="shared" si="568"/>
        <v>8.5171931914162382</v>
      </c>
      <c r="V1166" s="4">
        <f t="shared" si="569"/>
        <v>5.9635793436184459</v>
      </c>
      <c r="W1166" s="4">
        <f t="shared" si="570"/>
        <v>49</v>
      </c>
      <c r="X1166" s="4">
        <f t="shared" si="571"/>
        <v>2</v>
      </c>
      <c r="Y1166" s="4">
        <f t="shared" si="572"/>
        <v>8.5171931914162382</v>
      </c>
      <c r="Z1166" s="4">
        <f t="shared" si="573"/>
        <v>5.9635793436184459</v>
      </c>
      <c r="AA1166" s="4">
        <f t="shared" si="574"/>
        <v>49</v>
      </c>
      <c r="AB1166" s="4">
        <f t="shared" si="575"/>
        <v>0</v>
      </c>
      <c r="AC1166" s="4">
        <f t="shared" si="576"/>
        <v>1</v>
      </c>
      <c r="AD1166" s="4">
        <f t="shared" si="577"/>
        <v>8.5171931914162382</v>
      </c>
      <c r="AE1166" s="4">
        <f t="shared" si="578"/>
        <v>5.9635793436184459</v>
      </c>
      <c r="AF1166" s="4">
        <f t="shared" si="579"/>
        <v>49</v>
      </c>
      <c r="AG1166" s="4">
        <f t="shared" si="580"/>
        <v>8.5171931914162382</v>
      </c>
      <c r="AH1166" s="4">
        <f t="shared" si="581"/>
        <v>0</v>
      </c>
      <c r="AI1166" s="4">
        <f t="shared" si="582"/>
        <v>1</v>
      </c>
      <c r="AJ1166" s="4">
        <f t="shared" si="583"/>
        <v>8.5171931914162382</v>
      </c>
      <c r="AK1166" s="4">
        <f t="shared" si="584"/>
        <v>5.9635793436184459</v>
      </c>
      <c r="AL1166" s="4">
        <f t="shared" si="585"/>
        <v>1</v>
      </c>
      <c r="AM1166" s="4">
        <f>CER!$C$7+CER!$C$8*J1166+CER!$C$9*K1166+CER!$C$10*L1166+CER!$C$11*M1166</f>
        <v>4.9097231044336764</v>
      </c>
      <c r="AN1166" s="4">
        <f t="shared" si="586"/>
        <v>135.60186165533213</v>
      </c>
      <c r="AO1166" s="4">
        <f t="shared" si="587"/>
        <v>-5.184668140222648E-2</v>
      </c>
      <c r="AP1166" s="4">
        <f>Alternatives!$F$25+Alternatives!$F$26*J1166+Alternatives!$F$27*K1166+Alternatives!$F$28*G1166+Alternatives!$F$29*O1166</f>
        <v>4.2169103059246886</v>
      </c>
      <c r="AQ1166" s="4">
        <f t="shared" si="588"/>
        <v>0.64096611710676132</v>
      </c>
    </row>
    <row r="1167" spans="1:43" x14ac:dyDescent="0.35">
      <c r="A1167" s="2" t="s">
        <v>1018</v>
      </c>
      <c r="B1167" s="2" t="s">
        <v>577</v>
      </c>
      <c r="C1167" s="2" t="s">
        <v>34</v>
      </c>
      <c r="D1167" s="2">
        <v>123.97150000000001</v>
      </c>
      <c r="E1167" s="2">
        <v>5500</v>
      </c>
      <c r="F1167" s="2">
        <v>389</v>
      </c>
      <c r="G1167" s="2">
        <v>48.7</v>
      </c>
      <c r="H1167" s="2" t="s">
        <v>911</v>
      </c>
      <c r="I1167" s="4">
        <f t="shared" si="558"/>
        <v>4.8200517004783956</v>
      </c>
      <c r="J1167" s="4">
        <f t="shared" si="559"/>
        <v>8.6125033712205621</v>
      </c>
      <c r="K1167" s="4">
        <f t="shared" si="560"/>
        <v>5.9635793436184459</v>
      </c>
      <c r="L1167" s="2">
        <v>0</v>
      </c>
      <c r="M1167" s="2">
        <v>1</v>
      </c>
      <c r="N1167" s="4">
        <f t="shared" si="561"/>
        <v>48.7</v>
      </c>
      <c r="O1167" s="4">
        <f t="shared" si="562"/>
        <v>1</v>
      </c>
      <c r="P1167" s="4">
        <f t="shared" si="563"/>
        <v>2</v>
      </c>
      <c r="Q1167" s="4">
        <f t="shared" si="564"/>
        <v>8.6125033712205621</v>
      </c>
      <c r="R1167" s="4">
        <f t="shared" si="565"/>
        <v>5.9635793436184459</v>
      </c>
      <c r="S1167" s="4">
        <f t="shared" si="566"/>
        <v>48.7</v>
      </c>
      <c r="T1167" s="4">
        <f t="shared" si="567"/>
        <v>1</v>
      </c>
      <c r="U1167" s="4">
        <f t="shared" si="568"/>
        <v>8.6125033712205621</v>
      </c>
      <c r="V1167" s="4">
        <f t="shared" si="569"/>
        <v>5.9635793436184459</v>
      </c>
      <c r="W1167" s="4">
        <f t="shared" si="570"/>
        <v>48.7</v>
      </c>
      <c r="X1167" s="4">
        <f t="shared" si="571"/>
        <v>2</v>
      </c>
      <c r="Y1167" s="4">
        <f t="shared" si="572"/>
        <v>8.6125033712205621</v>
      </c>
      <c r="Z1167" s="4">
        <f t="shared" si="573"/>
        <v>5.9635793436184459</v>
      </c>
      <c r="AA1167" s="4">
        <f t="shared" si="574"/>
        <v>48.7</v>
      </c>
      <c r="AB1167" s="4">
        <f t="shared" si="575"/>
        <v>0</v>
      </c>
      <c r="AC1167" s="4">
        <f t="shared" si="576"/>
        <v>1</v>
      </c>
      <c r="AD1167" s="4">
        <f t="shared" si="577"/>
        <v>8.6125033712205621</v>
      </c>
      <c r="AE1167" s="4">
        <f t="shared" si="578"/>
        <v>5.9635793436184459</v>
      </c>
      <c r="AF1167" s="4">
        <f t="shared" si="579"/>
        <v>48.7</v>
      </c>
      <c r="AG1167" s="4">
        <f t="shared" si="580"/>
        <v>8.6125033712205621</v>
      </c>
      <c r="AH1167" s="4">
        <f t="shared" si="581"/>
        <v>0</v>
      </c>
      <c r="AI1167" s="4">
        <f t="shared" si="582"/>
        <v>1</v>
      </c>
      <c r="AJ1167" s="4">
        <f t="shared" si="583"/>
        <v>8.6125033712205621</v>
      </c>
      <c r="AK1167" s="4">
        <f t="shared" si="584"/>
        <v>5.9635793436184459</v>
      </c>
      <c r="AL1167" s="4">
        <f t="shared" si="585"/>
        <v>1</v>
      </c>
      <c r="AM1167" s="4">
        <f>CER!$C$7+CER!$C$8*J1167+CER!$C$9*K1167+CER!$C$10*L1167+CER!$C$11*M1167</f>
        <v>4.8665753168431305</v>
      </c>
      <c r="AN1167" s="4">
        <f t="shared" si="586"/>
        <v>129.87537240719203</v>
      </c>
      <c r="AO1167" s="4">
        <f t="shared" si="587"/>
        <v>-4.6523616364734899E-2</v>
      </c>
      <c r="AP1167" s="4">
        <f>Alternatives!$F$25+Alternatives!$F$26*J1167+Alternatives!$F$27*K1167+Alternatives!$F$28*G1167+Alternatives!$F$29*O1167</f>
        <v>4.25608546140257</v>
      </c>
      <c r="AQ1167" s="4">
        <f t="shared" si="588"/>
        <v>0.56396623907582555</v>
      </c>
    </row>
    <row r="1168" spans="1:43" x14ac:dyDescent="0.35">
      <c r="A1168" s="2" t="s">
        <v>1019</v>
      </c>
      <c r="B1168" s="2" t="s">
        <v>577</v>
      </c>
      <c r="C1168" s="2" t="s">
        <v>34</v>
      </c>
      <c r="D1168" s="2">
        <v>140.08240000000001</v>
      </c>
      <c r="E1168" s="2">
        <v>5000</v>
      </c>
      <c r="F1168" s="2">
        <v>239</v>
      </c>
      <c r="G1168" s="2">
        <v>49</v>
      </c>
      <c r="H1168" s="2" t="s">
        <v>911</v>
      </c>
      <c r="I1168" s="4">
        <f t="shared" si="558"/>
        <v>4.9422308208976462</v>
      </c>
      <c r="J1168" s="4">
        <f t="shared" si="559"/>
        <v>8.5171931914162382</v>
      </c>
      <c r="K1168" s="4">
        <f t="shared" si="560"/>
        <v>5.476463551931511</v>
      </c>
      <c r="L1168" s="2">
        <v>0</v>
      </c>
      <c r="M1168" s="2">
        <v>1</v>
      </c>
      <c r="N1168" s="4">
        <f t="shared" si="561"/>
        <v>49</v>
      </c>
      <c r="O1168" s="4">
        <f t="shared" si="562"/>
        <v>1</v>
      </c>
      <c r="P1168" s="4">
        <f t="shared" si="563"/>
        <v>2</v>
      </c>
      <c r="Q1168" s="4">
        <f t="shared" si="564"/>
        <v>8.5171931914162382</v>
      </c>
      <c r="R1168" s="4">
        <f t="shared" si="565"/>
        <v>5.476463551931511</v>
      </c>
      <c r="S1168" s="4">
        <f t="shared" si="566"/>
        <v>49</v>
      </c>
      <c r="T1168" s="4">
        <f t="shared" si="567"/>
        <v>1</v>
      </c>
      <c r="U1168" s="4">
        <f t="shared" si="568"/>
        <v>8.5171931914162382</v>
      </c>
      <c r="V1168" s="4">
        <f t="shared" si="569"/>
        <v>5.476463551931511</v>
      </c>
      <c r="W1168" s="4">
        <f t="shared" si="570"/>
        <v>49</v>
      </c>
      <c r="X1168" s="4">
        <f t="shared" si="571"/>
        <v>2</v>
      </c>
      <c r="Y1168" s="4">
        <f t="shared" si="572"/>
        <v>8.5171931914162382</v>
      </c>
      <c r="Z1168" s="4">
        <f t="shared" si="573"/>
        <v>5.476463551931511</v>
      </c>
      <c r="AA1168" s="4">
        <f t="shared" si="574"/>
        <v>49</v>
      </c>
      <c r="AB1168" s="4">
        <f t="shared" si="575"/>
        <v>0</v>
      </c>
      <c r="AC1168" s="4">
        <f t="shared" si="576"/>
        <v>1</v>
      </c>
      <c r="AD1168" s="4">
        <f t="shared" si="577"/>
        <v>8.5171931914162382</v>
      </c>
      <c r="AE1168" s="4">
        <f t="shared" si="578"/>
        <v>5.476463551931511</v>
      </c>
      <c r="AF1168" s="4">
        <f t="shared" si="579"/>
        <v>49</v>
      </c>
      <c r="AG1168" s="4">
        <f t="shared" si="580"/>
        <v>8.5171931914162382</v>
      </c>
      <c r="AH1168" s="4">
        <f t="shared" si="581"/>
        <v>0</v>
      </c>
      <c r="AI1168" s="4">
        <f t="shared" si="582"/>
        <v>1</v>
      </c>
      <c r="AJ1168" s="4">
        <f t="shared" si="583"/>
        <v>8.5171931914162382</v>
      </c>
      <c r="AK1168" s="4">
        <f t="shared" si="584"/>
        <v>5.476463551931511</v>
      </c>
      <c r="AL1168" s="4">
        <f t="shared" si="585"/>
        <v>1</v>
      </c>
      <c r="AM1168" s="4">
        <f>CER!$C$7+CER!$C$8*J1168+CER!$C$9*K1168+CER!$C$10*L1168+CER!$C$11*M1168</f>
        <v>5.0894414137021098</v>
      </c>
      <c r="AN1168" s="4">
        <f t="shared" si="586"/>
        <v>162.29917863124629</v>
      </c>
      <c r="AO1168" s="4">
        <f t="shared" si="587"/>
        <v>-0.14721059280446358</v>
      </c>
      <c r="AP1168" s="4">
        <f>Alternatives!$F$25+Alternatives!$F$26*J1168+Alternatives!$F$27*K1168+Alternatives!$F$28*G1168+Alternatives!$F$29*O1168</f>
        <v>4.3465366736188287</v>
      </c>
      <c r="AQ1168" s="4">
        <f t="shared" si="588"/>
        <v>0.59569414727881753</v>
      </c>
    </row>
    <row r="1169" spans="1:43" x14ac:dyDescent="0.35">
      <c r="A1169" s="2" t="s">
        <v>1020</v>
      </c>
      <c r="B1169" s="2" t="s">
        <v>624</v>
      </c>
      <c r="C1169" s="2" t="s">
        <v>34</v>
      </c>
      <c r="D1169" s="2">
        <v>139.7157</v>
      </c>
      <c r="E1169" s="2">
        <v>5500</v>
      </c>
      <c r="F1169" s="2">
        <v>382</v>
      </c>
      <c r="G1169" s="2">
        <v>52.7</v>
      </c>
      <c r="H1169" s="2" t="s">
        <v>881</v>
      </c>
      <c r="I1169" s="4">
        <f t="shared" si="558"/>
        <v>4.939609643627656</v>
      </c>
      <c r="J1169" s="4">
        <f t="shared" si="559"/>
        <v>8.6125033712205621</v>
      </c>
      <c r="K1169" s="4">
        <f t="shared" si="560"/>
        <v>5.9454206086065753</v>
      </c>
      <c r="L1169" s="2">
        <v>0</v>
      </c>
      <c r="M1169" s="2">
        <v>1</v>
      </c>
      <c r="N1169" s="4">
        <f t="shared" si="561"/>
        <v>52.7</v>
      </c>
      <c r="O1169" s="4">
        <f t="shared" si="562"/>
        <v>1</v>
      </c>
      <c r="P1169" s="4">
        <f t="shared" si="563"/>
        <v>2</v>
      </c>
      <c r="Q1169" s="4">
        <f t="shared" si="564"/>
        <v>8.6125033712205621</v>
      </c>
      <c r="R1169" s="4">
        <f t="shared" si="565"/>
        <v>5.9454206086065753</v>
      </c>
      <c r="S1169" s="4">
        <f t="shared" si="566"/>
        <v>52.7</v>
      </c>
      <c r="T1169" s="4">
        <f t="shared" si="567"/>
        <v>1</v>
      </c>
      <c r="U1169" s="4">
        <f t="shared" si="568"/>
        <v>8.6125033712205621</v>
      </c>
      <c r="V1169" s="4">
        <f t="shared" si="569"/>
        <v>5.9454206086065753</v>
      </c>
      <c r="W1169" s="4">
        <f t="shared" si="570"/>
        <v>52.7</v>
      </c>
      <c r="X1169" s="4">
        <f t="shared" si="571"/>
        <v>2</v>
      </c>
      <c r="Y1169" s="4">
        <f t="shared" si="572"/>
        <v>8.6125033712205621</v>
      </c>
      <c r="Z1169" s="4">
        <f t="shared" si="573"/>
        <v>5.9454206086065753</v>
      </c>
      <c r="AA1169" s="4">
        <f t="shared" si="574"/>
        <v>52.7</v>
      </c>
      <c r="AB1169" s="4">
        <f t="shared" si="575"/>
        <v>0</v>
      </c>
      <c r="AC1169" s="4">
        <f t="shared" si="576"/>
        <v>1</v>
      </c>
      <c r="AD1169" s="4">
        <f t="shared" si="577"/>
        <v>8.6125033712205621</v>
      </c>
      <c r="AE1169" s="4">
        <f t="shared" si="578"/>
        <v>5.9454206086065753</v>
      </c>
      <c r="AF1169" s="4">
        <f t="shared" si="579"/>
        <v>52.7</v>
      </c>
      <c r="AG1169" s="4">
        <f t="shared" si="580"/>
        <v>8.6125033712205621</v>
      </c>
      <c r="AH1169" s="4">
        <f t="shared" si="581"/>
        <v>0</v>
      </c>
      <c r="AI1169" s="4">
        <f t="shared" si="582"/>
        <v>1</v>
      </c>
      <c r="AJ1169" s="4">
        <f t="shared" si="583"/>
        <v>8.6125033712205621</v>
      </c>
      <c r="AK1169" s="4">
        <f t="shared" si="584"/>
        <v>5.9454206086065753</v>
      </c>
      <c r="AL1169" s="4">
        <f t="shared" si="585"/>
        <v>1</v>
      </c>
      <c r="AM1169" s="4">
        <f>CER!$C$7+CER!$C$8*J1169+CER!$C$9*K1169+CER!$C$10*L1169+CER!$C$11*M1169</f>
        <v>4.8732748679775435</v>
      </c>
      <c r="AN1169" s="4">
        <f t="shared" si="586"/>
        <v>130.74840028778706</v>
      </c>
      <c r="AO1169" s="4">
        <f t="shared" si="587"/>
        <v>6.6334775650112476E-2</v>
      </c>
      <c r="AP1169" s="4">
        <f>Alternatives!$F$25+Alternatives!$F$26*J1169+Alternatives!$F$27*K1169+Alternatives!$F$28*G1169+Alternatives!$F$29*O1169</f>
        <v>4.2088884236249484</v>
      </c>
      <c r="AQ1169" s="4">
        <f t="shared" si="588"/>
        <v>0.73072122000270756</v>
      </c>
    </row>
    <row r="1170" spans="1:43" x14ac:dyDescent="0.35">
      <c r="A1170" s="2" t="s">
        <v>1021</v>
      </c>
      <c r="B1170" s="2" t="s">
        <v>624</v>
      </c>
      <c r="C1170" s="2" t="s">
        <v>34</v>
      </c>
      <c r="D1170" s="2">
        <v>130.4393</v>
      </c>
      <c r="E1170" s="2">
        <v>6000</v>
      </c>
      <c r="F1170" s="2">
        <v>576</v>
      </c>
      <c r="G1170" s="2">
        <v>52.7</v>
      </c>
      <c r="H1170" s="2" t="s">
        <v>881</v>
      </c>
      <c r="I1170" s="4">
        <f t="shared" si="558"/>
        <v>4.8709079844547105</v>
      </c>
      <c r="J1170" s="4">
        <f t="shared" si="559"/>
        <v>8.6995147482101913</v>
      </c>
      <c r="K1170" s="4">
        <f t="shared" si="560"/>
        <v>6.3561076606958915</v>
      </c>
      <c r="L1170" s="2">
        <v>0</v>
      </c>
      <c r="M1170" s="2">
        <v>1</v>
      </c>
      <c r="N1170" s="4">
        <f t="shared" si="561"/>
        <v>52.7</v>
      </c>
      <c r="O1170" s="4">
        <f t="shared" si="562"/>
        <v>1</v>
      </c>
      <c r="P1170" s="4">
        <f t="shared" si="563"/>
        <v>2</v>
      </c>
      <c r="Q1170" s="4">
        <f t="shared" si="564"/>
        <v>8.6995147482101913</v>
      </c>
      <c r="R1170" s="4">
        <f t="shared" si="565"/>
        <v>6.3561076606958915</v>
      </c>
      <c r="S1170" s="4">
        <f t="shared" si="566"/>
        <v>52.7</v>
      </c>
      <c r="T1170" s="4">
        <f t="shared" si="567"/>
        <v>1</v>
      </c>
      <c r="U1170" s="4">
        <f t="shared" si="568"/>
        <v>8.6995147482101913</v>
      </c>
      <c r="V1170" s="4">
        <f t="shared" si="569"/>
        <v>6.3561076606958915</v>
      </c>
      <c r="W1170" s="4">
        <f t="shared" si="570"/>
        <v>52.7</v>
      </c>
      <c r="X1170" s="4">
        <f t="shared" si="571"/>
        <v>2</v>
      </c>
      <c r="Y1170" s="4">
        <f t="shared" si="572"/>
        <v>8.6995147482101913</v>
      </c>
      <c r="Z1170" s="4">
        <f t="shared" si="573"/>
        <v>6.3561076606958915</v>
      </c>
      <c r="AA1170" s="4">
        <f t="shared" si="574"/>
        <v>52.7</v>
      </c>
      <c r="AB1170" s="4">
        <f t="shared" si="575"/>
        <v>0</v>
      </c>
      <c r="AC1170" s="4">
        <f t="shared" si="576"/>
        <v>1</v>
      </c>
      <c r="AD1170" s="4">
        <f t="shared" si="577"/>
        <v>8.6995147482101913</v>
      </c>
      <c r="AE1170" s="4">
        <f t="shared" si="578"/>
        <v>6.3561076606958915</v>
      </c>
      <c r="AF1170" s="4">
        <f t="shared" si="579"/>
        <v>52.7</v>
      </c>
      <c r="AG1170" s="4">
        <f t="shared" si="580"/>
        <v>8.6995147482101913</v>
      </c>
      <c r="AH1170" s="4">
        <f t="shared" si="581"/>
        <v>0</v>
      </c>
      <c r="AI1170" s="4">
        <f t="shared" si="582"/>
        <v>1</v>
      </c>
      <c r="AJ1170" s="4">
        <f t="shared" si="583"/>
        <v>8.6995147482101913</v>
      </c>
      <c r="AK1170" s="4">
        <f t="shared" si="584"/>
        <v>6.3561076606958915</v>
      </c>
      <c r="AL1170" s="4">
        <f t="shared" si="585"/>
        <v>1</v>
      </c>
      <c r="AM1170" s="4">
        <f>CER!$C$7+CER!$C$8*J1170+CER!$C$9*K1170+CER!$C$10*L1170+CER!$C$11*M1170</f>
        <v>4.6823636178680967</v>
      </c>
      <c r="AN1170" s="4">
        <f t="shared" si="586"/>
        <v>108.02510111685936</v>
      </c>
      <c r="AO1170" s="4">
        <f t="shared" si="587"/>
        <v>0.18854436658661378</v>
      </c>
      <c r="AP1170" s="4">
        <f>Alternatives!$F$25+Alternatives!$F$26*J1170+Alternatives!$F$27*K1170+Alternatives!$F$28*G1170+Alternatives!$F$29*O1170</f>
        <v>4.1318021959310389</v>
      </c>
      <c r="AQ1170" s="4">
        <f t="shared" si="588"/>
        <v>0.73910578852367159</v>
      </c>
    </row>
    <row r="1171" spans="1:43" x14ac:dyDescent="0.35">
      <c r="A1171" s="2" t="s">
        <v>1022</v>
      </c>
      <c r="B1171" s="2" t="s">
        <v>624</v>
      </c>
      <c r="C1171" s="2" t="s">
        <v>34</v>
      </c>
      <c r="D1171" s="2">
        <v>118.3828</v>
      </c>
      <c r="E1171" s="2">
        <v>5000</v>
      </c>
      <c r="F1171" s="2">
        <v>321</v>
      </c>
      <c r="G1171" s="2">
        <v>53.3</v>
      </c>
      <c r="H1171" s="2" t="s">
        <v>883</v>
      </c>
      <c r="I1171" s="4">
        <f t="shared" si="558"/>
        <v>4.773923441626887</v>
      </c>
      <c r="J1171" s="4">
        <f t="shared" si="559"/>
        <v>8.5171931914162382</v>
      </c>
      <c r="K1171" s="4">
        <f t="shared" si="560"/>
        <v>5.7714411231300158</v>
      </c>
      <c r="L1171" s="2">
        <v>0</v>
      </c>
      <c r="M1171" s="2">
        <v>1</v>
      </c>
      <c r="N1171" s="4">
        <f t="shared" si="561"/>
        <v>53.3</v>
      </c>
      <c r="O1171" s="4">
        <f t="shared" si="562"/>
        <v>1</v>
      </c>
      <c r="P1171" s="4">
        <f t="shared" si="563"/>
        <v>2</v>
      </c>
      <c r="Q1171" s="4">
        <f t="shared" si="564"/>
        <v>8.5171931914162382</v>
      </c>
      <c r="R1171" s="4">
        <f t="shared" si="565"/>
        <v>5.7714411231300158</v>
      </c>
      <c r="S1171" s="4">
        <f t="shared" si="566"/>
        <v>53.3</v>
      </c>
      <c r="T1171" s="4">
        <f t="shared" si="567"/>
        <v>1</v>
      </c>
      <c r="U1171" s="4">
        <f t="shared" si="568"/>
        <v>8.5171931914162382</v>
      </c>
      <c r="V1171" s="4">
        <f t="shared" si="569"/>
        <v>5.7714411231300158</v>
      </c>
      <c r="W1171" s="4">
        <f t="shared" si="570"/>
        <v>53.3</v>
      </c>
      <c r="X1171" s="4">
        <f t="shared" si="571"/>
        <v>2</v>
      </c>
      <c r="Y1171" s="4">
        <f t="shared" si="572"/>
        <v>8.5171931914162382</v>
      </c>
      <c r="Z1171" s="4">
        <f t="shared" si="573"/>
        <v>5.7714411231300158</v>
      </c>
      <c r="AA1171" s="4">
        <f t="shared" si="574"/>
        <v>53.3</v>
      </c>
      <c r="AB1171" s="4">
        <f t="shared" si="575"/>
        <v>0</v>
      </c>
      <c r="AC1171" s="4">
        <f t="shared" si="576"/>
        <v>1</v>
      </c>
      <c r="AD1171" s="4">
        <f t="shared" si="577"/>
        <v>8.5171931914162382</v>
      </c>
      <c r="AE1171" s="4">
        <f t="shared" si="578"/>
        <v>5.7714411231300158</v>
      </c>
      <c r="AF1171" s="4">
        <f t="shared" si="579"/>
        <v>53.3</v>
      </c>
      <c r="AG1171" s="4">
        <f t="shared" si="580"/>
        <v>8.5171931914162382</v>
      </c>
      <c r="AH1171" s="4">
        <f t="shared" si="581"/>
        <v>0</v>
      </c>
      <c r="AI1171" s="4">
        <f t="shared" si="582"/>
        <v>1</v>
      </c>
      <c r="AJ1171" s="4">
        <f t="shared" si="583"/>
        <v>8.5171931914162382</v>
      </c>
      <c r="AK1171" s="4">
        <f t="shared" si="584"/>
        <v>5.7714411231300158</v>
      </c>
      <c r="AL1171" s="4">
        <f t="shared" si="585"/>
        <v>1</v>
      </c>
      <c r="AM1171" s="4">
        <f>CER!$C$7+CER!$C$8*J1171+CER!$C$9*K1171+CER!$C$10*L1171+CER!$C$11*M1171</f>
        <v>4.9806112930765494</v>
      </c>
      <c r="AN1171" s="4">
        <f t="shared" si="586"/>
        <v>145.56333632184649</v>
      </c>
      <c r="AO1171" s="4">
        <f t="shared" si="587"/>
        <v>-0.2066878514496624</v>
      </c>
      <c r="AP1171" s="4">
        <f>Alternatives!$F$25+Alternatives!$F$26*J1171+Alternatives!$F$27*K1171+Alternatives!$F$28*G1171+Alternatives!$F$29*O1171</f>
        <v>4.2121087490815192</v>
      </c>
      <c r="AQ1171" s="4">
        <f t="shared" si="588"/>
        <v>0.56181469254536776</v>
      </c>
    </row>
    <row r="1172" spans="1:43" x14ac:dyDescent="0.35">
      <c r="A1172" s="2" t="s">
        <v>1023</v>
      </c>
      <c r="B1172" s="2" t="s">
        <v>624</v>
      </c>
      <c r="C1172" s="2" t="s">
        <v>34</v>
      </c>
      <c r="D1172" s="2">
        <v>114.6139</v>
      </c>
      <c r="E1172" s="2">
        <v>5500</v>
      </c>
      <c r="F1172" s="2">
        <v>375</v>
      </c>
      <c r="G1172" s="2">
        <v>53.3</v>
      </c>
      <c r="H1172" s="2" t="s">
        <v>881</v>
      </c>
      <c r="I1172" s="4">
        <f t="shared" si="558"/>
        <v>4.741569088373943</v>
      </c>
      <c r="J1172" s="4">
        <f t="shared" si="559"/>
        <v>8.6125033712205621</v>
      </c>
      <c r="K1172" s="4">
        <f t="shared" si="560"/>
        <v>5.9269260259704106</v>
      </c>
      <c r="L1172" s="2">
        <v>0</v>
      </c>
      <c r="M1172" s="2">
        <v>1</v>
      </c>
      <c r="N1172" s="4">
        <f t="shared" si="561"/>
        <v>53.3</v>
      </c>
      <c r="O1172" s="4">
        <f t="shared" si="562"/>
        <v>1</v>
      </c>
      <c r="P1172" s="4">
        <f t="shared" si="563"/>
        <v>2</v>
      </c>
      <c r="Q1172" s="4">
        <f t="shared" si="564"/>
        <v>8.6125033712205621</v>
      </c>
      <c r="R1172" s="4">
        <f t="shared" si="565"/>
        <v>5.9269260259704106</v>
      </c>
      <c r="S1172" s="4">
        <f t="shared" si="566"/>
        <v>53.3</v>
      </c>
      <c r="T1172" s="4">
        <f t="shared" si="567"/>
        <v>1</v>
      </c>
      <c r="U1172" s="4">
        <f t="shared" si="568"/>
        <v>8.6125033712205621</v>
      </c>
      <c r="V1172" s="4">
        <f t="shared" si="569"/>
        <v>5.9269260259704106</v>
      </c>
      <c r="W1172" s="4">
        <f t="shared" si="570"/>
        <v>53.3</v>
      </c>
      <c r="X1172" s="4">
        <f t="shared" si="571"/>
        <v>2</v>
      </c>
      <c r="Y1172" s="4">
        <f t="shared" si="572"/>
        <v>8.6125033712205621</v>
      </c>
      <c r="Z1172" s="4">
        <f t="shared" si="573"/>
        <v>5.9269260259704106</v>
      </c>
      <c r="AA1172" s="4">
        <f t="shared" si="574"/>
        <v>53.3</v>
      </c>
      <c r="AB1172" s="4">
        <f t="shared" si="575"/>
        <v>0</v>
      </c>
      <c r="AC1172" s="4">
        <f t="shared" si="576"/>
        <v>1</v>
      </c>
      <c r="AD1172" s="4">
        <f t="shared" si="577"/>
        <v>8.6125033712205621</v>
      </c>
      <c r="AE1172" s="4">
        <f t="shared" si="578"/>
        <v>5.9269260259704106</v>
      </c>
      <c r="AF1172" s="4">
        <f t="shared" si="579"/>
        <v>53.3</v>
      </c>
      <c r="AG1172" s="4">
        <f t="shared" si="580"/>
        <v>8.6125033712205621</v>
      </c>
      <c r="AH1172" s="4">
        <f t="shared" si="581"/>
        <v>0</v>
      </c>
      <c r="AI1172" s="4">
        <f t="shared" si="582"/>
        <v>1</v>
      </c>
      <c r="AJ1172" s="4">
        <f t="shared" si="583"/>
        <v>8.6125033712205621</v>
      </c>
      <c r="AK1172" s="4">
        <f t="shared" si="584"/>
        <v>5.9269260259704106</v>
      </c>
      <c r="AL1172" s="4">
        <f t="shared" si="585"/>
        <v>1</v>
      </c>
      <c r="AM1172" s="4">
        <f>CER!$C$7+CER!$C$8*J1172+CER!$C$9*K1172+CER!$C$10*L1172+CER!$C$11*M1172</f>
        <v>4.8800983279817576</v>
      </c>
      <c r="AN1172" s="4">
        <f t="shared" si="586"/>
        <v>131.6436074996968</v>
      </c>
      <c r="AO1172" s="4">
        <f t="shared" si="587"/>
        <v>-0.1385292396078146</v>
      </c>
      <c r="AP1172" s="4">
        <f>Alternatives!$F$25+Alternatives!$F$26*J1172+Alternatives!$F$27*K1172+Alternatives!$F$28*G1172+Alternatives!$F$29*O1172</f>
        <v>4.2060056276914253</v>
      </c>
      <c r="AQ1172" s="4">
        <f t="shared" si="588"/>
        <v>0.5355634606825177</v>
      </c>
    </row>
    <row r="1173" spans="1:43" x14ac:dyDescent="0.35">
      <c r="A1173" s="2" t="s">
        <v>1024</v>
      </c>
      <c r="B1173" s="2" t="s">
        <v>624</v>
      </c>
      <c r="C1173" s="2" t="s">
        <v>34</v>
      </c>
      <c r="D1173" s="2">
        <v>113.87949999999999</v>
      </c>
      <c r="E1173" s="2">
        <v>5500</v>
      </c>
      <c r="F1173" s="2">
        <v>482</v>
      </c>
      <c r="G1173" s="2">
        <v>53.3</v>
      </c>
      <c r="H1173" s="2" t="s">
        <v>881</v>
      </c>
      <c r="I1173" s="4">
        <f t="shared" si="558"/>
        <v>4.7351408718136154</v>
      </c>
      <c r="J1173" s="4">
        <f t="shared" si="559"/>
        <v>8.6125033712205621</v>
      </c>
      <c r="K1173" s="4">
        <f t="shared" si="560"/>
        <v>6.1779441140506002</v>
      </c>
      <c r="L1173" s="2">
        <v>0</v>
      </c>
      <c r="M1173" s="2">
        <v>1</v>
      </c>
      <c r="N1173" s="4">
        <f t="shared" si="561"/>
        <v>53.3</v>
      </c>
      <c r="O1173" s="4">
        <f t="shared" si="562"/>
        <v>1</v>
      </c>
      <c r="P1173" s="4">
        <f t="shared" si="563"/>
        <v>2</v>
      </c>
      <c r="Q1173" s="4">
        <f t="shared" si="564"/>
        <v>8.6125033712205621</v>
      </c>
      <c r="R1173" s="4">
        <f t="shared" si="565"/>
        <v>6.1779441140506002</v>
      </c>
      <c r="S1173" s="4">
        <f t="shared" si="566"/>
        <v>53.3</v>
      </c>
      <c r="T1173" s="4">
        <f t="shared" si="567"/>
        <v>1</v>
      </c>
      <c r="U1173" s="4">
        <f t="shared" si="568"/>
        <v>8.6125033712205621</v>
      </c>
      <c r="V1173" s="4">
        <f t="shared" si="569"/>
        <v>6.1779441140506002</v>
      </c>
      <c r="W1173" s="4">
        <f t="shared" si="570"/>
        <v>53.3</v>
      </c>
      <c r="X1173" s="4">
        <f t="shared" si="571"/>
        <v>2</v>
      </c>
      <c r="Y1173" s="4">
        <f t="shared" si="572"/>
        <v>8.6125033712205621</v>
      </c>
      <c r="Z1173" s="4">
        <f t="shared" si="573"/>
        <v>6.1779441140506002</v>
      </c>
      <c r="AA1173" s="4">
        <f t="shared" si="574"/>
        <v>53.3</v>
      </c>
      <c r="AB1173" s="4">
        <f t="shared" si="575"/>
        <v>0</v>
      </c>
      <c r="AC1173" s="4">
        <f t="shared" si="576"/>
        <v>1</v>
      </c>
      <c r="AD1173" s="4">
        <f t="shared" si="577"/>
        <v>8.6125033712205621</v>
      </c>
      <c r="AE1173" s="4">
        <f t="shared" si="578"/>
        <v>6.1779441140506002</v>
      </c>
      <c r="AF1173" s="4">
        <f t="shared" si="579"/>
        <v>53.3</v>
      </c>
      <c r="AG1173" s="4">
        <f t="shared" si="580"/>
        <v>8.6125033712205621</v>
      </c>
      <c r="AH1173" s="4">
        <f t="shared" si="581"/>
        <v>0</v>
      </c>
      <c r="AI1173" s="4">
        <f t="shared" si="582"/>
        <v>1</v>
      </c>
      <c r="AJ1173" s="4">
        <f t="shared" si="583"/>
        <v>8.6125033712205621</v>
      </c>
      <c r="AK1173" s="4">
        <f t="shared" si="584"/>
        <v>6.1779441140506002</v>
      </c>
      <c r="AL1173" s="4">
        <f t="shared" si="585"/>
        <v>1</v>
      </c>
      <c r="AM1173" s="4">
        <f>CER!$C$7+CER!$C$8*J1173+CER!$C$9*K1173+CER!$C$10*L1173+CER!$C$11*M1173</f>
        <v>4.7874867823175595</v>
      </c>
      <c r="AN1173" s="4">
        <f t="shared" si="586"/>
        <v>119.99940474573799</v>
      </c>
      <c r="AO1173" s="4">
        <f t="shared" si="587"/>
        <v>-5.2345910503944104E-2</v>
      </c>
      <c r="AP1173" s="4">
        <f>Alternatives!$F$25+Alternatives!$F$26*J1173+Alternatives!$F$27*K1173+Alternatives!$F$28*G1173+Alternatives!$F$29*O1173</f>
        <v>4.1392072123276407</v>
      </c>
      <c r="AQ1173" s="4">
        <f t="shared" si="588"/>
        <v>0.59593365948597476</v>
      </c>
    </row>
    <row r="1174" spans="1:43" x14ac:dyDescent="0.35">
      <c r="A1174" s="2" t="s">
        <v>1025</v>
      </c>
      <c r="B1174" s="2" t="s">
        <v>624</v>
      </c>
      <c r="C1174" s="2" t="s">
        <v>34</v>
      </c>
      <c r="D1174" s="2">
        <v>112.5348</v>
      </c>
      <c r="E1174" s="2">
        <v>5500</v>
      </c>
      <c r="F1174" s="2">
        <v>482</v>
      </c>
      <c r="G1174" s="2">
        <v>53.3</v>
      </c>
      <c r="H1174" s="2" t="s">
        <v>881</v>
      </c>
      <c r="I1174" s="4">
        <f t="shared" si="558"/>
        <v>4.723262507144117</v>
      </c>
      <c r="J1174" s="4">
        <f t="shared" si="559"/>
        <v>8.6125033712205621</v>
      </c>
      <c r="K1174" s="4">
        <f t="shared" si="560"/>
        <v>6.1779441140506002</v>
      </c>
      <c r="L1174" s="2">
        <v>0</v>
      </c>
      <c r="M1174" s="2">
        <v>1</v>
      </c>
      <c r="N1174" s="4">
        <f t="shared" si="561"/>
        <v>53.3</v>
      </c>
      <c r="O1174" s="4">
        <f t="shared" si="562"/>
        <v>1</v>
      </c>
      <c r="P1174" s="4">
        <f t="shared" si="563"/>
        <v>2</v>
      </c>
      <c r="Q1174" s="4">
        <f t="shared" si="564"/>
        <v>8.6125033712205621</v>
      </c>
      <c r="R1174" s="4">
        <f t="shared" si="565"/>
        <v>6.1779441140506002</v>
      </c>
      <c r="S1174" s="4">
        <f t="shared" si="566"/>
        <v>53.3</v>
      </c>
      <c r="T1174" s="4">
        <f t="shared" si="567"/>
        <v>1</v>
      </c>
      <c r="U1174" s="4">
        <f t="shared" si="568"/>
        <v>8.6125033712205621</v>
      </c>
      <c r="V1174" s="4">
        <f t="shared" si="569"/>
        <v>6.1779441140506002</v>
      </c>
      <c r="W1174" s="4">
        <f t="shared" si="570"/>
        <v>53.3</v>
      </c>
      <c r="X1174" s="4">
        <f t="shared" si="571"/>
        <v>2</v>
      </c>
      <c r="Y1174" s="4">
        <f t="shared" si="572"/>
        <v>8.6125033712205621</v>
      </c>
      <c r="Z1174" s="4">
        <f t="shared" si="573"/>
        <v>6.1779441140506002</v>
      </c>
      <c r="AA1174" s="4">
        <f t="shared" si="574"/>
        <v>53.3</v>
      </c>
      <c r="AB1174" s="4">
        <f t="shared" si="575"/>
        <v>0</v>
      </c>
      <c r="AC1174" s="4">
        <f t="shared" si="576"/>
        <v>1</v>
      </c>
      <c r="AD1174" s="4">
        <f t="shared" si="577"/>
        <v>8.6125033712205621</v>
      </c>
      <c r="AE1174" s="4">
        <f t="shared" si="578"/>
        <v>6.1779441140506002</v>
      </c>
      <c r="AF1174" s="4">
        <f t="shared" si="579"/>
        <v>53.3</v>
      </c>
      <c r="AG1174" s="4">
        <f t="shared" si="580"/>
        <v>8.6125033712205621</v>
      </c>
      <c r="AH1174" s="4">
        <f t="shared" si="581"/>
        <v>0</v>
      </c>
      <c r="AI1174" s="4">
        <f t="shared" si="582"/>
        <v>1</v>
      </c>
      <c r="AJ1174" s="4">
        <f t="shared" si="583"/>
        <v>8.6125033712205621</v>
      </c>
      <c r="AK1174" s="4">
        <f t="shared" si="584"/>
        <v>6.1779441140506002</v>
      </c>
      <c r="AL1174" s="4">
        <f t="shared" si="585"/>
        <v>1</v>
      </c>
      <c r="AM1174" s="4">
        <f>CER!$C$7+CER!$C$8*J1174+CER!$C$9*K1174+CER!$C$10*L1174+CER!$C$11*M1174</f>
        <v>4.7874867823175595</v>
      </c>
      <c r="AN1174" s="4">
        <f t="shared" si="586"/>
        <v>119.99940474573799</v>
      </c>
      <c r="AO1174" s="4">
        <f t="shared" si="587"/>
        <v>-6.4224275173442535E-2</v>
      </c>
      <c r="AP1174" s="4">
        <f>Alternatives!$F$25+Alternatives!$F$26*J1174+Alternatives!$F$27*K1174+Alternatives!$F$28*G1174+Alternatives!$F$29*O1174</f>
        <v>4.1392072123276407</v>
      </c>
      <c r="AQ1174" s="4">
        <f t="shared" si="588"/>
        <v>0.58405529481647633</v>
      </c>
    </row>
    <row r="1175" spans="1:43" x14ac:dyDescent="0.35">
      <c r="A1175" s="2" t="s">
        <v>1026</v>
      </c>
      <c r="B1175" s="2" t="s">
        <v>624</v>
      </c>
      <c r="C1175" s="2" t="s">
        <v>34</v>
      </c>
      <c r="D1175" s="2">
        <v>115.1536</v>
      </c>
      <c r="E1175" s="2">
        <v>5500</v>
      </c>
      <c r="F1175" s="2">
        <v>616</v>
      </c>
      <c r="G1175" s="2">
        <v>52.6</v>
      </c>
      <c r="H1175" s="2" t="s">
        <v>881</v>
      </c>
      <c r="I1175" s="4">
        <f t="shared" si="558"/>
        <v>4.7462668893472566</v>
      </c>
      <c r="J1175" s="4">
        <f t="shared" si="559"/>
        <v>8.6125033712205621</v>
      </c>
      <c r="K1175" s="4">
        <f t="shared" si="560"/>
        <v>6.4232469635335194</v>
      </c>
      <c r="L1175" s="2">
        <v>0</v>
      </c>
      <c r="M1175" s="2">
        <v>1</v>
      </c>
      <c r="N1175" s="4">
        <f t="shared" si="561"/>
        <v>52.6</v>
      </c>
      <c r="O1175" s="4">
        <f t="shared" si="562"/>
        <v>1</v>
      </c>
      <c r="P1175" s="4">
        <f t="shared" si="563"/>
        <v>2</v>
      </c>
      <c r="Q1175" s="4">
        <f t="shared" si="564"/>
        <v>8.6125033712205621</v>
      </c>
      <c r="R1175" s="4">
        <f t="shared" si="565"/>
        <v>6.4232469635335194</v>
      </c>
      <c r="S1175" s="4">
        <f t="shared" si="566"/>
        <v>52.6</v>
      </c>
      <c r="T1175" s="4">
        <f t="shared" si="567"/>
        <v>1</v>
      </c>
      <c r="U1175" s="4">
        <f t="shared" si="568"/>
        <v>8.6125033712205621</v>
      </c>
      <c r="V1175" s="4">
        <f t="shared" si="569"/>
        <v>6.4232469635335194</v>
      </c>
      <c r="W1175" s="4">
        <f t="shared" si="570"/>
        <v>52.6</v>
      </c>
      <c r="X1175" s="4">
        <f t="shared" si="571"/>
        <v>2</v>
      </c>
      <c r="Y1175" s="4">
        <f t="shared" si="572"/>
        <v>8.6125033712205621</v>
      </c>
      <c r="Z1175" s="4">
        <f t="shared" si="573"/>
        <v>6.4232469635335194</v>
      </c>
      <c r="AA1175" s="4">
        <f t="shared" si="574"/>
        <v>52.6</v>
      </c>
      <c r="AB1175" s="4">
        <f t="shared" si="575"/>
        <v>0</v>
      </c>
      <c r="AC1175" s="4">
        <f t="shared" si="576"/>
        <v>1</v>
      </c>
      <c r="AD1175" s="4">
        <f t="shared" si="577"/>
        <v>8.6125033712205621</v>
      </c>
      <c r="AE1175" s="4">
        <f t="shared" si="578"/>
        <v>6.4232469635335194</v>
      </c>
      <c r="AF1175" s="4">
        <f t="shared" si="579"/>
        <v>52.6</v>
      </c>
      <c r="AG1175" s="4">
        <f t="shared" si="580"/>
        <v>8.6125033712205621</v>
      </c>
      <c r="AH1175" s="4">
        <f t="shared" si="581"/>
        <v>0</v>
      </c>
      <c r="AI1175" s="4">
        <f t="shared" si="582"/>
        <v>1</v>
      </c>
      <c r="AJ1175" s="4">
        <f t="shared" si="583"/>
        <v>8.6125033712205621</v>
      </c>
      <c r="AK1175" s="4">
        <f t="shared" si="584"/>
        <v>6.4232469635335194</v>
      </c>
      <c r="AL1175" s="4">
        <f t="shared" si="585"/>
        <v>1</v>
      </c>
      <c r="AM1175" s="4">
        <f>CER!$C$7+CER!$C$8*J1175+CER!$C$9*K1175+CER!$C$10*L1175+CER!$C$11*M1175</f>
        <v>4.6969838380070774</v>
      </c>
      <c r="AN1175" s="4">
        <f t="shared" si="586"/>
        <v>109.61605357445318</v>
      </c>
      <c r="AO1175" s="4">
        <f t="shared" si="587"/>
        <v>4.9283051340179185E-2</v>
      </c>
      <c r="AP1175" s="4">
        <f>Alternatives!$F$25+Alternatives!$F$26*J1175+Alternatives!$F$27*K1175+Alternatives!$F$28*G1175+Alternatives!$F$29*O1175</f>
        <v>4.0830347991031317</v>
      </c>
      <c r="AQ1175" s="4">
        <f t="shared" si="588"/>
        <v>0.66323209024412488</v>
      </c>
    </row>
    <row r="1176" spans="1:43" x14ac:dyDescent="0.35">
      <c r="A1176" s="2" t="s">
        <v>1027</v>
      </c>
      <c r="B1176" s="2" t="s">
        <v>624</v>
      </c>
      <c r="C1176" s="2" t="s">
        <v>34</v>
      </c>
      <c r="D1176" s="2">
        <v>115.65900000000001</v>
      </c>
      <c r="E1176" s="2">
        <v>5500</v>
      </c>
      <c r="F1176" s="2">
        <v>616</v>
      </c>
      <c r="G1176" s="2">
        <v>52.9</v>
      </c>
      <c r="H1176" s="2" t="s">
        <v>881</v>
      </c>
      <c r="I1176" s="4">
        <f t="shared" si="558"/>
        <v>4.7506462066612238</v>
      </c>
      <c r="J1176" s="4">
        <f t="shared" si="559"/>
        <v>8.6125033712205621</v>
      </c>
      <c r="K1176" s="4">
        <f t="shared" si="560"/>
        <v>6.4232469635335194</v>
      </c>
      <c r="L1176" s="2">
        <v>0</v>
      </c>
      <c r="M1176" s="2">
        <v>1</v>
      </c>
      <c r="N1176" s="4">
        <f t="shared" si="561"/>
        <v>52.9</v>
      </c>
      <c r="O1176" s="4">
        <f t="shared" si="562"/>
        <v>1</v>
      </c>
      <c r="P1176" s="4">
        <f t="shared" si="563"/>
        <v>2</v>
      </c>
      <c r="Q1176" s="4">
        <f t="shared" si="564"/>
        <v>8.6125033712205621</v>
      </c>
      <c r="R1176" s="4">
        <f t="shared" si="565"/>
        <v>6.4232469635335194</v>
      </c>
      <c r="S1176" s="4">
        <f t="shared" si="566"/>
        <v>52.9</v>
      </c>
      <c r="T1176" s="4">
        <f t="shared" si="567"/>
        <v>1</v>
      </c>
      <c r="U1176" s="4">
        <f t="shared" si="568"/>
        <v>8.6125033712205621</v>
      </c>
      <c r="V1176" s="4">
        <f t="shared" si="569"/>
        <v>6.4232469635335194</v>
      </c>
      <c r="W1176" s="4">
        <f t="shared" si="570"/>
        <v>52.9</v>
      </c>
      <c r="X1176" s="4">
        <f t="shared" si="571"/>
        <v>2</v>
      </c>
      <c r="Y1176" s="4">
        <f t="shared" si="572"/>
        <v>8.6125033712205621</v>
      </c>
      <c r="Z1176" s="4">
        <f t="shared" si="573"/>
        <v>6.4232469635335194</v>
      </c>
      <c r="AA1176" s="4">
        <f t="shared" si="574"/>
        <v>52.9</v>
      </c>
      <c r="AB1176" s="4">
        <f t="shared" si="575"/>
        <v>0</v>
      </c>
      <c r="AC1176" s="4">
        <f t="shared" si="576"/>
        <v>1</v>
      </c>
      <c r="AD1176" s="4">
        <f t="shared" si="577"/>
        <v>8.6125033712205621</v>
      </c>
      <c r="AE1176" s="4">
        <f t="shared" si="578"/>
        <v>6.4232469635335194</v>
      </c>
      <c r="AF1176" s="4">
        <f t="shared" si="579"/>
        <v>52.9</v>
      </c>
      <c r="AG1176" s="4">
        <f t="shared" si="580"/>
        <v>8.6125033712205621</v>
      </c>
      <c r="AH1176" s="4">
        <f t="shared" si="581"/>
        <v>0</v>
      </c>
      <c r="AI1176" s="4">
        <f t="shared" si="582"/>
        <v>1</v>
      </c>
      <c r="AJ1176" s="4">
        <f t="shared" si="583"/>
        <v>8.6125033712205621</v>
      </c>
      <c r="AK1176" s="4">
        <f t="shared" si="584"/>
        <v>6.4232469635335194</v>
      </c>
      <c r="AL1176" s="4">
        <f t="shared" si="585"/>
        <v>1</v>
      </c>
      <c r="AM1176" s="4">
        <f>CER!$C$7+CER!$C$8*J1176+CER!$C$9*K1176+CER!$C$10*L1176+CER!$C$11*M1176</f>
        <v>4.6969838380070774</v>
      </c>
      <c r="AN1176" s="4">
        <f t="shared" si="586"/>
        <v>109.61605357445318</v>
      </c>
      <c r="AO1176" s="4">
        <f t="shared" si="587"/>
        <v>5.366236865414642E-2</v>
      </c>
      <c r="AP1176" s="4">
        <f>Alternatives!$F$25+Alternatives!$F$26*J1176+Alternatives!$F$27*K1176+Alternatives!$F$28*G1176+Alternatives!$F$29*O1176</f>
        <v>4.0791326047404635</v>
      </c>
      <c r="AQ1176" s="4">
        <f t="shared" si="588"/>
        <v>0.67151360192076037</v>
      </c>
    </row>
    <row r="1177" spans="1:43" x14ac:dyDescent="0.35">
      <c r="A1177" s="2" t="s">
        <v>1028</v>
      </c>
      <c r="B1177" s="2" t="s">
        <v>624</v>
      </c>
      <c r="C1177" s="2" t="s">
        <v>34</v>
      </c>
      <c r="D1177" s="2">
        <v>108.1503</v>
      </c>
      <c r="E1177" s="2">
        <v>5500</v>
      </c>
      <c r="F1177" s="2">
        <v>616</v>
      </c>
      <c r="G1177" s="2">
        <v>52.5</v>
      </c>
      <c r="H1177" s="2" t="s">
        <v>881</v>
      </c>
      <c r="I1177" s="4">
        <f t="shared" si="558"/>
        <v>4.6835219263203243</v>
      </c>
      <c r="J1177" s="4">
        <f t="shared" si="559"/>
        <v>8.6125033712205621</v>
      </c>
      <c r="K1177" s="4">
        <f t="shared" si="560"/>
        <v>6.4232469635335194</v>
      </c>
      <c r="L1177" s="2">
        <v>0</v>
      </c>
      <c r="M1177" s="2">
        <v>1</v>
      </c>
      <c r="N1177" s="4">
        <f t="shared" si="561"/>
        <v>52.5</v>
      </c>
      <c r="O1177" s="4">
        <f t="shared" si="562"/>
        <v>1</v>
      </c>
      <c r="P1177" s="4">
        <f t="shared" si="563"/>
        <v>2</v>
      </c>
      <c r="Q1177" s="4">
        <f t="shared" si="564"/>
        <v>8.6125033712205621</v>
      </c>
      <c r="R1177" s="4">
        <f t="shared" si="565"/>
        <v>6.4232469635335194</v>
      </c>
      <c r="S1177" s="4">
        <f t="shared" si="566"/>
        <v>52.5</v>
      </c>
      <c r="T1177" s="4">
        <f t="shared" si="567"/>
        <v>1</v>
      </c>
      <c r="U1177" s="4">
        <f t="shared" si="568"/>
        <v>8.6125033712205621</v>
      </c>
      <c r="V1177" s="4">
        <f t="shared" si="569"/>
        <v>6.4232469635335194</v>
      </c>
      <c r="W1177" s="4">
        <f t="shared" si="570"/>
        <v>52.5</v>
      </c>
      <c r="X1177" s="4">
        <f t="shared" si="571"/>
        <v>2</v>
      </c>
      <c r="Y1177" s="4">
        <f t="shared" si="572"/>
        <v>8.6125033712205621</v>
      </c>
      <c r="Z1177" s="4">
        <f t="shared" si="573"/>
        <v>6.4232469635335194</v>
      </c>
      <c r="AA1177" s="4">
        <f t="shared" si="574"/>
        <v>52.5</v>
      </c>
      <c r="AB1177" s="4">
        <f t="shared" si="575"/>
        <v>0</v>
      </c>
      <c r="AC1177" s="4">
        <f t="shared" si="576"/>
        <v>1</v>
      </c>
      <c r="AD1177" s="4">
        <f t="shared" si="577"/>
        <v>8.6125033712205621</v>
      </c>
      <c r="AE1177" s="4">
        <f t="shared" si="578"/>
        <v>6.4232469635335194</v>
      </c>
      <c r="AF1177" s="4">
        <f t="shared" si="579"/>
        <v>52.5</v>
      </c>
      <c r="AG1177" s="4">
        <f t="shared" si="580"/>
        <v>8.6125033712205621</v>
      </c>
      <c r="AH1177" s="4">
        <f t="shared" si="581"/>
        <v>0</v>
      </c>
      <c r="AI1177" s="4">
        <f t="shared" si="582"/>
        <v>1</v>
      </c>
      <c r="AJ1177" s="4">
        <f t="shared" si="583"/>
        <v>8.6125033712205621</v>
      </c>
      <c r="AK1177" s="4">
        <f t="shared" si="584"/>
        <v>6.4232469635335194</v>
      </c>
      <c r="AL1177" s="4">
        <f t="shared" si="585"/>
        <v>1</v>
      </c>
      <c r="AM1177" s="4">
        <f>CER!$C$7+CER!$C$8*J1177+CER!$C$9*K1177+CER!$C$10*L1177+CER!$C$11*M1177</f>
        <v>4.6969838380070774</v>
      </c>
      <c r="AN1177" s="4">
        <f t="shared" si="586"/>
        <v>109.61605357445318</v>
      </c>
      <c r="AO1177" s="4">
        <f t="shared" si="587"/>
        <v>-1.3461911686753147E-2</v>
      </c>
      <c r="AP1177" s="4">
        <f>Alternatives!$F$25+Alternatives!$F$26*J1177+Alternatives!$F$27*K1177+Alternatives!$F$28*G1177+Alternatives!$F$29*O1177</f>
        <v>4.0843355305573557</v>
      </c>
      <c r="AQ1177" s="4">
        <f t="shared" si="588"/>
        <v>0.59918639576296862</v>
      </c>
    </row>
    <row r="1178" spans="1:43" x14ac:dyDescent="0.35">
      <c r="A1178" s="2" t="s">
        <v>1029</v>
      </c>
      <c r="B1178" s="2" t="s">
        <v>624</v>
      </c>
      <c r="C1178" s="2" t="s">
        <v>34</v>
      </c>
      <c r="D1178" s="2">
        <v>118.3203</v>
      </c>
      <c r="E1178" s="2">
        <v>5500</v>
      </c>
      <c r="F1178" s="2">
        <v>693</v>
      </c>
      <c r="G1178" s="2">
        <v>52.2</v>
      </c>
      <c r="H1178" s="2" t="s">
        <v>881</v>
      </c>
      <c r="I1178" s="4">
        <f t="shared" si="558"/>
        <v>4.7733953538962872</v>
      </c>
      <c r="J1178" s="4">
        <f t="shared" si="559"/>
        <v>8.6125033712205621</v>
      </c>
      <c r="K1178" s="4">
        <f t="shared" si="560"/>
        <v>6.5410299991899032</v>
      </c>
      <c r="L1178" s="2">
        <v>0</v>
      </c>
      <c r="M1178" s="2">
        <v>1</v>
      </c>
      <c r="N1178" s="4">
        <f t="shared" si="561"/>
        <v>52.2</v>
      </c>
      <c r="O1178" s="4">
        <f t="shared" si="562"/>
        <v>1</v>
      </c>
      <c r="P1178" s="4">
        <f t="shared" si="563"/>
        <v>2</v>
      </c>
      <c r="Q1178" s="4">
        <f t="shared" si="564"/>
        <v>8.6125033712205621</v>
      </c>
      <c r="R1178" s="4">
        <f t="shared" si="565"/>
        <v>6.5410299991899032</v>
      </c>
      <c r="S1178" s="4">
        <f t="shared" si="566"/>
        <v>52.2</v>
      </c>
      <c r="T1178" s="4">
        <f t="shared" si="567"/>
        <v>1</v>
      </c>
      <c r="U1178" s="4">
        <f t="shared" si="568"/>
        <v>8.6125033712205621</v>
      </c>
      <c r="V1178" s="4">
        <f t="shared" si="569"/>
        <v>6.5410299991899032</v>
      </c>
      <c r="W1178" s="4">
        <f t="shared" si="570"/>
        <v>52.2</v>
      </c>
      <c r="X1178" s="4">
        <f t="shared" si="571"/>
        <v>2</v>
      </c>
      <c r="Y1178" s="4">
        <f t="shared" si="572"/>
        <v>8.6125033712205621</v>
      </c>
      <c r="Z1178" s="4">
        <f t="shared" si="573"/>
        <v>6.5410299991899032</v>
      </c>
      <c r="AA1178" s="4">
        <f t="shared" si="574"/>
        <v>52.2</v>
      </c>
      <c r="AB1178" s="4">
        <f t="shared" si="575"/>
        <v>0</v>
      </c>
      <c r="AC1178" s="4">
        <f t="shared" si="576"/>
        <v>1</v>
      </c>
      <c r="AD1178" s="4">
        <f t="shared" si="577"/>
        <v>8.6125033712205621</v>
      </c>
      <c r="AE1178" s="4">
        <f t="shared" si="578"/>
        <v>6.5410299991899032</v>
      </c>
      <c r="AF1178" s="4">
        <f t="shared" si="579"/>
        <v>52.2</v>
      </c>
      <c r="AG1178" s="4">
        <f t="shared" si="580"/>
        <v>8.6125033712205621</v>
      </c>
      <c r="AH1178" s="4">
        <f t="shared" si="581"/>
        <v>0</v>
      </c>
      <c r="AI1178" s="4">
        <f t="shared" si="582"/>
        <v>1</v>
      </c>
      <c r="AJ1178" s="4">
        <f t="shared" si="583"/>
        <v>8.6125033712205621</v>
      </c>
      <c r="AK1178" s="4">
        <f t="shared" si="584"/>
        <v>6.5410299991899032</v>
      </c>
      <c r="AL1178" s="4">
        <f t="shared" si="585"/>
        <v>1</v>
      </c>
      <c r="AM1178" s="4">
        <f>CER!$C$7+CER!$C$8*J1178+CER!$C$9*K1178+CER!$C$10*L1178+CER!$C$11*M1178</f>
        <v>4.6535285274014351</v>
      </c>
      <c r="AN1178" s="4">
        <f t="shared" si="586"/>
        <v>104.9546683989236</v>
      </c>
      <c r="AO1178" s="4">
        <f t="shared" si="587"/>
        <v>0.11986682649485214</v>
      </c>
      <c r="AP1178" s="4">
        <f>Alternatives!$F$25+Alternatives!$F$26*J1178+Alternatives!$F$27*K1178+Alternatives!$F$28*G1178+Alternatives!$F$29*O1178</f>
        <v>4.056894485081191</v>
      </c>
      <c r="AQ1178" s="4">
        <f t="shared" si="588"/>
        <v>0.71650086881509623</v>
      </c>
    </row>
    <row r="1179" spans="1:43" x14ac:dyDescent="0.35">
      <c r="A1179" s="2" t="s">
        <v>1030</v>
      </c>
      <c r="B1179" s="2" t="s">
        <v>1031</v>
      </c>
      <c r="C1179" s="2" t="s">
        <v>34</v>
      </c>
      <c r="D1179" s="2">
        <v>88.433700000000002</v>
      </c>
      <c r="E1179" s="2">
        <v>7000</v>
      </c>
      <c r="F1179" s="2">
        <v>872</v>
      </c>
      <c r="G1179" s="2">
        <v>57.3</v>
      </c>
      <c r="H1179" s="2" t="s">
        <v>911</v>
      </c>
      <c r="I1179" s="4">
        <f t="shared" si="558"/>
        <v>4.4822531187165175</v>
      </c>
      <c r="J1179" s="4">
        <f t="shared" si="559"/>
        <v>8.8536654280374503</v>
      </c>
      <c r="K1179" s="4">
        <f t="shared" si="560"/>
        <v>6.7707894239089796</v>
      </c>
      <c r="L1179" s="2">
        <v>0</v>
      </c>
      <c r="M1179" s="2">
        <v>1</v>
      </c>
      <c r="N1179" s="4">
        <f t="shared" si="561"/>
        <v>57.3</v>
      </c>
      <c r="O1179" s="4">
        <f t="shared" si="562"/>
        <v>1</v>
      </c>
      <c r="P1179" s="4">
        <f t="shared" si="563"/>
        <v>2</v>
      </c>
      <c r="Q1179" s="4">
        <f t="shared" si="564"/>
        <v>8.8536654280374503</v>
      </c>
      <c r="R1179" s="4">
        <f t="shared" si="565"/>
        <v>6.7707894239089796</v>
      </c>
      <c r="S1179" s="4">
        <f t="shared" si="566"/>
        <v>57.3</v>
      </c>
      <c r="T1179" s="4">
        <f t="shared" si="567"/>
        <v>1</v>
      </c>
      <c r="U1179" s="4">
        <f t="shared" si="568"/>
        <v>8.8536654280374503</v>
      </c>
      <c r="V1179" s="4">
        <f t="shared" si="569"/>
        <v>6.7707894239089796</v>
      </c>
      <c r="W1179" s="4">
        <f t="shared" si="570"/>
        <v>57.3</v>
      </c>
      <c r="X1179" s="4">
        <f t="shared" si="571"/>
        <v>2</v>
      </c>
      <c r="Y1179" s="4">
        <f t="shared" si="572"/>
        <v>8.8536654280374503</v>
      </c>
      <c r="Z1179" s="4">
        <f t="shared" si="573"/>
        <v>6.7707894239089796</v>
      </c>
      <c r="AA1179" s="4">
        <f t="shared" si="574"/>
        <v>57.3</v>
      </c>
      <c r="AB1179" s="4">
        <f t="shared" si="575"/>
        <v>0</v>
      </c>
      <c r="AC1179" s="4">
        <f t="shared" si="576"/>
        <v>1</v>
      </c>
      <c r="AD1179" s="4">
        <f t="shared" si="577"/>
        <v>8.8536654280374503</v>
      </c>
      <c r="AE1179" s="4">
        <f t="shared" si="578"/>
        <v>6.7707894239089796</v>
      </c>
      <c r="AF1179" s="4">
        <f t="shared" si="579"/>
        <v>57.3</v>
      </c>
      <c r="AG1179" s="4">
        <f t="shared" si="580"/>
        <v>8.8536654280374503</v>
      </c>
      <c r="AH1179" s="4">
        <f t="shared" si="581"/>
        <v>0</v>
      </c>
      <c r="AI1179" s="4">
        <f t="shared" si="582"/>
        <v>1</v>
      </c>
      <c r="AJ1179" s="4">
        <f t="shared" si="583"/>
        <v>8.8536654280374503</v>
      </c>
      <c r="AK1179" s="4">
        <f t="shared" si="584"/>
        <v>6.7707894239089796</v>
      </c>
      <c r="AL1179" s="4">
        <f t="shared" si="585"/>
        <v>1</v>
      </c>
      <c r="AM1179" s="4">
        <f>CER!$C$7+CER!$C$8*J1179+CER!$C$9*K1179+CER!$C$10*L1179+CER!$C$11*M1179</f>
        <v>4.4595839695209376</v>
      </c>
      <c r="AN1179" s="4">
        <f t="shared" si="586"/>
        <v>86.451535140137111</v>
      </c>
      <c r="AO1179" s="4">
        <f t="shared" si="587"/>
        <v>2.2669149195579941E-2</v>
      </c>
      <c r="AP1179" s="4">
        <f>Alternatives!$F$25+Alternatives!$F$26*J1179+Alternatives!$F$27*K1179+Alternatives!$F$28*G1179+Alternatives!$F$29*O1179</f>
        <v>4.0186666034531484</v>
      </c>
      <c r="AQ1179" s="4">
        <f t="shared" si="588"/>
        <v>0.46358651526336914</v>
      </c>
    </row>
    <row r="1180" spans="1:43" x14ac:dyDescent="0.35">
      <c r="A1180" s="2" t="s">
        <v>1032</v>
      </c>
      <c r="B1180" s="2" t="s">
        <v>1031</v>
      </c>
      <c r="C1180" s="2" t="s">
        <v>34</v>
      </c>
      <c r="D1180" s="2">
        <v>97.727199999999996</v>
      </c>
      <c r="E1180" s="2">
        <v>7000</v>
      </c>
      <c r="F1180" s="2">
        <v>872</v>
      </c>
      <c r="G1180" s="2">
        <v>57.3</v>
      </c>
      <c r="H1180" s="2" t="s">
        <v>911</v>
      </c>
      <c r="I1180" s="4">
        <f t="shared" si="558"/>
        <v>4.582179923577069</v>
      </c>
      <c r="J1180" s="4">
        <f t="shared" si="559"/>
        <v>8.8536654280374503</v>
      </c>
      <c r="K1180" s="4">
        <f t="shared" si="560"/>
        <v>6.7707894239089796</v>
      </c>
      <c r="L1180" s="2">
        <v>0</v>
      </c>
      <c r="M1180" s="2">
        <v>1</v>
      </c>
      <c r="N1180" s="4">
        <f t="shared" si="561"/>
        <v>57.3</v>
      </c>
      <c r="O1180" s="4">
        <f t="shared" si="562"/>
        <v>1</v>
      </c>
      <c r="P1180" s="4">
        <f t="shared" si="563"/>
        <v>2</v>
      </c>
      <c r="Q1180" s="4">
        <f t="shared" si="564"/>
        <v>8.8536654280374503</v>
      </c>
      <c r="R1180" s="4">
        <f t="shared" si="565"/>
        <v>6.7707894239089796</v>
      </c>
      <c r="S1180" s="4">
        <f t="shared" si="566"/>
        <v>57.3</v>
      </c>
      <c r="T1180" s="4">
        <f t="shared" si="567"/>
        <v>1</v>
      </c>
      <c r="U1180" s="4">
        <f t="shared" si="568"/>
        <v>8.8536654280374503</v>
      </c>
      <c r="V1180" s="4">
        <f t="shared" si="569"/>
        <v>6.7707894239089796</v>
      </c>
      <c r="W1180" s="4">
        <f t="shared" si="570"/>
        <v>57.3</v>
      </c>
      <c r="X1180" s="4">
        <f t="shared" si="571"/>
        <v>2</v>
      </c>
      <c r="Y1180" s="4">
        <f t="shared" si="572"/>
        <v>8.8536654280374503</v>
      </c>
      <c r="Z1180" s="4">
        <f t="shared" si="573"/>
        <v>6.7707894239089796</v>
      </c>
      <c r="AA1180" s="4">
        <f t="shared" si="574"/>
        <v>57.3</v>
      </c>
      <c r="AB1180" s="4">
        <f t="shared" si="575"/>
        <v>0</v>
      </c>
      <c r="AC1180" s="4">
        <f t="shared" si="576"/>
        <v>1</v>
      </c>
      <c r="AD1180" s="4">
        <f t="shared" si="577"/>
        <v>8.8536654280374503</v>
      </c>
      <c r="AE1180" s="4">
        <f t="shared" si="578"/>
        <v>6.7707894239089796</v>
      </c>
      <c r="AF1180" s="4">
        <f t="shared" si="579"/>
        <v>57.3</v>
      </c>
      <c r="AG1180" s="4">
        <f t="shared" si="580"/>
        <v>8.8536654280374503</v>
      </c>
      <c r="AH1180" s="4">
        <f t="shared" si="581"/>
        <v>0</v>
      </c>
      <c r="AI1180" s="4">
        <f t="shared" si="582"/>
        <v>1</v>
      </c>
      <c r="AJ1180" s="4">
        <f t="shared" si="583"/>
        <v>8.8536654280374503</v>
      </c>
      <c r="AK1180" s="4">
        <f t="shared" si="584"/>
        <v>6.7707894239089796</v>
      </c>
      <c r="AL1180" s="4">
        <f t="shared" si="585"/>
        <v>1</v>
      </c>
      <c r="AM1180" s="4">
        <f>CER!$C$7+CER!$C$8*J1180+CER!$C$9*K1180+CER!$C$10*L1180+CER!$C$11*M1180</f>
        <v>4.4595839695209376</v>
      </c>
      <c r="AN1180" s="4">
        <f t="shared" si="586"/>
        <v>86.451535140137111</v>
      </c>
      <c r="AO1180" s="4">
        <f t="shared" si="587"/>
        <v>0.12259595405613144</v>
      </c>
      <c r="AP1180" s="4">
        <f>Alternatives!$F$25+Alternatives!$F$26*J1180+Alternatives!$F$27*K1180+Alternatives!$F$28*G1180+Alternatives!$F$29*O1180</f>
        <v>4.0186666034531484</v>
      </c>
      <c r="AQ1180" s="4">
        <f t="shared" si="588"/>
        <v>0.56351332012392064</v>
      </c>
    </row>
    <row r="1181" spans="1:43" x14ac:dyDescent="0.35">
      <c r="A1181" s="2" t="s">
        <v>1033</v>
      </c>
      <c r="B1181" s="2" t="s">
        <v>1031</v>
      </c>
      <c r="C1181" s="2" t="s">
        <v>34</v>
      </c>
      <c r="D1181" s="2">
        <v>93.844200000000001</v>
      </c>
      <c r="E1181" s="2">
        <v>7000</v>
      </c>
      <c r="F1181" s="2">
        <v>872</v>
      </c>
      <c r="G1181" s="2">
        <v>57.3</v>
      </c>
      <c r="H1181" s="2" t="s">
        <v>911</v>
      </c>
      <c r="I1181" s="4">
        <f t="shared" si="558"/>
        <v>4.5416359603769019</v>
      </c>
      <c r="J1181" s="4">
        <f t="shared" si="559"/>
        <v>8.8536654280374503</v>
      </c>
      <c r="K1181" s="4">
        <f t="shared" si="560"/>
        <v>6.7707894239089796</v>
      </c>
      <c r="L1181" s="2">
        <v>0</v>
      </c>
      <c r="M1181" s="2">
        <v>1</v>
      </c>
      <c r="N1181" s="4">
        <f t="shared" si="561"/>
        <v>57.3</v>
      </c>
      <c r="O1181" s="4">
        <f t="shared" si="562"/>
        <v>1</v>
      </c>
      <c r="P1181" s="4">
        <f t="shared" si="563"/>
        <v>2</v>
      </c>
      <c r="Q1181" s="4">
        <f t="shared" si="564"/>
        <v>8.8536654280374503</v>
      </c>
      <c r="R1181" s="4">
        <f t="shared" si="565"/>
        <v>6.7707894239089796</v>
      </c>
      <c r="S1181" s="4">
        <f t="shared" si="566"/>
        <v>57.3</v>
      </c>
      <c r="T1181" s="4">
        <f t="shared" si="567"/>
        <v>1</v>
      </c>
      <c r="U1181" s="4">
        <f t="shared" si="568"/>
        <v>8.8536654280374503</v>
      </c>
      <c r="V1181" s="4">
        <f t="shared" si="569"/>
        <v>6.7707894239089796</v>
      </c>
      <c r="W1181" s="4">
        <f t="shared" si="570"/>
        <v>57.3</v>
      </c>
      <c r="X1181" s="4">
        <f t="shared" si="571"/>
        <v>2</v>
      </c>
      <c r="Y1181" s="4">
        <f t="shared" si="572"/>
        <v>8.8536654280374503</v>
      </c>
      <c r="Z1181" s="4">
        <f t="shared" si="573"/>
        <v>6.7707894239089796</v>
      </c>
      <c r="AA1181" s="4">
        <f t="shared" si="574"/>
        <v>57.3</v>
      </c>
      <c r="AB1181" s="4">
        <f t="shared" si="575"/>
        <v>0</v>
      </c>
      <c r="AC1181" s="4">
        <f t="shared" si="576"/>
        <v>1</v>
      </c>
      <c r="AD1181" s="4">
        <f t="shared" si="577"/>
        <v>8.8536654280374503</v>
      </c>
      <c r="AE1181" s="4">
        <f t="shared" si="578"/>
        <v>6.7707894239089796</v>
      </c>
      <c r="AF1181" s="4">
        <f t="shared" si="579"/>
        <v>57.3</v>
      </c>
      <c r="AG1181" s="4">
        <f t="shared" si="580"/>
        <v>8.8536654280374503</v>
      </c>
      <c r="AH1181" s="4">
        <f t="shared" si="581"/>
        <v>0</v>
      </c>
      <c r="AI1181" s="4">
        <f t="shared" si="582"/>
        <v>1</v>
      </c>
      <c r="AJ1181" s="4">
        <f t="shared" si="583"/>
        <v>8.8536654280374503</v>
      </c>
      <c r="AK1181" s="4">
        <f t="shared" si="584"/>
        <v>6.7707894239089796</v>
      </c>
      <c r="AL1181" s="4">
        <f t="shared" si="585"/>
        <v>1</v>
      </c>
      <c r="AM1181" s="4">
        <f>CER!$C$7+CER!$C$8*J1181+CER!$C$9*K1181+CER!$C$10*L1181+CER!$C$11*M1181</f>
        <v>4.4595839695209376</v>
      </c>
      <c r="AN1181" s="4">
        <f t="shared" si="586"/>
        <v>86.451535140137111</v>
      </c>
      <c r="AO1181" s="4">
        <f t="shared" si="587"/>
        <v>8.2051990855964263E-2</v>
      </c>
      <c r="AP1181" s="4">
        <f>Alternatives!$F$25+Alternatives!$F$26*J1181+Alternatives!$F$27*K1181+Alternatives!$F$28*G1181+Alternatives!$F$29*O1181</f>
        <v>4.0186666034531484</v>
      </c>
      <c r="AQ1181" s="4">
        <f t="shared" si="588"/>
        <v>0.52296935692375346</v>
      </c>
    </row>
    <row r="1182" spans="1:43" x14ac:dyDescent="0.35">
      <c r="A1182" s="2" t="s">
        <v>1034</v>
      </c>
      <c r="B1182" s="2" t="s">
        <v>1031</v>
      </c>
      <c r="C1182" s="2" t="s">
        <v>34</v>
      </c>
      <c r="D1182" s="2">
        <v>97.290300000000002</v>
      </c>
      <c r="E1182" s="2">
        <v>7500</v>
      </c>
      <c r="F1182" s="2">
        <v>665</v>
      </c>
      <c r="G1182" s="2">
        <v>57.3</v>
      </c>
      <c r="H1182" s="2" t="s">
        <v>911</v>
      </c>
      <c r="I1182" s="4">
        <f t="shared" si="558"/>
        <v>4.5776992925471829</v>
      </c>
      <c r="J1182" s="4">
        <f t="shared" si="559"/>
        <v>8.9226582995244019</v>
      </c>
      <c r="K1182" s="4">
        <f t="shared" si="560"/>
        <v>6.4997870406558542</v>
      </c>
      <c r="L1182" s="2">
        <v>0</v>
      </c>
      <c r="M1182" s="2">
        <v>1</v>
      </c>
      <c r="N1182" s="4">
        <f t="shared" si="561"/>
        <v>57.3</v>
      </c>
      <c r="O1182" s="4">
        <f t="shared" si="562"/>
        <v>1</v>
      </c>
      <c r="P1182" s="4">
        <f t="shared" si="563"/>
        <v>2</v>
      </c>
      <c r="Q1182" s="4">
        <f t="shared" si="564"/>
        <v>8.9226582995244019</v>
      </c>
      <c r="R1182" s="4">
        <f t="shared" si="565"/>
        <v>6.4997870406558542</v>
      </c>
      <c r="S1182" s="4">
        <f t="shared" si="566"/>
        <v>57.3</v>
      </c>
      <c r="T1182" s="4">
        <f t="shared" si="567"/>
        <v>1</v>
      </c>
      <c r="U1182" s="4">
        <f t="shared" si="568"/>
        <v>8.9226582995244019</v>
      </c>
      <c r="V1182" s="4">
        <f t="shared" si="569"/>
        <v>6.4997870406558542</v>
      </c>
      <c r="W1182" s="4">
        <f t="shared" si="570"/>
        <v>57.3</v>
      </c>
      <c r="X1182" s="4">
        <f t="shared" si="571"/>
        <v>2</v>
      </c>
      <c r="Y1182" s="4">
        <f t="shared" si="572"/>
        <v>8.9226582995244019</v>
      </c>
      <c r="Z1182" s="4">
        <f t="shared" si="573"/>
        <v>6.4997870406558542</v>
      </c>
      <c r="AA1182" s="4">
        <f t="shared" si="574"/>
        <v>57.3</v>
      </c>
      <c r="AB1182" s="4">
        <f t="shared" si="575"/>
        <v>0</v>
      </c>
      <c r="AC1182" s="4">
        <f t="shared" si="576"/>
        <v>1</v>
      </c>
      <c r="AD1182" s="4">
        <f t="shared" si="577"/>
        <v>8.9226582995244019</v>
      </c>
      <c r="AE1182" s="4">
        <f t="shared" si="578"/>
        <v>6.4997870406558542</v>
      </c>
      <c r="AF1182" s="4">
        <f t="shared" si="579"/>
        <v>57.3</v>
      </c>
      <c r="AG1182" s="4">
        <f t="shared" si="580"/>
        <v>8.9226582995244019</v>
      </c>
      <c r="AH1182" s="4">
        <f t="shared" si="581"/>
        <v>0</v>
      </c>
      <c r="AI1182" s="4">
        <f t="shared" si="582"/>
        <v>1</v>
      </c>
      <c r="AJ1182" s="4">
        <f t="shared" si="583"/>
        <v>8.9226582995244019</v>
      </c>
      <c r="AK1182" s="4">
        <f t="shared" si="584"/>
        <v>6.4997870406558542</v>
      </c>
      <c r="AL1182" s="4">
        <f t="shared" si="585"/>
        <v>1</v>
      </c>
      <c r="AM1182" s="4">
        <f>CER!$C$7+CER!$C$8*J1182+CER!$C$9*K1182+CER!$C$10*L1182+CER!$C$11*M1182</f>
        <v>4.5283348931539802</v>
      </c>
      <c r="AN1182" s="4">
        <f t="shared" si="586"/>
        <v>92.604236685987615</v>
      </c>
      <c r="AO1182" s="4">
        <f t="shared" si="587"/>
        <v>4.9364399393202696E-2</v>
      </c>
      <c r="AP1182" s="4">
        <f>Alternatives!$F$25+Alternatives!$F$26*J1182+Alternatives!$F$27*K1182+Alternatives!$F$28*G1182+Alternatives!$F$29*O1182</f>
        <v>4.1163163332898751</v>
      </c>
      <c r="AQ1182" s="4">
        <f t="shared" si="588"/>
        <v>0.46138295925730777</v>
      </c>
    </row>
    <row r="1183" spans="1:43" x14ac:dyDescent="0.35">
      <c r="A1183" s="2" t="s">
        <v>1035</v>
      </c>
      <c r="B1183" s="2" t="s">
        <v>1031</v>
      </c>
      <c r="C1183" s="2" t="s">
        <v>34</v>
      </c>
      <c r="D1183" s="2">
        <v>110.27630000000001</v>
      </c>
      <c r="E1183" s="2">
        <v>7000</v>
      </c>
      <c r="F1183" s="2">
        <v>665</v>
      </c>
      <c r="G1183" s="2">
        <v>57.3</v>
      </c>
      <c r="H1183" s="2" t="s">
        <v>911</v>
      </c>
      <c r="I1183" s="4">
        <f t="shared" si="558"/>
        <v>4.7029890346315604</v>
      </c>
      <c r="J1183" s="4">
        <f t="shared" si="559"/>
        <v>8.8536654280374503</v>
      </c>
      <c r="K1183" s="4">
        <f t="shared" si="560"/>
        <v>6.4997870406558542</v>
      </c>
      <c r="L1183" s="2">
        <v>0</v>
      </c>
      <c r="M1183" s="2">
        <v>1</v>
      </c>
      <c r="N1183" s="4">
        <f t="shared" si="561"/>
        <v>57.3</v>
      </c>
      <c r="O1183" s="4">
        <f t="shared" si="562"/>
        <v>1</v>
      </c>
      <c r="P1183" s="4">
        <f t="shared" si="563"/>
        <v>2</v>
      </c>
      <c r="Q1183" s="4">
        <f t="shared" si="564"/>
        <v>8.8536654280374503</v>
      </c>
      <c r="R1183" s="4">
        <f t="shared" si="565"/>
        <v>6.4997870406558542</v>
      </c>
      <c r="S1183" s="4">
        <f t="shared" si="566"/>
        <v>57.3</v>
      </c>
      <c r="T1183" s="4">
        <f t="shared" si="567"/>
        <v>1</v>
      </c>
      <c r="U1183" s="4">
        <f t="shared" si="568"/>
        <v>8.8536654280374503</v>
      </c>
      <c r="V1183" s="4">
        <f t="shared" si="569"/>
        <v>6.4997870406558542</v>
      </c>
      <c r="W1183" s="4">
        <f t="shared" si="570"/>
        <v>57.3</v>
      </c>
      <c r="X1183" s="4">
        <f t="shared" si="571"/>
        <v>2</v>
      </c>
      <c r="Y1183" s="4">
        <f t="shared" si="572"/>
        <v>8.8536654280374503</v>
      </c>
      <c r="Z1183" s="4">
        <f t="shared" si="573"/>
        <v>6.4997870406558542</v>
      </c>
      <c r="AA1183" s="4">
        <f t="shared" si="574"/>
        <v>57.3</v>
      </c>
      <c r="AB1183" s="4">
        <f t="shared" si="575"/>
        <v>0</v>
      </c>
      <c r="AC1183" s="4">
        <f t="shared" si="576"/>
        <v>1</v>
      </c>
      <c r="AD1183" s="4">
        <f t="shared" si="577"/>
        <v>8.8536654280374503</v>
      </c>
      <c r="AE1183" s="4">
        <f t="shared" si="578"/>
        <v>6.4997870406558542</v>
      </c>
      <c r="AF1183" s="4">
        <f t="shared" si="579"/>
        <v>57.3</v>
      </c>
      <c r="AG1183" s="4">
        <f t="shared" si="580"/>
        <v>8.8536654280374503</v>
      </c>
      <c r="AH1183" s="4">
        <f t="shared" si="581"/>
        <v>0</v>
      </c>
      <c r="AI1183" s="4">
        <f t="shared" si="582"/>
        <v>1</v>
      </c>
      <c r="AJ1183" s="4">
        <f t="shared" si="583"/>
        <v>8.8536654280374503</v>
      </c>
      <c r="AK1183" s="4">
        <f t="shared" si="584"/>
        <v>6.4997870406558542</v>
      </c>
      <c r="AL1183" s="4">
        <f t="shared" si="585"/>
        <v>1</v>
      </c>
      <c r="AM1183" s="4">
        <f>CER!$C$7+CER!$C$8*J1183+CER!$C$9*K1183+CER!$C$10*L1183+CER!$C$11*M1183</f>
        <v>4.5595685952652607</v>
      </c>
      <c r="AN1183" s="4">
        <f t="shared" si="586"/>
        <v>95.54225355754869</v>
      </c>
      <c r="AO1183" s="4">
        <f t="shared" si="587"/>
        <v>0.14342043936629967</v>
      </c>
      <c r="AP1183" s="4">
        <f>Alternatives!$F$25+Alternatives!$F$26*J1183+Alternatives!$F$27*K1183+Alternatives!$F$28*G1183+Alternatives!$F$29*O1183</f>
        <v>4.0907830389641013</v>
      </c>
      <c r="AQ1183" s="4">
        <f t="shared" si="588"/>
        <v>0.61220599566745904</v>
      </c>
    </row>
    <row r="1184" spans="1:43" x14ac:dyDescent="0.35">
      <c r="A1184" s="2" t="s">
        <v>1036</v>
      </c>
      <c r="B1184" s="2" t="s">
        <v>1031</v>
      </c>
      <c r="C1184" s="2" t="s">
        <v>34</v>
      </c>
      <c r="D1184" s="2">
        <v>106.20780000000001</v>
      </c>
      <c r="E1184" s="2">
        <v>7000</v>
      </c>
      <c r="F1184" s="2">
        <v>665</v>
      </c>
      <c r="G1184" s="2">
        <v>57.3</v>
      </c>
      <c r="H1184" s="2" t="s">
        <v>911</v>
      </c>
      <c r="I1184" s="4">
        <f t="shared" si="558"/>
        <v>4.6653975524384723</v>
      </c>
      <c r="J1184" s="4">
        <f t="shared" si="559"/>
        <v>8.8536654280374503</v>
      </c>
      <c r="K1184" s="4">
        <f t="shared" si="560"/>
        <v>6.4997870406558542</v>
      </c>
      <c r="L1184" s="2">
        <v>0</v>
      </c>
      <c r="M1184" s="2">
        <v>1</v>
      </c>
      <c r="N1184" s="4">
        <f t="shared" si="561"/>
        <v>57.3</v>
      </c>
      <c r="O1184" s="4">
        <f t="shared" si="562"/>
        <v>1</v>
      </c>
      <c r="P1184" s="4">
        <f t="shared" si="563"/>
        <v>2</v>
      </c>
      <c r="Q1184" s="4">
        <f t="shared" si="564"/>
        <v>8.8536654280374503</v>
      </c>
      <c r="R1184" s="4">
        <f t="shared" si="565"/>
        <v>6.4997870406558542</v>
      </c>
      <c r="S1184" s="4">
        <f t="shared" si="566"/>
        <v>57.3</v>
      </c>
      <c r="T1184" s="4">
        <f t="shared" si="567"/>
        <v>1</v>
      </c>
      <c r="U1184" s="4">
        <f t="shared" si="568"/>
        <v>8.8536654280374503</v>
      </c>
      <c r="V1184" s="4">
        <f t="shared" si="569"/>
        <v>6.4997870406558542</v>
      </c>
      <c r="W1184" s="4">
        <f t="shared" si="570"/>
        <v>57.3</v>
      </c>
      <c r="X1184" s="4">
        <f t="shared" si="571"/>
        <v>2</v>
      </c>
      <c r="Y1184" s="4">
        <f t="shared" si="572"/>
        <v>8.8536654280374503</v>
      </c>
      <c r="Z1184" s="4">
        <f t="shared" si="573"/>
        <v>6.4997870406558542</v>
      </c>
      <c r="AA1184" s="4">
        <f t="shared" si="574"/>
        <v>57.3</v>
      </c>
      <c r="AB1184" s="4">
        <f t="shared" si="575"/>
        <v>0</v>
      </c>
      <c r="AC1184" s="4">
        <f t="shared" si="576"/>
        <v>1</v>
      </c>
      <c r="AD1184" s="4">
        <f t="shared" si="577"/>
        <v>8.8536654280374503</v>
      </c>
      <c r="AE1184" s="4">
        <f t="shared" si="578"/>
        <v>6.4997870406558542</v>
      </c>
      <c r="AF1184" s="4">
        <f t="shared" si="579"/>
        <v>57.3</v>
      </c>
      <c r="AG1184" s="4">
        <f t="shared" si="580"/>
        <v>8.8536654280374503</v>
      </c>
      <c r="AH1184" s="4">
        <f t="shared" si="581"/>
        <v>0</v>
      </c>
      <c r="AI1184" s="4">
        <f t="shared" si="582"/>
        <v>1</v>
      </c>
      <c r="AJ1184" s="4">
        <f t="shared" si="583"/>
        <v>8.8536654280374503</v>
      </c>
      <c r="AK1184" s="4">
        <f t="shared" si="584"/>
        <v>6.4997870406558542</v>
      </c>
      <c r="AL1184" s="4">
        <f t="shared" si="585"/>
        <v>1</v>
      </c>
      <c r="AM1184" s="4">
        <f>CER!$C$7+CER!$C$8*J1184+CER!$C$9*K1184+CER!$C$10*L1184+CER!$C$11*M1184</f>
        <v>4.5595685952652607</v>
      </c>
      <c r="AN1184" s="4">
        <f t="shared" si="586"/>
        <v>95.54225355754869</v>
      </c>
      <c r="AO1184" s="4">
        <f t="shared" si="587"/>
        <v>0.10582895717321161</v>
      </c>
      <c r="AP1184" s="4">
        <f>Alternatives!$F$25+Alternatives!$F$26*J1184+Alternatives!$F$27*K1184+Alternatives!$F$28*G1184+Alternatives!$F$29*O1184</f>
        <v>4.0907830389641013</v>
      </c>
      <c r="AQ1184" s="4">
        <f t="shared" si="588"/>
        <v>0.57461451347437098</v>
      </c>
    </row>
    <row r="1185" spans="1:43" x14ac:dyDescent="0.35">
      <c r="A1185" s="2" t="s">
        <v>1037</v>
      </c>
      <c r="B1185" s="2" t="s">
        <v>1031</v>
      </c>
      <c r="C1185" s="2" t="s">
        <v>34</v>
      </c>
      <c r="D1185" s="2">
        <v>97.290300000000002</v>
      </c>
      <c r="E1185" s="2">
        <v>7500</v>
      </c>
      <c r="F1185" s="2">
        <v>665</v>
      </c>
      <c r="G1185" s="2">
        <v>57.3</v>
      </c>
      <c r="H1185" s="2" t="s">
        <v>911</v>
      </c>
      <c r="I1185" s="4">
        <f t="shared" si="558"/>
        <v>4.5776992925471829</v>
      </c>
      <c r="J1185" s="4">
        <f t="shared" si="559"/>
        <v>8.9226582995244019</v>
      </c>
      <c r="K1185" s="4">
        <f t="shared" si="560"/>
        <v>6.4997870406558542</v>
      </c>
      <c r="L1185" s="2">
        <v>0</v>
      </c>
      <c r="M1185" s="2">
        <v>1</v>
      </c>
      <c r="N1185" s="4">
        <f t="shared" si="561"/>
        <v>57.3</v>
      </c>
      <c r="O1185" s="4">
        <f t="shared" si="562"/>
        <v>1</v>
      </c>
      <c r="P1185" s="4">
        <f t="shared" si="563"/>
        <v>2</v>
      </c>
      <c r="Q1185" s="4">
        <f t="shared" si="564"/>
        <v>8.9226582995244019</v>
      </c>
      <c r="R1185" s="4">
        <f t="shared" si="565"/>
        <v>6.4997870406558542</v>
      </c>
      <c r="S1185" s="4">
        <f t="shared" si="566"/>
        <v>57.3</v>
      </c>
      <c r="T1185" s="4">
        <f t="shared" si="567"/>
        <v>1</v>
      </c>
      <c r="U1185" s="4">
        <f t="shared" si="568"/>
        <v>8.9226582995244019</v>
      </c>
      <c r="V1185" s="4">
        <f t="shared" si="569"/>
        <v>6.4997870406558542</v>
      </c>
      <c r="W1185" s="4">
        <f t="shared" si="570"/>
        <v>57.3</v>
      </c>
      <c r="X1185" s="4">
        <f t="shared" si="571"/>
        <v>2</v>
      </c>
      <c r="Y1185" s="4">
        <f t="shared" si="572"/>
        <v>8.9226582995244019</v>
      </c>
      <c r="Z1185" s="4">
        <f t="shared" si="573"/>
        <v>6.4997870406558542</v>
      </c>
      <c r="AA1185" s="4">
        <f t="shared" si="574"/>
        <v>57.3</v>
      </c>
      <c r="AB1185" s="4">
        <f t="shared" si="575"/>
        <v>0</v>
      </c>
      <c r="AC1185" s="4">
        <f t="shared" si="576"/>
        <v>1</v>
      </c>
      <c r="AD1185" s="4">
        <f t="shared" si="577"/>
        <v>8.9226582995244019</v>
      </c>
      <c r="AE1185" s="4">
        <f t="shared" si="578"/>
        <v>6.4997870406558542</v>
      </c>
      <c r="AF1185" s="4">
        <f t="shared" si="579"/>
        <v>57.3</v>
      </c>
      <c r="AG1185" s="4">
        <f t="shared" si="580"/>
        <v>8.9226582995244019</v>
      </c>
      <c r="AH1185" s="4">
        <f t="shared" si="581"/>
        <v>0</v>
      </c>
      <c r="AI1185" s="4">
        <f t="shared" si="582"/>
        <v>1</v>
      </c>
      <c r="AJ1185" s="4">
        <f t="shared" si="583"/>
        <v>8.9226582995244019</v>
      </c>
      <c r="AK1185" s="4">
        <f t="shared" si="584"/>
        <v>6.4997870406558542</v>
      </c>
      <c r="AL1185" s="4">
        <f t="shared" si="585"/>
        <v>1</v>
      </c>
      <c r="AM1185" s="4">
        <f>CER!$C$7+CER!$C$8*J1185+CER!$C$9*K1185+CER!$C$10*L1185+CER!$C$11*M1185</f>
        <v>4.5283348931539802</v>
      </c>
      <c r="AN1185" s="4">
        <f t="shared" si="586"/>
        <v>92.604236685987615</v>
      </c>
      <c r="AO1185" s="4">
        <f t="shared" si="587"/>
        <v>4.9364399393202696E-2</v>
      </c>
      <c r="AP1185" s="4">
        <f>Alternatives!$F$25+Alternatives!$F$26*J1185+Alternatives!$F$27*K1185+Alternatives!$F$28*G1185+Alternatives!$F$29*O1185</f>
        <v>4.1163163332898751</v>
      </c>
      <c r="AQ1185" s="4">
        <f t="shared" si="588"/>
        <v>0.46138295925730777</v>
      </c>
    </row>
    <row r="1186" spans="1:43" x14ac:dyDescent="0.35">
      <c r="A1186" s="2" t="s">
        <v>1038</v>
      </c>
      <c r="B1186" s="2" t="s">
        <v>1031</v>
      </c>
      <c r="C1186" s="2" t="s">
        <v>34</v>
      </c>
      <c r="D1186" s="2">
        <v>110.27630000000001</v>
      </c>
      <c r="E1186" s="2">
        <v>7000</v>
      </c>
      <c r="F1186" s="2">
        <v>665</v>
      </c>
      <c r="G1186" s="2">
        <v>57.3</v>
      </c>
      <c r="H1186" s="2" t="s">
        <v>911</v>
      </c>
      <c r="I1186" s="4">
        <f t="shared" si="558"/>
        <v>4.7029890346315604</v>
      </c>
      <c r="J1186" s="4">
        <f t="shared" si="559"/>
        <v>8.8536654280374503</v>
      </c>
      <c r="K1186" s="4">
        <f t="shared" si="560"/>
        <v>6.4997870406558542</v>
      </c>
      <c r="L1186" s="2">
        <v>0</v>
      </c>
      <c r="M1186" s="2">
        <v>1</v>
      </c>
      <c r="N1186" s="4">
        <f t="shared" si="561"/>
        <v>57.3</v>
      </c>
      <c r="O1186" s="4">
        <f t="shared" si="562"/>
        <v>1</v>
      </c>
      <c r="P1186" s="4">
        <f t="shared" si="563"/>
        <v>2</v>
      </c>
      <c r="Q1186" s="4">
        <f t="shared" si="564"/>
        <v>8.8536654280374503</v>
      </c>
      <c r="R1186" s="4">
        <f t="shared" si="565"/>
        <v>6.4997870406558542</v>
      </c>
      <c r="S1186" s="4">
        <f t="shared" si="566"/>
        <v>57.3</v>
      </c>
      <c r="T1186" s="4">
        <f t="shared" si="567"/>
        <v>1</v>
      </c>
      <c r="U1186" s="4">
        <f t="shared" si="568"/>
        <v>8.8536654280374503</v>
      </c>
      <c r="V1186" s="4">
        <f t="shared" si="569"/>
        <v>6.4997870406558542</v>
      </c>
      <c r="W1186" s="4">
        <f t="shared" si="570"/>
        <v>57.3</v>
      </c>
      <c r="X1186" s="4">
        <f t="shared" si="571"/>
        <v>2</v>
      </c>
      <c r="Y1186" s="4">
        <f t="shared" si="572"/>
        <v>8.8536654280374503</v>
      </c>
      <c r="Z1186" s="4">
        <f t="shared" si="573"/>
        <v>6.4997870406558542</v>
      </c>
      <c r="AA1186" s="4">
        <f t="shared" si="574"/>
        <v>57.3</v>
      </c>
      <c r="AB1186" s="4">
        <f t="shared" si="575"/>
        <v>0</v>
      </c>
      <c r="AC1186" s="4">
        <f t="shared" si="576"/>
        <v>1</v>
      </c>
      <c r="AD1186" s="4">
        <f t="shared" si="577"/>
        <v>8.8536654280374503</v>
      </c>
      <c r="AE1186" s="4">
        <f t="shared" si="578"/>
        <v>6.4997870406558542</v>
      </c>
      <c r="AF1186" s="4">
        <f t="shared" si="579"/>
        <v>57.3</v>
      </c>
      <c r="AG1186" s="4">
        <f t="shared" si="580"/>
        <v>8.8536654280374503</v>
      </c>
      <c r="AH1186" s="4">
        <f t="shared" si="581"/>
        <v>0</v>
      </c>
      <c r="AI1186" s="4">
        <f t="shared" si="582"/>
        <v>1</v>
      </c>
      <c r="AJ1186" s="4">
        <f t="shared" si="583"/>
        <v>8.8536654280374503</v>
      </c>
      <c r="AK1186" s="4">
        <f t="shared" si="584"/>
        <v>6.4997870406558542</v>
      </c>
      <c r="AL1186" s="4">
        <f t="shared" si="585"/>
        <v>1</v>
      </c>
      <c r="AM1186" s="4">
        <f>CER!$C$7+CER!$C$8*J1186+CER!$C$9*K1186+CER!$C$10*L1186+CER!$C$11*M1186</f>
        <v>4.5595685952652607</v>
      </c>
      <c r="AN1186" s="4">
        <f t="shared" si="586"/>
        <v>95.54225355754869</v>
      </c>
      <c r="AO1186" s="4">
        <f t="shared" si="587"/>
        <v>0.14342043936629967</v>
      </c>
      <c r="AP1186" s="4">
        <f>Alternatives!$F$25+Alternatives!$F$26*J1186+Alternatives!$F$27*K1186+Alternatives!$F$28*G1186+Alternatives!$F$29*O1186</f>
        <v>4.0907830389641013</v>
      </c>
      <c r="AQ1186" s="4">
        <f t="shared" si="588"/>
        <v>0.61220599566745904</v>
      </c>
    </row>
    <row r="1187" spans="1:43" x14ac:dyDescent="0.35">
      <c r="A1187" s="2" t="s">
        <v>1039</v>
      </c>
      <c r="B1187" s="2" t="s">
        <v>1031</v>
      </c>
      <c r="C1187" s="2" t="s">
        <v>34</v>
      </c>
      <c r="D1187" s="2">
        <v>106.20780000000001</v>
      </c>
      <c r="E1187" s="2">
        <v>7000</v>
      </c>
      <c r="F1187" s="2">
        <v>665</v>
      </c>
      <c r="G1187" s="2">
        <v>57.3</v>
      </c>
      <c r="H1187" s="2" t="s">
        <v>911</v>
      </c>
      <c r="I1187" s="4">
        <f t="shared" si="558"/>
        <v>4.6653975524384723</v>
      </c>
      <c r="J1187" s="4">
        <f t="shared" si="559"/>
        <v>8.8536654280374503</v>
      </c>
      <c r="K1187" s="4">
        <f t="shared" si="560"/>
        <v>6.4997870406558542</v>
      </c>
      <c r="L1187" s="2">
        <v>0</v>
      </c>
      <c r="M1187" s="2">
        <v>1</v>
      </c>
      <c r="N1187" s="4">
        <f t="shared" si="561"/>
        <v>57.3</v>
      </c>
      <c r="O1187" s="4">
        <f t="shared" si="562"/>
        <v>1</v>
      </c>
      <c r="P1187" s="4">
        <f t="shared" si="563"/>
        <v>2</v>
      </c>
      <c r="Q1187" s="4">
        <f t="shared" si="564"/>
        <v>8.8536654280374503</v>
      </c>
      <c r="R1187" s="4">
        <f t="shared" si="565"/>
        <v>6.4997870406558542</v>
      </c>
      <c r="S1187" s="4">
        <f t="shared" si="566"/>
        <v>57.3</v>
      </c>
      <c r="T1187" s="4">
        <f t="shared" si="567"/>
        <v>1</v>
      </c>
      <c r="U1187" s="4">
        <f t="shared" si="568"/>
        <v>8.8536654280374503</v>
      </c>
      <c r="V1187" s="4">
        <f t="shared" si="569"/>
        <v>6.4997870406558542</v>
      </c>
      <c r="W1187" s="4">
        <f t="shared" si="570"/>
        <v>57.3</v>
      </c>
      <c r="X1187" s="4">
        <f t="shared" si="571"/>
        <v>2</v>
      </c>
      <c r="Y1187" s="4">
        <f t="shared" si="572"/>
        <v>8.8536654280374503</v>
      </c>
      <c r="Z1187" s="4">
        <f t="shared" si="573"/>
        <v>6.4997870406558542</v>
      </c>
      <c r="AA1187" s="4">
        <f t="shared" si="574"/>
        <v>57.3</v>
      </c>
      <c r="AB1187" s="4">
        <f t="shared" si="575"/>
        <v>0</v>
      </c>
      <c r="AC1187" s="4">
        <f t="shared" si="576"/>
        <v>1</v>
      </c>
      <c r="AD1187" s="4">
        <f t="shared" si="577"/>
        <v>8.8536654280374503</v>
      </c>
      <c r="AE1187" s="4">
        <f t="shared" si="578"/>
        <v>6.4997870406558542</v>
      </c>
      <c r="AF1187" s="4">
        <f t="shared" si="579"/>
        <v>57.3</v>
      </c>
      <c r="AG1187" s="4">
        <f t="shared" si="580"/>
        <v>8.8536654280374503</v>
      </c>
      <c r="AH1187" s="4">
        <f t="shared" si="581"/>
        <v>0</v>
      </c>
      <c r="AI1187" s="4">
        <f t="shared" si="582"/>
        <v>1</v>
      </c>
      <c r="AJ1187" s="4">
        <f t="shared" si="583"/>
        <v>8.8536654280374503</v>
      </c>
      <c r="AK1187" s="4">
        <f t="shared" si="584"/>
        <v>6.4997870406558542</v>
      </c>
      <c r="AL1187" s="4">
        <f t="shared" si="585"/>
        <v>1</v>
      </c>
      <c r="AM1187" s="4">
        <f>CER!$C$7+CER!$C$8*J1187+CER!$C$9*K1187+CER!$C$10*L1187+CER!$C$11*M1187</f>
        <v>4.5595685952652607</v>
      </c>
      <c r="AN1187" s="4">
        <f t="shared" si="586"/>
        <v>95.54225355754869</v>
      </c>
      <c r="AO1187" s="4">
        <f t="shared" si="587"/>
        <v>0.10582895717321161</v>
      </c>
      <c r="AP1187" s="4">
        <f>Alternatives!$F$25+Alternatives!$F$26*J1187+Alternatives!$F$27*K1187+Alternatives!$F$28*G1187+Alternatives!$F$29*O1187</f>
        <v>4.0907830389641013</v>
      </c>
      <c r="AQ1187" s="4">
        <f t="shared" si="588"/>
        <v>0.57461451347437098</v>
      </c>
    </row>
    <row r="1188" spans="1:43" x14ac:dyDescent="0.35">
      <c r="A1188" s="2" t="s">
        <v>1040</v>
      </c>
      <c r="B1188" s="2" t="s">
        <v>1031</v>
      </c>
      <c r="C1188" s="2" t="s">
        <v>34</v>
      </c>
      <c r="D1188" s="2">
        <v>83.757599999999996</v>
      </c>
      <c r="E1188" s="2">
        <v>7500</v>
      </c>
      <c r="F1188" s="2">
        <v>872</v>
      </c>
      <c r="G1188" s="2">
        <v>57.3</v>
      </c>
      <c r="H1188" s="2" t="s">
        <v>911</v>
      </c>
      <c r="I1188" s="4">
        <f t="shared" si="558"/>
        <v>4.4279269128566385</v>
      </c>
      <c r="J1188" s="4">
        <f t="shared" si="559"/>
        <v>8.9226582995244019</v>
      </c>
      <c r="K1188" s="4">
        <f t="shared" si="560"/>
        <v>6.7707894239089796</v>
      </c>
      <c r="L1188" s="2">
        <v>0</v>
      </c>
      <c r="M1188" s="2">
        <v>1</v>
      </c>
      <c r="N1188" s="4">
        <f t="shared" si="561"/>
        <v>57.3</v>
      </c>
      <c r="O1188" s="4">
        <f t="shared" si="562"/>
        <v>1</v>
      </c>
      <c r="P1188" s="4">
        <f t="shared" si="563"/>
        <v>2</v>
      </c>
      <c r="Q1188" s="4">
        <f t="shared" si="564"/>
        <v>8.9226582995244019</v>
      </c>
      <c r="R1188" s="4">
        <f t="shared" si="565"/>
        <v>6.7707894239089796</v>
      </c>
      <c r="S1188" s="4">
        <f t="shared" si="566"/>
        <v>57.3</v>
      </c>
      <c r="T1188" s="4">
        <f t="shared" si="567"/>
        <v>1</v>
      </c>
      <c r="U1188" s="4">
        <f t="shared" si="568"/>
        <v>8.9226582995244019</v>
      </c>
      <c r="V1188" s="4">
        <f t="shared" si="569"/>
        <v>6.7707894239089796</v>
      </c>
      <c r="W1188" s="4">
        <f t="shared" si="570"/>
        <v>57.3</v>
      </c>
      <c r="X1188" s="4">
        <f t="shared" si="571"/>
        <v>2</v>
      </c>
      <c r="Y1188" s="4">
        <f t="shared" si="572"/>
        <v>8.9226582995244019</v>
      </c>
      <c r="Z1188" s="4">
        <f t="shared" si="573"/>
        <v>6.7707894239089796</v>
      </c>
      <c r="AA1188" s="4">
        <f t="shared" si="574"/>
        <v>57.3</v>
      </c>
      <c r="AB1188" s="4">
        <f t="shared" si="575"/>
        <v>0</v>
      </c>
      <c r="AC1188" s="4">
        <f t="shared" si="576"/>
        <v>1</v>
      </c>
      <c r="AD1188" s="4">
        <f t="shared" si="577"/>
        <v>8.9226582995244019</v>
      </c>
      <c r="AE1188" s="4">
        <f t="shared" si="578"/>
        <v>6.7707894239089796</v>
      </c>
      <c r="AF1188" s="4">
        <f t="shared" si="579"/>
        <v>57.3</v>
      </c>
      <c r="AG1188" s="4">
        <f t="shared" si="580"/>
        <v>8.9226582995244019</v>
      </c>
      <c r="AH1188" s="4">
        <f t="shared" si="581"/>
        <v>0</v>
      </c>
      <c r="AI1188" s="4">
        <f t="shared" si="582"/>
        <v>1</v>
      </c>
      <c r="AJ1188" s="4">
        <f t="shared" si="583"/>
        <v>8.9226582995244019</v>
      </c>
      <c r="AK1188" s="4">
        <f t="shared" si="584"/>
        <v>6.7707894239089796</v>
      </c>
      <c r="AL1188" s="4">
        <f t="shared" si="585"/>
        <v>1</v>
      </c>
      <c r="AM1188" s="4">
        <f>CER!$C$7+CER!$C$8*J1188+CER!$C$9*K1188+CER!$C$10*L1188+CER!$C$11*M1188</f>
        <v>4.4283502674096571</v>
      </c>
      <c r="AN1188" s="4">
        <f t="shared" si="586"/>
        <v>83.793066668267898</v>
      </c>
      <c r="AO1188" s="4">
        <f t="shared" si="587"/>
        <v>-4.2335455301856229E-4</v>
      </c>
      <c r="AP1188" s="4">
        <f>Alternatives!$F$25+Alternatives!$F$26*J1188+Alternatives!$F$27*K1188+Alternatives!$F$28*G1188+Alternatives!$F$29*O1188</f>
        <v>4.0441998977789222</v>
      </c>
      <c r="AQ1188" s="4">
        <f t="shared" si="588"/>
        <v>0.38372701507771634</v>
      </c>
    </row>
    <row r="1189" spans="1:43" x14ac:dyDescent="0.35">
      <c r="A1189" s="2" t="s">
        <v>1041</v>
      </c>
      <c r="B1189" s="2" t="s">
        <v>1031</v>
      </c>
      <c r="C1189" s="2" t="s">
        <v>34</v>
      </c>
      <c r="D1189" s="2">
        <v>104.3925</v>
      </c>
      <c r="E1189" s="2">
        <v>7500</v>
      </c>
      <c r="F1189" s="2">
        <v>665</v>
      </c>
      <c r="G1189" s="2">
        <v>57.3</v>
      </c>
      <c r="H1189" s="2" t="s">
        <v>911</v>
      </c>
      <c r="I1189" s="4">
        <f t="shared" si="558"/>
        <v>4.6481578337875282</v>
      </c>
      <c r="J1189" s="4">
        <f t="shared" si="559"/>
        <v>8.9226582995244019</v>
      </c>
      <c r="K1189" s="4">
        <f t="shared" si="560"/>
        <v>6.4997870406558542</v>
      </c>
      <c r="L1189" s="2">
        <v>0</v>
      </c>
      <c r="M1189" s="2">
        <v>1</v>
      </c>
      <c r="N1189" s="4">
        <f t="shared" si="561"/>
        <v>57.3</v>
      </c>
      <c r="O1189" s="4">
        <f t="shared" si="562"/>
        <v>1</v>
      </c>
      <c r="P1189" s="4">
        <f t="shared" si="563"/>
        <v>2</v>
      </c>
      <c r="Q1189" s="4">
        <f t="shared" si="564"/>
        <v>8.9226582995244019</v>
      </c>
      <c r="R1189" s="4">
        <f t="shared" si="565"/>
        <v>6.4997870406558542</v>
      </c>
      <c r="S1189" s="4">
        <f t="shared" si="566"/>
        <v>57.3</v>
      </c>
      <c r="T1189" s="4">
        <f t="shared" si="567"/>
        <v>1</v>
      </c>
      <c r="U1189" s="4">
        <f t="shared" si="568"/>
        <v>8.9226582995244019</v>
      </c>
      <c r="V1189" s="4">
        <f t="shared" si="569"/>
        <v>6.4997870406558542</v>
      </c>
      <c r="W1189" s="4">
        <f t="shared" si="570"/>
        <v>57.3</v>
      </c>
      <c r="X1189" s="4">
        <f t="shared" si="571"/>
        <v>2</v>
      </c>
      <c r="Y1189" s="4">
        <f t="shared" si="572"/>
        <v>8.9226582995244019</v>
      </c>
      <c r="Z1189" s="4">
        <f t="shared" si="573"/>
        <v>6.4997870406558542</v>
      </c>
      <c r="AA1189" s="4">
        <f t="shared" si="574"/>
        <v>57.3</v>
      </c>
      <c r="AB1189" s="4">
        <f t="shared" si="575"/>
        <v>0</v>
      </c>
      <c r="AC1189" s="4">
        <f t="shared" si="576"/>
        <v>1</v>
      </c>
      <c r="AD1189" s="4">
        <f t="shared" si="577"/>
        <v>8.9226582995244019</v>
      </c>
      <c r="AE1189" s="4">
        <f t="shared" si="578"/>
        <v>6.4997870406558542</v>
      </c>
      <c r="AF1189" s="4">
        <f t="shared" si="579"/>
        <v>57.3</v>
      </c>
      <c r="AG1189" s="4">
        <f t="shared" si="580"/>
        <v>8.9226582995244019</v>
      </c>
      <c r="AH1189" s="4">
        <f t="shared" si="581"/>
        <v>0</v>
      </c>
      <c r="AI1189" s="4">
        <f t="shared" si="582"/>
        <v>1</v>
      </c>
      <c r="AJ1189" s="4">
        <f t="shared" si="583"/>
        <v>8.9226582995244019</v>
      </c>
      <c r="AK1189" s="4">
        <f t="shared" si="584"/>
        <v>6.4997870406558542</v>
      </c>
      <c r="AL1189" s="4">
        <f t="shared" si="585"/>
        <v>1</v>
      </c>
      <c r="AM1189" s="4">
        <f>CER!$C$7+CER!$C$8*J1189+CER!$C$9*K1189+CER!$C$10*L1189+CER!$C$11*M1189</f>
        <v>4.5283348931539802</v>
      </c>
      <c r="AN1189" s="4">
        <f t="shared" si="586"/>
        <v>92.604236685987615</v>
      </c>
      <c r="AO1189" s="4">
        <f t="shared" si="587"/>
        <v>0.11982294063354804</v>
      </c>
      <c r="AP1189" s="4">
        <f>Alternatives!$F$25+Alternatives!$F$26*J1189+Alternatives!$F$27*K1189+Alternatives!$F$28*G1189+Alternatives!$F$29*O1189</f>
        <v>4.1163163332898751</v>
      </c>
      <c r="AQ1189" s="4">
        <f t="shared" si="588"/>
        <v>0.53184150049765311</v>
      </c>
    </row>
    <row r="1190" spans="1:43" x14ac:dyDescent="0.35">
      <c r="A1190" s="2" t="s">
        <v>1042</v>
      </c>
      <c r="B1190" s="2" t="s">
        <v>1031</v>
      </c>
      <c r="C1190" s="2" t="s">
        <v>34</v>
      </c>
      <c r="D1190" s="2">
        <v>115.3272</v>
      </c>
      <c r="E1190" s="2">
        <v>7000</v>
      </c>
      <c r="F1190" s="2">
        <v>665</v>
      </c>
      <c r="G1190" s="2">
        <v>57.3</v>
      </c>
      <c r="H1190" s="2" t="s">
        <v>911</v>
      </c>
      <c r="I1190" s="4">
        <f t="shared" si="558"/>
        <v>4.7477733057847997</v>
      </c>
      <c r="J1190" s="4">
        <f t="shared" si="559"/>
        <v>8.8536654280374503</v>
      </c>
      <c r="K1190" s="4">
        <f t="shared" si="560"/>
        <v>6.4997870406558542</v>
      </c>
      <c r="L1190" s="2">
        <v>0</v>
      </c>
      <c r="M1190" s="2">
        <v>1</v>
      </c>
      <c r="N1190" s="4">
        <f t="shared" si="561"/>
        <v>57.3</v>
      </c>
      <c r="O1190" s="4">
        <f t="shared" si="562"/>
        <v>1</v>
      </c>
      <c r="P1190" s="4">
        <f t="shared" si="563"/>
        <v>2</v>
      </c>
      <c r="Q1190" s="4">
        <f t="shared" si="564"/>
        <v>8.8536654280374503</v>
      </c>
      <c r="R1190" s="4">
        <f t="shared" si="565"/>
        <v>6.4997870406558542</v>
      </c>
      <c r="S1190" s="4">
        <f t="shared" si="566"/>
        <v>57.3</v>
      </c>
      <c r="T1190" s="4">
        <f t="shared" si="567"/>
        <v>1</v>
      </c>
      <c r="U1190" s="4">
        <f t="shared" si="568"/>
        <v>8.8536654280374503</v>
      </c>
      <c r="V1190" s="4">
        <f t="shared" si="569"/>
        <v>6.4997870406558542</v>
      </c>
      <c r="W1190" s="4">
        <f t="shared" si="570"/>
        <v>57.3</v>
      </c>
      <c r="X1190" s="4">
        <f t="shared" si="571"/>
        <v>2</v>
      </c>
      <c r="Y1190" s="4">
        <f t="shared" si="572"/>
        <v>8.8536654280374503</v>
      </c>
      <c r="Z1190" s="4">
        <f t="shared" si="573"/>
        <v>6.4997870406558542</v>
      </c>
      <c r="AA1190" s="4">
        <f t="shared" si="574"/>
        <v>57.3</v>
      </c>
      <c r="AB1190" s="4">
        <f t="shared" si="575"/>
        <v>0</v>
      </c>
      <c r="AC1190" s="4">
        <f t="shared" si="576"/>
        <v>1</v>
      </c>
      <c r="AD1190" s="4">
        <f t="shared" si="577"/>
        <v>8.8536654280374503</v>
      </c>
      <c r="AE1190" s="4">
        <f t="shared" si="578"/>
        <v>6.4997870406558542</v>
      </c>
      <c r="AF1190" s="4">
        <f t="shared" si="579"/>
        <v>57.3</v>
      </c>
      <c r="AG1190" s="4">
        <f t="shared" si="580"/>
        <v>8.8536654280374503</v>
      </c>
      <c r="AH1190" s="4">
        <f t="shared" si="581"/>
        <v>0</v>
      </c>
      <c r="AI1190" s="4">
        <f t="shared" si="582"/>
        <v>1</v>
      </c>
      <c r="AJ1190" s="4">
        <f t="shared" si="583"/>
        <v>8.8536654280374503</v>
      </c>
      <c r="AK1190" s="4">
        <f t="shared" si="584"/>
        <v>6.4997870406558542</v>
      </c>
      <c r="AL1190" s="4">
        <f t="shared" si="585"/>
        <v>1</v>
      </c>
      <c r="AM1190" s="4">
        <f>CER!$C$7+CER!$C$8*J1190+CER!$C$9*K1190+CER!$C$10*L1190+CER!$C$11*M1190</f>
        <v>4.5595685952652607</v>
      </c>
      <c r="AN1190" s="4">
        <f t="shared" si="586"/>
        <v>95.54225355754869</v>
      </c>
      <c r="AO1190" s="4">
        <f t="shared" si="587"/>
        <v>0.18820471051953902</v>
      </c>
      <c r="AP1190" s="4">
        <f>Alternatives!$F$25+Alternatives!$F$26*J1190+Alternatives!$F$27*K1190+Alternatives!$F$28*G1190+Alternatives!$F$29*O1190</f>
        <v>4.0907830389641013</v>
      </c>
      <c r="AQ1190" s="4">
        <f t="shared" si="588"/>
        <v>0.65699026682069839</v>
      </c>
    </row>
    <row r="1191" spans="1:43" x14ac:dyDescent="0.35">
      <c r="A1191" s="2" t="s">
        <v>1043</v>
      </c>
      <c r="B1191" s="2" t="s">
        <v>1031</v>
      </c>
      <c r="C1191" s="2" t="s">
        <v>34</v>
      </c>
      <c r="D1191" s="2">
        <v>107.27679999999999</v>
      </c>
      <c r="E1191" s="2">
        <v>7000</v>
      </c>
      <c r="F1191" s="2">
        <v>665</v>
      </c>
      <c r="G1191" s="2">
        <v>57.3</v>
      </c>
      <c r="H1191" s="2" t="s">
        <v>911</v>
      </c>
      <c r="I1191" s="4">
        <f t="shared" si="558"/>
        <v>4.6754124100423402</v>
      </c>
      <c r="J1191" s="4">
        <f t="shared" si="559"/>
        <v>8.8536654280374503</v>
      </c>
      <c r="K1191" s="4">
        <f t="shared" si="560"/>
        <v>6.4997870406558542</v>
      </c>
      <c r="L1191" s="2">
        <v>0</v>
      </c>
      <c r="M1191" s="2">
        <v>1</v>
      </c>
      <c r="N1191" s="4">
        <f t="shared" si="561"/>
        <v>57.3</v>
      </c>
      <c r="O1191" s="4">
        <f t="shared" si="562"/>
        <v>1</v>
      </c>
      <c r="P1191" s="4">
        <f t="shared" si="563"/>
        <v>2</v>
      </c>
      <c r="Q1191" s="4">
        <f t="shared" si="564"/>
        <v>8.8536654280374503</v>
      </c>
      <c r="R1191" s="4">
        <f t="shared" si="565"/>
        <v>6.4997870406558542</v>
      </c>
      <c r="S1191" s="4">
        <f t="shared" si="566"/>
        <v>57.3</v>
      </c>
      <c r="T1191" s="4">
        <f t="shared" si="567"/>
        <v>1</v>
      </c>
      <c r="U1191" s="4">
        <f t="shared" si="568"/>
        <v>8.8536654280374503</v>
      </c>
      <c r="V1191" s="4">
        <f t="shared" si="569"/>
        <v>6.4997870406558542</v>
      </c>
      <c r="W1191" s="4">
        <f t="shared" si="570"/>
        <v>57.3</v>
      </c>
      <c r="X1191" s="4">
        <f t="shared" si="571"/>
        <v>2</v>
      </c>
      <c r="Y1191" s="4">
        <f t="shared" si="572"/>
        <v>8.8536654280374503</v>
      </c>
      <c r="Z1191" s="4">
        <f t="shared" si="573"/>
        <v>6.4997870406558542</v>
      </c>
      <c r="AA1191" s="4">
        <f t="shared" si="574"/>
        <v>57.3</v>
      </c>
      <c r="AB1191" s="4">
        <f t="shared" si="575"/>
        <v>0</v>
      </c>
      <c r="AC1191" s="4">
        <f t="shared" si="576"/>
        <v>1</v>
      </c>
      <c r="AD1191" s="4">
        <f t="shared" si="577"/>
        <v>8.8536654280374503</v>
      </c>
      <c r="AE1191" s="4">
        <f t="shared" si="578"/>
        <v>6.4997870406558542</v>
      </c>
      <c r="AF1191" s="4">
        <f t="shared" si="579"/>
        <v>57.3</v>
      </c>
      <c r="AG1191" s="4">
        <f t="shared" si="580"/>
        <v>8.8536654280374503</v>
      </c>
      <c r="AH1191" s="4">
        <f t="shared" si="581"/>
        <v>0</v>
      </c>
      <c r="AI1191" s="4">
        <f t="shared" si="582"/>
        <v>1</v>
      </c>
      <c r="AJ1191" s="4">
        <f t="shared" si="583"/>
        <v>8.8536654280374503</v>
      </c>
      <c r="AK1191" s="4">
        <f t="shared" si="584"/>
        <v>6.4997870406558542</v>
      </c>
      <c r="AL1191" s="4">
        <f t="shared" si="585"/>
        <v>1</v>
      </c>
      <c r="AM1191" s="4">
        <f>CER!$C$7+CER!$C$8*J1191+CER!$C$9*K1191+CER!$C$10*L1191+CER!$C$11*M1191</f>
        <v>4.5595685952652607</v>
      </c>
      <c r="AN1191" s="4">
        <f t="shared" si="586"/>
        <v>95.54225355754869</v>
      </c>
      <c r="AO1191" s="4">
        <f t="shared" si="587"/>
        <v>0.1158438147770795</v>
      </c>
      <c r="AP1191" s="4">
        <f>Alternatives!$F$25+Alternatives!$F$26*J1191+Alternatives!$F$27*K1191+Alternatives!$F$28*G1191+Alternatives!$F$29*O1191</f>
        <v>4.0907830389641013</v>
      </c>
      <c r="AQ1191" s="4">
        <f t="shared" si="588"/>
        <v>0.58462937107823887</v>
      </c>
    </row>
    <row r="1192" spans="1:43" x14ac:dyDescent="0.35">
      <c r="A1192" s="2" t="s">
        <v>1044</v>
      </c>
      <c r="B1192" s="2" t="s">
        <v>1031</v>
      </c>
      <c r="C1192" s="2" t="s">
        <v>34</v>
      </c>
      <c r="D1192" s="2">
        <v>104.3925</v>
      </c>
      <c r="E1192" s="2">
        <v>7500</v>
      </c>
      <c r="F1192" s="2">
        <v>665</v>
      </c>
      <c r="G1192" s="2">
        <v>57.3</v>
      </c>
      <c r="H1192" s="2" t="s">
        <v>911</v>
      </c>
      <c r="I1192" s="4">
        <f t="shared" si="558"/>
        <v>4.6481578337875282</v>
      </c>
      <c r="J1192" s="4">
        <f t="shared" si="559"/>
        <v>8.9226582995244019</v>
      </c>
      <c r="K1192" s="4">
        <f t="shared" si="560"/>
        <v>6.4997870406558542</v>
      </c>
      <c r="L1192" s="2">
        <v>0</v>
      </c>
      <c r="M1192" s="2">
        <v>1</v>
      </c>
      <c r="N1192" s="4">
        <f t="shared" si="561"/>
        <v>57.3</v>
      </c>
      <c r="O1192" s="4">
        <f t="shared" si="562"/>
        <v>1</v>
      </c>
      <c r="P1192" s="4">
        <f t="shared" si="563"/>
        <v>2</v>
      </c>
      <c r="Q1192" s="4">
        <f t="shared" si="564"/>
        <v>8.9226582995244019</v>
      </c>
      <c r="R1192" s="4">
        <f t="shared" si="565"/>
        <v>6.4997870406558542</v>
      </c>
      <c r="S1192" s="4">
        <f t="shared" si="566"/>
        <v>57.3</v>
      </c>
      <c r="T1192" s="4">
        <f t="shared" si="567"/>
        <v>1</v>
      </c>
      <c r="U1192" s="4">
        <f t="shared" si="568"/>
        <v>8.9226582995244019</v>
      </c>
      <c r="V1192" s="4">
        <f t="shared" si="569"/>
        <v>6.4997870406558542</v>
      </c>
      <c r="W1192" s="4">
        <f t="shared" si="570"/>
        <v>57.3</v>
      </c>
      <c r="X1192" s="4">
        <f t="shared" si="571"/>
        <v>2</v>
      </c>
      <c r="Y1192" s="4">
        <f t="shared" si="572"/>
        <v>8.9226582995244019</v>
      </c>
      <c r="Z1192" s="4">
        <f t="shared" si="573"/>
        <v>6.4997870406558542</v>
      </c>
      <c r="AA1192" s="4">
        <f t="shared" si="574"/>
        <v>57.3</v>
      </c>
      <c r="AB1192" s="4">
        <f t="shared" si="575"/>
        <v>0</v>
      </c>
      <c r="AC1192" s="4">
        <f t="shared" si="576"/>
        <v>1</v>
      </c>
      <c r="AD1192" s="4">
        <f t="shared" si="577"/>
        <v>8.9226582995244019</v>
      </c>
      <c r="AE1192" s="4">
        <f t="shared" si="578"/>
        <v>6.4997870406558542</v>
      </c>
      <c r="AF1192" s="4">
        <f t="shared" si="579"/>
        <v>57.3</v>
      </c>
      <c r="AG1192" s="4">
        <f t="shared" si="580"/>
        <v>8.9226582995244019</v>
      </c>
      <c r="AH1192" s="4">
        <f t="shared" si="581"/>
        <v>0</v>
      </c>
      <c r="AI1192" s="4">
        <f t="shared" si="582"/>
        <v>1</v>
      </c>
      <c r="AJ1192" s="4">
        <f t="shared" si="583"/>
        <v>8.9226582995244019</v>
      </c>
      <c r="AK1192" s="4">
        <f t="shared" si="584"/>
        <v>6.4997870406558542</v>
      </c>
      <c r="AL1192" s="4">
        <f t="shared" si="585"/>
        <v>1</v>
      </c>
      <c r="AM1192" s="4">
        <f>CER!$C$7+CER!$C$8*J1192+CER!$C$9*K1192+CER!$C$10*L1192+CER!$C$11*M1192</f>
        <v>4.5283348931539802</v>
      </c>
      <c r="AN1192" s="4">
        <f t="shared" si="586"/>
        <v>92.604236685987615</v>
      </c>
      <c r="AO1192" s="4">
        <f t="shared" si="587"/>
        <v>0.11982294063354804</v>
      </c>
      <c r="AP1192" s="4">
        <f>Alternatives!$F$25+Alternatives!$F$26*J1192+Alternatives!$F$27*K1192+Alternatives!$F$28*G1192+Alternatives!$F$29*O1192</f>
        <v>4.1163163332898751</v>
      </c>
      <c r="AQ1192" s="4">
        <f t="shared" si="588"/>
        <v>0.53184150049765311</v>
      </c>
    </row>
    <row r="1193" spans="1:43" x14ac:dyDescent="0.35">
      <c r="A1193" s="2" t="s">
        <v>1045</v>
      </c>
      <c r="B1193" s="2" t="s">
        <v>1031</v>
      </c>
      <c r="C1193" s="2" t="s">
        <v>34</v>
      </c>
      <c r="D1193" s="2">
        <v>115.3272</v>
      </c>
      <c r="E1193" s="2">
        <v>7000</v>
      </c>
      <c r="F1193" s="2">
        <v>665</v>
      </c>
      <c r="G1193" s="2">
        <v>57.3</v>
      </c>
      <c r="H1193" s="2" t="s">
        <v>911</v>
      </c>
      <c r="I1193" s="4">
        <f t="shared" si="558"/>
        <v>4.7477733057847997</v>
      </c>
      <c r="J1193" s="4">
        <f t="shared" si="559"/>
        <v>8.8536654280374503</v>
      </c>
      <c r="K1193" s="4">
        <f t="shared" si="560"/>
        <v>6.4997870406558542</v>
      </c>
      <c r="L1193" s="2">
        <v>0</v>
      </c>
      <c r="M1193" s="2">
        <v>1</v>
      </c>
      <c r="N1193" s="4">
        <f t="shared" si="561"/>
        <v>57.3</v>
      </c>
      <c r="O1193" s="4">
        <f t="shared" si="562"/>
        <v>1</v>
      </c>
      <c r="P1193" s="4">
        <f t="shared" si="563"/>
        <v>2</v>
      </c>
      <c r="Q1193" s="4">
        <f t="shared" si="564"/>
        <v>8.8536654280374503</v>
      </c>
      <c r="R1193" s="4">
        <f t="shared" si="565"/>
        <v>6.4997870406558542</v>
      </c>
      <c r="S1193" s="4">
        <f t="shared" si="566"/>
        <v>57.3</v>
      </c>
      <c r="T1193" s="4">
        <f t="shared" si="567"/>
        <v>1</v>
      </c>
      <c r="U1193" s="4">
        <f t="shared" si="568"/>
        <v>8.8536654280374503</v>
      </c>
      <c r="V1193" s="4">
        <f t="shared" si="569"/>
        <v>6.4997870406558542</v>
      </c>
      <c r="W1193" s="4">
        <f t="shared" si="570"/>
        <v>57.3</v>
      </c>
      <c r="X1193" s="4">
        <f t="shared" si="571"/>
        <v>2</v>
      </c>
      <c r="Y1193" s="4">
        <f t="shared" si="572"/>
        <v>8.8536654280374503</v>
      </c>
      <c r="Z1193" s="4">
        <f t="shared" si="573"/>
        <v>6.4997870406558542</v>
      </c>
      <c r="AA1193" s="4">
        <f t="shared" si="574"/>
        <v>57.3</v>
      </c>
      <c r="AB1193" s="4">
        <f t="shared" si="575"/>
        <v>0</v>
      </c>
      <c r="AC1193" s="4">
        <f t="shared" si="576"/>
        <v>1</v>
      </c>
      <c r="AD1193" s="4">
        <f t="shared" si="577"/>
        <v>8.8536654280374503</v>
      </c>
      <c r="AE1193" s="4">
        <f t="shared" si="578"/>
        <v>6.4997870406558542</v>
      </c>
      <c r="AF1193" s="4">
        <f t="shared" si="579"/>
        <v>57.3</v>
      </c>
      <c r="AG1193" s="4">
        <f t="shared" si="580"/>
        <v>8.8536654280374503</v>
      </c>
      <c r="AH1193" s="4">
        <f t="shared" si="581"/>
        <v>0</v>
      </c>
      <c r="AI1193" s="4">
        <f t="shared" si="582"/>
        <v>1</v>
      </c>
      <c r="AJ1193" s="4">
        <f t="shared" si="583"/>
        <v>8.8536654280374503</v>
      </c>
      <c r="AK1193" s="4">
        <f t="shared" si="584"/>
        <v>6.4997870406558542</v>
      </c>
      <c r="AL1193" s="4">
        <f t="shared" si="585"/>
        <v>1</v>
      </c>
      <c r="AM1193" s="4">
        <f>CER!$C$7+CER!$C$8*J1193+CER!$C$9*K1193+CER!$C$10*L1193+CER!$C$11*M1193</f>
        <v>4.5595685952652607</v>
      </c>
      <c r="AN1193" s="4">
        <f t="shared" si="586"/>
        <v>95.54225355754869</v>
      </c>
      <c r="AO1193" s="4">
        <f t="shared" si="587"/>
        <v>0.18820471051953902</v>
      </c>
      <c r="AP1193" s="4">
        <f>Alternatives!$F$25+Alternatives!$F$26*J1193+Alternatives!$F$27*K1193+Alternatives!$F$28*G1193+Alternatives!$F$29*O1193</f>
        <v>4.0907830389641013</v>
      </c>
      <c r="AQ1193" s="4">
        <f t="shared" si="588"/>
        <v>0.65699026682069839</v>
      </c>
    </row>
    <row r="1194" spans="1:43" x14ac:dyDescent="0.35">
      <c r="A1194" s="2" t="s">
        <v>1046</v>
      </c>
      <c r="B1194" s="2" t="s">
        <v>1031</v>
      </c>
      <c r="C1194" s="2" t="s">
        <v>34</v>
      </c>
      <c r="D1194" s="2">
        <v>107.27679999999999</v>
      </c>
      <c r="E1194" s="2">
        <v>7000</v>
      </c>
      <c r="F1194" s="2">
        <v>665</v>
      </c>
      <c r="G1194" s="2">
        <v>57.3</v>
      </c>
      <c r="H1194" s="2" t="s">
        <v>911</v>
      </c>
      <c r="I1194" s="4">
        <f t="shared" si="558"/>
        <v>4.6754124100423402</v>
      </c>
      <c r="J1194" s="4">
        <f t="shared" si="559"/>
        <v>8.8536654280374503</v>
      </c>
      <c r="K1194" s="4">
        <f t="shared" si="560"/>
        <v>6.4997870406558542</v>
      </c>
      <c r="L1194" s="2">
        <v>0</v>
      </c>
      <c r="M1194" s="2">
        <v>1</v>
      </c>
      <c r="N1194" s="4">
        <f t="shared" si="561"/>
        <v>57.3</v>
      </c>
      <c r="O1194" s="4">
        <f t="shared" si="562"/>
        <v>1</v>
      </c>
      <c r="P1194" s="4">
        <f t="shared" si="563"/>
        <v>2</v>
      </c>
      <c r="Q1194" s="4">
        <f t="shared" si="564"/>
        <v>8.8536654280374503</v>
      </c>
      <c r="R1194" s="4">
        <f t="shared" si="565"/>
        <v>6.4997870406558542</v>
      </c>
      <c r="S1194" s="4">
        <f t="shared" si="566"/>
        <v>57.3</v>
      </c>
      <c r="T1194" s="4">
        <f t="shared" si="567"/>
        <v>1</v>
      </c>
      <c r="U1194" s="4">
        <f t="shared" si="568"/>
        <v>8.8536654280374503</v>
      </c>
      <c r="V1194" s="4">
        <f t="shared" si="569"/>
        <v>6.4997870406558542</v>
      </c>
      <c r="W1194" s="4">
        <f t="shared" si="570"/>
        <v>57.3</v>
      </c>
      <c r="X1194" s="4">
        <f t="shared" si="571"/>
        <v>2</v>
      </c>
      <c r="Y1194" s="4">
        <f t="shared" si="572"/>
        <v>8.8536654280374503</v>
      </c>
      <c r="Z1194" s="4">
        <f t="shared" si="573"/>
        <v>6.4997870406558542</v>
      </c>
      <c r="AA1194" s="4">
        <f t="shared" si="574"/>
        <v>57.3</v>
      </c>
      <c r="AB1194" s="4">
        <f t="shared" si="575"/>
        <v>0</v>
      </c>
      <c r="AC1194" s="4">
        <f t="shared" si="576"/>
        <v>1</v>
      </c>
      <c r="AD1194" s="4">
        <f t="shared" si="577"/>
        <v>8.8536654280374503</v>
      </c>
      <c r="AE1194" s="4">
        <f t="shared" si="578"/>
        <v>6.4997870406558542</v>
      </c>
      <c r="AF1194" s="4">
        <f t="shared" si="579"/>
        <v>57.3</v>
      </c>
      <c r="AG1194" s="4">
        <f t="shared" si="580"/>
        <v>8.8536654280374503</v>
      </c>
      <c r="AH1194" s="4">
        <f t="shared" si="581"/>
        <v>0</v>
      </c>
      <c r="AI1194" s="4">
        <f t="shared" si="582"/>
        <v>1</v>
      </c>
      <c r="AJ1194" s="4">
        <f t="shared" si="583"/>
        <v>8.8536654280374503</v>
      </c>
      <c r="AK1194" s="4">
        <f t="shared" si="584"/>
        <v>6.4997870406558542</v>
      </c>
      <c r="AL1194" s="4">
        <f t="shared" si="585"/>
        <v>1</v>
      </c>
      <c r="AM1194" s="4">
        <f>CER!$C$7+CER!$C$8*J1194+CER!$C$9*K1194+CER!$C$10*L1194+CER!$C$11*M1194</f>
        <v>4.5595685952652607</v>
      </c>
      <c r="AN1194" s="4">
        <f t="shared" si="586"/>
        <v>95.54225355754869</v>
      </c>
      <c r="AO1194" s="4">
        <f t="shared" si="587"/>
        <v>0.1158438147770795</v>
      </c>
      <c r="AP1194" s="4">
        <f>Alternatives!$F$25+Alternatives!$F$26*J1194+Alternatives!$F$27*K1194+Alternatives!$F$28*G1194+Alternatives!$F$29*O1194</f>
        <v>4.0907830389641013</v>
      </c>
      <c r="AQ1194" s="4">
        <f t="shared" si="588"/>
        <v>0.58462937107823887</v>
      </c>
    </row>
    <row r="1195" spans="1:43" x14ac:dyDescent="0.35">
      <c r="A1195" s="2" t="s">
        <v>1047</v>
      </c>
      <c r="B1195" s="2" t="s">
        <v>1031</v>
      </c>
      <c r="C1195" s="2" t="s">
        <v>34</v>
      </c>
      <c r="D1195" s="2">
        <v>106.51690000000001</v>
      </c>
      <c r="E1195" s="2">
        <v>7000</v>
      </c>
      <c r="F1195" s="2">
        <v>665</v>
      </c>
      <c r="G1195" s="2">
        <v>57.3</v>
      </c>
      <c r="H1195" s="2" t="s">
        <v>881</v>
      </c>
      <c r="I1195" s="4">
        <f t="shared" si="558"/>
        <v>4.6683036580062858</v>
      </c>
      <c r="J1195" s="4">
        <f t="shared" si="559"/>
        <v>8.8536654280374503</v>
      </c>
      <c r="K1195" s="4">
        <f t="shared" si="560"/>
        <v>6.4997870406558542</v>
      </c>
      <c r="L1195" s="2">
        <v>0</v>
      </c>
      <c r="M1195" s="2">
        <v>1</v>
      </c>
      <c r="N1195" s="4">
        <f t="shared" si="561"/>
        <v>57.3</v>
      </c>
      <c r="O1195" s="4">
        <f t="shared" si="562"/>
        <v>1</v>
      </c>
      <c r="P1195" s="4">
        <f t="shared" si="563"/>
        <v>2</v>
      </c>
      <c r="Q1195" s="4">
        <f t="shared" si="564"/>
        <v>8.8536654280374503</v>
      </c>
      <c r="R1195" s="4">
        <f t="shared" si="565"/>
        <v>6.4997870406558542</v>
      </c>
      <c r="S1195" s="4">
        <f t="shared" si="566"/>
        <v>57.3</v>
      </c>
      <c r="T1195" s="4">
        <f t="shared" si="567"/>
        <v>1</v>
      </c>
      <c r="U1195" s="4">
        <f t="shared" si="568"/>
        <v>8.8536654280374503</v>
      </c>
      <c r="V1195" s="4">
        <f t="shared" si="569"/>
        <v>6.4997870406558542</v>
      </c>
      <c r="W1195" s="4">
        <f t="shared" si="570"/>
        <v>57.3</v>
      </c>
      <c r="X1195" s="4">
        <f t="shared" si="571"/>
        <v>2</v>
      </c>
      <c r="Y1195" s="4">
        <f t="shared" si="572"/>
        <v>8.8536654280374503</v>
      </c>
      <c r="Z1195" s="4">
        <f t="shared" si="573"/>
        <v>6.4997870406558542</v>
      </c>
      <c r="AA1195" s="4">
        <f t="shared" si="574"/>
        <v>57.3</v>
      </c>
      <c r="AB1195" s="4">
        <f t="shared" si="575"/>
        <v>0</v>
      </c>
      <c r="AC1195" s="4">
        <f t="shared" si="576"/>
        <v>1</v>
      </c>
      <c r="AD1195" s="4">
        <f t="shared" si="577"/>
        <v>8.8536654280374503</v>
      </c>
      <c r="AE1195" s="4">
        <f t="shared" si="578"/>
        <v>6.4997870406558542</v>
      </c>
      <c r="AF1195" s="4">
        <f t="shared" si="579"/>
        <v>57.3</v>
      </c>
      <c r="AG1195" s="4">
        <f t="shared" si="580"/>
        <v>8.8536654280374503</v>
      </c>
      <c r="AH1195" s="4">
        <f t="shared" si="581"/>
        <v>0</v>
      </c>
      <c r="AI1195" s="4">
        <f t="shared" si="582"/>
        <v>1</v>
      </c>
      <c r="AJ1195" s="4">
        <f t="shared" si="583"/>
        <v>8.8536654280374503</v>
      </c>
      <c r="AK1195" s="4">
        <f t="shared" si="584"/>
        <v>6.4997870406558542</v>
      </c>
      <c r="AL1195" s="4">
        <f t="shared" si="585"/>
        <v>1</v>
      </c>
      <c r="AM1195" s="4">
        <f>CER!$C$7+CER!$C$8*J1195+CER!$C$9*K1195+CER!$C$10*L1195+CER!$C$11*M1195</f>
        <v>4.5595685952652607</v>
      </c>
      <c r="AN1195" s="4">
        <f t="shared" si="586"/>
        <v>95.54225355754869</v>
      </c>
      <c r="AO1195" s="4">
        <f t="shared" si="587"/>
        <v>0.10873506274102507</v>
      </c>
      <c r="AP1195" s="4">
        <f>Alternatives!$F$25+Alternatives!$F$26*J1195+Alternatives!$F$27*K1195+Alternatives!$F$28*G1195+Alternatives!$F$29*O1195</f>
        <v>4.0907830389641013</v>
      </c>
      <c r="AQ1195" s="4">
        <f t="shared" si="588"/>
        <v>0.57752061904218444</v>
      </c>
    </row>
    <row r="1196" spans="1:43" x14ac:dyDescent="0.35">
      <c r="A1196" s="2" t="s">
        <v>1048</v>
      </c>
      <c r="B1196" s="2" t="s">
        <v>1031</v>
      </c>
      <c r="C1196" s="2" t="s">
        <v>34</v>
      </c>
      <c r="D1196" s="2">
        <v>100.2478</v>
      </c>
      <c r="E1196" s="2">
        <v>7000</v>
      </c>
      <c r="F1196" s="2">
        <v>665</v>
      </c>
      <c r="G1196" s="2">
        <v>57.3</v>
      </c>
      <c r="H1196" s="2" t="s">
        <v>911</v>
      </c>
      <c r="I1196" s="4">
        <f t="shared" si="558"/>
        <v>4.6076451208087237</v>
      </c>
      <c r="J1196" s="4">
        <f t="shared" si="559"/>
        <v>8.8536654280374503</v>
      </c>
      <c r="K1196" s="4">
        <f t="shared" si="560"/>
        <v>6.4997870406558542</v>
      </c>
      <c r="L1196" s="2">
        <v>0</v>
      </c>
      <c r="M1196" s="2">
        <v>1</v>
      </c>
      <c r="N1196" s="4">
        <f t="shared" si="561"/>
        <v>57.3</v>
      </c>
      <c r="O1196" s="4">
        <f t="shared" si="562"/>
        <v>1</v>
      </c>
      <c r="P1196" s="4">
        <f t="shared" si="563"/>
        <v>2</v>
      </c>
      <c r="Q1196" s="4">
        <f t="shared" si="564"/>
        <v>8.8536654280374503</v>
      </c>
      <c r="R1196" s="4">
        <f t="shared" si="565"/>
        <v>6.4997870406558542</v>
      </c>
      <c r="S1196" s="4">
        <f t="shared" si="566"/>
        <v>57.3</v>
      </c>
      <c r="T1196" s="4">
        <f t="shared" si="567"/>
        <v>1</v>
      </c>
      <c r="U1196" s="4">
        <f t="shared" si="568"/>
        <v>8.8536654280374503</v>
      </c>
      <c r="V1196" s="4">
        <f t="shared" si="569"/>
        <v>6.4997870406558542</v>
      </c>
      <c r="W1196" s="4">
        <f t="shared" si="570"/>
        <v>57.3</v>
      </c>
      <c r="X1196" s="4">
        <f t="shared" si="571"/>
        <v>2</v>
      </c>
      <c r="Y1196" s="4">
        <f t="shared" si="572"/>
        <v>8.8536654280374503</v>
      </c>
      <c r="Z1196" s="4">
        <f t="shared" si="573"/>
        <v>6.4997870406558542</v>
      </c>
      <c r="AA1196" s="4">
        <f t="shared" si="574"/>
        <v>57.3</v>
      </c>
      <c r="AB1196" s="4">
        <f t="shared" si="575"/>
        <v>0</v>
      </c>
      <c r="AC1196" s="4">
        <f t="shared" si="576"/>
        <v>1</v>
      </c>
      <c r="AD1196" s="4">
        <f t="shared" si="577"/>
        <v>8.8536654280374503</v>
      </c>
      <c r="AE1196" s="4">
        <f t="shared" si="578"/>
        <v>6.4997870406558542</v>
      </c>
      <c r="AF1196" s="4">
        <f t="shared" si="579"/>
        <v>57.3</v>
      </c>
      <c r="AG1196" s="4">
        <f t="shared" si="580"/>
        <v>8.8536654280374503</v>
      </c>
      <c r="AH1196" s="4">
        <f t="shared" si="581"/>
        <v>0</v>
      </c>
      <c r="AI1196" s="4">
        <f t="shared" si="582"/>
        <v>1</v>
      </c>
      <c r="AJ1196" s="4">
        <f t="shared" si="583"/>
        <v>8.8536654280374503</v>
      </c>
      <c r="AK1196" s="4">
        <f t="shared" si="584"/>
        <v>6.4997870406558542</v>
      </c>
      <c r="AL1196" s="4">
        <f t="shared" si="585"/>
        <v>1</v>
      </c>
      <c r="AM1196" s="4">
        <f>CER!$C$7+CER!$C$8*J1196+CER!$C$9*K1196+CER!$C$10*L1196+CER!$C$11*M1196</f>
        <v>4.5595685952652607</v>
      </c>
      <c r="AN1196" s="4">
        <f t="shared" si="586"/>
        <v>95.54225355754869</v>
      </c>
      <c r="AO1196" s="4">
        <f t="shared" si="587"/>
        <v>4.8076525543462978E-2</v>
      </c>
      <c r="AP1196" s="4">
        <f>Alternatives!$F$25+Alternatives!$F$26*J1196+Alternatives!$F$27*K1196+Alternatives!$F$28*G1196+Alternatives!$F$29*O1196</f>
        <v>4.0907830389641013</v>
      </c>
      <c r="AQ1196" s="4">
        <f t="shared" si="588"/>
        <v>0.51686208184462235</v>
      </c>
    </row>
    <row r="1197" spans="1:43" x14ac:dyDescent="0.35">
      <c r="A1197" s="2" t="s">
        <v>1049</v>
      </c>
      <c r="B1197" s="2" t="s">
        <v>1031</v>
      </c>
      <c r="C1197" s="2" t="s">
        <v>34</v>
      </c>
      <c r="D1197" s="2">
        <v>93.232299999999995</v>
      </c>
      <c r="E1197" s="2">
        <v>7500</v>
      </c>
      <c r="F1197" s="2">
        <v>665</v>
      </c>
      <c r="G1197" s="2">
        <v>57.3</v>
      </c>
      <c r="H1197" s="2" t="s">
        <v>881</v>
      </c>
      <c r="I1197" s="4">
        <f t="shared" si="558"/>
        <v>4.5350942281748443</v>
      </c>
      <c r="J1197" s="4">
        <f t="shared" si="559"/>
        <v>8.9226582995244019</v>
      </c>
      <c r="K1197" s="4">
        <f t="shared" si="560"/>
        <v>6.4997870406558542</v>
      </c>
      <c r="L1197" s="2">
        <v>0</v>
      </c>
      <c r="M1197" s="2">
        <v>1</v>
      </c>
      <c r="N1197" s="4">
        <f t="shared" si="561"/>
        <v>57.3</v>
      </c>
      <c r="O1197" s="4">
        <f t="shared" si="562"/>
        <v>1</v>
      </c>
      <c r="P1197" s="4">
        <f t="shared" si="563"/>
        <v>2</v>
      </c>
      <c r="Q1197" s="4">
        <f t="shared" si="564"/>
        <v>8.9226582995244019</v>
      </c>
      <c r="R1197" s="4">
        <f t="shared" si="565"/>
        <v>6.4997870406558542</v>
      </c>
      <c r="S1197" s="4">
        <f t="shared" si="566"/>
        <v>57.3</v>
      </c>
      <c r="T1197" s="4">
        <f t="shared" si="567"/>
        <v>1</v>
      </c>
      <c r="U1197" s="4">
        <f t="shared" si="568"/>
        <v>8.9226582995244019</v>
      </c>
      <c r="V1197" s="4">
        <f t="shared" si="569"/>
        <v>6.4997870406558542</v>
      </c>
      <c r="W1197" s="4">
        <f t="shared" si="570"/>
        <v>57.3</v>
      </c>
      <c r="X1197" s="4">
        <f t="shared" si="571"/>
        <v>2</v>
      </c>
      <c r="Y1197" s="4">
        <f t="shared" si="572"/>
        <v>8.9226582995244019</v>
      </c>
      <c r="Z1197" s="4">
        <f t="shared" si="573"/>
        <v>6.4997870406558542</v>
      </c>
      <c r="AA1197" s="4">
        <f t="shared" si="574"/>
        <v>57.3</v>
      </c>
      <c r="AB1197" s="4">
        <f t="shared" si="575"/>
        <v>0</v>
      </c>
      <c r="AC1197" s="4">
        <f t="shared" si="576"/>
        <v>1</v>
      </c>
      <c r="AD1197" s="4">
        <f t="shared" si="577"/>
        <v>8.9226582995244019</v>
      </c>
      <c r="AE1197" s="4">
        <f t="shared" si="578"/>
        <v>6.4997870406558542</v>
      </c>
      <c r="AF1197" s="4">
        <f t="shared" si="579"/>
        <v>57.3</v>
      </c>
      <c r="AG1197" s="4">
        <f t="shared" si="580"/>
        <v>8.9226582995244019</v>
      </c>
      <c r="AH1197" s="4">
        <f t="shared" si="581"/>
        <v>0</v>
      </c>
      <c r="AI1197" s="4">
        <f t="shared" si="582"/>
        <v>1</v>
      </c>
      <c r="AJ1197" s="4">
        <f t="shared" si="583"/>
        <v>8.9226582995244019</v>
      </c>
      <c r="AK1197" s="4">
        <f t="shared" si="584"/>
        <v>6.4997870406558542</v>
      </c>
      <c r="AL1197" s="4">
        <f t="shared" si="585"/>
        <v>1</v>
      </c>
      <c r="AM1197" s="4">
        <f>CER!$C$7+CER!$C$8*J1197+CER!$C$9*K1197+CER!$C$10*L1197+CER!$C$11*M1197</f>
        <v>4.5283348931539802</v>
      </c>
      <c r="AN1197" s="4">
        <f t="shared" si="586"/>
        <v>92.604236685987615</v>
      </c>
      <c r="AO1197" s="4">
        <f t="shared" si="587"/>
        <v>6.7593350208641212E-3</v>
      </c>
      <c r="AP1197" s="4">
        <f>Alternatives!$F$25+Alternatives!$F$26*J1197+Alternatives!$F$27*K1197+Alternatives!$F$28*G1197+Alternatives!$F$29*O1197</f>
        <v>4.1163163332898751</v>
      </c>
      <c r="AQ1197" s="4">
        <f t="shared" si="588"/>
        <v>0.41877789488496919</v>
      </c>
    </row>
    <row r="1198" spans="1:43" x14ac:dyDescent="0.35">
      <c r="A1198" s="2" t="s">
        <v>1050</v>
      </c>
      <c r="B1198" s="2" t="s">
        <v>1031</v>
      </c>
      <c r="C1198" s="2" t="s">
        <v>34</v>
      </c>
      <c r="D1198" s="2">
        <v>109.9173</v>
      </c>
      <c r="E1198" s="2">
        <v>7000</v>
      </c>
      <c r="F1198" s="2">
        <v>665</v>
      </c>
      <c r="G1198" s="2">
        <v>57.3</v>
      </c>
      <c r="H1198" s="2" t="s">
        <v>911</v>
      </c>
      <c r="I1198" s="4">
        <f t="shared" si="558"/>
        <v>4.6997282648535785</v>
      </c>
      <c r="J1198" s="4">
        <f t="shared" si="559"/>
        <v>8.8536654280374503</v>
      </c>
      <c r="K1198" s="4">
        <f t="shared" si="560"/>
        <v>6.4997870406558542</v>
      </c>
      <c r="L1198" s="2">
        <v>0</v>
      </c>
      <c r="M1198" s="2">
        <v>1</v>
      </c>
      <c r="N1198" s="4">
        <f t="shared" si="561"/>
        <v>57.3</v>
      </c>
      <c r="O1198" s="4">
        <f t="shared" si="562"/>
        <v>1</v>
      </c>
      <c r="P1198" s="4">
        <f t="shared" si="563"/>
        <v>2</v>
      </c>
      <c r="Q1198" s="4">
        <f t="shared" si="564"/>
        <v>8.8536654280374503</v>
      </c>
      <c r="R1198" s="4">
        <f t="shared" si="565"/>
        <v>6.4997870406558542</v>
      </c>
      <c r="S1198" s="4">
        <f t="shared" si="566"/>
        <v>57.3</v>
      </c>
      <c r="T1198" s="4">
        <f t="shared" si="567"/>
        <v>1</v>
      </c>
      <c r="U1198" s="4">
        <f t="shared" si="568"/>
        <v>8.8536654280374503</v>
      </c>
      <c r="V1198" s="4">
        <f t="shared" si="569"/>
        <v>6.4997870406558542</v>
      </c>
      <c r="W1198" s="4">
        <f t="shared" si="570"/>
        <v>57.3</v>
      </c>
      <c r="X1198" s="4">
        <f t="shared" si="571"/>
        <v>2</v>
      </c>
      <c r="Y1198" s="4">
        <f t="shared" si="572"/>
        <v>8.8536654280374503</v>
      </c>
      <c r="Z1198" s="4">
        <f t="shared" si="573"/>
        <v>6.4997870406558542</v>
      </c>
      <c r="AA1198" s="4">
        <f t="shared" si="574"/>
        <v>57.3</v>
      </c>
      <c r="AB1198" s="4">
        <f t="shared" si="575"/>
        <v>0</v>
      </c>
      <c r="AC1198" s="4">
        <f t="shared" si="576"/>
        <v>1</v>
      </c>
      <c r="AD1198" s="4">
        <f t="shared" si="577"/>
        <v>8.8536654280374503</v>
      </c>
      <c r="AE1198" s="4">
        <f t="shared" si="578"/>
        <v>6.4997870406558542</v>
      </c>
      <c r="AF1198" s="4">
        <f t="shared" si="579"/>
        <v>57.3</v>
      </c>
      <c r="AG1198" s="4">
        <f t="shared" si="580"/>
        <v>8.8536654280374503</v>
      </c>
      <c r="AH1198" s="4">
        <f t="shared" si="581"/>
        <v>0</v>
      </c>
      <c r="AI1198" s="4">
        <f t="shared" si="582"/>
        <v>1</v>
      </c>
      <c r="AJ1198" s="4">
        <f t="shared" si="583"/>
        <v>8.8536654280374503</v>
      </c>
      <c r="AK1198" s="4">
        <f t="shared" si="584"/>
        <v>6.4997870406558542</v>
      </c>
      <c r="AL1198" s="4">
        <f t="shared" si="585"/>
        <v>1</v>
      </c>
      <c r="AM1198" s="4">
        <f>CER!$C$7+CER!$C$8*J1198+CER!$C$9*K1198+CER!$C$10*L1198+CER!$C$11*M1198</f>
        <v>4.5595685952652607</v>
      </c>
      <c r="AN1198" s="4">
        <f t="shared" si="586"/>
        <v>95.54225355754869</v>
      </c>
      <c r="AO1198" s="4">
        <f t="shared" si="587"/>
        <v>0.14015966958831783</v>
      </c>
      <c r="AP1198" s="4">
        <f>Alternatives!$F$25+Alternatives!$F$26*J1198+Alternatives!$F$27*K1198+Alternatives!$F$28*G1198+Alternatives!$F$29*O1198</f>
        <v>4.0907830389641013</v>
      </c>
      <c r="AQ1198" s="4">
        <f t="shared" si="588"/>
        <v>0.60894522588947719</v>
      </c>
    </row>
    <row r="1199" spans="1:43" x14ac:dyDescent="0.35">
      <c r="A1199" s="2" t="s">
        <v>1051</v>
      </c>
      <c r="B1199" s="2" t="s">
        <v>1031</v>
      </c>
      <c r="C1199" s="2" t="s">
        <v>34</v>
      </c>
      <c r="D1199" s="2">
        <v>103.0073</v>
      </c>
      <c r="E1199" s="2">
        <v>7000</v>
      </c>
      <c r="F1199" s="2">
        <v>665</v>
      </c>
      <c r="G1199" s="2">
        <v>57.3</v>
      </c>
      <c r="H1199" s="2" t="s">
        <v>911</v>
      </c>
      <c r="I1199" s="4">
        <f t="shared" si="558"/>
        <v>4.6347998595046151</v>
      </c>
      <c r="J1199" s="4">
        <f t="shared" si="559"/>
        <v>8.8536654280374503</v>
      </c>
      <c r="K1199" s="4">
        <f t="shared" si="560"/>
        <v>6.4997870406558542</v>
      </c>
      <c r="L1199" s="2">
        <v>0</v>
      </c>
      <c r="M1199" s="2">
        <v>1</v>
      </c>
      <c r="N1199" s="4">
        <f t="shared" si="561"/>
        <v>57.3</v>
      </c>
      <c r="O1199" s="4">
        <f t="shared" si="562"/>
        <v>1</v>
      </c>
      <c r="P1199" s="4">
        <f t="shared" si="563"/>
        <v>2</v>
      </c>
      <c r="Q1199" s="4">
        <f t="shared" si="564"/>
        <v>8.8536654280374503</v>
      </c>
      <c r="R1199" s="4">
        <f t="shared" si="565"/>
        <v>6.4997870406558542</v>
      </c>
      <c r="S1199" s="4">
        <f t="shared" si="566"/>
        <v>57.3</v>
      </c>
      <c r="T1199" s="4">
        <f t="shared" si="567"/>
        <v>1</v>
      </c>
      <c r="U1199" s="4">
        <f t="shared" si="568"/>
        <v>8.8536654280374503</v>
      </c>
      <c r="V1199" s="4">
        <f t="shared" si="569"/>
        <v>6.4997870406558542</v>
      </c>
      <c r="W1199" s="4">
        <f t="shared" si="570"/>
        <v>57.3</v>
      </c>
      <c r="X1199" s="4">
        <f t="shared" si="571"/>
        <v>2</v>
      </c>
      <c r="Y1199" s="4">
        <f t="shared" si="572"/>
        <v>8.8536654280374503</v>
      </c>
      <c r="Z1199" s="4">
        <f t="shared" si="573"/>
        <v>6.4997870406558542</v>
      </c>
      <c r="AA1199" s="4">
        <f t="shared" si="574"/>
        <v>57.3</v>
      </c>
      <c r="AB1199" s="4">
        <f t="shared" si="575"/>
        <v>0</v>
      </c>
      <c r="AC1199" s="4">
        <f t="shared" si="576"/>
        <v>1</v>
      </c>
      <c r="AD1199" s="4">
        <f t="shared" si="577"/>
        <v>8.8536654280374503</v>
      </c>
      <c r="AE1199" s="4">
        <f t="shared" si="578"/>
        <v>6.4997870406558542</v>
      </c>
      <c r="AF1199" s="4">
        <f t="shared" si="579"/>
        <v>57.3</v>
      </c>
      <c r="AG1199" s="4">
        <f t="shared" si="580"/>
        <v>8.8536654280374503</v>
      </c>
      <c r="AH1199" s="4">
        <f t="shared" si="581"/>
        <v>0</v>
      </c>
      <c r="AI1199" s="4">
        <f t="shared" si="582"/>
        <v>1</v>
      </c>
      <c r="AJ1199" s="4">
        <f t="shared" si="583"/>
        <v>8.8536654280374503</v>
      </c>
      <c r="AK1199" s="4">
        <f t="shared" si="584"/>
        <v>6.4997870406558542</v>
      </c>
      <c r="AL1199" s="4">
        <f t="shared" si="585"/>
        <v>1</v>
      </c>
      <c r="AM1199" s="4">
        <f>CER!$C$7+CER!$C$8*J1199+CER!$C$9*K1199+CER!$C$10*L1199+CER!$C$11*M1199</f>
        <v>4.5595685952652607</v>
      </c>
      <c r="AN1199" s="4">
        <f t="shared" si="586"/>
        <v>95.54225355754869</v>
      </c>
      <c r="AO1199" s="4">
        <f t="shared" si="587"/>
        <v>7.5231264239354445E-2</v>
      </c>
      <c r="AP1199" s="4">
        <f>Alternatives!$F$25+Alternatives!$F$26*J1199+Alternatives!$F$27*K1199+Alternatives!$F$28*G1199+Alternatives!$F$29*O1199</f>
        <v>4.0907830389641013</v>
      </c>
      <c r="AQ1199" s="4">
        <f t="shared" si="588"/>
        <v>0.54401682054051381</v>
      </c>
    </row>
    <row r="1200" spans="1:43" x14ac:dyDescent="0.35">
      <c r="A1200" s="2" t="s">
        <v>1052</v>
      </c>
      <c r="B1200" s="2" t="s">
        <v>1031</v>
      </c>
      <c r="C1200" s="2" t="s">
        <v>34</v>
      </c>
      <c r="D1200" s="2">
        <v>93.232299999999995</v>
      </c>
      <c r="E1200" s="2">
        <v>7500</v>
      </c>
      <c r="F1200" s="2">
        <v>665</v>
      </c>
      <c r="G1200" s="2">
        <v>57.3</v>
      </c>
      <c r="H1200" s="2" t="s">
        <v>911</v>
      </c>
      <c r="I1200" s="4">
        <f t="shared" si="558"/>
        <v>4.5350942281748443</v>
      </c>
      <c r="J1200" s="4">
        <f t="shared" si="559"/>
        <v>8.9226582995244019</v>
      </c>
      <c r="K1200" s="4">
        <f t="shared" si="560"/>
        <v>6.4997870406558542</v>
      </c>
      <c r="L1200" s="2">
        <v>0</v>
      </c>
      <c r="M1200" s="2">
        <v>1</v>
      </c>
      <c r="N1200" s="4">
        <f t="shared" si="561"/>
        <v>57.3</v>
      </c>
      <c r="O1200" s="4">
        <f t="shared" si="562"/>
        <v>1</v>
      </c>
      <c r="P1200" s="4">
        <f t="shared" si="563"/>
        <v>2</v>
      </c>
      <c r="Q1200" s="4">
        <f t="shared" si="564"/>
        <v>8.9226582995244019</v>
      </c>
      <c r="R1200" s="4">
        <f t="shared" si="565"/>
        <v>6.4997870406558542</v>
      </c>
      <c r="S1200" s="4">
        <f t="shared" si="566"/>
        <v>57.3</v>
      </c>
      <c r="T1200" s="4">
        <f t="shared" si="567"/>
        <v>1</v>
      </c>
      <c r="U1200" s="4">
        <f t="shared" si="568"/>
        <v>8.9226582995244019</v>
      </c>
      <c r="V1200" s="4">
        <f t="shared" si="569"/>
        <v>6.4997870406558542</v>
      </c>
      <c r="W1200" s="4">
        <f t="shared" si="570"/>
        <v>57.3</v>
      </c>
      <c r="X1200" s="4">
        <f t="shared" si="571"/>
        <v>2</v>
      </c>
      <c r="Y1200" s="4">
        <f t="shared" si="572"/>
        <v>8.9226582995244019</v>
      </c>
      <c r="Z1200" s="4">
        <f t="shared" si="573"/>
        <v>6.4997870406558542</v>
      </c>
      <c r="AA1200" s="4">
        <f t="shared" si="574"/>
        <v>57.3</v>
      </c>
      <c r="AB1200" s="4">
        <f t="shared" si="575"/>
        <v>0</v>
      </c>
      <c r="AC1200" s="4">
        <f t="shared" si="576"/>
        <v>1</v>
      </c>
      <c r="AD1200" s="4">
        <f t="shared" si="577"/>
        <v>8.9226582995244019</v>
      </c>
      <c r="AE1200" s="4">
        <f t="shared" si="578"/>
        <v>6.4997870406558542</v>
      </c>
      <c r="AF1200" s="4">
        <f t="shared" si="579"/>
        <v>57.3</v>
      </c>
      <c r="AG1200" s="4">
        <f t="shared" si="580"/>
        <v>8.9226582995244019</v>
      </c>
      <c r="AH1200" s="4">
        <f t="shared" si="581"/>
        <v>0</v>
      </c>
      <c r="AI1200" s="4">
        <f t="shared" si="582"/>
        <v>1</v>
      </c>
      <c r="AJ1200" s="4">
        <f t="shared" si="583"/>
        <v>8.9226582995244019</v>
      </c>
      <c r="AK1200" s="4">
        <f t="shared" si="584"/>
        <v>6.4997870406558542</v>
      </c>
      <c r="AL1200" s="4">
        <f t="shared" si="585"/>
        <v>1</v>
      </c>
      <c r="AM1200" s="4">
        <f>CER!$C$7+CER!$C$8*J1200+CER!$C$9*K1200+CER!$C$10*L1200+CER!$C$11*M1200</f>
        <v>4.5283348931539802</v>
      </c>
      <c r="AN1200" s="4">
        <f t="shared" si="586"/>
        <v>92.604236685987615</v>
      </c>
      <c r="AO1200" s="4">
        <f t="shared" si="587"/>
        <v>6.7593350208641212E-3</v>
      </c>
      <c r="AP1200" s="4">
        <f>Alternatives!$F$25+Alternatives!$F$26*J1200+Alternatives!$F$27*K1200+Alternatives!$F$28*G1200+Alternatives!$F$29*O1200</f>
        <v>4.1163163332898751</v>
      </c>
      <c r="AQ1200" s="4">
        <f t="shared" si="588"/>
        <v>0.41877789488496919</v>
      </c>
    </row>
    <row r="1201" spans="1:43" x14ac:dyDescent="0.35">
      <c r="A1201" s="2" t="s">
        <v>1053</v>
      </c>
      <c r="B1201" s="2" t="s">
        <v>1031</v>
      </c>
      <c r="C1201" s="2" t="s">
        <v>34</v>
      </c>
      <c r="D1201" s="2">
        <v>109.9173</v>
      </c>
      <c r="E1201" s="2">
        <v>7000</v>
      </c>
      <c r="F1201" s="2">
        <v>665</v>
      </c>
      <c r="G1201" s="2">
        <v>57.3</v>
      </c>
      <c r="H1201" s="2" t="s">
        <v>881</v>
      </c>
      <c r="I1201" s="4">
        <f t="shared" si="558"/>
        <v>4.6997282648535785</v>
      </c>
      <c r="J1201" s="4">
        <f t="shared" si="559"/>
        <v>8.8536654280374503</v>
      </c>
      <c r="K1201" s="4">
        <f t="shared" si="560"/>
        <v>6.4997870406558542</v>
      </c>
      <c r="L1201" s="2">
        <v>0</v>
      </c>
      <c r="M1201" s="2">
        <v>1</v>
      </c>
      <c r="N1201" s="4">
        <f t="shared" si="561"/>
        <v>57.3</v>
      </c>
      <c r="O1201" s="4">
        <f t="shared" si="562"/>
        <v>1</v>
      </c>
      <c r="P1201" s="4">
        <f t="shared" si="563"/>
        <v>2</v>
      </c>
      <c r="Q1201" s="4">
        <f t="shared" si="564"/>
        <v>8.8536654280374503</v>
      </c>
      <c r="R1201" s="4">
        <f t="shared" si="565"/>
        <v>6.4997870406558542</v>
      </c>
      <c r="S1201" s="4">
        <f t="shared" si="566"/>
        <v>57.3</v>
      </c>
      <c r="T1201" s="4">
        <f t="shared" si="567"/>
        <v>1</v>
      </c>
      <c r="U1201" s="4">
        <f t="shared" si="568"/>
        <v>8.8536654280374503</v>
      </c>
      <c r="V1201" s="4">
        <f t="shared" si="569"/>
        <v>6.4997870406558542</v>
      </c>
      <c r="W1201" s="4">
        <f t="shared" si="570"/>
        <v>57.3</v>
      </c>
      <c r="X1201" s="4">
        <f t="shared" si="571"/>
        <v>2</v>
      </c>
      <c r="Y1201" s="4">
        <f t="shared" si="572"/>
        <v>8.8536654280374503</v>
      </c>
      <c r="Z1201" s="4">
        <f t="shared" si="573"/>
        <v>6.4997870406558542</v>
      </c>
      <c r="AA1201" s="4">
        <f t="shared" si="574"/>
        <v>57.3</v>
      </c>
      <c r="AB1201" s="4">
        <f t="shared" si="575"/>
        <v>0</v>
      </c>
      <c r="AC1201" s="4">
        <f t="shared" si="576"/>
        <v>1</v>
      </c>
      <c r="AD1201" s="4">
        <f t="shared" si="577"/>
        <v>8.8536654280374503</v>
      </c>
      <c r="AE1201" s="4">
        <f t="shared" si="578"/>
        <v>6.4997870406558542</v>
      </c>
      <c r="AF1201" s="4">
        <f t="shared" si="579"/>
        <v>57.3</v>
      </c>
      <c r="AG1201" s="4">
        <f t="shared" si="580"/>
        <v>8.8536654280374503</v>
      </c>
      <c r="AH1201" s="4">
        <f t="shared" si="581"/>
        <v>0</v>
      </c>
      <c r="AI1201" s="4">
        <f t="shared" si="582"/>
        <v>1</v>
      </c>
      <c r="AJ1201" s="4">
        <f t="shared" si="583"/>
        <v>8.8536654280374503</v>
      </c>
      <c r="AK1201" s="4">
        <f t="shared" si="584"/>
        <v>6.4997870406558542</v>
      </c>
      <c r="AL1201" s="4">
        <f t="shared" si="585"/>
        <v>1</v>
      </c>
      <c r="AM1201" s="4">
        <f>CER!$C$7+CER!$C$8*J1201+CER!$C$9*K1201+CER!$C$10*L1201+CER!$C$11*M1201</f>
        <v>4.5595685952652607</v>
      </c>
      <c r="AN1201" s="4">
        <f t="shared" si="586"/>
        <v>95.54225355754869</v>
      </c>
      <c r="AO1201" s="4">
        <f t="shared" si="587"/>
        <v>0.14015966958831783</v>
      </c>
      <c r="AP1201" s="4">
        <f>Alternatives!$F$25+Alternatives!$F$26*J1201+Alternatives!$F$27*K1201+Alternatives!$F$28*G1201+Alternatives!$F$29*O1201</f>
        <v>4.0907830389641013</v>
      </c>
      <c r="AQ1201" s="4">
        <f t="shared" si="588"/>
        <v>0.60894522588947719</v>
      </c>
    </row>
    <row r="1202" spans="1:43" x14ac:dyDescent="0.35">
      <c r="A1202" s="2" t="s">
        <v>1054</v>
      </c>
      <c r="B1202" s="2" t="s">
        <v>1031</v>
      </c>
      <c r="C1202" s="2" t="s">
        <v>34</v>
      </c>
      <c r="D1202" s="2">
        <v>103.0073</v>
      </c>
      <c r="E1202" s="2">
        <v>7000</v>
      </c>
      <c r="F1202" s="2">
        <v>665</v>
      </c>
      <c r="G1202" s="2">
        <v>57.3</v>
      </c>
      <c r="H1202" s="2" t="s">
        <v>911</v>
      </c>
      <c r="I1202" s="4">
        <f t="shared" si="558"/>
        <v>4.6347998595046151</v>
      </c>
      <c r="J1202" s="4">
        <f t="shared" si="559"/>
        <v>8.8536654280374503</v>
      </c>
      <c r="K1202" s="4">
        <f t="shared" si="560"/>
        <v>6.4997870406558542</v>
      </c>
      <c r="L1202" s="2">
        <v>0</v>
      </c>
      <c r="M1202" s="2">
        <v>1</v>
      </c>
      <c r="N1202" s="4">
        <f t="shared" si="561"/>
        <v>57.3</v>
      </c>
      <c r="O1202" s="4">
        <f t="shared" si="562"/>
        <v>1</v>
      </c>
      <c r="P1202" s="4">
        <f t="shared" si="563"/>
        <v>2</v>
      </c>
      <c r="Q1202" s="4">
        <f t="shared" si="564"/>
        <v>8.8536654280374503</v>
      </c>
      <c r="R1202" s="4">
        <f t="shared" si="565"/>
        <v>6.4997870406558542</v>
      </c>
      <c r="S1202" s="4">
        <f t="shared" si="566"/>
        <v>57.3</v>
      </c>
      <c r="T1202" s="4">
        <f t="shared" si="567"/>
        <v>1</v>
      </c>
      <c r="U1202" s="4">
        <f t="shared" si="568"/>
        <v>8.8536654280374503</v>
      </c>
      <c r="V1202" s="4">
        <f t="shared" si="569"/>
        <v>6.4997870406558542</v>
      </c>
      <c r="W1202" s="4">
        <f t="shared" si="570"/>
        <v>57.3</v>
      </c>
      <c r="X1202" s="4">
        <f t="shared" si="571"/>
        <v>2</v>
      </c>
      <c r="Y1202" s="4">
        <f t="shared" si="572"/>
        <v>8.8536654280374503</v>
      </c>
      <c r="Z1202" s="4">
        <f t="shared" si="573"/>
        <v>6.4997870406558542</v>
      </c>
      <c r="AA1202" s="4">
        <f t="shared" si="574"/>
        <v>57.3</v>
      </c>
      <c r="AB1202" s="4">
        <f t="shared" si="575"/>
        <v>0</v>
      </c>
      <c r="AC1202" s="4">
        <f t="shared" si="576"/>
        <v>1</v>
      </c>
      <c r="AD1202" s="4">
        <f t="shared" si="577"/>
        <v>8.8536654280374503</v>
      </c>
      <c r="AE1202" s="4">
        <f t="shared" si="578"/>
        <v>6.4997870406558542</v>
      </c>
      <c r="AF1202" s="4">
        <f t="shared" si="579"/>
        <v>57.3</v>
      </c>
      <c r="AG1202" s="4">
        <f t="shared" si="580"/>
        <v>8.8536654280374503</v>
      </c>
      <c r="AH1202" s="4">
        <f t="shared" si="581"/>
        <v>0</v>
      </c>
      <c r="AI1202" s="4">
        <f t="shared" si="582"/>
        <v>1</v>
      </c>
      <c r="AJ1202" s="4">
        <f t="shared" si="583"/>
        <v>8.8536654280374503</v>
      </c>
      <c r="AK1202" s="4">
        <f t="shared" si="584"/>
        <v>6.4997870406558542</v>
      </c>
      <c r="AL1202" s="4">
        <f t="shared" si="585"/>
        <v>1</v>
      </c>
      <c r="AM1202" s="4">
        <f>CER!$C$7+CER!$C$8*J1202+CER!$C$9*K1202+CER!$C$10*L1202+CER!$C$11*M1202</f>
        <v>4.5595685952652607</v>
      </c>
      <c r="AN1202" s="4">
        <f t="shared" si="586"/>
        <v>95.54225355754869</v>
      </c>
      <c r="AO1202" s="4">
        <f t="shared" si="587"/>
        <v>7.5231264239354445E-2</v>
      </c>
      <c r="AP1202" s="4">
        <f>Alternatives!$F$25+Alternatives!$F$26*J1202+Alternatives!$F$27*K1202+Alternatives!$F$28*G1202+Alternatives!$F$29*O1202</f>
        <v>4.0907830389641013</v>
      </c>
      <c r="AQ1202" s="4">
        <f t="shared" si="588"/>
        <v>0.54401682054051381</v>
      </c>
    </row>
    <row r="1203" spans="1:43" x14ac:dyDescent="0.35">
      <c r="A1203" s="2" t="s">
        <v>1055</v>
      </c>
      <c r="B1203" s="2" t="s">
        <v>1031</v>
      </c>
      <c r="C1203" s="2" t="s">
        <v>34</v>
      </c>
      <c r="D1203" s="2">
        <v>88.433700000000002</v>
      </c>
      <c r="E1203" s="2">
        <v>7000</v>
      </c>
      <c r="F1203" s="2">
        <v>872</v>
      </c>
      <c r="G1203" s="2">
        <v>64.2</v>
      </c>
      <c r="H1203" s="2" t="s">
        <v>911</v>
      </c>
      <c r="I1203" s="4">
        <f t="shared" si="558"/>
        <v>4.4822531187165175</v>
      </c>
      <c r="J1203" s="4">
        <f t="shared" si="559"/>
        <v>8.8536654280374503</v>
      </c>
      <c r="K1203" s="4">
        <f t="shared" si="560"/>
        <v>6.7707894239089796</v>
      </c>
      <c r="L1203" s="2">
        <v>0</v>
      </c>
      <c r="M1203" s="2">
        <v>1</v>
      </c>
      <c r="N1203" s="4">
        <f t="shared" si="561"/>
        <v>64.2</v>
      </c>
      <c r="O1203" s="4">
        <f t="shared" si="562"/>
        <v>1</v>
      </c>
      <c r="P1203" s="4">
        <f t="shared" si="563"/>
        <v>2</v>
      </c>
      <c r="Q1203" s="4">
        <f t="shared" si="564"/>
        <v>8.8536654280374503</v>
      </c>
      <c r="R1203" s="4">
        <f t="shared" si="565"/>
        <v>6.7707894239089796</v>
      </c>
      <c r="S1203" s="4">
        <f t="shared" si="566"/>
        <v>64.2</v>
      </c>
      <c r="T1203" s="4">
        <f t="shared" si="567"/>
        <v>1</v>
      </c>
      <c r="U1203" s="4">
        <f t="shared" si="568"/>
        <v>8.8536654280374503</v>
      </c>
      <c r="V1203" s="4">
        <f t="shared" si="569"/>
        <v>6.7707894239089796</v>
      </c>
      <c r="W1203" s="4">
        <f t="shared" si="570"/>
        <v>64.2</v>
      </c>
      <c r="X1203" s="4">
        <f t="shared" si="571"/>
        <v>2</v>
      </c>
      <c r="Y1203" s="4">
        <f t="shared" si="572"/>
        <v>8.8536654280374503</v>
      </c>
      <c r="Z1203" s="4">
        <f t="shared" si="573"/>
        <v>6.7707894239089796</v>
      </c>
      <c r="AA1203" s="4">
        <f t="shared" si="574"/>
        <v>64.2</v>
      </c>
      <c r="AB1203" s="4">
        <f t="shared" si="575"/>
        <v>0</v>
      </c>
      <c r="AC1203" s="4">
        <f t="shared" si="576"/>
        <v>1</v>
      </c>
      <c r="AD1203" s="4">
        <f t="shared" si="577"/>
        <v>8.8536654280374503</v>
      </c>
      <c r="AE1203" s="4">
        <f t="shared" si="578"/>
        <v>6.7707894239089796</v>
      </c>
      <c r="AF1203" s="4">
        <f t="shared" si="579"/>
        <v>64.2</v>
      </c>
      <c r="AG1203" s="4">
        <f t="shared" si="580"/>
        <v>8.8536654280374503</v>
      </c>
      <c r="AH1203" s="4">
        <f t="shared" si="581"/>
        <v>0</v>
      </c>
      <c r="AI1203" s="4">
        <f t="shared" si="582"/>
        <v>1</v>
      </c>
      <c r="AJ1203" s="4">
        <f t="shared" si="583"/>
        <v>8.8536654280374503</v>
      </c>
      <c r="AK1203" s="4">
        <f t="shared" si="584"/>
        <v>6.7707894239089796</v>
      </c>
      <c r="AL1203" s="4">
        <f t="shared" si="585"/>
        <v>1</v>
      </c>
      <c r="AM1203" s="4">
        <f>CER!$C$7+CER!$C$8*J1203+CER!$C$9*K1203+CER!$C$10*L1203+CER!$C$11*M1203</f>
        <v>4.4595839695209376</v>
      </c>
      <c r="AN1203" s="4">
        <f t="shared" si="586"/>
        <v>86.451535140137111</v>
      </c>
      <c r="AO1203" s="4">
        <f t="shared" si="587"/>
        <v>2.2669149195579941E-2</v>
      </c>
      <c r="AP1203" s="4">
        <f>Alternatives!$F$25+Alternatives!$F$26*J1203+Alternatives!$F$27*K1203+Alternatives!$F$28*G1203+Alternatives!$F$29*O1203</f>
        <v>3.9289161331117728</v>
      </c>
      <c r="AQ1203" s="4">
        <f t="shared" si="588"/>
        <v>0.55333698560474476</v>
      </c>
    </row>
    <row r="1204" spans="1:43" x14ac:dyDescent="0.35">
      <c r="A1204" s="2" t="s">
        <v>1056</v>
      </c>
      <c r="B1204" s="2" t="s">
        <v>1031</v>
      </c>
      <c r="C1204" s="2" t="s">
        <v>34</v>
      </c>
      <c r="D1204" s="2">
        <v>98.546800000000005</v>
      </c>
      <c r="E1204" s="2">
        <v>7000</v>
      </c>
      <c r="F1204" s="2">
        <v>872</v>
      </c>
      <c r="G1204" s="2">
        <v>64.2</v>
      </c>
      <c r="H1204" s="2" t="s">
        <v>911</v>
      </c>
      <c r="I1204" s="4">
        <f t="shared" si="558"/>
        <v>4.5905315622445491</v>
      </c>
      <c r="J1204" s="4">
        <f t="shared" si="559"/>
        <v>8.8536654280374503</v>
      </c>
      <c r="K1204" s="4">
        <f t="shared" si="560"/>
        <v>6.7707894239089796</v>
      </c>
      <c r="L1204" s="2">
        <v>0</v>
      </c>
      <c r="M1204" s="2">
        <v>1</v>
      </c>
      <c r="N1204" s="4">
        <f t="shared" si="561"/>
        <v>64.2</v>
      </c>
      <c r="O1204" s="4">
        <f t="shared" si="562"/>
        <v>1</v>
      </c>
      <c r="P1204" s="4">
        <f t="shared" si="563"/>
        <v>2</v>
      </c>
      <c r="Q1204" s="4">
        <f t="shared" si="564"/>
        <v>8.8536654280374503</v>
      </c>
      <c r="R1204" s="4">
        <f t="shared" si="565"/>
        <v>6.7707894239089796</v>
      </c>
      <c r="S1204" s="4">
        <f t="shared" si="566"/>
        <v>64.2</v>
      </c>
      <c r="T1204" s="4">
        <f t="shared" si="567"/>
        <v>1</v>
      </c>
      <c r="U1204" s="4">
        <f t="shared" si="568"/>
        <v>8.8536654280374503</v>
      </c>
      <c r="V1204" s="4">
        <f t="shared" si="569"/>
        <v>6.7707894239089796</v>
      </c>
      <c r="W1204" s="4">
        <f t="shared" si="570"/>
        <v>64.2</v>
      </c>
      <c r="X1204" s="4">
        <f t="shared" si="571"/>
        <v>2</v>
      </c>
      <c r="Y1204" s="4">
        <f t="shared" si="572"/>
        <v>8.8536654280374503</v>
      </c>
      <c r="Z1204" s="4">
        <f t="shared" si="573"/>
        <v>6.7707894239089796</v>
      </c>
      <c r="AA1204" s="4">
        <f t="shared" si="574"/>
        <v>64.2</v>
      </c>
      <c r="AB1204" s="4">
        <f t="shared" si="575"/>
        <v>0</v>
      </c>
      <c r="AC1204" s="4">
        <f t="shared" si="576"/>
        <v>1</v>
      </c>
      <c r="AD1204" s="4">
        <f t="shared" si="577"/>
        <v>8.8536654280374503</v>
      </c>
      <c r="AE1204" s="4">
        <f t="shared" si="578"/>
        <v>6.7707894239089796</v>
      </c>
      <c r="AF1204" s="4">
        <f t="shared" si="579"/>
        <v>64.2</v>
      </c>
      <c r="AG1204" s="4">
        <f t="shared" si="580"/>
        <v>8.8536654280374503</v>
      </c>
      <c r="AH1204" s="4">
        <f t="shared" si="581"/>
        <v>0</v>
      </c>
      <c r="AI1204" s="4">
        <f t="shared" si="582"/>
        <v>1</v>
      </c>
      <c r="AJ1204" s="4">
        <f t="shared" si="583"/>
        <v>8.8536654280374503</v>
      </c>
      <c r="AK1204" s="4">
        <f t="shared" si="584"/>
        <v>6.7707894239089796</v>
      </c>
      <c r="AL1204" s="4">
        <f t="shared" si="585"/>
        <v>1</v>
      </c>
      <c r="AM1204" s="4">
        <f>CER!$C$7+CER!$C$8*J1204+CER!$C$9*K1204+CER!$C$10*L1204+CER!$C$11*M1204</f>
        <v>4.4595839695209376</v>
      </c>
      <c r="AN1204" s="4">
        <f t="shared" si="586"/>
        <v>86.451535140137111</v>
      </c>
      <c r="AO1204" s="4">
        <f t="shared" si="587"/>
        <v>0.13094759272361145</v>
      </c>
      <c r="AP1204" s="4">
        <f>Alternatives!$F$25+Alternatives!$F$26*J1204+Alternatives!$F$27*K1204+Alternatives!$F$28*G1204+Alternatives!$F$29*O1204</f>
        <v>3.9289161331117728</v>
      </c>
      <c r="AQ1204" s="4">
        <f t="shared" si="588"/>
        <v>0.66161542913277627</v>
      </c>
    </row>
    <row r="1205" spans="1:43" x14ac:dyDescent="0.35">
      <c r="A1205" s="2" t="s">
        <v>1057</v>
      </c>
      <c r="B1205" s="2" t="s">
        <v>1031</v>
      </c>
      <c r="C1205" s="2" t="s">
        <v>34</v>
      </c>
      <c r="D1205" s="2">
        <v>93.844200000000001</v>
      </c>
      <c r="E1205" s="2">
        <v>7000</v>
      </c>
      <c r="F1205" s="2">
        <v>872</v>
      </c>
      <c r="G1205" s="2">
        <v>64.2</v>
      </c>
      <c r="H1205" s="2" t="s">
        <v>911</v>
      </c>
      <c r="I1205" s="4">
        <f t="shared" si="558"/>
        <v>4.5416359603769019</v>
      </c>
      <c r="J1205" s="4">
        <f t="shared" si="559"/>
        <v>8.8536654280374503</v>
      </c>
      <c r="K1205" s="4">
        <f t="shared" si="560"/>
        <v>6.7707894239089796</v>
      </c>
      <c r="L1205" s="2">
        <v>0</v>
      </c>
      <c r="M1205" s="2">
        <v>1</v>
      </c>
      <c r="N1205" s="4">
        <f t="shared" si="561"/>
        <v>64.2</v>
      </c>
      <c r="O1205" s="4">
        <f t="shared" si="562"/>
        <v>1</v>
      </c>
      <c r="P1205" s="4">
        <f t="shared" si="563"/>
        <v>2</v>
      </c>
      <c r="Q1205" s="4">
        <f t="shared" si="564"/>
        <v>8.8536654280374503</v>
      </c>
      <c r="R1205" s="4">
        <f t="shared" si="565"/>
        <v>6.7707894239089796</v>
      </c>
      <c r="S1205" s="4">
        <f t="shared" si="566"/>
        <v>64.2</v>
      </c>
      <c r="T1205" s="4">
        <f t="shared" si="567"/>
        <v>1</v>
      </c>
      <c r="U1205" s="4">
        <f t="shared" si="568"/>
        <v>8.8536654280374503</v>
      </c>
      <c r="V1205" s="4">
        <f t="shared" si="569"/>
        <v>6.7707894239089796</v>
      </c>
      <c r="W1205" s="4">
        <f t="shared" si="570"/>
        <v>64.2</v>
      </c>
      <c r="X1205" s="4">
        <f t="shared" si="571"/>
        <v>2</v>
      </c>
      <c r="Y1205" s="4">
        <f t="shared" si="572"/>
        <v>8.8536654280374503</v>
      </c>
      <c r="Z1205" s="4">
        <f t="shared" si="573"/>
        <v>6.7707894239089796</v>
      </c>
      <c r="AA1205" s="4">
        <f t="shared" si="574"/>
        <v>64.2</v>
      </c>
      <c r="AB1205" s="4">
        <f t="shared" si="575"/>
        <v>0</v>
      </c>
      <c r="AC1205" s="4">
        <f t="shared" si="576"/>
        <v>1</v>
      </c>
      <c r="AD1205" s="4">
        <f t="shared" si="577"/>
        <v>8.8536654280374503</v>
      </c>
      <c r="AE1205" s="4">
        <f t="shared" si="578"/>
        <v>6.7707894239089796</v>
      </c>
      <c r="AF1205" s="4">
        <f t="shared" si="579"/>
        <v>64.2</v>
      </c>
      <c r="AG1205" s="4">
        <f t="shared" si="580"/>
        <v>8.8536654280374503</v>
      </c>
      <c r="AH1205" s="4">
        <f t="shared" si="581"/>
        <v>0</v>
      </c>
      <c r="AI1205" s="4">
        <f t="shared" si="582"/>
        <v>1</v>
      </c>
      <c r="AJ1205" s="4">
        <f t="shared" si="583"/>
        <v>8.8536654280374503</v>
      </c>
      <c r="AK1205" s="4">
        <f t="shared" si="584"/>
        <v>6.7707894239089796</v>
      </c>
      <c r="AL1205" s="4">
        <f t="shared" si="585"/>
        <v>1</v>
      </c>
      <c r="AM1205" s="4">
        <f>CER!$C$7+CER!$C$8*J1205+CER!$C$9*K1205+CER!$C$10*L1205+CER!$C$11*M1205</f>
        <v>4.4595839695209376</v>
      </c>
      <c r="AN1205" s="4">
        <f t="shared" si="586"/>
        <v>86.451535140137111</v>
      </c>
      <c r="AO1205" s="4">
        <f t="shared" si="587"/>
        <v>8.2051990855964263E-2</v>
      </c>
      <c r="AP1205" s="4">
        <f>Alternatives!$F$25+Alternatives!$F$26*J1205+Alternatives!$F$27*K1205+Alternatives!$F$28*G1205+Alternatives!$F$29*O1205</f>
        <v>3.9289161331117728</v>
      </c>
      <c r="AQ1205" s="4">
        <f t="shared" si="588"/>
        <v>0.61271982726512908</v>
      </c>
    </row>
    <row r="1206" spans="1:43" x14ac:dyDescent="0.35">
      <c r="A1206" s="2" t="s">
        <v>1058</v>
      </c>
      <c r="B1206" s="2" t="s">
        <v>1031</v>
      </c>
      <c r="C1206" s="2" t="s">
        <v>34</v>
      </c>
      <c r="D1206" s="2">
        <v>97.290300000000002</v>
      </c>
      <c r="E1206" s="2">
        <v>7500</v>
      </c>
      <c r="F1206" s="2">
        <v>665</v>
      </c>
      <c r="G1206" s="2">
        <v>64.2</v>
      </c>
      <c r="H1206" s="2" t="s">
        <v>911</v>
      </c>
      <c r="I1206" s="4">
        <f t="shared" si="558"/>
        <v>4.5776992925471829</v>
      </c>
      <c r="J1206" s="4">
        <f t="shared" si="559"/>
        <v>8.9226582995244019</v>
      </c>
      <c r="K1206" s="4">
        <f t="shared" si="560"/>
        <v>6.4997870406558542</v>
      </c>
      <c r="L1206" s="2">
        <v>0</v>
      </c>
      <c r="M1206" s="2">
        <v>1</v>
      </c>
      <c r="N1206" s="4">
        <f t="shared" si="561"/>
        <v>64.2</v>
      </c>
      <c r="O1206" s="4">
        <f t="shared" si="562"/>
        <v>1</v>
      </c>
      <c r="P1206" s="4">
        <f t="shared" si="563"/>
        <v>2</v>
      </c>
      <c r="Q1206" s="4">
        <f t="shared" si="564"/>
        <v>8.9226582995244019</v>
      </c>
      <c r="R1206" s="4">
        <f t="shared" si="565"/>
        <v>6.4997870406558542</v>
      </c>
      <c r="S1206" s="4">
        <f t="shared" si="566"/>
        <v>64.2</v>
      </c>
      <c r="T1206" s="4">
        <f t="shared" si="567"/>
        <v>1</v>
      </c>
      <c r="U1206" s="4">
        <f t="shared" si="568"/>
        <v>8.9226582995244019</v>
      </c>
      <c r="V1206" s="4">
        <f t="shared" si="569"/>
        <v>6.4997870406558542</v>
      </c>
      <c r="W1206" s="4">
        <f t="shared" si="570"/>
        <v>64.2</v>
      </c>
      <c r="X1206" s="4">
        <f t="shared" si="571"/>
        <v>2</v>
      </c>
      <c r="Y1206" s="4">
        <f t="shared" si="572"/>
        <v>8.9226582995244019</v>
      </c>
      <c r="Z1206" s="4">
        <f t="shared" si="573"/>
        <v>6.4997870406558542</v>
      </c>
      <c r="AA1206" s="4">
        <f t="shared" si="574"/>
        <v>64.2</v>
      </c>
      <c r="AB1206" s="4">
        <f t="shared" si="575"/>
        <v>0</v>
      </c>
      <c r="AC1206" s="4">
        <f t="shared" si="576"/>
        <v>1</v>
      </c>
      <c r="AD1206" s="4">
        <f t="shared" si="577"/>
        <v>8.9226582995244019</v>
      </c>
      <c r="AE1206" s="4">
        <f t="shared" si="578"/>
        <v>6.4997870406558542</v>
      </c>
      <c r="AF1206" s="4">
        <f t="shared" si="579"/>
        <v>64.2</v>
      </c>
      <c r="AG1206" s="4">
        <f t="shared" si="580"/>
        <v>8.9226582995244019</v>
      </c>
      <c r="AH1206" s="4">
        <f t="shared" si="581"/>
        <v>0</v>
      </c>
      <c r="AI1206" s="4">
        <f t="shared" si="582"/>
        <v>1</v>
      </c>
      <c r="AJ1206" s="4">
        <f t="shared" si="583"/>
        <v>8.9226582995244019</v>
      </c>
      <c r="AK1206" s="4">
        <f t="shared" si="584"/>
        <v>6.4997870406558542</v>
      </c>
      <c r="AL1206" s="4">
        <f t="shared" si="585"/>
        <v>1</v>
      </c>
      <c r="AM1206" s="4">
        <f>CER!$C$7+CER!$C$8*J1206+CER!$C$9*K1206+CER!$C$10*L1206+CER!$C$11*M1206</f>
        <v>4.5283348931539802</v>
      </c>
      <c r="AN1206" s="4">
        <f t="shared" si="586"/>
        <v>92.604236685987615</v>
      </c>
      <c r="AO1206" s="4">
        <f t="shared" si="587"/>
        <v>4.9364399393202696E-2</v>
      </c>
      <c r="AP1206" s="4">
        <f>Alternatives!$F$25+Alternatives!$F$26*J1206+Alternatives!$F$27*K1206+Alternatives!$F$28*G1206+Alternatives!$F$29*O1206</f>
        <v>4.0265658629484999</v>
      </c>
      <c r="AQ1206" s="4">
        <f t="shared" si="588"/>
        <v>0.55113342959868294</v>
      </c>
    </row>
    <row r="1207" spans="1:43" x14ac:dyDescent="0.35">
      <c r="A1207" s="2" t="s">
        <v>1059</v>
      </c>
      <c r="B1207" s="2" t="s">
        <v>1031</v>
      </c>
      <c r="C1207" s="2" t="s">
        <v>34</v>
      </c>
      <c r="D1207" s="2">
        <v>110.27630000000001</v>
      </c>
      <c r="E1207" s="2">
        <v>7000</v>
      </c>
      <c r="F1207" s="2">
        <v>665</v>
      </c>
      <c r="G1207" s="2">
        <v>64.2</v>
      </c>
      <c r="H1207" s="2" t="s">
        <v>911</v>
      </c>
      <c r="I1207" s="4">
        <f t="shared" si="558"/>
        <v>4.7029890346315604</v>
      </c>
      <c r="J1207" s="4">
        <f t="shared" si="559"/>
        <v>8.8536654280374503</v>
      </c>
      <c r="K1207" s="4">
        <f t="shared" si="560"/>
        <v>6.4997870406558542</v>
      </c>
      <c r="L1207" s="2">
        <v>0</v>
      </c>
      <c r="M1207" s="2">
        <v>1</v>
      </c>
      <c r="N1207" s="4">
        <f t="shared" si="561"/>
        <v>64.2</v>
      </c>
      <c r="O1207" s="4">
        <f t="shared" si="562"/>
        <v>1</v>
      </c>
      <c r="P1207" s="4">
        <f t="shared" si="563"/>
        <v>2</v>
      </c>
      <c r="Q1207" s="4">
        <f t="shared" si="564"/>
        <v>8.8536654280374503</v>
      </c>
      <c r="R1207" s="4">
        <f t="shared" si="565"/>
        <v>6.4997870406558542</v>
      </c>
      <c r="S1207" s="4">
        <f t="shared" si="566"/>
        <v>64.2</v>
      </c>
      <c r="T1207" s="4">
        <f t="shared" si="567"/>
        <v>1</v>
      </c>
      <c r="U1207" s="4">
        <f t="shared" si="568"/>
        <v>8.8536654280374503</v>
      </c>
      <c r="V1207" s="4">
        <f t="shared" si="569"/>
        <v>6.4997870406558542</v>
      </c>
      <c r="W1207" s="4">
        <f t="shared" si="570"/>
        <v>64.2</v>
      </c>
      <c r="X1207" s="4">
        <f t="shared" si="571"/>
        <v>2</v>
      </c>
      <c r="Y1207" s="4">
        <f t="shared" si="572"/>
        <v>8.8536654280374503</v>
      </c>
      <c r="Z1207" s="4">
        <f t="shared" si="573"/>
        <v>6.4997870406558542</v>
      </c>
      <c r="AA1207" s="4">
        <f t="shared" si="574"/>
        <v>64.2</v>
      </c>
      <c r="AB1207" s="4">
        <f t="shared" si="575"/>
        <v>0</v>
      </c>
      <c r="AC1207" s="4">
        <f t="shared" si="576"/>
        <v>1</v>
      </c>
      <c r="AD1207" s="4">
        <f t="shared" si="577"/>
        <v>8.8536654280374503</v>
      </c>
      <c r="AE1207" s="4">
        <f t="shared" si="578"/>
        <v>6.4997870406558542</v>
      </c>
      <c r="AF1207" s="4">
        <f t="shared" si="579"/>
        <v>64.2</v>
      </c>
      <c r="AG1207" s="4">
        <f t="shared" si="580"/>
        <v>8.8536654280374503</v>
      </c>
      <c r="AH1207" s="4">
        <f t="shared" si="581"/>
        <v>0</v>
      </c>
      <c r="AI1207" s="4">
        <f t="shared" si="582"/>
        <v>1</v>
      </c>
      <c r="AJ1207" s="4">
        <f t="shared" si="583"/>
        <v>8.8536654280374503</v>
      </c>
      <c r="AK1207" s="4">
        <f t="shared" si="584"/>
        <v>6.4997870406558542</v>
      </c>
      <c r="AL1207" s="4">
        <f t="shared" si="585"/>
        <v>1</v>
      </c>
      <c r="AM1207" s="4">
        <f>CER!$C$7+CER!$C$8*J1207+CER!$C$9*K1207+CER!$C$10*L1207+CER!$C$11*M1207</f>
        <v>4.5595685952652607</v>
      </c>
      <c r="AN1207" s="4">
        <f t="shared" si="586"/>
        <v>95.54225355754869</v>
      </c>
      <c r="AO1207" s="4">
        <f t="shared" si="587"/>
        <v>0.14342043936629967</v>
      </c>
      <c r="AP1207" s="4">
        <f>Alternatives!$F$25+Alternatives!$F$26*J1207+Alternatives!$F$27*K1207+Alternatives!$F$28*G1207+Alternatives!$F$29*O1207</f>
        <v>4.0010325686227262</v>
      </c>
      <c r="AQ1207" s="4">
        <f t="shared" si="588"/>
        <v>0.70195646600883421</v>
      </c>
    </row>
    <row r="1208" spans="1:43" x14ac:dyDescent="0.35">
      <c r="A1208" s="2" t="s">
        <v>1060</v>
      </c>
      <c r="B1208" s="2" t="s">
        <v>1031</v>
      </c>
      <c r="C1208" s="2" t="s">
        <v>34</v>
      </c>
      <c r="D1208" s="2">
        <v>104.99939999999999</v>
      </c>
      <c r="E1208" s="2">
        <v>7000</v>
      </c>
      <c r="F1208" s="2">
        <v>665</v>
      </c>
      <c r="G1208" s="2">
        <v>64.2</v>
      </c>
      <c r="H1208" s="2" t="s">
        <v>911</v>
      </c>
      <c r="I1208" s="4">
        <f t="shared" si="558"/>
        <v>4.6539546358554826</v>
      </c>
      <c r="J1208" s="4">
        <f t="shared" si="559"/>
        <v>8.8536654280374503</v>
      </c>
      <c r="K1208" s="4">
        <f t="shared" si="560"/>
        <v>6.4997870406558542</v>
      </c>
      <c r="L1208" s="2">
        <v>0</v>
      </c>
      <c r="M1208" s="2">
        <v>1</v>
      </c>
      <c r="N1208" s="4">
        <f t="shared" si="561"/>
        <v>64.2</v>
      </c>
      <c r="O1208" s="4">
        <f t="shared" si="562"/>
        <v>1</v>
      </c>
      <c r="P1208" s="4">
        <f t="shared" si="563"/>
        <v>2</v>
      </c>
      <c r="Q1208" s="4">
        <f t="shared" si="564"/>
        <v>8.8536654280374503</v>
      </c>
      <c r="R1208" s="4">
        <f t="shared" si="565"/>
        <v>6.4997870406558542</v>
      </c>
      <c r="S1208" s="4">
        <f t="shared" si="566"/>
        <v>64.2</v>
      </c>
      <c r="T1208" s="4">
        <f t="shared" si="567"/>
        <v>1</v>
      </c>
      <c r="U1208" s="4">
        <f t="shared" si="568"/>
        <v>8.8536654280374503</v>
      </c>
      <c r="V1208" s="4">
        <f t="shared" si="569"/>
        <v>6.4997870406558542</v>
      </c>
      <c r="W1208" s="4">
        <f t="shared" si="570"/>
        <v>64.2</v>
      </c>
      <c r="X1208" s="4">
        <f t="shared" si="571"/>
        <v>2</v>
      </c>
      <c r="Y1208" s="4">
        <f t="shared" si="572"/>
        <v>8.8536654280374503</v>
      </c>
      <c r="Z1208" s="4">
        <f t="shared" si="573"/>
        <v>6.4997870406558542</v>
      </c>
      <c r="AA1208" s="4">
        <f t="shared" si="574"/>
        <v>64.2</v>
      </c>
      <c r="AB1208" s="4">
        <f t="shared" si="575"/>
        <v>0</v>
      </c>
      <c r="AC1208" s="4">
        <f t="shared" si="576"/>
        <v>1</v>
      </c>
      <c r="AD1208" s="4">
        <f t="shared" si="577"/>
        <v>8.8536654280374503</v>
      </c>
      <c r="AE1208" s="4">
        <f t="shared" si="578"/>
        <v>6.4997870406558542</v>
      </c>
      <c r="AF1208" s="4">
        <f t="shared" si="579"/>
        <v>64.2</v>
      </c>
      <c r="AG1208" s="4">
        <f t="shared" si="580"/>
        <v>8.8536654280374503</v>
      </c>
      <c r="AH1208" s="4">
        <f t="shared" si="581"/>
        <v>0</v>
      </c>
      <c r="AI1208" s="4">
        <f t="shared" si="582"/>
        <v>1</v>
      </c>
      <c r="AJ1208" s="4">
        <f t="shared" si="583"/>
        <v>8.8536654280374503</v>
      </c>
      <c r="AK1208" s="4">
        <f t="shared" si="584"/>
        <v>6.4997870406558542</v>
      </c>
      <c r="AL1208" s="4">
        <f t="shared" si="585"/>
        <v>1</v>
      </c>
      <c r="AM1208" s="4">
        <f>CER!$C$7+CER!$C$8*J1208+CER!$C$9*K1208+CER!$C$10*L1208+CER!$C$11*M1208</f>
        <v>4.5595685952652607</v>
      </c>
      <c r="AN1208" s="4">
        <f t="shared" si="586"/>
        <v>95.54225355754869</v>
      </c>
      <c r="AO1208" s="4">
        <f t="shared" si="587"/>
        <v>9.4386040590221931E-2</v>
      </c>
      <c r="AP1208" s="4">
        <f>Alternatives!$F$25+Alternatives!$F$26*J1208+Alternatives!$F$27*K1208+Alternatives!$F$28*G1208+Alternatives!$F$29*O1208</f>
        <v>4.0010325686227262</v>
      </c>
      <c r="AQ1208" s="4">
        <f t="shared" si="588"/>
        <v>0.65292206723275648</v>
      </c>
    </row>
    <row r="1209" spans="1:43" x14ac:dyDescent="0.35">
      <c r="A1209" s="2" t="s">
        <v>1061</v>
      </c>
      <c r="B1209" s="2" t="s">
        <v>1031</v>
      </c>
      <c r="C1209" s="2" t="s">
        <v>34</v>
      </c>
      <c r="D1209" s="2">
        <v>97.290300000000002</v>
      </c>
      <c r="E1209" s="2">
        <v>7500</v>
      </c>
      <c r="F1209" s="2">
        <v>665</v>
      </c>
      <c r="G1209" s="2">
        <v>64.2</v>
      </c>
      <c r="H1209" s="2" t="s">
        <v>911</v>
      </c>
      <c r="I1209" s="4">
        <f t="shared" si="558"/>
        <v>4.5776992925471829</v>
      </c>
      <c r="J1209" s="4">
        <f t="shared" si="559"/>
        <v>8.9226582995244019</v>
      </c>
      <c r="K1209" s="4">
        <f t="shared" si="560"/>
        <v>6.4997870406558542</v>
      </c>
      <c r="L1209" s="2">
        <v>0</v>
      </c>
      <c r="M1209" s="2">
        <v>1</v>
      </c>
      <c r="N1209" s="4">
        <f t="shared" si="561"/>
        <v>64.2</v>
      </c>
      <c r="O1209" s="4">
        <f t="shared" si="562"/>
        <v>1</v>
      </c>
      <c r="P1209" s="4">
        <f t="shared" si="563"/>
        <v>2</v>
      </c>
      <c r="Q1209" s="4">
        <f t="shared" si="564"/>
        <v>8.9226582995244019</v>
      </c>
      <c r="R1209" s="4">
        <f t="shared" si="565"/>
        <v>6.4997870406558542</v>
      </c>
      <c r="S1209" s="4">
        <f t="shared" si="566"/>
        <v>64.2</v>
      </c>
      <c r="T1209" s="4">
        <f t="shared" si="567"/>
        <v>1</v>
      </c>
      <c r="U1209" s="4">
        <f t="shared" si="568"/>
        <v>8.9226582995244019</v>
      </c>
      <c r="V1209" s="4">
        <f t="shared" si="569"/>
        <v>6.4997870406558542</v>
      </c>
      <c r="W1209" s="4">
        <f t="shared" si="570"/>
        <v>64.2</v>
      </c>
      <c r="X1209" s="4">
        <f t="shared" si="571"/>
        <v>2</v>
      </c>
      <c r="Y1209" s="4">
        <f t="shared" si="572"/>
        <v>8.9226582995244019</v>
      </c>
      <c r="Z1209" s="4">
        <f t="shared" si="573"/>
        <v>6.4997870406558542</v>
      </c>
      <c r="AA1209" s="4">
        <f t="shared" si="574"/>
        <v>64.2</v>
      </c>
      <c r="AB1209" s="4">
        <f t="shared" si="575"/>
        <v>0</v>
      </c>
      <c r="AC1209" s="4">
        <f t="shared" si="576"/>
        <v>1</v>
      </c>
      <c r="AD1209" s="4">
        <f t="shared" si="577"/>
        <v>8.9226582995244019</v>
      </c>
      <c r="AE1209" s="4">
        <f t="shared" si="578"/>
        <v>6.4997870406558542</v>
      </c>
      <c r="AF1209" s="4">
        <f t="shared" si="579"/>
        <v>64.2</v>
      </c>
      <c r="AG1209" s="4">
        <f t="shared" si="580"/>
        <v>8.9226582995244019</v>
      </c>
      <c r="AH1209" s="4">
        <f t="shared" si="581"/>
        <v>0</v>
      </c>
      <c r="AI1209" s="4">
        <f t="shared" si="582"/>
        <v>1</v>
      </c>
      <c r="AJ1209" s="4">
        <f t="shared" si="583"/>
        <v>8.9226582995244019</v>
      </c>
      <c r="AK1209" s="4">
        <f t="shared" si="584"/>
        <v>6.4997870406558542</v>
      </c>
      <c r="AL1209" s="4">
        <f t="shared" si="585"/>
        <v>1</v>
      </c>
      <c r="AM1209" s="4">
        <f>CER!$C$7+CER!$C$8*J1209+CER!$C$9*K1209+CER!$C$10*L1209+CER!$C$11*M1209</f>
        <v>4.5283348931539802</v>
      </c>
      <c r="AN1209" s="4">
        <f t="shared" si="586"/>
        <v>92.604236685987615</v>
      </c>
      <c r="AO1209" s="4">
        <f t="shared" si="587"/>
        <v>4.9364399393202696E-2</v>
      </c>
      <c r="AP1209" s="4">
        <f>Alternatives!$F$25+Alternatives!$F$26*J1209+Alternatives!$F$27*K1209+Alternatives!$F$28*G1209+Alternatives!$F$29*O1209</f>
        <v>4.0265658629484999</v>
      </c>
      <c r="AQ1209" s="4">
        <f t="shared" si="588"/>
        <v>0.55113342959868294</v>
      </c>
    </row>
    <row r="1210" spans="1:43" x14ac:dyDescent="0.35">
      <c r="A1210" s="2" t="s">
        <v>1062</v>
      </c>
      <c r="B1210" s="2" t="s">
        <v>1031</v>
      </c>
      <c r="C1210" s="2" t="s">
        <v>34</v>
      </c>
      <c r="D1210" s="2">
        <v>110.27630000000001</v>
      </c>
      <c r="E1210" s="2">
        <v>7000</v>
      </c>
      <c r="F1210" s="2">
        <v>665</v>
      </c>
      <c r="G1210" s="2">
        <v>64.2</v>
      </c>
      <c r="H1210" s="2" t="s">
        <v>911</v>
      </c>
      <c r="I1210" s="4">
        <f t="shared" si="558"/>
        <v>4.7029890346315604</v>
      </c>
      <c r="J1210" s="4">
        <f t="shared" si="559"/>
        <v>8.8536654280374503</v>
      </c>
      <c r="K1210" s="4">
        <f t="shared" si="560"/>
        <v>6.4997870406558542</v>
      </c>
      <c r="L1210" s="2">
        <v>0</v>
      </c>
      <c r="M1210" s="2">
        <v>1</v>
      </c>
      <c r="N1210" s="4">
        <f t="shared" si="561"/>
        <v>64.2</v>
      </c>
      <c r="O1210" s="4">
        <f t="shared" si="562"/>
        <v>1</v>
      </c>
      <c r="P1210" s="4">
        <f t="shared" si="563"/>
        <v>2</v>
      </c>
      <c r="Q1210" s="4">
        <f t="shared" si="564"/>
        <v>8.8536654280374503</v>
      </c>
      <c r="R1210" s="4">
        <f t="shared" si="565"/>
        <v>6.4997870406558542</v>
      </c>
      <c r="S1210" s="4">
        <f t="shared" si="566"/>
        <v>64.2</v>
      </c>
      <c r="T1210" s="4">
        <f t="shared" si="567"/>
        <v>1</v>
      </c>
      <c r="U1210" s="4">
        <f t="shared" si="568"/>
        <v>8.8536654280374503</v>
      </c>
      <c r="V1210" s="4">
        <f t="shared" si="569"/>
        <v>6.4997870406558542</v>
      </c>
      <c r="W1210" s="4">
        <f t="shared" si="570"/>
        <v>64.2</v>
      </c>
      <c r="X1210" s="4">
        <f t="shared" si="571"/>
        <v>2</v>
      </c>
      <c r="Y1210" s="4">
        <f t="shared" si="572"/>
        <v>8.8536654280374503</v>
      </c>
      <c r="Z1210" s="4">
        <f t="shared" si="573"/>
        <v>6.4997870406558542</v>
      </c>
      <c r="AA1210" s="4">
        <f t="shared" si="574"/>
        <v>64.2</v>
      </c>
      <c r="AB1210" s="4">
        <f t="shared" si="575"/>
        <v>0</v>
      </c>
      <c r="AC1210" s="4">
        <f t="shared" si="576"/>
        <v>1</v>
      </c>
      <c r="AD1210" s="4">
        <f t="shared" si="577"/>
        <v>8.8536654280374503</v>
      </c>
      <c r="AE1210" s="4">
        <f t="shared" si="578"/>
        <v>6.4997870406558542</v>
      </c>
      <c r="AF1210" s="4">
        <f t="shared" si="579"/>
        <v>64.2</v>
      </c>
      <c r="AG1210" s="4">
        <f t="shared" si="580"/>
        <v>8.8536654280374503</v>
      </c>
      <c r="AH1210" s="4">
        <f t="shared" si="581"/>
        <v>0</v>
      </c>
      <c r="AI1210" s="4">
        <f t="shared" si="582"/>
        <v>1</v>
      </c>
      <c r="AJ1210" s="4">
        <f t="shared" si="583"/>
        <v>8.8536654280374503</v>
      </c>
      <c r="AK1210" s="4">
        <f t="shared" si="584"/>
        <v>6.4997870406558542</v>
      </c>
      <c r="AL1210" s="4">
        <f t="shared" si="585"/>
        <v>1</v>
      </c>
      <c r="AM1210" s="4">
        <f>CER!$C$7+CER!$C$8*J1210+CER!$C$9*K1210+CER!$C$10*L1210+CER!$C$11*M1210</f>
        <v>4.5595685952652607</v>
      </c>
      <c r="AN1210" s="4">
        <f t="shared" si="586"/>
        <v>95.54225355754869</v>
      </c>
      <c r="AO1210" s="4">
        <f t="shared" si="587"/>
        <v>0.14342043936629967</v>
      </c>
      <c r="AP1210" s="4">
        <f>Alternatives!$F$25+Alternatives!$F$26*J1210+Alternatives!$F$27*K1210+Alternatives!$F$28*G1210+Alternatives!$F$29*O1210</f>
        <v>4.0010325686227262</v>
      </c>
      <c r="AQ1210" s="4">
        <f t="shared" si="588"/>
        <v>0.70195646600883421</v>
      </c>
    </row>
    <row r="1211" spans="1:43" x14ac:dyDescent="0.35">
      <c r="A1211" s="2" t="s">
        <v>1063</v>
      </c>
      <c r="B1211" s="2" t="s">
        <v>1031</v>
      </c>
      <c r="C1211" s="2" t="s">
        <v>34</v>
      </c>
      <c r="D1211" s="2">
        <v>104.99939999999999</v>
      </c>
      <c r="E1211" s="2">
        <v>7000</v>
      </c>
      <c r="F1211" s="2">
        <v>665</v>
      </c>
      <c r="G1211" s="2">
        <v>64.2</v>
      </c>
      <c r="H1211" s="2" t="s">
        <v>911</v>
      </c>
      <c r="I1211" s="4">
        <f t="shared" si="558"/>
        <v>4.6539546358554826</v>
      </c>
      <c r="J1211" s="4">
        <f t="shared" si="559"/>
        <v>8.8536654280374503</v>
      </c>
      <c r="K1211" s="4">
        <f t="shared" si="560"/>
        <v>6.4997870406558542</v>
      </c>
      <c r="L1211" s="2">
        <v>0</v>
      </c>
      <c r="M1211" s="2">
        <v>1</v>
      </c>
      <c r="N1211" s="4">
        <f t="shared" si="561"/>
        <v>64.2</v>
      </c>
      <c r="O1211" s="4">
        <f t="shared" si="562"/>
        <v>1</v>
      </c>
      <c r="P1211" s="4">
        <f t="shared" si="563"/>
        <v>2</v>
      </c>
      <c r="Q1211" s="4">
        <f t="shared" si="564"/>
        <v>8.8536654280374503</v>
      </c>
      <c r="R1211" s="4">
        <f t="shared" si="565"/>
        <v>6.4997870406558542</v>
      </c>
      <c r="S1211" s="4">
        <f t="shared" si="566"/>
        <v>64.2</v>
      </c>
      <c r="T1211" s="4">
        <f t="shared" si="567"/>
        <v>1</v>
      </c>
      <c r="U1211" s="4">
        <f t="shared" si="568"/>
        <v>8.8536654280374503</v>
      </c>
      <c r="V1211" s="4">
        <f t="shared" si="569"/>
        <v>6.4997870406558542</v>
      </c>
      <c r="W1211" s="4">
        <f t="shared" si="570"/>
        <v>64.2</v>
      </c>
      <c r="X1211" s="4">
        <f t="shared" si="571"/>
        <v>2</v>
      </c>
      <c r="Y1211" s="4">
        <f t="shared" si="572"/>
        <v>8.8536654280374503</v>
      </c>
      <c r="Z1211" s="4">
        <f t="shared" si="573"/>
        <v>6.4997870406558542</v>
      </c>
      <c r="AA1211" s="4">
        <f t="shared" si="574"/>
        <v>64.2</v>
      </c>
      <c r="AB1211" s="4">
        <f t="shared" si="575"/>
        <v>0</v>
      </c>
      <c r="AC1211" s="4">
        <f t="shared" si="576"/>
        <v>1</v>
      </c>
      <c r="AD1211" s="4">
        <f t="shared" si="577"/>
        <v>8.8536654280374503</v>
      </c>
      <c r="AE1211" s="4">
        <f t="shared" si="578"/>
        <v>6.4997870406558542</v>
      </c>
      <c r="AF1211" s="4">
        <f t="shared" si="579"/>
        <v>64.2</v>
      </c>
      <c r="AG1211" s="4">
        <f t="shared" si="580"/>
        <v>8.8536654280374503</v>
      </c>
      <c r="AH1211" s="4">
        <f t="shared" si="581"/>
        <v>0</v>
      </c>
      <c r="AI1211" s="4">
        <f t="shared" si="582"/>
        <v>1</v>
      </c>
      <c r="AJ1211" s="4">
        <f t="shared" si="583"/>
        <v>8.8536654280374503</v>
      </c>
      <c r="AK1211" s="4">
        <f t="shared" si="584"/>
        <v>6.4997870406558542</v>
      </c>
      <c r="AL1211" s="4">
        <f t="shared" si="585"/>
        <v>1</v>
      </c>
      <c r="AM1211" s="4">
        <f>CER!$C$7+CER!$C$8*J1211+CER!$C$9*K1211+CER!$C$10*L1211+CER!$C$11*M1211</f>
        <v>4.5595685952652607</v>
      </c>
      <c r="AN1211" s="4">
        <f t="shared" si="586"/>
        <v>95.54225355754869</v>
      </c>
      <c r="AO1211" s="4">
        <f t="shared" si="587"/>
        <v>9.4386040590221931E-2</v>
      </c>
      <c r="AP1211" s="4">
        <f>Alternatives!$F$25+Alternatives!$F$26*J1211+Alternatives!$F$27*K1211+Alternatives!$F$28*G1211+Alternatives!$F$29*O1211</f>
        <v>4.0010325686227262</v>
      </c>
      <c r="AQ1211" s="4">
        <f t="shared" si="588"/>
        <v>0.65292206723275648</v>
      </c>
    </row>
    <row r="1212" spans="1:43" x14ac:dyDescent="0.35">
      <c r="A1212" s="2" t="s">
        <v>1064</v>
      </c>
      <c r="B1212" s="2" t="s">
        <v>1031</v>
      </c>
      <c r="C1212" s="2" t="s">
        <v>34</v>
      </c>
      <c r="D1212" s="2">
        <v>83.757599999999996</v>
      </c>
      <c r="E1212" s="2">
        <v>7500</v>
      </c>
      <c r="F1212" s="2">
        <v>872</v>
      </c>
      <c r="G1212" s="2">
        <v>64.2</v>
      </c>
      <c r="H1212" s="2" t="s">
        <v>911</v>
      </c>
      <c r="I1212" s="4">
        <f t="shared" si="558"/>
        <v>4.4279269128566385</v>
      </c>
      <c r="J1212" s="4">
        <f t="shared" si="559"/>
        <v>8.9226582995244019</v>
      </c>
      <c r="K1212" s="4">
        <f t="shared" si="560"/>
        <v>6.7707894239089796</v>
      </c>
      <c r="L1212" s="2">
        <v>0</v>
      </c>
      <c r="M1212" s="2">
        <v>1</v>
      </c>
      <c r="N1212" s="4">
        <f t="shared" si="561"/>
        <v>64.2</v>
      </c>
      <c r="O1212" s="4">
        <f t="shared" si="562"/>
        <v>1</v>
      </c>
      <c r="P1212" s="4">
        <f t="shared" si="563"/>
        <v>2</v>
      </c>
      <c r="Q1212" s="4">
        <f t="shared" si="564"/>
        <v>8.9226582995244019</v>
      </c>
      <c r="R1212" s="4">
        <f t="shared" si="565"/>
        <v>6.7707894239089796</v>
      </c>
      <c r="S1212" s="4">
        <f t="shared" si="566"/>
        <v>64.2</v>
      </c>
      <c r="T1212" s="4">
        <f t="shared" si="567"/>
        <v>1</v>
      </c>
      <c r="U1212" s="4">
        <f t="shared" si="568"/>
        <v>8.9226582995244019</v>
      </c>
      <c r="V1212" s="4">
        <f t="shared" si="569"/>
        <v>6.7707894239089796</v>
      </c>
      <c r="W1212" s="4">
        <f t="shared" si="570"/>
        <v>64.2</v>
      </c>
      <c r="X1212" s="4">
        <f t="shared" si="571"/>
        <v>2</v>
      </c>
      <c r="Y1212" s="4">
        <f t="shared" si="572"/>
        <v>8.9226582995244019</v>
      </c>
      <c r="Z1212" s="4">
        <f t="shared" si="573"/>
        <v>6.7707894239089796</v>
      </c>
      <c r="AA1212" s="4">
        <f t="shared" si="574"/>
        <v>64.2</v>
      </c>
      <c r="AB1212" s="4">
        <f t="shared" si="575"/>
        <v>0</v>
      </c>
      <c r="AC1212" s="4">
        <f t="shared" si="576"/>
        <v>1</v>
      </c>
      <c r="AD1212" s="4">
        <f t="shared" si="577"/>
        <v>8.9226582995244019</v>
      </c>
      <c r="AE1212" s="4">
        <f t="shared" si="578"/>
        <v>6.7707894239089796</v>
      </c>
      <c r="AF1212" s="4">
        <f t="shared" si="579"/>
        <v>64.2</v>
      </c>
      <c r="AG1212" s="4">
        <f t="shared" si="580"/>
        <v>8.9226582995244019</v>
      </c>
      <c r="AH1212" s="4">
        <f t="shared" si="581"/>
        <v>0</v>
      </c>
      <c r="AI1212" s="4">
        <f t="shared" si="582"/>
        <v>1</v>
      </c>
      <c r="AJ1212" s="4">
        <f t="shared" si="583"/>
        <v>8.9226582995244019</v>
      </c>
      <c r="AK1212" s="4">
        <f t="shared" si="584"/>
        <v>6.7707894239089796</v>
      </c>
      <c r="AL1212" s="4">
        <f t="shared" si="585"/>
        <v>1</v>
      </c>
      <c r="AM1212" s="4">
        <f>CER!$C$7+CER!$C$8*J1212+CER!$C$9*K1212+CER!$C$10*L1212+CER!$C$11*M1212</f>
        <v>4.4283502674096571</v>
      </c>
      <c r="AN1212" s="4">
        <f t="shared" si="586"/>
        <v>83.793066668267898</v>
      </c>
      <c r="AO1212" s="4">
        <f t="shared" si="587"/>
        <v>-4.2335455301856229E-4</v>
      </c>
      <c r="AP1212" s="4">
        <f>Alternatives!$F$25+Alternatives!$F$26*J1212+Alternatives!$F$27*K1212+Alternatives!$F$28*G1212+Alternatives!$F$29*O1212</f>
        <v>3.9544494274375466</v>
      </c>
      <c r="AQ1212" s="4">
        <f t="shared" si="588"/>
        <v>0.47347748541909196</v>
      </c>
    </row>
    <row r="1213" spans="1:43" x14ac:dyDescent="0.35">
      <c r="A1213" s="2" t="s">
        <v>1065</v>
      </c>
      <c r="B1213" s="2" t="s">
        <v>1031</v>
      </c>
      <c r="C1213" s="2" t="s">
        <v>34</v>
      </c>
      <c r="D1213" s="2">
        <v>104.3925</v>
      </c>
      <c r="E1213" s="2">
        <v>7500</v>
      </c>
      <c r="F1213" s="2">
        <v>665</v>
      </c>
      <c r="G1213" s="2">
        <v>64.2</v>
      </c>
      <c r="H1213" s="2" t="s">
        <v>911</v>
      </c>
      <c r="I1213" s="4">
        <f t="shared" si="558"/>
        <v>4.6481578337875282</v>
      </c>
      <c r="J1213" s="4">
        <f t="shared" si="559"/>
        <v>8.9226582995244019</v>
      </c>
      <c r="K1213" s="4">
        <f t="shared" si="560"/>
        <v>6.4997870406558542</v>
      </c>
      <c r="L1213" s="2">
        <v>0</v>
      </c>
      <c r="M1213" s="2">
        <v>1</v>
      </c>
      <c r="N1213" s="4">
        <f t="shared" si="561"/>
        <v>64.2</v>
      </c>
      <c r="O1213" s="4">
        <f t="shared" si="562"/>
        <v>1</v>
      </c>
      <c r="P1213" s="4">
        <f t="shared" si="563"/>
        <v>2</v>
      </c>
      <c r="Q1213" s="4">
        <f t="shared" si="564"/>
        <v>8.9226582995244019</v>
      </c>
      <c r="R1213" s="4">
        <f t="shared" si="565"/>
        <v>6.4997870406558542</v>
      </c>
      <c r="S1213" s="4">
        <f t="shared" si="566"/>
        <v>64.2</v>
      </c>
      <c r="T1213" s="4">
        <f t="shared" si="567"/>
        <v>1</v>
      </c>
      <c r="U1213" s="4">
        <f t="shared" si="568"/>
        <v>8.9226582995244019</v>
      </c>
      <c r="V1213" s="4">
        <f t="shared" si="569"/>
        <v>6.4997870406558542</v>
      </c>
      <c r="W1213" s="4">
        <f t="shared" si="570"/>
        <v>64.2</v>
      </c>
      <c r="X1213" s="4">
        <f t="shared" si="571"/>
        <v>2</v>
      </c>
      <c r="Y1213" s="4">
        <f t="shared" si="572"/>
        <v>8.9226582995244019</v>
      </c>
      <c r="Z1213" s="4">
        <f t="shared" si="573"/>
        <v>6.4997870406558542</v>
      </c>
      <c r="AA1213" s="4">
        <f t="shared" si="574"/>
        <v>64.2</v>
      </c>
      <c r="AB1213" s="4">
        <f t="shared" si="575"/>
        <v>0</v>
      </c>
      <c r="AC1213" s="4">
        <f t="shared" si="576"/>
        <v>1</v>
      </c>
      <c r="AD1213" s="4">
        <f t="shared" si="577"/>
        <v>8.9226582995244019</v>
      </c>
      <c r="AE1213" s="4">
        <f t="shared" si="578"/>
        <v>6.4997870406558542</v>
      </c>
      <c r="AF1213" s="4">
        <f t="shared" si="579"/>
        <v>64.2</v>
      </c>
      <c r="AG1213" s="4">
        <f t="shared" si="580"/>
        <v>8.9226582995244019</v>
      </c>
      <c r="AH1213" s="4">
        <f t="shared" si="581"/>
        <v>0</v>
      </c>
      <c r="AI1213" s="4">
        <f t="shared" si="582"/>
        <v>1</v>
      </c>
      <c r="AJ1213" s="4">
        <f t="shared" si="583"/>
        <v>8.9226582995244019</v>
      </c>
      <c r="AK1213" s="4">
        <f t="shared" si="584"/>
        <v>6.4997870406558542</v>
      </c>
      <c r="AL1213" s="4">
        <f t="shared" si="585"/>
        <v>1</v>
      </c>
      <c r="AM1213" s="4">
        <f>CER!$C$7+CER!$C$8*J1213+CER!$C$9*K1213+CER!$C$10*L1213+CER!$C$11*M1213</f>
        <v>4.5283348931539802</v>
      </c>
      <c r="AN1213" s="4">
        <f t="shared" si="586"/>
        <v>92.604236685987615</v>
      </c>
      <c r="AO1213" s="4">
        <f t="shared" si="587"/>
        <v>0.11982294063354804</v>
      </c>
      <c r="AP1213" s="4">
        <f>Alternatives!$F$25+Alternatives!$F$26*J1213+Alternatives!$F$27*K1213+Alternatives!$F$28*G1213+Alternatives!$F$29*O1213</f>
        <v>4.0265658629484999</v>
      </c>
      <c r="AQ1213" s="4">
        <f t="shared" si="588"/>
        <v>0.62159197083902828</v>
      </c>
    </row>
    <row r="1214" spans="1:43" x14ac:dyDescent="0.35">
      <c r="A1214" s="2" t="s">
        <v>1066</v>
      </c>
      <c r="B1214" s="2" t="s">
        <v>1031</v>
      </c>
      <c r="C1214" s="2" t="s">
        <v>34</v>
      </c>
      <c r="D1214" s="2">
        <v>118.58929999999999</v>
      </c>
      <c r="E1214" s="2">
        <v>7000</v>
      </c>
      <c r="F1214" s="2">
        <v>665</v>
      </c>
      <c r="G1214" s="2">
        <v>64.2</v>
      </c>
      <c r="H1214" s="2" t="s">
        <v>911</v>
      </c>
      <c r="I1214" s="4">
        <f t="shared" si="558"/>
        <v>4.7756662632693425</v>
      </c>
      <c r="J1214" s="4">
        <f t="shared" si="559"/>
        <v>8.8536654280374503</v>
      </c>
      <c r="K1214" s="4">
        <f t="shared" si="560"/>
        <v>6.4997870406558542</v>
      </c>
      <c r="L1214" s="2">
        <v>0</v>
      </c>
      <c r="M1214" s="2">
        <v>1</v>
      </c>
      <c r="N1214" s="4">
        <f t="shared" si="561"/>
        <v>64.2</v>
      </c>
      <c r="O1214" s="4">
        <f t="shared" si="562"/>
        <v>1</v>
      </c>
      <c r="P1214" s="4">
        <f t="shared" si="563"/>
        <v>2</v>
      </c>
      <c r="Q1214" s="4">
        <f t="shared" si="564"/>
        <v>8.8536654280374503</v>
      </c>
      <c r="R1214" s="4">
        <f t="shared" si="565"/>
        <v>6.4997870406558542</v>
      </c>
      <c r="S1214" s="4">
        <f t="shared" si="566"/>
        <v>64.2</v>
      </c>
      <c r="T1214" s="4">
        <f t="shared" si="567"/>
        <v>1</v>
      </c>
      <c r="U1214" s="4">
        <f t="shared" si="568"/>
        <v>8.8536654280374503</v>
      </c>
      <c r="V1214" s="4">
        <f t="shared" si="569"/>
        <v>6.4997870406558542</v>
      </c>
      <c r="W1214" s="4">
        <f t="shared" si="570"/>
        <v>64.2</v>
      </c>
      <c r="X1214" s="4">
        <f t="shared" si="571"/>
        <v>2</v>
      </c>
      <c r="Y1214" s="4">
        <f t="shared" si="572"/>
        <v>8.8536654280374503</v>
      </c>
      <c r="Z1214" s="4">
        <f t="shared" si="573"/>
        <v>6.4997870406558542</v>
      </c>
      <c r="AA1214" s="4">
        <f t="shared" si="574"/>
        <v>64.2</v>
      </c>
      <c r="AB1214" s="4">
        <f t="shared" si="575"/>
        <v>0</v>
      </c>
      <c r="AC1214" s="4">
        <f t="shared" si="576"/>
        <v>1</v>
      </c>
      <c r="AD1214" s="4">
        <f t="shared" si="577"/>
        <v>8.8536654280374503</v>
      </c>
      <c r="AE1214" s="4">
        <f t="shared" si="578"/>
        <v>6.4997870406558542</v>
      </c>
      <c r="AF1214" s="4">
        <f t="shared" si="579"/>
        <v>64.2</v>
      </c>
      <c r="AG1214" s="4">
        <f t="shared" si="580"/>
        <v>8.8536654280374503</v>
      </c>
      <c r="AH1214" s="4">
        <f t="shared" si="581"/>
        <v>0</v>
      </c>
      <c r="AI1214" s="4">
        <f t="shared" si="582"/>
        <v>1</v>
      </c>
      <c r="AJ1214" s="4">
        <f t="shared" si="583"/>
        <v>8.8536654280374503</v>
      </c>
      <c r="AK1214" s="4">
        <f t="shared" si="584"/>
        <v>6.4997870406558542</v>
      </c>
      <c r="AL1214" s="4">
        <f t="shared" si="585"/>
        <v>1</v>
      </c>
      <c r="AM1214" s="4">
        <f>CER!$C$7+CER!$C$8*J1214+CER!$C$9*K1214+CER!$C$10*L1214+CER!$C$11*M1214</f>
        <v>4.5595685952652607</v>
      </c>
      <c r="AN1214" s="4">
        <f t="shared" si="586"/>
        <v>95.54225355754869</v>
      </c>
      <c r="AO1214" s="4">
        <f t="shared" si="587"/>
        <v>0.21609766800408181</v>
      </c>
      <c r="AP1214" s="4">
        <f>Alternatives!$F$25+Alternatives!$F$26*J1214+Alternatives!$F$27*K1214+Alternatives!$F$28*G1214+Alternatives!$F$29*O1214</f>
        <v>4.0010325686227262</v>
      </c>
      <c r="AQ1214" s="4">
        <f t="shared" si="588"/>
        <v>0.77463369464661636</v>
      </c>
    </row>
    <row r="1215" spans="1:43" x14ac:dyDescent="0.35">
      <c r="A1215" s="2" t="s">
        <v>1067</v>
      </c>
      <c r="B1215" s="2" t="s">
        <v>1031</v>
      </c>
      <c r="C1215" s="2" t="s">
        <v>34</v>
      </c>
      <c r="D1215" s="2">
        <v>107.27679999999999</v>
      </c>
      <c r="E1215" s="2">
        <v>7000</v>
      </c>
      <c r="F1215" s="2">
        <v>665</v>
      </c>
      <c r="G1215" s="2">
        <v>64.2</v>
      </c>
      <c r="H1215" s="2" t="s">
        <v>911</v>
      </c>
      <c r="I1215" s="4">
        <f t="shared" si="558"/>
        <v>4.6754124100423402</v>
      </c>
      <c r="J1215" s="4">
        <f t="shared" si="559"/>
        <v>8.8536654280374503</v>
      </c>
      <c r="K1215" s="4">
        <f t="shared" si="560"/>
        <v>6.4997870406558542</v>
      </c>
      <c r="L1215" s="2">
        <v>0</v>
      </c>
      <c r="M1215" s="2">
        <v>1</v>
      </c>
      <c r="N1215" s="4">
        <f t="shared" si="561"/>
        <v>64.2</v>
      </c>
      <c r="O1215" s="4">
        <f t="shared" si="562"/>
        <v>1</v>
      </c>
      <c r="P1215" s="4">
        <f t="shared" si="563"/>
        <v>2</v>
      </c>
      <c r="Q1215" s="4">
        <f t="shared" si="564"/>
        <v>8.8536654280374503</v>
      </c>
      <c r="R1215" s="4">
        <f t="shared" si="565"/>
        <v>6.4997870406558542</v>
      </c>
      <c r="S1215" s="4">
        <f t="shared" si="566"/>
        <v>64.2</v>
      </c>
      <c r="T1215" s="4">
        <f t="shared" si="567"/>
        <v>1</v>
      </c>
      <c r="U1215" s="4">
        <f t="shared" si="568"/>
        <v>8.8536654280374503</v>
      </c>
      <c r="V1215" s="4">
        <f t="shared" si="569"/>
        <v>6.4997870406558542</v>
      </c>
      <c r="W1215" s="4">
        <f t="shared" si="570"/>
        <v>64.2</v>
      </c>
      <c r="X1215" s="4">
        <f t="shared" si="571"/>
        <v>2</v>
      </c>
      <c r="Y1215" s="4">
        <f t="shared" si="572"/>
        <v>8.8536654280374503</v>
      </c>
      <c r="Z1215" s="4">
        <f t="shared" si="573"/>
        <v>6.4997870406558542</v>
      </c>
      <c r="AA1215" s="4">
        <f t="shared" si="574"/>
        <v>64.2</v>
      </c>
      <c r="AB1215" s="4">
        <f t="shared" si="575"/>
        <v>0</v>
      </c>
      <c r="AC1215" s="4">
        <f t="shared" si="576"/>
        <v>1</v>
      </c>
      <c r="AD1215" s="4">
        <f t="shared" si="577"/>
        <v>8.8536654280374503</v>
      </c>
      <c r="AE1215" s="4">
        <f t="shared" si="578"/>
        <v>6.4997870406558542</v>
      </c>
      <c r="AF1215" s="4">
        <f t="shared" si="579"/>
        <v>64.2</v>
      </c>
      <c r="AG1215" s="4">
        <f t="shared" si="580"/>
        <v>8.8536654280374503</v>
      </c>
      <c r="AH1215" s="4">
        <f t="shared" si="581"/>
        <v>0</v>
      </c>
      <c r="AI1215" s="4">
        <f t="shared" si="582"/>
        <v>1</v>
      </c>
      <c r="AJ1215" s="4">
        <f t="shared" si="583"/>
        <v>8.8536654280374503</v>
      </c>
      <c r="AK1215" s="4">
        <f t="shared" si="584"/>
        <v>6.4997870406558542</v>
      </c>
      <c r="AL1215" s="4">
        <f t="shared" si="585"/>
        <v>1</v>
      </c>
      <c r="AM1215" s="4">
        <f>CER!$C$7+CER!$C$8*J1215+CER!$C$9*K1215+CER!$C$10*L1215+CER!$C$11*M1215</f>
        <v>4.5595685952652607</v>
      </c>
      <c r="AN1215" s="4">
        <f t="shared" si="586"/>
        <v>95.54225355754869</v>
      </c>
      <c r="AO1215" s="4">
        <f t="shared" si="587"/>
        <v>0.1158438147770795</v>
      </c>
      <c r="AP1215" s="4">
        <f>Alternatives!$F$25+Alternatives!$F$26*J1215+Alternatives!$F$27*K1215+Alternatives!$F$28*G1215+Alternatives!$F$29*O1215</f>
        <v>4.0010325686227262</v>
      </c>
      <c r="AQ1215" s="4">
        <f t="shared" si="588"/>
        <v>0.67437984141961405</v>
      </c>
    </row>
    <row r="1216" spans="1:43" x14ac:dyDescent="0.35">
      <c r="A1216" s="2" t="s">
        <v>1068</v>
      </c>
      <c r="B1216" s="2" t="s">
        <v>1031</v>
      </c>
      <c r="C1216" s="2" t="s">
        <v>34</v>
      </c>
      <c r="D1216" s="2">
        <v>104.3925</v>
      </c>
      <c r="E1216" s="2">
        <v>7500</v>
      </c>
      <c r="F1216" s="2">
        <v>665</v>
      </c>
      <c r="G1216" s="2">
        <v>64.2</v>
      </c>
      <c r="H1216" s="2" t="s">
        <v>911</v>
      </c>
      <c r="I1216" s="4">
        <f t="shared" si="558"/>
        <v>4.6481578337875282</v>
      </c>
      <c r="J1216" s="4">
        <f t="shared" si="559"/>
        <v>8.9226582995244019</v>
      </c>
      <c r="K1216" s="4">
        <f t="shared" si="560"/>
        <v>6.4997870406558542</v>
      </c>
      <c r="L1216" s="2">
        <v>0</v>
      </c>
      <c r="M1216" s="2">
        <v>1</v>
      </c>
      <c r="N1216" s="4">
        <f t="shared" si="561"/>
        <v>64.2</v>
      </c>
      <c r="O1216" s="4">
        <f t="shared" si="562"/>
        <v>1</v>
      </c>
      <c r="P1216" s="4">
        <f t="shared" si="563"/>
        <v>2</v>
      </c>
      <c r="Q1216" s="4">
        <f t="shared" si="564"/>
        <v>8.9226582995244019</v>
      </c>
      <c r="R1216" s="4">
        <f t="shared" si="565"/>
        <v>6.4997870406558542</v>
      </c>
      <c r="S1216" s="4">
        <f t="shared" si="566"/>
        <v>64.2</v>
      </c>
      <c r="T1216" s="4">
        <f t="shared" si="567"/>
        <v>1</v>
      </c>
      <c r="U1216" s="4">
        <f t="shared" si="568"/>
        <v>8.9226582995244019</v>
      </c>
      <c r="V1216" s="4">
        <f t="shared" si="569"/>
        <v>6.4997870406558542</v>
      </c>
      <c r="W1216" s="4">
        <f t="shared" si="570"/>
        <v>64.2</v>
      </c>
      <c r="X1216" s="4">
        <f t="shared" si="571"/>
        <v>2</v>
      </c>
      <c r="Y1216" s="4">
        <f t="shared" si="572"/>
        <v>8.9226582995244019</v>
      </c>
      <c r="Z1216" s="4">
        <f t="shared" si="573"/>
        <v>6.4997870406558542</v>
      </c>
      <c r="AA1216" s="4">
        <f t="shared" si="574"/>
        <v>64.2</v>
      </c>
      <c r="AB1216" s="4">
        <f t="shared" si="575"/>
        <v>0</v>
      </c>
      <c r="AC1216" s="4">
        <f t="shared" si="576"/>
        <v>1</v>
      </c>
      <c r="AD1216" s="4">
        <f t="shared" si="577"/>
        <v>8.9226582995244019</v>
      </c>
      <c r="AE1216" s="4">
        <f t="shared" si="578"/>
        <v>6.4997870406558542</v>
      </c>
      <c r="AF1216" s="4">
        <f t="shared" si="579"/>
        <v>64.2</v>
      </c>
      <c r="AG1216" s="4">
        <f t="shared" si="580"/>
        <v>8.9226582995244019</v>
      </c>
      <c r="AH1216" s="4">
        <f t="shared" si="581"/>
        <v>0</v>
      </c>
      <c r="AI1216" s="4">
        <f t="shared" si="582"/>
        <v>1</v>
      </c>
      <c r="AJ1216" s="4">
        <f t="shared" si="583"/>
        <v>8.9226582995244019</v>
      </c>
      <c r="AK1216" s="4">
        <f t="shared" si="584"/>
        <v>6.4997870406558542</v>
      </c>
      <c r="AL1216" s="4">
        <f t="shared" si="585"/>
        <v>1</v>
      </c>
      <c r="AM1216" s="4">
        <f>CER!$C$7+CER!$C$8*J1216+CER!$C$9*K1216+CER!$C$10*L1216+CER!$C$11*M1216</f>
        <v>4.5283348931539802</v>
      </c>
      <c r="AN1216" s="4">
        <f t="shared" si="586"/>
        <v>92.604236685987615</v>
      </c>
      <c r="AO1216" s="4">
        <f t="shared" si="587"/>
        <v>0.11982294063354804</v>
      </c>
      <c r="AP1216" s="4">
        <f>Alternatives!$F$25+Alternatives!$F$26*J1216+Alternatives!$F$27*K1216+Alternatives!$F$28*G1216+Alternatives!$F$29*O1216</f>
        <v>4.0265658629484999</v>
      </c>
      <c r="AQ1216" s="4">
        <f t="shared" si="588"/>
        <v>0.62159197083902828</v>
      </c>
    </row>
    <row r="1217" spans="1:43" x14ac:dyDescent="0.35">
      <c r="A1217" s="2" t="s">
        <v>1069</v>
      </c>
      <c r="B1217" s="2" t="s">
        <v>1031</v>
      </c>
      <c r="C1217" s="2" t="s">
        <v>34</v>
      </c>
      <c r="D1217" s="2">
        <v>118.58929999999999</v>
      </c>
      <c r="E1217" s="2">
        <v>7000</v>
      </c>
      <c r="F1217" s="2">
        <v>665</v>
      </c>
      <c r="G1217" s="2">
        <v>64.2</v>
      </c>
      <c r="H1217" s="2" t="s">
        <v>911</v>
      </c>
      <c r="I1217" s="4">
        <f t="shared" si="558"/>
        <v>4.7756662632693425</v>
      </c>
      <c r="J1217" s="4">
        <f t="shared" si="559"/>
        <v>8.8536654280374503</v>
      </c>
      <c r="K1217" s="4">
        <f t="shared" si="560"/>
        <v>6.4997870406558542</v>
      </c>
      <c r="L1217" s="2">
        <v>0</v>
      </c>
      <c r="M1217" s="2">
        <v>1</v>
      </c>
      <c r="N1217" s="4">
        <f t="shared" si="561"/>
        <v>64.2</v>
      </c>
      <c r="O1217" s="4">
        <f t="shared" si="562"/>
        <v>1</v>
      </c>
      <c r="P1217" s="4">
        <f t="shared" si="563"/>
        <v>2</v>
      </c>
      <c r="Q1217" s="4">
        <f t="shared" si="564"/>
        <v>8.8536654280374503</v>
      </c>
      <c r="R1217" s="4">
        <f t="shared" si="565"/>
        <v>6.4997870406558542</v>
      </c>
      <c r="S1217" s="4">
        <f t="shared" si="566"/>
        <v>64.2</v>
      </c>
      <c r="T1217" s="4">
        <f t="shared" si="567"/>
        <v>1</v>
      </c>
      <c r="U1217" s="4">
        <f t="shared" si="568"/>
        <v>8.8536654280374503</v>
      </c>
      <c r="V1217" s="4">
        <f t="shared" si="569"/>
        <v>6.4997870406558542</v>
      </c>
      <c r="W1217" s="4">
        <f t="shared" si="570"/>
        <v>64.2</v>
      </c>
      <c r="X1217" s="4">
        <f t="shared" si="571"/>
        <v>2</v>
      </c>
      <c r="Y1217" s="4">
        <f t="shared" si="572"/>
        <v>8.8536654280374503</v>
      </c>
      <c r="Z1217" s="4">
        <f t="shared" si="573"/>
        <v>6.4997870406558542</v>
      </c>
      <c r="AA1217" s="4">
        <f t="shared" si="574"/>
        <v>64.2</v>
      </c>
      <c r="AB1217" s="4">
        <f t="shared" si="575"/>
        <v>0</v>
      </c>
      <c r="AC1217" s="4">
        <f t="shared" si="576"/>
        <v>1</v>
      </c>
      <c r="AD1217" s="4">
        <f t="shared" si="577"/>
        <v>8.8536654280374503</v>
      </c>
      <c r="AE1217" s="4">
        <f t="shared" si="578"/>
        <v>6.4997870406558542</v>
      </c>
      <c r="AF1217" s="4">
        <f t="shared" si="579"/>
        <v>64.2</v>
      </c>
      <c r="AG1217" s="4">
        <f t="shared" si="580"/>
        <v>8.8536654280374503</v>
      </c>
      <c r="AH1217" s="4">
        <f t="shared" si="581"/>
        <v>0</v>
      </c>
      <c r="AI1217" s="4">
        <f t="shared" si="582"/>
        <v>1</v>
      </c>
      <c r="AJ1217" s="4">
        <f t="shared" si="583"/>
        <v>8.8536654280374503</v>
      </c>
      <c r="AK1217" s="4">
        <f t="shared" si="584"/>
        <v>6.4997870406558542</v>
      </c>
      <c r="AL1217" s="4">
        <f t="shared" si="585"/>
        <v>1</v>
      </c>
      <c r="AM1217" s="4">
        <f>CER!$C$7+CER!$C$8*J1217+CER!$C$9*K1217+CER!$C$10*L1217+CER!$C$11*M1217</f>
        <v>4.5595685952652607</v>
      </c>
      <c r="AN1217" s="4">
        <f t="shared" si="586"/>
        <v>95.54225355754869</v>
      </c>
      <c r="AO1217" s="4">
        <f t="shared" si="587"/>
        <v>0.21609766800408181</v>
      </c>
      <c r="AP1217" s="4">
        <f>Alternatives!$F$25+Alternatives!$F$26*J1217+Alternatives!$F$27*K1217+Alternatives!$F$28*G1217+Alternatives!$F$29*O1217</f>
        <v>4.0010325686227262</v>
      </c>
      <c r="AQ1217" s="4">
        <f t="shared" si="588"/>
        <v>0.77463369464661636</v>
      </c>
    </row>
    <row r="1218" spans="1:43" x14ac:dyDescent="0.35">
      <c r="A1218" s="2" t="s">
        <v>1070</v>
      </c>
      <c r="B1218" s="2" t="s">
        <v>1031</v>
      </c>
      <c r="C1218" s="2" t="s">
        <v>34</v>
      </c>
      <c r="D1218" s="2">
        <v>107.27679999999999</v>
      </c>
      <c r="E1218" s="2">
        <v>7000</v>
      </c>
      <c r="F1218" s="2">
        <v>665</v>
      </c>
      <c r="G1218" s="2">
        <v>64.2</v>
      </c>
      <c r="H1218" s="2" t="s">
        <v>911</v>
      </c>
      <c r="I1218" s="4">
        <f t="shared" ref="I1218:I1286" si="589">LN(D1218)</f>
        <v>4.6754124100423402</v>
      </c>
      <c r="J1218" s="4">
        <f t="shared" ref="J1218:J1286" si="590">LN(E1218)</f>
        <v>8.8536654280374503</v>
      </c>
      <c r="K1218" s="4">
        <f t="shared" ref="K1218:K1286" si="591">LN(F1218)</f>
        <v>6.4997870406558542</v>
      </c>
      <c r="L1218" s="2">
        <v>0</v>
      </c>
      <c r="M1218" s="2">
        <v>1</v>
      </c>
      <c r="N1218" s="4">
        <f t="shared" ref="N1218:N1286" si="592">G1218</f>
        <v>64.2</v>
      </c>
      <c r="O1218" s="4">
        <f t="shared" ref="O1218:O1286" si="593">L1218+M1218</f>
        <v>1</v>
      </c>
      <c r="P1218" s="4">
        <f t="shared" ref="P1218:P1286" si="594">L1218+2*M1218</f>
        <v>2</v>
      </c>
      <c r="Q1218" s="4">
        <f t="shared" ref="Q1218:Q1286" si="595">J1218</f>
        <v>8.8536654280374503</v>
      </c>
      <c r="R1218" s="4">
        <f t="shared" ref="R1218:R1286" si="596">K1218</f>
        <v>6.4997870406558542</v>
      </c>
      <c r="S1218" s="4">
        <f t="shared" ref="S1218:S1286" si="597">G1218</f>
        <v>64.2</v>
      </c>
      <c r="T1218" s="4">
        <f t="shared" ref="T1218:T1286" si="598">O1218</f>
        <v>1</v>
      </c>
      <c r="U1218" s="4">
        <f t="shared" ref="U1218:U1286" si="599">J1218</f>
        <v>8.8536654280374503</v>
      </c>
      <c r="V1218" s="4">
        <f t="shared" ref="V1218:V1286" si="600">K1218</f>
        <v>6.4997870406558542</v>
      </c>
      <c r="W1218" s="4">
        <f t="shared" ref="W1218:W1286" si="601">G1218</f>
        <v>64.2</v>
      </c>
      <c r="X1218" s="4">
        <f t="shared" ref="X1218:X1286" si="602">P1218</f>
        <v>2</v>
      </c>
      <c r="Y1218" s="4">
        <f t="shared" ref="Y1218:Y1286" si="603">J1218</f>
        <v>8.8536654280374503</v>
      </c>
      <c r="Z1218" s="4">
        <f t="shared" ref="Z1218:Z1286" si="604">K1218</f>
        <v>6.4997870406558542</v>
      </c>
      <c r="AA1218" s="4">
        <f t="shared" ref="AA1218:AA1286" si="605">G1218</f>
        <v>64.2</v>
      </c>
      <c r="AB1218" s="4">
        <f t="shared" ref="AB1218:AB1286" si="606">L1218</f>
        <v>0</v>
      </c>
      <c r="AC1218" s="4">
        <f t="shared" ref="AC1218:AC1286" si="607">M1218</f>
        <v>1</v>
      </c>
      <c r="AD1218" s="4">
        <f t="shared" ref="AD1218:AD1286" si="608">M1218*J1218</f>
        <v>8.8536654280374503</v>
      </c>
      <c r="AE1218" s="4">
        <f t="shared" ref="AE1218:AE1286" si="609">M1218*K1218</f>
        <v>6.4997870406558542</v>
      </c>
      <c r="AF1218" s="4">
        <f t="shared" ref="AF1218:AF1286" si="610">M1218*G1218</f>
        <v>64.2</v>
      </c>
      <c r="AG1218" s="4">
        <f t="shared" ref="AG1218:AG1286" si="611">J1218</f>
        <v>8.8536654280374503</v>
      </c>
      <c r="AH1218" s="4">
        <f t="shared" ref="AH1218:AH1286" si="612">L1218</f>
        <v>0</v>
      </c>
      <c r="AI1218" s="4">
        <f t="shared" ref="AI1218:AI1286" si="613">M1218</f>
        <v>1</v>
      </c>
      <c r="AJ1218" s="4">
        <f t="shared" ref="AJ1218:AJ1286" si="614">J1218</f>
        <v>8.8536654280374503</v>
      </c>
      <c r="AK1218" s="4">
        <f t="shared" ref="AK1218:AK1286" si="615">K1218</f>
        <v>6.4997870406558542</v>
      </c>
      <c r="AL1218" s="4">
        <f t="shared" ref="AL1218:AL1286" si="616">M1218</f>
        <v>1</v>
      </c>
      <c r="AM1218" s="4">
        <f>CER!$C$7+CER!$C$8*J1218+CER!$C$9*K1218+CER!$C$10*L1218+CER!$C$11*M1218</f>
        <v>4.5595685952652607</v>
      </c>
      <c r="AN1218" s="4">
        <f t="shared" ref="AN1218:AN1281" si="617">EXP(AM1218)</f>
        <v>95.54225355754869</v>
      </c>
      <c r="AO1218" s="4">
        <f t="shared" ref="AO1218:AO1286" si="618">I1218-AM1218</f>
        <v>0.1158438147770795</v>
      </c>
      <c r="AP1218" s="4">
        <f>Alternatives!$F$25+Alternatives!$F$26*J1218+Alternatives!$F$27*K1218+Alternatives!$F$28*G1218+Alternatives!$F$29*O1218</f>
        <v>4.0010325686227262</v>
      </c>
      <c r="AQ1218" s="4">
        <f t="shared" ref="AQ1218:AQ1281" si="619">I1218-AP1218</f>
        <v>0.67437984141961405</v>
      </c>
    </row>
    <row r="1219" spans="1:43" x14ac:dyDescent="0.35">
      <c r="A1219" s="2" t="s">
        <v>1071</v>
      </c>
      <c r="B1219" s="2" t="s">
        <v>1031</v>
      </c>
      <c r="C1219" s="2" t="s">
        <v>34</v>
      </c>
      <c r="D1219" s="2">
        <v>106.51690000000001</v>
      </c>
      <c r="E1219" s="2">
        <v>7000</v>
      </c>
      <c r="F1219" s="2">
        <v>665</v>
      </c>
      <c r="G1219" s="2">
        <v>64.2</v>
      </c>
      <c r="H1219" s="2" t="s">
        <v>911</v>
      </c>
      <c r="I1219" s="4">
        <f t="shared" si="589"/>
        <v>4.6683036580062858</v>
      </c>
      <c r="J1219" s="4">
        <f t="shared" si="590"/>
        <v>8.8536654280374503</v>
      </c>
      <c r="K1219" s="4">
        <f t="shared" si="591"/>
        <v>6.4997870406558542</v>
      </c>
      <c r="L1219" s="2">
        <v>0</v>
      </c>
      <c r="M1219" s="2">
        <v>1</v>
      </c>
      <c r="N1219" s="4">
        <f t="shared" si="592"/>
        <v>64.2</v>
      </c>
      <c r="O1219" s="4">
        <f t="shared" si="593"/>
        <v>1</v>
      </c>
      <c r="P1219" s="4">
        <f t="shared" si="594"/>
        <v>2</v>
      </c>
      <c r="Q1219" s="4">
        <f t="shared" si="595"/>
        <v>8.8536654280374503</v>
      </c>
      <c r="R1219" s="4">
        <f t="shared" si="596"/>
        <v>6.4997870406558542</v>
      </c>
      <c r="S1219" s="4">
        <f t="shared" si="597"/>
        <v>64.2</v>
      </c>
      <c r="T1219" s="4">
        <f t="shared" si="598"/>
        <v>1</v>
      </c>
      <c r="U1219" s="4">
        <f t="shared" si="599"/>
        <v>8.8536654280374503</v>
      </c>
      <c r="V1219" s="4">
        <f t="shared" si="600"/>
        <v>6.4997870406558542</v>
      </c>
      <c r="W1219" s="4">
        <f t="shared" si="601"/>
        <v>64.2</v>
      </c>
      <c r="X1219" s="4">
        <f t="shared" si="602"/>
        <v>2</v>
      </c>
      <c r="Y1219" s="4">
        <f t="shared" si="603"/>
        <v>8.8536654280374503</v>
      </c>
      <c r="Z1219" s="4">
        <f t="shared" si="604"/>
        <v>6.4997870406558542</v>
      </c>
      <c r="AA1219" s="4">
        <f t="shared" si="605"/>
        <v>64.2</v>
      </c>
      <c r="AB1219" s="4">
        <f t="shared" si="606"/>
        <v>0</v>
      </c>
      <c r="AC1219" s="4">
        <f t="shared" si="607"/>
        <v>1</v>
      </c>
      <c r="AD1219" s="4">
        <f t="shared" si="608"/>
        <v>8.8536654280374503</v>
      </c>
      <c r="AE1219" s="4">
        <f t="shared" si="609"/>
        <v>6.4997870406558542</v>
      </c>
      <c r="AF1219" s="4">
        <f t="shared" si="610"/>
        <v>64.2</v>
      </c>
      <c r="AG1219" s="4">
        <f t="shared" si="611"/>
        <v>8.8536654280374503</v>
      </c>
      <c r="AH1219" s="4">
        <f t="shared" si="612"/>
        <v>0</v>
      </c>
      <c r="AI1219" s="4">
        <f t="shared" si="613"/>
        <v>1</v>
      </c>
      <c r="AJ1219" s="4">
        <f t="shared" si="614"/>
        <v>8.8536654280374503</v>
      </c>
      <c r="AK1219" s="4">
        <f t="shared" si="615"/>
        <v>6.4997870406558542</v>
      </c>
      <c r="AL1219" s="4">
        <f t="shared" si="616"/>
        <v>1</v>
      </c>
      <c r="AM1219" s="4">
        <f>CER!$C$7+CER!$C$8*J1219+CER!$C$9*K1219+CER!$C$10*L1219+CER!$C$11*M1219</f>
        <v>4.5595685952652607</v>
      </c>
      <c r="AN1219" s="4">
        <f t="shared" si="617"/>
        <v>95.54225355754869</v>
      </c>
      <c r="AO1219" s="4">
        <f t="shared" si="618"/>
        <v>0.10873506274102507</v>
      </c>
      <c r="AP1219" s="4">
        <f>Alternatives!$F$25+Alternatives!$F$26*J1219+Alternatives!$F$27*K1219+Alternatives!$F$28*G1219+Alternatives!$F$29*O1219</f>
        <v>4.0010325686227262</v>
      </c>
      <c r="AQ1219" s="4">
        <f t="shared" si="619"/>
        <v>0.66727108938355961</v>
      </c>
    </row>
    <row r="1220" spans="1:43" x14ac:dyDescent="0.35">
      <c r="A1220" s="2" t="s">
        <v>1072</v>
      </c>
      <c r="B1220" s="2" t="s">
        <v>1031</v>
      </c>
      <c r="C1220" s="2" t="s">
        <v>34</v>
      </c>
      <c r="D1220" s="2">
        <v>100.2478</v>
      </c>
      <c r="E1220" s="2">
        <v>7000</v>
      </c>
      <c r="F1220" s="2">
        <v>665</v>
      </c>
      <c r="G1220" s="2">
        <v>64.2</v>
      </c>
      <c r="H1220" s="2" t="s">
        <v>881</v>
      </c>
      <c r="I1220" s="4">
        <f t="shared" si="589"/>
        <v>4.6076451208087237</v>
      </c>
      <c r="J1220" s="4">
        <f t="shared" si="590"/>
        <v>8.8536654280374503</v>
      </c>
      <c r="K1220" s="4">
        <f t="shared" si="591"/>
        <v>6.4997870406558542</v>
      </c>
      <c r="L1220" s="2">
        <v>0</v>
      </c>
      <c r="M1220" s="2">
        <v>1</v>
      </c>
      <c r="N1220" s="4">
        <f t="shared" si="592"/>
        <v>64.2</v>
      </c>
      <c r="O1220" s="4">
        <f t="shared" si="593"/>
        <v>1</v>
      </c>
      <c r="P1220" s="4">
        <f t="shared" si="594"/>
        <v>2</v>
      </c>
      <c r="Q1220" s="4">
        <f t="shared" si="595"/>
        <v>8.8536654280374503</v>
      </c>
      <c r="R1220" s="4">
        <f t="shared" si="596"/>
        <v>6.4997870406558542</v>
      </c>
      <c r="S1220" s="4">
        <f t="shared" si="597"/>
        <v>64.2</v>
      </c>
      <c r="T1220" s="4">
        <f t="shared" si="598"/>
        <v>1</v>
      </c>
      <c r="U1220" s="4">
        <f t="shared" si="599"/>
        <v>8.8536654280374503</v>
      </c>
      <c r="V1220" s="4">
        <f t="shared" si="600"/>
        <v>6.4997870406558542</v>
      </c>
      <c r="W1220" s="4">
        <f t="shared" si="601"/>
        <v>64.2</v>
      </c>
      <c r="X1220" s="4">
        <f t="shared" si="602"/>
        <v>2</v>
      </c>
      <c r="Y1220" s="4">
        <f t="shared" si="603"/>
        <v>8.8536654280374503</v>
      </c>
      <c r="Z1220" s="4">
        <f t="shared" si="604"/>
        <v>6.4997870406558542</v>
      </c>
      <c r="AA1220" s="4">
        <f t="shared" si="605"/>
        <v>64.2</v>
      </c>
      <c r="AB1220" s="4">
        <f t="shared" si="606"/>
        <v>0</v>
      </c>
      <c r="AC1220" s="4">
        <f t="shared" si="607"/>
        <v>1</v>
      </c>
      <c r="AD1220" s="4">
        <f t="shared" si="608"/>
        <v>8.8536654280374503</v>
      </c>
      <c r="AE1220" s="4">
        <f t="shared" si="609"/>
        <v>6.4997870406558542</v>
      </c>
      <c r="AF1220" s="4">
        <f t="shared" si="610"/>
        <v>64.2</v>
      </c>
      <c r="AG1220" s="4">
        <f t="shared" si="611"/>
        <v>8.8536654280374503</v>
      </c>
      <c r="AH1220" s="4">
        <f t="shared" si="612"/>
        <v>0</v>
      </c>
      <c r="AI1220" s="4">
        <f t="shared" si="613"/>
        <v>1</v>
      </c>
      <c r="AJ1220" s="4">
        <f t="shared" si="614"/>
        <v>8.8536654280374503</v>
      </c>
      <c r="AK1220" s="4">
        <f t="shared" si="615"/>
        <v>6.4997870406558542</v>
      </c>
      <c r="AL1220" s="4">
        <f t="shared" si="616"/>
        <v>1</v>
      </c>
      <c r="AM1220" s="4">
        <f>CER!$C$7+CER!$C$8*J1220+CER!$C$9*K1220+CER!$C$10*L1220+CER!$C$11*M1220</f>
        <v>4.5595685952652607</v>
      </c>
      <c r="AN1220" s="4">
        <f t="shared" si="617"/>
        <v>95.54225355754869</v>
      </c>
      <c r="AO1220" s="4">
        <f t="shared" si="618"/>
        <v>4.8076525543462978E-2</v>
      </c>
      <c r="AP1220" s="4">
        <f>Alternatives!$F$25+Alternatives!$F$26*J1220+Alternatives!$F$27*K1220+Alternatives!$F$28*G1220+Alternatives!$F$29*O1220</f>
        <v>4.0010325686227262</v>
      </c>
      <c r="AQ1220" s="4">
        <f t="shared" si="619"/>
        <v>0.60661255218599752</v>
      </c>
    </row>
    <row r="1221" spans="1:43" x14ac:dyDescent="0.35">
      <c r="A1221" s="2" t="s">
        <v>1073</v>
      </c>
      <c r="B1221" s="2" t="s">
        <v>1031</v>
      </c>
      <c r="C1221" s="2" t="s">
        <v>34</v>
      </c>
      <c r="D1221" s="2">
        <v>93.232299999999995</v>
      </c>
      <c r="E1221" s="2">
        <v>7500</v>
      </c>
      <c r="F1221" s="2">
        <v>665</v>
      </c>
      <c r="G1221" s="2">
        <v>64.2</v>
      </c>
      <c r="H1221" s="2" t="s">
        <v>911</v>
      </c>
      <c r="I1221" s="4">
        <f t="shared" si="589"/>
        <v>4.5350942281748443</v>
      </c>
      <c r="J1221" s="4">
        <f t="shared" si="590"/>
        <v>8.9226582995244019</v>
      </c>
      <c r="K1221" s="4">
        <f t="shared" si="591"/>
        <v>6.4997870406558542</v>
      </c>
      <c r="L1221" s="2">
        <v>0</v>
      </c>
      <c r="M1221" s="2">
        <v>1</v>
      </c>
      <c r="N1221" s="4">
        <f t="shared" si="592"/>
        <v>64.2</v>
      </c>
      <c r="O1221" s="4">
        <f t="shared" si="593"/>
        <v>1</v>
      </c>
      <c r="P1221" s="4">
        <f t="shared" si="594"/>
        <v>2</v>
      </c>
      <c r="Q1221" s="4">
        <f t="shared" si="595"/>
        <v>8.9226582995244019</v>
      </c>
      <c r="R1221" s="4">
        <f t="shared" si="596"/>
        <v>6.4997870406558542</v>
      </c>
      <c r="S1221" s="4">
        <f t="shared" si="597"/>
        <v>64.2</v>
      </c>
      <c r="T1221" s="4">
        <f t="shared" si="598"/>
        <v>1</v>
      </c>
      <c r="U1221" s="4">
        <f t="shared" si="599"/>
        <v>8.9226582995244019</v>
      </c>
      <c r="V1221" s="4">
        <f t="shared" si="600"/>
        <v>6.4997870406558542</v>
      </c>
      <c r="W1221" s="4">
        <f t="shared" si="601"/>
        <v>64.2</v>
      </c>
      <c r="X1221" s="4">
        <f t="shared" si="602"/>
        <v>2</v>
      </c>
      <c r="Y1221" s="4">
        <f t="shared" si="603"/>
        <v>8.9226582995244019</v>
      </c>
      <c r="Z1221" s="4">
        <f t="shared" si="604"/>
        <v>6.4997870406558542</v>
      </c>
      <c r="AA1221" s="4">
        <f t="shared" si="605"/>
        <v>64.2</v>
      </c>
      <c r="AB1221" s="4">
        <f t="shared" si="606"/>
        <v>0</v>
      </c>
      <c r="AC1221" s="4">
        <f t="shared" si="607"/>
        <v>1</v>
      </c>
      <c r="AD1221" s="4">
        <f t="shared" si="608"/>
        <v>8.9226582995244019</v>
      </c>
      <c r="AE1221" s="4">
        <f t="shared" si="609"/>
        <v>6.4997870406558542</v>
      </c>
      <c r="AF1221" s="4">
        <f t="shared" si="610"/>
        <v>64.2</v>
      </c>
      <c r="AG1221" s="4">
        <f t="shared" si="611"/>
        <v>8.9226582995244019</v>
      </c>
      <c r="AH1221" s="4">
        <f t="shared" si="612"/>
        <v>0</v>
      </c>
      <c r="AI1221" s="4">
        <f t="shared" si="613"/>
        <v>1</v>
      </c>
      <c r="AJ1221" s="4">
        <f t="shared" si="614"/>
        <v>8.9226582995244019</v>
      </c>
      <c r="AK1221" s="4">
        <f t="shared" si="615"/>
        <v>6.4997870406558542</v>
      </c>
      <c r="AL1221" s="4">
        <f t="shared" si="616"/>
        <v>1</v>
      </c>
      <c r="AM1221" s="4">
        <f>CER!$C$7+CER!$C$8*J1221+CER!$C$9*K1221+CER!$C$10*L1221+CER!$C$11*M1221</f>
        <v>4.5283348931539802</v>
      </c>
      <c r="AN1221" s="4">
        <f t="shared" si="617"/>
        <v>92.604236685987615</v>
      </c>
      <c r="AO1221" s="4">
        <f t="shared" si="618"/>
        <v>6.7593350208641212E-3</v>
      </c>
      <c r="AP1221" s="4">
        <f>Alternatives!$F$25+Alternatives!$F$26*J1221+Alternatives!$F$27*K1221+Alternatives!$F$28*G1221+Alternatives!$F$29*O1221</f>
        <v>4.0265658629484999</v>
      </c>
      <c r="AQ1221" s="4">
        <f t="shared" si="619"/>
        <v>0.50852836522634437</v>
      </c>
    </row>
    <row r="1222" spans="1:43" x14ac:dyDescent="0.35">
      <c r="A1222" s="2" t="s">
        <v>1074</v>
      </c>
      <c r="B1222" s="2" t="s">
        <v>1031</v>
      </c>
      <c r="C1222" s="2" t="s">
        <v>34</v>
      </c>
      <c r="D1222" s="2">
        <v>109.9173</v>
      </c>
      <c r="E1222" s="2">
        <v>7000</v>
      </c>
      <c r="F1222" s="2">
        <v>665</v>
      </c>
      <c r="G1222" s="2">
        <v>64.2</v>
      </c>
      <c r="H1222" s="2" t="s">
        <v>911</v>
      </c>
      <c r="I1222" s="4">
        <f t="shared" si="589"/>
        <v>4.6997282648535785</v>
      </c>
      <c r="J1222" s="4">
        <f t="shared" si="590"/>
        <v>8.8536654280374503</v>
      </c>
      <c r="K1222" s="4">
        <f t="shared" si="591"/>
        <v>6.4997870406558542</v>
      </c>
      <c r="L1222" s="2">
        <v>0</v>
      </c>
      <c r="M1222" s="2">
        <v>1</v>
      </c>
      <c r="N1222" s="4">
        <f t="shared" si="592"/>
        <v>64.2</v>
      </c>
      <c r="O1222" s="4">
        <f t="shared" si="593"/>
        <v>1</v>
      </c>
      <c r="P1222" s="4">
        <f t="shared" si="594"/>
        <v>2</v>
      </c>
      <c r="Q1222" s="4">
        <f t="shared" si="595"/>
        <v>8.8536654280374503</v>
      </c>
      <c r="R1222" s="4">
        <f t="shared" si="596"/>
        <v>6.4997870406558542</v>
      </c>
      <c r="S1222" s="4">
        <f t="shared" si="597"/>
        <v>64.2</v>
      </c>
      <c r="T1222" s="4">
        <f t="shared" si="598"/>
        <v>1</v>
      </c>
      <c r="U1222" s="4">
        <f t="shared" si="599"/>
        <v>8.8536654280374503</v>
      </c>
      <c r="V1222" s="4">
        <f t="shared" si="600"/>
        <v>6.4997870406558542</v>
      </c>
      <c r="W1222" s="4">
        <f t="shared" si="601"/>
        <v>64.2</v>
      </c>
      <c r="X1222" s="4">
        <f t="shared" si="602"/>
        <v>2</v>
      </c>
      <c r="Y1222" s="4">
        <f t="shared" si="603"/>
        <v>8.8536654280374503</v>
      </c>
      <c r="Z1222" s="4">
        <f t="shared" si="604"/>
        <v>6.4997870406558542</v>
      </c>
      <c r="AA1222" s="4">
        <f t="shared" si="605"/>
        <v>64.2</v>
      </c>
      <c r="AB1222" s="4">
        <f t="shared" si="606"/>
        <v>0</v>
      </c>
      <c r="AC1222" s="4">
        <f t="shared" si="607"/>
        <v>1</v>
      </c>
      <c r="AD1222" s="4">
        <f t="shared" si="608"/>
        <v>8.8536654280374503</v>
      </c>
      <c r="AE1222" s="4">
        <f t="shared" si="609"/>
        <v>6.4997870406558542</v>
      </c>
      <c r="AF1222" s="4">
        <f t="shared" si="610"/>
        <v>64.2</v>
      </c>
      <c r="AG1222" s="4">
        <f t="shared" si="611"/>
        <v>8.8536654280374503</v>
      </c>
      <c r="AH1222" s="4">
        <f t="shared" si="612"/>
        <v>0</v>
      </c>
      <c r="AI1222" s="4">
        <f t="shared" si="613"/>
        <v>1</v>
      </c>
      <c r="AJ1222" s="4">
        <f t="shared" si="614"/>
        <v>8.8536654280374503</v>
      </c>
      <c r="AK1222" s="4">
        <f t="shared" si="615"/>
        <v>6.4997870406558542</v>
      </c>
      <c r="AL1222" s="4">
        <f t="shared" si="616"/>
        <v>1</v>
      </c>
      <c r="AM1222" s="4">
        <f>CER!$C$7+CER!$C$8*J1222+CER!$C$9*K1222+CER!$C$10*L1222+CER!$C$11*M1222</f>
        <v>4.5595685952652607</v>
      </c>
      <c r="AN1222" s="4">
        <f t="shared" si="617"/>
        <v>95.54225355754869</v>
      </c>
      <c r="AO1222" s="4">
        <f t="shared" si="618"/>
        <v>0.14015966958831783</v>
      </c>
      <c r="AP1222" s="4">
        <f>Alternatives!$F$25+Alternatives!$F$26*J1222+Alternatives!$F$27*K1222+Alternatives!$F$28*G1222+Alternatives!$F$29*O1222</f>
        <v>4.0010325686227262</v>
      </c>
      <c r="AQ1222" s="4">
        <f t="shared" si="619"/>
        <v>0.69869569623085237</v>
      </c>
    </row>
    <row r="1223" spans="1:43" x14ac:dyDescent="0.35">
      <c r="A1223" s="2" t="s">
        <v>1075</v>
      </c>
      <c r="B1223" s="2" t="s">
        <v>1031</v>
      </c>
      <c r="C1223" s="2" t="s">
        <v>34</v>
      </c>
      <c r="D1223" s="2">
        <v>103.0073</v>
      </c>
      <c r="E1223" s="2">
        <v>7000</v>
      </c>
      <c r="F1223" s="2">
        <v>665</v>
      </c>
      <c r="G1223" s="2">
        <v>64.2</v>
      </c>
      <c r="H1223" s="2" t="s">
        <v>911</v>
      </c>
      <c r="I1223" s="4">
        <f t="shared" si="589"/>
        <v>4.6347998595046151</v>
      </c>
      <c r="J1223" s="4">
        <f t="shared" si="590"/>
        <v>8.8536654280374503</v>
      </c>
      <c r="K1223" s="4">
        <f t="shared" si="591"/>
        <v>6.4997870406558542</v>
      </c>
      <c r="L1223" s="2">
        <v>0</v>
      </c>
      <c r="M1223" s="2">
        <v>1</v>
      </c>
      <c r="N1223" s="4">
        <f t="shared" si="592"/>
        <v>64.2</v>
      </c>
      <c r="O1223" s="4">
        <f t="shared" si="593"/>
        <v>1</v>
      </c>
      <c r="P1223" s="4">
        <f t="shared" si="594"/>
        <v>2</v>
      </c>
      <c r="Q1223" s="4">
        <f t="shared" si="595"/>
        <v>8.8536654280374503</v>
      </c>
      <c r="R1223" s="4">
        <f t="shared" si="596"/>
        <v>6.4997870406558542</v>
      </c>
      <c r="S1223" s="4">
        <f t="shared" si="597"/>
        <v>64.2</v>
      </c>
      <c r="T1223" s="4">
        <f t="shared" si="598"/>
        <v>1</v>
      </c>
      <c r="U1223" s="4">
        <f t="shared" si="599"/>
        <v>8.8536654280374503</v>
      </c>
      <c r="V1223" s="4">
        <f t="shared" si="600"/>
        <v>6.4997870406558542</v>
      </c>
      <c r="W1223" s="4">
        <f t="shared" si="601"/>
        <v>64.2</v>
      </c>
      <c r="X1223" s="4">
        <f t="shared" si="602"/>
        <v>2</v>
      </c>
      <c r="Y1223" s="4">
        <f t="shared" si="603"/>
        <v>8.8536654280374503</v>
      </c>
      <c r="Z1223" s="4">
        <f t="shared" si="604"/>
        <v>6.4997870406558542</v>
      </c>
      <c r="AA1223" s="4">
        <f t="shared" si="605"/>
        <v>64.2</v>
      </c>
      <c r="AB1223" s="4">
        <f t="shared" si="606"/>
        <v>0</v>
      </c>
      <c r="AC1223" s="4">
        <f t="shared" si="607"/>
        <v>1</v>
      </c>
      <c r="AD1223" s="4">
        <f t="shared" si="608"/>
        <v>8.8536654280374503</v>
      </c>
      <c r="AE1223" s="4">
        <f t="shared" si="609"/>
        <v>6.4997870406558542</v>
      </c>
      <c r="AF1223" s="4">
        <f t="shared" si="610"/>
        <v>64.2</v>
      </c>
      <c r="AG1223" s="4">
        <f t="shared" si="611"/>
        <v>8.8536654280374503</v>
      </c>
      <c r="AH1223" s="4">
        <f t="shared" si="612"/>
        <v>0</v>
      </c>
      <c r="AI1223" s="4">
        <f t="shared" si="613"/>
        <v>1</v>
      </c>
      <c r="AJ1223" s="4">
        <f t="shared" si="614"/>
        <v>8.8536654280374503</v>
      </c>
      <c r="AK1223" s="4">
        <f t="shared" si="615"/>
        <v>6.4997870406558542</v>
      </c>
      <c r="AL1223" s="4">
        <f t="shared" si="616"/>
        <v>1</v>
      </c>
      <c r="AM1223" s="4">
        <f>CER!$C$7+CER!$C$8*J1223+CER!$C$9*K1223+CER!$C$10*L1223+CER!$C$11*M1223</f>
        <v>4.5595685952652607</v>
      </c>
      <c r="AN1223" s="4">
        <f t="shared" si="617"/>
        <v>95.54225355754869</v>
      </c>
      <c r="AO1223" s="4">
        <f t="shared" si="618"/>
        <v>7.5231264239354445E-2</v>
      </c>
      <c r="AP1223" s="4">
        <f>Alternatives!$F$25+Alternatives!$F$26*J1223+Alternatives!$F$27*K1223+Alternatives!$F$28*G1223+Alternatives!$F$29*O1223</f>
        <v>4.0010325686227262</v>
      </c>
      <c r="AQ1223" s="4">
        <f t="shared" si="619"/>
        <v>0.63376729088188899</v>
      </c>
    </row>
    <row r="1224" spans="1:43" x14ac:dyDescent="0.35">
      <c r="A1224" s="2" t="s">
        <v>1076</v>
      </c>
      <c r="B1224" s="2" t="s">
        <v>1031</v>
      </c>
      <c r="C1224" s="2" t="s">
        <v>34</v>
      </c>
      <c r="D1224" s="2">
        <v>93.232299999999995</v>
      </c>
      <c r="E1224" s="2">
        <v>7500</v>
      </c>
      <c r="F1224" s="2">
        <v>665</v>
      </c>
      <c r="G1224" s="2">
        <v>64.2</v>
      </c>
      <c r="H1224" s="2" t="s">
        <v>911</v>
      </c>
      <c r="I1224" s="4">
        <f t="shared" si="589"/>
        <v>4.5350942281748443</v>
      </c>
      <c r="J1224" s="4">
        <f t="shared" si="590"/>
        <v>8.9226582995244019</v>
      </c>
      <c r="K1224" s="4">
        <f t="shared" si="591"/>
        <v>6.4997870406558542</v>
      </c>
      <c r="L1224" s="2">
        <v>0</v>
      </c>
      <c r="M1224" s="2">
        <v>1</v>
      </c>
      <c r="N1224" s="4">
        <f t="shared" si="592"/>
        <v>64.2</v>
      </c>
      <c r="O1224" s="4">
        <f t="shared" si="593"/>
        <v>1</v>
      </c>
      <c r="P1224" s="4">
        <f t="shared" si="594"/>
        <v>2</v>
      </c>
      <c r="Q1224" s="4">
        <f t="shared" si="595"/>
        <v>8.9226582995244019</v>
      </c>
      <c r="R1224" s="4">
        <f t="shared" si="596"/>
        <v>6.4997870406558542</v>
      </c>
      <c r="S1224" s="4">
        <f t="shared" si="597"/>
        <v>64.2</v>
      </c>
      <c r="T1224" s="4">
        <f t="shared" si="598"/>
        <v>1</v>
      </c>
      <c r="U1224" s="4">
        <f t="shared" si="599"/>
        <v>8.9226582995244019</v>
      </c>
      <c r="V1224" s="4">
        <f t="shared" si="600"/>
        <v>6.4997870406558542</v>
      </c>
      <c r="W1224" s="4">
        <f t="shared" si="601"/>
        <v>64.2</v>
      </c>
      <c r="X1224" s="4">
        <f t="shared" si="602"/>
        <v>2</v>
      </c>
      <c r="Y1224" s="4">
        <f t="shared" si="603"/>
        <v>8.9226582995244019</v>
      </c>
      <c r="Z1224" s="4">
        <f t="shared" si="604"/>
        <v>6.4997870406558542</v>
      </c>
      <c r="AA1224" s="4">
        <f t="shared" si="605"/>
        <v>64.2</v>
      </c>
      <c r="AB1224" s="4">
        <f t="shared" si="606"/>
        <v>0</v>
      </c>
      <c r="AC1224" s="4">
        <f t="shared" si="607"/>
        <v>1</v>
      </c>
      <c r="AD1224" s="4">
        <f t="shared" si="608"/>
        <v>8.9226582995244019</v>
      </c>
      <c r="AE1224" s="4">
        <f t="shared" si="609"/>
        <v>6.4997870406558542</v>
      </c>
      <c r="AF1224" s="4">
        <f t="shared" si="610"/>
        <v>64.2</v>
      </c>
      <c r="AG1224" s="4">
        <f t="shared" si="611"/>
        <v>8.9226582995244019</v>
      </c>
      <c r="AH1224" s="4">
        <f t="shared" si="612"/>
        <v>0</v>
      </c>
      <c r="AI1224" s="4">
        <f t="shared" si="613"/>
        <v>1</v>
      </c>
      <c r="AJ1224" s="4">
        <f t="shared" si="614"/>
        <v>8.9226582995244019</v>
      </c>
      <c r="AK1224" s="4">
        <f t="shared" si="615"/>
        <v>6.4997870406558542</v>
      </c>
      <c r="AL1224" s="4">
        <f t="shared" si="616"/>
        <v>1</v>
      </c>
      <c r="AM1224" s="4">
        <f>CER!$C$7+CER!$C$8*J1224+CER!$C$9*K1224+CER!$C$10*L1224+CER!$C$11*M1224</f>
        <v>4.5283348931539802</v>
      </c>
      <c r="AN1224" s="4">
        <f t="shared" si="617"/>
        <v>92.604236685987615</v>
      </c>
      <c r="AO1224" s="4">
        <f t="shared" si="618"/>
        <v>6.7593350208641212E-3</v>
      </c>
      <c r="AP1224" s="4">
        <f>Alternatives!$F$25+Alternatives!$F$26*J1224+Alternatives!$F$27*K1224+Alternatives!$F$28*G1224+Alternatives!$F$29*O1224</f>
        <v>4.0265658629484999</v>
      </c>
      <c r="AQ1224" s="4">
        <f t="shared" si="619"/>
        <v>0.50852836522634437</v>
      </c>
    </row>
    <row r="1225" spans="1:43" x14ac:dyDescent="0.35">
      <c r="A1225" s="2" t="s">
        <v>1077</v>
      </c>
      <c r="B1225" s="2" t="s">
        <v>1031</v>
      </c>
      <c r="C1225" s="2" t="s">
        <v>34</v>
      </c>
      <c r="D1225" s="2">
        <v>109.9173</v>
      </c>
      <c r="E1225" s="2">
        <v>7000</v>
      </c>
      <c r="F1225" s="2">
        <v>665</v>
      </c>
      <c r="G1225" s="2">
        <v>64.2</v>
      </c>
      <c r="H1225" s="2" t="s">
        <v>911</v>
      </c>
      <c r="I1225" s="4">
        <f t="shared" si="589"/>
        <v>4.6997282648535785</v>
      </c>
      <c r="J1225" s="4">
        <f t="shared" si="590"/>
        <v>8.8536654280374503</v>
      </c>
      <c r="K1225" s="4">
        <f t="shared" si="591"/>
        <v>6.4997870406558542</v>
      </c>
      <c r="L1225" s="2">
        <v>0</v>
      </c>
      <c r="M1225" s="2">
        <v>1</v>
      </c>
      <c r="N1225" s="4">
        <f t="shared" si="592"/>
        <v>64.2</v>
      </c>
      <c r="O1225" s="4">
        <f t="shared" si="593"/>
        <v>1</v>
      </c>
      <c r="P1225" s="4">
        <f t="shared" si="594"/>
        <v>2</v>
      </c>
      <c r="Q1225" s="4">
        <f t="shared" si="595"/>
        <v>8.8536654280374503</v>
      </c>
      <c r="R1225" s="4">
        <f t="shared" si="596"/>
        <v>6.4997870406558542</v>
      </c>
      <c r="S1225" s="4">
        <f t="shared" si="597"/>
        <v>64.2</v>
      </c>
      <c r="T1225" s="4">
        <f t="shared" si="598"/>
        <v>1</v>
      </c>
      <c r="U1225" s="4">
        <f t="shared" si="599"/>
        <v>8.8536654280374503</v>
      </c>
      <c r="V1225" s="4">
        <f t="shared" si="600"/>
        <v>6.4997870406558542</v>
      </c>
      <c r="W1225" s="4">
        <f t="shared" si="601"/>
        <v>64.2</v>
      </c>
      <c r="X1225" s="4">
        <f t="shared" si="602"/>
        <v>2</v>
      </c>
      <c r="Y1225" s="4">
        <f t="shared" si="603"/>
        <v>8.8536654280374503</v>
      </c>
      <c r="Z1225" s="4">
        <f t="shared" si="604"/>
        <v>6.4997870406558542</v>
      </c>
      <c r="AA1225" s="4">
        <f t="shared" si="605"/>
        <v>64.2</v>
      </c>
      <c r="AB1225" s="4">
        <f t="shared" si="606"/>
        <v>0</v>
      </c>
      <c r="AC1225" s="4">
        <f t="shared" si="607"/>
        <v>1</v>
      </c>
      <c r="AD1225" s="4">
        <f t="shared" si="608"/>
        <v>8.8536654280374503</v>
      </c>
      <c r="AE1225" s="4">
        <f t="shared" si="609"/>
        <v>6.4997870406558542</v>
      </c>
      <c r="AF1225" s="4">
        <f t="shared" si="610"/>
        <v>64.2</v>
      </c>
      <c r="AG1225" s="4">
        <f t="shared" si="611"/>
        <v>8.8536654280374503</v>
      </c>
      <c r="AH1225" s="4">
        <f t="shared" si="612"/>
        <v>0</v>
      </c>
      <c r="AI1225" s="4">
        <f t="shared" si="613"/>
        <v>1</v>
      </c>
      <c r="AJ1225" s="4">
        <f t="shared" si="614"/>
        <v>8.8536654280374503</v>
      </c>
      <c r="AK1225" s="4">
        <f t="shared" si="615"/>
        <v>6.4997870406558542</v>
      </c>
      <c r="AL1225" s="4">
        <f t="shared" si="616"/>
        <v>1</v>
      </c>
      <c r="AM1225" s="4">
        <f>CER!$C$7+CER!$C$8*J1225+CER!$C$9*K1225+CER!$C$10*L1225+CER!$C$11*M1225</f>
        <v>4.5595685952652607</v>
      </c>
      <c r="AN1225" s="4">
        <f t="shared" si="617"/>
        <v>95.54225355754869</v>
      </c>
      <c r="AO1225" s="4">
        <f t="shared" si="618"/>
        <v>0.14015966958831783</v>
      </c>
      <c r="AP1225" s="4">
        <f>Alternatives!$F$25+Alternatives!$F$26*J1225+Alternatives!$F$27*K1225+Alternatives!$F$28*G1225+Alternatives!$F$29*O1225</f>
        <v>4.0010325686227262</v>
      </c>
      <c r="AQ1225" s="4">
        <f t="shared" si="619"/>
        <v>0.69869569623085237</v>
      </c>
    </row>
    <row r="1226" spans="1:43" x14ac:dyDescent="0.35">
      <c r="A1226" s="2" t="s">
        <v>1078</v>
      </c>
      <c r="B1226" s="2" t="s">
        <v>1031</v>
      </c>
      <c r="C1226" s="2" t="s">
        <v>34</v>
      </c>
      <c r="D1226" s="2">
        <v>103.0073</v>
      </c>
      <c r="E1226" s="2">
        <v>7000</v>
      </c>
      <c r="F1226" s="2">
        <v>665</v>
      </c>
      <c r="G1226" s="2">
        <v>64.2</v>
      </c>
      <c r="H1226" s="2" t="s">
        <v>911</v>
      </c>
      <c r="I1226" s="4">
        <f t="shared" si="589"/>
        <v>4.6347998595046151</v>
      </c>
      <c r="J1226" s="4">
        <f t="shared" si="590"/>
        <v>8.8536654280374503</v>
      </c>
      <c r="K1226" s="4">
        <f t="shared" si="591"/>
        <v>6.4997870406558542</v>
      </c>
      <c r="L1226" s="2">
        <v>0</v>
      </c>
      <c r="M1226" s="2">
        <v>1</v>
      </c>
      <c r="N1226" s="4">
        <f t="shared" si="592"/>
        <v>64.2</v>
      </c>
      <c r="O1226" s="4">
        <f t="shared" si="593"/>
        <v>1</v>
      </c>
      <c r="P1226" s="4">
        <f t="shared" si="594"/>
        <v>2</v>
      </c>
      <c r="Q1226" s="4">
        <f t="shared" si="595"/>
        <v>8.8536654280374503</v>
      </c>
      <c r="R1226" s="4">
        <f t="shared" si="596"/>
        <v>6.4997870406558542</v>
      </c>
      <c r="S1226" s="4">
        <f t="shared" si="597"/>
        <v>64.2</v>
      </c>
      <c r="T1226" s="4">
        <f t="shared" si="598"/>
        <v>1</v>
      </c>
      <c r="U1226" s="4">
        <f t="shared" si="599"/>
        <v>8.8536654280374503</v>
      </c>
      <c r="V1226" s="4">
        <f t="shared" si="600"/>
        <v>6.4997870406558542</v>
      </c>
      <c r="W1226" s="4">
        <f t="shared" si="601"/>
        <v>64.2</v>
      </c>
      <c r="X1226" s="4">
        <f t="shared" si="602"/>
        <v>2</v>
      </c>
      <c r="Y1226" s="4">
        <f t="shared" si="603"/>
        <v>8.8536654280374503</v>
      </c>
      <c r="Z1226" s="4">
        <f t="shared" si="604"/>
        <v>6.4997870406558542</v>
      </c>
      <c r="AA1226" s="4">
        <f t="shared" si="605"/>
        <v>64.2</v>
      </c>
      <c r="AB1226" s="4">
        <f t="shared" si="606"/>
        <v>0</v>
      </c>
      <c r="AC1226" s="4">
        <f t="shared" si="607"/>
        <v>1</v>
      </c>
      <c r="AD1226" s="4">
        <f t="shared" si="608"/>
        <v>8.8536654280374503</v>
      </c>
      <c r="AE1226" s="4">
        <f t="shared" si="609"/>
        <v>6.4997870406558542</v>
      </c>
      <c r="AF1226" s="4">
        <f t="shared" si="610"/>
        <v>64.2</v>
      </c>
      <c r="AG1226" s="4">
        <f t="shared" si="611"/>
        <v>8.8536654280374503</v>
      </c>
      <c r="AH1226" s="4">
        <f t="shared" si="612"/>
        <v>0</v>
      </c>
      <c r="AI1226" s="4">
        <f t="shared" si="613"/>
        <v>1</v>
      </c>
      <c r="AJ1226" s="4">
        <f t="shared" si="614"/>
        <v>8.8536654280374503</v>
      </c>
      <c r="AK1226" s="4">
        <f t="shared" si="615"/>
        <v>6.4997870406558542</v>
      </c>
      <c r="AL1226" s="4">
        <f t="shared" si="616"/>
        <v>1</v>
      </c>
      <c r="AM1226" s="4">
        <f>CER!$C$7+CER!$C$8*J1226+CER!$C$9*K1226+CER!$C$10*L1226+CER!$C$11*M1226</f>
        <v>4.5595685952652607</v>
      </c>
      <c r="AN1226" s="4">
        <f t="shared" si="617"/>
        <v>95.54225355754869</v>
      </c>
      <c r="AO1226" s="4">
        <f t="shared" si="618"/>
        <v>7.5231264239354445E-2</v>
      </c>
      <c r="AP1226" s="4">
        <f>Alternatives!$F$25+Alternatives!$F$26*J1226+Alternatives!$F$27*K1226+Alternatives!$F$28*G1226+Alternatives!$F$29*O1226</f>
        <v>4.0010325686227262</v>
      </c>
      <c r="AQ1226" s="4">
        <f t="shared" si="619"/>
        <v>0.63376729088188899</v>
      </c>
    </row>
    <row r="1227" spans="1:43" x14ac:dyDescent="0.35">
      <c r="A1227" s="2" t="s">
        <v>1079</v>
      </c>
      <c r="B1227" s="2" t="s">
        <v>675</v>
      </c>
      <c r="C1227" s="2" t="s">
        <v>34</v>
      </c>
      <c r="D1227" s="2">
        <v>110.321</v>
      </c>
      <c r="E1227" s="2">
        <v>6500</v>
      </c>
      <c r="F1227" s="2">
        <v>577</v>
      </c>
      <c r="G1227" s="2">
        <v>58.6</v>
      </c>
      <c r="H1227" s="2" t="s">
        <v>881</v>
      </c>
      <c r="I1227" s="4">
        <f t="shared" si="589"/>
        <v>4.7033942979834853</v>
      </c>
      <c r="J1227" s="4">
        <f t="shared" si="590"/>
        <v>8.7795574558837277</v>
      </c>
      <c r="K1227" s="4">
        <f t="shared" si="591"/>
        <v>6.3578422665080998</v>
      </c>
      <c r="L1227" s="2">
        <v>0</v>
      </c>
      <c r="M1227" s="2">
        <v>1</v>
      </c>
      <c r="N1227" s="4">
        <f t="shared" si="592"/>
        <v>58.6</v>
      </c>
      <c r="O1227" s="4">
        <f t="shared" si="593"/>
        <v>1</v>
      </c>
      <c r="P1227" s="4">
        <f t="shared" si="594"/>
        <v>2</v>
      </c>
      <c r="Q1227" s="4">
        <f t="shared" si="595"/>
        <v>8.7795574558837277</v>
      </c>
      <c r="R1227" s="4">
        <f t="shared" si="596"/>
        <v>6.3578422665080998</v>
      </c>
      <c r="S1227" s="4">
        <f t="shared" si="597"/>
        <v>58.6</v>
      </c>
      <c r="T1227" s="4">
        <f t="shared" si="598"/>
        <v>1</v>
      </c>
      <c r="U1227" s="4">
        <f t="shared" si="599"/>
        <v>8.7795574558837277</v>
      </c>
      <c r="V1227" s="4">
        <f t="shared" si="600"/>
        <v>6.3578422665080998</v>
      </c>
      <c r="W1227" s="4">
        <f t="shared" si="601"/>
        <v>58.6</v>
      </c>
      <c r="X1227" s="4">
        <f t="shared" si="602"/>
        <v>2</v>
      </c>
      <c r="Y1227" s="4">
        <f t="shared" si="603"/>
        <v>8.7795574558837277</v>
      </c>
      <c r="Z1227" s="4">
        <f t="shared" si="604"/>
        <v>6.3578422665080998</v>
      </c>
      <c r="AA1227" s="4">
        <f t="shared" si="605"/>
        <v>58.6</v>
      </c>
      <c r="AB1227" s="4">
        <f t="shared" si="606"/>
        <v>0</v>
      </c>
      <c r="AC1227" s="4">
        <f t="shared" si="607"/>
        <v>1</v>
      </c>
      <c r="AD1227" s="4">
        <f t="shared" si="608"/>
        <v>8.7795574558837277</v>
      </c>
      <c r="AE1227" s="4">
        <f t="shared" si="609"/>
        <v>6.3578422665080998</v>
      </c>
      <c r="AF1227" s="4">
        <f t="shared" si="610"/>
        <v>58.6</v>
      </c>
      <c r="AG1227" s="4">
        <f t="shared" si="611"/>
        <v>8.7795574558837277</v>
      </c>
      <c r="AH1227" s="4">
        <f t="shared" si="612"/>
        <v>0</v>
      </c>
      <c r="AI1227" s="4">
        <f t="shared" si="613"/>
        <v>1</v>
      </c>
      <c r="AJ1227" s="4">
        <f t="shared" si="614"/>
        <v>8.7795574558837277</v>
      </c>
      <c r="AK1227" s="4">
        <f t="shared" si="615"/>
        <v>6.3578422665080998</v>
      </c>
      <c r="AL1227" s="4">
        <f t="shared" si="616"/>
        <v>1</v>
      </c>
      <c r="AM1227" s="4">
        <f>CER!$C$7+CER!$C$8*J1227+CER!$C$9*K1227+CER!$C$10*L1227+CER!$C$11*M1227</f>
        <v>4.6454875822343311</v>
      </c>
      <c r="AN1227" s="4">
        <f t="shared" si="617"/>
        <v>104.11411760565447</v>
      </c>
      <c r="AO1227" s="4">
        <f t="shared" si="618"/>
        <v>5.7906715749154181E-2</v>
      </c>
      <c r="AP1227" s="4">
        <f>Alternatives!$F$25+Alternatives!$F$26*J1227+Alternatives!$F$27*K1227+Alternatives!$F$28*G1227+Alternatives!$F$29*O1227</f>
        <v>4.0842201279935342</v>
      </c>
      <c r="AQ1227" s="4">
        <f t="shared" si="619"/>
        <v>0.61917416998995112</v>
      </c>
    </row>
    <row r="1228" spans="1:43" x14ac:dyDescent="0.35">
      <c r="A1228" s="2" t="s">
        <v>1080</v>
      </c>
      <c r="B1228" s="2" t="s">
        <v>675</v>
      </c>
      <c r="C1228" s="2" t="s">
        <v>34</v>
      </c>
      <c r="D1228" s="2">
        <v>100.6545</v>
      </c>
      <c r="E1228" s="2">
        <v>7000</v>
      </c>
      <c r="F1228" s="2">
        <v>577</v>
      </c>
      <c r="G1228" s="2">
        <v>58.8</v>
      </c>
      <c r="H1228" s="2" t="s">
        <v>881</v>
      </c>
      <c r="I1228" s="4">
        <f t="shared" si="589"/>
        <v>4.611693860475337</v>
      </c>
      <c r="J1228" s="4">
        <f t="shared" si="590"/>
        <v>8.8536654280374503</v>
      </c>
      <c r="K1228" s="4">
        <f t="shared" si="591"/>
        <v>6.3578422665080998</v>
      </c>
      <c r="L1228" s="2">
        <v>0</v>
      </c>
      <c r="M1228" s="2">
        <v>1</v>
      </c>
      <c r="N1228" s="4">
        <f t="shared" si="592"/>
        <v>58.8</v>
      </c>
      <c r="O1228" s="4">
        <f t="shared" si="593"/>
        <v>1</v>
      </c>
      <c r="P1228" s="4">
        <f t="shared" si="594"/>
        <v>2</v>
      </c>
      <c r="Q1228" s="4">
        <f t="shared" si="595"/>
        <v>8.8536654280374503</v>
      </c>
      <c r="R1228" s="4">
        <f t="shared" si="596"/>
        <v>6.3578422665080998</v>
      </c>
      <c r="S1228" s="4">
        <f t="shared" si="597"/>
        <v>58.8</v>
      </c>
      <c r="T1228" s="4">
        <f t="shared" si="598"/>
        <v>1</v>
      </c>
      <c r="U1228" s="4">
        <f t="shared" si="599"/>
        <v>8.8536654280374503</v>
      </c>
      <c r="V1228" s="4">
        <f t="shared" si="600"/>
        <v>6.3578422665080998</v>
      </c>
      <c r="W1228" s="4">
        <f t="shared" si="601"/>
        <v>58.8</v>
      </c>
      <c r="X1228" s="4">
        <f t="shared" si="602"/>
        <v>2</v>
      </c>
      <c r="Y1228" s="4">
        <f t="shared" si="603"/>
        <v>8.8536654280374503</v>
      </c>
      <c r="Z1228" s="4">
        <f t="shared" si="604"/>
        <v>6.3578422665080998</v>
      </c>
      <c r="AA1228" s="4">
        <f t="shared" si="605"/>
        <v>58.8</v>
      </c>
      <c r="AB1228" s="4">
        <f t="shared" si="606"/>
        <v>0</v>
      </c>
      <c r="AC1228" s="4">
        <f t="shared" si="607"/>
        <v>1</v>
      </c>
      <c r="AD1228" s="4">
        <f t="shared" si="608"/>
        <v>8.8536654280374503</v>
      </c>
      <c r="AE1228" s="4">
        <f t="shared" si="609"/>
        <v>6.3578422665080998</v>
      </c>
      <c r="AF1228" s="4">
        <f t="shared" si="610"/>
        <v>58.8</v>
      </c>
      <c r="AG1228" s="4">
        <f t="shared" si="611"/>
        <v>8.8536654280374503</v>
      </c>
      <c r="AH1228" s="4">
        <f t="shared" si="612"/>
        <v>0</v>
      </c>
      <c r="AI1228" s="4">
        <f t="shared" si="613"/>
        <v>1</v>
      </c>
      <c r="AJ1228" s="4">
        <f t="shared" si="614"/>
        <v>8.8536654280374503</v>
      </c>
      <c r="AK1228" s="4">
        <f t="shared" si="615"/>
        <v>6.3578422665080998</v>
      </c>
      <c r="AL1228" s="4">
        <f t="shared" si="616"/>
        <v>1</v>
      </c>
      <c r="AM1228" s="4">
        <f>CER!$C$7+CER!$C$8*J1228+CER!$C$9*K1228+CER!$C$10*L1228+CER!$C$11*M1228</f>
        <v>4.6119382274034013</v>
      </c>
      <c r="AN1228" s="4">
        <f t="shared" si="617"/>
        <v>100.67909963650722</v>
      </c>
      <c r="AO1228" s="4">
        <f t="shared" si="618"/>
        <v>-2.4436692806428795E-4</v>
      </c>
      <c r="AP1228" s="4">
        <f>Alternatives!$F$25+Alternatives!$F$26*J1228+Alternatives!$F$27*K1228+Alternatives!$F$28*G1228+Alternatives!$F$29*O1228</f>
        <v>4.1090449864441734</v>
      </c>
      <c r="AQ1228" s="4">
        <f t="shared" si="619"/>
        <v>0.50264887403116365</v>
      </c>
    </row>
    <row r="1229" spans="1:43" x14ac:dyDescent="0.35">
      <c r="A1229" s="2" t="s">
        <v>1081</v>
      </c>
      <c r="B1229" s="2" t="s">
        <v>675</v>
      </c>
      <c r="C1229" s="2" t="s">
        <v>34</v>
      </c>
      <c r="D1229" s="2">
        <v>99.732299999999995</v>
      </c>
      <c r="E1229" s="2">
        <v>7000</v>
      </c>
      <c r="F1229" s="2">
        <v>650</v>
      </c>
      <c r="G1229" s="2">
        <v>58.8</v>
      </c>
      <c r="H1229" s="2" t="s">
        <v>881</v>
      </c>
      <c r="I1229" s="4">
        <f t="shared" si="589"/>
        <v>4.6024895964159702</v>
      </c>
      <c r="J1229" s="4">
        <f t="shared" si="590"/>
        <v>8.8536654280374503</v>
      </c>
      <c r="K1229" s="4">
        <f t="shared" si="591"/>
        <v>6.4769723628896827</v>
      </c>
      <c r="L1229" s="2">
        <v>0</v>
      </c>
      <c r="M1229" s="2">
        <v>1</v>
      </c>
      <c r="N1229" s="4">
        <f t="shared" si="592"/>
        <v>58.8</v>
      </c>
      <c r="O1229" s="4">
        <f t="shared" si="593"/>
        <v>1</v>
      </c>
      <c r="P1229" s="4">
        <f t="shared" si="594"/>
        <v>2</v>
      </c>
      <c r="Q1229" s="4">
        <f t="shared" si="595"/>
        <v>8.8536654280374503</v>
      </c>
      <c r="R1229" s="4">
        <f t="shared" si="596"/>
        <v>6.4769723628896827</v>
      </c>
      <c r="S1229" s="4">
        <f t="shared" si="597"/>
        <v>58.8</v>
      </c>
      <c r="T1229" s="4">
        <f t="shared" si="598"/>
        <v>1</v>
      </c>
      <c r="U1229" s="4">
        <f t="shared" si="599"/>
        <v>8.8536654280374503</v>
      </c>
      <c r="V1229" s="4">
        <f t="shared" si="600"/>
        <v>6.4769723628896827</v>
      </c>
      <c r="W1229" s="4">
        <f t="shared" si="601"/>
        <v>58.8</v>
      </c>
      <c r="X1229" s="4">
        <f t="shared" si="602"/>
        <v>2</v>
      </c>
      <c r="Y1229" s="4">
        <f t="shared" si="603"/>
        <v>8.8536654280374503</v>
      </c>
      <c r="Z1229" s="4">
        <f t="shared" si="604"/>
        <v>6.4769723628896827</v>
      </c>
      <c r="AA1229" s="4">
        <f t="shared" si="605"/>
        <v>58.8</v>
      </c>
      <c r="AB1229" s="4">
        <f t="shared" si="606"/>
        <v>0</v>
      </c>
      <c r="AC1229" s="4">
        <f t="shared" si="607"/>
        <v>1</v>
      </c>
      <c r="AD1229" s="4">
        <f t="shared" si="608"/>
        <v>8.8536654280374503</v>
      </c>
      <c r="AE1229" s="4">
        <f t="shared" si="609"/>
        <v>6.4769723628896827</v>
      </c>
      <c r="AF1229" s="4">
        <f t="shared" si="610"/>
        <v>58.8</v>
      </c>
      <c r="AG1229" s="4">
        <f t="shared" si="611"/>
        <v>8.8536654280374503</v>
      </c>
      <c r="AH1229" s="4">
        <f t="shared" si="612"/>
        <v>0</v>
      </c>
      <c r="AI1229" s="4">
        <f t="shared" si="613"/>
        <v>1</v>
      </c>
      <c r="AJ1229" s="4">
        <f t="shared" si="614"/>
        <v>8.8536654280374503</v>
      </c>
      <c r="AK1229" s="4">
        <f t="shared" si="615"/>
        <v>6.4769723628896827</v>
      </c>
      <c r="AL1229" s="4">
        <f t="shared" si="616"/>
        <v>1</v>
      </c>
      <c r="AM1229" s="4">
        <f>CER!$C$7+CER!$C$8*J1229+CER!$C$9*K1229+CER!$C$10*L1229+CER!$C$11*M1229</f>
        <v>4.5679859272109997</v>
      </c>
      <c r="AN1229" s="4">
        <f t="shared" si="617"/>
        <v>96.34985859208642</v>
      </c>
      <c r="AO1229" s="4">
        <f t="shared" si="618"/>
        <v>3.45036692049705E-2</v>
      </c>
      <c r="AP1229" s="4">
        <f>Alternatives!$F$25+Alternatives!$F$26*J1229+Alternatives!$F$27*K1229+Alternatives!$F$28*G1229+Alternatives!$F$29*O1229</f>
        <v>4.0773432803189866</v>
      </c>
      <c r="AQ1229" s="4">
        <f t="shared" si="619"/>
        <v>0.52514631609698359</v>
      </c>
    </row>
    <row r="1230" spans="1:43" x14ac:dyDescent="0.35">
      <c r="A1230" s="2" t="s">
        <v>1082</v>
      </c>
      <c r="B1230" s="2" t="s">
        <v>1083</v>
      </c>
      <c r="C1230" s="2" t="s">
        <v>34</v>
      </c>
      <c r="D1230" s="2">
        <v>171.9299</v>
      </c>
      <c r="E1230" s="2">
        <v>4500</v>
      </c>
      <c r="F1230" s="2">
        <v>272</v>
      </c>
      <c r="G1230" s="2">
        <v>51.1</v>
      </c>
      <c r="H1230" s="2" t="s">
        <v>881</v>
      </c>
      <c r="I1230" s="4">
        <f t="shared" si="589"/>
        <v>5.1470868355995272</v>
      </c>
      <c r="J1230" s="4">
        <f t="shared" si="590"/>
        <v>8.4118326757584114</v>
      </c>
      <c r="K1230" s="4">
        <f t="shared" si="591"/>
        <v>5.6058020662959978</v>
      </c>
      <c r="L1230" s="2">
        <v>0</v>
      </c>
      <c r="M1230" s="2">
        <v>1</v>
      </c>
      <c r="N1230" s="4">
        <f t="shared" si="592"/>
        <v>51.1</v>
      </c>
      <c r="O1230" s="4">
        <f t="shared" si="593"/>
        <v>1</v>
      </c>
      <c r="P1230" s="4">
        <f t="shared" si="594"/>
        <v>2</v>
      </c>
      <c r="Q1230" s="4">
        <f t="shared" si="595"/>
        <v>8.4118326757584114</v>
      </c>
      <c r="R1230" s="4">
        <f t="shared" si="596"/>
        <v>5.6058020662959978</v>
      </c>
      <c r="S1230" s="4">
        <f t="shared" si="597"/>
        <v>51.1</v>
      </c>
      <c r="T1230" s="4">
        <f t="shared" si="598"/>
        <v>1</v>
      </c>
      <c r="U1230" s="4">
        <f t="shared" si="599"/>
        <v>8.4118326757584114</v>
      </c>
      <c r="V1230" s="4">
        <f t="shared" si="600"/>
        <v>5.6058020662959978</v>
      </c>
      <c r="W1230" s="4">
        <f t="shared" si="601"/>
        <v>51.1</v>
      </c>
      <c r="X1230" s="4">
        <f t="shared" si="602"/>
        <v>2</v>
      </c>
      <c r="Y1230" s="4">
        <f t="shared" si="603"/>
        <v>8.4118326757584114</v>
      </c>
      <c r="Z1230" s="4">
        <f t="shared" si="604"/>
        <v>5.6058020662959978</v>
      </c>
      <c r="AA1230" s="4">
        <f t="shared" si="605"/>
        <v>51.1</v>
      </c>
      <c r="AB1230" s="4">
        <f t="shared" si="606"/>
        <v>0</v>
      </c>
      <c r="AC1230" s="4">
        <f t="shared" si="607"/>
        <v>1</v>
      </c>
      <c r="AD1230" s="4">
        <f t="shared" si="608"/>
        <v>8.4118326757584114</v>
      </c>
      <c r="AE1230" s="4">
        <f t="shared" si="609"/>
        <v>5.6058020662959978</v>
      </c>
      <c r="AF1230" s="4">
        <f t="shared" si="610"/>
        <v>51.1</v>
      </c>
      <c r="AG1230" s="4">
        <f t="shared" si="611"/>
        <v>8.4118326757584114</v>
      </c>
      <c r="AH1230" s="4">
        <f t="shared" si="612"/>
        <v>0</v>
      </c>
      <c r="AI1230" s="4">
        <f t="shared" si="613"/>
        <v>1</v>
      </c>
      <c r="AJ1230" s="4">
        <f t="shared" si="614"/>
        <v>8.4118326757584114</v>
      </c>
      <c r="AK1230" s="4">
        <f t="shared" si="615"/>
        <v>5.6058020662959978</v>
      </c>
      <c r="AL1230" s="4">
        <f t="shared" si="616"/>
        <v>1</v>
      </c>
      <c r="AM1230" s="4">
        <f>CER!$C$7+CER!$C$8*J1230+CER!$C$9*K1230+CER!$C$10*L1230+CER!$C$11*M1230</f>
        <v>5.0894204481531098</v>
      </c>
      <c r="AN1230" s="4">
        <f t="shared" si="617"/>
        <v>162.29577597553342</v>
      </c>
      <c r="AO1230" s="4">
        <f t="shared" si="618"/>
        <v>5.7666387446417389E-2</v>
      </c>
      <c r="AP1230" s="4">
        <f>Alternatives!$F$25+Alternatives!$F$26*J1230+Alternatives!$F$27*K1230+Alternatives!$F$28*G1230+Alternatives!$F$29*O1230</f>
        <v>4.2458105956833911</v>
      </c>
      <c r="AQ1230" s="4">
        <f t="shared" si="619"/>
        <v>0.90127623991613603</v>
      </c>
    </row>
    <row r="1231" spans="1:43" x14ac:dyDescent="0.35">
      <c r="A1231" s="2" t="s">
        <v>1084</v>
      </c>
      <c r="B1231" s="2" t="s">
        <v>1083</v>
      </c>
      <c r="C1231" s="2" t="s">
        <v>34</v>
      </c>
      <c r="D1231" s="2">
        <v>171.5898</v>
      </c>
      <c r="E1231" s="2">
        <v>4500</v>
      </c>
      <c r="F1231" s="2">
        <v>296</v>
      </c>
      <c r="G1231" s="2">
        <v>51.1</v>
      </c>
      <c r="H1231" s="2" t="s">
        <v>881</v>
      </c>
      <c r="I1231" s="4">
        <f t="shared" si="589"/>
        <v>5.1451067447277614</v>
      </c>
      <c r="J1231" s="4">
        <f t="shared" si="590"/>
        <v>8.4118326757584114</v>
      </c>
      <c r="K1231" s="4">
        <f t="shared" si="591"/>
        <v>5.6903594543240601</v>
      </c>
      <c r="L1231" s="2">
        <v>0</v>
      </c>
      <c r="M1231" s="2">
        <v>1</v>
      </c>
      <c r="N1231" s="4">
        <f t="shared" si="592"/>
        <v>51.1</v>
      </c>
      <c r="O1231" s="4">
        <f t="shared" si="593"/>
        <v>1</v>
      </c>
      <c r="P1231" s="4">
        <f t="shared" si="594"/>
        <v>2</v>
      </c>
      <c r="Q1231" s="4">
        <f t="shared" si="595"/>
        <v>8.4118326757584114</v>
      </c>
      <c r="R1231" s="4">
        <f t="shared" si="596"/>
        <v>5.6903594543240601</v>
      </c>
      <c r="S1231" s="4">
        <f t="shared" si="597"/>
        <v>51.1</v>
      </c>
      <c r="T1231" s="4">
        <f t="shared" si="598"/>
        <v>1</v>
      </c>
      <c r="U1231" s="4">
        <f t="shared" si="599"/>
        <v>8.4118326757584114</v>
      </c>
      <c r="V1231" s="4">
        <f t="shared" si="600"/>
        <v>5.6903594543240601</v>
      </c>
      <c r="W1231" s="4">
        <f t="shared" si="601"/>
        <v>51.1</v>
      </c>
      <c r="X1231" s="4">
        <f t="shared" si="602"/>
        <v>2</v>
      </c>
      <c r="Y1231" s="4">
        <f t="shared" si="603"/>
        <v>8.4118326757584114</v>
      </c>
      <c r="Z1231" s="4">
        <f t="shared" si="604"/>
        <v>5.6903594543240601</v>
      </c>
      <c r="AA1231" s="4">
        <f t="shared" si="605"/>
        <v>51.1</v>
      </c>
      <c r="AB1231" s="4">
        <f t="shared" si="606"/>
        <v>0</v>
      </c>
      <c r="AC1231" s="4">
        <f t="shared" si="607"/>
        <v>1</v>
      </c>
      <c r="AD1231" s="4">
        <f t="shared" si="608"/>
        <v>8.4118326757584114</v>
      </c>
      <c r="AE1231" s="4">
        <f t="shared" si="609"/>
        <v>5.6903594543240601</v>
      </c>
      <c r="AF1231" s="4">
        <f t="shared" si="610"/>
        <v>51.1</v>
      </c>
      <c r="AG1231" s="4">
        <f t="shared" si="611"/>
        <v>8.4118326757584114</v>
      </c>
      <c r="AH1231" s="4">
        <f t="shared" si="612"/>
        <v>0</v>
      </c>
      <c r="AI1231" s="4">
        <f t="shared" si="613"/>
        <v>1</v>
      </c>
      <c r="AJ1231" s="4">
        <f t="shared" si="614"/>
        <v>8.4118326757584114</v>
      </c>
      <c r="AK1231" s="4">
        <f t="shared" si="615"/>
        <v>5.6903594543240601</v>
      </c>
      <c r="AL1231" s="4">
        <f t="shared" si="616"/>
        <v>1</v>
      </c>
      <c r="AM1231" s="4">
        <f>CER!$C$7+CER!$C$8*J1231+CER!$C$9*K1231+CER!$C$10*L1231+CER!$C$11*M1231</f>
        <v>5.0582235313791095</v>
      </c>
      <c r="AN1231" s="4">
        <f t="shared" si="617"/>
        <v>157.31081023427271</v>
      </c>
      <c r="AO1231" s="4">
        <f t="shared" si="618"/>
        <v>8.68832133486519E-2</v>
      </c>
      <c r="AP1231" s="4">
        <f>Alternatives!$F$25+Alternatives!$F$26*J1231+Alternatives!$F$27*K1231+Alternatives!$F$28*G1231+Alternatives!$F$29*O1231</f>
        <v>4.2233090318687108</v>
      </c>
      <c r="AQ1231" s="4">
        <f t="shared" si="619"/>
        <v>0.92179771285905066</v>
      </c>
    </row>
    <row r="1232" spans="1:43" x14ac:dyDescent="0.35">
      <c r="A1232" s="2" t="s">
        <v>1085</v>
      </c>
      <c r="B1232" s="2" t="s">
        <v>1083</v>
      </c>
      <c r="C1232" s="2" t="s">
        <v>34</v>
      </c>
      <c r="D1232" s="2">
        <v>159.48779999999999</v>
      </c>
      <c r="E1232" s="2">
        <v>4500</v>
      </c>
      <c r="F1232" s="2">
        <v>390</v>
      </c>
      <c r="G1232" s="2">
        <v>51.1</v>
      </c>
      <c r="H1232" s="2" t="s">
        <v>883</v>
      </c>
      <c r="I1232" s="4">
        <f t="shared" si="589"/>
        <v>5.0719674302712514</v>
      </c>
      <c r="J1232" s="4">
        <f t="shared" si="590"/>
        <v>8.4118326757584114</v>
      </c>
      <c r="K1232" s="4">
        <f t="shared" si="591"/>
        <v>5.9661467391236922</v>
      </c>
      <c r="L1232" s="2">
        <v>0</v>
      </c>
      <c r="M1232" s="2">
        <v>1</v>
      </c>
      <c r="N1232" s="4">
        <f t="shared" si="592"/>
        <v>51.1</v>
      </c>
      <c r="O1232" s="4">
        <f t="shared" si="593"/>
        <v>1</v>
      </c>
      <c r="P1232" s="4">
        <f t="shared" si="594"/>
        <v>2</v>
      </c>
      <c r="Q1232" s="4">
        <f t="shared" si="595"/>
        <v>8.4118326757584114</v>
      </c>
      <c r="R1232" s="4">
        <f t="shared" si="596"/>
        <v>5.9661467391236922</v>
      </c>
      <c r="S1232" s="4">
        <f t="shared" si="597"/>
        <v>51.1</v>
      </c>
      <c r="T1232" s="4">
        <f t="shared" si="598"/>
        <v>1</v>
      </c>
      <c r="U1232" s="4">
        <f t="shared" si="599"/>
        <v>8.4118326757584114</v>
      </c>
      <c r="V1232" s="4">
        <f t="shared" si="600"/>
        <v>5.9661467391236922</v>
      </c>
      <c r="W1232" s="4">
        <f t="shared" si="601"/>
        <v>51.1</v>
      </c>
      <c r="X1232" s="4">
        <f t="shared" si="602"/>
        <v>2</v>
      </c>
      <c r="Y1232" s="4">
        <f t="shared" si="603"/>
        <v>8.4118326757584114</v>
      </c>
      <c r="Z1232" s="4">
        <f t="shared" si="604"/>
        <v>5.9661467391236922</v>
      </c>
      <c r="AA1232" s="4">
        <f t="shared" si="605"/>
        <v>51.1</v>
      </c>
      <c r="AB1232" s="4">
        <f t="shared" si="606"/>
        <v>0</v>
      </c>
      <c r="AC1232" s="4">
        <f t="shared" si="607"/>
        <v>1</v>
      </c>
      <c r="AD1232" s="4">
        <f t="shared" si="608"/>
        <v>8.4118326757584114</v>
      </c>
      <c r="AE1232" s="4">
        <f t="shared" si="609"/>
        <v>5.9661467391236922</v>
      </c>
      <c r="AF1232" s="4">
        <f t="shared" si="610"/>
        <v>51.1</v>
      </c>
      <c r="AG1232" s="4">
        <f t="shared" si="611"/>
        <v>8.4118326757584114</v>
      </c>
      <c r="AH1232" s="4">
        <f t="shared" si="612"/>
        <v>0</v>
      </c>
      <c r="AI1232" s="4">
        <f t="shared" si="613"/>
        <v>1</v>
      </c>
      <c r="AJ1232" s="4">
        <f t="shared" si="614"/>
        <v>8.4118326757584114</v>
      </c>
      <c r="AK1232" s="4">
        <f t="shared" si="615"/>
        <v>5.9661467391236922</v>
      </c>
      <c r="AL1232" s="4">
        <f t="shared" si="616"/>
        <v>1</v>
      </c>
      <c r="AM1232" s="4">
        <f>CER!$C$7+CER!$C$8*J1232+CER!$C$9*K1232+CER!$C$10*L1232+CER!$C$11*M1232</f>
        <v>4.9564735462877287</v>
      </c>
      <c r="AN1232" s="4">
        <f t="shared" si="617"/>
        <v>142.09183107415532</v>
      </c>
      <c r="AO1232" s="4">
        <f t="shared" si="618"/>
        <v>0.11549388398352267</v>
      </c>
      <c r="AP1232" s="4">
        <f>Alternatives!$F$25+Alternatives!$F$26*J1232+Alternatives!$F$27*K1232+Alternatives!$F$28*G1232+Alternatives!$F$29*O1232</f>
        <v>4.1499192863607659</v>
      </c>
      <c r="AQ1232" s="4">
        <f t="shared" si="619"/>
        <v>0.92204814391048551</v>
      </c>
    </row>
    <row r="1233" spans="1:43" x14ac:dyDescent="0.35">
      <c r="A1233" s="2" t="s">
        <v>1086</v>
      </c>
      <c r="B1233" s="2" t="s">
        <v>1083</v>
      </c>
      <c r="C1233" s="2" t="s">
        <v>34</v>
      </c>
      <c r="D1233" s="2">
        <v>165.61500000000001</v>
      </c>
      <c r="E1233" s="2">
        <v>4500</v>
      </c>
      <c r="F1233" s="2">
        <v>421</v>
      </c>
      <c r="G1233" s="2">
        <v>51.1</v>
      </c>
      <c r="H1233" s="2" t="s">
        <v>924</v>
      </c>
      <c r="I1233" s="4">
        <f t="shared" si="589"/>
        <v>5.1096658175592102</v>
      </c>
      <c r="J1233" s="4">
        <f t="shared" si="590"/>
        <v>8.4118326757584114</v>
      </c>
      <c r="K1233" s="4">
        <f t="shared" si="591"/>
        <v>6.0426328336823811</v>
      </c>
      <c r="L1233" s="2">
        <v>0</v>
      </c>
      <c r="M1233" s="2">
        <v>1</v>
      </c>
      <c r="N1233" s="4">
        <f t="shared" si="592"/>
        <v>51.1</v>
      </c>
      <c r="O1233" s="4">
        <f t="shared" si="593"/>
        <v>1</v>
      </c>
      <c r="P1233" s="4">
        <f t="shared" si="594"/>
        <v>2</v>
      </c>
      <c r="Q1233" s="4">
        <f t="shared" si="595"/>
        <v>8.4118326757584114</v>
      </c>
      <c r="R1233" s="4">
        <f t="shared" si="596"/>
        <v>6.0426328336823811</v>
      </c>
      <c r="S1233" s="4">
        <f t="shared" si="597"/>
        <v>51.1</v>
      </c>
      <c r="T1233" s="4">
        <f t="shared" si="598"/>
        <v>1</v>
      </c>
      <c r="U1233" s="4">
        <f t="shared" si="599"/>
        <v>8.4118326757584114</v>
      </c>
      <c r="V1233" s="4">
        <f t="shared" si="600"/>
        <v>6.0426328336823811</v>
      </c>
      <c r="W1233" s="4">
        <f t="shared" si="601"/>
        <v>51.1</v>
      </c>
      <c r="X1233" s="4">
        <f t="shared" si="602"/>
        <v>2</v>
      </c>
      <c r="Y1233" s="4">
        <f t="shared" si="603"/>
        <v>8.4118326757584114</v>
      </c>
      <c r="Z1233" s="4">
        <f t="shared" si="604"/>
        <v>6.0426328336823811</v>
      </c>
      <c r="AA1233" s="4">
        <f t="shared" si="605"/>
        <v>51.1</v>
      </c>
      <c r="AB1233" s="4">
        <f t="shared" si="606"/>
        <v>0</v>
      </c>
      <c r="AC1233" s="4">
        <f t="shared" si="607"/>
        <v>1</v>
      </c>
      <c r="AD1233" s="4">
        <f t="shared" si="608"/>
        <v>8.4118326757584114</v>
      </c>
      <c r="AE1233" s="4">
        <f t="shared" si="609"/>
        <v>6.0426328336823811</v>
      </c>
      <c r="AF1233" s="4">
        <f t="shared" si="610"/>
        <v>51.1</v>
      </c>
      <c r="AG1233" s="4">
        <f t="shared" si="611"/>
        <v>8.4118326757584114</v>
      </c>
      <c r="AH1233" s="4">
        <f t="shared" si="612"/>
        <v>0</v>
      </c>
      <c r="AI1233" s="4">
        <f t="shared" si="613"/>
        <v>1</v>
      </c>
      <c r="AJ1233" s="4">
        <f t="shared" si="614"/>
        <v>8.4118326757584114</v>
      </c>
      <c r="AK1233" s="4">
        <f t="shared" si="615"/>
        <v>6.0426328336823811</v>
      </c>
      <c r="AL1233" s="4">
        <f t="shared" si="616"/>
        <v>1</v>
      </c>
      <c r="AM1233" s="4">
        <f>CER!$C$7+CER!$C$8*J1233+CER!$C$9*K1233+CER!$C$10*L1233+CER!$C$11*M1233</f>
        <v>4.9282544825020338</v>
      </c>
      <c r="AN1233" s="4">
        <f t="shared" si="617"/>
        <v>138.13817916672471</v>
      </c>
      <c r="AO1233" s="4">
        <f t="shared" si="618"/>
        <v>0.18141133505717644</v>
      </c>
      <c r="AP1233" s="4">
        <f>Alternatives!$F$25+Alternatives!$F$26*J1233+Alternatives!$F$27*K1233+Alternatives!$F$28*G1233+Alternatives!$F$29*O1233</f>
        <v>4.1295655741922115</v>
      </c>
      <c r="AQ1233" s="4">
        <f t="shared" si="619"/>
        <v>0.98010024336699875</v>
      </c>
    </row>
    <row r="1234" spans="1:43" x14ac:dyDescent="0.35">
      <c r="A1234" s="2" t="s">
        <v>1087</v>
      </c>
      <c r="B1234" s="2" t="s">
        <v>1083</v>
      </c>
      <c r="C1234" s="2" t="s">
        <v>34</v>
      </c>
      <c r="D1234" s="2">
        <v>148.5556</v>
      </c>
      <c r="E1234" s="2">
        <v>4500</v>
      </c>
      <c r="F1234" s="2">
        <v>452</v>
      </c>
      <c r="G1234" s="2">
        <v>51.3</v>
      </c>
      <c r="H1234" s="2" t="s">
        <v>883</v>
      </c>
      <c r="I1234" s="4">
        <f t="shared" si="589"/>
        <v>5.0009592989429414</v>
      </c>
      <c r="J1234" s="4">
        <f t="shared" si="590"/>
        <v>8.4118326757584114</v>
      </c>
      <c r="K1234" s="4">
        <f t="shared" si="591"/>
        <v>6.1136821798322316</v>
      </c>
      <c r="L1234" s="2">
        <v>0</v>
      </c>
      <c r="M1234" s="2">
        <v>1</v>
      </c>
      <c r="N1234" s="4">
        <f t="shared" si="592"/>
        <v>51.3</v>
      </c>
      <c r="O1234" s="4">
        <f t="shared" si="593"/>
        <v>1</v>
      </c>
      <c r="P1234" s="4">
        <f t="shared" si="594"/>
        <v>2</v>
      </c>
      <c r="Q1234" s="4">
        <f t="shared" si="595"/>
        <v>8.4118326757584114</v>
      </c>
      <c r="R1234" s="4">
        <f t="shared" si="596"/>
        <v>6.1136821798322316</v>
      </c>
      <c r="S1234" s="4">
        <f t="shared" si="597"/>
        <v>51.3</v>
      </c>
      <c r="T1234" s="4">
        <f t="shared" si="598"/>
        <v>1</v>
      </c>
      <c r="U1234" s="4">
        <f t="shared" si="599"/>
        <v>8.4118326757584114</v>
      </c>
      <c r="V1234" s="4">
        <f t="shared" si="600"/>
        <v>6.1136821798322316</v>
      </c>
      <c r="W1234" s="4">
        <f t="shared" si="601"/>
        <v>51.3</v>
      </c>
      <c r="X1234" s="4">
        <f t="shared" si="602"/>
        <v>2</v>
      </c>
      <c r="Y1234" s="4">
        <f t="shared" si="603"/>
        <v>8.4118326757584114</v>
      </c>
      <c r="Z1234" s="4">
        <f t="shared" si="604"/>
        <v>6.1136821798322316</v>
      </c>
      <c r="AA1234" s="4">
        <f t="shared" si="605"/>
        <v>51.3</v>
      </c>
      <c r="AB1234" s="4">
        <f t="shared" si="606"/>
        <v>0</v>
      </c>
      <c r="AC1234" s="4">
        <f t="shared" si="607"/>
        <v>1</v>
      </c>
      <c r="AD1234" s="4">
        <f t="shared" si="608"/>
        <v>8.4118326757584114</v>
      </c>
      <c r="AE1234" s="4">
        <f t="shared" si="609"/>
        <v>6.1136821798322316</v>
      </c>
      <c r="AF1234" s="4">
        <f t="shared" si="610"/>
        <v>51.3</v>
      </c>
      <c r="AG1234" s="4">
        <f t="shared" si="611"/>
        <v>8.4118326757584114</v>
      </c>
      <c r="AH1234" s="4">
        <f t="shared" si="612"/>
        <v>0</v>
      </c>
      <c r="AI1234" s="4">
        <f t="shared" si="613"/>
        <v>1</v>
      </c>
      <c r="AJ1234" s="4">
        <f t="shared" si="614"/>
        <v>8.4118326757584114</v>
      </c>
      <c r="AK1234" s="4">
        <f t="shared" si="615"/>
        <v>6.1136821798322316</v>
      </c>
      <c r="AL1234" s="4">
        <f t="shared" si="616"/>
        <v>1</v>
      </c>
      <c r="AM1234" s="4">
        <f>CER!$C$7+CER!$C$8*J1234+CER!$C$9*K1234+CER!$C$10*L1234+CER!$C$11*M1234</f>
        <v>4.9020412728656577</v>
      </c>
      <c r="AN1234" s="4">
        <f t="shared" si="617"/>
        <v>134.56418173779247</v>
      </c>
      <c r="AO1234" s="4">
        <f t="shared" si="618"/>
        <v>9.8918026077283727E-2</v>
      </c>
      <c r="AP1234" s="4">
        <f>Alternatives!$F$25+Alternatives!$F$26*J1234+Alternatives!$F$27*K1234+Alternatives!$F$28*G1234+Alternatives!$F$29*O1234</f>
        <v>4.1080571720598211</v>
      </c>
      <c r="AQ1234" s="4">
        <f t="shared" si="619"/>
        <v>0.89290212688312032</v>
      </c>
    </row>
    <row r="1235" spans="1:43" x14ac:dyDescent="0.35">
      <c r="A1235" s="2" t="s">
        <v>1088</v>
      </c>
      <c r="B1235" s="2" t="s">
        <v>1083</v>
      </c>
      <c r="C1235" s="2" t="s">
        <v>34</v>
      </c>
      <c r="D1235" s="2">
        <v>173.53139999999999</v>
      </c>
      <c r="E1235" s="2">
        <v>4500</v>
      </c>
      <c r="F1235" s="2">
        <v>658</v>
      </c>
      <c r="G1235" s="2">
        <v>54.4</v>
      </c>
      <c r="H1235" s="2" t="s">
        <v>924</v>
      </c>
      <c r="I1235" s="4">
        <f t="shared" si="589"/>
        <v>5.15635856283913</v>
      </c>
      <c r="J1235" s="4">
        <f t="shared" si="590"/>
        <v>8.4118326757584114</v>
      </c>
      <c r="K1235" s="4">
        <f t="shared" si="591"/>
        <v>6.4892049313253173</v>
      </c>
      <c r="L1235" s="2">
        <v>0</v>
      </c>
      <c r="M1235" s="2">
        <v>1</v>
      </c>
      <c r="N1235" s="4">
        <f t="shared" si="592"/>
        <v>54.4</v>
      </c>
      <c r="O1235" s="4">
        <f t="shared" si="593"/>
        <v>1</v>
      </c>
      <c r="P1235" s="4">
        <f t="shared" si="594"/>
        <v>2</v>
      </c>
      <c r="Q1235" s="4">
        <f t="shared" si="595"/>
        <v>8.4118326757584114</v>
      </c>
      <c r="R1235" s="4">
        <f t="shared" si="596"/>
        <v>6.4892049313253173</v>
      </c>
      <c r="S1235" s="4">
        <f t="shared" si="597"/>
        <v>54.4</v>
      </c>
      <c r="T1235" s="4">
        <f t="shared" si="598"/>
        <v>1</v>
      </c>
      <c r="U1235" s="4">
        <f t="shared" si="599"/>
        <v>8.4118326757584114</v>
      </c>
      <c r="V1235" s="4">
        <f t="shared" si="600"/>
        <v>6.4892049313253173</v>
      </c>
      <c r="W1235" s="4">
        <f t="shared" si="601"/>
        <v>54.4</v>
      </c>
      <c r="X1235" s="4">
        <f t="shared" si="602"/>
        <v>2</v>
      </c>
      <c r="Y1235" s="4">
        <f t="shared" si="603"/>
        <v>8.4118326757584114</v>
      </c>
      <c r="Z1235" s="4">
        <f t="shared" si="604"/>
        <v>6.4892049313253173</v>
      </c>
      <c r="AA1235" s="4">
        <f t="shared" si="605"/>
        <v>54.4</v>
      </c>
      <c r="AB1235" s="4">
        <f t="shared" si="606"/>
        <v>0</v>
      </c>
      <c r="AC1235" s="4">
        <f t="shared" si="607"/>
        <v>1</v>
      </c>
      <c r="AD1235" s="4">
        <f t="shared" si="608"/>
        <v>8.4118326757584114</v>
      </c>
      <c r="AE1235" s="4">
        <f t="shared" si="609"/>
        <v>6.4892049313253173</v>
      </c>
      <c r="AF1235" s="4">
        <f t="shared" si="610"/>
        <v>54.4</v>
      </c>
      <c r="AG1235" s="4">
        <f t="shared" si="611"/>
        <v>8.4118326757584114</v>
      </c>
      <c r="AH1235" s="4">
        <f t="shared" si="612"/>
        <v>0</v>
      </c>
      <c r="AI1235" s="4">
        <f t="shared" si="613"/>
        <v>1</v>
      </c>
      <c r="AJ1235" s="4">
        <f t="shared" si="614"/>
        <v>8.4118326757584114</v>
      </c>
      <c r="AK1235" s="4">
        <f t="shared" si="615"/>
        <v>6.4892049313253173</v>
      </c>
      <c r="AL1235" s="4">
        <f t="shared" si="616"/>
        <v>1</v>
      </c>
      <c r="AM1235" s="4">
        <f>CER!$C$7+CER!$C$8*J1235+CER!$C$9*K1235+CER!$C$10*L1235+CER!$C$11*M1235</f>
        <v>4.7634945142880962</v>
      </c>
      <c r="AN1235" s="4">
        <f t="shared" si="617"/>
        <v>117.15460986520922</v>
      </c>
      <c r="AO1235" s="4">
        <f t="shared" si="618"/>
        <v>0.39286404855103374</v>
      </c>
      <c r="AP1235" s="4">
        <f>Alternatives!$F$25+Alternatives!$F$26*J1235+Alternatives!$F$27*K1235+Alternatives!$F$28*G1235+Alternatives!$F$29*O1235</f>
        <v>3.9678041496297101</v>
      </c>
      <c r="AQ1235" s="4">
        <f t="shared" si="619"/>
        <v>1.1885544132094199</v>
      </c>
    </row>
    <row r="1236" spans="1:43" x14ac:dyDescent="0.35">
      <c r="A1236" s="2" t="s">
        <v>1089</v>
      </c>
      <c r="B1236" s="2" t="s">
        <v>1083</v>
      </c>
      <c r="C1236" s="2" t="s">
        <v>34</v>
      </c>
      <c r="D1236" s="2">
        <v>128.26172164866071</v>
      </c>
      <c r="E1236" s="2">
        <v>5000</v>
      </c>
      <c r="F1236" s="2">
        <v>1006</v>
      </c>
      <c r="G1236" s="2">
        <v>54.4</v>
      </c>
      <c r="H1236" s="2" t="s">
        <v>911</v>
      </c>
      <c r="I1236" s="4">
        <f t="shared" si="589"/>
        <v>4.8540728767450885</v>
      </c>
      <c r="J1236" s="4">
        <f t="shared" si="590"/>
        <v>8.5171931914162382</v>
      </c>
      <c r="K1236" s="4">
        <f t="shared" si="591"/>
        <v>6.9137373506596846</v>
      </c>
      <c r="L1236" s="2">
        <v>0</v>
      </c>
      <c r="M1236" s="2">
        <v>1</v>
      </c>
      <c r="N1236" s="4">
        <f t="shared" si="592"/>
        <v>54.4</v>
      </c>
      <c r="O1236" s="4">
        <f t="shared" si="593"/>
        <v>1</v>
      </c>
      <c r="P1236" s="4">
        <f t="shared" si="594"/>
        <v>2</v>
      </c>
      <c r="Q1236" s="4">
        <f t="shared" si="595"/>
        <v>8.5171931914162382</v>
      </c>
      <c r="R1236" s="4">
        <f t="shared" si="596"/>
        <v>6.9137373506596846</v>
      </c>
      <c r="S1236" s="4">
        <f t="shared" si="597"/>
        <v>54.4</v>
      </c>
      <c r="T1236" s="4">
        <f t="shared" si="598"/>
        <v>1</v>
      </c>
      <c r="U1236" s="4">
        <f t="shared" si="599"/>
        <v>8.5171931914162382</v>
      </c>
      <c r="V1236" s="4">
        <f t="shared" si="600"/>
        <v>6.9137373506596846</v>
      </c>
      <c r="W1236" s="4">
        <f t="shared" si="601"/>
        <v>54.4</v>
      </c>
      <c r="X1236" s="4">
        <f t="shared" si="602"/>
        <v>2</v>
      </c>
      <c r="Y1236" s="4">
        <f t="shared" si="603"/>
        <v>8.5171931914162382</v>
      </c>
      <c r="Z1236" s="4">
        <f t="shared" si="604"/>
        <v>6.9137373506596846</v>
      </c>
      <c r="AA1236" s="4">
        <f t="shared" si="605"/>
        <v>54.4</v>
      </c>
      <c r="AB1236" s="4">
        <f t="shared" si="606"/>
        <v>0</v>
      </c>
      <c r="AC1236" s="4">
        <f t="shared" si="607"/>
        <v>1</v>
      </c>
      <c r="AD1236" s="4">
        <f t="shared" si="608"/>
        <v>8.5171931914162382</v>
      </c>
      <c r="AE1236" s="4">
        <f t="shared" si="609"/>
        <v>6.9137373506596846</v>
      </c>
      <c r="AF1236" s="4">
        <f t="shared" si="610"/>
        <v>54.4</v>
      </c>
      <c r="AG1236" s="4">
        <f t="shared" si="611"/>
        <v>8.5171931914162382</v>
      </c>
      <c r="AH1236" s="4">
        <f t="shared" si="612"/>
        <v>0</v>
      </c>
      <c r="AI1236" s="4">
        <f t="shared" si="613"/>
        <v>1</v>
      </c>
      <c r="AJ1236" s="4">
        <f t="shared" si="614"/>
        <v>8.5171931914162382</v>
      </c>
      <c r="AK1236" s="4">
        <f t="shared" si="615"/>
        <v>6.9137373506596846</v>
      </c>
      <c r="AL1236" s="4">
        <f t="shared" si="616"/>
        <v>1</v>
      </c>
      <c r="AM1236" s="4">
        <f>CER!$C$7+CER!$C$8*J1236+CER!$C$9*K1236+CER!$C$10*L1236+CER!$C$11*M1236</f>
        <v>4.5591682805550402</v>
      </c>
      <c r="AN1236" s="4">
        <f t="shared" si="617"/>
        <v>95.504014242392842</v>
      </c>
      <c r="AO1236" s="4">
        <f t="shared" si="618"/>
        <v>0.29490459619004827</v>
      </c>
      <c r="AP1236" s="4">
        <f>Alternatives!$F$25+Alternatives!$F$26*J1236+Alternatives!$F$27*K1236+Alternatives!$F$28*G1236+Alternatives!$F$29*O1236</f>
        <v>3.8938242906337268</v>
      </c>
      <c r="AQ1236" s="4">
        <f t="shared" si="619"/>
        <v>0.96024858611136166</v>
      </c>
    </row>
    <row r="1237" spans="1:43" x14ac:dyDescent="0.35">
      <c r="A1237" s="2" t="s">
        <v>1090</v>
      </c>
      <c r="B1237" s="2" t="s">
        <v>1083</v>
      </c>
      <c r="C1237" s="2" t="s">
        <v>34</v>
      </c>
      <c r="D1237" s="2">
        <v>147.5059</v>
      </c>
      <c r="E1237" s="2">
        <v>5000</v>
      </c>
      <c r="F1237" s="2">
        <v>1006</v>
      </c>
      <c r="G1237" s="2">
        <v>54.4</v>
      </c>
      <c r="H1237" s="2" t="s">
        <v>911</v>
      </c>
      <c r="I1237" s="4">
        <f t="shared" si="589"/>
        <v>4.9938681749798954</v>
      </c>
      <c r="J1237" s="4">
        <f t="shared" si="590"/>
        <v>8.5171931914162382</v>
      </c>
      <c r="K1237" s="4">
        <f t="shared" si="591"/>
        <v>6.9137373506596846</v>
      </c>
      <c r="L1237" s="2">
        <v>0</v>
      </c>
      <c r="M1237" s="2">
        <v>1</v>
      </c>
      <c r="N1237" s="4">
        <f t="shared" si="592"/>
        <v>54.4</v>
      </c>
      <c r="O1237" s="4">
        <f t="shared" si="593"/>
        <v>1</v>
      </c>
      <c r="P1237" s="4">
        <f t="shared" si="594"/>
        <v>2</v>
      </c>
      <c r="Q1237" s="4">
        <f t="shared" si="595"/>
        <v>8.5171931914162382</v>
      </c>
      <c r="R1237" s="4">
        <f t="shared" si="596"/>
        <v>6.9137373506596846</v>
      </c>
      <c r="S1237" s="4">
        <f t="shared" si="597"/>
        <v>54.4</v>
      </c>
      <c r="T1237" s="4">
        <f t="shared" si="598"/>
        <v>1</v>
      </c>
      <c r="U1237" s="4">
        <f t="shared" si="599"/>
        <v>8.5171931914162382</v>
      </c>
      <c r="V1237" s="4">
        <f t="shared" si="600"/>
        <v>6.9137373506596846</v>
      </c>
      <c r="W1237" s="4">
        <f t="shared" si="601"/>
        <v>54.4</v>
      </c>
      <c r="X1237" s="4">
        <f t="shared" si="602"/>
        <v>2</v>
      </c>
      <c r="Y1237" s="4">
        <f t="shared" si="603"/>
        <v>8.5171931914162382</v>
      </c>
      <c r="Z1237" s="4">
        <f t="shared" si="604"/>
        <v>6.9137373506596846</v>
      </c>
      <c r="AA1237" s="4">
        <f t="shared" si="605"/>
        <v>54.4</v>
      </c>
      <c r="AB1237" s="4">
        <f t="shared" si="606"/>
        <v>0</v>
      </c>
      <c r="AC1237" s="4">
        <f t="shared" si="607"/>
        <v>1</v>
      </c>
      <c r="AD1237" s="4">
        <f t="shared" si="608"/>
        <v>8.5171931914162382</v>
      </c>
      <c r="AE1237" s="4">
        <f t="shared" si="609"/>
        <v>6.9137373506596846</v>
      </c>
      <c r="AF1237" s="4">
        <f t="shared" si="610"/>
        <v>54.4</v>
      </c>
      <c r="AG1237" s="4">
        <f t="shared" si="611"/>
        <v>8.5171931914162382</v>
      </c>
      <c r="AH1237" s="4">
        <f t="shared" si="612"/>
        <v>0</v>
      </c>
      <c r="AI1237" s="4">
        <f t="shared" si="613"/>
        <v>1</v>
      </c>
      <c r="AJ1237" s="4">
        <f t="shared" si="614"/>
        <v>8.5171931914162382</v>
      </c>
      <c r="AK1237" s="4">
        <f t="shared" si="615"/>
        <v>6.9137373506596846</v>
      </c>
      <c r="AL1237" s="4">
        <f t="shared" si="616"/>
        <v>1</v>
      </c>
      <c r="AM1237" s="4">
        <f>CER!$C$7+CER!$C$8*J1237+CER!$C$9*K1237+CER!$C$10*L1237+CER!$C$11*M1237</f>
        <v>4.5591682805550402</v>
      </c>
      <c r="AN1237" s="4">
        <f t="shared" si="617"/>
        <v>95.504014242392842</v>
      </c>
      <c r="AO1237" s="4">
        <f t="shared" si="618"/>
        <v>0.43469989442485524</v>
      </c>
      <c r="AP1237" s="4">
        <f>Alternatives!$F$25+Alternatives!$F$26*J1237+Alternatives!$F$27*K1237+Alternatives!$F$28*G1237+Alternatives!$F$29*O1237</f>
        <v>3.8938242906337268</v>
      </c>
      <c r="AQ1237" s="4">
        <f t="shared" si="619"/>
        <v>1.1000438843461686</v>
      </c>
    </row>
    <row r="1238" spans="1:43" x14ac:dyDescent="0.35">
      <c r="A1238" s="2" t="s">
        <v>1091</v>
      </c>
      <c r="B1238" s="2" t="s">
        <v>1083</v>
      </c>
      <c r="C1238" s="2" t="s">
        <v>34</v>
      </c>
      <c r="D1238" s="2">
        <v>140.59800000000001</v>
      </c>
      <c r="E1238" s="2">
        <v>5500</v>
      </c>
      <c r="F1238" s="2">
        <v>658</v>
      </c>
      <c r="G1238" s="2">
        <v>55</v>
      </c>
      <c r="H1238" s="2" t="s">
        <v>911</v>
      </c>
      <c r="I1238" s="4">
        <f t="shared" si="589"/>
        <v>4.9459047545243253</v>
      </c>
      <c r="J1238" s="4">
        <f t="shared" si="590"/>
        <v>8.6125033712205621</v>
      </c>
      <c r="K1238" s="4">
        <f t="shared" si="591"/>
        <v>6.4892049313253173</v>
      </c>
      <c r="L1238" s="2">
        <v>0</v>
      </c>
      <c r="M1238" s="2">
        <v>1</v>
      </c>
      <c r="N1238" s="4">
        <f t="shared" si="592"/>
        <v>55</v>
      </c>
      <c r="O1238" s="4">
        <f t="shared" si="593"/>
        <v>1</v>
      </c>
      <c r="P1238" s="4">
        <f t="shared" si="594"/>
        <v>2</v>
      </c>
      <c r="Q1238" s="4">
        <f t="shared" si="595"/>
        <v>8.6125033712205621</v>
      </c>
      <c r="R1238" s="4">
        <f t="shared" si="596"/>
        <v>6.4892049313253173</v>
      </c>
      <c r="S1238" s="4">
        <f t="shared" si="597"/>
        <v>55</v>
      </c>
      <c r="T1238" s="4">
        <f t="shared" si="598"/>
        <v>1</v>
      </c>
      <c r="U1238" s="4">
        <f t="shared" si="599"/>
        <v>8.6125033712205621</v>
      </c>
      <c r="V1238" s="4">
        <f t="shared" si="600"/>
        <v>6.4892049313253173</v>
      </c>
      <c r="W1238" s="4">
        <f t="shared" si="601"/>
        <v>55</v>
      </c>
      <c r="X1238" s="4">
        <f t="shared" si="602"/>
        <v>2</v>
      </c>
      <c r="Y1238" s="4">
        <f t="shared" si="603"/>
        <v>8.6125033712205621</v>
      </c>
      <c r="Z1238" s="4">
        <f t="shared" si="604"/>
        <v>6.4892049313253173</v>
      </c>
      <c r="AA1238" s="4">
        <f t="shared" si="605"/>
        <v>55</v>
      </c>
      <c r="AB1238" s="4">
        <f t="shared" si="606"/>
        <v>0</v>
      </c>
      <c r="AC1238" s="4">
        <f t="shared" si="607"/>
        <v>1</v>
      </c>
      <c r="AD1238" s="4">
        <f t="shared" si="608"/>
        <v>8.6125033712205621</v>
      </c>
      <c r="AE1238" s="4">
        <f t="shared" si="609"/>
        <v>6.4892049313253173</v>
      </c>
      <c r="AF1238" s="4">
        <f t="shared" si="610"/>
        <v>55</v>
      </c>
      <c r="AG1238" s="4">
        <f t="shared" si="611"/>
        <v>8.6125033712205621</v>
      </c>
      <c r="AH1238" s="4">
        <f t="shared" si="612"/>
        <v>0</v>
      </c>
      <c r="AI1238" s="4">
        <f t="shared" si="613"/>
        <v>1</v>
      </c>
      <c r="AJ1238" s="4">
        <f t="shared" si="614"/>
        <v>8.6125033712205621</v>
      </c>
      <c r="AK1238" s="4">
        <f t="shared" si="615"/>
        <v>6.4892049313253173</v>
      </c>
      <c r="AL1238" s="4">
        <f t="shared" si="616"/>
        <v>1</v>
      </c>
      <c r="AM1238" s="4">
        <f>CER!$C$7+CER!$C$8*J1238+CER!$C$9*K1238+CER!$C$10*L1238+CER!$C$11*M1238</f>
        <v>4.6726490604108255</v>
      </c>
      <c r="AN1238" s="4">
        <f t="shared" si="617"/>
        <v>106.98076590548172</v>
      </c>
      <c r="AO1238" s="4">
        <f t="shared" si="618"/>
        <v>0.27325569411349981</v>
      </c>
      <c r="AP1238" s="4">
        <f>Alternatives!$F$25+Alternatives!$F$26*J1238+Alternatives!$F$27*K1238+Alternatives!$F$28*G1238+Alternatives!$F$29*O1238</f>
        <v>4.0342651715093165</v>
      </c>
      <c r="AQ1238" s="4">
        <f t="shared" si="619"/>
        <v>0.9116395830150088</v>
      </c>
    </row>
    <row r="1239" spans="1:43" x14ac:dyDescent="0.35">
      <c r="A1239" s="2" t="s">
        <v>1092</v>
      </c>
      <c r="B1239" s="2" t="s">
        <v>1083</v>
      </c>
      <c r="C1239" s="2" t="s">
        <v>34</v>
      </c>
      <c r="D1239" s="2">
        <v>126.3145</v>
      </c>
      <c r="E1239" s="2">
        <v>5500</v>
      </c>
      <c r="F1239" s="2">
        <v>925</v>
      </c>
      <c r="G1239" s="2">
        <v>55</v>
      </c>
      <c r="H1239" s="2" t="s">
        <v>911</v>
      </c>
      <c r="I1239" s="4">
        <f t="shared" si="589"/>
        <v>4.8387748287841577</v>
      </c>
      <c r="J1239" s="4">
        <f t="shared" si="590"/>
        <v>8.6125033712205621</v>
      </c>
      <c r="K1239" s="4">
        <f t="shared" si="591"/>
        <v>6.8297937375124249</v>
      </c>
      <c r="L1239" s="2">
        <v>0</v>
      </c>
      <c r="M1239" s="2">
        <v>1</v>
      </c>
      <c r="N1239" s="4">
        <f t="shared" si="592"/>
        <v>55</v>
      </c>
      <c r="O1239" s="4">
        <f t="shared" si="593"/>
        <v>1</v>
      </c>
      <c r="P1239" s="4">
        <f t="shared" si="594"/>
        <v>2</v>
      </c>
      <c r="Q1239" s="4">
        <f t="shared" si="595"/>
        <v>8.6125033712205621</v>
      </c>
      <c r="R1239" s="4">
        <f t="shared" si="596"/>
        <v>6.8297937375124249</v>
      </c>
      <c r="S1239" s="4">
        <f t="shared" si="597"/>
        <v>55</v>
      </c>
      <c r="T1239" s="4">
        <f t="shared" si="598"/>
        <v>1</v>
      </c>
      <c r="U1239" s="4">
        <f t="shared" si="599"/>
        <v>8.6125033712205621</v>
      </c>
      <c r="V1239" s="4">
        <f t="shared" si="600"/>
        <v>6.8297937375124249</v>
      </c>
      <c r="W1239" s="4">
        <f t="shared" si="601"/>
        <v>55</v>
      </c>
      <c r="X1239" s="4">
        <f t="shared" si="602"/>
        <v>2</v>
      </c>
      <c r="Y1239" s="4">
        <f t="shared" si="603"/>
        <v>8.6125033712205621</v>
      </c>
      <c r="Z1239" s="4">
        <f t="shared" si="604"/>
        <v>6.8297937375124249</v>
      </c>
      <c r="AA1239" s="4">
        <f t="shared" si="605"/>
        <v>55</v>
      </c>
      <c r="AB1239" s="4">
        <f t="shared" si="606"/>
        <v>0</v>
      </c>
      <c r="AC1239" s="4">
        <f t="shared" si="607"/>
        <v>1</v>
      </c>
      <c r="AD1239" s="4">
        <f t="shared" si="608"/>
        <v>8.6125033712205621</v>
      </c>
      <c r="AE1239" s="4">
        <f t="shared" si="609"/>
        <v>6.8297937375124249</v>
      </c>
      <c r="AF1239" s="4">
        <f t="shared" si="610"/>
        <v>55</v>
      </c>
      <c r="AG1239" s="4">
        <f t="shared" si="611"/>
        <v>8.6125033712205621</v>
      </c>
      <c r="AH1239" s="4">
        <f t="shared" si="612"/>
        <v>0</v>
      </c>
      <c r="AI1239" s="4">
        <f t="shared" si="613"/>
        <v>1</v>
      </c>
      <c r="AJ1239" s="4">
        <f t="shared" si="614"/>
        <v>8.6125033712205621</v>
      </c>
      <c r="AK1239" s="4">
        <f t="shared" si="615"/>
        <v>6.8297937375124249</v>
      </c>
      <c r="AL1239" s="4">
        <f t="shared" si="616"/>
        <v>1</v>
      </c>
      <c r="AM1239" s="4">
        <f>CER!$C$7+CER!$C$8*J1239+CER!$C$9*K1239+CER!$C$10*L1239+CER!$C$11*M1239</f>
        <v>4.5469909613544921</v>
      </c>
      <c r="AN1239" s="4">
        <f t="shared" si="617"/>
        <v>94.348083727552918</v>
      </c>
      <c r="AO1239" s="4">
        <f t="shared" si="618"/>
        <v>0.29178386742966556</v>
      </c>
      <c r="AP1239" s="4">
        <f>Alternatives!$F$25+Alternatives!$F$26*J1239+Alternatives!$F$27*K1239+Alternatives!$F$28*G1239+Alternatives!$F$29*O1239</f>
        <v>3.9436310952244482</v>
      </c>
      <c r="AQ1239" s="4">
        <f t="shared" si="619"/>
        <v>0.89514373355970944</v>
      </c>
    </row>
    <row r="1240" spans="1:43" x14ac:dyDescent="0.35">
      <c r="A1240" s="2" t="s">
        <v>1093</v>
      </c>
      <c r="B1240" s="2" t="s">
        <v>1083</v>
      </c>
      <c r="C1240" s="2" t="s">
        <v>34</v>
      </c>
      <c r="D1240" s="2">
        <v>134.08600000000001</v>
      </c>
      <c r="E1240" s="2">
        <v>5500</v>
      </c>
      <c r="F1240" s="2">
        <v>925</v>
      </c>
      <c r="G1240" s="2">
        <v>55</v>
      </c>
      <c r="H1240" s="2" t="s">
        <v>911</v>
      </c>
      <c r="I1240" s="4">
        <f t="shared" si="589"/>
        <v>4.8984813851358897</v>
      </c>
      <c r="J1240" s="4">
        <f t="shared" si="590"/>
        <v>8.6125033712205621</v>
      </c>
      <c r="K1240" s="4">
        <f t="shared" si="591"/>
        <v>6.8297937375124249</v>
      </c>
      <c r="L1240" s="2">
        <v>0</v>
      </c>
      <c r="M1240" s="2">
        <v>1</v>
      </c>
      <c r="N1240" s="4">
        <f t="shared" si="592"/>
        <v>55</v>
      </c>
      <c r="O1240" s="4">
        <f t="shared" si="593"/>
        <v>1</v>
      </c>
      <c r="P1240" s="4">
        <f t="shared" si="594"/>
        <v>2</v>
      </c>
      <c r="Q1240" s="4">
        <f t="shared" si="595"/>
        <v>8.6125033712205621</v>
      </c>
      <c r="R1240" s="4">
        <f t="shared" si="596"/>
        <v>6.8297937375124249</v>
      </c>
      <c r="S1240" s="4">
        <f t="shared" si="597"/>
        <v>55</v>
      </c>
      <c r="T1240" s="4">
        <f t="shared" si="598"/>
        <v>1</v>
      </c>
      <c r="U1240" s="4">
        <f t="shared" si="599"/>
        <v>8.6125033712205621</v>
      </c>
      <c r="V1240" s="4">
        <f t="shared" si="600"/>
        <v>6.8297937375124249</v>
      </c>
      <c r="W1240" s="4">
        <f t="shared" si="601"/>
        <v>55</v>
      </c>
      <c r="X1240" s="4">
        <f t="shared" si="602"/>
        <v>2</v>
      </c>
      <c r="Y1240" s="4">
        <f t="shared" si="603"/>
        <v>8.6125033712205621</v>
      </c>
      <c r="Z1240" s="4">
        <f t="shared" si="604"/>
        <v>6.8297937375124249</v>
      </c>
      <c r="AA1240" s="4">
        <f t="shared" si="605"/>
        <v>55</v>
      </c>
      <c r="AB1240" s="4">
        <f t="shared" si="606"/>
        <v>0</v>
      </c>
      <c r="AC1240" s="4">
        <f t="shared" si="607"/>
        <v>1</v>
      </c>
      <c r="AD1240" s="4">
        <f t="shared" si="608"/>
        <v>8.6125033712205621</v>
      </c>
      <c r="AE1240" s="4">
        <f t="shared" si="609"/>
        <v>6.8297937375124249</v>
      </c>
      <c r="AF1240" s="4">
        <f t="shared" si="610"/>
        <v>55</v>
      </c>
      <c r="AG1240" s="4">
        <f t="shared" si="611"/>
        <v>8.6125033712205621</v>
      </c>
      <c r="AH1240" s="4">
        <f t="shared" si="612"/>
        <v>0</v>
      </c>
      <c r="AI1240" s="4">
        <f t="shared" si="613"/>
        <v>1</v>
      </c>
      <c r="AJ1240" s="4">
        <f t="shared" si="614"/>
        <v>8.6125033712205621</v>
      </c>
      <c r="AK1240" s="4">
        <f t="shared" si="615"/>
        <v>6.8297937375124249</v>
      </c>
      <c r="AL1240" s="4">
        <f t="shared" si="616"/>
        <v>1</v>
      </c>
      <c r="AM1240" s="4">
        <f>CER!$C$7+CER!$C$8*J1240+CER!$C$9*K1240+CER!$C$10*L1240+CER!$C$11*M1240</f>
        <v>4.5469909613544921</v>
      </c>
      <c r="AN1240" s="4">
        <f t="shared" si="617"/>
        <v>94.348083727552918</v>
      </c>
      <c r="AO1240" s="4">
        <f t="shared" si="618"/>
        <v>0.35149042378139761</v>
      </c>
      <c r="AP1240" s="4">
        <f>Alternatives!$F$25+Alternatives!$F$26*J1240+Alternatives!$F$27*K1240+Alternatives!$F$28*G1240+Alternatives!$F$29*O1240</f>
        <v>3.9436310952244482</v>
      </c>
      <c r="AQ1240" s="4">
        <f t="shared" si="619"/>
        <v>0.9548502899114415</v>
      </c>
    </row>
    <row r="1241" spans="1:43" x14ac:dyDescent="0.35">
      <c r="A1241" s="2" t="s">
        <v>1094</v>
      </c>
      <c r="B1241" s="2" t="s">
        <v>1083</v>
      </c>
      <c r="C1241" s="2" t="s">
        <v>34</v>
      </c>
      <c r="D1241" s="2">
        <v>159.21539999999999</v>
      </c>
      <c r="E1241" s="2">
        <v>4000</v>
      </c>
      <c r="F1241" s="2">
        <v>257</v>
      </c>
      <c r="G1241" s="2">
        <v>49.2</v>
      </c>
      <c r="H1241" s="2" t="s">
        <v>883</v>
      </c>
      <c r="I1241" s="4">
        <f t="shared" si="589"/>
        <v>5.0702580024002248</v>
      </c>
      <c r="J1241" s="4">
        <f t="shared" si="590"/>
        <v>8.2940496401020276</v>
      </c>
      <c r="K1241" s="4">
        <f t="shared" si="591"/>
        <v>5.5490760848952201</v>
      </c>
      <c r="L1241" s="2">
        <v>0</v>
      </c>
      <c r="M1241" s="2">
        <v>1</v>
      </c>
      <c r="N1241" s="4">
        <f t="shared" si="592"/>
        <v>49.2</v>
      </c>
      <c r="O1241" s="4">
        <f t="shared" si="593"/>
        <v>1</v>
      </c>
      <c r="P1241" s="4">
        <f t="shared" si="594"/>
        <v>2</v>
      </c>
      <c r="Q1241" s="4">
        <f t="shared" si="595"/>
        <v>8.2940496401020276</v>
      </c>
      <c r="R1241" s="4">
        <f t="shared" si="596"/>
        <v>5.5490760848952201</v>
      </c>
      <c r="S1241" s="4">
        <f t="shared" si="597"/>
        <v>49.2</v>
      </c>
      <c r="T1241" s="4">
        <f t="shared" si="598"/>
        <v>1</v>
      </c>
      <c r="U1241" s="4">
        <f t="shared" si="599"/>
        <v>8.2940496401020276</v>
      </c>
      <c r="V1241" s="4">
        <f t="shared" si="600"/>
        <v>5.5490760848952201</v>
      </c>
      <c r="W1241" s="4">
        <f t="shared" si="601"/>
        <v>49.2</v>
      </c>
      <c r="X1241" s="4">
        <f t="shared" si="602"/>
        <v>2</v>
      </c>
      <c r="Y1241" s="4">
        <f t="shared" si="603"/>
        <v>8.2940496401020276</v>
      </c>
      <c r="Z1241" s="4">
        <f t="shared" si="604"/>
        <v>5.5490760848952201</v>
      </c>
      <c r="AA1241" s="4">
        <f t="shared" si="605"/>
        <v>49.2</v>
      </c>
      <c r="AB1241" s="4">
        <f t="shared" si="606"/>
        <v>0</v>
      </c>
      <c r="AC1241" s="4">
        <f t="shared" si="607"/>
        <v>1</v>
      </c>
      <c r="AD1241" s="4">
        <f t="shared" si="608"/>
        <v>8.2940496401020276</v>
      </c>
      <c r="AE1241" s="4">
        <f t="shared" si="609"/>
        <v>5.5490760848952201</v>
      </c>
      <c r="AF1241" s="4">
        <f t="shared" si="610"/>
        <v>49.2</v>
      </c>
      <c r="AG1241" s="4">
        <f t="shared" si="611"/>
        <v>8.2940496401020276</v>
      </c>
      <c r="AH1241" s="4">
        <f t="shared" si="612"/>
        <v>0</v>
      </c>
      <c r="AI1241" s="4">
        <f t="shared" si="613"/>
        <v>1</v>
      </c>
      <c r="AJ1241" s="4">
        <f t="shared" si="614"/>
        <v>8.2940496401020276</v>
      </c>
      <c r="AK1241" s="4">
        <f t="shared" si="615"/>
        <v>5.5490760848952201</v>
      </c>
      <c r="AL1241" s="4">
        <f t="shared" si="616"/>
        <v>1</v>
      </c>
      <c r="AM1241" s="4">
        <f>CER!$C$7+CER!$C$8*J1241+CER!$C$9*K1241+CER!$C$10*L1241+CER!$C$11*M1241</f>
        <v>5.1636705967826853</v>
      </c>
      <c r="AN1241" s="4">
        <f t="shared" si="617"/>
        <v>174.80491781568404</v>
      </c>
      <c r="AO1241" s="4">
        <f t="shared" si="618"/>
        <v>-9.3412594382460412E-2</v>
      </c>
      <c r="AP1241" s="4">
        <f>Alternatives!$F$25+Alternatives!$F$26*J1241+Alternatives!$F$27*K1241+Alternatives!$F$28*G1241+Alternatives!$F$29*O1241</f>
        <v>4.2420299924500426</v>
      </c>
      <c r="AQ1241" s="4">
        <f t="shared" si="619"/>
        <v>0.8282280099501822</v>
      </c>
    </row>
    <row r="1242" spans="1:43" x14ac:dyDescent="0.35">
      <c r="A1242" s="2" t="s">
        <v>1095</v>
      </c>
      <c r="B1242" s="2" t="s">
        <v>1083</v>
      </c>
      <c r="C1242" s="2" t="s">
        <v>34</v>
      </c>
      <c r="D1242" s="2">
        <v>195.4153</v>
      </c>
      <c r="E1242" s="2">
        <v>4000</v>
      </c>
      <c r="F1242" s="2">
        <v>302</v>
      </c>
      <c r="G1242" s="2">
        <v>49.2</v>
      </c>
      <c r="H1242" s="2" t="s">
        <v>883</v>
      </c>
      <c r="I1242" s="4">
        <f t="shared" si="589"/>
        <v>5.2751270374645127</v>
      </c>
      <c r="J1242" s="4">
        <f t="shared" si="590"/>
        <v>8.2940496401020276</v>
      </c>
      <c r="K1242" s="4">
        <f t="shared" si="591"/>
        <v>5.7104270173748697</v>
      </c>
      <c r="L1242" s="2">
        <v>0</v>
      </c>
      <c r="M1242" s="2">
        <v>1</v>
      </c>
      <c r="N1242" s="4">
        <f t="shared" si="592"/>
        <v>49.2</v>
      </c>
      <c r="O1242" s="4">
        <f t="shared" si="593"/>
        <v>1</v>
      </c>
      <c r="P1242" s="4">
        <f t="shared" si="594"/>
        <v>2</v>
      </c>
      <c r="Q1242" s="4">
        <f t="shared" si="595"/>
        <v>8.2940496401020276</v>
      </c>
      <c r="R1242" s="4">
        <f t="shared" si="596"/>
        <v>5.7104270173748697</v>
      </c>
      <c r="S1242" s="4">
        <f t="shared" si="597"/>
        <v>49.2</v>
      </c>
      <c r="T1242" s="4">
        <f t="shared" si="598"/>
        <v>1</v>
      </c>
      <c r="U1242" s="4">
        <f t="shared" si="599"/>
        <v>8.2940496401020276</v>
      </c>
      <c r="V1242" s="4">
        <f t="shared" si="600"/>
        <v>5.7104270173748697</v>
      </c>
      <c r="W1242" s="4">
        <f t="shared" si="601"/>
        <v>49.2</v>
      </c>
      <c r="X1242" s="4">
        <f t="shared" si="602"/>
        <v>2</v>
      </c>
      <c r="Y1242" s="4">
        <f t="shared" si="603"/>
        <v>8.2940496401020276</v>
      </c>
      <c r="Z1242" s="4">
        <f t="shared" si="604"/>
        <v>5.7104270173748697</v>
      </c>
      <c r="AA1242" s="4">
        <f t="shared" si="605"/>
        <v>49.2</v>
      </c>
      <c r="AB1242" s="4">
        <f t="shared" si="606"/>
        <v>0</v>
      </c>
      <c r="AC1242" s="4">
        <f t="shared" si="607"/>
        <v>1</v>
      </c>
      <c r="AD1242" s="4">
        <f t="shared" si="608"/>
        <v>8.2940496401020276</v>
      </c>
      <c r="AE1242" s="4">
        <f t="shared" si="609"/>
        <v>5.7104270173748697</v>
      </c>
      <c r="AF1242" s="4">
        <f t="shared" si="610"/>
        <v>49.2</v>
      </c>
      <c r="AG1242" s="4">
        <f t="shared" si="611"/>
        <v>8.2940496401020276</v>
      </c>
      <c r="AH1242" s="4">
        <f t="shared" si="612"/>
        <v>0</v>
      </c>
      <c r="AI1242" s="4">
        <f t="shared" si="613"/>
        <v>1</v>
      </c>
      <c r="AJ1242" s="4">
        <f t="shared" si="614"/>
        <v>8.2940496401020276</v>
      </c>
      <c r="AK1242" s="4">
        <f t="shared" si="615"/>
        <v>5.7104270173748697</v>
      </c>
      <c r="AL1242" s="4">
        <f t="shared" si="616"/>
        <v>1</v>
      </c>
      <c r="AM1242" s="4">
        <f>CER!$C$7+CER!$C$8*J1242+CER!$C$9*K1242+CER!$C$10*L1242+CER!$C$11*M1242</f>
        <v>5.1041411845176761</v>
      </c>
      <c r="AN1242" s="4">
        <f t="shared" si="617"/>
        <v>164.70256066582891</v>
      </c>
      <c r="AO1242" s="4">
        <f t="shared" si="618"/>
        <v>0.17098585294683666</v>
      </c>
      <c r="AP1242" s="4">
        <f>Alternatives!$F$25+Alternatives!$F$26*J1242+Alternatives!$F$27*K1242+Alternatives!$F$28*G1242+Alternatives!$F$29*O1242</f>
        <v>4.1990929009856757</v>
      </c>
      <c r="AQ1242" s="4">
        <f t="shared" si="619"/>
        <v>1.0760341364788371</v>
      </c>
    </row>
    <row r="1243" spans="1:43" x14ac:dyDescent="0.35">
      <c r="A1243" s="2" t="s">
        <v>1096</v>
      </c>
      <c r="B1243" s="2" t="s">
        <v>1083</v>
      </c>
      <c r="C1243" s="2" t="s">
        <v>34</v>
      </c>
      <c r="D1243" s="2">
        <v>186.36699999999999</v>
      </c>
      <c r="E1243" s="2">
        <v>4000</v>
      </c>
      <c r="F1243" s="2">
        <v>370</v>
      </c>
      <c r="G1243" s="2">
        <v>49.2</v>
      </c>
      <c r="H1243" s="2" t="s">
        <v>883</v>
      </c>
      <c r="I1243" s="4">
        <f t="shared" si="589"/>
        <v>5.2277178479516939</v>
      </c>
      <c r="J1243" s="4">
        <f t="shared" si="590"/>
        <v>8.2940496401020276</v>
      </c>
      <c r="K1243" s="4">
        <f t="shared" si="591"/>
        <v>5.9135030056382698</v>
      </c>
      <c r="L1243" s="2">
        <v>0</v>
      </c>
      <c r="M1243" s="2">
        <v>1</v>
      </c>
      <c r="N1243" s="4">
        <f t="shared" si="592"/>
        <v>49.2</v>
      </c>
      <c r="O1243" s="4">
        <f t="shared" si="593"/>
        <v>1</v>
      </c>
      <c r="P1243" s="4">
        <f t="shared" si="594"/>
        <v>2</v>
      </c>
      <c r="Q1243" s="4">
        <f t="shared" si="595"/>
        <v>8.2940496401020276</v>
      </c>
      <c r="R1243" s="4">
        <f t="shared" si="596"/>
        <v>5.9135030056382698</v>
      </c>
      <c r="S1243" s="4">
        <f t="shared" si="597"/>
        <v>49.2</v>
      </c>
      <c r="T1243" s="4">
        <f t="shared" si="598"/>
        <v>1</v>
      </c>
      <c r="U1243" s="4">
        <f t="shared" si="599"/>
        <v>8.2940496401020276</v>
      </c>
      <c r="V1243" s="4">
        <f t="shared" si="600"/>
        <v>5.9135030056382698</v>
      </c>
      <c r="W1243" s="4">
        <f t="shared" si="601"/>
        <v>49.2</v>
      </c>
      <c r="X1243" s="4">
        <f t="shared" si="602"/>
        <v>2</v>
      </c>
      <c r="Y1243" s="4">
        <f t="shared" si="603"/>
        <v>8.2940496401020276</v>
      </c>
      <c r="Z1243" s="4">
        <f t="shared" si="604"/>
        <v>5.9135030056382698</v>
      </c>
      <c r="AA1243" s="4">
        <f t="shared" si="605"/>
        <v>49.2</v>
      </c>
      <c r="AB1243" s="4">
        <f t="shared" si="606"/>
        <v>0</v>
      </c>
      <c r="AC1243" s="4">
        <f t="shared" si="607"/>
        <v>1</v>
      </c>
      <c r="AD1243" s="4">
        <f t="shared" si="608"/>
        <v>8.2940496401020276</v>
      </c>
      <c r="AE1243" s="4">
        <f t="shared" si="609"/>
        <v>5.9135030056382698</v>
      </c>
      <c r="AF1243" s="4">
        <f t="shared" si="610"/>
        <v>49.2</v>
      </c>
      <c r="AG1243" s="4">
        <f t="shared" si="611"/>
        <v>8.2940496401020276</v>
      </c>
      <c r="AH1243" s="4">
        <f t="shared" si="612"/>
        <v>0</v>
      </c>
      <c r="AI1243" s="4">
        <f t="shared" si="613"/>
        <v>1</v>
      </c>
      <c r="AJ1243" s="4">
        <f t="shared" si="614"/>
        <v>8.2940496401020276</v>
      </c>
      <c r="AK1243" s="4">
        <f t="shared" si="615"/>
        <v>5.9135030056382698</v>
      </c>
      <c r="AL1243" s="4">
        <f t="shared" si="616"/>
        <v>1</v>
      </c>
      <c r="AM1243" s="4">
        <f>CER!$C$7+CER!$C$8*J1243+CER!$C$9*K1243+CER!$C$10*L1243+CER!$C$11*M1243</f>
        <v>5.0292175752104864</v>
      </c>
      <c r="AN1243" s="4">
        <f t="shared" si="617"/>
        <v>152.81340091505987</v>
      </c>
      <c r="AO1243" s="4">
        <f t="shared" si="618"/>
        <v>0.19850027274120752</v>
      </c>
      <c r="AP1243" s="4">
        <f>Alternatives!$F$25+Alternatives!$F$26*J1243+Alternatives!$F$27*K1243+Alternatives!$F$28*G1243+Alternatives!$F$29*O1243</f>
        <v>4.145052356265662</v>
      </c>
      <c r="AQ1243" s="4">
        <f t="shared" si="619"/>
        <v>1.0826654916860319</v>
      </c>
    </row>
    <row r="1244" spans="1:43" x14ac:dyDescent="0.35">
      <c r="A1244" s="2" t="s">
        <v>1097</v>
      </c>
      <c r="B1244" s="2" t="s">
        <v>1083</v>
      </c>
      <c r="C1244" s="2" t="s">
        <v>34</v>
      </c>
      <c r="D1244" s="2">
        <v>182.55459999999999</v>
      </c>
      <c r="E1244" s="2">
        <v>4000</v>
      </c>
      <c r="F1244" s="2">
        <v>397</v>
      </c>
      <c r="G1244" s="2">
        <v>49.2</v>
      </c>
      <c r="H1244" s="2" t="s">
        <v>883</v>
      </c>
      <c r="I1244" s="4">
        <f t="shared" si="589"/>
        <v>5.2070493063598997</v>
      </c>
      <c r="J1244" s="4">
        <f t="shared" si="590"/>
        <v>8.2940496401020276</v>
      </c>
      <c r="K1244" s="4">
        <f t="shared" si="591"/>
        <v>5.9839362806871907</v>
      </c>
      <c r="L1244" s="2">
        <v>0</v>
      </c>
      <c r="M1244" s="2">
        <v>1</v>
      </c>
      <c r="N1244" s="4">
        <f t="shared" si="592"/>
        <v>49.2</v>
      </c>
      <c r="O1244" s="4">
        <f t="shared" si="593"/>
        <v>1</v>
      </c>
      <c r="P1244" s="4">
        <f t="shared" si="594"/>
        <v>2</v>
      </c>
      <c r="Q1244" s="4">
        <f t="shared" si="595"/>
        <v>8.2940496401020276</v>
      </c>
      <c r="R1244" s="4">
        <f t="shared" si="596"/>
        <v>5.9839362806871907</v>
      </c>
      <c r="S1244" s="4">
        <f t="shared" si="597"/>
        <v>49.2</v>
      </c>
      <c r="T1244" s="4">
        <f t="shared" si="598"/>
        <v>1</v>
      </c>
      <c r="U1244" s="4">
        <f t="shared" si="599"/>
        <v>8.2940496401020276</v>
      </c>
      <c r="V1244" s="4">
        <f t="shared" si="600"/>
        <v>5.9839362806871907</v>
      </c>
      <c r="W1244" s="4">
        <f t="shared" si="601"/>
        <v>49.2</v>
      </c>
      <c r="X1244" s="4">
        <f t="shared" si="602"/>
        <v>2</v>
      </c>
      <c r="Y1244" s="4">
        <f t="shared" si="603"/>
        <v>8.2940496401020276</v>
      </c>
      <c r="Z1244" s="4">
        <f t="shared" si="604"/>
        <v>5.9839362806871907</v>
      </c>
      <c r="AA1244" s="4">
        <f t="shared" si="605"/>
        <v>49.2</v>
      </c>
      <c r="AB1244" s="4">
        <f t="shared" si="606"/>
        <v>0</v>
      </c>
      <c r="AC1244" s="4">
        <f t="shared" si="607"/>
        <v>1</v>
      </c>
      <c r="AD1244" s="4">
        <f t="shared" si="608"/>
        <v>8.2940496401020276</v>
      </c>
      <c r="AE1244" s="4">
        <f t="shared" si="609"/>
        <v>5.9839362806871907</v>
      </c>
      <c r="AF1244" s="4">
        <f t="shared" si="610"/>
        <v>49.2</v>
      </c>
      <c r="AG1244" s="4">
        <f t="shared" si="611"/>
        <v>8.2940496401020276</v>
      </c>
      <c r="AH1244" s="4">
        <f t="shared" si="612"/>
        <v>0</v>
      </c>
      <c r="AI1244" s="4">
        <f t="shared" si="613"/>
        <v>1</v>
      </c>
      <c r="AJ1244" s="4">
        <f t="shared" si="614"/>
        <v>8.2940496401020276</v>
      </c>
      <c r="AK1244" s="4">
        <f t="shared" si="615"/>
        <v>5.9839362806871907</v>
      </c>
      <c r="AL1244" s="4">
        <f t="shared" si="616"/>
        <v>1</v>
      </c>
      <c r="AM1244" s="4">
        <f>CER!$C$7+CER!$C$8*J1244+CER!$C$9*K1244+CER!$C$10*L1244+CER!$C$11*M1244</f>
        <v>5.0032316611340928</v>
      </c>
      <c r="AN1244" s="4">
        <f t="shared" si="617"/>
        <v>148.8935559624762</v>
      </c>
      <c r="AO1244" s="4">
        <f t="shared" si="618"/>
        <v>0.20381764522580692</v>
      </c>
      <c r="AP1244" s="4">
        <f>Alternatives!$F$25+Alternatives!$F$26*J1244+Alternatives!$F$27*K1244+Alternatives!$F$28*G1244+Alternatives!$F$29*O1244</f>
        <v>4.126309359702617</v>
      </c>
      <c r="AQ1244" s="4">
        <f t="shared" si="619"/>
        <v>1.0807399466572827</v>
      </c>
    </row>
    <row r="1245" spans="1:43" x14ac:dyDescent="0.35">
      <c r="A1245" s="2" t="s">
        <v>1098</v>
      </c>
      <c r="B1245" s="2" t="s">
        <v>1083</v>
      </c>
      <c r="C1245" s="2" t="s">
        <v>34</v>
      </c>
      <c r="D1245" s="2">
        <v>150.92400000000001</v>
      </c>
      <c r="E1245" s="2">
        <v>4000</v>
      </c>
      <c r="F1245" s="2">
        <v>510</v>
      </c>
      <c r="G1245" s="2">
        <v>48.9</v>
      </c>
      <c r="H1245" s="2" t="s">
        <v>883</v>
      </c>
      <c r="I1245" s="4">
        <f t="shared" si="589"/>
        <v>5.0167763988530192</v>
      </c>
      <c r="J1245" s="4">
        <f t="shared" si="590"/>
        <v>8.2940496401020276</v>
      </c>
      <c r="K1245" s="4">
        <f t="shared" si="591"/>
        <v>6.2344107257183712</v>
      </c>
      <c r="L1245" s="2">
        <v>0</v>
      </c>
      <c r="M1245" s="2">
        <v>1</v>
      </c>
      <c r="N1245" s="4">
        <f t="shared" si="592"/>
        <v>48.9</v>
      </c>
      <c r="O1245" s="4">
        <f t="shared" si="593"/>
        <v>1</v>
      </c>
      <c r="P1245" s="4">
        <f t="shared" si="594"/>
        <v>2</v>
      </c>
      <c r="Q1245" s="4">
        <f t="shared" si="595"/>
        <v>8.2940496401020276</v>
      </c>
      <c r="R1245" s="4">
        <f t="shared" si="596"/>
        <v>6.2344107257183712</v>
      </c>
      <c r="S1245" s="4">
        <f t="shared" si="597"/>
        <v>48.9</v>
      </c>
      <c r="T1245" s="4">
        <f t="shared" si="598"/>
        <v>1</v>
      </c>
      <c r="U1245" s="4">
        <f t="shared" si="599"/>
        <v>8.2940496401020276</v>
      </c>
      <c r="V1245" s="4">
        <f t="shared" si="600"/>
        <v>6.2344107257183712</v>
      </c>
      <c r="W1245" s="4">
        <f t="shared" si="601"/>
        <v>48.9</v>
      </c>
      <c r="X1245" s="4">
        <f t="shared" si="602"/>
        <v>2</v>
      </c>
      <c r="Y1245" s="4">
        <f t="shared" si="603"/>
        <v>8.2940496401020276</v>
      </c>
      <c r="Z1245" s="4">
        <f t="shared" si="604"/>
        <v>6.2344107257183712</v>
      </c>
      <c r="AA1245" s="4">
        <f t="shared" si="605"/>
        <v>48.9</v>
      </c>
      <c r="AB1245" s="4">
        <f t="shared" si="606"/>
        <v>0</v>
      </c>
      <c r="AC1245" s="4">
        <f t="shared" si="607"/>
        <v>1</v>
      </c>
      <c r="AD1245" s="4">
        <f t="shared" si="608"/>
        <v>8.2940496401020276</v>
      </c>
      <c r="AE1245" s="4">
        <f t="shared" si="609"/>
        <v>6.2344107257183712</v>
      </c>
      <c r="AF1245" s="4">
        <f t="shared" si="610"/>
        <v>48.9</v>
      </c>
      <c r="AG1245" s="4">
        <f t="shared" si="611"/>
        <v>8.2940496401020276</v>
      </c>
      <c r="AH1245" s="4">
        <f t="shared" si="612"/>
        <v>0</v>
      </c>
      <c r="AI1245" s="4">
        <f t="shared" si="613"/>
        <v>1</v>
      </c>
      <c r="AJ1245" s="4">
        <f t="shared" si="614"/>
        <v>8.2940496401020276</v>
      </c>
      <c r="AK1245" s="4">
        <f t="shared" si="615"/>
        <v>6.2344107257183712</v>
      </c>
      <c r="AL1245" s="4">
        <f t="shared" si="616"/>
        <v>1</v>
      </c>
      <c r="AM1245" s="4">
        <f>CER!$C$7+CER!$C$8*J1245+CER!$C$9*K1245+CER!$C$10*L1245+CER!$C$11*M1245</f>
        <v>4.9108206891554147</v>
      </c>
      <c r="AN1245" s="4">
        <f t="shared" si="617"/>
        <v>135.75077789606976</v>
      </c>
      <c r="AO1245" s="4">
        <f t="shared" si="618"/>
        <v>0.10595570969760448</v>
      </c>
      <c r="AP1245" s="4">
        <f>Alternatives!$F$25+Alternatives!$F$26*J1245+Alternatives!$F$27*K1245+Alternatives!$F$28*G1245+Alternatives!$F$29*O1245</f>
        <v>4.0635578075358261</v>
      </c>
      <c r="AQ1245" s="4">
        <f t="shared" si="619"/>
        <v>0.95321859131719311</v>
      </c>
    </row>
    <row r="1246" spans="1:43" x14ac:dyDescent="0.35">
      <c r="A1246" s="2" t="s">
        <v>1099</v>
      </c>
      <c r="B1246" s="2" t="s">
        <v>693</v>
      </c>
      <c r="C1246" s="2" t="s">
        <v>34</v>
      </c>
      <c r="D1246" s="2">
        <v>170.0394</v>
      </c>
      <c r="E1246" s="2">
        <v>4500</v>
      </c>
      <c r="F1246" s="2">
        <v>98</v>
      </c>
      <c r="G1246" s="2">
        <v>49.2</v>
      </c>
      <c r="H1246" s="2" t="s">
        <v>881</v>
      </c>
      <c r="I1246" s="4">
        <f t="shared" si="589"/>
        <v>5.1360301749028539</v>
      </c>
      <c r="J1246" s="4">
        <f t="shared" si="590"/>
        <v>8.4118326757584114</v>
      </c>
      <c r="K1246" s="4">
        <f t="shared" si="591"/>
        <v>4.5849674786705723</v>
      </c>
      <c r="L1246" s="2">
        <v>0</v>
      </c>
      <c r="M1246" s="2">
        <v>1</v>
      </c>
      <c r="N1246" s="4">
        <f t="shared" si="592"/>
        <v>49.2</v>
      </c>
      <c r="O1246" s="4">
        <f t="shared" si="593"/>
        <v>1</v>
      </c>
      <c r="P1246" s="4">
        <f t="shared" si="594"/>
        <v>2</v>
      </c>
      <c r="Q1246" s="4">
        <f t="shared" si="595"/>
        <v>8.4118326757584114</v>
      </c>
      <c r="R1246" s="4">
        <f t="shared" si="596"/>
        <v>4.5849674786705723</v>
      </c>
      <c r="S1246" s="4">
        <f t="shared" si="597"/>
        <v>49.2</v>
      </c>
      <c r="T1246" s="4">
        <f t="shared" si="598"/>
        <v>1</v>
      </c>
      <c r="U1246" s="4">
        <f t="shared" si="599"/>
        <v>8.4118326757584114</v>
      </c>
      <c r="V1246" s="4">
        <f t="shared" si="600"/>
        <v>4.5849674786705723</v>
      </c>
      <c r="W1246" s="4">
        <f t="shared" si="601"/>
        <v>49.2</v>
      </c>
      <c r="X1246" s="4">
        <f t="shared" si="602"/>
        <v>2</v>
      </c>
      <c r="Y1246" s="4">
        <f t="shared" si="603"/>
        <v>8.4118326757584114</v>
      </c>
      <c r="Z1246" s="4">
        <f t="shared" si="604"/>
        <v>4.5849674786705723</v>
      </c>
      <c r="AA1246" s="4">
        <f t="shared" si="605"/>
        <v>49.2</v>
      </c>
      <c r="AB1246" s="4">
        <f t="shared" si="606"/>
        <v>0</v>
      </c>
      <c r="AC1246" s="4">
        <f t="shared" si="607"/>
        <v>1</v>
      </c>
      <c r="AD1246" s="4">
        <f t="shared" si="608"/>
        <v>8.4118326757584114</v>
      </c>
      <c r="AE1246" s="4">
        <f t="shared" si="609"/>
        <v>4.5849674786705723</v>
      </c>
      <c r="AF1246" s="4">
        <f t="shared" si="610"/>
        <v>49.2</v>
      </c>
      <c r="AG1246" s="4">
        <f t="shared" si="611"/>
        <v>8.4118326757584114</v>
      </c>
      <c r="AH1246" s="4">
        <f t="shared" si="612"/>
        <v>0</v>
      </c>
      <c r="AI1246" s="4">
        <f t="shared" si="613"/>
        <v>1</v>
      </c>
      <c r="AJ1246" s="4">
        <f t="shared" si="614"/>
        <v>8.4118326757584114</v>
      </c>
      <c r="AK1246" s="4">
        <f t="shared" si="615"/>
        <v>4.5849674786705723</v>
      </c>
      <c r="AL1246" s="4">
        <f t="shared" si="616"/>
        <v>1</v>
      </c>
      <c r="AM1246" s="4">
        <f>CER!$C$7+CER!$C$8*J1246+CER!$C$9*K1246+CER!$C$10*L1246+CER!$C$11*M1246</f>
        <v>5.4660509521559248</v>
      </c>
      <c r="AN1246" s="4">
        <f t="shared" si="617"/>
        <v>236.52430025729529</v>
      </c>
      <c r="AO1246" s="4">
        <f t="shared" si="618"/>
        <v>-0.330020777253071</v>
      </c>
      <c r="AP1246" s="4">
        <f>Alternatives!$F$25+Alternatives!$F$26*J1246+Alternatives!$F$27*K1246+Alternatives!$F$28*G1246+Alternatives!$F$29*O1246</f>
        <v>4.5421787526677821</v>
      </c>
      <c r="AQ1246" s="4">
        <f t="shared" si="619"/>
        <v>0.5938514222350717</v>
      </c>
    </row>
    <row r="1247" spans="1:43" x14ac:dyDescent="0.35">
      <c r="A1247" s="2" t="s">
        <v>1100</v>
      </c>
      <c r="B1247" s="2" t="s">
        <v>693</v>
      </c>
      <c r="C1247" s="2" t="s">
        <v>34</v>
      </c>
      <c r="D1247" s="2">
        <v>159.76300000000001</v>
      </c>
      <c r="E1247" s="2">
        <v>4500</v>
      </c>
      <c r="F1247" s="2">
        <v>98</v>
      </c>
      <c r="G1247" s="2">
        <v>49.2</v>
      </c>
      <c r="H1247" s="2" t="s">
        <v>883</v>
      </c>
      <c r="I1247" s="4">
        <f t="shared" si="589"/>
        <v>5.0736914670985032</v>
      </c>
      <c r="J1247" s="4">
        <f t="shared" si="590"/>
        <v>8.4118326757584114</v>
      </c>
      <c r="K1247" s="4">
        <f t="shared" si="591"/>
        <v>4.5849674786705723</v>
      </c>
      <c r="L1247" s="2">
        <v>0</v>
      </c>
      <c r="M1247" s="2">
        <v>1</v>
      </c>
      <c r="N1247" s="4">
        <f t="shared" si="592"/>
        <v>49.2</v>
      </c>
      <c r="O1247" s="4">
        <f t="shared" si="593"/>
        <v>1</v>
      </c>
      <c r="P1247" s="4">
        <f t="shared" si="594"/>
        <v>2</v>
      </c>
      <c r="Q1247" s="4">
        <f t="shared" si="595"/>
        <v>8.4118326757584114</v>
      </c>
      <c r="R1247" s="4">
        <f t="shared" si="596"/>
        <v>4.5849674786705723</v>
      </c>
      <c r="S1247" s="4">
        <f t="shared" si="597"/>
        <v>49.2</v>
      </c>
      <c r="T1247" s="4">
        <f t="shared" si="598"/>
        <v>1</v>
      </c>
      <c r="U1247" s="4">
        <f t="shared" si="599"/>
        <v>8.4118326757584114</v>
      </c>
      <c r="V1247" s="4">
        <f t="shared" si="600"/>
        <v>4.5849674786705723</v>
      </c>
      <c r="W1247" s="4">
        <f t="shared" si="601"/>
        <v>49.2</v>
      </c>
      <c r="X1247" s="4">
        <f t="shared" si="602"/>
        <v>2</v>
      </c>
      <c r="Y1247" s="4">
        <f t="shared" si="603"/>
        <v>8.4118326757584114</v>
      </c>
      <c r="Z1247" s="4">
        <f t="shared" si="604"/>
        <v>4.5849674786705723</v>
      </c>
      <c r="AA1247" s="4">
        <f t="shared" si="605"/>
        <v>49.2</v>
      </c>
      <c r="AB1247" s="4">
        <f t="shared" si="606"/>
        <v>0</v>
      </c>
      <c r="AC1247" s="4">
        <f t="shared" si="607"/>
        <v>1</v>
      </c>
      <c r="AD1247" s="4">
        <f t="shared" si="608"/>
        <v>8.4118326757584114</v>
      </c>
      <c r="AE1247" s="4">
        <f t="shared" si="609"/>
        <v>4.5849674786705723</v>
      </c>
      <c r="AF1247" s="4">
        <f t="shared" si="610"/>
        <v>49.2</v>
      </c>
      <c r="AG1247" s="4">
        <f t="shared" si="611"/>
        <v>8.4118326757584114</v>
      </c>
      <c r="AH1247" s="4">
        <f t="shared" si="612"/>
        <v>0</v>
      </c>
      <c r="AI1247" s="4">
        <f t="shared" si="613"/>
        <v>1</v>
      </c>
      <c r="AJ1247" s="4">
        <f t="shared" si="614"/>
        <v>8.4118326757584114</v>
      </c>
      <c r="AK1247" s="4">
        <f t="shared" si="615"/>
        <v>4.5849674786705723</v>
      </c>
      <c r="AL1247" s="4">
        <f t="shared" si="616"/>
        <v>1</v>
      </c>
      <c r="AM1247" s="4">
        <f>CER!$C$7+CER!$C$8*J1247+CER!$C$9*K1247+CER!$C$10*L1247+CER!$C$11*M1247</f>
        <v>5.4660509521559248</v>
      </c>
      <c r="AN1247" s="4">
        <f t="shared" si="617"/>
        <v>236.52430025729529</v>
      </c>
      <c r="AO1247" s="4">
        <f t="shared" si="618"/>
        <v>-0.39235948505742169</v>
      </c>
      <c r="AP1247" s="4">
        <f>Alternatives!$F$25+Alternatives!$F$26*J1247+Alternatives!$F$27*K1247+Alternatives!$F$28*G1247+Alternatives!$F$29*O1247</f>
        <v>4.5421787526677821</v>
      </c>
      <c r="AQ1247" s="4">
        <f t="shared" si="619"/>
        <v>0.53151271443072101</v>
      </c>
    </row>
    <row r="1248" spans="1:43" x14ac:dyDescent="0.35">
      <c r="A1248" s="2" t="s">
        <v>1101</v>
      </c>
      <c r="B1248" s="2" t="s">
        <v>693</v>
      </c>
      <c r="C1248" s="2" t="s">
        <v>34</v>
      </c>
      <c r="D1248" s="2">
        <v>155.45259999999999</v>
      </c>
      <c r="E1248" s="2">
        <v>4500</v>
      </c>
      <c r="F1248" s="2">
        <v>158</v>
      </c>
      <c r="G1248" s="2">
        <v>49.2</v>
      </c>
      <c r="H1248" s="2" t="s">
        <v>883</v>
      </c>
      <c r="I1248" s="4">
        <f t="shared" si="589"/>
        <v>5.0463408620001431</v>
      </c>
      <c r="J1248" s="4">
        <f t="shared" si="590"/>
        <v>8.4118326757584114</v>
      </c>
      <c r="K1248" s="4">
        <f t="shared" si="591"/>
        <v>5.0625950330269669</v>
      </c>
      <c r="L1248" s="2">
        <v>0</v>
      </c>
      <c r="M1248" s="2">
        <v>1</v>
      </c>
      <c r="N1248" s="4">
        <f t="shared" si="592"/>
        <v>49.2</v>
      </c>
      <c r="O1248" s="4">
        <f t="shared" si="593"/>
        <v>1</v>
      </c>
      <c r="P1248" s="4">
        <f t="shared" si="594"/>
        <v>2</v>
      </c>
      <c r="Q1248" s="4">
        <f t="shared" si="595"/>
        <v>8.4118326757584114</v>
      </c>
      <c r="R1248" s="4">
        <f t="shared" si="596"/>
        <v>5.0625950330269669</v>
      </c>
      <c r="S1248" s="4">
        <f t="shared" si="597"/>
        <v>49.2</v>
      </c>
      <c r="T1248" s="4">
        <f t="shared" si="598"/>
        <v>1</v>
      </c>
      <c r="U1248" s="4">
        <f t="shared" si="599"/>
        <v>8.4118326757584114</v>
      </c>
      <c r="V1248" s="4">
        <f t="shared" si="600"/>
        <v>5.0625950330269669</v>
      </c>
      <c r="W1248" s="4">
        <f t="shared" si="601"/>
        <v>49.2</v>
      </c>
      <c r="X1248" s="4">
        <f t="shared" si="602"/>
        <v>2</v>
      </c>
      <c r="Y1248" s="4">
        <f t="shared" si="603"/>
        <v>8.4118326757584114</v>
      </c>
      <c r="Z1248" s="4">
        <f t="shared" si="604"/>
        <v>5.0625950330269669</v>
      </c>
      <c r="AA1248" s="4">
        <f t="shared" si="605"/>
        <v>49.2</v>
      </c>
      <c r="AB1248" s="4">
        <f t="shared" si="606"/>
        <v>0</v>
      </c>
      <c r="AC1248" s="4">
        <f t="shared" si="607"/>
        <v>1</v>
      </c>
      <c r="AD1248" s="4">
        <f t="shared" si="608"/>
        <v>8.4118326757584114</v>
      </c>
      <c r="AE1248" s="4">
        <f t="shared" si="609"/>
        <v>5.0625950330269669</v>
      </c>
      <c r="AF1248" s="4">
        <f t="shared" si="610"/>
        <v>49.2</v>
      </c>
      <c r="AG1248" s="4">
        <f t="shared" si="611"/>
        <v>8.4118326757584114</v>
      </c>
      <c r="AH1248" s="4">
        <f t="shared" si="612"/>
        <v>0</v>
      </c>
      <c r="AI1248" s="4">
        <f t="shared" si="613"/>
        <v>1</v>
      </c>
      <c r="AJ1248" s="4">
        <f t="shared" si="614"/>
        <v>8.4118326757584114</v>
      </c>
      <c r="AK1248" s="4">
        <f t="shared" si="615"/>
        <v>5.0625950330269669</v>
      </c>
      <c r="AL1248" s="4">
        <f t="shared" si="616"/>
        <v>1</v>
      </c>
      <c r="AM1248" s="4">
        <f>CER!$C$7+CER!$C$8*J1248+CER!$C$9*K1248+CER!$C$10*L1248+CER!$C$11*M1248</f>
        <v>5.2898332684062748</v>
      </c>
      <c r="AN1248" s="4">
        <f t="shared" si="617"/>
        <v>198.31035805072105</v>
      </c>
      <c r="AO1248" s="4">
        <f t="shared" si="618"/>
        <v>-0.24349240640613168</v>
      </c>
      <c r="AP1248" s="4">
        <f>Alternatives!$F$25+Alternatives!$F$26*J1248+Alternatives!$F$27*K1248+Alternatives!$F$28*G1248+Alternatives!$F$29*O1248</f>
        <v>4.4150772995051923</v>
      </c>
      <c r="AQ1248" s="4">
        <f t="shared" si="619"/>
        <v>0.63126356249495075</v>
      </c>
    </row>
    <row r="1249" spans="1:43" x14ac:dyDescent="0.35">
      <c r="A1249" s="2" t="s">
        <v>1102</v>
      </c>
      <c r="B1249" s="2" t="s">
        <v>693</v>
      </c>
      <c r="C1249" s="2" t="s">
        <v>34</v>
      </c>
      <c r="D1249" s="2">
        <v>152.83770000000001</v>
      </c>
      <c r="E1249" s="2">
        <v>4500</v>
      </c>
      <c r="F1249" s="2">
        <v>158</v>
      </c>
      <c r="G1249" s="2">
        <v>49.2</v>
      </c>
      <c r="H1249" s="2" t="s">
        <v>883</v>
      </c>
      <c r="I1249" s="4">
        <f t="shared" si="589"/>
        <v>5.0293765740488254</v>
      </c>
      <c r="J1249" s="4">
        <f t="shared" si="590"/>
        <v>8.4118326757584114</v>
      </c>
      <c r="K1249" s="4">
        <f t="shared" si="591"/>
        <v>5.0625950330269669</v>
      </c>
      <c r="L1249" s="2">
        <v>0</v>
      </c>
      <c r="M1249" s="2">
        <v>1</v>
      </c>
      <c r="N1249" s="4">
        <f t="shared" si="592"/>
        <v>49.2</v>
      </c>
      <c r="O1249" s="4">
        <f t="shared" si="593"/>
        <v>1</v>
      </c>
      <c r="P1249" s="4">
        <f t="shared" si="594"/>
        <v>2</v>
      </c>
      <c r="Q1249" s="4">
        <f t="shared" si="595"/>
        <v>8.4118326757584114</v>
      </c>
      <c r="R1249" s="4">
        <f t="shared" si="596"/>
        <v>5.0625950330269669</v>
      </c>
      <c r="S1249" s="4">
        <f t="shared" si="597"/>
        <v>49.2</v>
      </c>
      <c r="T1249" s="4">
        <f t="shared" si="598"/>
        <v>1</v>
      </c>
      <c r="U1249" s="4">
        <f t="shared" si="599"/>
        <v>8.4118326757584114</v>
      </c>
      <c r="V1249" s="4">
        <f t="shared" si="600"/>
        <v>5.0625950330269669</v>
      </c>
      <c r="W1249" s="4">
        <f t="shared" si="601"/>
        <v>49.2</v>
      </c>
      <c r="X1249" s="4">
        <f t="shared" si="602"/>
        <v>2</v>
      </c>
      <c r="Y1249" s="4">
        <f t="shared" si="603"/>
        <v>8.4118326757584114</v>
      </c>
      <c r="Z1249" s="4">
        <f t="shared" si="604"/>
        <v>5.0625950330269669</v>
      </c>
      <c r="AA1249" s="4">
        <f t="shared" si="605"/>
        <v>49.2</v>
      </c>
      <c r="AB1249" s="4">
        <f t="shared" si="606"/>
        <v>0</v>
      </c>
      <c r="AC1249" s="4">
        <f t="shared" si="607"/>
        <v>1</v>
      </c>
      <c r="AD1249" s="4">
        <f t="shared" si="608"/>
        <v>8.4118326757584114</v>
      </c>
      <c r="AE1249" s="4">
        <f t="shared" si="609"/>
        <v>5.0625950330269669</v>
      </c>
      <c r="AF1249" s="4">
        <f t="shared" si="610"/>
        <v>49.2</v>
      </c>
      <c r="AG1249" s="4">
        <f t="shared" si="611"/>
        <v>8.4118326757584114</v>
      </c>
      <c r="AH1249" s="4">
        <f t="shared" si="612"/>
        <v>0</v>
      </c>
      <c r="AI1249" s="4">
        <f t="shared" si="613"/>
        <v>1</v>
      </c>
      <c r="AJ1249" s="4">
        <f t="shared" si="614"/>
        <v>8.4118326757584114</v>
      </c>
      <c r="AK1249" s="4">
        <f t="shared" si="615"/>
        <v>5.0625950330269669</v>
      </c>
      <c r="AL1249" s="4">
        <f t="shared" si="616"/>
        <v>1</v>
      </c>
      <c r="AM1249" s="4">
        <f>CER!$C$7+CER!$C$8*J1249+CER!$C$9*K1249+CER!$C$10*L1249+CER!$C$11*M1249</f>
        <v>5.2898332684062748</v>
      </c>
      <c r="AN1249" s="4">
        <f t="shared" si="617"/>
        <v>198.31035805072105</v>
      </c>
      <c r="AO1249" s="4">
        <f t="shared" si="618"/>
        <v>-0.26045669435744934</v>
      </c>
      <c r="AP1249" s="4">
        <f>Alternatives!$F$25+Alternatives!$F$26*J1249+Alternatives!$F$27*K1249+Alternatives!$F$28*G1249+Alternatives!$F$29*O1249</f>
        <v>4.4150772995051923</v>
      </c>
      <c r="AQ1249" s="4">
        <f t="shared" si="619"/>
        <v>0.61429927454363309</v>
      </c>
    </row>
    <row r="1250" spans="1:43" x14ac:dyDescent="0.35">
      <c r="A1250" s="2" t="s">
        <v>1103</v>
      </c>
      <c r="B1250" s="2" t="s">
        <v>693</v>
      </c>
      <c r="C1250" s="2" t="s">
        <v>34</v>
      </c>
      <c r="D1250" s="2">
        <v>154.614</v>
      </c>
      <c r="E1250" s="2">
        <v>5000</v>
      </c>
      <c r="F1250" s="2">
        <v>177</v>
      </c>
      <c r="G1250" s="2">
        <v>49.6</v>
      </c>
      <c r="H1250" s="2" t="s">
        <v>911</v>
      </c>
      <c r="I1250" s="4">
        <f t="shared" si="589"/>
        <v>5.0409316883276061</v>
      </c>
      <c r="J1250" s="4">
        <f t="shared" si="590"/>
        <v>8.5171931914162382</v>
      </c>
      <c r="K1250" s="4">
        <f t="shared" si="591"/>
        <v>5.1761497325738288</v>
      </c>
      <c r="L1250" s="2">
        <v>0</v>
      </c>
      <c r="M1250" s="2">
        <v>1</v>
      </c>
      <c r="N1250" s="4">
        <f t="shared" si="592"/>
        <v>49.6</v>
      </c>
      <c r="O1250" s="4">
        <f t="shared" si="593"/>
        <v>1</v>
      </c>
      <c r="P1250" s="4">
        <f t="shared" si="594"/>
        <v>2</v>
      </c>
      <c r="Q1250" s="4">
        <f t="shared" si="595"/>
        <v>8.5171931914162382</v>
      </c>
      <c r="R1250" s="4">
        <f t="shared" si="596"/>
        <v>5.1761497325738288</v>
      </c>
      <c r="S1250" s="4">
        <f t="shared" si="597"/>
        <v>49.6</v>
      </c>
      <c r="T1250" s="4">
        <f t="shared" si="598"/>
        <v>1</v>
      </c>
      <c r="U1250" s="4">
        <f t="shared" si="599"/>
        <v>8.5171931914162382</v>
      </c>
      <c r="V1250" s="4">
        <f t="shared" si="600"/>
        <v>5.1761497325738288</v>
      </c>
      <c r="W1250" s="4">
        <f t="shared" si="601"/>
        <v>49.6</v>
      </c>
      <c r="X1250" s="4">
        <f t="shared" si="602"/>
        <v>2</v>
      </c>
      <c r="Y1250" s="4">
        <f t="shared" si="603"/>
        <v>8.5171931914162382</v>
      </c>
      <c r="Z1250" s="4">
        <f t="shared" si="604"/>
        <v>5.1761497325738288</v>
      </c>
      <c r="AA1250" s="4">
        <f t="shared" si="605"/>
        <v>49.6</v>
      </c>
      <c r="AB1250" s="4">
        <f t="shared" si="606"/>
        <v>0</v>
      </c>
      <c r="AC1250" s="4">
        <f t="shared" si="607"/>
        <v>1</v>
      </c>
      <c r="AD1250" s="4">
        <f t="shared" si="608"/>
        <v>8.5171931914162382</v>
      </c>
      <c r="AE1250" s="4">
        <f t="shared" si="609"/>
        <v>5.1761497325738288</v>
      </c>
      <c r="AF1250" s="4">
        <f t="shared" si="610"/>
        <v>49.6</v>
      </c>
      <c r="AG1250" s="4">
        <f t="shared" si="611"/>
        <v>8.5171931914162382</v>
      </c>
      <c r="AH1250" s="4">
        <f t="shared" si="612"/>
        <v>0</v>
      </c>
      <c r="AI1250" s="4">
        <f t="shared" si="613"/>
        <v>1</v>
      </c>
      <c r="AJ1250" s="4">
        <f t="shared" si="614"/>
        <v>8.5171931914162382</v>
      </c>
      <c r="AK1250" s="4">
        <f t="shared" si="615"/>
        <v>5.1761497325738288</v>
      </c>
      <c r="AL1250" s="4">
        <f t="shared" si="616"/>
        <v>1</v>
      </c>
      <c r="AM1250" s="4">
        <f>CER!$C$7+CER!$C$8*J1250+CER!$C$9*K1250+CER!$C$10*L1250+CER!$C$11*M1250</f>
        <v>5.2002403095416359</v>
      </c>
      <c r="AN1250" s="4">
        <f t="shared" si="617"/>
        <v>181.31580855904275</v>
      </c>
      <c r="AO1250" s="4">
        <f t="shared" si="618"/>
        <v>-0.15930862121402978</v>
      </c>
      <c r="AP1250" s="4">
        <f>Alternatives!$F$25+Alternatives!$F$26*J1250+Alternatives!$F$27*K1250+Alternatives!$F$28*G1250+Alternatives!$F$29*O1250</f>
        <v>4.4186487857256171</v>
      </c>
      <c r="AQ1250" s="4">
        <f t="shared" si="619"/>
        <v>0.62228290260198893</v>
      </c>
    </row>
    <row r="1251" spans="1:43" x14ac:dyDescent="0.35">
      <c r="A1251" s="2" t="s">
        <v>1104</v>
      </c>
      <c r="B1251" s="2" t="s">
        <v>693</v>
      </c>
      <c r="C1251" s="2" t="s">
        <v>34</v>
      </c>
      <c r="D1251" s="2">
        <v>179.9444</v>
      </c>
      <c r="E1251" s="2">
        <v>4500</v>
      </c>
      <c r="F1251" s="2">
        <v>98</v>
      </c>
      <c r="G1251" s="2">
        <v>49.6</v>
      </c>
      <c r="H1251" s="2" t="s">
        <v>881</v>
      </c>
      <c r="I1251" s="4">
        <f t="shared" si="589"/>
        <v>5.1926479142853221</v>
      </c>
      <c r="J1251" s="4">
        <f t="shared" si="590"/>
        <v>8.4118326757584114</v>
      </c>
      <c r="K1251" s="4">
        <f t="shared" si="591"/>
        <v>4.5849674786705723</v>
      </c>
      <c r="L1251" s="2">
        <v>0</v>
      </c>
      <c r="M1251" s="2">
        <v>1</v>
      </c>
      <c r="N1251" s="4">
        <f t="shared" si="592"/>
        <v>49.6</v>
      </c>
      <c r="O1251" s="4">
        <f t="shared" si="593"/>
        <v>1</v>
      </c>
      <c r="P1251" s="4">
        <f t="shared" si="594"/>
        <v>2</v>
      </c>
      <c r="Q1251" s="4">
        <f t="shared" si="595"/>
        <v>8.4118326757584114</v>
      </c>
      <c r="R1251" s="4">
        <f t="shared" si="596"/>
        <v>4.5849674786705723</v>
      </c>
      <c r="S1251" s="4">
        <f t="shared" si="597"/>
        <v>49.6</v>
      </c>
      <c r="T1251" s="4">
        <f t="shared" si="598"/>
        <v>1</v>
      </c>
      <c r="U1251" s="4">
        <f t="shared" si="599"/>
        <v>8.4118326757584114</v>
      </c>
      <c r="V1251" s="4">
        <f t="shared" si="600"/>
        <v>4.5849674786705723</v>
      </c>
      <c r="W1251" s="4">
        <f t="shared" si="601"/>
        <v>49.6</v>
      </c>
      <c r="X1251" s="4">
        <f t="shared" si="602"/>
        <v>2</v>
      </c>
      <c r="Y1251" s="4">
        <f t="shared" si="603"/>
        <v>8.4118326757584114</v>
      </c>
      <c r="Z1251" s="4">
        <f t="shared" si="604"/>
        <v>4.5849674786705723</v>
      </c>
      <c r="AA1251" s="4">
        <f t="shared" si="605"/>
        <v>49.6</v>
      </c>
      <c r="AB1251" s="4">
        <f t="shared" si="606"/>
        <v>0</v>
      </c>
      <c r="AC1251" s="4">
        <f t="shared" si="607"/>
        <v>1</v>
      </c>
      <c r="AD1251" s="4">
        <f t="shared" si="608"/>
        <v>8.4118326757584114</v>
      </c>
      <c r="AE1251" s="4">
        <f t="shared" si="609"/>
        <v>4.5849674786705723</v>
      </c>
      <c r="AF1251" s="4">
        <f t="shared" si="610"/>
        <v>49.6</v>
      </c>
      <c r="AG1251" s="4">
        <f t="shared" si="611"/>
        <v>8.4118326757584114</v>
      </c>
      <c r="AH1251" s="4">
        <f t="shared" si="612"/>
        <v>0</v>
      </c>
      <c r="AI1251" s="4">
        <f t="shared" si="613"/>
        <v>1</v>
      </c>
      <c r="AJ1251" s="4">
        <f t="shared" si="614"/>
        <v>8.4118326757584114</v>
      </c>
      <c r="AK1251" s="4">
        <f t="shared" si="615"/>
        <v>4.5849674786705723</v>
      </c>
      <c r="AL1251" s="4">
        <f t="shared" si="616"/>
        <v>1</v>
      </c>
      <c r="AM1251" s="4">
        <f>CER!$C$7+CER!$C$8*J1251+CER!$C$9*K1251+CER!$C$10*L1251+CER!$C$11*M1251</f>
        <v>5.4660509521559248</v>
      </c>
      <c r="AN1251" s="4">
        <f t="shared" si="617"/>
        <v>236.52430025729529</v>
      </c>
      <c r="AO1251" s="4">
        <f t="shared" si="618"/>
        <v>-0.27340303787060272</v>
      </c>
      <c r="AP1251" s="4">
        <f>Alternatives!$F$25+Alternatives!$F$26*J1251+Alternatives!$F$27*K1251+Alternatives!$F$28*G1251+Alternatives!$F$29*O1251</f>
        <v>4.5369758268508917</v>
      </c>
      <c r="AQ1251" s="4">
        <f t="shared" si="619"/>
        <v>0.6556720874344304</v>
      </c>
    </row>
    <row r="1252" spans="1:43" x14ac:dyDescent="0.35">
      <c r="A1252" s="2" t="s">
        <v>1105</v>
      </c>
      <c r="B1252" s="2" t="s">
        <v>693</v>
      </c>
      <c r="C1252" s="2" t="s">
        <v>34</v>
      </c>
      <c r="D1252" s="2">
        <v>137.12549999999999</v>
      </c>
      <c r="E1252" s="2">
        <v>5000</v>
      </c>
      <c r="F1252" s="2">
        <v>177</v>
      </c>
      <c r="G1252" s="2">
        <v>49.6</v>
      </c>
      <c r="H1252" s="2" t="s">
        <v>911</v>
      </c>
      <c r="I1252" s="4">
        <f t="shared" si="589"/>
        <v>4.9208965648968599</v>
      </c>
      <c r="J1252" s="4">
        <f t="shared" si="590"/>
        <v>8.5171931914162382</v>
      </c>
      <c r="K1252" s="4">
        <f t="shared" si="591"/>
        <v>5.1761497325738288</v>
      </c>
      <c r="L1252" s="2">
        <v>0</v>
      </c>
      <c r="M1252" s="2">
        <v>1</v>
      </c>
      <c r="N1252" s="4">
        <f t="shared" si="592"/>
        <v>49.6</v>
      </c>
      <c r="O1252" s="4">
        <f t="shared" si="593"/>
        <v>1</v>
      </c>
      <c r="P1252" s="4">
        <f t="shared" si="594"/>
        <v>2</v>
      </c>
      <c r="Q1252" s="4">
        <f t="shared" si="595"/>
        <v>8.5171931914162382</v>
      </c>
      <c r="R1252" s="4">
        <f t="shared" si="596"/>
        <v>5.1761497325738288</v>
      </c>
      <c r="S1252" s="4">
        <f t="shared" si="597"/>
        <v>49.6</v>
      </c>
      <c r="T1252" s="4">
        <f t="shared" si="598"/>
        <v>1</v>
      </c>
      <c r="U1252" s="4">
        <f t="shared" si="599"/>
        <v>8.5171931914162382</v>
      </c>
      <c r="V1252" s="4">
        <f t="shared" si="600"/>
        <v>5.1761497325738288</v>
      </c>
      <c r="W1252" s="4">
        <f t="shared" si="601"/>
        <v>49.6</v>
      </c>
      <c r="X1252" s="4">
        <f t="shared" si="602"/>
        <v>2</v>
      </c>
      <c r="Y1252" s="4">
        <f t="shared" si="603"/>
        <v>8.5171931914162382</v>
      </c>
      <c r="Z1252" s="4">
        <f t="shared" si="604"/>
        <v>5.1761497325738288</v>
      </c>
      <c r="AA1252" s="4">
        <f t="shared" si="605"/>
        <v>49.6</v>
      </c>
      <c r="AB1252" s="4">
        <f t="shared" si="606"/>
        <v>0</v>
      </c>
      <c r="AC1252" s="4">
        <f t="shared" si="607"/>
        <v>1</v>
      </c>
      <c r="AD1252" s="4">
        <f t="shared" si="608"/>
        <v>8.5171931914162382</v>
      </c>
      <c r="AE1252" s="4">
        <f t="shared" si="609"/>
        <v>5.1761497325738288</v>
      </c>
      <c r="AF1252" s="4">
        <f t="shared" si="610"/>
        <v>49.6</v>
      </c>
      <c r="AG1252" s="4">
        <f t="shared" si="611"/>
        <v>8.5171931914162382</v>
      </c>
      <c r="AH1252" s="4">
        <f t="shared" si="612"/>
        <v>0</v>
      </c>
      <c r="AI1252" s="4">
        <f t="shared" si="613"/>
        <v>1</v>
      </c>
      <c r="AJ1252" s="4">
        <f t="shared" si="614"/>
        <v>8.5171931914162382</v>
      </c>
      <c r="AK1252" s="4">
        <f t="shared" si="615"/>
        <v>5.1761497325738288</v>
      </c>
      <c r="AL1252" s="4">
        <f t="shared" si="616"/>
        <v>1</v>
      </c>
      <c r="AM1252" s="4">
        <f>CER!$C$7+CER!$C$8*J1252+CER!$C$9*K1252+CER!$C$10*L1252+CER!$C$11*M1252</f>
        <v>5.2002403095416359</v>
      </c>
      <c r="AN1252" s="4">
        <f t="shared" si="617"/>
        <v>181.31580855904275</v>
      </c>
      <c r="AO1252" s="4">
        <f t="shared" si="618"/>
        <v>-0.27934374464477596</v>
      </c>
      <c r="AP1252" s="4">
        <f>Alternatives!$F$25+Alternatives!$F$26*J1252+Alternatives!$F$27*K1252+Alternatives!$F$28*G1252+Alternatives!$F$29*O1252</f>
        <v>4.4186487857256171</v>
      </c>
      <c r="AQ1252" s="4">
        <f t="shared" si="619"/>
        <v>0.50224777917124275</v>
      </c>
    </row>
    <row r="1253" spans="1:43" x14ac:dyDescent="0.35">
      <c r="A1253" s="2" t="s">
        <v>1106</v>
      </c>
      <c r="B1253" s="2" t="s">
        <v>693</v>
      </c>
      <c r="C1253" s="2" t="s">
        <v>34</v>
      </c>
      <c r="D1253" s="2">
        <v>152.91839999999999</v>
      </c>
      <c r="E1253" s="2">
        <v>4500</v>
      </c>
      <c r="F1253" s="2">
        <v>98</v>
      </c>
      <c r="G1253" s="2">
        <v>49.6</v>
      </c>
      <c r="H1253" s="2" t="s">
        <v>883</v>
      </c>
      <c r="I1253" s="4">
        <f t="shared" si="589"/>
        <v>5.0299044457862916</v>
      </c>
      <c r="J1253" s="4">
        <f t="shared" si="590"/>
        <v>8.4118326757584114</v>
      </c>
      <c r="K1253" s="4">
        <f t="shared" si="591"/>
        <v>4.5849674786705723</v>
      </c>
      <c r="L1253" s="2">
        <v>0</v>
      </c>
      <c r="M1253" s="2">
        <v>1</v>
      </c>
      <c r="N1253" s="4">
        <f t="shared" si="592"/>
        <v>49.6</v>
      </c>
      <c r="O1253" s="4">
        <f t="shared" si="593"/>
        <v>1</v>
      </c>
      <c r="P1253" s="4">
        <f t="shared" si="594"/>
        <v>2</v>
      </c>
      <c r="Q1253" s="4">
        <f t="shared" si="595"/>
        <v>8.4118326757584114</v>
      </c>
      <c r="R1253" s="4">
        <f t="shared" si="596"/>
        <v>4.5849674786705723</v>
      </c>
      <c r="S1253" s="4">
        <f t="shared" si="597"/>
        <v>49.6</v>
      </c>
      <c r="T1253" s="4">
        <f t="shared" si="598"/>
        <v>1</v>
      </c>
      <c r="U1253" s="4">
        <f t="shared" si="599"/>
        <v>8.4118326757584114</v>
      </c>
      <c r="V1253" s="4">
        <f t="shared" si="600"/>
        <v>4.5849674786705723</v>
      </c>
      <c r="W1253" s="4">
        <f t="shared" si="601"/>
        <v>49.6</v>
      </c>
      <c r="X1253" s="4">
        <f t="shared" si="602"/>
        <v>2</v>
      </c>
      <c r="Y1253" s="4">
        <f t="shared" si="603"/>
        <v>8.4118326757584114</v>
      </c>
      <c r="Z1253" s="4">
        <f t="shared" si="604"/>
        <v>4.5849674786705723</v>
      </c>
      <c r="AA1253" s="4">
        <f t="shared" si="605"/>
        <v>49.6</v>
      </c>
      <c r="AB1253" s="4">
        <f t="shared" si="606"/>
        <v>0</v>
      </c>
      <c r="AC1253" s="4">
        <f t="shared" si="607"/>
        <v>1</v>
      </c>
      <c r="AD1253" s="4">
        <f t="shared" si="608"/>
        <v>8.4118326757584114</v>
      </c>
      <c r="AE1253" s="4">
        <f t="shared" si="609"/>
        <v>4.5849674786705723</v>
      </c>
      <c r="AF1253" s="4">
        <f t="shared" si="610"/>
        <v>49.6</v>
      </c>
      <c r="AG1253" s="4">
        <f t="shared" si="611"/>
        <v>8.4118326757584114</v>
      </c>
      <c r="AH1253" s="4">
        <f t="shared" si="612"/>
        <v>0</v>
      </c>
      <c r="AI1253" s="4">
        <f t="shared" si="613"/>
        <v>1</v>
      </c>
      <c r="AJ1253" s="4">
        <f t="shared" si="614"/>
        <v>8.4118326757584114</v>
      </c>
      <c r="AK1253" s="4">
        <f t="shared" si="615"/>
        <v>4.5849674786705723</v>
      </c>
      <c r="AL1253" s="4">
        <f t="shared" si="616"/>
        <v>1</v>
      </c>
      <c r="AM1253" s="4">
        <f>CER!$C$7+CER!$C$8*J1253+CER!$C$9*K1253+CER!$C$10*L1253+CER!$C$11*M1253</f>
        <v>5.4660509521559248</v>
      </c>
      <c r="AN1253" s="4">
        <f t="shared" si="617"/>
        <v>236.52430025729529</v>
      </c>
      <c r="AO1253" s="4">
        <f t="shared" si="618"/>
        <v>-0.43614650636963326</v>
      </c>
      <c r="AP1253" s="4">
        <f>Alternatives!$F$25+Alternatives!$F$26*J1253+Alternatives!$F$27*K1253+Alternatives!$F$28*G1253+Alternatives!$F$29*O1253</f>
        <v>4.5369758268508917</v>
      </c>
      <c r="AQ1253" s="4">
        <f t="shared" si="619"/>
        <v>0.49292861893539985</v>
      </c>
    </row>
    <row r="1254" spans="1:43" x14ac:dyDescent="0.35">
      <c r="A1254" s="2" t="s">
        <v>1107</v>
      </c>
      <c r="B1254" s="2" t="s">
        <v>794</v>
      </c>
      <c r="C1254" s="2" t="s">
        <v>34</v>
      </c>
      <c r="D1254" s="2">
        <v>146.04849999999999</v>
      </c>
      <c r="E1254" s="2">
        <v>5000</v>
      </c>
      <c r="F1254" s="2">
        <v>335</v>
      </c>
      <c r="G1254" s="2">
        <v>47</v>
      </c>
      <c r="H1254" s="2" t="s">
        <v>924</v>
      </c>
      <c r="I1254" s="4">
        <f t="shared" si="589"/>
        <v>4.9839387583256851</v>
      </c>
      <c r="J1254" s="4">
        <f t="shared" si="590"/>
        <v>8.5171931914162382</v>
      </c>
      <c r="K1254" s="4">
        <f t="shared" si="591"/>
        <v>5.8141305318250662</v>
      </c>
      <c r="L1254" s="2">
        <v>0</v>
      </c>
      <c r="M1254" s="2">
        <v>1</v>
      </c>
      <c r="N1254" s="4">
        <f t="shared" si="592"/>
        <v>47</v>
      </c>
      <c r="O1254" s="4">
        <f t="shared" si="593"/>
        <v>1</v>
      </c>
      <c r="P1254" s="4">
        <f t="shared" si="594"/>
        <v>2</v>
      </c>
      <c r="Q1254" s="4">
        <f t="shared" si="595"/>
        <v>8.5171931914162382</v>
      </c>
      <c r="R1254" s="4">
        <f t="shared" si="596"/>
        <v>5.8141305318250662</v>
      </c>
      <c r="S1254" s="4">
        <f t="shared" si="597"/>
        <v>47</v>
      </c>
      <c r="T1254" s="4">
        <f t="shared" si="598"/>
        <v>1</v>
      </c>
      <c r="U1254" s="4">
        <f t="shared" si="599"/>
        <v>8.5171931914162382</v>
      </c>
      <c r="V1254" s="4">
        <f t="shared" si="600"/>
        <v>5.8141305318250662</v>
      </c>
      <c r="W1254" s="4">
        <f t="shared" si="601"/>
        <v>47</v>
      </c>
      <c r="X1254" s="4">
        <f t="shared" si="602"/>
        <v>2</v>
      </c>
      <c r="Y1254" s="4">
        <f t="shared" si="603"/>
        <v>8.5171931914162382</v>
      </c>
      <c r="Z1254" s="4">
        <f t="shared" si="604"/>
        <v>5.8141305318250662</v>
      </c>
      <c r="AA1254" s="4">
        <f t="shared" si="605"/>
        <v>47</v>
      </c>
      <c r="AB1254" s="4">
        <f t="shared" si="606"/>
        <v>0</v>
      </c>
      <c r="AC1254" s="4">
        <f t="shared" si="607"/>
        <v>1</v>
      </c>
      <c r="AD1254" s="4">
        <f t="shared" si="608"/>
        <v>8.5171931914162382</v>
      </c>
      <c r="AE1254" s="4">
        <f t="shared" si="609"/>
        <v>5.8141305318250662</v>
      </c>
      <c r="AF1254" s="4">
        <f t="shared" si="610"/>
        <v>47</v>
      </c>
      <c r="AG1254" s="4">
        <f t="shared" si="611"/>
        <v>8.5171931914162382</v>
      </c>
      <c r="AH1254" s="4">
        <f t="shared" si="612"/>
        <v>0</v>
      </c>
      <c r="AI1254" s="4">
        <f t="shared" si="613"/>
        <v>1</v>
      </c>
      <c r="AJ1254" s="4">
        <f t="shared" si="614"/>
        <v>8.5171931914162382</v>
      </c>
      <c r="AK1254" s="4">
        <f t="shared" si="615"/>
        <v>5.8141305318250662</v>
      </c>
      <c r="AL1254" s="4">
        <f t="shared" si="616"/>
        <v>1</v>
      </c>
      <c r="AM1254" s="4">
        <f>CER!$C$7+CER!$C$8*J1254+CER!$C$9*K1254+CER!$C$10*L1254+CER!$C$11*M1254</f>
        <v>4.9648613040897951</v>
      </c>
      <c r="AN1254" s="4">
        <f t="shared" si="617"/>
        <v>143.28867534184133</v>
      </c>
      <c r="AO1254" s="4">
        <f t="shared" si="618"/>
        <v>1.9077454235890023E-2</v>
      </c>
      <c r="AP1254" s="4">
        <f>Alternatives!$F$25+Alternatives!$F$26*J1254+Alternatives!$F$27*K1254+Alternatives!$F$28*G1254+Alternatives!$F$29*O1254</f>
        <v>4.2826947535196318</v>
      </c>
      <c r="AQ1254" s="4">
        <f t="shared" si="619"/>
        <v>0.70124400480605331</v>
      </c>
    </row>
    <row r="1255" spans="1:43" x14ac:dyDescent="0.35">
      <c r="A1255" s="2" t="s">
        <v>1108</v>
      </c>
      <c r="B1255" s="2" t="s">
        <v>794</v>
      </c>
      <c r="C1255" s="2" t="s">
        <v>34</v>
      </c>
      <c r="D1255" s="2">
        <v>161.6696</v>
      </c>
      <c r="E1255" s="2">
        <v>5000</v>
      </c>
      <c r="F1255" s="2">
        <v>210</v>
      </c>
      <c r="G1255" s="2">
        <v>46.9</v>
      </c>
      <c r="H1255" s="2" t="s">
        <v>911</v>
      </c>
      <c r="I1255" s="4">
        <f t="shared" si="589"/>
        <v>5.0855547464346644</v>
      </c>
      <c r="J1255" s="4">
        <f t="shared" si="590"/>
        <v>8.5171931914162382</v>
      </c>
      <c r="K1255" s="4">
        <f t="shared" si="591"/>
        <v>5.3471075307174685</v>
      </c>
      <c r="L1255" s="2">
        <v>0</v>
      </c>
      <c r="M1255" s="2">
        <v>1</v>
      </c>
      <c r="N1255" s="4">
        <f t="shared" si="592"/>
        <v>46.9</v>
      </c>
      <c r="O1255" s="4">
        <f t="shared" si="593"/>
        <v>1</v>
      </c>
      <c r="P1255" s="4">
        <f t="shared" si="594"/>
        <v>2</v>
      </c>
      <c r="Q1255" s="4">
        <f t="shared" si="595"/>
        <v>8.5171931914162382</v>
      </c>
      <c r="R1255" s="4">
        <f t="shared" si="596"/>
        <v>5.3471075307174685</v>
      </c>
      <c r="S1255" s="4">
        <f t="shared" si="597"/>
        <v>46.9</v>
      </c>
      <c r="T1255" s="4">
        <f t="shared" si="598"/>
        <v>1</v>
      </c>
      <c r="U1255" s="4">
        <f t="shared" si="599"/>
        <v>8.5171931914162382</v>
      </c>
      <c r="V1255" s="4">
        <f t="shared" si="600"/>
        <v>5.3471075307174685</v>
      </c>
      <c r="W1255" s="4">
        <f t="shared" si="601"/>
        <v>46.9</v>
      </c>
      <c r="X1255" s="4">
        <f t="shared" si="602"/>
        <v>2</v>
      </c>
      <c r="Y1255" s="4">
        <f t="shared" si="603"/>
        <v>8.5171931914162382</v>
      </c>
      <c r="Z1255" s="4">
        <f t="shared" si="604"/>
        <v>5.3471075307174685</v>
      </c>
      <c r="AA1255" s="4">
        <f t="shared" si="605"/>
        <v>46.9</v>
      </c>
      <c r="AB1255" s="4">
        <f t="shared" si="606"/>
        <v>0</v>
      </c>
      <c r="AC1255" s="4">
        <f t="shared" si="607"/>
        <v>1</v>
      </c>
      <c r="AD1255" s="4">
        <f t="shared" si="608"/>
        <v>8.5171931914162382</v>
      </c>
      <c r="AE1255" s="4">
        <f t="shared" si="609"/>
        <v>5.3471075307174685</v>
      </c>
      <c r="AF1255" s="4">
        <f t="shared" si="610"/>
        <v>46.9</v>
      </c>
      <c r="AG1255" s="4">
        <f t="shared" si="611"/>
        <v>8.5171931914162382</v>
      </c>
      <c r="AH1255" s="4">
        <f t="shared" si="612"/>
        <v>0</v>
      </c>
      <c r="AI1255" s="4">
        <f t="shared" si="613"/>
        <v>1</v>
      </c>
      <c r="AJ1255" s="4">
        <f t="shared" si="614"/>
        <v>8.5171931914162382</v>
      </c>
      <c r="AK1255" s="4">
        <f t="shared" si="615"/>
        <v>5.3471075307174685</v>
      </c>
      <c r="AL1255" s="4">
        <f t="shared" si="616"/>
        <v>1</v>
      </c>
      <c r="AM1255" s="4">
        <f>CER!$C$7+CER!$C$8*J1255+CER!$C$9*K1255+CER!$C$10*L1255+CER!$C$11*M1255</f>
        <v>5.1371665045799286</v>
      </c>
      <c r="AN1255" s="4">
        <f t="shared" si="617"/>
        <v>170.2327306393604</v>
      </c>
      <c r="AO1255" s="4">
        <f t="shared" si="618"/>
        <v>-5.1611758145264197E-2</v>
      </c>
      <c r="AP1255" s="4">
        <f>Alternatives!$F$25+Alternatives!$F$26*J1255+Alternatives!$F$27*K1255+Alternatives!$F$28*G1255+Alternatives!$F$29*O1255</f>
        <v>4.4082749608117089</v>
      </c>
      <c r="AQ1255" s="4">
        <f t="shared" si="619"/>
        <v>0.67727978562295554</v>
      </c>
    </row>
    <row r="1256" spans="1:43" x14ac:dyDescent="0.35">
      <c r="A1256" s="2" t="s">
        <v>1109</v>
      </c>
      <c r="B1256" s="2" t="s">
        <v>794</v>
      </c>
      <c r="C1256" s="2" t="s">
        <v>34</v>
      </c>
      <c r="D1256" s="2">
        <v>146.04849999999999</v>
      </c>
      <c r="E1256" s="2">
        <v>5000</v>
      </c>
      <c r="F1256" s="2">
        <v>335</v>
      </c>
      <c r="G1256" s="2">
        <v>46.8</v>
      </c>
      <c r="H1256" s="2" t="s">
        <v>883</v>
      </c>
      <c r="I1256" s="4">
        <f t="shared" si="589"/>
        <v>4.9839387583256851</v>
      </c>
      <c r="J1256" s="4">
        <f t="shared" si="590"/>
        <v>8.5171931914162382</v>
      </c>
      <c r="K1256" s="4">
        <f t="shared" si="591"/>
        <v>5.8141305318250662</v>
      </c>
      <c r="L1256" s="2">
        <v>0</v>
      </c>
      <c r="M1256" s="2">
        <v>1</v>
      </c>
      <c r="N1256" s="4">
        <f t="shared" si="592"/>
        <v>46.8</v>
      </c>
      <c r="O1256" s="4">
        <f t="shared" si="593"/>
        <v>1</v>
      </c>
      <c r="P1256" s="4">
        <f t="shared" si="594"/>
        <v>2</v>
      </c>
      <c r="Q1256" s="4">
        <f t="shared" si="595"/>
        <v>8.5171931914162382</v>
      </c>
      <c r="R1256" s="4">
        <f t="shared" si="596"/>
        <v>5.8141305318250662</v>
      </c>
      <c r="S1256" s="4">
        <f t="shared" si="597"/>
        <v>46.8</v>
      </c>
      <c r="T1256" s="4">
        <f t="shared" si="598"/>
        <v>1</v>
      </c>
      <c r="U1256" s="4">
        <f t="shared" si="599"/>
        <v>8.5171931914162382</v>
      </c>
      <c r="V1256" s="4">
        <f t="shared" si="600"/>
        <v>5.8141305318250662</v>
      </c>
      <c r="W1256" s="4">
        <f t="shared" si="601"/>
        <v>46.8</v>
      </c>
      <c r="X1256" s="4">
        <f t="shared" si="602"/>
        <v>2</v>
      </c>
      <c r="Y1256" s="4">
        <f t="shared" si="603"/>
        <v>8.5171931914162382</v>
      </c>
      <c r="Z1256" s="4">
        <f t="shared" si="604"/>
        <v>5.8141305318250662</v>
      </c>
      <c r="AA1256" s="4">
        <f t="shared" si="605"/>
        <v>46.8</v>
      </c>
      <c r="AB1256" s="4">
        <f t="shared" si="606"/>
        <v>0</v>
      </c>
      <c r="AC1256" s="4">
        <f t="shared" si="607"/>
        <v>1</v>
      </c>
      <c r="AD1256" s="4">
        <f t="shared" si="608"/>
        <v>8.5171931914162382</v>
      </c>
      <c r="AE1256" s="4">
        <f t="shared" si="609"/>
        <v>5.8141305318250662</v>
      </c>
      <c r="AF1256" s="4">
        <f t="shared" si="610"/>
        <v>46.8</v>
      </c>
      <c r="AG1256" s="4">
        <f t="shared" si="611"/>
        <v>8.5171931914162382</v>
      </c>
      <c r="AH1256" s="4">
        <f t="shared" si="612"/>
        <v>0</v>
      </c>
      <c r="AI1256" s="4">
        <f t="shared" si="613"/>
        <v>1</v>
      </c>
      <c r="AJ1256" s="4">
        <f t="shared" si="614"/>
        <v>8.5171931914162382</v>
      </c>
      <c r="AK1256" s="4">
        <f t="shared" si="615"/>
        <v>5.8141305318250662</v>
      </c>
      <c r="AL1256" s="4">
        <f t="shared" si="616"/>
        <v>1</v>
      </c>
      <c r="AM1256" s="4">
        <f>CER!$C$7+CER!$C$8*J1256+CER!$C$9*K1256+CER!$C$10*L1256+CER!$C$11*M1256</f>
        <v>4.9648613040897951</v>
      </c>
      <c r="AN1256" s="4">
        <f t="shared" si="617"/>
        <v>143.28867534184133</v>
      </c>
      <c r="AO1256" s="4">
        <f t="shared" si="618"/>
        <v>1.9077454235890023E-2</v>
      </c>
      <c r="AP1256" s="4">
        <f>Alternatives!$F$25+Alternatives!$F$26*J1256+Alternatives!$F$27*K1256+Alternatives!$F$28*G1256+Alternatives!$F$29*O1256</f>
        <v>4.285296216428077</v>
      </c>
      <c r="AQ1256" s="4">
        <f t="shared" si="619"/>
        <v>0.6986425418976081</v>
      </c>
    </row>
    <row r="1257" spans="1:43" x14ac:dyDescent="0.35">
      <c r="A1257" s="2" t="s">
        <v>1110</v>
      </c>
      <c r="B1257" s="2" t="s">
        <v>794</v>
      </c>
      <c r="C1257" s="2" t="s">
        <v>34</v>
      </c>
      <c r="D1257" s="2">
        <v>161.6696</v>
      </c>
      <c r="E1257" s="2">
        <v>5000</v>
      </c>
      <c r="F1257" s="2">
        <v>210</v>
      </c>
      <c r="G1257" s="2">
        <v>46.8</v>
      </c>
      <c r="H1257" s="2" t="s">
        <v>881</v>
      </c>
      <c r="I1257" s="4">
        <f t="shared" si="589"/>
        <v>5.0855547464346644</v>
      </c>
      <c r="J1257" s="4">
        <f t="shared" si="590"/>
        <v>8.5171931914162382</v>
      </c>
      <c r="K1257" s="4">
        <f t="shared" si="591"/>
        <v>5.3471075307174685</v>
      </c>
      <c r="L1257" s="2">
        <v>0</v>
      </c>
      <c r="M1257" s="2">
        <v>1</v>
      </c>
      <c r="N1257" s="4">
        <f t="shared" si="592"/>
        <v>46.8</v>
      </c>
      <c r="O1257" s="4">
        <f t="shared" si="593"/>
        <v>1</v>
      </c>
      <c r="P1257" s="4">
        <f t="shared" si="594"/>
        <v>2</v>
      </c>
      <c r="Q1257" s="4">
        <f t="shared" si="595"/>
        <v>8.5171931914162382</v>
      </c>
      <c r="R1257" s="4">
        <f t="shared" si="596"/>
        <v>5.3471075307174685</v>
      </c>
      <c r="S1257" s="4">
        <f t="shared" si="597"/>
        <v>46.8</v>
      </c>
      <c r="T1257" s="4">
        <f t="shared" si="598"/>
        <v>1</v>
      </c>
      <c r="U1257" s="4">
        <f t="shared" si="599"/>
        <v>8.5171931914162382</v>
      </c>
      <c r="V1257" s="4">
        <f t="shared" si="600"/>
        <v>5.3471075307174685</v>
      </c>
      <c r="W1257" s="4">
        <f t="shared" si="601"/>
        <v>46.8</v>
      </c>
      <c r="X1257" s="4">
        <f t="shared" si="602"/>
        <v>2</v>
      </c>
      <c r="Y1257" s="4">
        <f t="shared" si="603"/>
        <v>8.5171931914162382</v>
      </c>
      <c r="Z1257" s="4">
        <f t="shared" si="604"/>
        <v>5.3471075307174685</v>
      </c>
      <c r="AA1257" s="4">
        <f t="shared" si="605"/>
        <v>46.8</v>
      </c>
      <c r="AB1257" s="4">
        <f t="shared" si="606"/>
        <v>0</v>
      </c>
      <c r="AC1257" s="4">
        <f t="shared" si="607"/>
        <v>1</v>
      </c>
      <c r="AD1257" s="4">
        <f t="shared" si="608"/>
        <v>8.5171931914162382</v>
      </c>
      <c r="AE1257" s="4">
        <f t="shared" si="609"/>
        <v>5.3471075307174685</v>
      </c>
      <c r="AF1257" s="4">
        <f t="shared" si="610"/>
        <v>46.8</v>
      </c>
      <c r="AG1257" s="4">
        <f t="shared" si="611"/>
        <v>8.5171931914162382</v>
      </c>
      <c r="AH1257" s="4">
        <f t="shared" si="612"/>
        <v>0</v>
      </c>
      <c r="AI1257" s="4">
        <f t="shared" si="613"/>
        <v>1</v>
      </c>
      <c r="AJ1257" s="4">
        <f t="shared" si="614"/>
        <v>8.5171931914162382</v>
      </c>
      <c r="AK1257" s="4">
        <f t="shared" si="615"/>
        <v>5.3471075307174685</v>
      </c>
      <c r="AL1257" s="4">
        <f t="shared" si="616"/>
        <v>1</v>
      </c>
      <c r="AM1257" s="4">
        <f>CER!$C$7+CER!$C$8*J1257+CER!$C$9*K1257+CER!$C$10*L1257+CER!$C$11*M1257</f>
        <v>5.1371665045799286</v>
      </c>
      <c r="AN1257" s="4">
        <f t="shared" si="617"/>
        <v>170.2327306393604</v>
      </c>
      <c r="AO1257" s="4">
        <f t="shared" si="618"/>
        <v>-5.1611758145264197E-2</v>
      </c>
      <c r="AP1257" s="4">
        <f>Alternatives!$F$25+Alternatives!$F$26*J1257+Alternatives!$F$27*K1257+Alternatives!$F$28*G1257+Alternatives!$F$29*O1257</f>
        <v>4.4095756922659319</v>
      </c>
      <c r="AQ1257" s="4">
        <f t="shared" si="619"/>
        <v>0.6759790541687325</v>
      </c>
    </row>
    <row r="1258" spans="1:43" x14ac:dyDescent="0.35">
      <c r="A1258" s="2" t="s">
        <v>1111</v>
      </c>
      <c r="B1258" s="2" t="s">
        <v>794</v>
      </c>
      <c r="C1258" s="2" t="s">
        <v>34</v>
      </c>
      <c r="D1258" s="2">
        <v>152.5547</v>
      </c>
      <c r="E1258" s="2">
        <v>4500</v>
      </c>
      <c r="F1258" s="2">
        <v>201</v>
      </c>
      <c r="G1258" s="2">
        <v>46.8</v>
      </c>
      <c r="H1258" s="2" t="s">
        <v>883</v>
      </c>
      <c r="I1258" s="4">
        <f t="shared" si="589"/>
        <v>5.0275232202587059</v>
      </c>
      <c r="J1258" s="4">
        <f t="shared" si="590"/>
        <v>8.4118326757584114</v>
      </c>
      <c r="K1258" s="4">
        <f t="shared" si="591"/>
        <v>5.3033049080590757</v>
      </c>
      <c r="L1258" s="2">
        <v>0</v>
      </c>
      <c r="M1258" s="2">
        <v>1</v>
      </c>
      <c r="N1258" s="4">
        <f t="shared" si="592"/>
        <v>46.8</v>
      </c>
      <c r="O1258" s="4">
        <f t="shared" si="593"/>
        <v>1</v>
      </c>
      <c r="P1258" s="4">
        <f t="shared" si="594"/>
        <v>2</v>
      </c>
      <c r="Q1258" s="4">
        <f t="shared" si="595"/>
        <v>8.4118326757584114</v>
      </c>
      <c r="R1258" s="4">
        <f t="shared" si="596"/>
        <v>5.3033049080590757</v>
      </c>
      <c r="S1258" s="4">
        <f t="shared" si="597"/>
        <v>46.8</v>
      </c>
      <c r="T1258" s="4">
        <f t="shared" si="598"/>
        <v>1</v>
      </c>
      <c r="U1258" s="4">
        <f t="shared" si="599"/>
        <v>8.4118326757584114</v>
      </c>
      <c r="V1258" s="4">
        <f t="shared" si="600"/>
        <v>5.3033049080590757</v>
      </c>
      <c r="W1258" s="4">
        <f t="shared" si="601"/>
        <v>46.8</v>
      </c>
      <c r="X1258" s="4">
        <f t="shared" si="602"/>
        <v>2</v>
      </c>
      <c r="Y1258" s="4">
        <f t="shared" si="603"/>
        <v>8.4118326757584114</v>
      </c>
      <c r="Z1258" s="4">
        <f t="shared" si="604"/>
        <v>5.3033049080590757</v>
      </c>
      <c r="AA1258" s="4">
        <f t="shared" si="605"/>
        <v>46.8</v>
      </c>
      <c r="AB1258" s="4">
        <f t="shared" si="606"/>
        <v>0</v>
      </c>
      <c r="AC1258" s="4">
        <f t="shared" si="607"/>
        <v>1</v>
      </c>
      <c r="AD1258" s="4">
        <f t="shared" si="608"/>
        <v>8.4118326757584114</v>
      </c>
      <c r="AE1258" s="4">
        <f t="shared" si="609"/>
        <v>5.3033049080590757</v>
      </c>
      <c r="AF1258" s="4">
        <f t="shared" si="610"/>
        <v>46.8</v>
      </c>
      <c r="AG1258" s="4">
        <f t="shared" si="611"/>
        <v>8.4118326757584114</v>
      </c>
      <c r="AH1258" s="4">
        <f t="shared" si="612"/>
        <v>0</v>
      </c>
      <c r="AI1258" s="4">
        <f t="shared" si="613"/>
        <v>1</v>
      </c>
      <c r="AJ1258" s="4">
        <f t="shared" si="614"/>
        <v>8.4118326757584114</v>
      </c>
      <c r="AK1258" s="4">
        <f t="shared" si="615"/>
        <v>5.3033049080590757</v>
      </c>
      <c r="AL1258" s="4">
        <f t="shared" si="616"/>
        <v>1</v>
      </c>
      <c r="AM1258" s="4">
        <f>CER!$C$7+CER!$C$8*J1258+CER!$C$9*K1258+CER!$C$10*L1258+CER!$C$11*M1258</f>
        <v>5.2010248731473725</v>
      </c>
      <c r="AN1258" s="4">
        <f t="shared" si="617"/>
        <v>181.45811816175063</v>
      </c>
      <c r="AO1258" s="4">
        <f t="shared" si="618"/>
        <v>-0.17350165288866659</v>
      </c>
      <c r="AP1258" s="4">
        <f>Alternatives!$F$25+Alternatives!$F$26*J1258+Alternatives!$F$27*K1258+Alternatives!$F$28*G1258+Alternatives!$F$29*O1258</f>
        <v>4.3822395572861881</v>
      </c>
      <c r="AQ1258" s="4">
        <f t="shared" si="619"/>
        <v>0.64528366297251782</v>
      </c>
    </row>
    <row r="1259" spans="1:43" x14ac:dyDescent="0.35">
      <c r="A1259" s="2" t="s">
        <v>1112</v>
      </c>
      <c r="B1259" s="2" t="s">
        <v>794</v>
      </c>
      <c r="C1259" s="2" t="s">
        <v>34</v>
      </c>
      <c r="D1259" s="2">
        <v>152.5547</v>
      </c>
      <c r="E1259" s="2">
        <v>4500</v>
      </c>
      <c r="F1259" s="2">
        <v>201</v>
      </c>
      <c r="G1259" s="2">
        <v>46.8</v>
      </c>
      <c r="H1259" s="2" t="s">
        <v>881</v>
      </c>
      <c r="I1259" s="4">
        <f t="shared" si="589"/>
        <v>5.0275232202587059</v>
      </c>
      <c r="J1259" s="4">
        <f t="shared" si="590"/>
        <v>8.4118326757584114</v>
      </c>
      <c r="K1259" s="4">
        <f t="shared" si="591"/>
        <v>5.3033049080590757</v>
      </c>
      <c r="L1259" s="2">
        <v>0</v>
      </c>
      <c r="M1259" s="2">
        <v>1</v>
      </c>
      <c r="N1259" s="4">
        <f t="shared" si="592"/>
        <v>46.8</v>
      </c>
      <c r="O1259" s="4">
        <f t="shared" si="593"/>
        <v>1</v>
      </c>
      <c r="P1259" s="4">
        <f t="shared" si="594"/>
        <v>2</v>
      </c>
      <c r="Q1259" s="4">
        <f t="shared" si="595"/>
        <v>8.4118326757584114</v>
      </c>
      <c r="R1259" s="4">
        <f t="shared" si="596"/>
        <v>5.3033049080590757</v>
      </c>
      <c r="S1259" s="4">
        <f t="shared" si="597"/>
        <v>46.8</v>
      </c>
      <c r="T1259" s="4">
        <f t="shared" si="598"/>
        <v>1</v>
      </c>
      <c r="U1259" s="4">
        <f t="shared" si="599"/>
        <v>8.4118326757584114</v>
      </c>
      <c r="V1259" s="4">
        <f t="shared" si="600"/>
        <v>5.3033049080590757</v>
      </c>
      <c r="W1259" s="4">
        <f t="shared" si="601"/>
        <v>46.8</v>
      </c>
      <c r="X1259" s="4">
        <f t="shared" si="602"/>
        <v>2</v>
      </c>
      <c r="Y1259" s="4">
        <f t="shared" si="603"/>
        <v>8.4118326757584114</v>
      </c>
      <c r="Z1259" s="4">
        <f t="shared" si="604"/>
        <v>5.3033049080590757</v>
      </c>
      <c r="AA1259" s="4">
        <f t="shared" si="605"/>
        <v>46.8</v>
      </c>
      <c r="AB1259" s="4">
        <f t="shared" si="606"/>
        <v>0</v>
      </c>
      <c r="AC1259" s="4">
        <f t="shared" si="607"/>
        <v>1</v>
      </c>
      <c r="AD1259" s="4">
        <f t="shared" si="608"/>
        <v>8.4118326757584114</v>
      </c>
      <c r="AE1259" s="4">
        <f t="shared" si="609"/>
        <v>5.3033049080590757</v>
      </c>
      <c r="AF1259" s="4">
        <f t="shared" si="610"/>
        <v>46.8</v>
      </c>
      <c r="AG1259" s="4">
        <f t="shared" si="611"/>
        <v>8.4118326757584114</v>
      </c>
      <c r="AH1259" s="4">
        <f t="shared" si="612"/>
        <v>0</v>
      </c>
      <c r="AI1259" s="4">
        <f t="shared" si="613"/>
        <v>1</v>
      </c>
      <c r="AJ1259" s="4">
        <f t="shared" si="614"/>
        <v>8.4118326757584114</v>
      </c>
      <c r="AK1259" s="4">
        <f t="shared" si="615"/>
        <v>5.3033049080590757</v>
      </c>
      <c r="AL1259" s="4">
        <f t="shared" si="616"/>
        <v>1</v>
      </c>
      <c r="AM1259" s="4">
        <f>CER!$C$7+CER!$C$8*J1259+CER!$C$9*K1259+CER!$C$10*L1259+CER!$C$11*M1259</f>
        <v>5.2010248731473725</v>
      </c>
      <c r="AN1259" s="4">
        <f t="shared" si="617"/>
        <v>181.45811816175063</v>
      </c>
      <c r="AO1259" s="4">
        <f t="shared" si="618"/>
        <v>-0.17350165288866659</v>
      </c>
      <c r="AP1259" s="4">
        <f>Alternatives!$F$25+Alternatives!$F$26*J1259+Alternatives!$F$27*K1259+Alternatives!$F$28*G1259+Alternatives!$F$29*O1259</f>
        <v>4.3822395572861881</v>
      </c>
      <c r="AQ1259" s="4">
        <f t="shared" si="619"/>
        <v>0.64528366297251782</v>
      </c>
    </row>
    <row r="1260" spans="1:43" x14ac:dyDescent="0.35">
      <c r="A1260" s="2" t="s">
        <v>1113</v>
      </c>
      <c r="B1260" s="2" t="s">
        <v>794</v>
      </c>
      <c r="C1260" s="2" t="s">
        <v>34</v>
      </c>
      <c r="D1260" s="2">
        <v>114.3447</v>
      </c>
      <c r="E1260" s="2">
        <v>6000</v>
      </c>
      <c r="F1260" s="2">
        <v>402</v>
      </c>
      <c r="G1260" s="2">
        <v>52.1</v>
      </c>
      <c r="H1260" s="2" t="s">
        <v>881</v>
      </c>
      <c r="I1260" s="4">
        <f t="shared" si="589"/>
        <v>4.7392175704659181</v>
      </c>
      <c r="J1260" s="4">
        <f t="shared" si="590"/>
        <v>8.6995147482101913</v>
      </c>
      <c r="K1260" s="4">
        <f t="shared" si="591"/>
        <v>5.9964520886190211</v>
      </c>
      <c r="L1260" s="2">
        <v>0</v>
      </c>
      <c r="M1260" s="2">
        <v>1</v>
      </c>
      <c r="N1260" s="4">
        <f t="shared" si="592"/>
        <v>52.1</v>
      </c>
      <c r="O1260" s="4">
        <f t="shared" si="593"/>
        <v>1</v>
      </c>
      <c r="P1260" s="4">
        <f t="shared" si="594"/>
        <v>2</v>
      </c>
      <c r="Q1260" s="4">
        <f t="shared" si="595"/>
        <v>8.6995147482101913</v>
      </c>
      <c r="R1260" s="4">
        <f t="shared" si="596"/>
        <v>5.9964520886190211</v>
      </c>
      <c r="S1260" s="4">
        <f t="shared" si="597"/>
        <v>52.1</v>
      </c>
      <c r="T1260" s="4">
        <f t="shared" si="598"/>
        <v>1</v>
      </c>
      <c r="U1260" s="4">
        <f t="shared" si="599"/>
        <v>8.6995147482101913</v>
      </c>
      <c r="V1260" s="4">
        <f t="shared" si="600"/>
        <v>5.9964520886190211</v>
      </c>
      <c r="W1260" s="4">
        <f t="shared" si="601"/>
        <v>52.1</v>
      </c>
      <c r="X1260" s="4">
        <f t="shared" si="602"/>
        <v>2</v>
      </c>
      <c r="Y1260" s="4">
        <f t="shared" si="603"/>
        <v>8.6995147482101913</v>
      </c>
      <c r="Z1260" s="4">
        <f t="shared" si="604"/>
        <v>5.9964520886190211</v>
      </c>
      <c r="AA1260" s="4">
        <f t="shared" si="605"/>
        <v>52.1</v>
      </c>
      <c r="AB1260" s="4">
        <f t="shared" si="606"/>
        <v>0</v>
      </c>
      <c r="AC1260" s="4">
        <f t="shared" si="607"/>
        <v>1</v>
      </c>
      <c r="AD1260" s="4">
        <f t="shared" si="608"/>
        <v>8.6995147482101913</v>
      </c>
      <c r="AE1260" s="4">
        <f t="shared" si="609"/>
        <v>5.9964520886190211</v>
      </c>
      <c r="AF1260" s="4">
        <f t="shared" si="610"/>
        <v>52.1</v>
      </c>
      <c r="AG1260" s="4">
        <f t="shared" si="611"/>
        <v>8.6995147482101913</v>
      </c>
      <c r="AH1260" s="4">
        <f t="shared" si="612"/>
        <v>0</v>
      </c>
      <c r="AI1260" s="4">
        <f t="shared" si="613"/>
        <v>1</v>
      </c>
      <c r="AJ1260" s="4">
        <f t="shared" si="614"/>
        <v>8.6995147482101913</v>
      </c>
      <c r="AK1260" s="4">
        <f t="shared" si="615"/>
        <v>5.9964520886190211</v>
      </c>
      <c r="AL1260" s="4">
        <f t="shared" si="616"/>
        <v>1</v>
      </c>
      <c r="AM1260" s="4">
        <f>CER!$C$7+CER!$C$8*J1260+CER!$C$9*K1260+CER!$C$10*L1260+CER!$C$11*M1260</f>
        <v>4.8150562803432404</v>
      </c>
      <c r="AN1260" s="4">
        <f t="shared" si="617"/>
        <v>123.35375450646571</v>
      </c>
      <c r="AO1260" s="4">
        <f t="shared" si="618"/>
        <v>-7.583870987732233E-2</v>
      </c>
      <c r="AP1260" s="4">
        <f>Alternatives!$F$25+Alternatives!$F$26*J1260+Alternatives!$F$27*K1260+Alternatives!$F$28*G1260+Alternatives!$F$29*O1260</f>
        <v>4.2353145174003126</v>
      </c>
      <c r="AQ1260" s="4">
        <f t="shared" si="619"/>
        <v>0.50390305306560546</v>
      </c>
    </row>
    <row r="1261" spans="1:43" x14ac:dyDescent="0.35">
      <c r="A1261" s="2" t="s">
        <v>1114</v>
      </c>
      <c r="B1261" s="2" t="s">
        <v>794</v>
      </c>
      <c r="C1261" s="2" t="s">
        <v>34</v>
      </c>
      <c r="D1261" s="2">
        <v>107.3165</v>
      </c>
      <c r="E1261" s="2">
        <v>6000</v>
      </c>
      <c r="F1261" s="2">
        <v>402</v>
      </c>
      <c r="G1261" s="2">
        <v>52</v>
      </c>
      <c r="H1261" s="2" t="s">
        <v>881</v>
      </c>
      <c r="I1261" s="4">
        <f t="shared" si="589"/>
        <v>4.6757824122786911</v>
      </c>
      <c r="J1261" s="4">
        <f t="shared" si="590"/>
        <v>8.6995147482101913</v>
      </c>
      <c r="K1261" s="4">
        <f t="shared" si="591"/>
        <v>5.9964520886190211</v>
      </c>
      <c r="L1261" s="2">
        <v>0</v>
      </c>
      <c r="M1261" s="2">
        <v>1</v>
      </c>
      <c r="N1261" s="4">
        <f t="shared" si="592"/>
        <v>52</v>
      </c>
      <c r="O1261" s="4">
        <f t="shared" si="593"/>
        <v>1</v>
      </c>
      <c r="P1261" s="4">
        <f t="shared" si="594"/>
        <v>2</v>
      </c>
      <c r="Q1261" s="4">
        <f t="shared" si="595"/>
        <v>8.6995147482101913</v>
      </c>
      <c r="R1261" s="4">
        <f t="shared" si="596"/>
        <v>5.9964520886190211</v>
      </c>
      <c r="S1261" s="4">
        <f t="shared" si="597"/>
        <v>52</v>
      </c>
      <c r="T1261" s="4">
        <f t="shared" si="598"/>
        <v>1</v>
      </c>
      <c r="U1261" s="4">
        <f t="shared" si="599"/>
        <v>8.6995147482101913</v>
      </c>
      <c r="V1261" s="4">
        <f t="shared" si="600"/>
        <v>5.9964520886190211</v>
      </c>
      <c r="W1261" s="4">
        <f t="shared" si="601"/>
        <v>52</v>
      </c>
      <c r="X1261" s="4">
        <f t="shared" si="602"/>
        <v>2</v>
      </c>
      <c r="Y1261" s="4">
        <f t="shared" si="603"/>
        <v>8.6995147482101913</v>
      </c>
      <c r="Z1261" s="4">
        <f t="shared" si="604"/>
        <v>5.9964520886190211</v>
      </c>
      <c r="AA1261" s="4">
        <f t="shared" si="605"/>
        <v>52</v>
      </c>
      <c r="AB1261" s="4">
        <f t="shared" si="606"/>
        <v>0</v>
      </c>
      <c r="AC1261" s="4">
        <f t="shared" si="607"/>
        <v>1</v>
      </c>
      <c r="AD1261" s="4">
        <f t="shared" si="608"/>
        <v>8.6995147482101913</v>
      </c>
      <c r="AE1261" s="4">
        <f t="shared" si="609"/>
        <v>5.9964520886190211</v>
      </c>
      <c r="AF1261" s="4">
        <f t="shared" si="610"/>
        <v>52</v>
      </c>
      <c r="AG1261" s="4">
        <f t="shared" si="611"/>
        <v>8.6995147482101913</v>
      </c>
      <c r="AH1261" s="4">
        <f t="shared" si="612"/>
        <v>0</v>
      </c>
      <c r="AI1261" s="4">
        <f t="shared" si="613"/>
        <v>1</v>
      </c>
      <c r="AJ1261" s="4">
        <f t="shared" si="614"/>
        <v>8.6995147482101913</v>
      </c>
      <c r="AK1261" s="4">
        <f t="shared" si="615"/>
        <v>5.9964520886190211</v>
      </c>
      <c r="AL1261" s="4">
        <f t="shared" si="616"/>
        <v>1</v>
      </c>
      <c r="AM1261" s="4">
        <f>CER!$C$7+CER!$C$8*J1261+CER!$C$9*K1261+CER!$C$10*L1261+CER!$C$11*M1261</f>
        <v>4.8150562803432404</v>
      </c>
      <c r="AN1261" s="4">
        <f t="shared" si="617"/>
        <v>123.35375450646571</v>
      </c>
      <c r="AO1261" s="4">
        <f t="shared" si="618"/>
        <v>-0.13927386806454933</v>
      </c>
      <c r="AP1261" s="4">
        <f>Alternatives!$F$25+Alternatives!$F$26*J1261+Alternatives!$F$27*K1261+Alternatives!$F$28*G1261+Alternatives!$F$29*O1261</f>
        <v>4.2366152488545357</v>
      </c>
      <c r="AQ1261" s="4">
        <f t="shared" si="619"/>
        <v>0.4391671634241554</v>
      </c>
    </row>
    <row r="1262" spans="1:43" x14ac:dyDescent="0.35">
      <c r="A1262" s="2" t="s">
        <v>1115</v>
      </c>
      <c r="B1262" s="2" t="s">
        <v>794</v>
      </c>
      <c r="C1262" s="2" t="s">
        <v>34</v>
      </c>
      <c r="D1262" s="2">
        <v>114.09569999999999</v>
      </c>
      <c r="E1262" s="2">
        <v>6000</v>
      </c>
      <c r="F1262" s="2">
        <v>402</v>
      </c>
      <c r="G1262" s="2">
        <v>52</v>
      </c>
      <c r="H1262" s="2" t="s">
        <v>881</v>
      </c>
      <c r="I1262" s="4">
        <f t="shared" si="589"/>
        <v>4.7370375699177458</v>
      </c>
      <c r="J1262" s="4">
        <f t="shared" si="590"/>
        <v>8.6995147482101913</v>
      </c>
      <c r="K1262" s="4">
        <f t="shared" si="591"/>
        <v>5.9964520886190211</v>
      </c>
      <c r="L1262" s="2">
        <v>0</v>
      </c>
      <c r="M1262" s="2">
        <v>1</v>
      </c>
      <c r="N1262" s="4">
        <f t="shared" si="592"/>
        <v>52</v>
      </c>
      <c r="O1262" s="4">
        <f t="shared" si="593"/>
        <v>1</v>
      </c>
      <c r="P1262" s="4">
        <f t="shared" si="594"/>
        <v>2</v>
      </c>
      <c r="Q1262" s="4">
        <f t="shared" si="595"/>
        <v>8.6995147482101913</v>
      </c>
      <c r="R1262" s="4">
        <f t="shared" si="596"/>
        <v>5.9964520886190211</v>
      </c>
      <c r="S1262" s="4">
        <f t="shared" si="597"/>
        <v>52</v>
      </c>
      <c r="T1262" s="4">
        <f t="shared" si="598"/>
        <v>1</v>
      </c>
      <c r="U1262" s="4">
        <f t="shared" si="599"/>
        <v>8.6995147482101913</v>
      </c>
      <c r="V1262" s="4">
        <f t="shared" si="600"/>
        <v>5.9964520886190211</v>
      </c>
      <c r="W1262" s="4">
        <f t="shared" si="601"/>
        <v>52</v>
      </c>
      <c r="X1262" s="4">
        <f t="shared" si="602"/>
        <v>2</v>
      </c>
      <c r="Y1262" s="4">
        <f t="shared" si="603"/>
        <v>8.6995147482101913</v>
      </c>
      <c r="Z1262" s="4">
        <f t="shared" si="604"/>
        <v>5.9964520886190211</v>
      </c>
      <c r="AA1262" s="4">
        <f t="shared" si="605"/>
        <v>52</v>
      </c>
      <c r="AB1262" s="4">
        <f t="shared" si="606"/>
        <v>0</v>
      </c>
      <c r="AC1262" s="4">
        <f t="shared" si="607"/>
        <v>1</v>
      </c>
      <c r="AD1262" s="4">
        <f t="shared" si="608"/>
        <v>8.6995147482101913</v>
      </c>
      <c r="AE1262" s="4">
        <f t="shared" si="609"/>
        <v>5.9964520886190211</v>
      </c>
      <c r="AF1262" s="4">
        <f t="shared" si="610"/>
        <v>52</v>
      </c>
      <c r="AG1262" s="4">
        <f t="shared" si="611"/>
        <v>8.6995147482101913</v>
      </c>
      <c r="AH1262" s="4">
        <f t="shared" si="612"/>
        <v>0</v>
      </c>
      <c r="AI1262" s="4">
        <f t="shared" si="613"/>
        <v>1</v>
      </c>
      <c r="AJ1262" s="4">
        <f t="shared" si="614"/>
        <v>8.6995147482101913</v>
      </c>
      <c r="AK1262" s="4">
        <f t="shared" si="615"/>
        <v>5.9964520886190211</v>
      </c>
      <c r="AL1262" s="4">
        <f t="shared" si="616"/>
        <v>1</v>
      </c>
      <c r="AM1262" s="4">
        <f>CER!$C$7+CER!$C$8*J1262+CER!$C$9*K1262+CER!$C$10*L1262+CER!$C$11*M1262</f>
        <v>4.8150562803432404</v>
      </c>
      <c r="AN1262" s="4">
        <f t="shared" si="617"/>
        <v>123.35375450646571</v>
      </c>
      <c r="AO1262" s="4">
        <f t="shared" si="618"/>
        <v>-7.8018710425494575E-2</v>
      </c>
      <c r="AP1262" s="4">
        <f>Alternatives!$F$25+Alternatives!$F$26*J1262+Alternatives!$F$27*K1262+Alternatives!$F$28*G1262+Alternatives!$F$29*O1262</f>
        <v>4.2366152488545357</v>
      </c>
      <c r="AQ1262" s="4">
        <f t="shared" si="619"/>
        <v>0.50042232106321016</v>
      </c>
    </row>
    <row r="1263" spans="1:43" x14ac:dyDescent="0.35">
      <c r="A1263" s="2" t="s">
        <v>1116</v>
      </c>
      <c r="B1263" s="2" t="s">
        <v>794</v>
      </c>
      <c r="C1263" s="2" t="s">
        <v>34</v>
      </c>
      <c r="D1263" s="2">
        <v>120.5874</v>
      </c>
      <c r="E1263" s="2">
        <v>5500</v>
      </c>
      <c r="F1263" s="2">
        <v>469</v>
      </c>
      <c r="G1263" s="2">
        <v>52.6</v>
      </c>
      <c r="H1263" s="2" t="s">
        <v>881</v>
      </c>
      <c r="I1263" s="4">
        <f t="shared" si="589"/>
        <v>4.7923748012229792</v>
      </c>
      <c r="J1263" s="4">
        <f t="shared" si="590"/>
        <v>8.6125033712205621</v>
      </c>
      <c r="K1263" s="4">
        <f t="shared" si="591"/>
        <v>6.1506027684462792</v>
      </c>
      <c r="L1263" s="2">
        <v>0</v>
      </c>
      <c r="M1263" s="2">
        <v>1</v>
      </c>
      <c r="N1263" s="4">
        <f t="shared" si="592"/>
        <v>52.6</v>
      </c>
      <c r="O1263" s="4">
        <f t="shared" si="593"/>
        <v>1</v>
      </c>
      <c r="P1263" s="4">
        <f t="shared" si="594"/>
        <v>2</v>
      </c>
      <c r="Q1263" s="4">
        <f t="shared" si="595"/>
        <v>8.6125033712205621</v>
      </c>
      <c r="R1263" s="4">
        <f t="shared" si="596"/>
        <v>6.1506027684462792</v>
      </c>
      <c r="S1263" s="4">
        <f t="shared" si="597"/>
        <v>52.6</v>
      </c>
      <c r="T1263" s="4">
        <f t="shared" si="598"/>
        <v>1</v>
      </c>
      <c r="U1263" s="4">
        <f t="shared" si="599"/>
        <v>8.6125033712205621</v>
      </c>
      <c r="V1263" s="4">
        <f t="shared" si="600"/>
        <v>6.1506027684462792</v>
      </c>
      <c r="W1263" s="4">
        <f t="shared" si="601"/>
        <v>52.6</v>
      </c>
      <c r="X1263" s="4">
        <f t="shared" si="602"/>
        <v>2</v>
      </c>
      <c r="Y1263" s="4">
        <f t="shared" si="603"/>
        <v>8.6125033712205621</v>
      </c>
      <c r="Z1263" s="4">
        <f t="shared" si="604"/>
        <v>6.1506027684462792</v>
      </c>
      <c r="AA1263" s="4">
        <f t="shared" si="605"/>
        <v>52.6</v>
      </c>
      <c r="AB1263" s="4">
        <f t="shared" si="606"/>
        <v>0</v>
      </c>
      <c r="AC1263" s="4">
        <f t="shared" si="607"/>
        <v>1</v>
      </c>
      <c r="AD1263" s="4">
        <f t="shared" si="608"/>
        <v>8.6125033712205621</v>
      </c>
      <c r="AE1263" s="4">
        <f t="shared" si="609"/>
        <v>6.1506027684462792</v>
      </c>
      <c r="AF1263" s="4">
        <f t="shared" si="610"/>
        <v>52.6</v>
      </c>
      <c r="AG1263" s="4">
        <f t="shared" si="611"/>
        <v>8.6125033712205621</v>
      </c>
      <c r="AH1263" s="4">
        <f t="shared" si="612"/>
        <v>0</v>
      </c>
      <c r="AI1263" s="4">
        <f t="shared" si="613"/>
        <v>1</v>
      </c>
      <c r="AJ1263" s="4">
        <f t="shared" si="614"/>
        <v>8.6125033712205621</v>
      </c>
      <c r="AK1263" s="4">
        <f t="shared" si="615"/>
        <v>6.1506027684462792</v>
      </c>
      <c r="AL1263" s="4">
        <f t="shared" si="616"/>
        <v>1</v>
      </c>
      <c r="AM1263" s="4">
        <f>CER!$C$7+CER!$C$8*J1263+CER!$C$9*K1263+CER!$C$10*L1263+CER!$C$11*M1263</f>
        <v>4.7975741999069506</v>
      </c>
      <c r="AN1263" s="4">
        <f t="shared" si="617"/>
        <v>121.21601476209656</v>
      </c>
      <c r="AO1263" s="4">
        <f t="shared" si="618"/>
        <v>-5.1993986839713457E-3</v>
      </c>
      <c r="AP1263" s="4">
        <f>Alternatives!$F$25+Alternatives!$F$26*J1263+Alternatives!$F$27*K1263+Alternatives!$F$28*G1263+Alternatives!$F$29*O1263</f>
        <v>4.155588137108575</v>
      </c>
      <c r="AQ1263" s="4">
        <f t="shared" si="619"/>
        <v>0.63678666411440421</v>
      </c>
    </row>
    <row r="1264" spans="1:43" x14ac:dyDescent="0.35">
      <c r="A1264" s="2" t="s">
        <v>1117</v>
      </c>
      <c r="B1264" s="2" t="s">
        <v>794</v>
      </c>
      <c r="C1264" s="2" t="s">
        <v>34</v>
      </c>
      <c r="D1264" s="2">
        <v>120.5874</v>
      </c>
      <c r="E1264" s="2">
        <v>5500</v>
      </c>
      <c r="F1264" s="2">
        <v>590</v>
      </c>
      <c r="G1264" s="2">
        <v>52.6</v>
      </c>
      <c r="H1264" s="2" t="s">
        <v>881</v>
      </c>
      <c r="I1264" s="4">
        <f t="shared" si="589"/>
        <v>4.7923748012229792</v>
      </c>
      <c r="J1264" s="4">
        <f t="shared" si="590"/>
        <v>8.6125033712205621</v>
      </c>
      <c r="K1264" s="4">
        <f t="shared" si="591"/>
        <v>6.3801225368997647</v>
      </c>
      <c r="L1264" s="2">
        <v>0</v>
      </c>
      <c r="M1264" s="2">
        <v>1</v>
      </c>
      <c r="N1264" s="4">
        <f t="shared" si="592"/>
        <v>52.6</v>
      </c>
      <c r="O1264" s="4">
        <f t="shared" si="593"/>
        <v>1</v>
      </c>
      <c r="P1264" s="4">
        <f t="shared" si="594"/>
        <v>2</v>
      </c>
      <c r="Q1264" s="4">
        <f t="shared" si="595"/>
        <v>8.6125033712205621</v>
      </c>
      <c r="R1264" s="4">
        <f t="shared" si="596"/>
        <v>6.3801225368997647</v>
      </c>
      <c r="S1264" s="4">
        <f t="shared" si="597"/>
        <v>52.6</v>
      </c>
      <c r="T1264" s="4">
        <f t="shared" si="598"/>
        <v>1</v>
      </c>
      <c r="U1264" s="4">
        <f t="shared" si="599"/>
        <v>8.6125033712205621</v>
      </c>
      <c r="V1264" s="4">
        <f t="shared" si="600"/>
        <v>6.3801225368997647</v>
      </c>
      <c r="W1264" s="4">
        <f t="shared" si="601"/>
        <v>52.6</v>
      </c>
      <c r="X1264" s="4">
        <f t="shared" si="602"/>
        <v>2</v>
      </c>
      <c r="Y1264" s="4">
        <f t="shared" si="603"/>
        <v>8.6125033712205621</v>
      </c>
      <c r="Z1264" s="4">
        <f t="shared" si="604"/>
        <v>6.3801225368997647</v>
      </c>
      <c r="AA1264" s="4">
        <f t="shared" si="605"/>
        <v>52.6</v>
      </c>
      <c r="AB1264" s="4">
        <f t="shared" si="606"/>
        <v>0</v>
      </c>
      <c r="AC1264" s="4">
        <f t="shared" si="607"/>
        <v>1</v>
      </c>
      <c r="AD1264" s="4">
        <f t="shared" si="608"/>
        <v>8.6125033712205621</v>
      </c>
      <c r="AE1264" s="4">
        <f t="shared" si="609"/>
        <v>6.3801225368997647</v>
      </c>
      <c r="AF1264" s="4">
        <f t="shared" si="610"/>
        <v>52.6</v>
      </c>
      <c r="AG1264" s="4">
        <f t="shared" si="611"/>
        <v>8.6125033712205621</v>
      </c>
      <c r="AH1264" s="4">
        <f t="shared" si="612"/>
        <v>0</v>
      </c>
      <c r="AI1264" s="4">
        <f t="shared" si="613"/>
        <v>1</v>
      </c>
      <c r="AJ1264" s="4">
        <f t="shared" si="614"/>
        <v>8.6125033712205621</v>
      </c>
      <c r="AK1264" s="4">
        <f t="shared" si="615"/>
        <v>6.3801225368997647</v>
      </c>
      <c r="AL1264" s="4">
        <f t="shared" si="616"/>
        <v>1</v>
      </c>
      <c r="AM1264" s="4">
        <f>CER!$C$7+CER!$C$8*J1264+CER!$C$9*K1264+CER!$C$10*L1264+CER!$C$11*M1264</f>
        <v>4.7128943241277366</v>
      </c>
      <c r="AN1264" s="4">
        <f t="shared" si="617"/>
        <v>111.374046448839</v>
      </c>
      <c r="AO1264" s="4">
        <f t="shared" si="618"/>
        <v>7.9480477095242641E-2</v>
      </c>
      <c r="AP1264" s="4">
        <f>Alternatives!$F$25+Alternatives!$F$26*J1264+Alternatives!$F$27*K1264+Alternatives!$F$28*G1264+Alternatives!$F$29*O1264</f>
        <v>4.0945106388907675</v>
      </c>
      <c r="AQ1264" s="4">
        <f t="shared" si="619"/>
        <v>0.69786416233221171</v>
      </c>
    </row>
    <row r="1265" spans="1:43" x14ac:dyDescent="0.35">
      <c r="A1265" s="2" t="s">
        <v>1118</v>
      </c>
      <c r="B1265" s="2" t="s">
        <v>794</v>
      </c>
      <c r="C1265" s="2" t="s">
        <v>34</v>
      </c>
      <c r="D1265" s="2">
        <v>95.337500000000006</v>
      </c>
      <c r="E1265" s="2">
        <v>6500</v>
      </c>
      <c r="F1265" s="2">
        <v>496</v>
      </c>
      <c r="G1265" s="2">
        <v>53.1</v>
      </c>
      <c r="H1265" s="2" t="s">
        <v>911</v>
      </c>
      <c r="I1265" s="4">
        <f t="shared" si="589"/>
        <v>4.5574232274903572</v>
      </c>
      <c r="J1265" s="4">
        <f t="shared" si="590"/>
        <v>8.7795574558837277</v>
      </c>
      <c r="K1265" s="4">
        <f t="shared" si="591"/>
        <v>6.2065759267249279</v>
      </c>
      <c r="L1265" s="2">
        <v>0</v>
      </c>
      <c r="M1265" s="2">
        <v>1</v>
      </c>
      <c r="N1265" s="4">
        <f t="shared" si="592"/>
        <v>53.1</v>
      </c>
      <c r="O1265" s="4">
        <f t="shared" si="593"/>
        <v>1</v>
      </c>
      <c r="P1265" s="4">
        <f t="shared" si="594"/>
        <v>2</v>
      </c>
      <c r="Q1265" s="4">
        <f t="shared" si="595"/>
        <v>8.7795574558837277</v>
      </c>
      <c r="R1265" s="4">
        <f t="shared" si="596"/>
        <v>6.2065759267249279</v>
      </c>
      <c r="S1265" s="4">
        <f t="shared" si="597"/>
        <v>53.1</v>
      </c>
      <c r="T1265" s="4">
        <f t="shared" si="598"/>
        <v>1</v>
      </c>
      <c r="U1265" s="4">
        <f t="shared" si="599"/>
        <v>8.7795574558837277</v>
      </c>
      <c r="V1265" s="4">
        <f t="shared" si="600"/>
        <v>6.2065759267249279</v>
      </c>
      <c r="W1265" s="4">
        <f t="shared" si="601"/>
        <v>53.1</v>
      </c>
      <c r="X1265" s="4">
        <f t="shared" si="602"/>
        <v>2</v>
      </c>
      <c r="Y1265" s="4">
        <f t="shared" si="603"/>
        <v>8.7795574558837277</v>
      </c>
      <c r="Z1265" s="4">
        <f t="shared" si="604"/>
        <v>6.2065759267249279</v>
      </c>
      <c r="AA1265" s="4">
        <f t="shared" si="605"/>
        <v>53.1</v>
      </c>
      <c r="AB1265" s="4">
        <f t="shared" si="606"/>
        <v>0</v>
      </c>
      <c r="AC1265" s="4">
        <f t="shared" si="607"/>
        <v>1</v>
      </c>
      <c r="AD1265" s="4">
        <f t="shared" si="608"/>
        <v>8.7795574558837277</v>
      </c>
      <c r="AE1265" s="4">
        <f t="shared" si="609"/>
        <v>6.2065759267249279</v>
      </c>
      <c r="AF1265" s="4">
        <f t="shared" si="610"/>
        <v>53.1</v>
      </c>
      <c r="AG1265" s="4">
        <f t="shared" si="611"/>
        <v>8.7795574558837277</v>
      </c>
      <c r="AH1265" s="4">
        <f t="shared" si="612"/>
        <v>0</v>
      </c>
      <c r="AI1265" s="4">
        <f t="shared" si="613"/>
        <v>1</v>
      </c>
      <c r="AJ1265" s="4">
        <f t="shared" si="614"/>
        <v>8.7795574558837277</v>
      </c>
      <c r="AK1265" s="4">
        <f t="shared" si="615"/>
        <v>6.2065759267249279</v>
      </c>
      <c r="AL1265" s="4">
        <f t="shared" si="616"/>
        <v>1</v>
      </c>
      <c r="AM1265" s="4">
        <f>CER!$C$7+CER!$C$8*J1265+CER!$C$9*K1265+CER!$C$10*L1265+CER!$C$11*M1265</f>
        <v>4.7012963474170615</v>
      </c>
      <c r="AN1265" s="4">
        <f t="shared" si="617"/>
        <v>110.08979460910419</v>
      </c>
      <c r="AO1265" s="4">
        <f t="shared" si="618"/>
        <v>-0.14387311992670426</v>
      </c>
      <c r="AP1265" s="4">
        <f>Alternatives!$F$25+Alternatives!$F$26*J1265+Alternatives!$F$27*K1265+Alternatives!$F$28*G1265+Alternatives!$F$29*O1265</f>
        <v>4.1960138388013153</v>
      </c>
      <c r="AQ1265" s="4">
        <f t="shared" si="619"/>
        <v>0.36140938868904193</v>
      </c>
    </row>
    <row r="1266" spans="1:43" x14ac:dyDescent="0.35">
      <c r="A1266" s="2" t="s">
        <v>1119</v>
      </c>
      <c r="B1266" s="2" t="s">
        <v>794</v>
      </c>
      <c r="C1266" s="2" t="s">
        <v>34</v>
      </c>
      <c r="D1266" s="2">
        <v>95.337500000000006</v>
      </c>
      <c r="E1266" s="2">
        <v>6500</v>
      </c>
      <c r="F1266" s="2">
        <v>496</v>
      </c>
      <c r="G1266" s="2">
        <v>53.1</v>
      </c>
      <c r="H1266" s="2" t="s">
        <v>911</v>
      </c>
      <c r="I1266" s="4">
        <f t="shared" si="589"/>
        <v>4.5574232274903572</v>
      </c>
      <c r="J1266" s="4">
        <f t="shared" si="590"/>
        <v>8.7795574558837277</v>
      </c>
      <c r="K1266" s="4">
        <f t="shared" si="591"/>
        <v>6.2065759267249279</v>
      </c>
      <c r="L1266" s="2">
        <v>0</v>
      </c>
      <c r="M1266" s="2">
        <v>1</v>
      </c>
      <c r="N1266" s="4">
        <f t="shared" si="592"/>
        <v>53.1</v>
      </c>
      <c r="O1266" s="4">
        <f t="shared" si="593"/>
        <v>1</v>
      </c>
      <c r="P1266" s="4">
        <f t="shared" si="594"/>
        <v>2</v>
      </c>
      <c r="Q1266" s="4">
        <f t="shared" si="595"/>
        <v>8.7795574558837277</v>
      </c>
      <c r="R1266" s="4">
        <f t="shared" si="596"/>
        <v>6.2065759267249279</v>
      </c>
      <c r="S1266" s="4">
        <f t="shared" si="597"/>
        <v>53.1</v>
      </c>
      <c r="T1266" s="4">
        <f t="shared" si="598"/>
        <v>1</v>
      </c>
      <c r="U1266" s="4">
        <f t="shared" si="599"/>
        <v>8.7795574558837277</v>
      </c>
      <c r="V1266" s="4">
        <f t="shared" si="600"/>
        <v>6.2065759267249279</v>
      </c>
      <c r="W1266" s="4">
        <f t="shared" si="601"/>
        <v>53.1</v>
      </c>
      <c r="X1266" s="4">
        <f t="shared" si="602"/>
        <v>2</v>
      </c>
      <c r="Y1266" s="4">
        <f t="shared" si="603"/>
        <v>8.7795574558837277</v>
      </c>
      <c r="Z1266" s="4">
        <f t="shared" si="604"/>
        <v>6.2065759267249279</v>
      </c>
      <c r="AA1266" s="4">
        <f t="shared" si="605"/>
        <v>53.1</v>
      </c>
      <c r="AB1266" s="4">
        <f t="shared" si="606"/>
        <v>0</v>
      </c>
      <c r="AC1266" s="4">
        <f t="shared" si="607"/>
        <v>1</v>
      </c>
      <c r="AD1266" s="4">
        <f t="shared" si="608"/>
        <v>8.7795574558837277</v>
      </c>
      <c r="AE1266" s="4">
        <f t="shared" si="609"/>
        <v>6.2065759267249279</v>
      </c>
      <c r="AF1266" s="4">
        <f t="shared" si="610"/>
        <v>53.1</v>
      </c>
      <c r="AG1266" s="4">
        <f t="shared" si="611"/>
        <v>8.7795574558837277</v>
      </c>
      <c r="AH1266" s="4">
        <f t="shared" si="612"/>
        <v>0</v>
      </c>
      <c r="AI1266" s="4">
        <f t="shared" si="613"/>
        <v>1</v>
      </c>
      <c r="AJ1266" s="4">
        <f t="shared" si="614"/>
        <v>8.7795574558837277</v>
      </c>
      <c r="AK1266" s="4">
        <f t="shared" si="615"/>
        <v>6.2065759267249279</v>
      </c>
      <c r="AL1266" s="4">
        <f t="shared" si="616"/>
        <v>1</v>
      </c>
      <c r="AM1266" s="4">
        <f>CER!$C$7+CER!$C$8*J1266+CER!$C$9*K1266+CER!$C$10*L1266+CER!$C$11*M1266</f>
        <v>4.7012963474170615</v>
      </c>
      <c r="AN1266" s="4">
        <f t="shared" si="617"/>
        <v>110.08979460910419</v>
      </c>
      <c r="AO1266" s="4">
        <f t="shared" si="618"/>
        <v>-0.14387311992670426</v>
      </c>
      <c r="AP1266" s="4">
        <f>Alternatives!$F$25+Alternatives!$F$26*J1266+Alternatives!$F$27*K1266+Alternatives!$F$28*G1266+Alternatives!$F$29*O1266</f>
        <v>4.1960138388013153</v>
      </c>
      <c r="AQ1266" s="4">
        <f t="shared" si="619"/>
        <v>0.36140938868904193</v>
      </c>
    </row>
    <row r="1267" spans="1:43" x14ac:dyDescent="0.35">
      <c r="A1267" s="2" t="s">
        <v>1120</v>
      </c>
      <c r="B1267" s="2" t="s">
        <v>794</v>
      </c>
      <c r="C1267" s="2" t="s">
        <v>34</v>
      </c>
      <c r="D1267" s="2">
        <v>81.606300000000005</v>
      </c>
      <c r="E1267" s="2">
        <v>6500</v>
      </c>
      <c r="F1267" s="2">
        <v>496</v>
      </c>
      <c r="G1267" s="2">
        <v>52.8</v>
      </c>
      <c r="H1267" s="2" t="s">
        <v>911</v>
      </c>
      <c r="I1267" s="4">
        <f t="shared" si="589"/>
        <v>4.4019064648721935</v>
      </c>
      <c r="J1267" s="4">
        <f t="shared" si="590"/>
        <v>8.7795574558837277</v>
      </c>
      <c r="K1267" s="4">
        <f t="shared" si="591"/>
        <v>6.2065759267249279</v>
      </c>
      <c r="L1267" s="2">
        <v>0</v>
      </c>
      <c r="M1267" s="2">
        <v>1</v>
      </c>
      <c r="N1267" s="4">
        <f t="shared" si="592"/>
        <v>52.8</v>
      </c>
      <c r="O1267" s="4">
        <f t="shared" si="593"/>
        <v>1</v>
      </c>
      <c r="P1267" s="4">
        <f t="shared" si="594"/>
        <v>2</v>
      </c>
      <c r="Q1267" s="4">
        <f t="shared" si="595"/>
        <v>8.7795574558837277</v>
      </c>
      <c r="R1267" s="4">
        <f t="shared" si="596"/>
        <v>6.2065759267249279</v>
      </c>
      <c r="S1267" s="4">
        <f t="shared" si="597"/>
        <v>52.8</v>
      </c>
      <c r="T1267" s="4">
        <f t="shared" si="598"/>
        <v>1</v>
      </c>
      <c r="U1267" s="4">
        <f t="shared" si="599"/>
        <v>8.7795574558837277</v>
      </c>
      <c r="V1267" s="4">
        <f t="shared" si="600"/>
        <v>6.2065759267249279</v>
      </c>
      <c r="W1267" s="4">
        <f t="shared" si="601"/>
        <v>52.8</v>
      </c>
      <c r="X1267" s="4">
        <f t="shared" si="602"/>
        <v>2</v>
      </c>
      <c r="Y1267" s="4">
        <f t="shared" si="603"/>
        <v>8.7795574558837277</v>
      </c>
      <c r="Z1267" s="4">
        <f t="shared" si="604"/>
        <v>6.2065759267249279</v>
      </c>
      <c r="AA1267" s="4">
        <f t="shared" si="605"/>
        <v>52.8</v>
      </c>
      <c r="AB1267" s="4">
        <f t="shared" si="606"/>
        <v>0</v>
      </c>
      <c r="AC1267" s="4">
        <f t="shared" si="607"/>
        <v>1</v>
      </c>
      <c r="AD1267" s="4">
        <f t="shared" si="608"/>
        <v>8.7795574558837277</v>
      </c>
      <c r="AE1267" s="4">
        <f t="shared" si="609"/>
        <v>6.2065759267249279</v>
      </c>
      <c r="AF1267" s="4">
        <f t="shared" si="610"/>
        <v>52.8</v>
      </c>
      <c r="AG1267" s="4">
        <f t="shared" si="611"/>
        <v>8.7795574558837277</v>
      </c>
      <c r="AH1267" s="4">
        <f t="shared" si="612"/>
        <v>0</v>
      </c>
      <c r="AI1267" s="4">
        <f t="shared" si="613"/>
        <v>1</v>
      </c>
      <c r="AJ1267" s="4">
        <f t="shared" si="614"/>
        <v>8.7795574558837277</v>
      </c>
      <c r="AK1267" s="4">
        <f t="shared" si="615"/>
        <v>6.2065759267249279</v>
      </c>
      <c r="AL1267" s="4">
        <f t="shared" si="616"/>
        <v>1</v>
      </c>
      <c r="AM1267" s="4">
        <f>CER!$C$7+CER!$C$8*J1267+CER!$C$9*K1267+CER!$C$10*L1267+CER!$C$11*M1267</f>
        <v>4.7012963474170615</v>
      </c>
      <c r="AN1267" s="4">
        <f t="shared" si="617"/>
        <v>110.08979460910419</v>
      </c>
      <c r="AO1267" s="4">
        <f t="shared" si="618"/>
        <v>-0.29938988254486798</v>
      </c>
      <c r="AP1267" s="4">
        <f>Alternatives!$F$25+Alternatives!$F$26*J1267+Alternatives!$F$27*K1267+Alternatives!$F$28*G1267+Alternatives!$F$29*O1267</f>
        <v>4.1999160331639835</v>
      </c>
      <c r="AQ1267" s="4">
        <f t="shared" si="619"/>
        <v>0.20199043170820996</v>
      </c>
    </row>
    <row r="1268" spans="1:43" x14ac:dyDescent="0.35">
      <c r="A1268" s="2" t="s">
        <v>1121</v>
      </c>
      <c r="B1268" s="2" t="s">
        <v>794</v>
      </c>
      <c r="C1268" s="2" t="s">
        <v>34</v>
      </c>
      <c r="D1268" s="2">
        <v>81.606300000000005</v>
      </c>
      <c r="E1268" s="2">
        <v>6500</v>
      </c>
      <c r="F1268" s="2">
        <v>496</v>
      </c>
      <c r="G1268" s="2">
        <v>52.8</v>
      </c>
      <c r="H1268" s="2" t="s">
        <v>911</v>
      </c>
      <c r="I1268" s="4">
        <f t="shared" si="589"/>
        <v>4.4019064648721935</v>
      </c>
      <c r="J1268" s="4">
        <f t="shared" si="590"/>
        <v>8.7795574558837277</v>
      </c>
      <c r="K1268" s="4">
        <f t="shared" si="591"/>
        <v>6.2065759267249279</v>
      </c>
      <c r="L1268" s="2">
        <v>0</v>
      </c>
      <c r="M1268" s="2">
        <v>1</v>
      </c>
      <c r="N1268" s="4">
        <f t="shared" si="592"/>
        <v>52.8</v>
      </c>
      <c r="O1268" s="4">
        <f t="shared" si="593"/>
        <v>1</v>
      </c>
      <c r="P1268" s="4">
        <f t="shared" si="594"/>
        <v>2</v>
      </c>
      <c r="Q1268" s="4">
        <f t="shared" si="595"/>
        <v>8.7795574558837277</v>
      </c>
      <c r="R1268" s="4">
        <f t="shared" si="596"/>
        <v>6.2065759267249279</v>
      </c>
      <c r="S1268" s="4">
        <f t="shared" si="597"/>
        <v>52.8</v>
      </c>
      <c r="T1268" s="4">
        <f t="shared" si="598"/>
        <v>1</v>
      </c>
      <c r="U1268" s="4">
        <f t="shared" si="599"/>
        <v>8.7795574558837277</v>
      </c>
      <c r="V1268" s="4">
        <f t="shared" si="600"/>
        <v>6.2065759267249279</v>
      </c>
      <c r="W1268" s="4">
        <f t="shared" si="601"/>
        <v>52.8</v>
      </c>
      <c r="X1268" s="4">
        <f t="shared" si="602"/>
        <v>2</v>
      </c>
      <c r="Y1268" s="4">
        <f t="shared" si="603"/>
        <v>8.7795574558837277</v>
      </c>
      <c r="Z1268" s="4">
        <f t="shared" si="604"/>
        <v>6.2065759267249279</v>
      </c>
      <c r="AA1268" s="4">
        <f t="shared" si="605"/>
        <v>52.8</v>
      </c>
      <c r="AB1268" s="4">
        <f t="shared" si="606"/>
        <v>0</v>
      </c>
      <c r="AC1268" s="4">
        <f t="shared" si="607"/>
        <v>1</v>
      </c>
      <c r="AD1268" s="4">
        <f t="shared" si="608"/>
        <v>8.7795574558837277</v>
      </c>
      <c r="AE1268" s="4">
        <f t="shared" si="609"/>
        <v>6.2065759267249279</v>
      </c>
      <c r="AF1268" s="4">
        <f t="shared" si="610"/>
        <v>52.8</v>
      </c>
      <c r="AG1268" s="4">
        <f t="shared" si="611"/>
        <v>8.7795574558837277</v>
      </c>
      <c r="AH1268" s="4">
        <f t="shared" si="612"/>
        <v>0</v>
      </c>
      <c r="AI1268" s="4">
        <f t="shared" si="613"/>
        <v>1</v>
      </c>
      <c r="AJ1268" s="4">
        <f t="shared" si="614"/>
        <v>8.7795574558837277</v>
      </c>
      <c r="AK1268" s="4">
        <f t="shared" si="615"/>
        <v>6.2065759267249279</v>
      </c>
      <c r="AL1268" s="4">
        <f t="shared" si="616"/>
        <v>1</v>
      </c>
      <c r="AM1268" s="4">
        <f>CER!$C$7+CER!$C$8*J1268+CER!$C$9*K1268+CER!$C$10*L1268+CER!$C$11*M1268</f>
        <v>4.7012963474170615</v>
      </c>
      <c r="AN1268" s="4">
        <f t="shared" si="617"/>
        <v>110.08979460910419</v>
      </c>
      <c r="AO1268" s="4">
        <f t="shared" si="618"/>
        <v>-0.29938988254486798</v>
      </c>
      <c r="AP1268" s="4">
        <f>Alternatives!$F$25+Alternatives!$F$26*J1268+Alternatives!$F$27*K1268+Alternatives!$F$28*G1268+Alternatives!$F$29*O1268</f>
        <v>4.1999160331639835</v>
      </c>
      <c r="AQ1268" s="4">
        <f t="shared" si="619"/>
        <v>0.20199043170820996</v>
      </c>
    </row>
    <row r="1269" spans="1:43" x14ac:dyDescent="0.35">
      <c r="A1269" s="2" t="s">
        <v>1122</v>
      </c>
      <c r="B1269" s="2" t="s">
        <v>794</v>
      </c>
      <c r="C1269" s="2" t="s">
        <v>34</v>
      </c>
      <c r="D1269" s="2">
        <v>132.27930000000001</v>
      </c>
      <c r="E1269" s="2">
        <v>5000</v>
      </c>
      <c r="F1269" s="2">
        <v>335</v>
      </c>
      <c r="G1269" s="2">
        <v>47</v>
      </c>
      <c r="H1269" s="2" t="s">
        <v>924</v>
      </c>
      <c r="I1269" s="4">
        <f t="shared" si="589"/>
        <v>4.8849155962943289</v>
      </c>
      <c r="J1269" s="4">
        <f t="shared" si="590"/>
        <v>8.5171931914162382</v>
      </c>
      <c r="K1269" s="4">
        <f t="shared" si="591"/>
        <v>5.8141305318250662</v>
      </c>
      <c r="L1269" s="2">
        <v>0</v>
      </c>
      <c r="M1269" s="2">
        <v>1</v>
      </c>
      <c r="N1269" s="4">
        <f t="shared" si="592"/>
        <v>47</v>
      </c>
      <c r="O1269" s="4">
        <f t="shared" si="593"/>
        <v>1</v>
      </c>
      <c r="P1269" s="4">
        <f t="shared" si="594"/>
        <v>2</v>
      </c>
      <c r="Q1269" s="4">
        <f t="shared" si="595"/>
        <v>8.5171931914162382</v>
      </c>
      <c r="R1269" s="4">
        <f t="shared" si="596"/>
        <v>5.8141305318250662</v>
      </c>
      <c r="S1269" s="4">
        <f t="shared" si="597"/>
        <v>47</v>
      </c>
      <c r="T1269" s="4">
        <f t="shared" si="598"/>
        <v>1</v>
      </c>
      <c r="U1269" s="4">
        <f t="shared" si="599"/>
        <v>8.5171931914162382</v>
      </c>
      <c r="V1269" s="4">
        <f t="shared" si="600"/>
        <v>5.8141305318250662</v>
      </c>
      <c r="W1269" s="4">
        <f t="shared" si="601"/>
        <v>47</v>
      </c>
      <c r="X1269" s="4">
        <f t="shared" si="602"/>
        <v>2</v>
      </c>
      <c r="Y1269" s="4">
        <f t="shared" si="603"/>
        <v>8.5171931914162382</v>
      </c>
      <c r="Z1269" s="4">
        <f t="shared" si="604"/>
        <v>5.8141305318250662</v>
      </c>
      <c r="AA1269" s="4">
        <f t="shared" si="605"/>
        <v>47</v>
      </c>
      <c r="AB1269" s="4">
        <f t="shared" si="606"/>
        <v>0</v>
      </c>
      <c r="AC1269" s="4">
        <f t="shared" si="607"/>
        <v>1</v>
      </c>
      <c r="AD1269" s="4">
        <f t="shared" si="608"/>
        <v>8.5171931914162382</v>
      </c>
      <c r="AE1269" s="4">
        <f t="shared" si="609"/>
        <v>5.8141305318250662</v>
      </c>
      <c r="AF1269" s="4">
        <f t="shared" si="610"/>
        <v>47</v>
      </c>
      <c r="AG1269" s="4">
        <f t="shared" si="611"/>
        <v>8.5171931914162382</v>
      </c>
      <c r="AH1269" s="4">
        <f t="shared" si="612"/>
        <v>0</v>
      </c>
      <c r="AI1269" s="4">
        <f t="shared" si="613"/>
        <v>1</v>
      </c>
      <c r="AJ1269" s="4">
        <f t="shared" si="614"/>
        <v>8.5171931914162382</v>
      </c>
      <c r="AK1269" s="4">
        <f t="shared" si="615"/>
        <v>5.8141305318250662</v>
      </c>
      <c r="AL1269" s="4">
        <f t="shared" si="616"/>
        <v>1</v>
      </c>
      <c r="AM1269" s="4">
        <f>CER!$C$7+CER!$C$8*J1269+CER!$C$9*K1269+CER!$C$10*L1269+CER!$C$11*M1269</f>
        <v>4.9648613040897951</v>
      </c>
      <c r="AN1269" s="4">
        <f t="shared" si="617"/>
        <v>143.28867534184133</v>
      </c>
      <c r="AO1269" s="4">
        <f t="shared" si="618"/>
        <v>-7.994570779546617E-2</v>
      </c>
      <c r="AP1269" s="4">
        <f>Alternatives!$F$25+Alternatives!$F$26*J1269+Alternatives!$F$27*K1269+Alternatives!$F$28*G1269+Alternatives!$F$29*O1269</f>
        <v>4.2826947535196318</v>
      </c>
      <c r="AQ1269" s="4">
        <f t="shared" si="619"/>
        <v>0.60222084277469712</v>
      </c>
    </row>
    <row r="1270" spans="1:43" x14ac:dyDescent="0.35">
      <c r="A1270" s="2" t="s">
        <v>1123</v>
      </c>
      <c r="B1270" s="2" t="s">
        <v>794</v>
      </c>
      <c r="C1270" s="2" t="s">
        <v>34</v>
      </c>
      <c r="D1270" s="2">
        <v>135.4365</v>
      </c>
      <c r="E1270" s="2">
        <v>5000</v>
      </c>
      <c r="F1270" s="2">
        <v>335</v>
      </c>
      <c r="G1270" s="2">
        <v>47</v>
      </c>
      <c r="H1270" s="2" t="s">
        <v>924</v>
      </c>
      <c r="I1270" s="4">
        <f t="shared" si="589"/>
        <v>4.9085028957898551</v>
      </c>
      <c r="J1270" s="4">
        <f t="shared" si="590"/>
        <v>8.5171931914162382</v>
      </c>
      <c r="K1270" s="4">
        <f t="shared" si="591"/>
        <v>5.8141305318250662</v>
      </c>
      <c r="L1270" s="2">
        <v>0</v>
      </c>
      <c r="M1270" s="2">
        <v>1</v>
      </c>
      <c r="N1270" s="4">
        <f t="shared" si="592"/>
        <v>47</v>
      </c>
      <c r="O1270" s="4">
        <f t="shared" si="593"/>
        <v>1</v>
      </c>
      <c r="P1270" s="4">
        <f t="shared" si="594"/>
        <v>2</v>
      </c>
      <c r="Q1270" s="4">
        <f t="shared" si="595"/>
        <v>8.5171931914162382</v>
      </c>
      <c r="R1270" s="4">
        <f t="shared" si="596"/>
        <v>5.8141305318250662</v>
      </c>
      <c r="S1270" s="4">
        <f t="shared" si="597"/>
        <v>47</v>
      </c>
      <c r="T1270" s="4">
        <f t="shared" si="598"/>
        <v>1</v>
      </c>
      <c r="U1270" s="4">
        <f t="shared" si="599"/>
        <v>8.5171931914162382</v>
      </c>
      <c r="V1270" s="4">
        <f t="shared" si="600"/>
        <v>5.8141305318250662</v>
      </c>
      <c r="W1270" s="4">
        <f t="shared" si="601"/>
        <v>47</v>
      </c>
      <c r="X1270" s="4">
        <f t="shared" si="602"/>
        <v>2</v>
      </c>
      <c r="Y1270" s="4">
        <f t="shared" si="603"/>
        <v>8.5171931914162382</v>
      </c>
      <c r="Z1270" s="4">
        <f t="shared" si="604"/>
        <v>5.8141305318250662</v>
      </c>
      <c r="AA1270" s="4">
        <f t="shared" si="605"/>
        <v>47</v>
      </c>
      <c r="AB1270" s="4">
        <f t="shared" si="606"/>
        <v>0</v>
      </c>
      <c r="AC1270" s="4">
        <f t="shared" si="607"/>
        <v>1</v>
      </c>
      <c r="AD1270" s="4">
        <f t="shared" si="608"/>
        <v>8.5171931914162382</v>
      </c>
      <c r="AE1270" s="4">
        <f t="shared" si="609"/>
        <v>5.8141305318250662</v>
      </c>
      <c r="AF1270" s="4">
        <f t="shared" si="610"/>
        <v>47</v>
      </c>
      <c r="AG1270" s="4">
        <f t="shared" si="611"/>
        <v>8.5171931914162382</v>
      </c>
      <c r="AH1270" s="4">
        <f t="shared" si="612"/>
        <v>0</v>
      </c>
      <c r="AI1270" s="4">
        <f t="shared" si="613"/>
        <v>1</v>
      </c>
      <c r="AJ1270" s="4">
        <f t="shared" si="614"/>
        <v>8.5171931914162382</v>
      </c>
      <c r="AK1270" s="4">
        <f t="shared" si="615"/>
        <v>5.8141305318250662</v>
      </c>
      <c r="AL1270" s="4">
        <f t="shared" si="616"/>
        <v>1</v>
      </c>
      <c r="AM1270" s="4">
        <f>CER!$C$7+CER!$C$8*J1270+CER!$C$9*K1270+CER!$C$10*L1270+CER!$C$11*M1270</f>
        <v>4.9648613040897951</v>
      </c>
      <c r="AN1270" s="4">
        <f t="shared" si="617"/>
        <v>143.28867534184133</v>
      </c>
      <c r="AO1270" s="4">
        <f t="shared" si="618"/>
        <v>-5.6358408299939988E-2</v>
      </c>
      <c r="AP1270" s="4">
        <f>Alternatives!$F$25+Alternatives!$F$26*J1270+Alternatives!$F$27*K1270+Alternatives!$F$28*G1270+Alternatives!$F$29*O1270</f>
        <v>4.2826947535196318</v>
      </c>
      <c r="AQ1270" s="4">
        <f t="shared" si="619"/>
        <v>0.6258081422702233</v>
      </c>
    </row>
    <row r="1271" spans="1:43" x14ac:dyDescent="0.35">
      <c r="A1271" s="2" t="s">
        <v>1124</v>
      </c>
      <c r="B1271" s="2" t="s">
        <v>794</v>
      </c>
      <c r="C1271" s="2" t="s">
        <v>34</v>
      </c>
      <c r="D1271" s="2">
        <v>147.26379027853631</v>
      </c>
      <c r="E1271" s="2">
        <v>5000</v>
      </c>
      <c r="F1271" s="2">
        <v>201</v>
      </c>
      <c r="G1271" s="2">
        <v>46.9</v>
      </c>
      <c r="H1271" s="2" t="s">
        <v>911</v>
      </c>
      <c r="I1271" s="4">
        <f t="shared" si="589"/>
        <v>4.9922254702928646</v>
      </c>
      <c r="J1271" s="4">
        <f t="shared" si="590"/>
        <v>8.5171931914162382</v>
      </c>
      <c r="K1271" s="4">
        <f t="shared" si="591"/>
        <v>5.3033049080590757</v>
      </c>
      <c r="L1271" s="2">
        <v>0</v>
      </c>
      <c r="M1271" s="2">
        <v>1</v>
      </c>
      <c r="N1271" s="4">
        <f t="shared" si="592"/>
        <v>46.9</v>
      </c>
      <c r="O1271" s="4">
        <f t="shared" si="593"/>
        <v>1</v>
      </c>
      <c r="P1271" s="4">
        <f t="shared" si="594"/>
        <v>2</v>
      </c>
      <c r="Q1271" s="4">
        <f t="shared" si="595"/>
        <v>8.5171931914162382</v>
      </c>
      <c r="R1271" s="4">
        <f t="shared" si="596"/>
        <v>5.3033049080590757</v>
      </c>
      <c r="S1271" s="4">
        <f t="shared" si="597"/>
        <v>46.9</v>
      </c>
      <c r="T1271" s="4">
        <f t="shared" si="598"/>
        <v>1</v>
      </c>
      <c r="U1271" s="4">
        <f t="shared" si="599"/>
        <v>8.5171931914162382</v>
      </c>
      <c r="V1271" s="4">
        <f t="shared" si="600"/>
        <v>5.3033049080590757</v>
      </c>
      <c r="W1271" s="4">
        <f t="shared" si="601"/>
        <v>46.9</v>
      </c>
      <c r="X1271" s="4">
        <f t="shared" si="602"/>
        <v>2</v>
      </c>
      <c r="Y1271" s="4">
        <f t="shared" si="603"/>
        <v>8.5171931914162382</v>
      </c>
      <c r="Z1271" s="4">
        <f t="shared" si="604"/>
        <v>5.3033049080590757</v>
      </c>
      <c r="AA1271" s="4">
        <f t="shared" si="605"/>
        <v>46.9</v>
      </c>
      <c r="AB1271" s="4">
        <f t="shared" si="606"/>
        <v>0</v>
      </c>
      <c r="AC1271" s="4">
        <f t="shared" si="607"/>
        <v>1</v>
      </c>
      <c r="AD1271" s="4">
        <f t="shared" si="608"/>
        <v>8.5171931914162382</v>
      </c>
      <c r="AE1271" s="4">
        <f t="shared" si="609"/>
        <v>5.3033049080590757</v>
      </c>
      <c r="AF1271" s="4">
        <f t="shared" si="610"/>
        <v>46.9</v>
      </c>
      <c r="AG1271" s="4">
        <f t="shared" si="611"/>
        <v>8.5171931914162382</v>
      </c>
      <c r="AH1271" s="4">
        <f t="shared" si="612"/>
        <v>0</v>
      </c>
      <c r="AI1271" s="4">
        <f t="shared" si="613"/>
        <v>1</v>
      </c>
      <c r="AJ1271" s="4">
        <f t="shared" si="614"/>
        <v>8.5171931914162382</v>
      </c>
      <c r="AK1271" s="4">
        <f t="shared" si="615"/>
        <v>5.3033049080590757</v>
      </c>
      <c r="AL1271" s="4">
        <f t="shared" si="616"/>
        <v>1</v>
      </c>
      <c r="AM1271" s="4">
        <f>CER!$C$7+CER!$C$8*J1271+CER!$C$9*K1271+CER!$C$10*L1271+CER!$C$11*M1271</f>
        <v>5.1533272068606477</v>
      </c>
      <c r="AN1271" s="4">
        <f t="shared" si="617"/>
        <v>173.00616104848038</v>
      </c>
      <c r="AO1271" s="4">
        <f t="shared" si="618"/>
        <v>-0.16110173656778315</v>
      </c>
      <c r="AP1271" s="4">
        <f>Alternatives!$F$25+Alternatives!$F$26*J1271+Alternatives!$F$27*K1271+Alternatives!$F$28*G1271+Alternatives!$F$29*O1271</f>
        <v>4.4199312753216962</v>
      </c>
      <c r="AQ1271" s="4">
        <f t="shared" si="619"/>
        <v>0.5722941949711684</v>
      </c>
    </row>
    <row r="1272" spans="1:43" x14ac:dyDescent="0.35">
      <c r="A1272" s="2" t="s">
        <v>1125</v>
      </c>
      <c r="B1272" s="2" t="s">
        <v>794</v>
      </c>
      <c r="C1272" s="2" t="s">
        <v>34</v>
      </c>
      <c r="D1272" s="2">
        <v>142.75040000000001</v>
      </c>
      <c r="E1272" s="2">
        <v>5000</v>
      </c>
      <c r="F1272" s="2">
        <v>335</v>
      </c>
      <c r="G1272" s="2">
        <v>46.9</v>
      </c>
      <c r="H1272" s="2" t="s">
        <v>883</v>
      </c>
      <c r="I1272" s="4">
        <f t="shared" si="589"/>
        <v>4.9610976506337696</v>
      </c>
      <c r="J1272" s="4">
        <f t="shared" si="590"/>
        <v>8.5171931914162382</v>
      </c>
      <c r="K1272" s="4">
        <f t="shared" si="591"/>
        <v>5.8141305318250662</v>
      </c>
      <c r="L1272" s="2">
        <v>0</v>
      </c>
      <c r="M1272" s="2">
        <v>1</v>
      </c>
      <c r="N1272" s="4">
        <f t="shared" si="592"/>
        <v>46.9</v>
      </c>
      <c r="O1272" s="4">
        <f t="shared" si="593"/>
        <v>1</v>
      </c>
      <c r="P1272" s="4">
        <f t="shared" si="594"/>
        <v>2</v>
      </c>
      <c r="Q1272" s="4">
        <f t="shared" si="595"/>
        <v>8.5171931914162382</v>
      </c>
      <c r="R1272" s="4">
        <f t="shared" si="596"/>
        <v>5.8141305318250662</v>
      </c>
      <c r="S1272" s="4">
        <f t="shared" si="597"/>
        <v>46.9</v>
      </c>
      <c r="T1272" s="4">
        <f t="shared" si="598"/>
        <v>1</v>
      </c>
      <c r="U1272" s="4">
        <f t="shared" si="599"/>
        <v>8.5171931914162382</v>
      </c>
      <c r="V1272" s="4">
        <f t="shared" si="600"/>
        <v>5.8141305318250662</v>
      </c>
      <c r="W1272" s="4">
        <f t="shared" si="601"/>
        <v>46.9</v>
      </c>
      <c r="X1272" s="4">
        <f t="shared" si="602"/>
        <v>2</v>
      </c>
      <c r="Y1272" s="4">
        <f t="shared" si="603"/>
        <v>8.5171931914162382</v>
      </c>
      <c r="Z1272" s="4">
        <f t="shared" si="604"/>
        <v>5.8141305318250662</v>
      </c>
      <c r="AA1272" s="4">
        <f t="shared" si="605"/>
        <v>46.9</v>
      </c>
      <c r="AB1272" s="4">
        <f t="shared" si="606"/>
        <v>0</v>
      </c>
      <c r="AC1272" s="4">
        <f t="shared" si="607"/>
        <v>1</v>
      </c>
      <c r="AD1272" s="4">
        <f t="shared" si="608"/>
        <v>8.5171931914162382</v>
      </c>
      <c r="AE1272" s="4">
        <f t="shared" si="609"/>
        <v>5.8141305318250662</v>
      </c>
      <c r="AF1272" s="4">
        <f t="shared" si="610"/>
        <v>46.9</v>
      </c>
      <c r="AG1272" s="4">
        <f t="shared" si="611"/>
        <v>8.5171931914162382</v>
      </c>
      <c r="AH1272" s="4">
        <f t="shared" si="612"/>
        <v>0</v>
      </c>
      <c r="AI1272" s="4">
        <f t="shared" si="613"/>
        <v>1</v>
      </c>
      <c r="AJ1272" s="4">
        <f t="shared" si="614"/>
        <v>8.5171931914162382</v>
      </c>
      <c r="AK1272" s="4">
        <f t="shared" si="615"/>
        <v>5.8141305318250662</v>
      </c>
      <c r="AL1272" s="4">
        <f t="shared" si="616"/>
        <v>1</v>
      </c>
      <c r="AM1272" s="4">
        <f>CER!$C$7+CER!$C$8*J1272+CER!$C$9*K1272+CER!$C$10*L1272+CER!$C$11*M1272</f>
        <v>4.9648613040897951</v>
      </c>
      <c r="AN1272" s="4">
        <f t="shared" si="617"/>
        <v>143.28867534184133</v>
      </c>
      <c r="AO1272" s="4">
        <f t="shared" si="618"/>
        <v>-3.7636534560254731E-3</v>
      </c>
      <c r="AP1272" s="4">
        <f>Alternatives!$F$25+Alternatives!$F$26*J1272+Alternatives!$F$27*K1272+Alternatives!$F$28*G1272+Alternatives!$F$29*O1272</f>
        <v>4.283995484973854</v>
      </c>
      <c r="AQ1272" s="4">
        <f t="shared" si="619"/>
        <v>0.67710216565991566</v>
      </c>
    </row>
    <row r="1273" spans="1:43" x14ac:dyDescent="0.35">
      <c r="A1273" s="2" t="s">
        <v>1126</v>
      </c>
      <c r="B1273" s="2" t="s">
        <v>794</v>
      </c>
      <c r="C1273" s="2" t="s">
        <v>34</v>
      </c>
      <c r="D1273" s="2">
        <v>142.75040000000001</v>
      </c>
      <c r="E1273" s="2">
        <v>5000</v>
      </c>
      <c r="F1273" s="2">
        <v>335</v>
      </c>
      <c r="G1273" s="2">
        <v>47</v>
      </c>
      <c r="H1273" s="2" t="s">
        <v>883</v>
      </c>
      <c r="I1273" s="4">
        <f t="shared" si="589"/>
        <v>4.9610976506337696</v>
      </c>
      <c r="J1273" s="4">
        <f t="shared" si="590"/>
        <v>8.5171931914162382</v>
      </c>
      <c r="K1273" s="4">
        <f t="shared" si="591"/>
        <v>5.8141305318250662</v>
      </c>
      <c r="L1273" s="2">
        <v>0</v>
      </c>
      <c r="M1273" s="2">
        <v>1</v>
      </c>
      <c r="N1273" s="4">
        <f t="shared" si="592"/>
        <v>47</v>
      </c>
      <c r="O1273" s="4">
        <f t="shared" si="593"/>
        <v>1</v>
      </c>
      <c r="P1273" s="4">
        <f t="shared" si="594"/>
        <v>2</v>
      </c>
      <c r="Q1273" s="4">
        <f t="shared" si="595"/>
        <v>8.5171931914162382</v>
      </c>
      <c r="R1273" s="4">
        <f t="shared" si="596"/>
        <v>5.8141305318250662</v>
      </c>
      <c r="S1273" s="4">
        <f t="shared" si="597"/>
        <v>47</v>
      </c>
      <c r="T1273" s="4">
        <f t="shared" si="598"/>
        <v>1</v>
      </c>
      <c r="U1273" s="4">
        <f t="shared" si="599"/>
        <v>8.5171931914162382</v>
      </c>
      <c r="V1273" s="4">
        <f t="shared" si="600"/>
        <v>5.8141305318250662</v>
      </c>
      <c r="W1273" s="4">
        <f t="shared" si="601"/>
        <v>47</v>
      </c>
      <c r="X1273" s="4">
        <f t="shared" si="602"/>
        <v>2</v>
      </c>
      <c r="Y1273" s="4">
        <f t="shared" si="603"/>
        <v>8.5171931914162382</v>
      </c>
      <c r="Z1273" s="4">
        <f t="shared" si="604"/>
        <v>5.8141305318250662</v>
      </c>
      <c r="AA1273" s="4">
        <f t="shared" si="605"/>
        <v>47</v>
      </c>
      <c r="AB1273" s="4">
        <f t="shared" si="606"/>
        <v>0</v>
      </c>
      <c r="AC1273" s="4">
        <f t="shared" si="607"/>
        <v>1</v>
      </c>
      <c r="AD1273" s="4">
        <f t="shared" si="608"/>
        <v>8.5171931914162382</v>
      </c>
      <c r="AE1273" s="4">
        <f t="shared" si="609"/>
        <v>5.8141305318250662</v>
      </c>
      <c r="AF1273" s="4">
        <f t="shared" si="610"/>
        <v>47</v>
      </c>
      <c r="AG1273" s="4">
        <f t="shared" si="611"/>
        <v>8.5171931914162382</v>
      </c>
      <c r="AH1273" s="4">
        <f t="shared" si="612"/>
        <v>0</v>
      </c>
      <c r="AI1273" s="4">
        <f t="shared" si="613"/>
        <v>1</v>
      </c>
      <c r="AJ1273" s="4">
        <f t="shared" si="614"/>
        <v>8.5171931914162382</v>
      </c>
      <c r="AK1273" s="4">
        <f t="shared" si="615"/>
        <v>5.8141305318250662</v>
      </c>
      <c r="AL1273" s="4">
        <f t="shared" si="616"/>
        <v>1</v>
      </c>
      <c r="AM1273" s="4">
        <f>CER!$C$7+CER!$C$8*J1273+CER!$C$9*K1273+CER!$C$10*L1273+CER!$C$11*M1273</f>
        <v>4.9648613040897951</v>
      </c>
      <c r="AN1273" s="4">
        <f t="shared" si="617"/>
        <v>143.28867534184133</v>
      </c>
      <c r="AO1273" s="4">
        <f t="shared" si="618"/>
        <v>-3.7636534560254731E-3</v>
      </c>
      <c r="AP1273" s="4">
        <f>Alternatives!$F$25+Alternatives!$F$26*J1273+Alternatives!$F$27*K1273+Alternatives!$F$28*G1273+Alternatives!$F$29*O1273</f>
        <v>4.2826947535196318</v>
      </c>
      <c r="AQ1273" s="4">
        <f t="shared" si="619"/>
        <v>0.67840289711413782</v>
      </c>
    </row>
    <row r="1274" spans="1:43" x14ac:dyDescent="0.35">
      <c r="A1274" s="2" t="s">
        <v>1127</v>
      </c>
      <c r="B1274" s="2" t="s">
        <v>1128</v>
      </c>
      <c r="C1274" s="2" t="s">
        <v>34</v>
      </c>
      <c r="D1274" s="2">
        <v>101.70050000000001</v>
      </c>
      <c r="E1274" s="2">
        <v>5500</v>
      </c>
      <c r="F1274" s="2">
        <v>348</v>
      </c>
      <c r="G1274" s="2">
        <v>52.7</v>
      </c>
      <c r="H1274" s="2" t="s">
        <v>881</v>
      </c>
      <c r="I1274" s="4">
        <f t="shared" si="589"/>
        <v>4.6220322194632741</v>
      </c>
      <c r="J1274" s="4">
        <f t="shared" si="590"/>
        <v>8.6125033712205621</v>
      </c>
      <c r="K1274" s="4">
        <f t="shared" si="591"/>
        <v>5.8522024797744745</v>
      </c>
      <c r="L1274" s="2">
        <v>0</v>
      </c>
      <c r="M1274" s="2">
        <v>1</v>
      </c>
      <c r="N1274" s="4">
        <f t="shared" si="592"/>
        <v>52.7</v>
      </c>
      <c r="O1274" s="4">
        <f t="shared" si="593"/>
        <v>1</v>
      </c>
      <c r="P1274" s="4">
        <f t="shared" si="594"/>
        <v>2</v>
      </c>
      <c r="Q1274" s="4">
        <f t="shared" si="595"/>
        <v>8.6125033712205621</v>
      </c>
      <c r="R1274" s="4">
        <f t="shared" si="596"/>
        <v>5.8522024797744745</v>
      </c>
      <c r="S1274" s="4">
        <f t="shared" si="597"/>
        <v>52.7</v>
      </c>
      <c r="T1274" s="4">
        <f t="shared" si="598"/>
        <v>1</v>
      </c>
      <c r="U1274" s="4">
        <f t="shared" si="599"/>
        <v>8.6125033712205621</v>
      </c>
      <c r="V1274" s="4">
        <f t="shared" si="600"/>
        <v>5.8522024797744745</v>
      </c>
      <c r="W1274" s="4">
        <f t="shared" si="601"/>
        <v>52.7</v>
      </c>
      <c r="X1274" s="4">
        <f t="shared" si="602"/>
        <v>2</v>
      </c>
      <c r="Y1274" s="4">
        <f t="shared" si="603"/>
        <v>8.6125033712205621</v>
      </c>
      <c r="Z1274" s="4">
        <f t="shared" si="604"/>
        <v>5.8522024797744745</v>
      </c>
      <c r="AA1274" s="4">
        <f t="shared" si="605"/>
        <v>52.7</v>
      </c>
      <c r="AB1274" s="4">
        <f t="shared" si="606"/>
        <v>0</v>
      </c>
      <c r="AC1274" s="4">
        <f t="shared" si="607"/>
        <v>1</v>
      </c>
      <c r="AD1274" s="4">
        <f t="shared" si="608"/>
        <v>8.6125033712205621</v>
      </c>
      <c r="AE1274" s="4">
        <f t="shared" si="609"/>
        <v>5.8522024797744745</v>
      </c>
      <c r="AF1274" s="4">
        <f t="shared" si="610"/>
        <v>52.7</v>
      </c>
      <c r="AG1274" s="4">
        <f t="shared" si="611"/>
        <v>8.6125033712205621</v>
      </c>
      <c r="AH1274" s="4">
        <f t="shared" si="612"/>
        <v>0</v>
      </c>
      <c r="AI1274" s="4">
        <f t="shared" si="613"/>
        <v>1</v>
      </c>
      <c r="AJ1274" s="4">
        <f t="shared" si="614"/>
        <v>8.6125033712205621</v>
      </c>
      <c r="AK1274" s="4">
        <f t="shared" si="615"/>
        <v>5.8522024797744745</v>
      </c>
      <c r="AL1274" s="4">
        <f t="shared" si="616"/>
        <v>1</v>
      </c>
      <c r="AM1274" s="4">
        <f>CER!$C$7+CER!$C$8*J1274+CER!$C$9*K1274+CER!$C$10*L1274+CER!$C$11*M1274</f>
        <v>4.907667110628628</v>
      </c>
      <c r="AN1274" s="4">
        <f t="shared" si="617"/>
        <v>135.32335147352774</v>
      </c>
      <c r="AO1274" s="4">
        <f t="shared" si="618"/>
        <v>-0.2856348911653539</v>
      </c>
      <c r="AP1274" s="4">
        <f>Alternatives!$F$25+Alternatives!$F$26*J1274+Alternatives!$F$27*K1274+Alternatives!$F$28*G1274+Alternatives!$F$29*O1274</f>
        <v>4.2336946968970643</v>
      </c>
      <c r="AQ1274" s="4">
        <f t="shared" si="619"/>
        <v>0.38833752256620979</v>
      </c>
    </row>
    <row r="1275" spans="1:43" x14ac:dyDescent="0.35">
      <c r="A1275" s="2" t="s">
        <v>1129</v>
      </c>
      <c r="B1275" s="2" t="s">
        <v>1128</v>
      </c>
      <c r="C1275" s="2" t="s">
        <v>34</v>
      </c>
      <c r="D1275" s="2">
        <v>62.306100000000001</v>
      </c>
      <c r="E1275" s="2">
        <v>6000</v>
      </c>
      <c r="F1275" s="2">
        <v>402</v>
      </c>
      <c r="G1275" s="2">
        <v>52.7</v>
      </c>
      <c r="H1275" s="2" t="s">
        <v>881</v>
      </c>
      <c r="I1275" s="4">
        <f t="shared" si="589"/>
        <v>4.1320593343228431</v>
      </c>
      <c r="J1275" s="4">
        <f t="shared" si="590"/>
        <v>8.6995147482101913</v>
      </c>
      <c r="K1275" s="4">
        <f t="shared" si="591"/>
        <v>5.9964520886190211</v>
      </c>
      <c r="L1275" s="2">
        <v>0</v>
      </c>
      <c r="M1275" s="2">
        <v>1</v>
      </c>
      <c r="N1275" s="4">
        <f t="shared" si="592"/>
        <v>52.7</v>
      </c>
      <c r="O1275" s="4">
        <f t="shared" si="593"/>
        <v>1</v>
      </c>
      <c r="P1275" s="4">
        <f t="shared" si="594"/>
        <v>2</v>
      </c>
      <c r="Q1275" s="4">
        <f t="shared" si="595"/>
        <v>8.6995147482101913</v>
      </c>
      <c r="R1275" s="4">
        <f t="shared" si="596"/>
        <v>5.9964520886190211</v>
      </c>
      <c r="S1275" s="4">
        <f t="shared" si="597"/>
        <v>52.7</v>
      </c>
      <c r="T1275" s="4">
        <f t="shared" si="598"/>
        <v>1</v>
      </c>
      <c r="U1275" s="4">
        <f t="shared" si="599"/>
        <v>8.6995147482101913</v>
      </c>
      <c r="V1275" s="4">
        <f t="shared" si="600"/>
        <v>5.9964520886190211</v>
      </c>
      <c r="W1275" s="4">
        <f t="shared" si="601"/>
        <v>52.7</v>
      </c>
      <c r="X1275" s="4">
        <f t="shared" si="602"/>
        <v>2</v>
      </c>
      <c r="Y1275" s="4">
        <f t="shared" si="603"/>
        <v>8.6995147482101913</v>
      </c>
      <c r="Z1275" s="4">
        <f t="shared" si="604"/>
        <v>5.9964520886190211</v>
      </c>
      <c r="AA1275" s="4">
        <f t="shared" si="605"/>
        <v>52.7</v>
      </c>
      <c r="AB1275" s="4">
        <f t="shared" si="606"/>
        <v>0</v>
      </c>
      <c r="AC1275" s="4">
        <f t="shared" si="607"/>
        <v>1</v>
      </c>
      <c r="AD1275" s="4">
        <f t="shared" si="608"/>
        <v>8.6995147482101913</v>
      </c>
      <c r="AE1275" s="4">
        <f t="shared" si="609"/>
        <v>5.9964520886190211</v>
      </c>
      <c r="AF1275" s="4">
        <f t="shared" si="610"/>
        <v>52.7</v>
      </c>
      <c r="AG1275" s="4">
        <f t="shared" si="611"/>
        <v>8.6995147482101913</v>
      </c>
      <c r="AH1275" s="4">
        <f t="shared" si="612"/>
        <v>0</v>
      </c>
      <c r="AI1275" s="4">
        <f t="shared" si="613"/>
        <v>1</v>
      </c>
      <c r="AJ1275" s="4">
        <f t="shared" si="614"/>
        <v>8.6995147482101913</v>
      </c>
      <c r="AK1275" s="4">
        <f t="shared" si="615"/>
        <v>5.9964520886190211</v>
      </c>
      <c r="AL1275" s="4">
        <f t="shared" si="616"/>
        <v>1</v>
      </c>
      <c r="AM1275" s="4">
        <f>CER!$C$7+CER!$C$8*J1275+CER!$C$9*K1275+CER!$C$10*L1275+CER!$C$11*M1275</f>
        <v>4.8150562803432404</v>
      </c>
      <c r="AN1275" s="4">
        <f t="shared" si="617"/>
        <v>123.35375450646571</v>
      </c>
      <c r="AO1275" s="4">
        <f t="shared" si="618"/>
        <v>-0.68299694602039729</v>
      </c>
      <c r="AP1275" s="4">
        <f>Alternatives!$F$25+Alternatives!$F$26*J1275+Alternatives!$F$27*K1275+Alternatives!$F$28*G1275+Alternatives!$F$29*O1275</f>
        <v>4.2275101286749752</v>
      </c>
      <c r="AQ1275" s="4">
        <f t="shared" si="619"/>
        <v>-9.5450794352132107E-2</v>
      </c>
    </row>
    <row r="1276" spans="1:43" x14ac:dyDescent="0.35">
      <c r="A1276" s="2" t="s">
        <v>1130</v>
      </c>
      <c r="B1276" s="2" t="s">
        <v>1128</v>
      </c>
      <c r="C1276" s="2" t="s">
        <v>34</v>
      </c>
      <c r="D1276" s="2">
        <v>101.8049</v>
      </c>
      <c r="E1276" s="2">
        <v>6500</v>
      </c>
      <c r="F1276" s="2">
        <v>402</v>
      </c>
      <c r="G1276" s="2">
        <v>58.6</v>
      </c>
      <c r="H1276" s="2" t="s">
        <v>881</v>
      </c>
      <c r="I1276" s="4">
        <f t="shared" si="589"/>
        <v>4.623058236553323</v>
      </c>
      <c r="J1276" s="4">
        <f t="shared" si="590"/>
        <v>8.7795574558837277</v>
      </c>
      <c r="K1276" s="4">
        <f t="shared" si="591"/>
        <v>5.9964520886190211</v>
      </c>
      <c r="L1276" s="2">
        <v>0</v>
      </c>
      <c r="M1276" s="2">
        <v>1</v>
      </c>
      <c r="N1276" s="4">
        <f t="shared" si="592"/>
        <v>58.6</v>
      </c>
      <c r="O1276" s="4">
        <f t="shared" si="593"/>
        <v>1</v>
      </c>
      <c r="P1276" s="4">
        <f t="shared" si="594"/>
        <v>2</v>
      </c>
      <c r="Q1276" s="4">
        <f t="shared" si="595"/>
        <v>8.7795574558837277</v>
      </c>
      <c r="R1276" s="4">
        <f t="shared" si="596"/>
        <v>5.9964520886190211</v>
      </c>
      <c r="S1276" s="4">
        <f t="shared" si="597"/>
        <v>58.6</v>
      </c>
      <c r="T1276" s="4">
        <f t="shared" si="598"/>
        <v>1</v>
      </c>
      <c r="U1276" s="4">
        <f t="shared" si="599"/>
        <v>8.7795574558837277</v>
      </c>
      <c r="V1276" s="4">
        <f t="shared" si="600"/>
        <v>5.9964520886190211</v>
      </c>
      <c r="W1276" s="4">
        <f t="shared" si="601"/>
        <v>58.6</v>
      </c>
      <c r="X1276" s="4">
        <f t="shared" si="602"/>
        <v>2</v>
      </c>
      <c r="Y1276" s="4">
        <f t="shared" si="603"/>
        <v>8.7795574558837277</v>
      </c>
      <c r="Z1276" s="4">
        <f t="shared" si="604"/>
        <v>5.9964520886190211</v>
      </c>
      <c r="AA1276" s="4">
        <f t="shared" si="605"/>
        <v>58.6</v>
      </c>
      <c r="AB1276" s="4">
        <f t="shared" si="606"/>
        <v>0</v>
      </c>
      <c r="AC1276" s="4">
        <f t="shared" si="607"/>
        <v>1</v>
      </c>
      <c r="AD1276" s="4">
        <f t="shared" si="608"/>
        <v>8.7795574558837277</v>
      </c>
      <c r="AE1276" s="4">
        <f t="shared" si="609"/>
        <v>5.9964520886190211</v>
      </c>
      <c r="AF1276" s="4">
        <f t="shared" si="610"/>
        <v>58.6</v>
      </c>
      <c r="AG1276" s="4">
        <f t="shared" si="611"/>
        <v>8.7795574558837277</v>
      </c>
      <c r="AH1276" s="4">
        <f t="shared" si="612"/>
        <v>0</v>
      </c>
      <c r="AI1276" s="4">
        <f t="shared" si="613"/>
        <v>1</v>
      </c>
      <c r="AJ1276" s="4">
        <f t="shared" si="614"/>
        <v>8.7795574558837277</v>
      </c>
      <c r="AK1276" s="4">
        <f t="shared" si="615"/>
        <v>5.9964520886190211</v>
      </c>
      <c r="AL1276" s="4">
        <f t="shared" si="616"/>
        <v>1</v>
      </c>
      <c r="AM1276" s="4">
        <f>CER!$C$7+CER!$C$8*J1276+CER!$C$9*K1276+CER!$C$10*L1276+CER!$C$11*M1276</f>
        <v>4.778820216619927</v>
      </c>
      <c r="AN1276" s="4">
        <f t="shared" si="617"/>
        <v>118.96391556955562</v>
      </c>
      <c r="AO1276" s="4">
        <f t="shared" si="618"/>
        <v>-0.15576198006660391</v>
      </c>
      <c r="AP1276" s="4">
        <f>Alternatives!$F$25+Alternatives!$F$26*J1276+Alternatives!$F$27*K1276+Alternatives!$F$28*G1276+Alternatives!$F$29*O1276</f>
        <v>4.1803896566344942</v>
      </c>
      <c r="AQ1276" s="4">
        <f t="shared" si="619"/>
        <v>0.4426685799188288</v>
      </c>
    </row>
    <row r="1277" spans="1:43" x14ac:dyDescent="0.35">
      <c r="A1277" s="2" t="s">
        <v>1131</v>
      </c>
      <c r="B1277" s="2" t="s">
        <v>1128</v>
      </c>
      <c r="C1277" s="2" t="s">
        <v>34</v>
      </c>
      <c r="D1277" s="2">
        <v>96.735200000000006</v>
      </c>
      <c r="E1277" s="2">
        <v>7000</v>
      </c>
      <c r="F1277" s="2">
        <v>402</v>
      </c>
      <c r="G1277" s="2">
        <v>58.6</v>
      </c>
      <c r="H1277" s="2" t="s">
        <v>881</v>
      </c>
      <c r="I1277" s="4">
        <f t="shared" si="589"/>
        <v>4.571977348632319</v>
      </c>
      <c r="J1277" s="4">
        <f t="shared" si="590"/>
        <v>8.8536654280374503</v>
      </c>
      <c r="K1277" s="4">
        <f t="shared" si="591"/>
        <v>5.9964520886190211</v>
      </c>
      <c r="L1277" s="2">
        <v>0</v>
      </c>
      <c r="M1277" s="2">
        <v>1</v>
      </c>
      <c r="N1277" s="4">
        <f t="shared" si="592"/>
        <v>58.6</v>
      </c>
      <c r="O1277" s="4">
        <f t="shared" si="593"/>
        <v>1</v>
      </c>
      <c r="P1277" s="4">
        <f t="shared" si="594"/>
        <v>2</v>
      </c>
      <c r="Q1277" s="4">
        <f t="shared" si="595"/>
        <v>8.8536654280374503</v>
      </c>
      <c r="R1277" s="4">
        <f t="shared" si="596"/>
        <v>5.9964520886190211</v>
      </c>
      <c r="S1277" s="4">
        <f t="shared" si="597"/>
        <v>58.6</v>
      </c>
      <c r="T1277" s="4">
        <f t="shared" si="598"/>
        <v>1</v>
      </c>
      <c r="U1277" s="4">
        <f t="shared" si="599"/>
        <v>8.8536654280374503</v>
      </c>
      <c r="V1277" s="4">
        <f t="shared" si="600"/>
        <v>5.9964520886190211</v>
      </c>
      <c r="W1277" s="4">
        <f t="shared" si="601"/>
        <v>58.6</v>
      </c>
      <c r="X1277" s="4">
        <f t="shared" si="602"/>
        <v>2</v>
      </c>
      <c r="Y1277" s="4">
        <f t="shared" si="603"/>
        <v>8.8536654280374503</v>
      </c>
      <c r="Z1277" s="4">
        <f t="shared" si="604"/>
        <v>5.9964520886190211</v>
      </c>
      <c r="AA1277" s="4">
        <f t="shared" si="605"/>
        <v>58.6</v>
      </c>
      <c r="AB1277" s="4">
        <f t="shared" si="606"/>
        <v>0</v>
      </c>
      <c r="AC1277" s="4">
        <f t="shared" si="607"/>
        <v>1</v>
      </c>
      <c r="AD1277" s="4">
        <f t="shared" si="608"/>
        <v>8.8536654280374503</v>
      </c>
      <c r="AE1277" s="4">
        <f t="shared" si="609"/>
        <v>5.9964520886190211</v>
      </c>
      <c r="AF1277" s="4">
        <f t="shared" si="610"/>
        <v>58.6</v>
      </c>
      <c r="AG1277" s="4">
        <f t="shared" si="611"/>
        <v>8.8536654280374503</v>
      </c>
      <c r="AH1277" s="4">
        <f t="shared" si="612"/>
        <v>0</v>
      </c>
      <c r="AI1277" s="4">
        <f t="shared" si="613"/>
        <v>1</v>
      </c>
      <c r="AJ1277" s="4">
        <f t="shared" si="614"/>
        <v>8.8536654280374503</v>
      </c>
      <c r="AK1277" s="4">
        <f t="shared" si="615"/>
        <v>5.9964520886190211</v>
      </c>
      <c r="AL1277" s="4">
        <f t="shared" si="616"/>
        <v>1</v>
      </c>
      <c r="AM1277" s="4">
        <f>CER!$C$7+CER!$C$8*J1277+CER!$C$9*K1277+CER!$C$10*L1277+CER!$C$11*M1277</f>
        <v>4.7452708617889972</v>
      </c>
      <c r="AN1277" s="4">
        <f t="shared" si="617"/>
        <v>115.03896094227511</v>
      </c>
      <c r="AO1277" s="4">
        <f t="shared" si="618"/>
        <v>-0.17329351315667818</v>
      </c>
      <c r="AP1277" s="4">
        <f>Alternatives!$F$25+Alternatives!$F$26*J1277+Alternatives!$F$27*K1277+Alternatives!$F$28*G1277+Alternatives!$F$29*O1277</f>
        <v>4.2078159779935778</v>
      </c>
      <c r="AQ1277" s="4">
        <f t="shared" si="619"/>
        <v>0.36416137063874121</v>
      </c>
    </row>
    <row r="1278" spans="1:43" x14ac:dyDescent="0.35">
      <c r="A1278" s="2" t="s">
        <v>1132</v>
      </c>
      <c r="B1278" s="2" t="s">
        <v>865</v>
      </c>
      <c r="C1278" s="2" t="s">
        <v>34</v>
      </c>
      <c r="D1278" s="2">
        <v>135.04470000000001</v>
      </c>
      <c r="E1278" s="2">
        <v>5000</v>
      </c>
      <c r="F1278" s="2">
        <v>402</v>
      </c>
      <c r="G1278" s="2">
        <v>46.8</v>
      </c>
      <c r="H1278" s="2" t="s">
        <v>881</v>
      </c>
      <c r="I1278" s="4">
        <f t="shared" si="589"/>
        <v>4.9056058347443541</v>
      </c>
      <c r="J1278" s="4">
        <f t="shared" si="590"/>
        <v>8.5171931914162382</v>
      </c>
      <c r="K1278" s="4">
        <f t="shared" si="591"/>
        <v>5.9964520886190211</v>
      </c>
      <c r="L1278" s="2">
        <v>0</v>
      </c>
      <c r="M1278" s="2">
        <v>1</v>
      </c>
      <c r="N1278" s="4">
        <f t="shared" si="592"/>
        <v>46.8</v>
      </c>
      <c r="O1278" s="4">
        <f t="shared" si="593"/>
        <v>1</v>
      </c>
      <c r="P1278" s="4">
        <f t="shared" si="594"/>
        <v>2</v>
      </c>
      <c r="Q1278" s="4">
        <f t="shared" si="595"/>
        <v>8.5171931914162382</v>
      </c>
      <c r="R1278" s="4">
        <f t="shared" si="596"/>
        <v>5.9964520886190211</v>
      </c>
      <c r="S1278" s="4">
        <f t="shared" si="597"/>
        <v>46.8</v>
      </c>
      <c r="T1278" s="4">
        <f t="shared" si="598"/>
        <v>1</v>
      </c>
      <c r="U1278" s="4">
        <f t="shared" si="599"/>
        <v>8.5171931914162382</v>
      </c>
      <c r="V1278" s="4">
        <f t="shared" si="600"/>
        <v>5.9964520886190211</v>
      </c>
      <c r="W1278" s="4">
        <f t="shared" si="601"/>
        <v>46.8</v>
      </c>
      <c r="X1278" s="4">
        <f t="shared" si="602"/>
        <v>2</v>
      </c>
      <c r="Y1278" s="4">
        <f t="shared" si="603"/>
        <v>8.5171931914162382</v>
      </c>
      <c r="Z1278" s="4">
        <f t="shared" si="604"/>
        <v>5.9964520886190211</v>
      </c>
      <c r="AA1278" s="4">
        <f t="shared" si="605"/>
        <v>46.8</v>
      </c>
      <c r="AB1278" s="4">
        <f t="shared" si="606"/>
        <v>0</v>
      </c>
      <c r="AC1278" s="4">
        <f t="shared" si="607"/>
        <v>1</v>
      </c>
      <c r="AD1278" s="4">
        <f t="shared" si="608"/>
        <v>8.5171931914162382</v>
      </c>
      <c r="AE1278" s="4">
        <f t="shared" si="609"/>
        <v>5.9964520886190211</v>
      </c>
      <c r="AF1278" s="4">
        <f t="shared" si="610"/>
        <v>46.8</v>
      </c>
      <c r="AG1278" s="4">
        <f t="shared" si="611"/>
        <v>8.5171931914162382</v>
      </c>
      <c r="AH1278" s="4">
        <f t="shared" si="612"/>
        <v>0</v>
      </c>
      <c r="AI1278" s="4">
        <f t="shared" si="613"/>
        <v>1</v>
      </c>
      <c r="AJ1278" s="4">
        <f t="shared" si="614"/>
        <v>8.5171931914162382</v>
      </c>
      <c r="AK1278" s="4">
        <f t="shared" si="615"/>
        <v>5.9964520886190211</v>
      </c>
      <c r="AL1278" s="4">
        <f t="shared" si="616"/>
        <v>1</v>
      </c>
      <c r="AM1278" s="4">
        <f>CER!$C$7+CER!$C$8*J1278+CER!$C$9*K1278+CER!$C$10*L1278+CER!$C$11*M1278</f>
        <v>4.8975949118081488</v>
      </c>
      <c r="AN1278" s="4">
        <f t="shared" si="617"/>
        <v>133.9671890065454</v>
      </c>
      <c r="AO1278" s="4">
        <f t="shared" si="618"/>
        <v>8.0109229362053114E-3</v>
      </c>
      <c r="AP1278" s="4">
        <f>Alternatives!$F$25+Alternatives!$F$26*J1278+Alternatives!$F$27*K1278+Alternatives!$F$28*G1278+Alternatives!$F$29*O1278</f>
        <v>4.2367786328003829</v>
      </c>
      <c r="AQ1278" s="4">
        <f t="shared" si="619"/>
        <v>0.66882720194397116</v>
      </c>
    </row>
    <row r="1279" spans="1:43" x14ac:dyDescent="0.35">
      <c r="A1279" s="2" t="s">
        <v>1133</v>
      </c>
      <c r="B1279" s="2" t="s">
        <v>865</v>
      </c>
      <c r="C1279" s="2" t="s">
        <v>34</v>
      </c>
      <c r="D1279" s="2">
        <v>135.04499999999999</v>
      </c>
      <c r="E1279" s="2">
        <v>5000</v>
      </c>
      <c r="F1279" s="2">
        <v>402</v>
      </c>
      <c r="G1279" s="2">
        <v>46.8</v>
      </c>
      <c r="H1279" s="2" t="s">
        <v>881</v>
      </c>
      <c r="I1279" s="4">
        <f t="shared" si="589"/>
        <v>4.9056080562285498</v>
      </c>
      <c r="J1279" s="4">
        <f t="shared" si="590"/>
        <v>8.5171931914162382</v>
      </c>
      <c r="K1279" s="4">
        <f t="shared" si="591"/>
        <v>5.9964520886190211</v>
      </c>
      <c r="L1279" s="2">
        <v>0</v>
      </c>
      <c r="M1279" s="2">
        <v>1</v>
      </c>
      <c r="N1279" s="4">
        <f t="shared" si="592"/>
        <v>46.8</v>
      </c>
      <c r="O1279" s="4">
        <f t="shared" si="593"/>
        <v>1</v>
      </c>
      <c r="P1279" s="4">
        <f t="shared" si="594"/>
        <v>2</v>
      </c>
      <c r="Q1279" s="4">
        <f t="shared" si="595"/>
        <v>8.5171931914162382</v>
      </c>
      <c r="R1279" s="4">
        <f t="shared" si="596"/>
        <v>5.9964520886190211</v>
      </c>
      <c r="S1279" s="4">
        <f t="shared" si="597"/>
        <v>46.8</v>
      </c>
      <c r="T1279" s="4">
        <f t="shared" si="598"/>
        <v>1</v>
      </c>
      <c r="U1279" s="4">
        <f t="shared" si="599"/>
        <v>8.5171931914162382</v>
      </c>
      <c r="V1279" s="4">
        <f t="shared" si="600"/>
        <v>5.9964520886190211</v>
      </c>
      <c r="W1279" s="4">
        <f t="shared" si="601"/>
        <v>46.8</v>
      </c>
      <c r="X1279" s="4">
        <f t="shared" si="602"/>
        <v>2</v>
      </c>
      <c r="Y1279" s="4">
        <f t="shared" si="603"/>
        <v>8.5171931914162382</v>
      </c>
      <c r="Z1279" s="4">
        <f t="shared" si="604"/>
        <v>5.9964520886190211</v>
      </c>
      <c r="AA1279" s="4">
        <f t="shared" si="605"/>
        <v>46.8</v>
      </c>
      <c r="AB1279" s="4">
        <f t="shared" si="606"/>
        <v>0</v>
      </c>
      <c r="AC1279" s="4">
        <f t="shared" si="607"/>
        <v>1</v>
      </c>
      <c r="AD1279" s="4">
        <f t="shared" si="608"/>
        <v>8.5171931914162382</v>
      </c>
      <c r="AE1279" s="4">
        <f t="shared" si="609"/>
        <v>5.9964520886190211</v>
      </c>
      <c r="AF1279" s="4">
        <f t="shared" si="610"/>
        <v>46.8</v>
      </c>
      <c r="AG1279" s="4">
        <f t="shared" si="611"/>
        <v>8.5171931914162382</v>
      </c>
      <c r="AH1279" s="4">
        <f t="shared" si="612"/>
        <v>0</v>
      </c>
      <c r="AI1279" s="4">
        <f t="shared" si="613"/>
        <v>1</v>
      </c>
      <c r="AJ1279" s="4">
        <f t="shared" si="614"/>
        <v>8.5171931914162382</v>
      </c>
      <c r="AK1279" s="4">
        <f t="shared" si="615"/>
        <v>5.9964520886190211</v>
      </c>
      <c r="AL1279" s="4">
        <f t="shared" si="616"/>
        <v>1</v>
      </c>
      <c r="AM1279" s="4">
        <f>CER!$C$7+CER!$C$8*J1279+CER!$C$9*K1279+CER!$C$10*L1279+CER!$C$11*M1279</f>
        <v>4.8975949118081488</v>
      </c>
      <c r="AN1279" s="4">
        <f t="shared" si="617"/>
        <v>133.9671890065454</v>
      </c>
      <c r="AO1279" s="4">
        <f t="shared" si="618"/>
        <v>8.0131444204010194E-3</v>
      </c>
      <c r="AP1279" s="4">
        <f>Alternatives!$F$25+Alternatives!$F$26*J1279+Alternatives!$F$27*K1279+Alternatives!$F$28*G1279+Alternatives!$F$29*O1279</f>
        <v>4.2367786328003829</v>
      </c>
      <c r="AQ1279" s="4">
        <f t="shared" si="619"/>
        <v>0.66882942342816687</v>
      </c>
    </row>
    <row r="1280" spans="1:43" x14ac:dyDescent="0.35">
      <c r="A1280" s="2" t="s">
        <v>1134</v>
      </c>
      <c r="B1280" s="2" t="s">
        <v>865</v>
      </c>
      <c r="C1280" s="2" t="s">
        <v>34</v>
      </c>
      <c r="D1280" s="2">
        <v>148.80240000000001</v>
      </c>
      <c r="E1280" s="2">
        <v>4500</v>
      </c>
      <c r="F1280" s="2">
        <v>248</v>
      </c>
      <c r="G1280" s="2">
        <v>46.8</v>
      </c>
      <c r="H1280" s="2" t="s">
        <v>883</v>
      </c>
      <c r="I1280" s="4">
        <f t="shared" si="589"/>
        <v>5.0026192513011782</v>
      </c>
      <c r="J1280" s="4">
        <f t="shared" si="590"/>
        <v>8.4118326757584114</v>
      </c>
      <c r="K1280" s="4">
        <f t="shared" si="591"/>
        <v>5.5134287461649825</v>
      </c>
      <c r="L1280" s="2">
        <v>0</v>
      </c>
      <c r="M1280" s="2">
        <v>1</v>
      </c>
      <c r="N1280" s="4">
        <f t="shared" si="592"/>
        <v>46.8</v>
      </c>
      <c r="O1280" s="4">
        <f t="shared" si="593"/>
        <v>1</v>
      </c>
      <c r="P1280" s="4">
        <f t="shared" si="594"/>
        <v>2</v>
      </c>
      <c r="Q1280" s="4">
        <f t="shared" si="595"/>
        <v>8.4118326757584114</v>
      </c>
      <c r="R1280" s="4">
        <f t="shared" si="596"/>
        <v>5.5134287461649825</v>
      </c>
      <c r="S1280" s="4">
        <f t="shared" si="597"/>
        <v>46.8</v>
      </c>
      <c r="T1280" s="4">
        <f t="shared" si="598"/>
        <v>1</v>
      </c>
      <c r="U1280" s="4">
        <f t="shared" si="599"/>
        <v>8.4118326757584114</v>
      </c>
      <c r="V1280" s="4">
        <f t="shared" si="600"/>
        <v>5.5134287461649825</v>
      </c>
      <c r="W1280" s="4">
        <f t="shared" si="601"/>
        <v>46.8</v>
      </c>
      <c r="X1280" s="4">
        <f t="shared" si="602"/>
        <v>2</v>
      </c>
      <c r="Y1280" s="4">
        <f t="shared" si="603"/>
        <v>8.4118326757584114</v>
      </c>
      <c r="Z1280" s="4">
        <f t="shared" si="604"/>
        <v>5.5134287461649825</v>
      </c>
      <c r="AA1280" s="4">
        <f t="shared" si="605"/>
        <v>46.8</v>
      </c>
      <c r="AB1280" s="4">
        <f t="shared" si="606"/>
        <v>0</v>
      </c>
      <c r="AC1280" s="4">
        <f t="shared" si="607"/>
        <v>1</v>
      </c>
      <c r="AD1280" s="4">
        <f t="shared" si="608"/>
        <v>8.4118326757584114</v>
      </c>
      <c r="AE1280" s="4">
        <f t="shared" si="609"/>
        <v>5.5134287461649825</v>
      </c>
      <c r="AF1280" s="4">
        <f t="shared" si="610"/>
        <v>46.8</v>
      </c>
      <c r="AG1280" s="4">
        <f t="shared" si="611"/>
        <v>8.4118326757584114</v>
      </c>
      <c r="AH1280" s="4">
        <f t="shared" si="612"/>
        <v>0</v>
      </c>
      <c r="AI1280" s="4">
        <f t="shared" si="613"/>
        <v>1</v>
      </c>
      <c r="AJ1280" s="4">
        <f t="shared" si="614"/>
        <v>8.4118326757584114</v>
      </c>
      <c r="AK1280" s="4">
        <f t="shared" si="615"/>
        <v>5.5134287461649825</v>
      </c>
      <c r="AL1280" s="4">
        <f t="shared" si="616"/>
        <v>1</v>
      </c>
      <c r="AM1280" s="4">
        <f>CER!$C$7+CER!$C$8*J1280+CER!$C$9*K1280+CER!$C$10*L1280+CER!$C$11*M1280</f>
        <v>5.1235010039445079</v>
      </c>
      <c r="AN1280" s="4">
        <f t="shared" si="617"/>
        <v>167.92223812523864</v>
      </c>
      <c r="AO1280" s="4">
        <f t="shared" si="618"/>
        <v>-0.12088175264332968</v>
      </c>
      <c r="AP1280" s="4">
        <f>Alternatives!$F$25+Alternatives!$F$26*J1280+Alternatives!$F$27*K1280+Alternatives!$F$28*G1280+Alternatives!$F$29*O1280</f>
        <v>4.3263235094707531</v>
      </c>
      <c r="AQ1280" s="4">
        <f t="shared" si="619"/>
        <v>0.67629574183042518</v>
      </c>
    </row>
    <row r="1281" spans="1:43" x14ac:dyDescent="0.35">
      <c r="A1281" s="2" t="s">
        <v>1135</v>
      </c>
      <c r="B1281" s="2" t="s">
        <v>865</v>
      </c>
      <c r="C1281" s="2" t="s">
        <v>34</v>
      </c>
      <c r="D1281" s="2">
        <v>152.8434</v>
      </c>
      <c r="E1281" s="2">
        <v>4500</v>
      </c>
      <c r="F1281" s="2">
        <v>248</v>
      </c>
      <c r="G1281" s="2">
        <v>46.8</v>
      </c>
      <c r="H1281" s="2" t="s">
        <v>883</v>
      </c>
      <c r="I1281" s="4">
        <f t="shared" si="589"/>
        <v>5.0294138678167473</v>
      </c>
      <c r="J1281" s="4">
        <f t="shared" si="590"/>
        <v>8.4118326757584114</v>
      </c>
      <c r="K1281" s="4">
        <f t="shared" si="591"/>
        <v>5.5134287461649825</v>
      </c>
      <c r="L1281" s="2">
        <v>0</v>
      </c>
      <c r="M1281" s="2">
        <v>1</v>
      </c>
      <c r="N1281" s="4">
        <f t="shared" si="592"/>
        <v>46.8</v>
      </c>
      <c r="O1281" s="4">
        <f t="shared" si="593"/>
        <v>1</v>
      </c>
      <c r="P1281" s="4">
        <f t="shared" si="594"/>
        <v>2</v>
      </c>
      <c r="Q1281" s="4">
        <f t="shared" si="595"/>
        <v>8.4118326757584114</v>
      </c>
      <c r="R1281" s="4">
        <f t="shared" si="596"/>
        <v>5.5134287461649825</v>
      </c>
      <c r="S1281" s="4">
        <f t="shared" si="597"/>
        <v>46.8</v>
      </c>
      <c r="T1281" s="4">
        <f t="shared" si="598"/>
        <v>1</v>
      </c>
      <c r="U1281" s="4">
        <f t="shared" si="599"/>
        <v>8.4118326757584114</v>
      </c>
      <c r="V1281" s="4">
        <f t="shared" si="600"/>
        <v>5.5134287461649825</v>
      </c>
      <c r="W1281" s="4">
        <f t="shared" si="601"/>
        <v>46.8</v>
      </c>
      <c r="X1281" s="4">
        <f t="shared" si="602"/>
        <v>2</v>
      </c>
      <c r="Y1281" s="4">
        <f t="shared" si="603"/>
        <v>8.4118326757584114</v>
      </c>
      <c r="Z1281" s="4">
        <f t="shared" si="604"/>
        <v>5.5134287461649825</v>
      </c>
      <c r="AA1281" s="4">
        <f t="shared" si="605"/>
        <v>46.8</v>
      </c>
      <c r="AB1281" s="4">
        <f t="shared" si="606"/>
        <v>0</v>
      </c>
      <c r="AC1281" s="4">
        <f t="shared" si="607"/>
        <v>1</v>
      </c>
      <c r="AD1281" s="4">
        <f t="shared" si="608"/>
        <v>8.4118326757584114</v>
      </c>
      <c r="AE1281" s="4">
        <f t="shared" si="609"/>
        <v>5.5134287461649825</v>
      </c>
      <c r="AF1281" s="4">
        <f t="shared" si="610"/>
        <v>46.8</v>
      </c>
      <c r="AG1281" s="4">
        <f t="shared" si="611"/>
        <v>8.4118326757584114</v>
      </c>
      <c r="AH1281" s="4">
        <f t="shared" si="612"/>
        <v>0</v>
      </c>
      <c r="AI1281" s="4">
        <f t="shared" si="613"/>
        <v>1</v>
      </c>
      <c r="AJ1281" s="4">
        <f t="shared" si="614"/>
        <v>8.4118326757584114</v>
      </c>
      <c r="AK1281" s="4">
        <f t="shared" si="615"/>
        <v>5.5134287461649825</v>
      </c>
      <c r="AL1281" s="4">
        <f t="shared" si="616"/>
        <v>1</v>
      </c>
      <c r="AM1281" s="4">
        <f>CER!$C$7+CER!$C$8*J1281+CER!$C$9*K1281+CER!$C$10*L1281+CER!$C$11*M1281</f>
        <v>5.1235010039445079</v>
      </c>
      <c r="AN1281" s="4">
        <f t="shared" si="617"/>
        <v>167.92223812523864</v>
      </c>
      <c r="AO1281" s="4">
        <f t="shared" si="618"/>
        <v>-9.4087136127760651E-2</v>
      </c>
      <c r="AP1281" s="4">
        <f>Alternatives!$F$25+Alternatives!$F$26*J1281+Alternatives!$F$27*K1281+Alternatives!$F$28*G1281+Alternatives!$F$29*O1281</f>
        <v>4.3263235094707531</v>
      </c>
      <c r="AQ1281" s="4">
        <f t="shared" si="619"/>
        <v>0.7030903583459942</v>
      </c>
    </row>
    <row r="1282" spans="1:43" x14ac:dyDescent="0.35">
      <c r="A1282" s="2" t="s">
        <v>1136</v>
      </c>
      <c r="B1282" s="2" t="s">
        <v>865</v>
      </c>
      <c r="C1282" s="2" t="s">
        <v>34</v>
      </c>
      <c r="D1282" s="2">
        <v>144.10400000000001</v>
      </c>
      <c r="E1282" s="2">
        <v>5000</v>
      </c>
      <c r="F1282" s="2">
        <v>402</v>
      </c>
      <c r="G1282" s="2">
        <v>47</v>
      </c>
      <c r="H1282" s="2" t="s">
        <v>911</v>
      </c>
      <c r="I1282" s="4">
        <f t="shared" si="589"/>
        <v>4.970535261121257</v>
      </c>
      <c r="J1282" s="4">
        <f t="shared" si="590"/>
        <v>8.5171931914162382</v>
      </c>
      <c r="K1282" s="4">
        <f t="shared" si="591"/>
        <v>5.9964520886190211</v>
      </c>
      <c r="L1282" s="2">
        <v>0</v>
      </c>
      <c r="M1282" s="2">
        <v>1</v>
      </c>
      <c r="N1282" s="4">
        <f t="shared" si="592"/>
        <v>47</v>
      </c>
      <c r="O1282" s="4">
        <f t="shared" si="593"/>
        <v>1</v>
      </c>
      <c r="P1282" s="4">
        <f t="shared" si="594"/>
        <v>2</v>
      </c>
      <c r="Q1282" s="4">
        <f t="shared" si="595"/>
        <v>8.5171931914162382</v>
      </c>
      <c r="R1282" s="4">
        <f t="shared" si="596"/>
        <v>5.9964520886190211</v>
      </c>
      <c r="S1282" s="4">
        <f t="shared" si="597"/>
        <v>47</v>
      </c>
      <c r="T1282" s="4">
        <f t="shared" si="598"/>
        <v>1</v>
      </c>
      <c r="U1282" s="4">
        <f t="shared" si="599"/>
        <v>8.5171931914162382</v>
      </c>
      <c r="V1282" s="4">
        <f t="shared" si="600"/>
        <v>5.9964520886190211</v>
      </c>
      <c r="W1282" s="4">
        <f t="shared" si="601"/>
        <v>47</v>
      </c>
      <c r="X1282" s="4">
        <f t="shared" si="602"/>
        <v>2</v>
      </c>
      <c r="Y1282" s="4">
        <f t="shared" si="603"/>
        <v>8.5171931914162382</v>
      </c>
      <c r="Z1282" s="4">
        <f t="shared" si="604"/>
        <v>5.9964520886190211</v>
      </c>
      <c r="AA1282" s="4">
        <f t="shared" si="605"/>
        <v>47</v>
      </c>
      <c r="AB1282" s="4">
        <f t="shared" si="606"/>
        <v>0</v>
      </c>
      <c r="AC1282" s="4">
        <f t="shared" si="607"/>
        <v>1</v>
      </c>
      <c r="AD1282" s="4">
        <f t="shared" si="608"/>
        <v>8.5171931914162382</v>
      </c>
      <c r="AE1282" s="4">
        <f t="shared" si="609"/>
        <v>5.9964520886190211</v>
      </c>
      <c r="AF1282" s="4">
        <f t="shared" si="610"/>
        <v>47</v>
      </c>
      <c r="AG1282" s="4">
        <f t="shared" si="611"/>
        <v>8.5171931914162382</v>
      </c>
      <c r="AH1282" s="4">
        <f t="shared" si="612"/>
        <v>0</v>
      </c>
      <c r="AI1282" s="4">
        <f t="shared" si="613"/>
        <v>1</v>
      </c>
      <c r="AJ1282" s="4">
        <f t="shared" si="614"/>
        <v>8.5171931914162382</v>
      </c>
      <c r="AK1282" s="4">
        <f t="shared" si="615"/>
        <v>5.9964520886190211</v>
      </c>
      <c r="AL1282" s="4">
        <f t="shared" si="616"/>
        <v>1</v>
      </c>
      <c r="AM1282" s="4">
        <f>CER!$C$7+CER!$C$8*J1282+CER!$C$9*K1282+CER!$C$10*L1282+CER!$C$11*M1282</f>
        <v>4.8975949118081488</v>
      </c>
      <c r="AN1282" s="4">
        <f t="shared" ref="AN1282:AN1345" si="620">EXP(AM1282)</f>
        <v>133.9671890065454</v>
      </c>
      <c r="AO1282" s="4">
        <f t="shared" si="618"/>
        <v>7.2940349313108221E-2</v>
      </c>
      <c r="AP1282" s="4">
        <f>Alternatives!$F$25+Alternatives!$F$26*J1282+Alternatives!$F$27*K1282+Alternatives!$F$28*G1282+Alternatives!$F$29*O1282</f>
        <v>4.2341771698919377</v>
      </c>
      <c r="AQ1282" s="4">
        <f t="shared" ref="AQ1282:AQ1345" si="621">I1282-AP1282</f>
        <v>0.73635809122931928</v>
      </c>
    </row>
    <row r="1283" spans="1:43" x14ac:dyDescent="0.35">
      <c r="A1283" s="2" t="s">
        <v>1137</v>
      </c>
      <c r="B1283" s="2" t="s">
        <v>865</v>
      </c>
      <c r="C1283" s="2" t="s">
        <v>34</v>
      </c>
      <c r="D1283" s="2">
        <v>144.10400000000001</v>
      </c>
      <c r="E1283" s="2">
        <v>5000</v>
      </c>
      <c r="F1283" s="2">
        <v>402</v>
      </c>
      <c r="G1283" s="2">
        <v>47</v>
      </c>
      <c r="H1283" s="2" t="s">
        <v>911</v>
      </c>
      <c r="I1283" s="4">
        <f t="shared" si="589"/>
        <v>4.970535261121257</v>
      </c>
      <c r="J1283" s="4">
        <f t="shared" si="590"/>
        <v>8.5171931914162382</v>
      </c>
      <c r="K1283" s="4">
        <f t="shared" si="591"/>
        <v>5.9964520886190211</v>
      </c>
      <c r="L1283" s="2">
        <v>0</v>
      </c>
      <c r="M1283" s="2">
        <v>1</v>
      </c>
      <c r="N1283" s="4">
        <f t="shared" si="592"/>
        <v>47</v>
      </c>
      <c r="O1283" s="4">
        <f t="shared" si="593"/>
        <v>1</v>
      </c>
      <c r="P1283" s="4">
        <f t="shared" si="594"/>
        <v>2</v>
      </c>
      <c r="Q1283" s="4">
        <f t="shared" si="595"/>
        <v>8.5171931914162382</v>
      </c>
      <c r="R1283" s="4">
        <f t="shared" si="596"/>
        <v>5.9964520886190211</v>
      </c>
      <c r="S1283" s="4">
        <f t="shared" si="597"/>
        <v>47</v>
      </c>
      <c r="T1283" s="4">
        <f t="shared" si="598"/>
        <v>1</v>
      </c>
      <c r="U1283" s="4">
        <f t="shared" si="599"/>
        <v>8.5171931914162382</v>
      </c>
      <c r="V1283" s="4">
        <f t="shared" si="600"/>
        <v>5.9964520886190211</v>
      </c>
      <c r="W1283" s="4">
        <f t="shared" si="601"/>
        <v>47</v>
      </c>
      <c r="X1283" s="4">
        <f t="shared" si="602"/>
        <v>2</v>
      </c>
      <c r="Y1283" s="4">
        <f t="shared" si="603"/>
        <v>8.5171931914162382</v>
      </c>
      <c r="Z1283" s="4">
        <f t="shared" si="604"/>
        <v>5.9964520886190211</v>
      </c>
      <c r="AA1283" s="4">
        <f t="shared" si="605"/>
        <v>47</v>
      </c>
      <c r="AB1283" s="4">
        <f t="shared" si="606"/>
        <v>0</v>
      </c>
      <c r="AC1283" s="4">
        <f t="shared" si="607"/>
        <v>1</v>
      </c>
      <c r="AD1283" s="4">
        <f t="shared" si="608"/>
        <v>8.5171931914162382</v>
      </c>
      <c r="AE1283" s="4">
        <f t="shared" si="609"/>
        <v>5.9964520886190211</v>
      </c>
      <c r="AF1283" s="4">
        <f t="shared" si="610"/>
        <v>47</v>
      </c>
      <c r="AG1283" s="4">
        <f t="shared" si="611"/>
        <v>8.5171931914162382</v>
      </c>
      <c r="AH1283" s="4">
        <f t="shared" si="612"/>
        <v>0</v>
      </c>
      <c r="AI1283" s="4">
        <f t="shared" si="613"/>
        <v>1</v>
      </c>
      <c r="AJ1283" s="4">
        <f t="shared" si="614"/>
        <v>8.5171931914162382</v>
      </c>
      <c r="AK1283" s="4">
        <f t="shared" si="615"/>
        <v>5.9964520886190211</v>
      </c>
      <c r="AL1283" s="4">
        <f t="shared" si="616"/>
        <v>1</v>
      </c>
      <c r="AM1283" s="4">
        <f>CER!$C$7+CER!$C$8*J1283+CER!$C$9*K1283+CER!$C$10*L1283+CER!$C$11*M1283</f>
        <v>4.8975949118081488</v>
      </c>
      <c r="AN1283" s="4">
        <f t="shared" si="620"/>
        <v>133.9671890065454</v>
      </c>
      <c r="AO1283" s="4">
        <f t="shared" si="618"/>
        <v>7.2940349313108221E-2</v>
      </c>
      <c r="AP1283" s="4">
        <f>Alternatives!$F$25+Alternatives!$F$26*J1283+Alternatives!$F$27*K1283+Alternatives!$F$28*G1283+Alternatives!$F$29*O1283</f>
        <v>4.2341771698919377</v>
      </c>
      <c r="AQ1283" s="4">
        <f t="shared" si="621"/>
        <v>0.73635809122931928</v>
      </c>
    </row>
    <row r="1284" spans="1:43" x14ac:dyDescent="0.35">
      <c r="A1284" s="2" t="s">
        <v>1138</v>
      </c>
      <c r="B1284" s="2" t="s">
        <v>865</v>
      </c>
      <c r="C1284" s="2" t="s">
        <v>34</v>
      </c>
      <c r="D1284" s="2">
        <v>159.60079999999999</v>
      </c>
      <c r="E1284" s="2">
        <v>4500</v>
      </c>
      <c r="F1284" s="2">
        <v>348.5</v>
      </c>
      <c r="G1284" s="2">
        <v>47</v>
      </c>
      <c r="H1284" s="2" t="s">
        <v>924</v>
      </c>
      <c r="I1284" s="4">
        <f t="shared" si="589"/>
        <v>5.072675697534474</v>
      </c>
      <c r="J1284" s="4">
        <f t="shared" si="590"/>
        <v>8.4118326757584114</v>
      </c>
      <c r="K1284" s="4">
        <f t="shared" si="591"/>
        <v>5.8536382302005787</v>
      </c>
      <c r="L1284" s="2">
        <v>0</v>
      </c>
      <c r="M1284" s="2">
        <v>1</v>
      </c>
      <c r="N1284" s="4">
        <f t="shared" si="592"/>
        <v>47</v>
      </c>
      <c r="O1284" s="4">
        <f t="shared" si="593"/>
        <v>1</v>
      </c>
      <c r="P1284" s="4">
        <f t="shared" si="594"/>
        <v>2</v>
      </c>
      <c r="Q1284" s="4">
        <f t="shared" si="595"/>
        <v>8.4118326757584114</v>
      </c>
      <c r="R1284" s="4">
        <f t="shared" si="596"/>
        <v>5.8536382302005787</v>
      </c>
      <c r="S1284" s="4">
        <f t="shared" si="597"/>
        <v>47</v>
      </c>
      <c r="T1284" s="4">
        <f t="shared" si="598"/>
        <v>1</v>
      </c>
      <c r="U1284" s="4">
        <f t="shared" si="599"/>
        <v>8.4118326757584114</v>
      </c>
      <c r="V1284" s="4">
        <f t="shared" si="600"/>
        <v>5.8536382302005787</v>
      </c>
      <c r="W1284" s="4">
        <f t="shared" si="601"/>
        <v>47</v>
      </c>
      <c r="X1284" s="4">
        <f t="shared" si="602"/>
        <v>2</v>
      </c>
      <c r="Y1284" s="4">
        <f t="shared" si="603"/>
        <v>8.4118326757584114</v>
      </c>
      <c r="Z1284" s="4">
        <f t="shared" si="604"/>
        <v>5.8536382302005787</v>
      </c>
      <c r="AA1284" s="4">
        <f t="shared" si="605"/>
        <v>47</v>
      </c>
      <c r="AB1284" s="4">
        <f t="shared" si="606"/>
        <v>0</v>
      </c>
      <c r="AC1284" s="4">
        <f t="shared" si="607"/>
        <v>1</v>
      </c>
      <c r="AD1284" s="4">
        <f t="shared" si="608"/>
        <v>8.4118326757584114</v>
      </c>
      <c r="AE1284" s="4">
        <f t="shared" si="609"/>
        <v>5.8536382302005787</v>
      </c>
      <c r="AF1284" s="4">
        <f t="shared" si="610"/>
        <v>47</v>
      </c>
      <c r="AG1284" s="4">
        <f t="shared" si="611"/>
        <v>8.4118326757584114</v>
      </c>
      <c r="AH1284" s="4">
        <f t="shared" si="612"/>
        <v>0</v>
      </c>
      <c r="AI1284" s="4">
        <f t="shared" si="613"/>
        <v>1</v>
      </c>
      <c r="AJ1284" s="4">
        <f t="shared" si="614"/>
        <v>8.4118326757584114</v>
      </c>
      <c r="AK1284" s="4">
        <f t="shared" si="615"/>
        <v>5.8536382302005787</v>
      </c>
      <c r="AL1284" s="4">
        <f t="shared" si="616"/>
        <v>1</v>
      </c>
      <c r="AM1284" s="4">
        <f>CER!$C$7+CER!$C$8*J1284+CER!$C$9*K1284+CER!$C$10*L1284+CER!$C$11*M1284</f>
        <v>4.9979828534115054</v>
      </c>
      <c r="AN1284" s="4">
        <f t="shared" si="620"/>
        <v>148.11408973978402</v>
      </c>
      <c r="AO1284" s="4">
        <f t="shared" si="618"/>
        <v>7.4692844122968616E-2</v>
      </c>
      <c r="AP1284" s="4">
        <f>Alternatives!$F$25+Alternatives!$F$26*J1284+Alternatives!$F$27*K1284+Alternatives!$F$28*G1284+Alternatives!$F$29*O1284</f>
        <v>4.2331889116830048</v>
      </c>
      <c r="AQ1284" s="4">
        <f t="shared" si="621"/>
        <v>0.83948678585146919</v>
      </c>
    </row>
    <row r="1285" spans="1:43" x14ac:dyDescent="0.35">
      <c r="A1285" s="2" t="s">
        <v>1139</v>
      </c>
      <c r="B1285" s="2" t="s">
        <v>865</v>
      </c>
      <c r="C1285" s="2" t="s">
        <v>34</v>
      </c>
      <c r="D1285" s="2">
        <v>144.10400000000001</v>
      </c>
      <c r="E1285" s="2">
        <v>5000</v>
      </c>
      <c r="F1285" s="2">
        <v>402</v>
      </c>
      <c r="G1285" s="2">
        <v>47</v>
      </c>
      <c r="H1285" s="2" t="s">
        <v>911</v>
      </c>
      <c r="I1285" s="4">
        <f t="shared" si="589"/>
        <v>4.970535261121257</v>
      </c>
      <c r="J1285" s="4">
        <f t="shared" si="590"/>
        <v>8.5171931914162382</v>
      </c>
      <c r="K1285" s="4">
        <f t="shared" si="591"/>
        <v>5.9964520886190211</v>
      </c>
      <c r="L1285" s="2">
        <v>0</v>
      </c>
      <c r="M1285" s="2">
        <v>1</v>
      </c>
      <c r="N1285" s="4">
        <f t="shared" si="592"/>
        <v>47</v>
      </c>
      <c r="O1285" s="4">
        <f t="shared" si="593"/>
        <v>1</v>
      </c>
      <c r="P1285" s="4">
        <f t="shared" si="594"/>
        <v>2</v>
      </c>
      <c r="Q1285" s="4">
        <f t="shared" si="595"/>
        <v>8.5171931914162382</v>
      </c>
      <c r="R1285" s="4">
        <f t="shared" si="596"/>
        <v>5.9964520886190211</v>
      </c>
      <c r="S1285" s="4">
        <f t="shared" si="597"/>
        <v>47</v>
      </c>
      <c r="T1285" s="4">
        <f t="shared" si="598"/>
        <v>1</v>
      </c>
      <c r="U1285" s="4">
        <f t="shared" si="599"/>
        <v>8.5171931914162382</v>
      </c>
      <c r="V1285" s="4">
        <f t="shared" si="600"/>
        <v>5.9964520886190211</v>
      </c>
      <c r="W1285" s="4">
        <f t="shared" si="601"/>
        <v>47</v>
      </c>
      <c r="X1285" s="4">
        <f t="shared" si="602"/>
        <v>2</v>
      </c>
      <c r="Y1285" s="4">
        <f t="shared" si="603"/>
        <v>8.5171931914162382</v>
      </c>
      <c r="Z1285" s="4">
        <f t="shared" si="604"/>
        <v>5.9964520886190211</v>
      </c>
      <c r="AA1285" s="4">
        <f t="shared" si="605"/>
        <v>47</v>
      </c>
      <c r="AB1285" s="4">
        <f t="shared" si="606"/>
        <v>0</v>
      </c>
      <c r="AC1285" s="4">
        <f t="shared" si="607"/>
        <v>1</v>
      </c>
      <c r="AD1285" s="4">
        <f t="shared" si="608"/>
        <v>8.5171931914162382</v>
      </c>
      <c r="AE1285" s="4">
        <f t="shared" si="609"/>
        <v>5.9964520886190211</v>
      </c>
      <c r="AF1285" s="4">
        <f t="shared" si="610"/>
        <v>47</v>
      </c>
      <c r="AG1285" s="4">
        <f t="shared" si="611"/>
        <v>8.5171931914162382</v>
      </c>
      <c r="AH1285" s="4">
        <f t="shared" si="612"/>
        <v>0</v>
      </c>
      <c r="AI1285" s="4">
        <f t="shared" si="613"/>
        <v>1</v>
      </c>
      <c r="AJ1285" s="4">
        <f t="shared" si="614"/>
        <v>8.5171931914162382</v>
      </c>
      <c r="AK1285" s="4">
        <f t="shared" si="615"/>
        <v>5.9964520886190211</v>
      </c>
      <c r="AL1285" s="4">
        <f t="shared" si="616"/>
        <v>1</v>
      </c>
      <c r="AM1285" s="4">
        <f>CER!$C$7+CER!$C$8*J1285+CER!$C$9*K1285+CER!$C$10*L1285+CER!$C$11*M1285</f>
        <v>4.8975949118081488</v>
      </c>
      <c r="AN1285" s="4">
        <f t="shared" si="620"/>
        <v>133.9671890065454</v>
      </c>
      <c r="AO1285" s="4">
        <f t="shared" si="618"/>
        <v>7.2940349313108221E-2</v>
      </c>
      <c r="AP1285" s="4">
        <f>Alternatives!$F$25+Alternatives!$F$26*J1285+Alternatives!$F$27*K1285+Alternatives!$F$28*G1285+Alternatives!$F$29*O1285</f>
        <v>4.2341771698919377</v>
      </c>
      <c r="AQ1285" s="4">
        <f t="shared" si="621"/>
        <v>0.73635809122931928</v>
      </c>
    </row>
    <row r="1286" spans="1:43" x14ac:dyDescent="0.35">
      <c r="A1286" s="2" t="s">
        <v>1140</v>
      </c>
      <c r="B1286" s="2" t="s">
        <v>865</v>
      </c>
      <c r="C1286" s="2" t="s">
        <v>34</v>
      </c>
      <c r="D1286" s="2">
        <v>159.60079999999999</v>
      </c>
      <c r="E1286" s="2">
        <v>4500</v>
      </c>
      <c r="F1286" s="2">
        <v>348.5</v>
      </c>
      <c r="G1286" s="2">
        <v>47</v>
      </c>
      <c r="H1286" s="2" t="s">
        <v>924</v>
      </c>
      <c r="I1286" s="4">
        <f t="shared" si="589"/>
        <v>5.072675697534474</v>
      </c>
      <c r="J1286" s="4">
        <f t="shared" si="590"/>
        <v>8.4118326757584114</v>
      </c>
      <c r="K1286" s="4">
        <f t="shared" si="591"/>
        <v>5.8536382302005787</v>
      </c>
      <c r="L1286" s="2">
        <v>0</v>
      </c>
      <c r="M1286" s="2">
        <v>1</v>
      </c>
      <c r="N1286" s="4">
        <f t="shared" si="592"/>
        <v>47</v>
      </c>
      <c r="O1286" s="4">
        <f t="shared" si="593"/>
        <v>1</v>
      </c>
      <c r="P1286" s="4">
        <f t="shared" si="594"/>
        <v>2</v>
      </c>
      <c r="Q1286" s="4">
        <f t="shared" si="595"/>
        <v>8.4118326757584114</v>
      </c>
      <c r="R1286" s="4">
        <f t="shared" si="596"/>
        <v>5.8536382302005787</v>
      </c>
      <c r="S1286" s="4">
        <f t="shared" si="597"/>
        <v>47</v>
      </c>
      <c r="T1286" s="4">
        <f t="shared" si="598"/>
        <v>1</v>
      </c>
      <c r="U1286" s="4">
        <f t="shared" si="599"/>
        <v>8.4118326757584114</v>
      </c>
      <c r="V1286" s="4">
        <f t="shared" si="600"/>
        <v>5.8536382302005787</v>
      </c>
      <c r="W1286" s="4">
        <f t="shared" si="601"/>
        <v>47</v>
      </c>
      <c r="X1286" s="4">
        <f t="shared" si="602"/>
        <v>2</v>
      </c>
      <c r="Y1286" s="4">
        <f t="shared" si="603"/>
        <v>8.4118326757584114</v>
      </c>
      <c r="Z1286" s="4">
        <f t="shared" si="604"/>
        <v>5.8536382302005787</v>
      </c>
      <c r="AA1286" s="4">
        <f t="shared" si="605"/>
        <v>47</v>
      </c>
      <c r="AB1286" s="4">
        <f t="shared" si="606"/>
        <v>0</v>
      </c>
      <c r="AC1286" s="4">
        <f t="shared" si="607"/>
        <v>1</v>
      </c>
      <c r="AD1286" s="4">
        <f t="shared" si="608"/>
        <v>8.4118326757584114</v>
      </c>
      <c r="AE1286" s="4">
        <f t="shared" si="609"/>
        <v>5.8536382302005787</v>
      </c>
      <c r="AF1286" s="4">
        <f t="shared" si="610"/>
        <v>47</v>
      </c>
      <c r="AG1286" s="4">
        <f t="shared" si="611"/>
        <v>8.4118326757584114</v>
      </c>
      <c r="AH1286" s="4">
        <f t="shared" si="612"/>
        <v>0</v>
      </c>
      <c r="AI1286" s="4">
        <f t="shared" si="613"/>
        <v>1</v>
      </c>
      <c r="AJ1286" s="4">
        <f t="shared" si="614"/>
        <v>8.4118326757584114</v>
      </c>
      <c r="AK1286" s="4">
        <f t="shared" si="615"/>
        <v>5.8536382302005787</v>
      </c>
      <c r="AL1286" s="4">
        <f t="shared" si="616"/>
        <v>1</v>
      </c>
      <c r="AM1286" s="4">
        <f>CER!$C$7+CER!$C$8*J1286+CER!$C$9*K1286+CER!$C$10*L1286+CER!$C$11*M1286</f>
        <v>4.9979828534115054</v>
      </c>
      <c r="AN1286" s="4">
        <f t="shared" si="620"/>
        <v>148.11408973978402</v>
      </c>
      <c r="AO1286" s="4">
        <f t="shared" si="618"/>
        <v>7.4692844122968616E-2</v>
      </c>
      <c r="AP1286" s="4">
        <f>Alternatives!$F$25+Alternatives!$F$26*J1286+Alternatives!$F$27*K1286+Alternatives!$F$28*G1286+Alternatives!$F$29*O1286</f>
        <v>4.2331889116830048</v>
      </c>
      <c r="AQ1286" s="4">
        <f t="shared" si="621"/>
        <v>0.83948678585146919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26"/>
  <sheetViews>
    <sheetView workbookViewId="0">
      <pane xSplit="1" ySplit="1" topLeftCell="B2" activePane="bottomRight" state="frozen"/>
      <selection pane="topRight"/>
      <selection pane="bottomLeft"/>
      <selection pane="bottomRight"/>
    </sheetView>
  </sheetViews>
  <sheetFormatPr defaultRowHeight="14.5" x14ac:dyDescent="0.35"/>
  <cols>
    <col min="1" max="1" width="34" customWidth="1"/>
    <col min="2" max="2" width="12" customWidth="1"/>
    <col min="3" max="3" width="10" customWidth="1"/>
    <col min="4" max="6" width="11" customWidth="1"/>
    <col min="7" max="7" width="8" customWidth="1"/>
    <col min="8" max="12" width="11" customWidth="1"/>
  </cols>
  <sheetData>
    <row r="1" spans="1:12" x14ac:dyDescent="0.35">
      <c r="A1" s="3" t="s">
        <v>22</v>
      </c>
      <c r="B1" s="3" t="s">
        <v>24</v>
      </c>
      <c r="C1" s="3" t="s">
        <v>1141</v>
      </c>
      <c r="D1" s="3" t="s">
        <v>26</v>
      </c>
      <c r="E1" s="3" t="s">
        <v>27</v>
      </c>
      <c r="F1" s="3" t="s">
        <v>28</v>
      </c>
      <c r="G1" s="3" t="s">
        <v>33</v>
      </c>
      <c r="H1" s="3" t="s">
        <v>30</v>
      </c>
      <c r="I1" s="3" t="s">
        <v>31</v>
      </c>
      <c r="J1" s="3" t="s">
        <v>32</v>
      </c>
      <c r="K1" s="3" t="s">
        <v>1142</v>
      </c>
      <c r="L1" s="3" t="s">
        <v>1143</v>
      </c>
    </row>
    <row r="2" spans="1:12" x14ac:dyDescent="0.35">
      <c r="A2" s="2" t="s">
        <v>65</v>
      </c>
      <c r="B2" s="2" t="s">
        <v>67</v>
      </c>
      <c r="C2" s="2">
        <v>22.472899999999999</v>
      </c>
      <c r="D2" s="2">
        <v>4500</v>
      </c>
      <c r="E2" s="2">
        <v>680</v>
      </c>
      <c r="F2" s="2">
        <v>50</v>
      </c>
      <c r="G2" s="2">
        <v>0</v>
      </c>
      <c r="H2" s="4">
        <f t="shared" ref="H2:H65" si="0">LN(C2)</f>
        <v>3.1123101388397698</v>
      </c>
      <c r="I2" s="4">
        <f t="shared" ref="I2:I65" si="1">LN(D2)</f>
        <v>8.4118326757584114</v>
      </c>
      <c r="J2" s="4">
        <f t="shared" ref="J2:J65" si="2">LN(E2)</f>
        <v>6.522092798170152</v>
      </c>
      <c r="K2" s="4">
        <f t="shared" ref="K2:K65" si="3">F2</f>
        <v>50</v>
      </c>
      <c r="L2" s="4">
        <f t="shared" ref="L2:L65" si="4">G2</f>
        <v>0</v>
      </c>
    </row>
    <row r="3" spans="1:12" x14ac:dyDescent="0.35">
      <c r="A3" s="2" t="s">
        <v>69</v>
      </c>
      <c r="B3" s="2" t="s">
        <v>67</v>
      </c>
      <c r="C3" s="2">
        <v>18.362400000000001</v>
      </c>
      <c r="D3" s="2">
        <v>4000</v>
      </c>
      <c r="E3" s="2">
        <v>715</v>
      </c>
      <c r="F3" s="2">
        <v>48.2</v>
      </c>
      <c r="G3" s="2">
        <v>0</v>
      </c>
      <c r="H3" s="4">
        <f t="shared" si="0"/>
        <v>2.9103050956036149</v>
      </c>
      <c r="I3" s="4">
        <f t="shared" si="1"/>
        <v>8.2940496401020276</v>
      </c>
      <c r="J3" s="4">
        <f t="shared" si="2"/>
        <v>6.5722825426940075</v>
      </c>
      <c r="K3" s="4">
        <f t="shared" si="3"/>
        <v>48.2</v>
      </c>
      <c r="L3" s="4">
        <f t="shared" si="4"/>
        <v>0</v>
      </c>
    </row>
    <row r="4" spans="1:12" x14ac:dyDescent="0.35">
      <c r="A4" s="2" t="s">
        <v>70</v>
      </c>
      <c r="B4" s="2" t="s">
        <v>67</v>
      </c>
      <c r="C4" s="2">
        <v>20.666499999999999</v>
      </c>
      <c r="D4" s="2">
        <v>5500</v>
      </c>
      <c r="E4" s="2">
        <v>550</v>
      </c>
      <c r="F4" s="2">
        <v>55.4</v>
      </c>
      <c r="G4" s="2">
        <v>0</v>
      </c>
      <c r="H4" s="4">
        <f t="shared" si="0"/>
        <v>3.0285140318283346</v>
      </c>
      <c r="I4" s="4">
        <f t="shared" si="1"/>
        <v>8.6125033712205621</v>
      </c>
      <c r="J4" s="4">
        <f t="shared" si="2"/>
        <v>6.3099182782265162</v>
      </c>
      <c r="K4" s="4">
        <f t="shared" si="3"/>
        <v>55.4</v>
      </c>
      <c r="L4" s="4">
        <f t="shared" si="4"/>
        <v>0</v>
      </c>
    </row>
    <row r="5" spans="1:12" x14ac:dyDescent="0.35">
      <c r="A5" s="2" t="s">
        <v>71</v>
      </c>
      <c r="B5" s="2" t="s">
        <v>67</v>
      </c>
      <c r="C5" s="2">
        <v>21.5837</v>
      </c>
      <c r="D5" s="2">
        <v>5500</v>
      </c>
      <c r="E5" s="2">
        <v>707</v>
      </c>
      <c r="F5" s="2">
        <v>55.4</v>
      </c>
      <c r="G5" s="2">
        <v>0</v>
      </c>
      <c r="H5" s="4">
        <f t="shared" si="0"/>
        <v>3.0719384001842243</v>
      </c>
      <c r="I5" s="4">
        <f t="shared" si="1"/>
        <v>8.6125033712205621</v>
      </c>
      <c r="J5" s="4">
        <f t="shared" si="2"/>
        <v>6.5610306658965731</v>
      </c>
      <c r="K5" s="4">
        <f t="shared" si="3"/>
        <v>55.4</v>
      </c>
      <c r="L5" s="4">
        <f t="shared" si="4"/>
        <v>0</v>
      </c>
    </row>
    <row r="6" spans="1:12" x14ac:dyDescent="0.35">
      <c r="A6" s="2" t="s">
        <v>72</v>
      </c>
      <c r="B6" s="2" t="s">
        <v>67</v>
      </c>
      <c r="C6" s="2">
        <v>31.587299999999999</v>
      </c>
      <c r="D6" s="2">
        <v>4500</v>
      </c>
      <c r="E6" s="2">
        <v>248</v>
      </c>
      <c r="F6" s="2">
        <v>49.6</v>
      </c>
      <c r="G6" s="2">
        <v>0</v>
      </c>
      <c r="H6" s="4">
        <f t="shared" si="0"/>
        <v>3.4527551410757478</v>
      </c>
      <c r="I6" s="4">
        <f t="shared" si="1"/>
        <v>8.4118326757584114</v>
      </c>
      <c r="J6" s="4">
        <f t="shared" si="2"/>
        <v>5.5134287461649825</v>
      </c>
      <c r="K6" s="4">
        <f t="shared" si="3"/>
        <v>49.6</v>
      </c>
      <c r="L6" s="4">
        <f t="shared" si="4"/>
        <v>0</v>
      </c>
    </row>
    <row r="7" spans="1:12" x14ac:dyDescent="0.35">
      <c r="A7" s="2" t="s">
        <v>74</v>
      </c>
      <c r="B7" s="2" t="s">
        <v>67</v>
      </c>
      <c r="C7" s="2">
        <v>31.587299999999999</v>
      </c>
      <c r="D7" s="2">
        <v>4500</v>
      </c>
      <c r="E7" s="2">
        <v>248</v>
      </c>
      <c r="F7" s="2">
        <v>50.7</v>
      </c>
      <c r="G7" s="2">
        <v>0</v>
      </c>
      <c r="H7" s="4">
        <f t="shared" si="0"/>
        <v>3.4527551410757478</v>
      </c>
      <c r="I7" s="4">
        <f t="shared" si="1"/>
        <v>8.4118326757584114</v>
      </c>
      <c r="J7" s="4">
        <f t="shared" si="2"/>
        <v>5.5134287461649825</v>
      </c>
      <c r="K7" s="4">
        <f t="shared" si="3"/>
        <v>50.7</v>
      </c>
      <c r="L7" s="4">
        <f t="shared" si="4"/>
        <v>0</v>
      </c>
    </row>
    <row r="8" spans="1:12" x14ac:dyDescent="0.35">
      <c r="A8" s="2" t="s">
        <v>75</v>
      </c>
      <c r="B8" s="2" t="s">
        <v>67</v>
      </c>
      <c r="C8" s="2">
        <v>33.206299999999999</v>
      </c>
      <c r="D8" s="2">
        <v>4500</v>
      </c>
      <c r="E8" s="2">
        <v>248</v>
      </c>
      <c r="F8" s="2">
        <v>50.2</v>
      </c>
      <c r="G8" s="2">
        <v>0</v>
      </c>
      <c r="H8" s="4">
        <f t="shared" si="0"/>
        <v>3.5027396169566187</v>
      </c>
      <c r="I8" s="4">
        <f t="shared" si="1"/>
        <v>8.4118326757584114</v>
      </c>
      <c r="J8" s="4">
        <f t="shared" si="2"/>
        <v>5.5134287461649825</v>
      </c>
      <c r="K8" s="4">
        <f t="shared" si="3"/>
        <v>50.2</v>
      </c>
      <c r="L8" s="4">
        <f t="shared" si="4"/>
        <v>0</v>
      </c>
    </row>
    <row r="9" spans="1:12" x14ac:dyDescent="0.35">
      <c r="A9" s="2" t="s">
        <v>76</v>
      </c>
      <c r="B9" s="2" t="s">
        <v>67</v>
      </c>
      <c r="C9" s="2">
        <v>25.042400000000001</v>
      </c>
      <c r="D9" s="2">
        <v>4500</v>
      </c>
      <c r="E9" s="2">
        <v>523</v>
      </c>
      <c r="F9" s="2">
        <v>49.7</v>
      </c>
      <c r="G9" s="2">
        <v>0</v>
      </c>
      <c r="H9" s="4">
        <f t="shared" si="0"/>
        <v>3.2205703882842691</v>
      </c>
      <c r="I9" s="4">
        <f t="shared" si="1"/>
        <v>8.4118326757584114</v>
      </c>
      <c r="J9" s="4">
        <f t="shared" si="2"/>
        <v>6.2595814640649232</v>
      </c>
      <c r="K9" s="4">
        <f t="shared" si="3"/>
        <v>49.7</v>
      </c>
      <c r="L9" s="4">
        <f t="shared" si="4"/>
        <v>0</v>
      </c>
    </row>
    <row r="10" spans="1:12" x14ac:dyDescent="0.35">
      <c r="A10" s="2" t="s">
        <v>77</v>
      </c>
      <c r="B10" s="2" t="s">
        <v>67</v>
      </c>
      <c r="C10" s="2">
        <v>24.999700000000001</v>
      </c>
      <c r="D10" s="2">
        <v>5000</v>
      </c>
      <c r="E10" s="2">
        <v>523</v>
      </c>
      <c r="F10" s="2">
        <v>49.7</v>
      </c>
      <c r="G10" s="2">
        <v>0</v>
      </c>
      <c r="H10" s="4">
        <f t="shared" si="0"/>
        <v>3.2188638247962</v>
      </c>
      <c r="I10" s="4">
        <f t="shared" si="1"/>
        <v>8.5171931914162382</v>
      </c>
      <c r="J10" s="4">
        <f t="shared" si="2"/>
        <v>6.2595814640649232</v>
      </c>
      <c r="K10" s="4">
        <f t="shared" si="3"/>
        <v>49.7</v>
      </c>
      <c r="L10" s="4">
        <f t="shared" si="4"/>
        <v>0</v>
      </c>
    </row>
    <row r="11" spans="1:12" x14ac:dyDescent="0.35">
      <c r="A11" s="2" t="s">
        <v>78</v>
      </c>
      <c r="B11" s="2" t="s">
        <v>67</v>
      </c>
      <c r="C11" s="2">
        <v>37.762</v>
      </c>
      <c r="D11" s="2">
        <v>3500</v>
      </c>
      <c r="E11" s="2">
        <v>255</v>
      </c>
      <c r="F11" s="2">
        <v>42.9</v>
      </c>
      <c r="G11" s="2">
        <v>0</v>
      </c>
      <c r="H11" s="4">
        <f t="shared" si="0"/>
        <v>3.6313033059763402</v>
      </c>
      <c r="I11" s="4">
        <f t="shared" si="1"/>
        <v>8.1605182474775049</v>
      </c>
      <c r="J11" s="4">
        <f t="shared" si="2"/>
        <v>5.5412635451584258</v>
      </c>
      <c r="K11" s="4">
        <f t="shared" si="3"/>
        <v>42.9</v>
      </c>
      <c r="L11" s="4">
        <f t="shared" si="4"/>
        <v>0</v>
      </c>
    </row>
    <row r="12" spans="1:12" x14ac:dyDescent="0.35">
      <c r="A12" s="2" t="s">
        <v>79</v>
      </c>
      <c r="B12" s="2" t="s">
        <v>67</v>
      </c>
      <c r="C12" s="2">
        <v>21.7837</v>
      </c>
      <c r="D12" s="2">
        <v>5000</v>
      </c>
      <c r="E12" s="2">
        <v>473</v>
      </c>
      <c r="F12" s="2">
        <v>49.7</v>
      </c>
      <c r="G12" s="2">
        <v>0</v>
      </c>
      <c r="H12" s="4">
        <f t="shared" si="0"/>
        <v>3.0811619837011612</v>
      </c>
      <c r="I12" s="4">
        <f t="shared" si="1"/>
        <v>8.5171931914162382</v>
      </c>
      <c r="J12" s="4">
        <f t="shared" si="2"/>
        <v>6.1590953884919326</v>
      </c>
      <c r="K12" s="4">
        <f t="shared" si="3"/>
        <v>49.7</v>
      </c>
      <c r="L12" s="4">
        <f t="shared" si="4"/>
        <v>0</v>
      </c>
    </row>
    <row r="13" spans="1:12" x14ac:dyDescent="0.35">
      <c r="A13" s="2" t="s">
        <v>80</v>
      </c>
      <c r="B13" s="2" t="s">
        <v>67</v>
      </c>
      <c r="C13" s="2">
        <v>21.7837</v>
      </c>
      <c r="D13" s="2">
        <v>5000</v>
      </c>
      <c r="E13" s="2">
        <v>503</v>
      </c>
      <c r="F13" s="2">
        <v>49.7</v>
      </c>
      <c r="G13" s="2">
        <v>0</v>
      </c>
      <c r="H13" s="4">
        <f t="shared" si="0"/>
        <v>3.0811619837011612</v>
      </c>
      <c r="I13" s="4">
        <f t="shared" si="1"/>
        <v>8.5171931914162382</v>
      </c>
      <c r="J13" s="4">
        <f t="shared" si="2"/>
        <v>6.2205901700997392</v>
      </c>
      <c r="K13" s="4">
        <f t="shared" si="3"/>
        <v>49.7</v>
      </c>
      <c r="L13" s="4">
        <f t="shared" si="4"/>
        <v>0</v>
      </c>
    </row>
    <row r="14" spans="1:12" x14ac:dyDescent="0.35">
      <c r="A14" s="2" t="s">
        <v>81</v>
      </c>
      <c r="B14" s="2" t="s">
        <v>67</v>
      </c>
      <c r="C14" s="2">
        <v>21.7837</v>
      </c>
      <c r="D14" s="2">
        <v>5000</v>
      </c>
      <c r="E14" s="2">
        <v>473</v>
      </c>
      <c r="F14" s="2">
        <v>50.2</v>
      </c>
      <c r="G14" s="2">
        <v>0</v>
      </c>
      <c r="H14" s="4">
        <f t="shared" si="0"/>
        <v>3.0811619837011612</v>
      </c>
      <c r="I14" s="4">
        <f t="shared" si="1"/>
        <v>8.5171931914162382</v>
      </c>
      <c r="J14" s="4">
        <f t="shared" si="2"/>
        <v>6.1590953884919326</v>
      </c>
      <c r="K14" s="4">
        <f t="shared" si="3"/>
        <v>50.2</v>
      </c>
      <c r="L14" s="4">
        <f t="shared" si="4"/>
        <v>0</v>
      </c>
    </row>
    <row r="15" spans="1:12" x14ac:dyDescent="0.35">
      <c r="A15" s="2" t="s">
        <v>82</v>
      </c>
      <c r="B15" s="2" t="s">
        <v>67</v>
      </c>
      <c r="C15" s="2">
        <v>21.7837</v>
      </c>
      <c r="D15" s="2">
        <v>5000</v>
      </c>
      <c r="E15" s="2">
        <v>503</v>
      </c>
      <c r="F15" s="2">
        <v>50.2</v>
      </c>
      <c r="G15" s="2">
        <v>0</v>
      </c>
      <c r="H15" s="4">
        <f t="shared" si="0"/>
        <v>3.0811619837011612</v>
      </c>
      <c r="I15" s="4">
        <f t="shared" si="1"/>
        <v>8.5171931914162382</v>
      </c>
      <c r="J15" s="4">
        <f t="shared" si="2"/>
        <v>6.2205901700997392</v>
      </c>
      <c r="K15" s="4">
        <f t="shared" si="3"/>
        <v>50.2</v>
      </c>
      <c r="L15" s="4">
        <f t="shared" si="4"/>
        <v>0</v>
      </c>
    </row>
    <row r="16" spans="1:12" x14ac:dyDescent="0.35">
      <c r="A16" s="2" t="s">
        <v>83</v>
      </c>
      <c r="B16" s="2" t="s">
        <v>67</v>
      </c>
      <c r="C16" s="2">
        <v>34.5503</v>
      </c>
      <c r="D16" s="2">
        <v>4000</v>
      </c>
      <c r="E16" s="2">
        <v>382</v>
      </c>
      <c r="F16" s="2">
        <v>42.3</v>
      </c>
      <c r="G16" s="2">
        <v>0</v>
      </c>
      <c r="H16" s="4">
        <f t="shared" si="0"/>
        <v>3.5424162332439986</v>
      </c>
      <c r="I16" s="4">
        <f t="shared" si="1"/>
        <v>8.2940496401020276</v>
      </c>
      <c r="J16" s="4">
        <f t="shared" si="2"/>
        <v>5.9454206086065753</v>
      </c>
      <c r="K16" s="4">
        <f t="shared" si="3"/>
        <v>42.3</v>
      </c>
      <c r="L16" s="4">
        <f t="shared" si="4"/>
        <v>0</v>
      </c>
    </row>
    <row r="17" spans="1:12" x14ac:dyDescent="0.35">
      <c r="A17" s="2" t="s">
        <v>84</v>
      </c>
      <c r="B17" s="2" t="s">
        <v>67</v>
      </c>
      <c r="C17" s="2">
        <v>22.003599999999999</v>
      </c>
      <c r="D17" s="2">
        <v>4500</v>
      </c>
      <c r="E17" s="2">
        <v>617</v>
      </c>
      <c r="F17" s="2">
        <v>49.5</v>
      </c>
      <c r="G17" s="2">
        <v>0</v>
      </c>
      <c r="H17" s="4">
        <f t="shared" si="0"/>
        <v>3.0912060763349829</v>
      </c>
      <c r="I17" s="4">
        <f t="shared" si="1"/>
        <v>8.4118326757584114</v>
      </c>
      <c r="J17" s="4">
        <f t="shared" si="2"/>
        <v>6.4248690239053881</v>
      </c>
      <c r="K17" s="4">
        <f t="shared" si="3"/>
        <v>49.5</v>
      </c>
      <c r="L17" s="4">
        <f t="shared" si="4"/>
        <v>0</v>
      </c>
    </row>
    <row r="18" spans="1:12" x14ac:dyDescent="0.35">
      <c r="A18" s="2" t="s">
        <v>85</v>
      </c>
      <c r="B18" s="2" t="s">
        <v>67</v>
      </c>
      <c r="C18" s="2">
        <v>22.003599999999999</v>
      </c>
      <c r="D18" s="2">
        <v>4500</v>
      </c>
      <c r="E18" s="2">
        <v>617</v>
      </c>
      <c r="F18" s="2">
        <v>49.5</v>
      </c>
      <c r="G18" s="2">
        <v>0</v>
      </c>
      <c r="H18" s="4">
        <f t="shared" si="0"/>
        <v>3.0912060763349829</v>
      </c>
      <c r="I18" s="4">
        <f t="shared" si="1"/>
        <v>8.4118326757584114</v>
      </c>
      <c r="J18" s="4">
        <f t="shared" si="2"/>
        <v>6.4248690239053881</v>
      </c>
      <c r="K18" s="4">
        <f t="shared" si="3"/>
        <v>49.5</v>
      </c>
      <c r="L18" s="4">
        <f t="shared" si="4"/>
        <v>0</v>
      </c>
    </row>
    <row r="19" spans="1:12" x14ac:dyDescent="0.35">
      <c r="A19" s="2" t="s">
        <v>86</v>
      </c>
      <c r="B19" s="2" t="s">
        <v>67</v>
      </c>
      <c r="C19" s="2">
        <v>24.999700000000001</v>
      </c>
      <c r="D19" s="2">
        <v>5000</v>
      </c>
      <c r="E19" s="2">
        <v>523</v>
      </c>
      <c r="F19" s="2">
        <v>53.7</v>
      </c>
      <c r="G19" s="2">
        <v>0</v>
      </c>
      <c r="H19" s="4">
        <f t="shared" si="0"/>
        <v>3.2188638247962</v>
      </c>
      <c r="I19" s="4">
        <f t="shared" si="1"/>
        <v>8.5171931914162382</v>
      </c>
      <c r="J19" s="4">
        <f t="shared" si="2"/>
        <v>6.2595814640649232</v>
      </c>
      <c r="K19" s="4">
        <f t="shared" si="3"/>
        <v>53.7</v>
      </c>
      <c r="L19" s="4">
        <f t="shared" si="4"/>
        <v>0</v>
      </c>
    </row>
    <row r="20" spans="1:12" x14ac:dyDescent="0.35">
      <c r="A20" s="2" t="s">
        <v>87</v>
      </c>
      <c r="B20" s="2" t="s">
        <v>67</v>
      </c>
      <c r="C20" s="2">
        <v>31.263100000000001</v>
      </c>
      <c r="D20" s="2">
        <v>4500</v>
      </c>
      <c r="E20" s="2">
        <v>335</v>
      </c>
      <c r="F20" s="2">
        <v>53.7</v>
      </c>
      <c r="G20" s="2">
        <v>0</v>
      </c>
      <c r="H20" s="4">
        <f t="shared" si="0"/>
        <v>3.442438488342638</v>
      </c>
      <c r="I20" s="4">
        <f t="shared" si="1"/>
        <v>8.4118326757584114</v>
      </c>
      <c r="J20" s="4">
        <f t="shared" si="2"/>
        <v>5.8141305318250662</v>
      </c>
      <c r="K20" s="4">
        <f t="shared" si="3"/>
        <v>53.7</v>
      </c>
      <c r="L20" s="4">
        <f t="shared" si="4"/>
        <v>0</v>
      </c>
    </row>
    <row r="21" spans="1:12" x14ac:dyDescent="0.35">
      <c r="A21" s="2" t="s">
        <v>88</v>
      </c>
      <c r="B21" s="2" t="s">
        <v>67</v>
      </c>
      <c r="C21" s="2">
        <v>31.283100000000001</v>
      </c>
      <c r="D21" s="2">
        <v>4500</v>
      </c>
      <c r="E21" s="2">
        <v>335</v>
      </c>
      <c r="F21" s="2">
        <v>53.7</v>
      </c>
      <c r="G21" s="2">
        <v>0</v>
      </c>
      <c r="H21" s="4">
        <f t="shared" si="0"/>
        <v>3.4430780156258831</v>
      </c>
      <c r="I21" s="4">
        <f t="shared" si="1"/>
        <v>8.4118326757584114</v>
      </c>
      <c r="J21" s="4">
        <f t="shared" si="2"/>
        <v>5.8141305318250662</v>
      </c>
      <c r="K21" s="4">
        <f t="shared" si="3"/>
        <v>53.7</v>
      </c>
      <c r="L21" s="4">
        <f t="shared" si="4"/>
        <v>0</v>
      </c>
    </row>
    <row r="22" spans="1:12" x14ac:dyDescent="0.35">
      <c r="A22" s="2" t="s">
        <v>89</v>
      </c>
      <c r="B22" s="2" t="s">
        <v>67</v>
      </c>
      <c r="C22" s="2">
        <v>31.285399999999999</v>
      </c>
      <c r="D22" s="2">
        <v>4000</v>
      </c>
      <c r="E22" s="2">
        <v>335</v>
      </c>
      <c r="F22" s="2">
        <v>49.7</v>
      </c>
      <c r="G22" s="2">
        <v>0</v>
      </c>
      <c r="H22" s="4">
        <f t="shared" si="0"/>
        <v>3.4431515350486293</v>
      </c>
      <c r="I22" s="4">
        <f t="shared" si="1"/>
        <v>8.2940496401020276</v>
      </c>
      <c r="J22" s="4">
        <f t="shared" si="2"/>
        <v>5.8141305318250662</v>
      </c>
      <c r="K22" s="4">
        <f t="shared" si="3"/>
        <v>49.7</v>
      </c>
      <c r="L22" s="4">
        <f t="shared" si="4"/>
        <v>0</v>
      </c>
    </row>
    <row r="23" spans="1:12" x14ac:dyDescent="0.35">
      <c r="A23" s="2" t="s">
        <v>90</v>
      </c>
      <c r="B23" s="2" t="s">
        <v>67</v>
      </c>
      <c r="C23" s="2">
        <v>31.443300000000001</v>
      </c>
      <c r="D23" s="2">
        <v>4000</v>
      </c>
      <c r="E23" s="2">
        <v>335</v>
      </c>
      <c r="F23" s="2">
        <v>49.6</v>
      </c>
      <c r="G23" s="2">
        <v>0</v>
      </c>
      <c r="H23" s="4">
        <f t="shared" si="0"/>
        <v>3.4481859238849593</v>
      </c>
      <c r="I23" s="4">
        <f t="shared" si="1"/>
        <v>8.2940496401020276</v>
      </c>
      <c r="J23" s="4">
        <f t="shared" si="2"/>
        <v>5.8141305318250662</v>
      </c>
      <c r="K23" s="4">
        <f t="shared" si="3"/>
        <v>49.6</v>
      </c>
      <c r="L23" s="4">
        <f t="shared" si="4"/>
        <v>0</v>
      </c>
    </row>
    <row r="24" spans="1:12" x14ac:dyDescent="0.35">
      <c r="A24" s="2" t="s">
        <v>91</v>
      </c>
      <c r="B24" s="2" t="s">
        <v>67</v>
      </c>
      <c r="C24" s="2">
        <v>31.263100000000001</v>
      </c>
      <c r="D24" s="2">
        <v>4500</v>
      </c>
      <c r="E24" s="2">
        <v>335</v>
      </c>
      <c r="F24" s="2">
        <v>49.7</v>
      </c>
      <c r="G24" s="2">
        <v>0</v>
      </c>
      <c r="H24" s="4">
        <f t="shared" si="0"/>
        <v>3.442438488342638</v>
      </c>
      <c r="I24" s="4">
        <f t="shared" si="1"/>
        <v>8.4118326757584114</v>
      </c>
      <c r="J24" s="4">
        <f t="shared" si="2"/>
        <v>5.8141305318250662</v>
      </c>
      <c r="K24" s="4">
        <f t="shared" si="3"/>
        <v>49.7</v>
      </c>
      <c r="L24" s="4">
        <f t="shared" si="4"/>
        <v>0</v>
      </c>
    </row>
    <row r="25" spans="1:12" x14ac:dyDescent="0.35">
      <c r="A25" s="2" t="s">
        <v>92</v>
      </c>
      <c r="B25" s="2" t="s">
        <v>67</v>
      </c>
      <c r="C25" s="2">
        <v>31.283100000000001</v>
      </c>
      <c r="D25" s="2">
        <v>4500</v>
      </c>
      <c r="E25" s="2">
        <v>335</v>
      </c>
      <c r="F25" s="2">
        <v>49.6</v>
      </c>
      <c r="G25" s="2">
        <v>0</v>
      </c>
      <c r="H25" s="4">
        <f t="shared" si="0"/>
        <v>3.4430780156258831</v>
      </c>
      <c r="I25" s="4">
        <f t="shared" si="1"/>
        <v>8.4118326757584114</v>
      </c>
      <c r="J25" s="4">
        <f t="shared" si="2"/>
        <v>5.8141305318250662</v>
      </c>
      <c r="K25" s="4">
        <f t="shared" si="3"/>
        <v>49.6</v>
      </c>
      <c r="L25" s="4">
        <f t="shared" si="4"/>
        <v>0</v>
      </c>
    </row>
    <row r="26" spans="1:12" x14ac:dyDescent="0.35">
      <c r="A26" s="2" t="s">
        <v>93</v>
      </c>
      <c r="B26" s="2" t="s">
        <v>67</v>
      </c>
      <c r="C26" s="2">
        <v>22.003599999999999</v>
      </c>
      <c r="D26" s="2">
        <v>4500</v>
      </c>
      <c r="E26" s="2">
        <v>617</v>
      </c>
      <c r="F26" s="2">
        <v>53.5</v>
      </c>
      <c r="G26" s="2">
        <v>0</v>
      </c>
      <c r="H26" s="4">
        <f t="shared" si="0"/>
        <v>3.0912060763349829</v>
      </c>
      <c r="I26" s="4">
        <f t="shared" si="1"/>
        <v>8.4118326757584114</v>
      </c>
      <c r="J26" s="4">
        <f t="shared" si="2"/>
        <v>6.4248690239053881</v>
      </c>
      <c r="K26" s="4">
        <f t="shared" si="3"/>
        <v>53.5</v>
      </c>
      <c r="L26" s="4">
        <f t="shared" si="4"/>
        <v>0</v>
      </c>
    </row>
    <row r="27" spans="1:12" x14ac:dyDescent="0.35">
      <c r="A27" s="2" t="s">
        <v>94</v>
      </c>
      <c r="B27" s="2" t="s">
        <v>33</v>
      </c>
      <c r="C27" s="2">
        <v>18.950199999999999</v>
      </c>
      <c r="D27" s="2">
        <v>6000</v>
      </c>
      <c r="E27" s="2">
        <v>617</v>
      </c>
      <c r="F27" s="2">
        <v>54.2</v>
      </c>
      <c r="G27" s="2">
        <v>1</v>
      </c>
      <c r="H27" s="4">
        <f t="shared" si="0"/>
        <v>2.9418144855624511</v>
      </c>
      <c r="I27" s="4">
        <f t="shared" si="1"/>
        <v>8.6995147482101913</v>
      </c>
      <c r="J27" s="4">
        <f t="shared" si="2"/>
        <v>6.4248690239053881</v>
      </c>
      <c r="K27" s="4">
        <f t="shared" si="3"/>
        <v>54.2</v>
      </c>
      <c r="L27" s="4">
        <f t="shared" si="4"/>
        <v>1</v>
      </c>
    </row>
    <row r="28" spans="1:12" x14ac:dyDescent="0.35">
      <c r="A28" s="2" t="s">
        <v>95</v>
      </c>
      <c r="B28" s="2" t="s">
        <v>33</v>
      </c>
      <c r="C28" s="2">
        <v>18.950199999999999</v>
      </c>
      <c r="D28" s="2">
        <v>6000</v>
      </c>
      <c r="E28" s="2">
        <v>617</v>
      </c>
      <c r="F28" s="2">
        <v>54.2</v>
      </c>
      <c r="G28" s="2">
        <v>1</v>
      </c>
      <c r="H28" s="4">
        <f t="shared" si="0"/>
        <v>2.9418144855624511</v>
      </c>
      <c r="I28" s="4">
        <f t="shared" si="1"/>
        <v>8.6995147482101913</v>
      </c>
      <c r="J28" s="4">
        <f t="shared" si="2"/>
        <v>6.4248690239053881</v>
      </c>
      <c r="K28" s="4">
        <f t="shared" si="3"/>
        <v>54.2</v>
      </c>
      <c r="L28" s="4">
        <f t="shared" si="4"/>
        <v>1</v>
      </c>
    </row>
    <row r="29" spans="1:12" x14ac:dyDescent="0.35">
      <c r="A29" s="2" t="s">
        <v>96</v>
      </c>
      <c r="B29" s="2" t="s">
        <v>67</v>
      </c>
      <c r="C29" s="2">
        <v>36.553400000000003</v>
      </c>
      <c r="D29" s="2">
        <v>4000</v>
      </c>
      <c r="E29" s="2">
        <v>302</v>
      </c>
      <c r="F29" s="2">
        <v>44.8</v>
      </c>
      <c r="G29" s="2">
        <v>0</v>
      </c>
      <c r="H29" s="4">
        <f t="shared" si="0"/>
        <v>3.5987742051252067</v>
      </c>
      <c r="I29" s="4">
        <f t="shared" si="1"/>
        <v>8.2940496401020276</v>
      </c>
      <c r="J29" s="4">
        <f t="shared" si="2"/>
        <v>5.7104270173748697</v>
      </c>
      <c r="K29" s="4">
        <f t="shared" si="3"/>
        <v>44.8</v>
      </c>
      <c r="L29" s="4">
        <f t="shared" si="4"/>
        <v>0</v>
      </c>
    </row>
    <row r="30" spans="1:12" x14ac:dyDescent="0.35">
      <c r="A30" s="2" t="s">
        <v>97</v>
      </c>
      <c r="B30" s="2" t="s">
        <v>67</v>
      </c>
      <c r="C30" s="2">
        <v>35.658299999999997</v>
      </c>
      <c r="D30" s="2">
        <v>4000</v>
      </c>
      <c r="E30" s="2">
        <v>228</v>
      </c>
      <c r="F30" s="2">
        <v>44.9</v>
      </c>
      <c r="G30" s="2">
        <v>0</v>
      </c>
      <c r="H30" s="4">
        <f t="shared" si="0"/>
        <v>3.573981938836484</v>
      </c>
      <c r="I30" s="4">
        <f t="shared" si="1"/>
        <v>8.2940496401020276</v>
      </c>
      <c r="J30" s="4">
        <f t="shared" si="2"/>
        <v>5.4293456289544411</v>
      </c>
      <c r="K30" s="4">
        <f t="shared" si="3"/>
        <v>44.9</v>
      </c>
      <c r="L30" s="4">
        <f t="shared" si="4"/>
        <v>0</v>
      </c>
    </row>
    <row r="31" spans="1:12" x14ac:dyDescent="0.35">
      <c r="A31" s="2" t="s">
        <v>98</v>
      </c>
      <c r="B31" s="2" t="s">
        <v>67</v>
      </c>
      <c r="C31" s="2">
        <v>37.527799999999999</v>
      </c>
      <c r="D31" s="2">
        <v>3500</v>
      </c>
      <c r="E31" s="2">
        <v>228</v>
      </c>
      <c r="F31" s="2">
        <v>44.9</v>
      </c>
      <c r="G31" s="2">
        <v>0</v>
      </c>
      <c r="H31" s="4">
        <f t="shared" si="0"/>
        <v>3.6250819916578734</v>
      </c>
      <c r="I31" s="4">
        <f t="shared" si="1"/>
        <v>8.1605182474775049</v>
      </c>
      <c r="J31" s="4">
        <f t="shared" si="2"/>
        <v>5.4293456289544411</v>
      </c>
      <c r="K31" s="4">
        <f t="shared" si="3"/>
        <v>44.9</v>
      </c>
      <c r="L31" s="4">
        <f t="shared" si="4"/>
        <v>0</v>
      </c>
    </row>
    <row r="32" spans="1:12" x14ac:dyDescent="0.35">
      <c r="A32" s="2" t="s">
        <v>99</v>
      </c>
      <c r="B32" s="2" t="s">
        <v>33</v>
      </c>
      <c r="C32" s="2">
        <v>33.671799999999998</v>
      </c>
      <c r="D32" s="2">
        <v>4000</v>
      </c>
      <c r="E32" s="2">
        <v>382</v>
      </c>
      <c r="F32" s="2">
        <v>49.2</v>
      </c>
      <c r="G32" s="2">
        <v>1</v>
      </c>
      <c r="H32" s="4">
        <f t="shared" si="0"/>
        <v>3.5166606917975054</v>
      </c>
      <c r="I32" s="4">
        <f t="shared" si="1"/>
        <v>8.2940496401020276</v>
      </c>
      <c r="J32" s="4">
        <f t="shared" si="2"/>
        <v>5.9454206086065753</v>
      </c>
      <c r="K32" s="4">
        <f t="shared" si="3"/>
        <v>49.2</v>
      </c>
      <c r="L32" s="4">
        <f t="shared" si="4"/>
        <v>1</v>
      </c>
    </row>
    <row r="33" spans="1:12" x14ac:dyDescent="0.35">
      <c r="A33" s="2" t="s">
        <v>100</v>
      </c>
      <c r="B33" s="2" t="s">
        <v>33</v>
      </c>
      <c r="C33" s="2">
        <v>34.802300000000002</v>
      </c>
      <c r="D33" s="2">
        <v>4500</v>
      </c>
      <c r="E33" s="2">
        <v>382</v>
      </c>
      <c r="F33" s="2">
        <v>49.2</v>
      </c>
      <c r="G33" s="2">
        <v>1</v>
      </c>
      <c r="H33" s="4">
        <f t="shared" si="0"/>
        <v>3.5496834765504746</v>
      </c>
      <c r="I33" s="4">
        <f t="shared" si="1"/>
        <v>8.4118326757584114</v>
      </c>
      <c r="J33" s="4">
        <f t="shared" si="2"/>
        <v>5.9454206086065753</v>
      </c>
      <c r="K33" s="4">
        <f t="shared" si="3"/>
        <v>49.2</v>
      </c>
      <c r="L33" s="4">
        <f t="shared" si="4"/>
        <v>1</v>
      </c>
    </row>
    <row r="34" spans="1:12" x14ac:dyDescent="0.35">
      <c r="A34" s="2" t="s">
        <v>101</v>
      </c>
      <c r="B34" s="2" t="s">
        <v>33</v>
      </c>
      <c r="C34" s="2">
        <v>32.482599999999998</v>
      </c>
      <c r="D34" s="2">
        <v>5000</v>
      </c>
      <c r="E34" s="2">
        <v>375</v>
      </c>
      <c r="F34" s="2">
        <v>54.2</v>
      </c>
      <c r="G34" s="2">
        <v>1</v>
      </c>
      <c r="H34" s="4">
        <f t="shared" si="0"/>
        <v>3.4807045613507896</v>
      </c>
      <c r="I34" s="4">
        <f t="shared" si="1"/>
        <v>8.5171931914162382</v>
      </c>
      <c r="J34" s="4">
        <f t="shared" si="2"/>
        <v>5.9269260259704106</v>
      </c>
      <c r="K34" s="4">
        <f t="shared" si="3"/>
        <v>54.2</v>
      </c>
      <c r="L34" s="4">
        <f t="shared" si="4"/>
        <v>1</v>
      </c>
    </row>
    <row r="35" spans="1:12" x14ac:dyDescent="0.35">
      <c r="A35" s="2" t="s">
        <v>102</v>
      </c>
      <c r="B35" s="2" t="s">
        <v>67</v>
      </c>
      <c r="C35" s="2">
        <v>37.9816</v>
      </c>
      <c r="D35" s="2">
        <v>4000</v>
      </c>
      <c r="E35" s="2">
        <v>255</v>
      </c>
      <c r="F35" s="2">
        <v>49.2</v>
      </c>
      <c r="G35" s="2">
        <v>0</v>
      </c>
      <c r="H35" s="4">
        <f t="shared" si="0"/>
        <v>3.6371018319322967</v>
      </c>
      <c r="I35" s="4">
        <f t="shared" si="1"/>
        <v>8.2940496401020276</v>
      </c>
      <c r="J35" s="4">
        <f t="shared" si="2"/>
        <v>5.5412635451584258</v>
      </c>
      <c r="K35" s="4">
        <f t="shared" si="3"/>
        <v>49.2</v>
      </c>
      <c r="L35" s="4">
        <f t="shared" si="4"/>
        <v>0</v>
      </c>
    </row>
    <row r="36" spans="1:12" x14ac:dyDescent="0.35">
      <c r="A36" s="2" t="s">
        <v>103</v>
      </c>
      <c r="B36" s="2" t="s">
        <v>67</v>
      </c>
      <c r="C36" s="2">
        <v>36.117400000000004</v>
      </c>
      <c r="D36" s="2">
        <v>4000</v>
      </c>
      <c r="E36" s="2">
        <v>255</v>
      </c>
      <c r="F36" s="2">
        <v>49.2</v>
      </c>
      <c r="G36" s="2">
        <v>0</v>
      </c>
      <c r="H36" s="4">
        <f t="shared" si="0"/>
        <v>3.5867747436766515</v>
      </c>
      <c r="I36" s="4">
        <f t="shared" si="1"/>
        <v>8.2940496401020276</v>
      </c>
      <c r="J36" s="4">
        <f t="shared" si="2"/>
        <v>5.5412635451584258</v>
      </c>
      <c r="K36" s="4">
        <f t="shared" si="3"/>
        <v>49.2</v>
      </c>
      <c r="L36" s="4">
        <f t="shared" si="4"/>
        <v>0</v>
      </c>
    </row>
    <row r="37" spans="1:12" x14ac:dyDescent="0.35">
      <c r="A37" s="2" t="s">
        <v>104</v>
      </c>
      <c r="B37" s="2" t="s">
        <v>67</v>
      </c>
      <c r="C37" s="2">
        <v>24.101199999999999</v>
      </c>
      <c r="D37" s="2">
        <v>4000</v>
      </c>
      <c r="E37" s="2">
        <v>473</v>
      </c>
      <c r="F37" s="2">
        <v>49.5</v>
      </c>
      <c r="G37" s="2">
        <v>0</v>
      </c>
      <c r="H37" s="4">
        <f t="shared" si="0"/>
        <v>3.1822616317881227</v>
      </c>
      <c r="I37" s="4">
        <f t="shared" si="1"/>
        <v>8.2940496401020276</v>
      </c>
      <c r="J37" s="4">
        <f t="shared" si="2"/>
        <v>6.1590953884919326</v>
      </c>
      <c r="K37" s="4">
        <f t="shared" si="3"/>
        <v>49.5</v>
      </c>
      <c r="L37" s="4">
        <f t="shared" si="4"/>
        <v>0</v>
      </c>
    </row>
    <row r="38" spans="1:12" x14ac:dyDescent="0.35">
      <c r="A38" s="2" t="s">
        <v>105</v>
      </c>
      <c r="B38" s="2" t="s">
        <v>67</v>
      </c>
      <c r="C38" s="2">
        <v>24.220400000000001</v>
      </c>
      <c r="D38" s="2">
        <v>4000</v>
      </c>
      <c r="E38" s="2">
        <v>503</v>
      </c>
      <c r="F38" s="2">
        <v>49.5</v>
      </c>
      <c r="G38" s="2">
        <v>0</v>
      </c>
      <c r="H38" s="4">
        <f t="shared" si="0"/>
        <v>3.1871952532652013</v>
      </c>
      <c r="I38" s="4">
        <f t="shared" si="1"/>
        <v>8.2940496401020276</v>
      </c>
      <c r="J38" s="4">
        <f t="shared" si="2"/>
        <v>6.2205901700997392</v>
      </c>
      <c r="K38" s="4">
        <f t="shared" si="3"/>
        <v>49.5</v>
      </c>
      <c r="L38" s="4">
        <f t="shared" si="4"/>
        <v>0</v>
      </c>
    </row>
    <row r="39" spans="1:12" x14ac:dyDescent="0.35">
      <c r="A39" s="2" t="s">
        <v>106</v>
      </c>
      <c r="B39" s="2" t="s">
        <v>67</v>
      </c>
      <c r="C39" s="2">
        <v>37.9816</v>
      </c>
      <c r="D39" s="2">
        <v>4000</v>
      </c>
      <c r="E39" s="2">
        <v>255</v>
      </c>
      <c r="F39" s="2">
        <v>49.2</v>
      </c>
      <c r="G39" s="2">
        <v>0</v>
      </c>
      <c r="H39" s="4">
        <f t="shared" si="0"/>
        <v>3.6371018319322967</v>
      </c>
      <c r="I39" s="4">
        <f t="shared" si="1"/>
        <v>8.2940496401020276</v>
      </c>
      <c r="J39" s="4">
        <f t="shared" si="2"/>
        <v>5.5412635451584258</v>
      </c>
      <c r="K39" s="4">
        <f t="shared" si="3"/>
        <v>49.2</v>
      </c>
      <c r="L39" s="4">
        <f t="shared" si="4"/>
        <v>0</v>
      </c>
    </row>
    <row r="40" spans="1:12" x14ac:dyDescent="0.35">
      <c r="A40" s="2" t="s">
        <v>107</v>
      </c>
      <c r="B40" s="2" t="s">
        <v>67</v>
      </c>
      <c r="C40" s="2">
        <v>36.117400000000004</v>
      </c>
      <c r="D40" s="2">
        <v>4000</v>
      </c>
      <c r="E40" s="2">
        <v>255</v>
      </c>
      <c r="F40" s="2">
        <v>49.2</v>
      </c>
      <c r="G40" s="2">
        <v>0</v>
      </c>
      <c r="H40" s="4">
        <f t="shared" si="0"/>
        <v>3.5867747436766515</v>
      </c>
      <c r="I40" s="4">
        <f t="shared" si="1"/>
        <v>8.2940496401020276</v>
      </c>
      <c r="J40" s="4">
        <f t="shared" si="2"/>
        <v>5.5412635451584258</v>
      </c>
      <c r="K40" s="4">
        <f t="shared" si="3"/>
        <v>49.2</v>
      </c>
      <c r="L40" s="4">
        <f t="shared" si="4"/>
        <v>0</v>
      </c>
    </row>
    <row r="41" spans="1:12" x14ac:dyDescent="0.35">
      <c r="A41" s="2" t="s">
        <v>108</v>
      </c>
      <c r="B41" s="2" t="s">
        <v>67</v>
      </c>
      <c r="C41" s="2">
        <v>38.762799999999999</v>
      </c>
      <c r="D41" s="2">
        <v>4000</v>
      </c>
      <c r="E41" s="2">
        <v>255</v>
      </c>
      <c r="F41" s="2">
        <v>48.8</v>
      </c>
      <c r="G41" s="2">
        <v>0</v>
      </c>
      <c r="H41" s="4">
        <f t="shared" si="0"/>
        <v>3.6574610238355088</v>
      </c>
      <c r="I41" s="4">
        <f t="shared" si="1"/>
        <v>8.2940496401020276</v>
      </c>
      <c r="J41" s="4">
        <f t="shared" si="2"/>
        <v>5.5412635451584258</v>
      </c>
      <c r="K41" s="4">
        <f t="shared" si="3"/>
        <v>48.8</v>
      </c>
      <c r="L41" s="4">
        <f t="shared" si="4"/>
        <v>0</v>
      </c>
    </row>
    <row r="42" spans="1:12" x14ac:dyDescent="0.35">
      <c r="A42" s="2" t="s">
        <v>109</v>
      </c>
      <c r="B42" s="2" t="s">
        <v>67</v>
      </c>
      <c r="C42" s="2">
        <v>36.831699999999998</v>
      </c>
      <c r="D42" s="2">
        <v>4000</v>
      </c>
      <c r="E42" s="2">
        <v>255</v>
      </c>
      <c r="F42" s="2">
        <v>48.8</v>
      </c>
      <c r="G42" s="2">
        <v>0</v>
      </c>
      <c r="H42" s="4">
        <f t="shared" si="0"/>
        <v>3.6063588874150758</v>
      </c>
      <c r="I42" s="4">
        <f t="shared" si="1"/>
        <v>8.2940496401020276</v>
      </c>
      <c r="J42" s="4">
        <f t="shared" si="2"/>
        <v>5.5412635451584258</v>
      </c>
      <c r="K42" s="4">
        <f t="shared" si="3"/>
        <v>48.8</v>
      </c>
      <c r="L42" s="4">
        <f t="shared" si="4"/>
        <v>0</v>
      </c>
    </row>
    <row r="43" spans="1:12" x14ac:dyDescent="0.35">
      <c r="A43" s="2" t="s">
        <v>110</v>
      </c>
      <c r="B43" s="2" t="s">
        <v>67</v>
      </c>
      <c r="C43" s="2">
        <v>24.999700000000001</v>
      </c>
      <c r="D43" s="2">
        <v>5000</v>
      </c>
      <c r="E43" s="2">
        <v>612</v>
      </c>
      <c r="F43" s="2">
        <v>53.7</v>
      </c>
      <c r="G43" s="2">
        <v>0</v>
      </c>
      <c r="H43" s="4">
        <f t="shared" si="0"/>
        <v>3.2188638247962</v>
      </c>
      <c r="I43" s="4">
        <f t="shared" si="1"/>
        <v>8.5171931914162382</v>
      </c>
      <c r="J43" s="4">
        <f t="shared" si="2"/>
        <v>6.4167322825123261</v>
      </c>
      <c r="K43" s="4">
        <f t="shared" si="3"/>
        <v>53.7</v>
      </c>
      <c r="L43" s="4">
        <f t="shared" si="4"/>
        <v>0</v>
      </c>
    </row>
    <row r="44" spans="1:12" x14ac:dyDescent="0.35">
      <c r="A44" s="2" t="s">
        <v>111</v>
      </c>
      <c r="B44" s="2" t="s">
        <v>67</v>
      </c>
      <c r="C44" s="2">
        <v>23.921299999999999</v>
      </c>
      <c r="D44" s="2">
        <v>4000</v>
      </c>
      <c r="E44" s="2">
        <v>503</v>
      </c>
      <c r="F44" s="2">
        <v>49.5</v>
      </c>
      <c r="G44" s="2">
        <v>0</v>
      </c>
      <c r="H44" s="4">
        <f t="shared" si="0"/>
        <v>3.1747692754317285</v>
      </c>
      <c r="I44" s="4">
        <f t="shared" si="1"/>
        <v>8.2940496401020276</v>
      </c>
      <c r="J44" s="4">
        <f t="shared" si="2"/>
        <v>6.2205901700997392</v>
      </c>
      <c r="K44" s="4">
        <f t="shared" si="3"/>
        <v>49.5</v>
      </c>
      <c r="L44" s="4">
        <f t="shared" si="4"/>
        <v>0</v>
      </c>
    </row>
    <row r="45" spans="1:12" x14ac:dyDescent="0.35">
      <c r="A45" s="2" t="s">
        <v>112</v>
      </c>
      <c r="B45" s="2" t="s">
        <v>67</v>
      </c>
      <c r="C45" s="2">
        <v>23.921299999999999</v>
      </c>
      <c r="D45" s="2">
        <v>4000</v>
      </c>
      <c r="E45" s="2">
        <v>503</v>
      </c>
      <c r="F45" s="2">
        <v>49.5</v>
      </c>
      <c r="G45" s="2">
        <v>0</v>
      </c>
      <c r="H45" s="4">
        <f t="shared" si="0"/>
        <v>3.1747692754317285</v>
      </c>
      <c r="I45" s="4">
        <f t="shared" si="1"/>
        <v>8.2940496401020276</v>
      </c>
      <c r="J45" s="4">
        <f t="shared" si="2"/>
        <v>6.2205901700997392</v>
      </c>
      <c r="K45" s="4">
        <f t="shared" si="3"/>
        <v>49.5</v>
      </c>
      <c r="L45" s="4">
        <f t="shared" si="4"/>
        <v>0</v>
      </c>
    </row>
    <row r="46" spans="1:12" x14ac:dyDescent="0.35">
      <c r="A46" s="2" t="s">
        <v>113</v>
      </c>
      <c r="B46" s="2" t="s">
        <v>67</v>
      </c>
      <c r="C46" s="2">
        <v>23.472200000000001</v>
      </c>
      <c r="D46" s="2">
        <v>4500</v>
      </c>
      <c r="E46" s="2">
        <v>503</v>
      </c>
      <c r="F46" s="2">
        <v>49.5</v>
      </c>
      <c r="G46" s="2">
        <v>0</v>
      </c>
      <c r="H46" s="4">
        <f t="shared" si="0"/>
        <v>3.1558167421550536</v>
      </c>
      <c r="I46" s="4">
        <f t="shared" si="1"/>
        <v>8.4118326757584114</v>
      </c>
      <c r="J46" s="4">
        <f t="shared" si="2"/>
        <v>6.2205901700997392</v>
      </c>
      <c r="K46" s="4">
        <f t="shared" si="3"/>
        <v>49.5</v>
      </c>
      <c r="L46" s="4">
        <f t="shared" si="4"/>
        <v>0</v>
      </c>
    </row>
    <row r="47" spans="1:12" x14ac:dyDescent="0.35">
      <c r="A47" s="2" t="s">
        <v>114</v>
      </c>
      <c r="B47" s="2" t="s">
        <v>67</v>
      </c>
      <c r="C47" s="2">
        <v>24.101199999999999</v>
      </c>
      <c r="D47" s="2">
        <v>4000</v>
      </c>
      <c r="E47" s="2">
        <v>473</v>
      </c>
      <c r="F47" s="2">
        <v>49.5</v>
      </c>
      <c r="G47" s="2">
        <v>0</v>
      </c>
      <c r="H47" s="4">
        <f t="shared" si="0"/>
        <v>3.1822616317881227</v>
      </c>
      <c r="I47" s="4">
        <f t="shared" si="1"/>
        <v>8.2940496401020276</v>
      </c>
      <c r="J47" s="4">
        <f t="shared" si="2"/>
        <v>6.1590953884919326</v>
      </c>
      <c r="K47" s="4">
        <f t="shared" si="3"/>
        <v>49.5</v>
      </c>
      <c r="L47" s="4">
        <f t="shared" si="4"/>
        <v>0</v>
      </c>
    </row>
    <row r="48" spans="1:12" x14ac:dyDescent="0.35">
      <c r="A48" s="2" t="s">
        <v>115</v>
      </c>
      <c r="B48" s="2" t="s">
        <v>67</v>
      </c>
      <c r="C48" s="2">
        <v>24.220400000000001</v>
      </c>
      <c r="D48" s="2">
        <v>4000</v>
      </c>
      <c r="E48" s="2">
        <v>503</v>
      </c>
      <c r="F48" s="2">
        <v>49.5</v>
      </c>
      <c r="G48" s="2">
        <v>0</v>
      </c>
      <c r="H48" s="4">
        <f t="shared" si="0"/>
        <v>3.1871952532652013</v>
      </c>
      <c r="I48" s="4">
        <f t="shared" si="1"/>
        <v>8.2940496401020276</v>
      </c>
      <c r="J48" s="4">
        <f t="shared" si="2"/>
        <v>6.2205901700997392</v>
      </c>
      <c r="K48" s="4">
        <f t="shared" si="3"/>
        <v>49.5</v>
      </c>
      <c r="L48" s="4">
        <f t="shared" si="4"/>
        <v>0</v>
      </c>
    </row>
    <row r="49" spans="1:12" x14ac:dyDescent="0.35">
      <c r="A49" s="2" t="s">
        <v>116</v>
      </c>
      <c r="B49" s="2" t="s">
        <v>33</v>
      </c>
      <c r="C49" s="2">
        <v>30.918299999999999</v>
      </c>
      <c r="D49" s="2">
        <v>4500</v>
      </c>
      <c r="E49" s="2">
        <v>382</v>
      </c>
      <c r="F49" s="2">
        <v>49.7</v>
      </c>
      <c r="G49" s="2">
        <v>1</v>
      </c>
      <c r="H49" s="4">
        <f t="shared" si="0"/>
        <v>3.4313482416126488</v>
      </c>
      <c r="I49" s="4">
        <f t="shared" si="1"/>
        <v>8.4118326757584114</v>
      </c>
      <c r="J49" s="4">
        <f t="shared" si="2"/>
        <v>5.9454206086065753</v>
      </c>
      <c r="K49" s="4">
        <f t="shared" si="3"/>
        <v>49.7</v>
      </c>
      <c r="L49" s="4">
        <f t="shared" si="4"/>
        <v>1</v>
      </c>
    </row>
    <row r="50" spans="1:12" x14ac:dyDescent="0.35">
      <c r="A50" s="2" t="s">
        <v>117</v>
      </c>
      <c r="B50" s="2" t="s">
        <v>33</v>
      </c>
      <c r="C50" s="2">
        <v>30.918299999999999</v>
      </c>
      <c r="D50" s="2">
        <v>4500</v>
      </c>
      <c r="E50" s="2">
        <v>382</v>
      </c>
      <c r="F50" s="2">
        <v>50.1</v>
      </c>
      <c r="G50" s="2">
        <v>1</v>
      </c>
      <c r="H50" s="4">
        <f t="shared" si="0"/>
        <v>3.4313482416126488</v>
      </c>
      <c r="I50" s="4">
        <f t="shared" si="1"/>
        <v>8.4118326757584114</v>
      </c>
      <c r="J50" s="4">
        <f t="shared" si="2"/>
        <v>5.9454206086065753</v>
      </c>
      <c r="K50" s="4">
        <f t="shared" si="3"/>
        <v>50.1</v>
      </c>
      <c r="L50" s="4">
        <f t="shared" si="4"/>
        <v>1</v>
      </c>
    </row>
    <row r="51" spans="1:12" x14ac:dyDescent="0.35">
      <c r="A51" s="2" t="s">
        <v>118</v>
      </c>
      <c r="B51" s="2" t="s">
        <v>33</v>
      </c>
      <c r="C51" s="2">
        <v>34.735399999999998</v>
      </c>
      <c r="D51" s="2">
        <v>4000</v>
      </c>
      <c r="E51" s="2">
        <v>382</v>
      </c>
      <c r="F51" s="2">
        <v>48.8</v>
      </c>
      <c r="G51" s="2">
        <v>1</v>
      </c>
      <c r="H51" s="4">
        <f t="shared" si="0"/>
        <v>3.5477593398407379</v>
      </c>
      <c r="I51" s="4">
        <f t="shared" si="1"/>
        <v>8.2940496401020276</v>
      </c>
      <c r="J51" s="4">
        <f t="shared" si="2"/>
        <v>5.9454206086065753</v>
      </c>
      <c r="K51" s="4">
        <f t="shared" si="3"/>
        <v>48.8</v>
      </c>
      <c r="L51" s="4">
        <f t="shared" si="4"/>
        <v>1</v>
      </c>
    </row>
    <row r="52" spans="1:12" x14ac:dyDescent="0.35">
      <c r="A52" s="2" t="s">
        <v>119</v>
      </c>
      <c r="B52" s="2" t="s">
        <v>33</v>
      </c>
      <c r="C52" s="2">
        <v>34.513800000000003</v>
      </c>
      <c r="D52" s="2">
        <v>4000</v>
      </c>
      <c r="E52" s="2">
        <v>382</v>
      </c>
      <c r="F52" s="2">
        <v>48.8</v>
      </c>
      <c r="G52" s="2">
        <v>1</v>
      </c>
      <c r="H52" s="4">
        <f t="shared" si="0"/>
        <v>3.5413592440586412</v>
      </c>
      <c r="I52" s="4">
        <f t="shared" si="1"/>
        <v>8.2940496401020276</v>
      </c>
      <c r="J52" s="4">
        <f t="shared" si="2"/>
        <v>5.9454206086065753</v>
      </c>
      <c r="K52" s="4">
        <f t="shared" si="3"/>
        <v>48.8</v>
      </c>
      <c r="L52" s="4">
        <f t="shared" si="4"/>
        <v>1</v>
      </c>
    </row>
    <row r="53" spans="1:12" x14ac:dyDescent="0.35">
      <c r="A53" s="2" t="s">
        <v>120</v>
      </c>
      <c r="B53" s="2" t="s">
        <v>33</v>
      </c>
      <c r="C53" s="2">
        <v>35.914700000000003</v>
      </c>
      <c r="D53" s="2">
        <v>4000</v>
      </c>
      <c r="E53" s="2">
        <v>382</v>
      </c>
      <c r="F53" s="2">
        <v>49.2</v>
      </c>
      <c r="G53" s="2">
        <v>1</v>
      </c>
      <c r="H53" s="4">
        <f t="shared" si="0"/>
        <v>3.5811466824360516</v>
      </c>
      <c r="I53" s="4">
        <f t="shared" si="1"/>
        <v>8.2940496401020276</v>
      </c>
      <c r="J53" s="4">
        <f t="shared" si="2"/>
        <v>5.9454206086065753</v>
      </c>
      <c r="K53" s="4">
        <f t="shared" si="3"/>
        <v>49.2</v>
      </c>
      <c r="L53" s="4">
        <f t="shared" si="4"/>
        <v>1</v>
      </c>
    </row>
    <row r="54" spans="1:12" x14ac:dyDescent="0.35">
      <c r="A54" s="2" t="s">
        <v>121</v>
      </c>
      <c r="B54" s="2" t="s">
        <v>33</v>
      </c>
      <c r="C54" s="2">
        <v>33.361899999999999</v>
      </c>
      <c r="D54" s="2">
        <v>4500</v>
      </c>
      <c r="E54" s="2">
        <v>382</v>
      </c>
      <c r="F54" s="2">
        <v>49.2</v>
      </c>
      <c r="G54" s="2">
        <v>1</v>
      </c>
      <c r="H54" s="4">
        <f t="shared" si="0"/>
        <v>3.5074145303051543</v>
      </c>
      <c r="I54" s="4">
        <f t="shared" si="1"/>
        <v>8.4118326757584114</v>
      </c>
      <c r="J54" s="4">
        <f t="shared" si="2"/>
        <v>5.9454206086065753</v>
      </c>
      <c r="K54" s="4">
        <f t="shared" si="3"/>
        <v>49.2</v>
      </c>
      <c r="L54" s="4">
        <f t="shared" si="4"/>
        <v>1</v>
      </c>
    </row>
    <row r="55" spans="1:12" x14ac:dyDescent="0.35">
      <c r="A55" s="2" t="s">
        <v>122</v>
      </c>
      <c r="B55" s="2" t="s">
        <v>33</v>
      </c>
      <c r="C55" s="2">
        <v>38.432499999999997</v>
      </c>
      <c r="D55" s="2">
        <v>4500</v>
      </c>
      <c r="E55" s="2">
        <v>375</v>
      </c>
      <c r="F55" s="2">
        <v>52.9</v>
      </c>
      <c r="G55" s="2">
        <v>1</v>
      </c>
      <c r="H55" s="4">
        <f t="shared" si="0"/>
        <v>3.6489034558046174</v>
      </c>
      <c r="I55" s="4">
        <f t="shared" si="1"/>
        <v>8.4118326757584114</v>
      </c>
      <c r="J55" s="4">
        <f t="shared" si="2"/>
        <v>5.9269260259704106</v>
      </c>
      <c r="K55" s="4">
        <f t="shared" si="3"/>
        <v>52.9</v>
      </c>
      <c r="L55" s="4">
        <f t="shared" si="4"/>
        <v>1</v>
      </c>
    </row>
    <row r="56" spans="1:12" x14ac:dyDescent="0.35">
      <c r="A56" s="2" t="s">
        <v>123</v>
      </c>
      <c r="B56" s="2" t="s">
        <v>33</v>
      </c>
      <c r="C56" s="2">
        <v>33.361899999999999</v>
      </c>
      <c r="D56" s="2">
        <v>4500</v>
      </c>
      <c r="E56" s="2">
        <v>382</v>
      </c>
      <c r="F56" s="2">
        <v>49.2</v>
      </c>
      <c r="G56" s="2">
        <v>1</v>
      </c>
      <c r="H56" s="4">
        <f t="shared" si="0"/>
        <v>3.5074145303051543</v>
      </c>
      <c r="I56" s="4">
        <f t="shared" si="1"/>
        <v>8.4118326757584114</v>
      </c>
      <c r="J56" s="4">
        <f t="shared" si="2"/>
        <v>5.9454206086065753</v>
      </c>
      <c r="K56" s="4">
        <f t="shared" si="3"/>
        <v>49.2</v>
      </c>
      <c r="L56" s="4">
        <f t="shared" si="4"/>
        <v>1</v>
      </c>
    </row>
    <row r="57" spans="1:12" x14ac:dyDescent="0.35">
      <c r="A57" s="2" t="s">
        <v>124</v>
      </c>
      <c r="B57" s="2" t="s">
        <v>67</v>
      </c>
      <c r="C57" s="2">
        <v>34.827399999999997</v>
      </c>
      <c r="D57" s="2">
        <v>4000</v>
      </c>
      <c r="E57" s="2">
        <v>382</v>
      </c>
      <c r="F57" s="2">
        <v>46.8</v>
      </c>
      <c r="G57" s="2">
        <v>0</v>
      </c>
      <c r="H57" s="4">
        <f t="shared" si="0"/>
        <v>3.5504044332998848</v>
      </c>
      <c r="I57" s="4">
        <f t="shared" si="1"/>
        <v>8.2940496401020276</v>
      </c>
      <c r="J57" s="4">
        <f t="shared" si="2"/>
        <v>5.9454206086065753</v>
      </c>
      <c r="K57" s="4">
        <f t="shared" si="3"/>
        <v>46.8</v>
      </c>
      <c r="L57" s="4">
        <f t="shared" si="4"/>
        <v>0</v>
      </c>
    </row>
    <row r="58" spans="1:12" x14ac:dyDescent="0.35">
      <c r="A58" s="2" t="s">
        <v>125</v>
      </c>
      <c r="B58" s="2" t="s">
        <v>33</v>
      </c>
      <c r="C58" s="2">
        <v>37.2254</v>
      </c>
      <c r="D58" s="2">
        <v>4500</v>
      </c>
      <c r="E58" s="2">
        <v>181</v>
      </c>
      <c r="F58" s="2">
        <v>48.8</v>
      </c>
      <c r="G58" s="2">
        <v>1</v>
      </c>
      <c r="H58" s="4">
        <f t="shared" si="0"/>
        <v>3.616991323979097</v>
      </c>
      <c r="I58" s="4">
        <f t="shared" si="1"/>
        <v>8.4118326757584114</v>
      </c>
      <c r="J58" s="4">
        <f t="shared" si="2"/>
        <v>5.1984970312658261</v>
      </c>
      <c r="K58" s="4">
        <f t="shared" si="3"/>
        <v>48.8</v>
      </c>
      <c r="L58" s="4">
        <f t="shared" si="4"/>
        <v>1</v>
      </c>
    </row>
    <row r="59" spans="1:12" x14ac:dyDescent="0.35">
      <c r="A59" s="2" t="s">
        <v>126</v>
      </c>
      <c r="B59" s="2" t="s">
        <v>33</v>
      </c>
      <c r="C59" s="2">
        <v>39.082000000000001</v>
      </c>
      <c r="D59" s="2">
        <v>4500</v>
      </c>
      <c r="E59" s="2">
        <v>181</v>
      </c>
      <c r="F59" s="2">
        <v>48.8</v>
      </c>
      <c r="G59" s="2">
        <v>1</v>
      </c>
      <c r="H59" s="4">
        <f t="shared" si="0"/>
        <v>3.6656620029377516</v>
      </c>
      <c r="I59" s="4">
        <f t="shared" si="1"/>
        <v>8.4118326757584114</v>
      </c>
      <c r="J59" s="4">
        <f t="shared" si="2"/>
        <v>5.1984970312658261</v>
      </c>
      <c r="K59" s="4">
        <f t="shared" si="3"/>
        <v>48.8</v>
      </c>
      <c r="L59" s="4">
        <f t="shared" si="4"/>
        <v>1</v>
      </c>
    </row>
    <row r="60" spans="1:12" x14ac:dyDescent="0.35">
      <c r="A60" s="2" t="s">
        <v>127</v>
      </c>
      <c r="B60" s="2" t="s">
        <v>67</v>
      </c>
      <c r="C60" s="2">
        <v>40.199599999999997</v>
      </c>
      <c r="D60" s="2">
        <v>3500</v>
      </c>
      <c r="E60" s="2">
        <v>255</v>
      </c>
      <c r="F60" s="2">
        <v>46.9</v>
      </c>
      <c r="G60" s="2">
        <v>0</v>
      </c>
      <c r="H60" s="4">
        <f t="shared" si="0"/>
        <v>3.6938570453267152</v>
      </c>
      <c r="I60" s="4">
        <f t="shared" si="1"/>
        <v>8.1605182474775049</v>
      </c>
      <c r="J60" s="4">
        <f t="shared" si="2"/>
        <v>5.5412635451584258</v>
      </c>
      <c r="K60" s="4">
        <f t="shared" si="3"/>
        <v>46.9</v>
      </c>
      <c r="L60" s="4">
        <f t="shared" si="4"/>
        <v>0</v>
      </c>
    </row>
    <row r="61" spans="1:12" x14ac:dyDescent="0.35">
      <c r="A61" s="2" t="s">
        <v>128</v>
      </c>
      <c r="B61" s="2" t="s">
        <v>67</v>
      </c>
      <c r="C61" s="2">
        <v>37.497500000000002</v>
      </c>
      <c r="D61" s="2">
        <v>4000</v>
      </c>
      <c r="E61" s="2">
        <v>255</v>
      </c>
      <c r="F61" s="2">
        <v>46.9</v>
      </c>
      <c r="G61" s="2">
        <v>0</v>
      </c>
      <c r="H61" s="4">
        <f t="shared" si="0"/>
        <v>3.6242742640873775</v>
      </c>
      <c r="I61" s="4">
        <f t="shared" si="1"/>
        <v>8.2940496401020276</v>
      </c>
      <c r="J61" s="4">
        <f t="shared" si="2"/>
        <v>5.5412635451584258</v>
      </c>
      <c r="K61" s="4">
        <f t="shared" si="3"/>
        <v>46.9</v>
      </c>
      <c r="L61" s="4">
        <f t="shared" si="4"/>
        <v>0</v>
      </c>
    </row>
    <row r="62" spans="1:12" x14ac:dyDescent="0.35">
      <c r="A62" s="2" t="s">
        <v>129</v>
      </c>
      <c r="B62" s="2" t="s">
        <v>67</v>
      </c>
      <c r="C62" s="2">
        <v>37.9816</v>
      </c>
      <c r="D62" s="2">
        <v>4000</v>
      </c>
      <c r="E62" s="2">
        <v>255</v>
      </c>
      <c r="F62" s="2">
        <v>49</v>
      </c>
      <c r="G62" s="2">
        <v>0</v>
      </c>
      <c r="H62" s="4">
        <f t="shared" si="0"/>
        <v>3.6371018319322967</v>
      </c>
      <c r="I62" s="4">
        <f t="shared" si="1"/>
        <v>8.2940496401020276</v>
      </c>
      <c r="J62" s="4">
        <f t="shared" si="2"/>
        <v>5.5412635451584258</v>
      </c>
      <c r="K62" s="4">
        <f t="shared" si="3"/>
        <v>49</v>
      </c>
      <c r="L62" s="4">
        <f t="shared" si="4"/>
        <v>0</v>
      </c>
    </row>
    <row r="63" spans="1:12" x14ac:dyDescent="0.35">
      <c r="A63" s="2" t="s">
        <v>130</v>
      </c>
      <c r="B63" s="2" t="s">
        <v>67</v>
      </c>
      <c r="C63" s="2">
        <v>36.117400000000004</v>
      </c>
      <c r="D63" s="2">
        <v>4000</v>
      </c>
      <c r="E63" s="2">
        <v>255</v>
      </c>
      <c r="F63" s="2">
        <v>49.2</v>
      </c>
      <c r="G63" s="2">
        <v>0</v>
      </c>
      <c r="H63" s="4">
        <f t="shared" si="0"/>
        <v>3.5867747436766515</v>
      </c>
      <c r="I63" s="4">
        <f t="shared" si="1"/>
        <v>8.2940496401020276</v>
      </c>
      <c r="J63" s="4">
        <f t="shared" si="2"/>
        <v>5.5412635451584258</v>
      </c>
      <c r="K63" s="4">
        <f t="shared" si="3"/>
        <v>49.2</v>
      </c>
      <c r="L63" s="4">
        <f t="shared" si="4"/>
        <v>0</v>
      </c>
    </row>
    <row r="64" spans="1:12" x14ac:dyDescent="0.35">
      <c r="A64" s="2" t="s">
        <v>131</v>
      </c>
      <c r="B64" s="2" t="s">
        <v>67</v>
      </c>
      <c r="C64" s="2">
        <v>34.355600000000003</v>
      </c>
      <c r="D64" s="2">
        <v>4000</v>
      </c>
      <c r="E64" s="2">
        <v>382</v>
      </c>
      <c r="F64" s="2">
        <v>46.8</v>
      </c>
      <c r="G64" s="2">
        <v>0</v>
      </c>
      <c r="H64" s="4">
        <f t="shared" si="0"/>
        <v>3.5367650330372715</v>
      </c>
      <c r="I64" s="4">
        <f t="shared" si="1"/>
        <v>8.2940496401020276</v>
      </c>
      <c r="J64" s="4">
        <f t="shared" si="2"/>
        <v>5.9454206086065753</v>
      </c>
      <c r="K64" s="4">
        <f t="shared" si="3"/>
        <v>46.8</v>
      </c>
      <c r="L64" s="4">
        <f t="shared" si="4"/>
        <v>0</v>
      </c>
    </row>
    <row r="65" spans="1:12" x14ac:dyDescent="0.35">
      <c r="A65" s="2" t="s">
        <v>132</v>
      </c>
      <c r="B65" s="2" t="s">
        <v>33</v>
      </c>
      <c r="C65" s="2">
        <v>35.914700000000003</v>
      </c>
      <c r="D65" s="2">
        <v>4000</v>
      </c>
      <c r="E65" s="2">
        <v>382</v>
      </c>
      <c r="F65" s="2">
        <v>49</v>
      </c>
      <c r="G65" s="2">
        <v>1</v>
      </c>
      <c r="H65" s="4">
        <f t="shared" si="0"/>
        <v>3.5811466824360516</v>
      </c>
      <c r="I65" s="4">
        <f t="shared" si="1"/>
        <v>8.2940496401020276</v>
      </c>
      <c r="J65" s="4">
        <f t="shared" si="2"/>
        <v>5.9454206086065753</v>
      </c>
      <c r="K65" s="4">
        <f t="shared" si="3"/>
        <v>49</v>
      </c>
      <c r="L65" s="4">
        <f t="shared" si="4"/>
        <v>1</v>
      </c>
    </row>
    <row r="66" spans="1:12" x14ac:dyDescent="0.35">
      <c r="A66" s="2" t="s">
        <v>133</v>
      </c>
      <c r="B66" s="2" t="s">
        <v>33</v>
      </c>
      <c r="C66" s="2">
        <v>23.688300000000002</v>
      </c>
      <c r="D66" s="2">
        <v>6000</v>
      </c>
      <c r="E66" s="2">
        <v>523</v>
      </c>
      <c r="F66" s="2">
        <v>56.4</v>
      </c>
      <c r="G66" s="2">
        <v>1</v>
      </c>
      <c r="H66" s="4">
        <f t="shared" ref="H66:H129" si="5">LN(C66)</f>
        <v>3.1649812553594185</v>
      </c>
      <c r="I66" s="4">
        <f t="shared" ref="I66:I129" si="6">LN(D66)</f>
        <v>8.6995147482101913</v>
      </c>
      <c r="J66" s="4">
        <f t="shared" ref="J66:J129" si="7">LN(E66)</f>
        <v>6.2595814640649232</v>
      </c>
      <c r="K66" s="4">
        <f t="shared" ref="K66:K129" si="8">F66</f>
        <v>56.4</v>
      </c>
      <c r="L66" s="4">
        <f t="shared" ref="L66:L129" si="9">G66</f>
        <v>1</v>
      </c>
    </row>
    <row r="67" spans="1:12" x14ac:dyDescent="0.35">
      <c r="A67" s="2" t="s">
        <v>134</v>
      </c>
      <c r="B67" s="2" t="s">
        <v>33</v>
      </c>
      <c r="C67" s="2">
        <v>22.3627</v>
      </c>
      <c r="D67" s="2">
        <v>6500</v>
      </c>
      <c r="E67" s="2">
        <v>631</v>
      </c>
      <c r="F67" s="2">
        <v>54.1</v>
      </c>
      <c r="G67" s="2">
        <v>1</v>
      </c>
      <c r="H67" s="4">
        <f t="shared" si="5"/>
        <v>3.1073943923387235</v>
      </c>
      <c r="I67" s="4">
        <f t="shared" si="6"/>
        <v>8.7795574558837277</v>
      </c>
      <c r="J67" s="4">
        <f t="shared" si="7"/>
        <v>6.4473058625412127</v>
      </c>
      <c r="K67" s="4">
        <f t="shared" si="8"/>
        <v>54.1</v>
      </c>
      <c r="L67" s="4">
        <f t="shared" si="9"/>
        <v>1</v>
      </c>
    </row>
    <row r="68" spans="1:12" x14ac:dyDescent="0.35">
      <c r="A68" s="2" t="s">
        <v>135</v>
      </c>
      <c r="B68" s="2" t="s">
        <v>33</v>
      </c>
      <c r="C68" s="2">
        <v>29.510300000000001</v>
      </c>
      <c r="D68" s="2">
        <v>5500</v>
      </c>
      <c r="E68" s="2">
        <v>375</v>
      </c>
      <c r="F68" s="2">
        <v>56.4</v>
      </c>
      <c r="G68" s="2">
        <v>1</v>
      </c>
      <c r="H68" s="4">
        <f t="shared" si="5"/>
        <v>3.3847393549485827</v>
      </c>
      <c r="I68" s="4">
        <f t="shared" si="6"/>
        <v>8.6125033712205621</v>
      </c>
      <c r="J68" s="4">
        <f t="shared" si="7"/>
        <v>5.9269260259704106</v>
      </c>
      <c r="K68" s="4">
        <f t="shared" si="8"/>
        <v>56.4</v>
      </c>
      <c r="L68" s="4">
        <f t="shared" si="9"/>
        <v>1</v>
      </c>
    </row>
    <row r="69" spans="1:12" x14ac:dyDescent="0.35">
      <c r="A69" s="2" t="s">
        <v>136</v>
      </c>
      <c r="B69" s="2" t="s">
        <v>33</v>
      </c>
      <c r="C69" s="2">
        <v>26.634499999999999</v>
      </c>
      <c r="D69" s="2">
        <v>5500</v>
      </c>
      <c r="E69" s="2">
        <v>536</v>
      </c>
      <c r="F69" s="2">
        <v>57.3</v>
      </c>
      <c r="G69" s="2">
        <v>1</v>
      </c>
      <c r="H69" s="4">
        <f t="shared" si="5"/>
        <v>3.2822073679006638</v>
      </c>
      <c r="I69" s="4">
        <f t="shared" si="6"/>
        <v>8.6125033712205621</v>
      </c>
      <c r="J69" s="4">
        <f t="shared" si="7"/>
        <v>6.2841341610708019</v>
      </c>
      <c r="K69" s="4">
        <f t="shared" si="8"/>
        <v>57.3</v>
      </c>
      <c r="L69" s="4">
        <f t="shared" si="9"/>
        <v>1</v>
      </c>
    </row>
    <row r="70" spans="1:12" x14ac:dyDescent="0.35">
      <c r="A70" s="2" t="s">
        <v>137</v>
      </c>
      <c r="B70" s="2" t="s">
        <v>33</v>
      </c>
      <c r="C70" s="2">
        <v>37.264499999999998</v>
      </c>
      <c r="D70" s="2">
        <v>5000</v>
      </c>
      <c r="E70" s="2">
        <v>375</v>
      </c>
      <c r="F70" s="2">
        <v>57.8</v>
      </c>
      <c r="G70" s="2">
        <v>1</v>
      </c>
      <c r="H70" s="4">
        <f t="shared" si="5"/>
        <v>3.6180411308278368</v>
      </c>
      <c r="I70" s="4">
        <f t="shared" si="6"/>
        <v>8.5171931914162382</v>
      </c>
      <c r="J70" s="4">
        <f t="shared" si="7"/>
        <v>5.9269260259704106</v>
      </c>
      <c r="K70" s="4">
        <f t="shared" si="8"/>
        <v>57.8</v>
      </c>
      <c r="L70" s="4">
        <f t="shared" si="9"/>
        <v>1</v>
      </c>
    </row>
    <row r="71" spans="1:12" x14ac:dyDescent="0.35">
      <c r="A71" s="2" t="s">
        <v>138</v>
      </c>
      <c r="B71" s="2" t="s">
        <v>33</v>
      </c>
      <c r="C71" s="2">
        <v>36.101999999999997</v>
      </c>
      <c r="D71" s="2">
        <v>5000</v>
      </c>
      <c r="E71" s="2">
        <v>375</v>
      </c>
      <c r="F71" s="2">
        <v>57.8</v>
      </c>
      <c r="G71" s="2">
        <v>1</v>
      </c>
      <c r="H71" s="4">
        <f t="shared" si="5"/>
        <v>3.5863482654662695</v>
      </c>
      <c r="I71" s="4">
        <f t="shared" si="6"/>
        <v>8.5171931914162382</v>
      </c>
      <c r="J71" s="4">
        <f t="shared" si="7"/>
        <v>5.9269260259704106</v>
      </c>
      <c r="K71" s="4">
        <f t="shared" si="8"/>
        <v>57.8</v>
      </c>
      <c r="L71" s="4">
        <f t="shared" si="9"/>
        <v>1</v>
      </c>
    </row>
    <row r="72" spans="1:12" x14ac:dyDescent="0.35">
      <c r="A72" s="2" t="s">
        <v>139</v>
      </c>
      <c r="B72" s="2" t="s">
        <v>67</v>
      </c>
      <c r="C72" s="2">
        <v>37.538699999999999</v>
      </c>
      <c r="D72" s="2">
        <v>4000</v>
      </c>
      <c r="E72" s="2">
        <v>241</v>
      </c>
      <c r="F72" s="2">
        <v>45.6</v>
      </c>
      <c r="G72" s="2">
        <v>0</v>
      </c>
      <c r="H72" s="4">
        <f t="shared" si="5"/>
        <v>3.6253724008304502</v>
      </c>
      <c r="I72" s="4">
        <f t="shared" si="6"/>
        <v>8.2940496401020276</v>
      </c>
      <c r="J72" s="4">
        <f t="shared" si="7"/>
        <v>5.4847969334906548</v>
      </c>
      <c r="K72" s="4">
        <f t="shared" si="8"/>
        <v>45.6</v>
      </c>
      <c r="L72" s="4">
        <f t="shared" si="9"/>
        <v>0</v>
      </c>
    </row>
    <row r="73" spans="1:12" x14ac:dyDescent="0.35">
      <c r="A73" s="2" t="s">
        <v>140</v>
      </c>
      <c r="B73" s="2" t="s">
        <v>33</v>
      </c>
      <c r="C73" s="2">
        <v>17.759499999999999</v>
      </c>
      <c r="D73" s="2">
        <v>6500</v>
      </c>
      <c r="E73" s="2">
        <v>483</v>
      </c>
      <c r="F73" s="2">
        <v>57</v>
      </c>
      <c r="G73" s="2">
        <v>1</v>
      </c>
      <c r="H73" s="4">
        <f t="shared" si="5"/>
        <v>2.8769205840145635</v>
      </c>
      <c r="I73" s="4">
        <f t="shared" si="6"/>
        <v>8.7795574558837277</v>
      </c>
      <c r="J73" s="4">
        <f t="shared" si="7"/>
        <v>6.1800166536525722</v>
      </c>
      <c r="K73" s="4">
        <f t="shared" si="8"/>
        <v>57</v>
      </c>
      <c r="L73" s="4">
        <f t="shared" si="9"/>
        <v>1</v>
      </c>
    </row>
    <row r="74" spans="1:12" x14ac:dyDescent="0.35">
      <c r="A74" s="2" t="s">
        <v>141</v>
      </c>
      <c r="B74" s="2" t="s">
        <v>67</v>
      </c>
      <c r="C74" s="2">
        <v>24.630700000000001</v>
      </c>
      <c r="D74" s="2">
        <v>4000</v>
      </c>
      <c r="E74" s="2">
        <v>453</v>
      </c>
      <c r="F74" s="2">
        <v>47.6</v>
      </c>
      <c r="G74" s="2">
        <v>0</v>
      </c>
      <c r="H74" s="4">
        <f t="shared" si="5"/>
        <v>3.2039936323538418</v>
      </c>
      <c r="I74" s="4">
        <f t="shared" si="6"/>
        <v>8.2940496401020276</v>
      </c>
      <c r="J74" s="4">
        <f t="shared" si="7"/>
        <v>6.1158921254830343</v>
      </c>
      <c r="K74" s="4">
        <f t="shared" si="8"/>
        <v>47.6</v>
      </c>
      <c r="L74" s="4">
        <f t="shared" si="9"/>
        <v>0</v>
      </c>
    </row>
    <row r="75" spans="1:12" x14ac:dyDescent="0.35">
      <c r="A75" s="2" t="s">
        <v>141</v>
      </c>
      <c r="B75" s="2" t="s">
        <v>67</v>
      </c>
      <c r="C75" s="2">
        <v>23.9758</v>
      </c>
      <c r="D75" s="2">
        <v>4000</v>
      </c>
      <c r="E75" s="2">
        <v>453</v>
      </c>
      <c r="F75" s="2">
        <v>47.6</v>
      </c>
      <c r="G75" s="2">
        <v>0</v>
      </c>
      <c r="H75" s="4">
        <f t="shared" si="5"/>
        <v>3.1770449883045617</v>
      </c>
      <c r="I75" s="4">
        <f t="shared" si="6"/>
        <v>8.2940496401020276</v>
      </c>
      <c r="J75" s="4">
        <f t="shared" si="7"/>
        <v>6.1158921254830343</v>
      </c>
      <c r="K75" s="4">
        <f t="shared" si="8"/>
        <v>47.6</v>
      </c>
      <c r="L75" s="4">
        <f t="shared" si="9"/>
        <v>0</v>
      </c>
    </row>
    <row r="76" spans="1:12" x14ac:dyDescent="0.35">
      <c r="A76" s="2" t="s">
        <v>142</v>
      </c>
      <c r="B76" s="2" t="s">
        <v>33</v>
      </c>
      <c r="C76" s="2">
        <v>35.546799999999998</v>
      </c>
      <c r="D76" s="2">
        <v>5500</v>
      </c>
      <c r="E76" s="2">
        <v>308</v>
      </c>
      <c r="F76" s="2">
        <v>57.8</v>
      </c>
      <c r="G76" s="2">
        <v>1</v>
      </c>
      <c r="H76" s="4">
        <f t="shared" si="5"/>
        <v>3.5708501381330433</v>
      </c>
      <c r="I76" s="4">
        <f t="shared" si="6"/>
        <v>8.6125033712205621</v>
      </c>
      <c r="J76" s="4">
        <f t="shared" si="7"/>
        <v>5.730099782973574</v>
      </c>
      <c r="K76" s="4">
        <f t="shared" si="8"/>
        <v>57.8</v>
      </c>
      <c r="L76" s="4">
        <f t="shared" si="9"/>
        <v>1</v>
      </c>
    </row>
    <row r="77" spans="1:12" x14ac:dyDescent="0.35">
      <c r="A77" s="2" t="s">
        <v>143</v>
      </c>
      <c r="B77" s="2" t="s">
        <v>33</v>
      </c>
      <c r="C77" s="2">
        <v>32.624499999999998</v>
      </c>
      <c r="D77" s="2">
        <v>6000</v>
      </c>
      <c r="E77" s="2">
        <v>308</v>
      </c>
      <c r="F77" s="2">
        <v>54</v>
      </c>
      <c r="G77" s="2">
        <v>1</v>
      </c>
      <c r="H77" s="4">
        <f t="shared" si="5"/>
        <v>3.4850635398549201</v>
      </c>
      <c r="I77" s="4">
        <f t="shared" si="6"/>
        <v>8.6995147482101913</v>
      </c>
      <c r="J77" s="4">
        <f t="shared" si="7"/>
        <v>5.730099782973574</v>
      </c>
      <c r="K77" s="4">
        <f t="shared" si="8"/>
        <v>54</v>
      </c>
      <c r="L77" s="4">
        <f t="shared" si="9"/>
        <v>1</v>
      </c>
    </row>
    <row r="78" spans="1:12" x14ac:dyDescent="0.35">
      <c r="A78" s="2" t="s">
        <v>144</v>
      </c>
      <c r="B78" s="2" t="s">
        <v>33</v>
      </c>
      <c r="C78" s="2">
        <v>32.903500000000001</v>
      </c>
      <c r="D78" s="2">
        <v>5000</v>
      </c>
      <c r="E78" s="2">
        <v>375</v>
      </c>
      <c r="F78" s="2">
        <v>54</v>
      </c>
      <c r="G78" s="2">
        <v>1</v>
      </c>
      <c r="H78" s="4">
        <f t="shared" si="5"/>
        <v>3.4935790350917819</v>
      </c>
      <c r="I78" s="4">
        <f t="shared" si="6"/>
        <v>8.5171931914162382</v>
      </c>
      <c r="J78" s="4">
        <f t="shared" si="7"/>
        <v>5.9269260259704106</v>
      </c>
      <c r="K78" s="4">
        <f t="shared" si="8"/>
        <v>54</v>
      </c>
      <c r="L78" s="4">
        <f t="shared" si="9"/>
        <v>1</v>
      </c>
    </row>
    <row r="79" spans="1:12" x14ac:dyDescent="0.35">
      <c r="A79" s="2" t="s">
        <v>145</v>
      </c>
      <c r="B79" s="2" t="s">
        <v>33</v>
      </c>
      <c r="C79" s="2">
        <v>33.275599999999997</v>
      </c>
      <c r="D79" s="2">
        <v>5000</v>
      </c>
      <c r="E79" s="2">
        <v>375</v>
      </c>
      <c r="F79" s="2">
        <v>54</v>
      </c>
      <c r="G79" s="2">
        <v>1</v>
      </c>
      <c r="H79" s="4">
        <f t="shared" si="5"/>
        <v>3.5048243956738303</v>
      </c>
      <c r="I79" s="4">
        <f t="shared" si="6"/>
        <v>8.5171931914162382</v>
      </c>
      <c r="J79" s="4">
        <f t="shared" si="7"/>
        <v>5.9269260259704106</v>
      </c>
      <c r="K79" s="4">
        <f t="shared" si="8"/>
        <v>54</v>
      </c>
      <c r="L79" s="4">
        <f t="shared" si="9"/>
        <v>1</v>
      </c>
    </row>
    <row r="80" spans="1:12" x14ac:dyDescent="0.35">
      <c r="A80" s="2" t="s">
        <v>146</v>
      </c>
      <c r="B80" s="2" t="s">
        <v>33</v>
      </c>
      <c r="C80" s="2">
        <v>24.872199999999999</v>
      </c>
      <c r="D80" s="2">
        <v>5500</v>
      </c>
      <c r="E80" s="2">
        <v>523</v>
      </c>
      <c r="F80" s="2">
        <v>54.2</v>
      </c>
      <c r="G80" s="2">
        <v>1</v>
      </c>
      <c r="H80" s="4">
        <f t="shared" si="5"/>
        <v>3.2137507138949171</v>
      </c>
      <c r="I80" s="4">
        <f t="shared" si="6"/>
        <v>8.6125033712205621</v>
      </c>
      <c r="J80" s="4">
        <f t="shared" si="7"/>
        <v>6.2595814640649232</v>
      </c>
      <c r="K80" s="4">
        <f t="shared" si="8"/>
        <v>54.2</v>
      </c>
      <c r="L80" s="4">
        <f t="shared" si="9"/>
        <v>1</v>
      </c>
    </row>
    <row r="81" spans="1:12" x14ac:dyDescent="0.35">
      <c r="A81" s="2" t="s">
        <v>147</v>
      </c>
      <c r="B81" s="2" t="s">
        <v>33</v>
      </c>
      <c r="C81" s="2">
        <v>24.872199999999999</v>
      </c>
      <c r="D81" s="2">
        <v>5500</v>
      </c>
      <c r="E81" s="2">
        <v>523</v>
      </c>
      <c r="F81" s="2">
        <v>54.2</v>
      </c>
      <c r="G81" s="2">
        <v>1</v>
      </c>
      <c r="H81" s="4">
        <f t="shared" si="5"/>
        <v>3.2137507138949171</v>
      </c>
      <c r="I81" s="4">
        <f t="shared" si="6"/>
        <v>8.6125033712205621</v>
      </c>
      <c r="J81" s="4">
        <f t="shared" si="7"/>
        <v>6.2595814640649232</v>
      </c>
      <c r="K81" s="4">
        <f t="shared" si="8"/>
        <v>54.2</v>
      </c>
      <c r="L81" s="4">
        <f t="shared" si="9"/>
        <v>1</v>
      </c>
    </row>
    <row r="82" spans="1:12" x14ac:dyDescent="0.35">
      <c r="A82" s="2" t="s">
        <v>148</v>
      </c>
      <c r="B82" s="2" t="s">
        <v>67</v>
      </c>
      <c r="C82" s="2">
        <v>23.012799999999999</v>
      </c>
      <c r="D82" s="2">
        <v>4000</v>
      </c>
      <c r="E82" s="2">
        <v>543</v>
      </c>
      <c r="F82" s="2">
        <v>49.7</v>
      </c>
      <c r="G82" s="2">
        <v>0</v>
      </c>
      <c r="H82" s="4">
        <f t="shared" si="5"/>
        <v>3.1360505828674876</v>
      </c>
      <c r="I82" s="4">
        <f t="shared" si="6"/>
        <v>8.2940496401020276</v>
      </c>
      <c r="J82" s="4">
        <f t="shared" si="7"/>
        <v>6.2971093199339352</v>
      </c>
      <c r="K82" s="4">
        <f t="shared" si="8"/>
        <v>49.7</v>
      </c>
      <c r="L82" s="4">
        <f t="shared" si="9"/>
        <v>0</v>
      </c>
    </row>
    <row r="83" spans="1:12" x14ac:dyDescent="0.35">
      <c r="A83" s="2" t="s">
        <v>149</v>
      </c>
      <c r="B83" s="2" t="s">
        <v>33</v>
      </c>
      <c r="C83" s="2">
        <v>17.866499999999998</v>
      </c>
      <c r="D83" s="2">
        <v>6500</v>
      </c>
      <c r="E83" s="2">
        <v>577</v>
      </c>
      <c r="F83" s="2">
        <v>57</v>
      </c>
      <c r="G83" s="2">
        <v>1</v>
      </c>
      <c r="H83" s="4">
        <f t="shared" si="5"/>
        <v>2.8829274510069283</v>
      </c>
      <c r="I83" s="4">
        <f t="shared" si="6"/>
        <v>8.7795574558837277</v>
      </c>
      <c r="J83" s="4">
        <f t="shared" si="7"/>
        <v>6.3578422665080998</v>
      </c>
      <c r="K83" s="4">
        <f t="shared" si="8"/>
        <v>57</v>
      </c>
      <c r="L83" s="4">
        <f t="shared" si="9"/>
        <v>1</v>
      </c>
    </row>
    <row r="84" spans="1:12" x14ac:dyDescent="0.35">
      <c r="A84" s="2" t="s">
        <v>150</v>
      </c>
      <c r="B84" s="2" t="s">
        <v>33</v>
      </c>
      <c r="C84" s="2">
        <v>40.646299999999997</v>
      </c>
      <c r="D84" s="2">
        <v>4000</v>
      </c>
      <c r="E84" s="2">
        <v>255</v>
      </c>
      <c r="F84" s="2">
        <v>52.9</v>
      </c>
      <c r="G84" s="2">
        <v>1</v>
      </c>
      <c r="H84" s="4">
        <f t="shared" si="5"/>
        <v>3.7049078109409561</v>
      </c>
      <c r="I84" s="4">
        <f t="shared" si="6"/>
        <v>8.2940496401020276</v>
      </c>
      <c r="J84" s="4">
        <f t="shared" si="7"/>
        <v>5.5412635451584258</v>
      </c>
      <c r="K84" s="4">
        <f t="shared" si="8"/>
        <v>52.9</v>
      </c>
      <c r="L84" s="4">
        <f t="shared" si="9"/>
        <v>1</v>
      </c>
    </row>
    <row r="85" spans="1:12" x14ac:dyDescent="0.35">
      <c r="A85" s="2" t="s">
        <v>151</v>
      </c>
      <c r="B85" s="2" t="s">
        <v>33</v>
      </c>
      <c r="C85" s="2">
        <v>40.6252</v>
      </c>
      <c r="D85" s="2">
        <v>4500</v>
      </c>
      <c r="E85" s="2">
        <v>255</v>
      </c>
      <c r="F85" s="2">
        <v>52.9</v>
      </c>
      <c r="G85" s="2">
        <v>1</v>
      </c>
      <c r="H85" s="4">
        <f t="shared" si="5"/>
        <v>3.7043885637147063</v>
      </c>
      <c r="I85" s="4">
        <f t="shared" si="6"/>
        <v>8.4118326757584114</v>
      </c>
      <c r="J85" s="4">
        <f t="shared" si="7"/>
        <v>5.5412635451584258</v>
      </c>
      <c r="K85" s="4">
        <f t="shared" si="8"/>
        <v>52.9</v>
      </c>
      <c r="L85" s="4">
        <f t="shared" si="9"/>
        <v>1</v>
      </c>
    </row>
    <row r="86" spans="1:12" x14ac:dyDescent="0.35">
      <c r="A86" s="2" t="s">
        <v>152</v>
      </c>
      <c r="B86" s="2" t="s">
        <v>67</v>
      </c>
      <c r="C86" s="2">
        <v>35.038600000000002</v>
      </c>
      <c r="D86" s="2">
        <v>4000</v>
      </c>
      <c r="E86" s="2">
        <v>312</v>
      </c>
      <c r="F86" s="2">
        <v>45.9</v>
      </c>
      <c r="G86" s="2">
        <v>0</v>
      </c>
      <c r="H86" s="4">
        <f t="shared" si="5"/>
        <v>3.5564503109320955</v>
      </c>
      <c r="I86" s="4">
        <f t="shared" si="6"/>
        <v>8.2940496401020276</v>
      </c>
      <c r="J86" s="4">
        <f t="shared" si="7"/>
        <v>5.7430031878094825</v>
      </c>
      <c r="K86" s="4">
        <f t="shared" si="8"/>
        <v>45.9</v>
      </c>
      <c r="L86" s="4">
        <f t="shared" si="9"/>
        <v>0</v>
      </c>
    </row>
    <row r="87" spans="1:12" x14ac:dyDescent="0.35">
      <c r="A87" s="2" t="s">
        <v>153</v>
      </c>
      <c r="B87" s="2" t="s">
        <v>67</v>
      </c>
      <c r="C87" s="2">
        <v>37.073399999999999</v>
      </c>
      <c r="D87" s="2">
        <v>4000</v>
      </c>
      <c r="E87" s="2">
        <v>241</v>
      </c>
      <c r="F87" s="2">
        <v>45.9</v>
      </c>
      <c r="G87" s="2">
        <v>0</v>
      </c>
      <c r="H87" s="4">
        <f t="shared" si="5"/>
        <v>3.6128997313274183</v>
      </c>
      <c r="I87" s="4">
        <f t="shared" si="6"/>
        <v>8.2940496401020276</v>
      </c>
      <c r="J87" s="4">
        <f t="shared" si="7"/>
        <v>5.4847969334906548</v>
      </c>
      <c r="K87" s="4">
        <f t="shared" si="8"/>
        <v>45.9</v>
      </c>
      <c r="L87" s="4">
        <f t="shared" si="9"/>
        <v>0</v>
      </c>
    </row>
    <row r="88" spans="1:12" x14ac:dyDescent="0.35">
      <c r="A88" s="2" t="s">
        <v>154</v>
      </c>
      <c r="B88" s="2" t="s">
        <v>67</v>
      </c>
      <c r="C88" s="2">
        <v>35.131500000000003</v>
      </c>
      <c r="D88" s="2">
        <v>4000</v>
      </c>
      <c r="E88" s="2">
        <v>312</v>
      </c>
      <c r="F88" s="2">
        <v>45.9</v>
      </c>
      <c r="G88" s="2">
        <v>0</v>
      </c>
      <c r="H88" s="4">
        <f t="shared" si="5"/>
        <v>3.5590981639144279</v>
      </c>
      <c r="I88" s="4">
        <f t="shared" si="6"/>
        <v>8.2940496401020276</v>
      </c>
      <c r="J88" s="4">
        <f t="shared" si="7"/>
        <v>5.7430031878094825</v>
      </c>
      <c r="K88" s="4">
        <f t="shared" si="8"/>
        <v>45.9</v>
      </c>
      <c r="L88" s="4">
        <f t="shared" si="9"/>
        <v>0</v>
      </c>
    </row>
    <row r="89" spans="1:12" x14ac:dyDescent="0.35">
      <c r="A89" s="2" t="s">
        <v>155</v>
      </c>
      <c r="B89" s="2" t="s">
        <v>67</v>
      </c>
      <c r="C89" s="2">
        <v>44.193800000000003</v>
      </c>
      <c r="D89" s="2">
        <v>3000</v>
      </c>
      <c r="E89" s="2">
        <v>134</v>
      </c>
      <c r="F89" s="2">
        <v>40.299999999999997</v>
      </c>
      <c r="G89" s="2">
        <v>0</v>
      </c>
      <c r="H89" s="4">
        <f t="shared" si="5"/>
        <v>3.7885845077514739</v>
      </c>
      <c r="I89" s="4">
        <f t="shared" si="6"/>
        <v>8.0063675676502459</v>
      </c>
      <c r="J89" s="4">
        <f t="shared" si="7"/>
        <v>4.8978397999509111</v>
      </c>
      <c r="K89" s="4">
        <f t="shared" si="8"/>
        <v>40.299999999999997</v>
      </c>
      <c r="L89" s="4">
        <f t="shared" si="9"/>
        <v>0</v>
      </c>
    </row>
    <row r="90" spans="1:12" x14ac:dyDescent="0.35">
      <c r="A90" s="2" t="s">
        <v>155</v>
      </c>
      <c r="B90" s="2" t="s">
        <v>67</v>
      </c>
      <c r="C90" s="2">
        <v>42.4846</v>
      </c>
      <c r="D90" s="2">
        <v>3000</v>
      </c>
      <c r="E90" s="2">
        <v>134</v>
      </c>
      <c r="F90" s="2">
        <v>40.299999999999997</v>
      </c>
      <c r="G90" s="2">
        <v>0</v>
      </c>
      <c r="H90" s="4">
        <f t="shared" si="5"/>
        <v>3.7491416573235044</v>
      </c>
      <c r="I90" s="4">
        <f t="shared" si="6"/>
        <v>8.0063675676502459</v>
      </c>
      <c r="J90" s="4">
        <f t="shared" si="7"/>
        <v>4.8978397999509111</v>
      </c>
      <c r="K90" s="4">
        <f t="shared" si="8"/>
        <v>40.299999999999997</v>
      </c>
      <c r="L90" s="4">
        <f t="shared" si="9"/>
        <v>0</v>
      </c>
    </row>
    <row r="91" spans="1:12" x14ac:dyDescent="0.35">
      <c r="A91" s="2" t="s">
        <v>156</v>
      </c>
      <c r="B91" s="2" t="s">
        <v>67</v>
      </c>
      <c r="C91" s="2">
        <v>43.005499999999998</v>
      </c>
      <c r="D91" s="2">
        <v>3000</v>
      </c>
      <c r="E91" s="2">
        <v>189</v>
      </c>
      <c r="F91" s="2">
        <v>39.9</v>
      </c>
      <c r="G91" s="2">
        <v>0</v>
      </c>
      <c r="H91" s="4">
        <f t="shared" si="5"/>
        <v>3.7613280144909065</v>
      </c>
      <c r="I91" s="4">
        <f t="shared" si="6"/>
        <v>8.0063675676502459</v>
      </c>
      <c r="J91" s="4">
        <f t="shared" si="7"/>
        <v>5.2417470150596426</v>
      </c>
      <c r="K91" s="4">
        <f t="shared" si="8"/>
        <v>39.9</v>
      </c>
      <c r="L91" s="4">
        <f t="shared" si="9"/>
        <v>0</v>
      </c>
    </row>
    <row r="92" spans="1:12" x14ac:dyDescent="0.35">
      <c r="A92" s="2" t="s">
        <v>156</v>
      </c>
      <c r="B92" s="2" t="s">
        <v>67</v>
      </c>
      <c r="C92" s="2">
        <v>35.754399999999997</v>
      </c>
      <c r="D92" s="2">
        <v>3000</v>
      </c>
      <c r="E92" s="2">
        <v>189</v>
      </c>
      <c r="F92" s="2">
        <v>39.9</v>
      </c>
      <c r="G92" s="2">
        <v>0</v>
      </c>
      <c r="H92" s="4">
        <f t="shared" si="5"/>
        <v>3.5766733384897504</v>
      </c>
      <c r="I92" s="4">
        <f t="shared" si="6"/>
        <v>8.0063675676502459</v>
      </c>
      <c r="J92" s="4">
        <f t="shared" si="7"/>
        <v>5.2417470150596426</v>
      </c>
      <c r="K92" s="4">
        <f t="shared" si="8"/>
        <v>39.9</v>
      </c>
      <c r="L92" s="4">
        <f t="shared" si="9"/>
        <v>0</v>
      </c>
    </row>
    <row r="93" spans="1:12" x14ac:dyDescent="0.35">
      <c r="A93" s="2" t="s">
        <v>157</v>
      </c>
      <c r="B93" s="2" t="s">
        <v>67</v>
      </c>
      <c r="C93" s="2">
        <v>43.005499999999998</v>
      </c>
      <c r="D93" s="2">
        <v>3000</v>
      </c>
      <c r="E93" s="2">
        <v>189</v>
      </c>
      <c r="F93" s="2">
        <v>41.1</v>
      </c>
      <c r="G93" s="2">
        <v>0</v>
      </c>
      <c r="H93" s="4">
        <f t="shared" si="5"/>
        <v>3.7613280144909065</v>
      </c>
      <c r="I93" s="4">
        <f t="shared" si="6"/>
        <v>8.0063675676502459</v>
      </c>
      <c r="J93" s="4">
        <f t="shared" si="7"/>
        <v>5.2417470150596426</v>
      </c>
      <c r="K93" s="4">
        <f t="shared" si="8"/>
        <v>41.1</v>
      </c>
      <c r="L93" s="4">
        <f t="shared" si="9"/>
        <v>0</v>
      </c>
    </row>
    <row r="94" spans="1:12" x14ac:dyDescent="0.35">
      <c r="A94" s="2" t="s">
        <v>157</v>
      </c>
      <c r="B94" s="2" t="s">
        <v>67</v>
      </c>
      <c r="C94" s="2">
        <v>35.754399999999997</v>
      </c>
      <c r="D94" s="2">
        <v>3000</v>
      </c>
      <c r="E94" s="2">
        <v>189</v>
      </c>
      <c r="F94" s="2">
        <v>41.1</v>
      </c>
      <c r="G94" s="2">
        <v>0</v>
      </c>
      <c r="H94" s="4">
        <f t="shared" si="5"/>
        <v>3.5766733384897504</v>
      </c>
      <c r="I94" s="4">
        <f t="shared" si="6"/>
        <v>8.0063675676502459</v>
      </c>
      <c r="J94" s="4">
        <f t="shared" si="7"/>
        <v>5.2417470150596426</v>
      </c>
      <c r="K94" s="4">
        <f t="shared" si="8"/>
        <v>41.1</v>
      </c>
      <c r="L94" s="4">
        <f t="shared" si="9"/>
        <v>0</v>
      </c>
    </row>
    <row r="95" spans="1:12" x14ac:dyDescent="0.35">
      <c r="A95" s="2" t="s">
        <v>158</v>
      </c>
      <c r="B95" s="2" t="s">
        <v>67</v>
      </c>
      <c r="C95" s="2">
        <v>40.924900000000001</v>
      </c>
      <c r="D95" s="2">
        <v>3500</v>
      </c>
      <c r="E95" s="2">
        <v>189</v>
      </c>
      <c r="F95" s="2">
        <v>39.9</v>
      </c>
      <c r="G95" s="2">
        <v>0</v>
      </c>
      <c r="H95" s="4">
        <f t="shared" si="5"/>
        <v>3.7117386797600167</v>
      </c>
      <c r="I95" s="4">
        <f t="shared" si="6"/>
        <v>8.1605182474775049</v>
      </c>
      <c r="J95" s="4">
        <f t="shared" si="7"/>
        <v>5.2417470150596426</v>
      </c>
      <c r="K95" s="4">
        <f t="shared" si="8"/>
        <v>39.9</v>
      </c>
      <c r="L95" s="4">
        <f t="shared" si="9"/>
        <v>0</v>
      </c>
    </row>
    <row r="96" spans="1:12" x14ac:dyDescent="0.35">
      <c r="A96" s="2" t="s">
        <v>158</v>
      </c>
      <c r="B96" s="2" t="s">
        <v>67</v>
      </c>
      <c r="C96" s="2">
        <v>35.854700000000001</v>
      </c>
      <c r="D96" s="2">
        <v>3500</v>
      </c>
      <c r="E96" s="2">
        <v>189</v>
      </c>
      <c r="F96" s="2">
        <v>39.9</v>
      </c>
      <c r="G96" s="2">
        <v>0</v>
      </c>
      <c r="H96" s="4">
        <f t="shared" si="5"/>
        <v>3.5794746602656478</v>
      </c>
      <c r="I96" s="4">
        <f t="shared" si="6"/>
        <v>8.1605182474775049</v>
      </c>
      <c r="J96" s="4">
        <f t="shared" si="7"/>
        <v>5.2417470150596426</v>
      </c>
      <c r="K96" s="4">
        <f t="shared" si="8"/>
        <v>39.9</v>
      </c>
      <c r="L96" s="4">
        <f t="shared" si="9"/>
        <v>0</v>
      </c>
    </row>
    <row r="97" spans="1:12" x14ac:dyDescent="0.35">
      <c r="A97" s="2" t="s">
        <v>159</v>
      </c>
      <c r="B97" s="2" t="s">
        <v>67</v>
      </c>
      <c r="C97" s="2">
        <v>38.836100000000002</v>
      </c>
      <c r="D97" s="2">
        <v>3500</v>
      </c>
      <c r="E97" s="2">
        <v>189</v>
      </c>
      <c r="F97" s="2">
        <v>44.8</v>
      </c>
      <c r="G97" s="2">
        <v>0</v>
      </c>
      <c r="H97" s="4">
        <f t="shared" si="5"/>
        <v>3.6593502264350604</v>
      </c>
      <c r="I97" s="4">
        <f t="shared" si="6"/>
        <v>8.1605182474775049</v>
      </c>
      <c r="J97" s="4">
        <f t="shared" si="7"/>
        <v>5.2417470150596426</v>
      </c>
      <c r="K97" s="4">
        <f t="shared" si="8"/>
        <v>44.8</v>
      </c>
      <c r="L97" s="4">
        <f t="shared" si="9"/>
        <v>0</v>
      </c>
    </row>
    <row r="98" spans="1:12" x14ac:dyDescent="0.35">
      <c r="A98" s="2" t="s">
        <v>160</v>
      </c>
      <c r="B98" s="2" t="s">
        <v>67</v>
      </c>
      <c r="C98" s="2">
        <v>44.193800000000003</v>
      </c>
      <c r="D98" s="2">
        <v>3000</v>
      </c>
      <c r="E98" s="2">
        <v>134</v>
      </c>
      <c r="F98" s="2">
        <v>40.299999999999997</v>
      </c>
      <c r="G98" s="2">
        <v>0</v>
      </c>
      <c r="H98" s="4">
        <f t="shared" si="5"/>
        <v>3.7885845077514739</v>
      </c>
      <c r="I98" s="4">
        <f t="shared" si="6"/>
        <v>8.0063675676502459</v>
      </c>
      <c r="J98" s="4">
        <f t="shared" si="7"/>
        <v>4.8978397999509111</v>
      </c>
      <c r="K98" s="4">
        <f t="shared" si="8"/>
        <v>40.299999999999997</v>
      </c>
      <c r="L98" s="4">
        <f t="shared" si="9"/>
        <v>0</v>
      </c>
    </row>
    <row r="99" spans="1:12" x14ac:dyDescent="0.35">
      <c r="A99" s="2" t="s">
        <v>160</v>
      </c>
      <c r="B99" s="2" t="s">
        <v>67</v>
      </c>
      <c r="C99" s="2">
        <v>42.4846</v>
      </c>
      <c r="D99" s="2">
        <v>3000</v>
      </c>
      <c r="E99" s="2">
        <v>134</v>
      </c>
      <c r="F99" s="2">
        <v>40.299999999999997</v>
      </c>
      <c r="G99" s="2">
        <v>0</v>
      </c>
      <c r="H99" s="4">
        <f t="shared" si="5"/>
        <v>3.7491416573235044</v>
      </c>
      <c r="I99" s="4">
        <f t="shared" si="6"/>
        <v>8.0063675676502459</v>
      </c>
      <c r="J99" s="4">
        <f t="shared" si="7"/>
        <v>4.8978397999509111</v>
      </c>
      <c r="K99" s="4">
        <f t="shared" si="8"/>
        <v>40.299999999999997</v>
      </c>
      <c r="L99" s="4">
        <f t="shared" si="9"/>
        <v>0</v>
      </c>
    </row>
    <row r="100" spans="1:12" x14ac:dyDescent="0.35">
      <c r="A100" s="2" t="s">
        <v>161</v>
      </c>
      <c r="B100" s="2" t="s">
        <v>67</v>
      </c>
      <c r="C100" s="2">
        <v>44.193800000000003</v>
      </c>
      <c r="D100" s="2">
        <v>3000</v>
      </c>
      <c r="E100" s="2">
        <v>134</v>
      </c>
      <c r="F100" s="2">
        <v>41.5</v>
      </c>
      <c r="G100" s="2">
        <v>0</v>
      </c>
      <c r="H100" s="4">
        <f t="shared" si="5"/>
        <v>3.7885845077514739</v>
      </c>
      <c r="I100" s="4">
        <f t="shared" si="6"/>
        <v>8.0063675676502459</v>
      </c>
      <c r="J100" s="4">
        <f t="shared" si="7"/>
        <v>4.8978397999509111</v>
      </c>
      <c r="K100" s="4">
        <f t="shared" si="8"/>
        <v>41.5</v>
      </c>
      <c r="L100" s="4">
        <f t="shared" si="9"/>
        <v>0</v>
      </c>
    </row>
    <row r="101" spans="1:12" x14ac:dyDescent="0.35">
      <c r="A101" s="2" t="s">
        <v>161</v>
      </c>
      <c r="B101" s="2" t="s">
        <v>67</v>
      </c>
      <c r="C101" s="2">
        <v>42.4846</v>
      </c>
      <c r="D101" s="2">
        <v>3000</v>
      </c>
      <c r="E101" s="2">
        <v>134</v>
      </c>
      <c r="F101" s="2">
        <v>41.5</v>
      </c>
      <c r="G101" s="2">
        <v>0</v>
      </c>
      <c r="H101" s="4">
        <f t="shared" si="5"/>
        <v>3.7491416573235044</v>
      </c>
      <c r="I101" s="4">
        <f t="shared" si="6"/>
        <v>8.0063675676502459</v>
      </c>
      <c r="J101" s="4">
        <f t="shared" si="7"/>
        <v>4.8978397999509111</v>
      </c>
      <c r="K101" s="4">
        <f t="shared" si="8"/>
        <v>41.5</v>
      </c>
      <c r="L101" s="4">
        <f t="shared" si="9"/>
        <v>0</v>
      </c>
    </row>
    <row r="102" spans="1:12" x14ac:dyDescent="0.35">
      <c r="A102" s="2" t="s">
        <v>162</v>
      </c>
      <c r="B102" s="2" t="s">
        <v>67</v>
      </c>
      <c r="C102" s="2">
        <v>38.171500000000002</v>
      </c>
      <c r="D102" s="2">
        <v>3500</v>
      </c>
      <c r="E102" s="2">
        <v>134</v>
      </c>
      <c r="F102" s="2">
        <v>45</v>
      </c>
      <c r="G102" s="2">
        <v>0</v>
      </c>
      <c r="H102" s="4">
        <f t="shared" si="5"/>
        <v>3.6420891638629116</v>
      </c>
      <c r="I102" s="4">
        <f t="shared" si="6"/>
        <v>8.1605182474775049</v>
      </c>
      <c r="J102" s="4">
        <f t="shared" si="7"/>
        <v>4.8978397999509111</v>
      </c>
      <c r="K102" s="4">
        <f t="shared" si="8"/>
        <v>45</v>
      </c>
      <c r="L102" s="4">
        <f t="shared" si="9"/>
        <v>0</v>
      </c>
    </row>
    <row r="103" spans="1:12" x14ac:dyDescent="0.35">
      <c r="A103" s="2" t="s">
        <v>163</v>
      </c>
      <c r="B103" s="2" t="s">
        <v>67</v>
      </c>
      <c r="C103" s="2">
        <v>34.962299999999999</v>
      </c>
      <c r="D103" s="2">
        <v>4000</v>
      </c>
      <c r="E103" s="2">
        <v>134</v>
      </c>
      <c r="F103" s="2">
        <v>45</v>
      </c>
      <c r="G103" s="2">
        <v>0</v>
      </c>
      <c r="H103" s="4">
        <f t="shared" si="5"/>
        <v>3.5542703380969862</v>
      </c>
      <c r="I103" s="4">
        <f t="shared" si="6"/>
        <v>8.2940496401020276</v>
      </c>
      <c r="J103" s="4">
        <f t="shared" si="7"/>
        <v>4.8978397999509111</v>
      </c>
      <c r="K103" s="4">
        <f t="shared" si="8"/>
        <v>45</v>
      </c>
      <c r="L103" s="4">
        <f t="shared" si="9"/>
        <v>0</v>
      </c>
    </row>
    <row r="104" spans="1:12" x14ac:dyDescent="0.35">
      <c r="A104" s="2" t="s">
        <v>164</v>
      </c>
      <c r="B104" s="2" t="s">
        <v>67</v>
      </c>
      <c r="C104" s="2">
        <v>35.495899999999999</v>
      </c>
      <c r="D104" s="2">
        <v>4000</v>
      </c>
      <c r="E104" s="2">
        <v>189</v>
      </c>
      <c r="F104" s="2">
        <v>44.8</v>
      </c>
      <c r="G104" s="2">
        <v>0</v>
      </c>
      <c r="H104" s="4">
        <f t="shared" si="5"/>
        <v>3.5694171968537982</v>
      </c>
      <c r="I104" s="4">
        <f t="shared" si="6"/>
        <v>8.2940496401020276</v>
      </c>
      <c r="J104" s="4">
        <f t="shared" si="7"/>
        <v>5.2417470150596426</v>
      </c>
      <c r="K104" s="4">
        <f t="shared" si="8"/>
        <v>44.8</v>
      </c>
      <c r="L104" s="4">
        <f t="shared" si="9"/>
        <v>0</v>
      </c>
    </row>
    <row r="105" spans="1:12" x14ac:dyDescent="0.35">
      <c r="A105" s="2" t="s">
        <v>165</v>
      </c>
      <c r="B105" s="2" t="s">
        <v>67</v>
      </c>
      <c r="C105" s="2">
        <v>36.968800000000002</v>
      </c>
      <c r="D105" s="2">
        <v>4000</v>
      </c>
      <c r="E105" s="2">
        <v>189</v>
      </c>
      <c r="F105" s="2">
        <v>45</v>
      </c>
      <c r="G105" s="2">
        <v>0</v>
      </c>
      <c r="H105" s="4">
        <f t="shared" si="5"/>
        <v>3.6100743136714057</v>
      </c>
      <c r="I105" s="4">
        <f t="shared" si="6"/>
        <v>8.2940496401020276</v>
      </c>
      <c r="J105" s="4">
        <f t="shared" si="7"/>
        <v>5.2417470150596426</v>
      </c>
      <c r="K105" s="4">
        <f t="shared" si="8"/>
        <v>45</v>
      </c>
      <c r="L105" s="4">
        <f t="shared" si="9"/>
        <v>0</v>
      </c>
    </row>
    <row r="106" spans="1:12" x14ac:dyDescent="0.35">
      <c r="A106" s="2" t="s">
        <v>166</v>
      </c>
      <c r="B106" s="2" t="s">
        <v>67</v>
      </c>
      <c r="C106" s="2">
        <v>34.470700000000001</v>
      </c>
      <c r="D106" s="2">
        <v>4000</v>
      </c>
      <c r="E106" s="2">
        <v>189</v>
      </c>
      <c r="F106" s="2">
        <v>45</v>
      </c>
      <c r="G106" s="2">
        <v>0</v>
      </c>
      <c r="H106" s="4">
        <f t="shared" si="5"/>
        <v>3.5401096878363592</v>
      </c>
      <c r="I106" s="4">
        <f t="shared" si="6"/>
        <v>8.2940496401020276</v>
      </c>
      <c r="J106" s="4">
        <f t="shared" si="7"/>
        <v>5.2417470150596426</v>
      </c>
      <c r="K106" s="4">
        <f t="shared" si="8"/>
        <v>45</v>
      </c>
      <c r="L106" s="4">
        <f t="shared" si="9"/>
        <v>0</v>
      </c>
    </row>
    <row r="107" spans="1:12" x14ac:dyDescent="0.35">
      <c r="A107" s="2" t="s">
        <v>167</v>
      </c>
      <c r="B107" s="2" t="s">
        <v>67</v>
      </c>
      <c r="C107" s="2">
        <v>34.871699999999997</v>
      </c>
      <c r="D107" s="2">
        <v>4000</v>
      </c>
      <c r="E107" s="2">
        <v>302</v>
      </c>
      <c r="F107" s="2">
        <v>44.8</v>
      </c>
      <c r="G107" s="2">
        <v>0</v>
      </c>
      <c r="H107" s="4">
        <f t="shared" si="5"/>
        <v>3.5516756120085149</v>
      </c>
      <c r="I107" s="4">
        <f t="shared" si="6"/>
        <v>8.2940496401020276</v>
      </c>
      <c r="J107" s="4">
        <f t="shared" si="7"/>
        <v>5.7104270173748697</v>
      </c>
      <c r="K107" s="4">
        <f t="shared" si="8"/>
        <v>44.8</v>
      </c>
      <c r="L107" s="4">
        <f t="shared" si="9"/>
        <v>0</v>
      </c>
    </row>
    <row r="108" spans="1:12" x14ac:dyDescent="0.35">
      <c r="A108" s="2" t="s">
        <v>168</v>
      </c>
      <c r="B108" s="2" t="s">
        <v>67</v>
      </c>
      <c r="C108" s="2">
        <v>37.359699999999997</v>
      </c>
      <c r="D108" s="2">
        <v>3500</v>
      </c>
      <c r="E108" s="2">
        <v>228</v>
      </c>
      <c r="F108" s="2">
        <v>39.9</v>
      </c>
      <c r="G108" s="2">
        <v>0</v>
      </c>
      <c r="H108" s="4">
        <f t="shared" si="5"/>
        <v>3.6205925833498145</v>
      </c>
      <c r="I108" s="4">
        <f t="shared" si="6"/>
        <v>8.1605182474775049</v>
      </c>
      <c r="J108" s="4">
        <f t="shared" si="7"/>
        <v>5.4293456289544411</v>
      </c>
      <c r="K108" s="4">
        <f t="shared" si="8"/>
        <v>39.9</v>
      </c>
      <c r="L108" s="4">
        <f t="shared" si="9"/>
        <v>0</v>
      </c>
    </row>
    <row r="109" spans="1:12" x14ac:dyDescent="0.35">
      <c r="A109" s="2" t="s">
        <v>169</v>
      </c>
      <c r="B109" s="2" t="s">
        <v>67</v>
      </c>
      <c r="C109" s="2">
        <v>34.959499999999998</v>
      </c>
      <c r="D109" s="2">
        <v>4000</v>
      </c>
      <c r="E109" s="2">
        <v>302</v>
      </c>
      <c r="F109" s="2">
        <v>45</v>
      </c>
      <c r="G109" s="2">
        <v>0</v>
      </c>
      <c r="H109" s="4">
        <f t="shared" si="5"/>
        <v>3.5541902486255625</v>
      </c>
      <c r="I109" s="4">
        <f t="shared" si="6"/>
        <v>8.2940496401020276</v>
      </c>
      <c r="J109" s="4">
        <f t="shared" si="7"/>
        <v>5.7104270173748697</v>
      </c>
      <c r="K109" s="4">
        <f t="shared" si="8"/>
        <v>45</v>
      </c>
      <c r="L109" s="4">
        <f t="shared" si="9"/>
        <v>0</v>
      </c>
    </row>
    <row r="110" spans="1:12" x14ac:dyDescent="0.35">
      <c r="A110" s="2" t="s">
        <v>170</v>
      </c>
      <c r="B110" s="2" t="s">
        <v>67</v>
      </c>
      <c r="C110" s="2">
        <v>39.878300000000003</v>
      </c>
      <c r="D110" s="2">
        <v>3000</v>
      </c>
      <c r="E110" s="2">
        <v>228</v>
      </c>
      <c r="F110" s="2">
        <v>39.9</v>
      </c>
      <c r="G110" s="2">
        <v>0</v>
      </c>
      <c r="H110" s="4">
        <f t="shared" si="5"/>
        <v>3.6858323163013926</v>
      </c>
      <c r="I110" s="4">
        <f t="shared" si="6"/>
        <v>8.0063675676502459</v>
      </c>
      <c r="J110" s="4">
        <f t="shared" si="7"/>
        <v>5.4293456289544411</v>
      </c>
      <c r="K110" s="4">
        <f t="shared" si="8"/>
        <v>39.9</v>
      </c>
      <c r="L110" s="4">
        <f t="shared" si="9"/>
        <v>0</v>
      </c>
    </row>
    <row r="111" spans="1:12" x14ac:dyDescent="0.35">
      <c r="A111" s="2" t="s">
        <v>170</v>
      </c>
      <c r="B111" s="2" t="s">
        <v>67</v>
      </c>
      <c r="C111" s="2">
        <v>33.9955</v>
      </c>
      <c r="D111" s="2">
        <v>3000</v>
      </c>
      <c r="E111" s="2">
        <v>228</v>
      </c>
      <c r="F111" s="2">
        <v>39.9</v>
      </c>
      <c r="G111" s="2">
        <v>0</v>
      </c>
      <c r="H111" s="4">
        <f t="shared" si="5"/>
        <v>3.5262281629155616</v>
      </c>
      <c r="I111" s="4">
        <f t="shared" si="6"/>
        <v>8.0063675676502459</v>
      </c>
      <c r="J111" s="4">
        <f t="shared" si="7"/>
        <v>5.4293456289544411</v>
      </c>
      <c r="K111" s="4">
        <f t="shared" si="8"/>
        <v>39.9</v>
      </c>
      <c r="L111" s="4">
        <f t="shared" si="9"/>
        <v>0</v>
      </c>
    </row>
    <row r="112" spans="1:12" x14ac:dyDescent="0.35">
      <c r="A112" s="2" t="s">
        <v>171</v>
      </c>
      <c r="B112" s="2" t="s">
        <v>67</v>
      </c>
      <c r="C112" s="2">
        <v>36.866799999999998</v>
      </c>
      <c r="D112" s="2">
        <v>3500</v>
      </c>
      <c r="E112" s="2">
        <v>255</v>
      </c>
      <c r="F112" s="2">
        <v>42.3</v>
      </c>
      <c r="G112" s="2">
        <v>0</v>
      </c>
      <c r="H112" s="4">
        <f t="shared" si="5"/>
        <v>3.6073114170501128</v>
      </c>
      <c r="I112" s="4">
        <f t="shared" si="6"/>
        <v>8.1605182474775049</v>
      </c>
      <c r="J112" s="4">
        <f t="shared" si="7"/>
        <v>5.5412635451584258</v>
      </c>
      <c r="K112" s="4">
        <f t="shared" si="8"/>
        <v>42.3</v>
      </c>
      <c r="L112" s="4">
        <f t="shared" si="9"/>
        <v>0</v>
      </c>
    </row>
    <row r="113" spans="1:12" x14ac:dyDescent="0.35">
      <c r="A113" s="2" t="s">
        <v>172</v>
      </c>
      <c r="B113" s="2" t="s">
        <v>67</v>
      </c>
      <c r="C113" s="2">
        <v>34.532699999999998</v>
      </c>
      <c r="D113" s="2">
        <v>3500</v>
      </c>
      <c r="E113" s="2">
        <v>382</v>
      </c>
      <c r="F113" s="2">
        <v>42.3</v>
      </c>
      <c r="G113" s="2">
        <v>0</v>
      </c>
      <c r="H113" s="4">
        <f t="shared" si="5"/>
        <v>3.5419067012207575</v>
      </c>
      <c r="I113" s="4">
        <f t="shared" si="6"/>
        <v>8.1605182474775049</v>
      </c>
      <c r="J113" s="4">
        <f t="shared" si="7"/>
        <v>5.9454206086065753</v>
      </c>
      <c r="K113" s="4">
        <f t="shared" si="8"/>
        <v>42.3</v>
      </c>
      <c r="L113" s="4">
        <f t="shared" si="9"/>
        <v>0</v>
      </c>
    </row>
    <row r="114" spans="1:12" x14ac:dyDescent="0.35">
      <c r="A114" s="2" t="s">
        <v>172</v>
      </c>
      <c r="B114" s="2" t="s">
        <v>67</v>
      </c>
      <c r="C114" s="2">
        <v>28.136099999999999</v>
      </c>
      <c r="D114" s="2">
        <v>3500</v>
      </c>
      <c r="E114" s="2">
        <v>382</v>
      </c>
      <c r="F114" s="2">
        <v>42.3</v>
      </c>
      <c r="G114" s="2">
        <v>0</v>
      </c>
      <c r="H114" s="4">
        <f t="shared" si="5"/>
        <v>3.3370534493308472</v>
      </c>
      <c r="I114" s="4">
        <f t="shared" si="6"/>
        <v>8.1605182474775049</v>
      </c>
      <c r="J114" s="4">
        <f t="shared" si="7"/>
        <v>5.9454206086065753</v>
      </c>
      <c r="K114" s="4">
        <f t="shared" si="8"/>
        <v>42.3</v>
      </c>
      <c r="L114" s="4">
        <f t="shared" si="9"/>
        <v>0</v>
      </c>
    </row>
    <row r="115" spans="1:12" x14ac:dyDescent="0.35">
      <c r="A115" s="2" t="s">
        <v>173</v>
      </c>
      <c r="B115" s="2" t="s">
        <v>67</v>
      </c>
      <c r="C115" s="2">
        <v>29.180900000000001</v>
      </c>
      <c r="D115" s="2">
        <v>4500</v>
      </c>
      <c r="E115" s="2">
        <v>285</v>
      </c>
      <c r="F115" s="2">
        <v>58</v>
      </c>
      <c r="G115" s="2">
        <v>0</v>
      </c>
      <c r="H115" s="4">
        <f t="shared" si="5"/>
        <v>3.3735143856621832</v>
      </c>
      <c r="I115" s="4">
        <f t="shared" si="6"/>
        <v>8.4118326757584114</v>
      </c>
      <c r="J115" s="4">
        <f t="shared" si="7"/>
        <v>5.6524891802686508</v>
      </c>
      <c r="K115" s="4">
        <f t="shared" si="8"/>
        <v>58</v>
      </c>
      <c r="L115" s="4">
        <f t="shared" si="9"/>
        <v>0</v>
      </c>
    </row>
    <row r="116" spans="1:12" x14ac:dyDescent="0.35">
      <c r="A116" s="2" t="s">
        <v>175</v>
      </c>
      <c r="B116" s="2" t="s">
        <v>33</v>
      </c>
      <c r="C116" s="2">
        <v>42.768500000000003</v>
      </c>
      <c r="D116" s="2">
        <v>5000</v>
      </c>
      <c r="E116" s="2">
        <v>220</v>
      </c>
      <c r="F116" s="2">
        <v>58</v>
      </c>
      <c r="G116" s="2">
        <v>1</v>
      </c>
      <c r="H116" s="4">
        <f t="shared" si="5"/>
        <v>3.7558018503121375</v>
      </c>
      <c r="I116" s="4">
        <f t="shared" si="6"/>
        <v>8.5171931914162382</v>
      </c>
      <c r="J116" s="4">
        <f t="shared" si="7"/>
        <v>5.393627546352362</v>
      </c>
      <c r="K116" s="4">
        <f t="shared" si="8"/>
        <v>58</v>
      </c>
      <c r="L116" s="4">
        <f t="shared" si="9"/>
        <v>1</v>
      </c>
    </row>
    <row r="117" spans="1:12" x14ac:dyDescent="0.35">
      <c r="A117" s="2" t="s">
        <v>176</v>
      </c>
      <c r="B117" s="2" t="s">
        <v>67</v>
      </c>
      <c r="C117" s="2">
        <v>25.457000000000001</v>
      </c>
      <c r="D117" s="2">
        <v>5000</v>
      </c>
      <c r="E117" s="2">
        <v>285</v>
      </c>
      <c r="F117" s="2">
        <v>58</v>
      </c>
      <c r="G117" s="2">
        <v>0</v>
      </c>
      <c r="H117" s="4">
        <f t="shared" si="5"/>
        <v>3.2369907542933718</v>
      </c>
      <c r="I117" s="4">
        <f t="shared" si="6"/>
        <v>8.5171931914162382</v>
      </c>
      <c r="J117" s="4">
        <f t="shared" si="7"/>
        <v>5.6524891802686508</v>
      </c>
      <c r="K117" s="4">
        <f t="shared" si="8"/>
        <v>58</v>
      </c>
      <c r="L117" s="4">
        <f t="shared" si="9"/>
        <v>0</v>
      </c>
    </row>
    <row r="118" spans="1:12" x14ac:dyDescent="0.35">
      <c r="A118" s="2" t="s">
        <v>177</v>
      </c>
      <c r="B118" s="2" t="s">
        <v>67</v>
      </c>
      <c r="C118" s="2">
        <v>29.180900000000001</v>
      </c>
      <c r="D118" s="2">
        <v>4500</v>
      </c>
      <c r="E118" s="2">
        <v>285</v>
      </c>
      <c r="F118" s="2">
        <v>58</v>
      </c>
      <c r="G118" s="2">
        <v>0</v>
      </c>
      <c r="H118" s="4">
        <f t="shared" si="5"/>
        <v>3.3735143856621832</v>
      </c>
      <c r="I118" s="4">
        <f t="shared" si="6"/>
        <v>8.4118326757584114</v>
      </c>
      <c r="J118" s="4">
        <f t="shared" si="7"/>
        <v>5.6524891802686508</v>
      </c>
      <c r="K118" s="4">
        <f t="shared" si="8"/>
        <v>58</v>
      </c>
      <c r="L118" s="4">
        <f t="shared" si="9"/>
        <v>0</v>
      </c>
    </row>
    <row r="119" spans="1:12" x14ac:dyDescent="0.35">
      <c r="A119" s="2" t="s">
        <v>178</v>
      </c>
      <c r="B119" s="2" t="s">
        <v>67</v>
      </c>
      <c r="C119" s="2">
        <v>31.5916</v>
      </c>
      <c r="D119" s="2">
        <v>4000</v>
      </c>
      <c r="E119" s="2">
        <v>200</v>
      </c>
      <c r="F119" s="2">
        <v>44.4</v>
      </c>
      <c r="G119" s="2">
        <v>0</v>
      </c>
      <c r="H119" s="4">
        <f t="shared" si="5"/>
        <v>3.4528912624709176</v>
      </c>
      <c r="I119" s="4">
        <f t="shared" si="6"/>
        <v>8.2940496401020276</v>
      </c>
      <c r="J119" s="4">
        <f t="shared" si="7"/>
        <v>5.2983173665480363</v>
      </c>
      <c r="K119" s="4">
        <f t="shared" si="8"/>
        <v>44.4</v>
      </c>
      <c r="L119" s="4">
        <f t="shared" si="9"/>
        <v>0</v>
      </c>
    </row>
    <row r="120" spans="1:12" x14ac:dyDescent="0.35">
      <c r="A120" s="2" t="s">
        <v>179</v>
      </c>
      <c r="B120" s="2" t="s">
        <v>33</v>
      </c>
      <c r="C120" s="2">
        <v>41.070300000000003</v>
      </c>
      <c r="D120" s="2">
        <v>4500</v>
      </c>
      <c r="E120" s="2">
        <v>180</v>
      </c>
      <c r="F120" s="2">
        <v>44.4</v>
      </c>
      <c r="G120" s="2">
        <v>1</v>
      </c>
      <c r="H120" s="4">
        <f t="shared" si="5"/>
        <v>3.715285232543688</v>
      </c>
      <c r="I120" s="4">
        <f t="shared" si="6"/>
        <v>8.4118326757584114</v>
      </c>
      <c r="J120" s="4">
        <f t="shared" si="7"/>
        <v>5.1929568508902104</v>
      </c>
      <c r="K120" s="4">
        <f t="shared" si="8"/>
        <v>44.4</v>
      </c>
      <c r="L120" s="4">
        <f t="shared" si="9"/>
        <v>1</v>
      </c>
    </row>
    <row r="121" spans="1:12" x14ac:dyDescent="0.35">
      <c r="A121" s="2" t="s">
        <v>180</v>
      </c>
      <c r="B121" s="2" t="s">
        <v>67</v>
      </c>
      <c r="C121" s="2">
        <v>28.0059</v>
      </c>
      <c r="D121" s="2">
        <v>5000</v>
      </c>
      <c r="E121" s="2">
        <v>295</v>
      </c>
      <c r="F121" s="2">
        <v>53.5</v>
      </c>
      <c r="G121" s="2">
        <v>0</v>
      </c>
      <c r="H121" s="4">
        <f t="shared" si="5"/>
        <v>3.3324152022637814</v>
      </c>
      <c r="I121" s="4">
        <f t="shared" si="6"/>
        <v>8.5171931914162382</v>
      </c>
      <c r="J121" s="4">
        <f t="shared" si="7"/>
        <v>5.6869753563398202</v>
      </c>
      <c r="K121" s="4">
        <f t="shared" si="8"/>
        <v>53.5</v>
      </c>
      <c r="L121" s="4">
        <f t="shared" si="9"/>
        <v>0</v>
      </c>
    </row>
    <row r="122" spans="1:12" x14ac:dyDescent="0.35">
      <c r="A122" s="2" t="s">
        <v>180</v>
      </c>
      <c r="B122" s="2" t="s">
        <v>67</v>
      </c>
      <c r="C122" s="2">
        <v>21.702000000000002</v>
      </c>
      <c r="D122" s="2">
        <v>5500</v>
      </c>
      <c r="E122" s="2">
        <v>357</v>
      </c>
      <c r="F122" s="2">
        <v>53.5</v>
      </c>
      <c r="G122" s="2">
        <v>0</v>
      </c>
      <c r="H122" s="4">
        <f t="shared" si="5"/>
        <v>3.0774044221980161</v>
      </c>
      <c r="I122" s="4">
        <f t="shared" si="6"/>
        <v>8.6125033712205621</v>
      </c>
      <c r="J122" s="4">
        <f t="shared" si="7"/>
        <v>5.8777357817796387</v>
      </c>
      <c r="K122" s="4">
        <f t="shared" si="8"/>
        <v>53.5</v>
      </c>
      <c r="L122" s="4">
        <f t="shared" si="9"/>
        <v>0</v>
      </c>
    </row>
    <row r="123" spans="1:12" x14ac:dyDescent="0.35">
      <c r="A123" s="2" t="s">
        <v>181</v>
      </c>
      <c r="B123" s="2" t="s">
        <v>67</v>
      </c>
      <c r="C123" s="2">
        <v>27.611999999999998</v>
      </c>
      <c r="D123" s="2">
        <v>5000</v>
      </c>
      <c r="E123" s="2">
        <v>295</v>
      </c>
      <c r="F123" s="2">
        <v>53.5</v>
      </c>
      <c r="G123" s="2">
        <v>0</v>
      </c>
      <c r="H123" s="4">
        <f t="shared" si="5"/>
        <v>3.3182504608412291</v>
      </c>
      <c r="I123" s="4">
        <f t="shared" si="6"/>
        <v>8.5171931914162382</v>
      </c>
      <c r="J123" s="4">
        <f t="shared" si="7"/>
        <v>5.6869753563398202</v>
      </c>
      <c r="K123" s="4">
        <f t="shared" si="8"/>
        <v>53.5</v>
      </c>
      <c r="L123" s="4">
        <f t="shared" si="9"/>
        <v>0</v>
      </c>
    </row>
    <row r="124" spans="1:12" x14ac:dyDescent="0.35">
      <c r="A124" s="2" t="s">
        <v>181</v>
      </c>
      <c r="B124" s="2" t="s">
        <v>67</v>
      </c>
      <c r="C124" s="2">
        <v>21.393999999999998</v>
      </c>
      <c r="D124" s="2">
        <v>5500</v>
      </c>
      <c r="E124" s="2">
        <v>357</v>
      </c>
      <c r="F124" s="2">
        <v>53.5</v>
      </c>
      <c r="G124" s="2">
        <v>0</v>
      </c>
      <c r="H124" s="4">
        <f t="shared" si="5"/>
        <v>3.063110508883939</v>
      </c>
      <c r="I124" s="4">
        <f t="shared" si="6"/>
        <v>8.6125033712205621</v>
      </c>
      <c r="J124" s="4">
        <f t="shared" si="7"/>
        <v>5.8777357817796387</v>
      </c>
      <c r="K124" s="4">
        <f t="shared" si="8"/>
        <v>53.5</v>
      </c>
      <c r="L124" s="4">
        <f t="shared" si="9"/>
        <v>0</v>
      </c>
    </row>
    <row r="125" spans="1:12" x14ac:dyDescent="0.35">
      <c r="A125" s="2" t="s">
        <v>182</v>
      </c>
      <c r="B125" s="2" t="s">
        <v>67</v>
      </c>
      <c r="C125" s="2">
        <v>17.089200000000002</v>
      </c>
      <c r="D125" s="2">
        <v>6000</v>
      </c>
      <c r="E125" s="2">
        <v>710</v>
      </c>
      <c r="F125" s="2">
        <v>53.5</v>
      </c>
      <c r="G125" s="2">
        <v>0</v>
      </c>
      <c r="H125" s="4">
        <f t="shared" si="5"/>
        <v>2.8384466850312453</v>
      </c>
      <c r="I125" s="4">
        <f t="shared" si="6"/>
        <v>8.6995147482101913</v>
      </c>
      <c r="J125" s="4">
        <f t="shared" si="7"/>
        <v>6.5652649700353614</v>
      </c>
      <c r="K125" s="4">
        <f t="shared" si="8"/>
        <v>53.5</v>
      </c>
      <c r="L125" s="4">
        <f t="shared" si="9"/>
        <v>0</v>
      </c>
    </row>
    <row r="126" spans="1:12" x14ac:dyDescent="0.35">
      <c r="A126" s="2" t="s">
        <v>182</v>
      </c>
      <c r="B126" s="2" t="s">
        <v>67</v>
      </c>
      <c r="C126" s="2">
        <v>19.278700000000001</v>
      </c>
      <c r="D126" s="2">
        <v>6000</v>
      </c>
      <c r="E126" s="2">
        <v>475</v>
      </c>
      <c r="F126" s="2">
        <v>53.5</v>
      </c>
      <c r="G126" s="2">
        <v>0</v>
      </c>
      <c r="H126" s="4">
        <f t="shared" si="5"/>
        <v>2.9590008595231789</v>
      </c>
      <c r="I126" s="4">
        <f t="shared" si="6"/>
        <v>8.6995147482101913</v>
      </c>
      <c r="J126" s="4">
        <f t="shared" si="7"/>
        <v>6.1633148040346413</v>
      </c>
      <c r="K126" s="4">
        <f t="shared" si="8"/>
        <v>53.5</v>
      </c>
      <c r="L126" s="4">
        <f t="shared" si="9"/>
        <v>0</v>
      </c>
    </row>
    <row r="127" spans="1:12" x14ac:dyDescent="0.35">
      <c r="A127" s="2" t="s">
        <v>183</v>
      </c>
      <c r="B127" s="2" t="s">
        <v>67</v>
      </c>
      <c r="C127" s="2">
        <v>22.193100000000001</v>
      </c>
      <c r="D127" s="2">
        <v>5000</v>
      </c>
      <c r="E127" s="2">
        <v>285</v>
      </c>
      <c r="F127" s="2">
        <v>53</v>
      </c>
      <c r="G127" s="2">
        <v>0</v>
      </c>
      <c r="H127" s="4">
        <f t="shared" si="5"/>
        <v>3.099781429755732</v>
      </c>
      <c r="I127" s="4">
        <f t="shared" si="6"/>
        <v>8.5171931914162382</v>
      </c>
      <c r="J127" s="4">
        <f t="shared" si="7"/>
        <v>5.6524891802686508</v>
      </c>
      <c r="K127" s="4">
        <f t="shared" si="8"/>
        <v>53</v>
      </c>
      <c r="L127" s="4">
        <f t="shared" si="9"/>
        <v>0</v>
      </c>
    </row>
    <row r="128" spans="1:12" x14ac:dyDescent="0.35">
      <c r="A128" s="2" t="s">
        <v>184</v>
      </c>
      <c r="B128" s="2" t="s">
        <v>67</v>
      </c>
      <c r="C128" s="2">
        <v>22.971599999999999</v>
      </c>
      <c r="D128" s="2">
        <v>4500</v>
      </c>
      <c r="E128" s="2">
        <v>285</v>
      </c>
      <c r="F128" s="2">
        <v>43.3</v>
      </c>
      <c r="G128" s="2">
        <v>0</v>
      </c>
      <c r="H128" s="4">
        <f t="shared" si="5"/>
        <v>3.1342586703482742</v>
      </c>
      <c r="I128" s="4">
        <f t="shared" si="6"/>
        <v>8.4118326757584114</v>
      </c>
      <c r="J128" s="4">
        <f t="shared" si="7"/>
        <v>5.6524891802686508</v>
      </c>
      <c r="K128" s="4">
        <f t="shared" si="8"/>
        <v>43.3</v>
      </c>
      <c r="L128" s="4">
        <f t="shared" si="9"/>
        <v>0</v>
      </c>
    </row>
    <row r="129" spans="1:12" x14ac:dyDescent="0.35">
      <c r="A129" s="2" t="s">
        <v>185</v>
      </c>
      <c r="B129" s="2" t="s">
        <v>67</v>
      </c>
      <c r="C129" s="2">
        <v>36.0154</v>
      </c>
      <c r="D129" s="2">
        <v>4000</v>
      </c>
      <c r="E129" s="2">
        <v>270</v>
      </c>
      <c r="F129" s="2">
        <v>43.6</v>
      </c>
      <c r="G129" s="2">
        <v>0</v>
      </c>
      <c r="H129" s="4">
        <f t="shared" si="5"/>
        <v>3.5839466247630596</v>
      </c>
      <c r="I129" s="4">
        <f t="shared" si="6"/>
        <v>8.2940496401020276</v>
      </c>
      <c r="J129" s="4">
        <f t="shared" si="7"/>
        <v>5.598421958998375</v>
      </c>
      <c r="K129" s="4">
        <f t="shared" si="8"/>
        <v>43.6</v>
      </c>
      <c r="L129" s="4">
        <f t="shared" si="9"/>
        <v>0</v>
      </c>
    </row>
    <row r="130" spans="1:12" x14ac:dyDescent="0.35">
      <c r="A130" s="2" t="s">
        <v>186</v>
      </c>
      <c r="B130" s="2" t="s">
        <v>67</v>
      </c>
      <c r="C130" s="2">
        <v>29.395199999999999</v>
      </c>
      <c r="D130" s="2">
        <v>4500</v>
      </c>
      <c r="E130" s="2">
        <v>270</v>
      </c>
      <c r="F130" s="2">
        <v>43.3</v>
      </c>
      <c r="G130" s="2">
        <v>0</v>
      </c>
      <c r="H130" s="4">
        <f t="shared" ref="H130:H193" si="10">LN(C130)</f>
        <v>3.3808313957092824</v>
      </c>
      <c r="I130" s="4">
        <f t="shared" ref="I130:I193" si="11">LN(D130)</f>
        <v>8.4118326757584114</v>
      </c>
      <c r="J130" s="4">
        <f t="shared" ref="J130:J193" si="12">LN(E130)</f>
        <v>5.598421958998375</v>
      </c>
      <c r="K130" s="4">
        <f t="shared" ref="K130:K193" si="13">F130</f>
        <v>43.3</v>
      </c>
      <c r="L130" s="4">
        <f t="shared" ref="L130:L193" si="14">G130</f>
        <v>0</v>
      </c>
    </row>
    <row r="131" spans="1:12" x14ac:dyDescent="0.35">
      <c r="A131" s="2" t="s">
        <v>186</v>
      </c>
      <c r="B131" s="2" t="s">
        <v>67</v>
      </c>
      <c r="C131" s="2">
        <v>26.523700000000002</v>
      </c>
      <c r="D131" s="2">
        <v>4500</v>
      </c>
      <c r="E131" s="2">
        <v>285</v>
      </c>
      <c r="F131" s="2">
        <v>43.3</v>
      </c>
      <c r="G131" s="2">
        <v>0</v>
      </c>
      <c r="H131" s="4">
        <f t="shared" si="10"/>
        <v>3.2780386729314217</v>
      </c>
      <c r="I131" s="4">
        <f t="shared" si="11"/>
        <v>8.4118326757584114</v>
      </c>
      <c r="J131" s="4">
        <f t="shared" si="12"/>
        <v>5.6524891802686508</v>
      </c>
      <c r="K131" s="4">
        <f t="shared" si="13"/>
        <v>43.3</v>
      </c>
      <c r="L131" s="4">
        <f t="shared" si="14"/>
        <v>0</v>
      </c>
    </row>
    <row r="132" spans="1:12" x14ac:dyDescent="0.35">
      <c r="A132" s="2" t="s">
        <v>186</v>
      </c>
      <c r="B132" s="2" t="s">
        <v>67</v>
      </c>
      <c r="C132" s="2">
        <v>24.9741</v>
      </c>
      <c r="D132" s="2">
        <v>4500</v>
      </c>
      <c r="E132" s="2">
        <v>285</v>
      </c>
      <c r="F132" s="2">
        <v>43.3</v>
      </c>
      <c r="G132" s="2">
        <v>0</v>
      </c>
      <c r="H132" s="4">
        <f t="shared" si="10"/>
        <v>3.2178392878492676</v>
      </c>
      <c r="I132" s="4">
        <f t="shared" si="11"/>
        <v>8.4118326757584114</v>
      </c>
      <c r="J132" s="4">
        <f t="shared" si="12"/>
        <v>5.6524891802686508</v>
      </c>
      <c r="K132" s="4">
        <f t="shared" si="13"/>
        <v>43.3</v>
      </c>
      <c r="L132" s="4">
        <f t="shared" si="14"/>
        <v>0</v>
      </c>
    </row>
    <row r="133" spans="1:12" x14ac:dyDescent="0.35">
      <c r="A133" s="2" t="s">
        <v>187</v>
      </c>
      <c r="B133" s="2" t="s">
        <v>67</v>
      </c>
      <c r="C133" s="2">
        <v>28.646000000000001</v>
      </c>
      <c r="D133" s="2">
        <v>4500</v>
      </c>
      <c r="E133" s="2">
        <v>270</v>
      </c>
      <c r="F133" s="2">
        <v>53</v>
      </c>
      <c r="G133" s="2">
        <v>0</v>
      </c>
      <c r="H133" s="4">
        <f t="shared" si="10"/>
        <v>3.3550138173576736</v>
      </c>
      <c r="I133" s="4">
        <f t="shared" si="11"/>
        <v>8.4118326757584114</v>
      </c>
      <c r="J133" s="4">
        <f t="shared" si="12"/>
        <v>5.598421958998375</v>
      </c>
      <c r="K133" s="4">
        <f t="shared" si="13"/>
        <v>53</v>
      </c>
      <c r="L133" s="4">
        <f t="shared" si="14"/>
        <v>0</v>
      </c>
    </row>
    <row r="134" spans="1:12" x14ac:dyDescent="0.35">
      <c r="A134" s="2" t="s">
        <v>187</v>
      </c>
      <c r="B134" s="2" t="s">
        <v>67</v>
      </c>
      <c r="C134" s="2">
        <v>25.667100000000001</v>
      </c>
      <c r="D134" s="2">
        <v>4500</v>
      </c>
      <c r="E134" s="2">
        <v>285</v>
      </c>
      <c r="F134" s="2">
        <v>53</v>
      </c>
      <c r="G134" s="2">
        <v>0</v>
      </c>
      <c r="H134" s="4">
        <f t="shared" si="10"/>
        <v>3.2452100161599393</v>
      </c>
      <c r="I134" s="4">
        <f t="shared" si="11"/>
        <v>8.4118326757584114</v>
      </c>
      <c r="J134" s="4">
        <f t="shared" si="12"/>
        <v>5.6524891802686508</v>
      </c>
      <c r="K134" s="4">
        <f t="shared" si="13"/>
        <v>53</v>
      </c>
      <c r="L134" s="4">
        <f t="shared" si="14"/>
        <v>0</v>
      </c>
    </row>
    <row r="135" spans="1:12" x14ac:dyDescent="0.35">
      <c r="A135" s="2" t="s">
        <v>187</v>
      </c>
      <c r="B135" s="2" t="s">
        <v>67</v>
      </c>
      <c r="C135" s="2">
        <v>24.190899999999999</v>
      </c>
      <c r="D135" s="2">
        <v>4500</v>
      </c>
      <c r="E135" s="2">
        <v>285</v>
      </c>
      <c r="F135" s="2">
        <v>53</v>
      </c>
      <c r="G135" s="2">
        <v>0</v>
      </c>
      <c r="H135" s="4">
        <f t="shared" si="10"/>
        <v>3.1859765293866302</v>
      </c>
      <c r="I135" s="4">
        <f t="shared" si="11"/>
        <v>8.4118326757584114</v>
      </c>
      <c r="J135" s="4">
        <f t="shared" si="12"/>
        <v>5.6524891802686508</v>
      </c>
      <c r="K135" s="4">
        <f t="shared" si="13"/>
        <v>53</v>
      </c>
      <c r="L135" s="4">
        <f t="shared" si="14"/>
        <v>0</v>
      </c>
    </row>
    <row r="136" spans="1:12" x14ac:dyDescent="0.35">
      <c r="A136" s="2" t="s">
        <v>187</v>
      </c>
      <c r="B136" s="2" t="s">
        <v>67</v>
      </c>
      <c r="C136" s="2">
        <v>17.862100000000002</v>
      </c>
      <c r="D136" s="2">
        <v>5500</v>
      </c>
      <c r="E136" s="2">
        <v>470</v>
      </c>
      <c r="F136" s="2">
        <v>53</v>
      </c>
      <c r="G136" s="2">
        <v>0</v>
      </c>
      <c r="H136" s="4">
        <f t="shared" si="10"/>
        <v>2.8826811497232372</v>
      </c>
      <c r="I136" s="4">
        <f t="shared" si="11"/>
        <v>8.6125033712205621</v>
      </c>
      <c r="J136" s="4">
        <f t="shared" si="12"/>
        <v>6.1527326947041043</v>
      </c>
      <c r="K136" s="4">
        <f t="shared" si="13"/>
        <v>53</v>
      </c>
      <c r="L136" s="4">
        <f t="shared" si="14"/>
        <v>0</v>
      </c>
    </row>
    <row r="137" spans="1:12" x14ac:dyDescent="0.35">
      <c r="A137" s="2" t="s">
        <v>188</v>
      </c>
      <c r="B137" s="2" t="s">
        <v>33</v>
      </c>
      <c r="C137" s="2">
        <v>28.548400000000001</v>
      </c>
      <c r="D137" s="2">
        <v>5500</v>
      </c>
      <c r="E137" s="2">
        <v>270</v>
      </c>
      <c r="F137" s="2">
        <v>53</v>
      </c>
      <c r="G137" s="2">
        <v>1</v>
      </c>
      <c r="H137" s="4">
        <f t="shared" si="10"/>
        <v>3.3516008925000822</v>
      </c>
      <c r="I137" s="4">
        <f t="shared" si="11"/>
        <v>8.6125033712205621</v>
      </c>
      <c r="J137" s="4">
        <f t="shared" si="12"/>
        <v>5.598421958998375</v>
      </c>
      <c r="K137" s="4">
        <f t="shared" si="13"/>
        <v>53</v>
      </c>
      <c r="L137" s="4">
        <f t="shared" si="14"/>
        <v>1</v>
      </c>
    </row>
    <row r="138" spans="1:12" x14ac:dyDescent="0.35">
      <c r="A138" s="2" t="s">
        <v>189</v>
      </c>
      <c r="B138" s="2" t="s">
        <v>67</v>
      </c>
      <c r="C138" s="2">
        <v>24.8217</v>
      </c>
      <c r="D138" s="2">
        <v>5000</v>
      </c>
      <c r="E138" s="2">
        <v>285</v>
      </c>
      <c r="F138" s="2">
        <v>61.4</v>
      </c>
      <c r="G138" s="2">
        <v>0</v>
      </c>
      <c r="H138" s="4">
        <f t="shared" si="10"/>
        <v>3.2117182705815974</v>
      </c>
      <c r="I138" s="4">
        <f t="shared" si="11"/>
        <v>8.5171931914162382</v>
      </c>
      <c r="J138" s="4">
        <f t="shared" si="12"/>
        <v>5.6524891802686508</v>
      </c>
      <c r="K138" s="4">
        <f t="shared" si="13"/>
        <v>61.4</v>
      </c>
      <c r="L138" s="4">
        <f t="shared" si="14"/>
        <v>0</v>
      </c>
    </row>
    <row r="139" spans="1:12" x14ac:dyDescent="0.35">
      <c r="A139" s="2" t="s">
        <v>189</v>
      </c>
      <c r="B139" s="2" t="s">
        <v>67</v>
      </c>
      <c r="C139" s="2">
        <v>23.01</v>
      </c>
      <c r="D139" s="2">
        <v>5000</v>
      </c>
      <c r="E139" s="2">
        <v>285</v>
      </c>
      <c r="F139" s="2">
        <v>61.4</v>
      </c>
      <c r="G139" s="2">
        <v>0</v>
      </c>
      <c r="H139" s="4">
        <f t="shared" si="10"/>
        <v>3.1359289040472746</v>
      </c>
      <c r="I139" s="4">
        <f t="shared" si="11"/>
        <v>8.5171931914162382</v>
      </c>
      <c r="J139" s="4">
        <f t="shared" si="12"/>
        <v>5.6524891802686508</v>
      </c>
      <c r="K139" s="4">
        <f t="shared" si="13"/>
        <v>61.4</v>
      </c>
      <c r="L139" s="4">
        <f t="shared" si="14"/>
        <v>0</v>
      </c>
    </row>
    <row r="140" spans="1:12" x14ac:dyDescent="0.35">
      <c r="A140" s="2" t="s">
        <v>190</v>
      </c>
      <c r="B140" s="2" t="s">
        <v>67</v>
      </c>
      <c r="C140" s="2">
        <v>25.500800000000002</v>
      </c>
      <c r="D140" s="2">
        <v>6000</v>
      </c>
      <c r="E140" s="2">
        <v>420</v>
      </c>
      <c r="F140" s="2">
        <v>58.6</v>
      </c>
      <c r="G140" s="2">
        <v>0</v>
      </c>
      <c r="H140" s="4">
        <f t="shared" si="10"/>
        <v>3.2387098242212922</v>
      </c>
      <c r="I140" s="4">
        <f t="shared" si="11"/>
        <v>8.6995147482101913</v>
      </c>
      <c r="J140" s="4">
        <f t="shared" si="12"/>
        <v>6.0402547112774139</v>
      </c>
      <c r="K140" s="4">
        <f t="shared" si="13"/>
        <v>58.6</v>
      </c>
      <c r="L140" s="4">
        <f t="shared" si="14"/>
        <v>0</v>
      </c>
    </row>
    <row r="141" spans="1:12" x14ac:dyDescent="0.35">
      <c r="A141" s="2" t="s">
        <v>191</v>
      </c>
      <c r="B141" s="2" t="s">
        <v>67</v>
      </c>
      <c r="C141" s="2">
        <v>25.500800000000002</v>
      </c>
      <c r="D141" s="2">
        <v>6000</v>
      </c>
      <c r="E141" s="2">
        <v>420</v>
      </c>
      <c r="F141" s="2">
        <v>61.8</v>
      </c>
      <c r="G141" s="2">
        <v>0</v>
      </c>
      <c r="H141" s="4">
        <f t="shared" si="10"/>
        <v>3.2387098242212922</v>
      </c>
      <c r="I141" s="4">
        <f t="shared" si="11"/>
        <v>8.6995147482101913</v>
      </c>
      <c r="J141" s="4">
        <f t="shared" si="12"/>
        <v>6.0402547112774139</v>
      </c>
      <c r="K141" s="4">
        <f t="shared" si="13"/>
        <v>61.8</v>
      </c>
      <c r="L141" s="4">
        <f t="shared" si="14"/>
        <v>0</v>
      </c>
    </row>
    <row r="142" spans="1:12" x14ac:dyDescent="0.35">
      <c r="A142" s="2" t="s">
        <v>192</v>
      </c>
      <c r="B142" s="2" t="s">
        <v>67</v>
      </c>
      <c r="C142" s="2">
        <v>24.291399999999999</v>
      </c>
      <c r="D142" s="2">
        <v>6000</v>
      </c>
      <c r="E142" s="2">
        <v>420</v>
      </c>
      <c r="F142" s="2">
        <v>58.6</v>
      </c>
      <c r="G142" s="2">
        <v>0</v>
      </c>
      <c r="H142" s="4">
        <f t="shared" si="10"/>
        <v>3.1901223782407477</v>
      </c>
      <c r="I142" s="4">
        <f t="shared" si="11"/>
        <v>8.6995147482101913</v>
      </c>
      <c r="J142" s="4">
        <f t="shared" si="12"/>
        <v>6.0402547112774139</v>
      </c>
      <c r="K142" s="4">
        <f t="shared" si="13"/>
        <v>58.6</v>
      </c>
      <c r="L142" s="4">
        <f t="shared" si="14"/>
        <v>0</v>
      </c>
    </row>
    <row r="143" spans="1:12" x14ac:dyDescent="0.35">
      <c r="A143" s="2" t="s">
        <v>193</v>
      </c>
      <c r="B143" s="2" t="s">
        <v>67</v>
      </c>
      <c r="C143" s="2">
        <v>24.1401</v>
      </c>
      <c r="D143" s="2">
        <v>6500</v>
      </c>
      <c r="E143" s="2">
        <v>420</v>
      </c>
      <c r="F143" s="2">
        <v>61.8</v>
      </c>
      <c r="G143" s="2">
        <v>0</v>
      </c>
      <c r="H143" s="4">
        <f t="shared" si="10"/>
        <v>3.1838743581628766</v>
      </c>
      <c r="I143" s="4">
        <f t="shared" si="11"/>
        <v>8.7795574558837277</v>
      </c>
      <c r="J143" s="4">
        <f t="shared" si="12"/>
        <v>6.0402547112774139</v>
      </c>
      <c r="K143" s="4">
        <f t="shared" si="13"/>
        <v>61.8</v>
      </c>
      <c r="L143" s="4">
        <f t="shared" si="14"/>
        <v>0</v>
      </c>
    </row>
    <row r="144" spans="1:12" x14ac:dyDescent="0.35">
      <c r="A144" s="2" t="s">
        <v>194</v>
      </c>
      <c r="B144" s="2" t="s">
        <v>67</v>
      </c>
      <c r="C144" s="2">
        <v>21.1982</v>
      </c>
      <c r="D144" s="2">
        <v>6500</v>
      </c>
      <c r="E144" s="2">
        <v>510</v>
      </c>
      <c r="F144" s="2">
        <v>58.6</v>
      </c>
      <c r="G144" s="2">
        <v>0</v>
      </c>
      <c r="H144" s="4">
        <f t="shared" si="10"/>
        <v>3.0539162724128999</v>
      </c>
      <c r="I144" s="4">
        <f t="shared" si="11"/>
        <v>8.7795574558837277</v>
      </c>
      <c r="J144" s="4">
        <f t="shared" si="12"/>
        <v>6.2344107257183712</v>
      </c>
      <c r="K144" s="4">
        <f t="shared" si="13"/>
        <v>58.6</v>
      </c>
      <c r="L144" s="4">
        <f t="shared" si="14"/>
        <v>0</v>
      </c>
    </row>
    <row r="145" spans="1:12" x14ac:dyDescent="0.35">
      <c r="A145" s="2" t="s">
        <v>195</v>
      </c>
      <c r="B145" s="2" t="s">
        <v>67</v>
      </c>
      <c r="C145" s="2">
        <v>21.1982</v>
      </c>
      <c r="D145" s="2">
        <v>7000</v>
      </c>
      <c r="E145" s="2">
        <v>510</v>
      </c>
      <c r="F145" s="2">
        <v>61.8</v>
      </c>
      <c r="G145" s="2">
        <v>0</v>
      </c>
      <c r="H145" s="4">
        <f t="shared" si="10"/>
        <v>3.0539162724128999</v>
      </c>
      <c r="I145" s="4">
        <f t="shared" si="11"/>
        <v>8.8536654280374503</v>
      </c>
      <c r="J145" s="4">
        <f t="shared" si="12"/>
        <v>6.2344107257183712</v>
      </c>
      <c r="K145" s="4">
        <f t="shared" si="13"/>
        <v>61.8</v>
      </c>
      <c r="L145" s="4">
        <f t="shared" si="14"/>
        <v>0</v>
      </c>
    </row>
    <row r="146" spans="1:12" x14ac:dyDescent="0.35">
      <c r="A146" s="2" t="s">
        <v>196</v>
      </c>
      <c r="B146" s="2" t="s">
        <v>67</v>
      </c>
      <c r="C146" s="2">
        <v>28.0059</v>
      </c>
      <c r="D146" s="2">
        <v>5000</v>
      </c>
      <c r="E146" s="2">
        <v>295</v>
      </c>
      <c r="F146" s="2">
        <v>55.5</v>
      </c>
      <c r="G146" s="2">
        <v>0</v>
      </c>
      <c r="H146" s="4">
        <f t="shared" si="10"/>
        <v>3.3324152022637814</v>
      </c>
      <c r="I146" s="4">
        <f t="shared" si="11"/>
        <v>8.5171931914162382</v>
      </c>
      <c r="J146" s="4">
        <f t="shared" si="12"/>
        <v>5.6869753563398202</v>
      </c>
      <c r="K146" s="4">
        <f t="shared" si="13"/>
        <v>55.5</v>
      </c>
      <c r="L146" s="4">
        <f t="shared" si="14"/>
        <v>0</v>
      </c>
    </row>
    <row r="147" spans="1:12" x14ac:dyDescent="0.35">
      <c r="A147" s="2" t="s">
        <v>197</v>
      </c>
      <c r="B147" s="2" t="s">
        <v>67</v>
      </c>
      <c r="C147" s="2">
        <v>28.6845</v>
      </c>
      <c r="D147" s="2">
        <v>4500</v>
      </c>
      <c r="E147" s="2">
        <v>295</v>
      </c>
      <c r="F147" s="2">
        <v>53.2</v>
      </c>
      <c r="G147" s="2">
        <v>0</v>
      </c>
      <c r="H147" s="4">
        <f t="shared" si="10"/>
        <v>3.3563569071890016</v>
      </c>
      <c r="I147" s="4">
        <f t="shared" si="11"/>
        <v>8.4118326757584114</v>
      </c>
      <c r="J147" s="4">
        <f t="shared" si="12"/>
        <v>5.6869753563398202</v>
      </c>
      <c r="K147" s="4">
        <f t="shared" si="13"/>
        <v>53.2</v>
      </c>
      <c r="L147" s="4">
        <f t="shared" si="14"/>
        <v>0</v>
      </c>
    </row>
    <row r="148" spans="1:12" x14ac:dyDescent="0.35">
      <c r="A148" s="2" t="s">
        <v>198</v>
      </c>
      <c r="B148" s="2" t="s">
        <v>33</v>
      </c>
      <c r="C148" s="2">
        <v>33.130200000000002</v>
      </c>
      <c r="D148" s="2">
        <v>5500</v>
      </c>
      <c r="E148" s="2">
        <v>270</v>
      </c>
      <c r="F148" s="2">
        <v>53.2</v>
      </c>
      <c r="G148" s="2">
        <v>1</v>
      </c>
      <c r="H148" s="4">
        <f t="shared" si="10"/>
        <v>3.5004452531182131</v>
      </c>
      <c r="I148" s="4">
        <f t="shared" si="11"/>
        <v>8.6125033712205621</v>
      </c>
      <c r="J148" s="4">
        <f t="shared" si="12"/>
        <v>5.598421958998375</v>
      </c>
      <c r="K148" s="4">
        <f t="shared" si="13"/>
        <v>53.2</v>
      </c>
      <c r="L148" s="4">
        <f t="shared" si="14"/>
        <v>1</v>
      </c>
    </row>
    <row r="149" spans="1:12" x14ac:dyDescent="0.35">
      <c r="A149" s="2" t="s">
        <v>199</v>
      </c>
      <c r="B149" s="2" t="s">
        <v>67</v>
      </c>
      <c r="C149" s="2">
        <v>27.611999999999998</v>
      </c>
      <c r="D149" s="2">
        <v>5000</v>
      </c>
      <c r="E149" s="2">
        <v>295</v>
      </c>
      <c r="F149" s="2">
        <v>55.5</v>
      </c>
      <c r="G149" s="2">
        <v>0</v>
      </c>
      <c r="H149" s="4">
        <f t="shared" si="10"/>
        <v>3.3182504608412291</v>
      </c>
      <c r="I149" s="4">
        <f t="shared" si="11"/>
        <v>8.5171931914162382</v>
      </c>
      <c r="J149" s="4">
        <f t="shared" si="12"/>
        <v>5.6869753563398202</v>
      </c>
      <c r="K149" s="4">
        <f t="shared" si="13"/>
        <v>55.5</v>
      </c>
      <c r="L149" s="4">
        <f t="shared" si="14"/>
        <v>0</v>
      </c>
    </row>
    <row r="150" spans="1:12" x14ac:dyDescent="0.35">
      <c r="A150" s="2" t="s">
        <v>199</v>
      </c>
      <c r="B150" s="2" t="s">
        <v>67</v>
      </c>
      <c r="C150" s="2">
        <v>21.393999999999998</v>
      </c>
      <c r="D150" s="2">
        <v>5500</v>
      </c>
      <c r="E150" s="2">
        <v>357</v>
      </c>
      <c r="F150" s="2">
        <v>55.5</v>
      </c>
      <c r="G150" s="2">
        <v>0</v>
      </c>
      <c r="H150" s="4">
        <f t="shared" si="10"/>
        <v>3.063110508883939</v>
      </c>
      <c r="I150" s="4">
        <f t="shared" si="11"/>
        <v>8.6125033712205621</v>
      </c>
      <c r="J150" s="4">
        <f t="shared" si="12"/>
        <v>5.8777357817796387</v>
      </c>
      <c r="K150" s="4">
        <f t="shared" si="13"/>
        <v>55.5</v>
      </c>
      <c r="L150" s="4">
        <f t="shared" si="14"/>
        <v>0</v>
      </c>
    </row>
    <row r="151" spans="1:12" x14ac:dyDescent="0.35">
      <c r="A151" s="2" t="s">
        <v>200</v>
      </c>
      <c r="B151" s="2" t="s">
        <v>67</v>
      </c>
      <c r="C151" s="2">
        <v>28.235299999999999</v>
      </c>
      <c r="D151" s="2">
        <v>4500</v>
      </c>
      <c r="E151" s="2">
        <v>295</v>
      </c>
      <c r="F151" s="2">
        <v>53.2</v>
      </c>
      <c r="G151" s="2">
        <v>0</v>
      </c>
      <c r="H151" s="4">
        <f t="shared" si="10"/>
        <v>3.3405729681790319</v>
      </c>
      <c r="I151" s="4">
        <f t="shared" si="11"/>
        <v>8.4118326757584114</v>
      </c>
      <c r="J151" s="4">
        <f t="shared" si="12"/>
        <v>5.6869753563398202</v>
      </c>
      <c r="K151" s="4">
        <f t="shared" si="13"/>
        <v>53.2</v>
      </c>
      <c r="L151" s="4">
        <f t="shared" si="14"/>
        <v>0</v>
      </c>
    </row>
    <row r="152" spans="1:12" x14ac:dyDescent="0.35">
      <c r="A152" s="2" t="s">
        <v>201</v>
      </c>
      <c r="B152" s="2" t="s">
        <v>33</v>
      </c>
      <c r="C152" s="2">
        <v>41.070300000000003</v>
      </c>
      <c r="D152" s="2">
        <v>4500</v>
      </c>
      <c r="E152" s="2">
        <v>180</v>
      </c>
      <c r="F152" s="2">
        <v>44.4</v>
      </c>
      <c r="G152" s="2">
        <v>1</v>
      </c>
      <c r="H152" s="4">
        <f t="shared" si="10"/>
        <v>3.715285232543688</v>
      </c>
      <c r="I152" s="4">
        <f t="shared" si="11"/>
        <v>8.4118326757584114</v>
      </c>
      <c r="J152" s="4">
        <f t="shared" si="12"/>
        <v>5.1929568508902104</v>
      </c>
      <c r="K152" s="4">
        <f t="shared" si="13"/>
        <v>44.4</v>
      </c>
      <c r="L152" s="4">
        <f t="shared" si="14"/>
        <v>1</v>
      </c>
    </row>
    <row r="153" spans="1:12" x14ac:dyDescent="0.35">
      <c r="A153" s="2" t="s">
        <v>202</v>
      </c>
      <c r="B153" s="2" t="s">
        <v>67</v>
      </c>
      <c r="C153" s="2">
        <v>36.105899999999998</v>
      </c>
      <c r="D153" s="2">
        <v>4000</v>
      </c>
      <c r="E153" s="2">
        <v>280</v>
      </c>
      <c r="F153" s="2">
        <v>48.4</v>
      </c>
      <c r="G153" s="2">
        <v>0</v>
      </c>
      <c r="H153" s="4">
        <f t="shared" si="10"/>
        <v>3.5864562868878536</v>
      </c>
      <c r="I153" s="4">
        <f t="shared" si="11"/>
        <v>8.2940496401020276</v>
      </c>
      <c r="J153" s="4">
        <f t="shared" si="12"/>
        <v>5.6347896031692493</v>
      </c>
      <c r="K153" s="4">
        <f t="shared" si="13"/>
        <v>48.4</v>
      </c>
      <c r="L153" s="4">
        <f t="shared" si="14"/>
        <v>0</v>
      </c>
    </row>
    <row r="154" spans="1:12" x14ac:dyDescent="0.35">
      <c r="A154" s="2" t="s">
        <v>202</v>
      </c>
      <c r="B154" s="2" t="s">
        <v>67</v>
      </c>
      <c r="C154" s="2">
        <v>26.4556</v>
      </c>
      <c r="D154" s="2">
        <v>4000</v>
      </c>
      <c r="E154" s="2">
        <v>505</v>
      </c>
      <c r="F154" s="2">
        <v>48.4</v>
      </c>
      <c r="G154" s="2">
        <v>0</v>
      </c>
      <c r="H154" s="4">
        <f t="shared" si="10"/>
        <v>3.2754678561215873</v>
      </c>
      <c r="I154" s="4">
        <f t="shared" si="11"/>
        <v>8.2940496401020276</v>
      </c>
      <c r="J154" s="4">
        <f t="shared" si="12"/>
        <v>6.2245584292753602</v>
      </c>
      <c r="K154" s="4">
        <f t="shared" si="13"/>
        <v>48.4</v>
      </c>
      <c r="L154" s="4">
        <f t="shared" si="14"/>
        <v>0</v>
      </c>
    </row>
    <row r="155" spans="1:12" x14ac:dyDescent="0.35">
      <c r="A155" s="2" t="s">
        <v>203</v>
      </c>
      <c r="B155" s="2" t="s">
        <v>67</v>
      </c>
      <c r="C155" s="2">
        <v>34.034999999999997</v>
      </c>
      <c r="D155" s="2">
        <v>4000</v>
      </c>
      <c r="E155" s="2">
        <v>280</v>
      </c>
      <c r="F155" s="2">
        <v>48.3</v>
      </c>
      <c r="G155" s="2">
        <v>0</v>
      </c>
      <c r="H155" s="4">
        <f t="shared" si="10"/>
        <v>3.5273894068999145</v>
      </c>
      <c r="I155" s="4">
        <f t="shared" si="11"/>
        <v>8.2940496401020276</v>
      </c>
      <c r="J155" s="4">
        <f t="shared" si="12"/>
        <v>5.6347896031692493</v>
      </c>
      <c r="K155" s="4">
        <f t="shared" si="13"/>
        <v>48.3</v>
      </c>
      <c r="L155" s="4">
        <f t="shared" si="14"/>
        <v>0</v>
      </c>
    </row>
    <row r="156" spans="1:12" x14ac:dyDescent="0.35">
      <c r="A156" s="2" t="s">
        <v>204</v>
      </c>
      <c r="B156" s="2" t="s">
        <v>67</v>
      </c>
      <c r="C156" s="2">
        <v>33.7761</v>
      </c>
      <c r="D156" s="2">
        <v>4000</v>
      </c>
      <c r="E156" s="2">
        <v>280</v>
      </c>
      <c r="F156" s="2">
        <v>49.5</v>
      </c>
      <c r="G156" s="2">
        <v>0</v>
      </c>
      <c r="H156" s="4">
        <f t="shared" si="10"/>
        <v>3.519753451783723</v>
      </c>
      <c r="I156" s="4">
        <f t="shared" si="11"/>
        <v>8.2940496401020276</v>
      </c>
      <c r="J156" s="4">
        <f t="shared" si="12"/>
        <v>5.6347896031692493</v>
      </c>
      <c r="K156" s="4">
        <f t="shared" si="13"/>
        <v>49.5</v>
      </c>
      <c r="L156" s="4">
        <f t="shared" si="14"/>
        <v>0</v>
      </c>
    </row>
    <row r="157" spans="1:12" x14ac:dyDescent="0.35">
      <c r="A157" s="2" t="s">
        <v>205</v>
      </c>
      <c r="B157" s="2" t="s">
        <v>67</v>
      </c>
      <c r="C157" s="2">
        <v>32.418900000000001</v>
      </c>
      <c r="D157" s="2">
        <v>4000</v>
      </c>
      <c r="E157" s="2">
        <v>280</v>
      </c>
      <c r="F157" s="2">
        <v>49.5</v>
      </c>
      <c r="G157" s="2">
        <v>0</v>
      </c>
      <c r="H157" s="4">
        <f t="shared" si="10"/>
        <v>3.4787415860588644</v>
      </c>
      <c r="I157" s="4">
        <f t="shared" si="11"/>
        <v>8.2940496401020276</v>
      </c>
      <c r="J157" s="4">
        <f t="shared" si="12"/>
        <v>5.6347896031692493</v>
      </c>
      <c r="K157" s="4">
        <f t="shared" si="13"/>
        <v>49.5</v>
      </c>
      <c r="L157" s="4">
        <f t="shared" si="14"/>
        <v>0</v>
      </c>
    </row>
    <row r="158" spans="1:12" x14ac:dyDescent="0.35">
      <c r="A158" s="2" t="s">
        <v>205</v>
      </c>
      <c r="B158" s="2" t="s">
        <v>67</v>
      </c>
      <c r="C158" s="2">
        <v>24.864899999999999</v>
      </c>
      <c r="D158" s="2">
        <v>4500</v>
      </c>
      <c r="E158" s="2">
        <v>505</v>
      </c>
      <c r="F158" s="2">
        <v>49.5</v>
      </c>
      <c r="G158" s="2">
        <v>0</v>
      </c>
      <c r="H158" s="4">
        <f t="shared" si="10"/>
        <v>3.2134571704413415</v>
      </c>
      <c r="I158" s="4">
        <f t="shared" si="11"/>
        <v>8.4118326757584114</v>
      </c>
      <c r="J158" s="4">
        <f t="shared" si="12"/>
        <v>6.2245584292753602</v>
      </c>
      <c r="K158" s="4">
        <f t="shared" si="13"/>
        <v>49.5</v>
      </c>
      <c r="L158" s="4">
        <f t="shared" si="14"/>
        <v>0</v>
      </c>
    </row>
    <row r="159" spans="1:12" x14ac:dyDescent="0.35">
      <c r="A159" s="2" t="s">
        <v>206</v>
      </c>
      <c r="B159" s="2" t="s">
        <v>67</v>
      </c>
      <c r="C159" s="2">
        <v>25.621700000000001</v>
      </c>
      <c r="D159" s="2">
        <v>5000</v>
      </c>
      <c r="E159" s="2">
        <v>305</v>
      </c>
      <c r="F159" s="2">
        <v>66.7</v>
      </c>
      <c r="G159" s="2">
        <v>0</v>
      </c>
      <c r="H159" s="4">
        <f t="shared" si="10"/>
        <v>3.2434396486778483</v>
      </c>
      <c r="I159" s="4">
        <f t="shared" si="11"/>
        <v>8.5171931914162382</v>
      </c>
      <c r="J159" s="4">
        <f t="shared" si="12"/>
        <v>5.7203117766074119</v>
      </c>
      <c r="K159" s="4">
        <f t="shared" si="13"/>
        <v>66.7</v>
      </c>
      <c r="L159" s="4">
        <f t="shared" si="14"/>
        <v>0</v>
      </c>
    </row>
    <row r="160" spans="1:12" x14ac:dyDescent="0.35">
      <c r="A160" s="2" t="s">
        <v>206</v>
      </c>
      <c r="B160" s="2" t="s">
        <v>67</v>
      </c>
      <c r="C160" s="2">
        <v>21.8294</v>
      </c>
      <c r="D160" s="2">
        <v>5500</v>
      </c>
      <c r="E160" s="2">
        <v>395</v>
      </c>
      <c r="F160" s="2">
        <v>66.7</v>
      </c>
      <c r="G160" s="2">
        <v>0</v>
      </c>
      <c r="H160" s="4">
        <f t="shared" si="10"/>
        <v>3.0832576850718989</v>
      </c>
      <c r="I160" s="4">
        <f t="shared" si="11"/>
        <v>8.6125033712205621</v>
      </c>
      <c r="J160" s="4">
        <f t="shared" si="12"/>
        <v>5.978885764901122</v>
      </c>
      <c r="K160" s="4">
        <f t="shared" si="13"/>
        <v>66.7</v>
      </c>
      <c r="L160" s="4">
        <f t="shared" si="14"/>
        <v>0</v>
      </c>
    </row>
    <row r="161" spans="1:12" x14ac:dyDescent="0.35">
      <c r="A161" s="2" t="s">
        <v>207</v>
      </c>
      <c r="B161" s="2" t="s">
        <v>67</v>
      </c>
      <c r="C161" s="2">
        <v>24.371600000000001</v>
      </c>
      <c r="D161" s="2">
        <v>5500</v>
      </c>
      <c r="E161" s="2">
        <v>305</v>
      </c>
      <c r="F161" s="2">
        <v>66.2</v>
      </c>
      <c r="G161" s="2">
        <v>0</v>
      </c>
      <c r="H161" s="4">
        <f t="shared" si="10"/>
        <v>3.1934185199751823</v>
      </c>
      <c r="I161" s="4">
        <f t="shared" si="11"/>
        <v>8.6125033712205621</v>
      </c>
      <c r="J161" s="4">
        <f t="shared" si="12"/>
        <v>5.7203117766074119</v>
      </c>
      <c r="K161" s="4">
        <f t="shared" si="13"/>
        <v>66.2</v>
      </c>
      <c r="L161" s="4">
        <f t="shared" si="14"/>
        <v>0</v>
      </c>
    </row>
    <row r="162" spans="1:12" x14ac:dyDescent="0.35">
      <c r="A162" s="2" t="s">
        <v>207</v>
      </c>
      <c r="B162" s="2" t="s">
        <v>67</v>
      </c>
      <c r="C162" s="2">
        <v>21.629100000000001</v>
      </c>
      <c r="D162" s="2">
        <v>5500</v>
      </c>
      <c r="E162" s="2">
        <v>395</v>
      </c>
      <c r="F162" s="2">
        <v>66.2</v>
      </c>
      <c r="G162" s="2">
        <v>0</v>
      </c>
      <c r="H162" s="4">
        <f t="shared" si="10"/>
        <v>3.074039630222734</v>
      </c>
      <c r="I162" s="4">
        <f t="shared" si="11"/>
        <v>8.6125033712205621</v>
      </c>
      <c r="J162" s="4">
        <f t="shared" si="12"/>
        <v>5.978885764901122</v>
      </c>
      <c r="K162" s="4">
        <f t="shared" si="13"/>
        <v>66.2</v>
      </c>
      <c r="L162" s="4">
        <f t="shared" si="14"/>
        <v>0</v>
      </c>
    </row>
    <row r="163" spans="1:12" x14ac:dyDescent="0.35">
      <c r="A163" s="2" t="s">
        <v>208</v>
      </c>
      <c r="B163" s="2" t="s">
        <v>33</v>
      </c>
      <c r="C163" s="2">
        <v>28.6678</v>
      </c>
      <c r="D163" s="2">
        <v>5000</v>
      </c>
      <c r="E163" s="2">
        <v>305</v>
      </c>
      <c r="F163" s="2">
        <v>66.5</v>
      </c>
      <c r="G163" s="2">
        <v>1</v>
      </c>
      <c r="H163" s="4">
        <f t="shared" si="10"/>
        <v>3.3557745416876359</v>
      </c>
      <c r="I163" s="4">
        <f t="shared" si="11"/>
        <v>8.5171931914162382</v>
      </c>
      <c r="J163" s="4">
        <f t="shared" si="12"/>
        <v>5.7203117766074119</v>
      </c>
      <c r="K163" s="4">
        <f t="shared" si="13"/>
        <v>66.5</v>
      </c>
      <c r="L163" s="4">
        <f t="shared" si="14"/>
        <v>1</v>
      </c>
    </row>
    <row r="164" spans="1:12" x14ac:dyDescent="0.35">
      <c r="A164" s="2" t="s">
        <v>208</v>
      </c>
      <c r="B164" s="2" t="s">
        <v>33</v>
      </c>
      <c r="C164" s="2">
        <v>26.409300000000002</v>
      </c>
      <c r="D164" s="2">
        <v>5500</v>
      </c>
      <c r="E164" s="2">
        <v>392</v>
      </c>
      <c r="F164" s="2">
        <v>66.5</v>
      </c>
      <c r="G164" s="2">
        <v>1</v>
      </c>
      <c r="H164" s="4">
        <f t="shared" si="10"/>
        <v>3.2737162208460742</v>
      </c>
      <c r="I164" s="4">
        <f t="shared" si="11"/>
        <v>8.6125033712205621</v>
      </c>
      <c r="J164" s="4">
        <f t="shared" si="12"/>
        <v>5.9712618397904622</v>
      </c>
      <c r="K164" s="4">
        <f t="shared" si="13"/>
        <v>66.5</v>
      </c>
      <c r="L164" s="4">
        <f t="shared" si="14"/>
        <v>1</v>
      </c>
    </row>
    <row r="165" spans="1:12" x14ac:dyDescent="0.35">
      <c r="A165" s="2" t="s">
        <v>209</v>
      </c>
      <c r="B165" s="2" t="s">
        <v>33</v>
      </c>
      <c r="C165" s="2">
        <v>29.794799999999999</v>
      </c>
      <c r="D165" s="2">
        <v>5000</v>
      </c>
      <c r="E165" s="2">
        <v>305</v>
      </c>
      <c r="F165" s="2">
        <v>66.5</v>
      </c>
      <c r="G165" s="2">
        <v>1</v>
      </c>
      <c r="H165" s="4">
        <f t="shared" si="10"/>
        <v>3.3943338816407524</v>
      </c>
      <c r="I165" s="4">
        <f t="shared" si="11"/>
        <v>8.5171931914162382</v>
      </c>
      <c r="J165" s="4">
        <f t="shared" si="12"/>
        <v>5.7203117766074119</v>
      </c>
      <c r="K165" s="4">
        <f t="shared" si="13"/>
        <v>66.5</v>
      </c>
      <c r="L165" s="4">
        <f t="shared" si="14"/>
        <v>1</v>
      </c>
    </row>
    <row r="166" spans="1:12" x14ac:dyDescent="0.35">
      <c r="A166" s="2" t="s">
        <v>210</v>
      </c>
      <c r="B166" s="2" t="s">
        <v>33</v>
      </c>
      <c r="C166" s="2">
        <v>27.936699999999998</v>
      </c>
      <c r="D166" s="2">
        <v>5000</v>
      </c>
      <c r="E166" s="2">
        <v>305</v>
      </c>
      <c r="F166" s="2">
        <v>66.5</v>
      </c>
      <c r="G166" s="2">
        <v>1</v>
      </c>
      <c r="H166" s="4">
        <f t="shared" si="10"/>
        <v>3.329941236617032</v>
      </c>
      <c r="I166" s="4">
        <f t="shared" si="11"/>
        <v>8.5171931914162382</v>
      </c>
      <c r="J166" s="4">
        <f t="shared" si="12"/>
        <v>5.7203117766074119</v>
      </c>
      <c r="K166" s="4">
        <f t="shared" si="13"/>
        <v>66.5</v>
      </c>
      <c r="L166" s="4">
        <f t="shared" si="14"/>
        <v>1</v>
      </c>
    </row>
    <row r="167" spans="1:12" x14ac:dyDescent="0.35">
      <c r="A167" s="2" t="s">
        <v>210</v>
      </c>
      <c r="B167" s="2" t="s">
        <v>33</v>
      </c>
      <c r="C167" s="2">
        <v>25.293399999999998</v>
      </c>
      <c r="D167" s="2">
        <v>5500</v>
      </c>
      <c r="E167" s="2">
        <v>392</v>
      </c>
      <c r="F167" s="2">
        <v>66.5</v>
      </c>
      <c r="G167" s="2">
        <v>1</v>
      </c>
      <c r="H167" s="4">
        <f t="shared" si="10"/>
        <v>3.2305434921358733</v>
      </c>
      <c r="I167" s="4">
        <f t="shared" si="11"/>
        <v>8.6125033712205621</v>
      </c>
      <c r="J167" s="4">
        <f t="shared" si="12"/>
        <v>5.9712618397904622</v>
      </c>
      <c r="K167" s="4">
        <f t="shared" si="13"/>
        <v>66.5</v>
      </c>
      <c r="L167" s="4">
        <f t="shared" si="14"/>
        <v>1</v>
      </c>
    </row>
    <row r="168" spans="1:12" x14ac:dyDescent="0.35">
      <c r="A168" s="2" t="s">
        <v>211</v>
      </c>
      <c r="B168" s="2" t="s">
        <v>67</v>
      </c>
      <c r="C168" s="2">
        <v>15.0098</v>
      </c>
      <c r="D168" s="2">
        <v>7000</v>
      </c>
      <c r="E168" s="2">
        <v>702</v>
      </c>
      <c r="F168" s="2">
        <v>74.8</v>
      </c>
      <c r="G168" s="2">
        <v>0</v>
      </c>
      <c r="H168" s="4">
        <f t="shared" si="10"/>
        <v>2.708703321106233</v>
      </c>
      <c r="I168" s="4">
        <f t="shared" si="11"/>
        <v>8.8536654280374503</v>
      </c>
      <c r="J168" s="4">
        <f t="shared" si="12"/>
        <v>6.5539334040258108</v>
      </c>
      <c r="K168" s="4">
        <f t="shared" si="13"/>
        <v>74.8</v>
      </c>
      <c r="L168" s="4">
        <f t="shared" si="14"/>
        <v>0</v>
      </c>
    </row>
    <row r="169" spans="1:12" x14ac:dyDescent="0.35">
      <c r="A169" s="2" t="s">
        <v>212</v>
      </c>
      <c r="B169" s="2" t="s">
        <v>67</v>
      </c>
      <c r="C169" s="2">
        <v>17.2348</v>
      </c>
      <c r="D169" s="2">
        <v>4000</v>
      </c>
      <c r="E169" s="2">
        <v>814</v>
      </c>
      <c r="F169" s="2">
        <v>48.6</v>
      </c>
      <c r="G169" s="2">
        <v>0</v>
      </c>
      <c r="H169" s="4">
        <f t="shared" si="10"/>
        <v>2.8469305956079096</v>
      </c>
      <c r="I169" s="4">
        <f t="shared" si="11"/>
        <v>8.2940496401020276</v>
      </c>
      <c r="J169" s="4">
        <f t="shared" si="12"/>
        <v>6.70196036600254</v>
      </c>
      <c r="K169" s="4">
        <f t="shared" si="13"/>
        <v>48.6</v>
      </c>
      <c r="L169" s="4">
        <f t="shared" si="14"/>
        <v>0</v>
      </c>
    </row>
    <row r="170" spans="1:12" x14ac:dyDescent="0.35">
      <c r="A170" s="2" t="s">
        <v>214</v>
      </c>
      <c r="B170" s="2" t="s">
        <v>67</v>
      </c>
      <c r="C170" s="2">
        <v>17.339500000000001</v>
      </c>
      <c r="D170" s="2">
        <v>4000</v>
      </c>
      <c r="E170" s="2">
        <v>814</v>
      </c>
      <c r="F170" s="2">
        <v>48.6</v>
      </c>
      <c r="G170" s="2">
        <v>0</v>
      </c>
      <c r="H170" s="4">
        <f t="shared" si="10"/>
        <v>2.8529871358732204</v>
      </c>
      <c r="I170" s="4">
        <f t="shared" si="11"/>
        <v>8.2940496401020276</v>
      </c>
      <c r="J170" s="4">
        <f t="shared" si="12"/>
        <v>6.70196036600254</v>
      </c>
      <c r="K170" s="4">
        <f t="shared" si="13"/>
        <v>48.6</v>
      </c>
      <c r="L170" s="4">
        <f t="shared" si="14"/>
        <v>0</v>
      </c>
    </row>
    <row r="171" spans="1:12" x14ac:dyDescent="0.35">
      <c r="A171" s="2" t="s">
        <v>215</v>
      </c>
      <c r="B171" s="2" t="s">
        <v>67</v>
      </c>
      <c r="C171" s="2">
        <v>24.2605</v>
      </c>
      <c r="D171" s="2">
        <v>4000</v>
      </c>
      <c r="E171" s="2">
        <v>612</v>
      </c>
      <c r="F171" s="2">
        <v>47.9</v>
      </c>
      <c r="G171" s="2">
        <v>0</v>
      </c>
      <c r="H171" s="4">
        <f t="shared" si="10"/>
        <v>3.188849513361228</v>
      </c>
      <c r="I171" s="4">
        <f t="shared" si="11"/>
        <v>8.2940496401020276</v>
      </c>
      <c r="J171" s="4">
        <f t="shared" si="12"/>
        <v>6.4167322825123261</v>
      </c>
      <c r="K171" s="4">
        <f t="shared" si="13"/>
        <v>47.9</v>
      </c>
      <c r="L171" s="4">
        <f t="shared" si="14"/>
        <v>0</v>
      </c>
    </row>
    <row r="172" spans="1:12" x14ac:dyDescent="0.35">
      <c r="A172" s="2" t="s">
        <v>216</v>
      </c>
      <c r="B172" s="2" t="s">
        <v>33</v>
      </c>
      <c r="C172" s="2">
        <v>23.041499999999999</v>
      </c>
      <c r="D172" s="2">
        <v>4000</v>
      </c>
      <c r="E172" s="2">
        <v>654</v>
      </c>
      <c r="F172" s="2">
        <v>46.2</v>
      </c>
      <c r="G172" s="2">
        <v>1</v>
      </c>
      <c r="H172" s="4">
        <f t="shared" si="10"/>
        <v>3.1372969378751727</v>
      </c>
      <c r="I172" s="4">
        <f t="shared" si="11"/>
        <v>8.2940496401020276</v>
      </c>
      <c r="J172" s="4">
        <f t="shared" si="12"/>
        <v>6.4831073514571989</v>
      </c>
      <c r="K172" s="4">
        <f t="shared" si="13"/>
        <v>46.2</v>
      </c>
      <c r="L172" s="4">
        <f t="shared" si="14"/>
        <v>1</v>
      </c>
    </row>
    <row r="173" spans="1:12" x14ac:dyDescent="0.35">
      <c r="A173" s="2" t="s">
        <v>217</v>
      </c>
      <c r="B173" s="2" t="s">
        <v>33</v>
      </c>
      <c r="C173" s="2">
        <v>23.041499999999999</v>
      </c>
      <c r="D173" s="2">
        <v>4000</v>
      </c>
      <c r="E173" s="2">
        <v>654</v>
      </c>
      <c r="F173" s="2">
        <v>46.2</v>
      </c>
      <c r="G173" s="2">
        <v>1</v>
      </c>
      <c r="H173" s="4">
        <f t="shared" si="10"/>
        <v>3.1372969378751727</v>
      </c>
      <c r="I173" s="4">
        <f t="shared" si="11"/>
        <v>8.2940496401020276</v>
      </c>
      <c r="J173" s="4">
        <f t="shared" si="12"/>
        <v>6.4831073514571989</v>
      </c>
      <c r="K173" s="4">
        <f t="shared" si="13"/>
        <v>46.2</v>
      </c>
      <c r="L173" s="4">
        <f t="shared" si="14"/>
        <v>1</v>
      </c>
    </row>
    <row r="174" spans="1:12" x14ac:dyDescent="0.35">
      <c r="A174" s="2" t="s">
        <v>218</v>
      </c>
      <c r="B174" s="2" t="s">
        <v>33</v>
      </c>
      <c r="C174" s="2">
        <v>22.735800000000001</v>
      </c>
      <c r="D174" s="2">
        <v>4000</v>
      </c>
      <c r="E174" s="2">
        <v>770</v>
      </c>
      <c r="F174" s="2">
        <v>47.5</v>
      </c>
      <c r="G174" s="2">
        <v>1</v>
      </c>
      <c r="H174" s="4">
        <f t="shared" si="10"/>
        <v>3.1239407746939571</v>
      </c>
      <c r="I174" s="4">
        <f t="shared" si="11"/>
        <v>8.2940496401020276</v>
      </c>
      <c r="J174" s="4">
        <f t="shared" si="12"/>
        <v>6.6463905148477291</v>
      </c>
      <c r="K174" s="4">
        <f t="shared" si="13"/>
        <v>47.5</v>
      </c>
      <c r="L174" s="4">
        <f t="shared" si="14"/>
        <v>1</v>
      </c>
    </row>
    <row r="175" spans="1:12" x14ac:dyDescent="0.35">
      <c r="A175" s="2" t="s">
        <v>219</v>
      </c>
      <c r="B175" s="2" t="s">
        <v>67</v>
      </c>
      <c r="C175" s="2">
        <v>26.648299999999999</v>
      </c>
      <c r="D175" s="2">
        <v>4000</v>
      </c>
      <c r="E175" s="2">
        <v>612</v>
      </c>
      <c r="F175" s="2">
        <v>47.9</v>
      </c>
      <c r="G175" s="2">
        <v>0</v>
      </c>
      <c r="H175" s="4">
        <f t="shared" si="10"/>
        <v>3.2827253587085252</v>
      </c>
      <c r="I175" s="4">
        <f t="shared" si="11"/>
        <v>8.2940496401020276</v>
      </c>
      <c r="J175" s="4">
        <f t="shared" si="12"/>
        <v>6.4167322825123261</v>
      </c>
      <c r="K175" s="4">
        <f t="shared" si="13"/>
        <v>47.9</v>
      </c>
      <c r="L175" s="4">
        <f t="shared" si="14"/>
        <v>0</v>
      </c>
    </row>
    <row r="176" spans="1:12" x14ac:dyDescent="0.35">
      <c r="A176" s="2" t="s">
        <v>220</v>
      </c>
      <c r="B176" s="2" t="s">
        <v>67</v>
      </c>
      <c r="C176" s="2">
        <v>15.6691</v>
      </c>
      <c r="D176" s="2">
        <v>5000</v>
      </c>
      <c r="E176" s="2">
        <v>709</v>
      </c>
      <c r="F176" s="2">
        <v>56.1</v>
      </c>
      <c r="G176" s="2">
        <v>0</v>
      </c>
      <c r="H176" s="4">
        <f t="shared" si="10"/>
        <v>2.7516906201301148</v>
      </c>
      <c r="I176" s="4">
        <f t="shared" si="11"/>
        <v>8.5171931914162382</v>
      </c>
      <c r="J176" s="4">
        <f t="shared" si="12"/>
        <v>6.5638555265321274</v>
      </c>
      <c r="K176" s="4">
        <f t="shared" si="13"/>
        <v>56.1</v>
      </c>
      <c r="L176" s="4">
        <f t="shared" si="14"/>
        <v>0</v>
      </c>
    </row>
    <row r="177" spans="1:12" x14ac:dyDescent="0.35">
      <c r="A177" s="2" t="s">
        <v>221</v>
      </c>
      <c r="B177" s="2" t="s">
        <v>33</v>
      </c>
      <c r="C177" s="2">
        <v>22.217400000000001</v>
      </c>
      <c r="D177" s="2">
        <v>4500</v>
      </c>
      <c r="E177" s="2">
        <v>770</v>
      </c>
      <c r="F177" s="2">
        <v>47.5</v>
      </c>
      <c r="G177" s="2">
        <v>1</v>
      </c>
      <c r="H177" s="4">
        <f t="shared" si="10"/>
        <v>3.1008757656639108</v>
      </c>
      <c r="I177" s="4">
        <f t="shared" si="11"/>
        <v>8.4118326757584114</v>
      </c>
      <c r="J177" s="4">
        <f t="shared" si="12"/>
        <v>6.6463905148477291</v>
      </c>
      <c r="K177" s="4">
        <f t="shared" si="13"/>
        <v>47.5</v>
      </c>
      <c r="L177" s="4">
        <f t="shared" si="14"/>
        <v>1</v>
      </c>
    </row>
    <row r="178" spans="1:12" x14ac:dyDescent="0.35">
      <c r="A178" s="2" t="s">
        <v>222</v>
      </c>
      <c r="B178" s="2" t="s">
        <v>33</v>
      </c>
      <c r="C178" s="2">
        <v>21.916899999999998</v>
      </c>
      <c r="D178" s="2">
        <v>4000</v>
      </c>
      <c r="E178" s="2">
        <v>790</v>
      </c>
      <c r="F178" s="2">
        <v>47.8</v>
      </c>
      <c r="G178" s="2">
        <v>1</v>
      </c>
      <c r="H178" s="4">
        <f t="shared" si="10"/>
        <v>3.0872580287209246</v>
      </c>
      <c r="I178" s="4">
        <f t="shared" si="11"/>
        <v>8.2940496401020276</v>
      </c>
      <c r="J178" s="4">
        <f t="shared" si="12"/>
        <v>6.6720329454610674</v>
      </c>
      <c r="K178" s="4">
        <f t="shared" si="13"/>
        <v>47.8</v>
      </c>
      <c r="L178" s="4">
        <f t="shared" si="14"/>
        <v>1</v>
      </c>
    </row>
    <row r="179" spans="1:12" x14ac:dyDescent="0.35">
      <c r="A179" s="2" t="s">
        <v>223</v>
      </c>
      <c r="B179" s="2" t="s">
        <v>33</v>
      </c>
      <c r="C179" s="2">
        <v>21.916899999999998</v>
      </c>
      <c r="D179" s="2">
        <v>4500</v>
      </c>
      <c r="E179" s="2">
        <v>790</v>
      </c>
      <c r="F179" s="2">
        <v>47.8</v>
      </c>
      <c r="G179" s="2">
        <v>1</v>
      </c>
      <c r="H179" s="4">
        <f t="shared" si="10"/>
        <v>3.0872580287209246</v>
      </c>
      <c r="I179" s="4">
        <f t="shared" si="11"/>
        <v>8.4118326757584114</v>
      </c>
      <c r="J179" s="4">
        <f t="shared" si="12"/>
        <v>6.6720329454610674</v>
      </c>
      <c r="K179" s="4">
        <f t="shared" si="13"/>
        <v>47.8</v>
      </c>
      <c r="L179" s="4">
        <f t="shared" si="14"/>
        <v>1</v>
      </c>
    </row>
    <row r="180" spans="1:12" x14ac:dyDescent="0.35">
      <c r="A180" s="2" t="s">
        <v>224</v>
      </c>
      <c r="B180" s="2" t="s">
        <v>67</v>
      </c>
      <c r="C180" s="2">
        <v>16.990400000000001</v>
      </c>
      <c r="D180" s="2">
        <v>4000</v>
      </c>
      <c r="E180" s="2">
        <v>823</v>
      </c>
      <c r="F180" s="2">
        <v>48.1</v>
      </c>
      <c r="G180" s="2">
        <v>0</v>
      </c>
      <c r="H180" s="4">
        <f t="shared" si="10"/>
        <v>2.8326484786674442</v>
      </c>
      <c r="I180" s="4">
        <f t="shared" si="11"/>
        <v>8.2940496401020276</v>
      </c>
      <c r="J180" s="4">
        <f t="shared" si="12"/>
        <v>6.7129562006770698</v>
      </c>
      <c r="K180" s="4">
        <f t="shared" si="13"/>
        <v>48.1</v>
      </c>
      <c r="L180" s="4">
        <f t="shared" si="14"/>
        <v>0</v>
      </c>
    </row>
    <row r="181" spans="1:12" x14ac:dyDescent="0.35">
      <c r="A181" s="2" t="s">
        <v>225</v>
      </c>
      <c r="B181" s="2" t="s">
        <v>67</v>
      </c>
      <c r="C181" s="2">
        <v>29.328299999999999</v>
      </c>
      <c r="D181" s="2">
        <v>3000</v>
      </c>
      <c r="E181" s="2">
        <v>228</v>
      </c>
      <c r="F181" s="2">
        <v>42.5</v>
      </c>
      <c r="G181" s="2">
        <v>0</v>
      </c>
      <c r="H181" s="4">
        <f t="shared" si="10"/>
        <v>3.3785529201776017</v>
      </c>
      <c r="I181" s="4">
        <f t="shared" si="11"/>
        <v>8.0063675676502459</v>
      </c>
      <c r="J181" s="4">
        <f t="shared" si="12"/>
        <v>5.4293456289544411</v>
      </c>
      <c r="K181" s="4">
        <f t="shared" si="13"/>
        <v>42.5</v>
      </c>
      <c r="L181" s="4">
        <f t="shared" si="14"/>
        <v>0</v>
      </c>
    </row>
    <row r="182" spans="1:12" x14ac:dyDescent="0.35">
      <c r="A182" s="2" t="s">
        <v>225</v>
      </c>
      <c r="B182" s="2" t="s">
        <v>67</v>
      </c>
      <c r="C182" s="2">
        <v>32.620800000000003</v>
      </c>
      <c r="D182" s="2">
        <v>3000</v>
      </c>
      <c r="E182" s="2">
        <v>228</v>
      </c>
      <c r="F182" s="2">
        <v>42.5</v>
      </c>
      <c r="G182" s="2">
        <v>0</v>
      </c>
      <c r="H182" s="4">
        <f t="shared" si="10"/>
        <v>3.4849501217235308</v>
      </c>
      <c r="I182" s="4">
        <f t="shared" si="11"/>
        <v>8.0063675676502459</v>
      </c>
      <c r="J182" s="4">
        <f t="shared" si="12"/>
        <v>5.4293456289544411</v>
      </c>
      <c r="K182" s="4">
        <f t="shared" si="13"/>
        <v>42.5</v>
      </c>
      <c r="L182" s="4">
        <f t="shared" si="14"/>
        <v>0</v>
      </c>
    </row>
    <row r="183" spans="1:12" x14ac:dyDescent="0.35">
      <c r="A183" s="2" t="s">
        <v>227</v>
      </c>
      <c r="B183" s="2" t="s">
        <v>67</v>
      </c>
      <c r="C183" s="2">
        <v>28.592700000000001</v>
      </c>
      <c r="D183" s="2">
        <v>3500</v>
      </c>
      <c r="E183" s="2">
        <v>271</v>
      </c>
      <c r="F183" s="2">
        <v>45</v>
      </c>
      <c r="G183" s="2">
        <v>0</v>
      </c>
      <c r="H183" s="4">
        <f t="shared" si="10"/>
        <v>3.3531514404900755</v>
      </c>
      <c r="I183" s="4">
        <f t="shared" si="11"/>
        <v>8.1605182474775049</v>
      </c>
      <c r="J183" s="4">
        <f t="shared" si="12"/>
        <v>5.602118820879701</v>
      </c>
      <c r="K183" s="4">
        <f t="shared" si="13"/>
        <v>45</v>
      </c>
      <c r="L183" s="4">
        <f t="shared" si="14"/>
        <v>0</v>
      </c>
    </row>
    <row r="184" spans="1:12" x14ac:dyDescent="0.35">
      <c r="A184" s="2" t="s">
        <v>227</v>
      </c>
      <c r="B184" s="2" t="s">
        <v>67</v>
      </c>
      <c r="C184" s="2">
        <v>27.4313</v>
      </c>
      <c r="D184" s="2">
        <v>4000</v>
      </c>
      <c r="E184" s="2">
        <v>271</v>
      </c>
      <c r="F184" s="2">
        <v>45</v>
      </c>
      <c r="G184" s="2">
        <v>0</v>
      </c>
      <c r="H184" s="4">
        <f t="shared" si="10"/>
        <v>3.3116846971914109</v>
      </c>
      <c r="I184" s="4">
        <f t="shared" si="11"/>
        <v>8.2940496401020276</v>
      </c>
      <c r="J184" s="4">
        <f t="shared" si="12"/>
        <v>5.602118820879701</v>
      </c>
      <c r="K184" s="4">
        <f t="shared" si="13"/>
        <v>45</v>
      </c>
      <c r="L184" s="4">
        <f t="shared" si="14"/>
        <v>0</v>
      </c>
    </row>
    <row r="185" spans="1:12" x14ac:dyDescent="0.35">
      <c r="A185" s="2" t="s">
        <v>228</v>
      </c>
      <c r="B185" s="2" t="s">
        <v>67</v>
      </c>
      <c r="C185" s="2">
        <v>39.855899999999998</v>
      </c>
      <c r="D185" s="2">
        <v>3500</v>
      </c>
      <c r="E185" s="2">
        <v>152</v>
      </c>
      <c r="F185" s="2">
        <v>44.7</v>
      </c>
      <c r="G185" s="2">
        <v>0</v>
      </c>
      <c r="H185" s="4">
        <f t="shared" si="10"/>
        <v>3.6852704494841597</v>
      </c>
      <c r="I185" s="4">
        <f t="shared" si="11"/>
        <v>8.1605182474775049</v>
      </c>
      <c r="J185" s="4">
        <f t="shared" si="12"/>
        <v>5.0238805208462765</v>
      </c>
      <c r="K185" s="4">
        <f t="shared" si="13"/>
        <v>44.7</v>
      </c>
      <c r="L185" s="4">
        <f t="shared" si="14"/>
        <v>0</v>
      </c>
    </row>
    <row r="186" spans="1:12" x14ac:dyDescent="0.35">
      <c r="A186" s="2" t="s">
        <v>228</v>
      </c>
      <c r="B186" s="2" t="s">
        <v>67</v>
      </c>
      <c r="C186" s="2">
        <v>39.202399999999997</v>
      </c>
      <c r="D186" s="2">
        <v>3500</v>
      </c>
      <c r="E186" s="2">
        <v>182</v>
      </c>
      <c r="F186" s="2">
        <v>44.7</v>
      </c>
      <c r="G186" s="2">
        <v>0</v>
      </c>
      <c r="H186" s="4">
        <f t="shared" si="10"/>
        <v>3.6687379694120703</v>
      </c>
      <c r="I186" s="4">
        <f t="shared" si="11"/>
        <v>8.1605182474775049</v>
      </c>
      <c r="J186" s="4">
        <f t="shared" si="12"/>
        <v>5.2040066870767951</v>
      </c>
      <c r="K186" s="4">
        <f t="shared" si="13"/>
        <v>44.7</v>
      </c>
      <c r="L186" s="4">
        <f t="shared" si="14"/>
        <v>0</v>
      </c>
    </row>
    <row r="187" spans="1:12" x14ac:dyDescent="0.35">
      <c r="A187" s="2" t="s">
        <v>229</v>
      </c>
      <c r="B187" s="2" t="s">
        <v>67</v>
      </c>
      <c r="C187" s="2">
        <v>40.291899999999998</v>
      </c>
      <c r="D187" s="2">
        <v>3500</v>
      </c>
      <c r="E187" s="2">
        <v>152</v>
      </c>
      <c r="F187" s="2">
        <v>44.3</v>
      </c>
      <c r="G187" s="2">
        <v>0</v>
      </c>
      <c r="H187" s="4">
        <f t="shared" si="10"/>
        <v>3.6961504561950953</v>
      </c>
      <c r="I187" s="4">
        <f t="shared" si="11"/>
        <v>8.1605182474775049</v>
      </c>
      <c r="J187" s="4">
        <f t="shared" si="12"/>
        <v>5.0238805208462765</v>
      </c>
      <c r="K187" s="4">
        <f t="shared" si="13"/>
        <v>44.3</v>
      </c>
      <c r="L187" s="4">
        <f t="shared" si="14"/>
        <v>0</v>
      </c>
    </row>
    <row r="188" spans="1:12" x14ac:dyDescent="0.35">
      <c r="A188" s="2" t="s">
        <v>229</v>
      </c>
      <c r="B188" s="2" t="s">
        <v>67</v>
      </c>
      <c r="C188" s="2">
        <v>39.046599999999998</v>
      </c>
      <c r="D188" s="2">
        <v>3500</v>
      </c>
      <c r="E188" s="2">
        <v>182</v>
      </c>
      <c r="F188" s="2">
        <v>44.3</v>
      </c>
      <c r="G188" s="2">
        <v>0</v>
      </c>
      <c r="H188" s="4">
        <f t="shared" si="10"/>
        <v>3.6647558046333528</v>
      </c>
      <c r="I188" s="4">
        <f t="shared" si="11"/>
        <v>8.1605182474775049</v>
      </c>
      <c r="J188" s="4">
        <f t="shared" si="12"/>
        <v>5.2040066870767951</v>
      </c>
      <c r="K188" s="4">
        <f t="shared" si="13"/>
        <v>44.3</v>
      </c>
      <c r="L188" s="4">
        <f t="shared" si="14"/>
        <v>0</v>
      </c>
    </row>
    <row r="189" spans="1:12" x14ac:dyDescent="0.35">
      <c r="A189" s="2" t="s">
        <v>230</v>
      </c>
      <c r="B189" s="2" t="s">
        <v>67</v>
      </c>
      <c r="C189" s="2">
        <v>40.803800000000003</v>
      </c>
      <c r="D189" s="2">
        <v>4000</v>
      </c>
      <c r="E189" s="2">
        <v>182</v>
      </c>
      <c r="F189" s="2">
        <v>47.2</v>
      </c>
      <c r="G189" s="2">
        <v>0</v>
      </c>
      <c r="H189" s="4">
        <f t="shared" si="10"/>
        <v>3.7087752143280133</v>
      </c>
      <c r="I189" s="4">
        <f t="shared" si="11"/>
        <v>8.2940496401020276</v>
      </c>
      <c r="J189" s="4">
        <f t="shared" si="12"/>
        <v>5.2040066870767951</v>
      </c>
      <c r="K189" s="4">
        <f t="shared" si="13"/>
        <v>47.2</v>
      </c>
      <c r="L189" s="4">
        <f t="shared" si="14"/>
        <v>0</v>
      </c>
    </row>
    <row r="190" spans="1:12" x14ac:dyDescent="0.35">
      <c r="A190" s="2" t="s">
        <v>230</v>
      </c>
      <c r="B190" s="2" t="s">
        <v>67</v>
      </c>
      <c r="C190" s="2">
        <v>35.002800000000001</v>
      </c>
      <c r="D190" s="2">
        <v>4000</v>
      </c>
      <c r="E190" s="2">
        <v>260</v>
      </c>
      <c r="F190" s="2">
        <v>47.2</v>
      </c>
      <c r="G190" s="2">
        <v>0</v>
      </c>
      <c r="H190" s="4">
        <f t="shared" si="10"/>
        <v>3.5554280582895843</v>
      </c>
      <c r="I190" s="4">
        <f t="shared" si="11"/>
        <v>8.2940496401020276</v>
      </c>
      <c r="J190" s="4">
        <f t="shared" si="12"/>
        <v>5.5606816310155276</v>
      </c>
      <c r="K190" s="4">
        <f t="shared" si="13"/>
        <v>47.2</v>
      </c>
      <c r="L190" s="4">
        <f t="shared" si="14"/>
        <v>0</v>
      </c>
    </row>
    <row r="191" spans="1:12" x14ac:dyDescent="0.35">
      <c r="A191" s="2" t="s">
        <v>231</v>
      </c>
      <c r="B191" s="2" t="s">
        <v>67</v>
      </c>
      <c r="C191" s="2">
        <v>38.056100000000001</v>
      </c>
      <c r="D191" s="2">
        <v>4000</v>
      </c>
      <c r="E191" s="2">
        <v>182</v>
      </c>
      <c r="F191" s="2">
        <v>46.8</v>
      </c>
      <c r="G191" s="2">
        <v>0</v>
      </c>
      <c r="H191" s="4">
        <f t="shared" si="10"/>
        <v>3.6390613868330659</v>
      </c>
      <c r="I191" s="4">
        <f t="shared" si="11"/>
        <v>8.2940496401020276</v>
      </c>
      <c r="J191" s="4">
        <f t="shared" si="12"/>
        <v>5.2040066870767951</v>
      </c>
      <c r="K191" s="4">
        <f t="shared" si="13"/>
        <v>46.8</v>
      </c>
      <c r="L191" s="4">
        <f t="shared" si="14"/>
        <v>0</v>
      </c>
    </row>
    <row r="192" spans="1:12" x14ac:dyDescent="0.35">
      <c r="A192" s="2" t="s">
        <v>231</v>
      </c>
      <c r="B192" s="2" t="s">
        <v>67</v>
      </c>
      <c r="C192" s="2">
        <v>32.923900000000003</v>
      </c>
      <c r="D192" s="2">
        <v>4000</v>
      </c>
      <c r="E192" s="2">
        <v>260</v>
      </c>
      <c r="F192" s="2">
        <v>46.8</v>
      </c>
      <c r="G192" s="2">
        <v>0</v>
      </c>
      <c r="H192" s="4">
        <f t="shared" si="10"/>
        <v>3.4941988378077653</v>
      </c>
      <c r="I192" s="4">
        <f t="shared" si="11"/>
        <v>8.2940496401020276</v>
      </c>
      <c r="J192" s="4">
        <f t="shared" si="12"/>
        <v>5.5606816310155276</v>
      </c>
      <c r="K192" s="4">
        <f t="shared" si="13"/>
        <v>46.8</v>
      </c>
      <c r="L192" s="4">
        <f t="shared" si="14"/>
        <v>0</v>
      </c>
    </row>
    <row r="193" spans="1:12" x14ac:dyDescent="0.35">
      <c r="A193" s="2" t="s">
        <v>232</v>
      </c>
      <c r="B193" s="2" t="s">
        <v>67</v>
      </c>
      <c r="C193" s="2">
        <v>38.748800000000003</v>
      </c>
      <c r="D193" s="2">
        <v>3500</v>
      </c>
      <c r="E193" s="2">
        <v>182</v>
      </c>
      <c r="F193" s="2">
        <v>45</v>
      </c>
      <c r="G193" s="2">
        <v>0</v>
      </c>
      <c r="H193" s="4">
        <f t="shared" si="10"/>
        <v>3.6570997875779101</v>
      </c>
      <c r="I193" s="4">
        <f t="shared" si="11"/>
        <v>8.1605182474775049</v>
      </c>
      <c r="J193" s="4">
        <f t="shared" si="12"/>
        <v>5.2040066870767951</v>
      </c>
      <c r="K193" s="4">
        <f t="shared" si="13"/>
        <v>45</v>
      </c>
      <c r="L193" s="4">
        <f t="shared" si="14"/>
        <v>0</v>
      </c>
    </row>
    <row r="194" spans="1:12" x14ac:dyDescent="0.35">
      <c r="A194" s="2" t="s">
        <v>233</v>
      </c>
      <c r="B194" s="2" t="s">
        <v>67</v>
      </c>
      <c r="C194" s="2">
        <v>29.146799999999999</v>
      </c>
      <c r="D194" s="2">
        <v>4500</v>
      </c>
      <c r="E194" s="2">
        <v>260</v>
      </c>
      <c r="F194" s="2">
        <v>50.8</v>
      </c>
      <c r="G194" s="2">
        <v>0</v>
      </c>
      <c r="H194" s="4">
        <f t="shared" ref="H194:H257" si="15">LN(C194)</f>
        <v>3.3723451297551263</v>
      </c>
      <c r="I194" s="4">
        <f t="shared" ref="I194:I257" si="16">LN(D194)</f>
        <v>8.4118326757584114</v>
      </c>
      <c r="J194" s="4">
        <f t="shared" ref="J194:J257" si="17">LN(E194)</f>
        <v>5.5606816310155276</v>
      </c>
      <c r="K194" s="4">
        <f t="shared" ref="K194:K257" si="18">F194</f>
        <v>50.8</v>
      </c>
      <c r="L194" s="4">
        <f t="shared" ref="L194:L257" si="19">G194</f>
        <v>0</v>
      </c>
    </row>
    <row r="195" spans="1:12" x14ac:dyDescent="0.35">
      <c r="A195" s="2" t="s">
        <v>234</v>
      </c>
      <c r="B195" s="2" t="s">
        <v>67</v>
      </c>
      <c r="C195" s="2">
        <v>27.700299999999999</v>
      </c>
      <c r="D195" s="2">
        <v>5000</v>
      </c>
      <c r="E195" s="2">
        <v>260</v>
      </c>
      <c r="F195" s="2">
        <v>50.8</v>
      </c>
      <c r="G195" s="2">
        <v>0</v>
      </c>
      <c r="H195" s="4">
        <f t="shared" si="15"/>
        <v>3.3214432434595551</v>
      </c>
      <c r="I195" s="4">
        <f t="shared" si="16"/>
        <v>8.5171931914162382</v>
      </c>
      <c r="J195" s="4">
        <f t="shared" si="17"/>
        <v>5.5606816310155276</v>
      </c>
      <c r="K195" s="4">
        <f t="shared" si="18"/>
        <v>50.8</v>
      </c>
      <c r="L195" s="4">
        <f t="shared" si="19"/>
        <v>0</v>
      </c>
    </row>
    <row r="196" spans="1:12" x14ac:dyDescent="0.35">
      <c r="A196" s="2" t="s">
        <v>235</v>
      </c>
      <c r="B196" s="2" t="s">
        <v>67</v>
      </c>
      <c r="C196" s="2">
        <v>30.911899999999999</v>
      </c>
      <c r="D196" s="2">
        <v>4000</v>
      </c>
      <c r="E196" s="2">
        <v>260</v>
      </c>
      <c r="F196" s="2">
        <v>46.9</v>
      </c>
      <c r="G196" s="2">
        <v>0</v>
      </c>
      <c r="H196" s="4">
        <f t="shared" si="15"/>
        <v>3.431141223035227</v>
      </c>
      <c r="I196" s="4">
        <f t="shared" si="16"/>
        <v>8.2940496401020276</v>
      </c>
      <c r="J196" s="4">
        <f t="shared" si="17"/>
        <v>5.5606816310155276</v>
      </c>
      <c r="K196" s="4">
        <f t="shared" si="18"/>
        <v>46.9</v>
      </c>
      <c r="L196" s="4">
        <f t="shared" si="19"/>
        <v>0</v>
      </c>
    </row>
    <row r="197" spans="1:12" x14ac:dyDescent="0.35">
      <c r="A197" s="2" t="s">
        <v>236</v>
      </c>
      <c r="B197" s="2" t="s">
        <v>67</v>
      </c>
      <c r="C197" s="2">
        <v>35.2361</v>
      </c>
      <c r="D197" s="2">
        <v>4000</v>
      </c>
      <c r="E197" s="2">
        <v>182</v>
      </c>
      <c r="F197" s="2">
        <v>44.7</v>
      </c>
      <c r="G197" s="2">
        <v>0</v>
      </c>
      <c r="H197" s="4">
        <f t="shared" si="15"/>
        <v>3.5620711252501063</v>
      </c>
      <c r="I197" s="4">
        <f t="shared" si="16"/>
        <v>8.2940496401020276</v>
      </c>
      <c r="J197" s="4">
        <f t="shared" si="17"/>
        <v>5.2040066870767951</v>
      </c>
      <c r="K197" s="4">
        <f t="shared" si="18"/>
        <v>44.7</v>
      </c>
      <c r="L197" s="4">
        <f t="shared" si="19"/>
        <v>0</v>
      </c>
    </row>
    <row r="198" spans="1:12" x14ac:dyDescent="0.35">
      <c r="A198" s="2" t="s">
        <v>237</v>
      </c>
      <c r="B198" s="2" t="s">
        <v>67</v>
      </c>
      <c r="C198" s="2">
        <v>36.377800000000001</v>
      </c>
      <c r="D198" s="2">
        <v>3500</v>
      </c>
      <c r="E198" s="2">
        <v>182</v>
      </c>
      <c r="F198" s="2">
        <v>44.4</v>
      </c>
      <c r="G198" s="2">
        <v>0</v>
      </c>
      <c r="H198" s="4">
        <f t="shared" si="15"/>
        <v>3.5939586984741778</v>
      </c>
      <c r="I198" s="4">
        <f t="shared" si="16"/>
        <v>8.1605182474775049</v>
      </c>
      <c r="J198" s="4">
        <f t="shared" si="17"/>
        <v>5.2040066870767951</v>
      </c>
      <c r="K198" s="4">
        <f t="shared" si="18"/>
        <v>44.4</v>
      </c>
      <c r="L198" s="4">
        <f t="shared" si="19"/>
        <v>0</v>
      </c>
    </row>
    <row r="199" spans="1:12" x14ac:dyDescent="0.35">
      <c r="A199" s="2" t="s">
        <v>238</v>
      </c>
      <c r="B199" s="2" t="s">
        <v>67</v>
      </c>
      <c r="C199" s="2">
        <v>31.809200000000001</v>
      </c>
      <c r="D199" s="2">
        <v>4000</v>
      </c>
      <c r="E199" s="2">
        <v>300</v>
      </c>
      <c r="F199" s="2">
        <v>47.4</v>
      </c>
      <c r="G199" s="2">
        <v>0</v>
      </c>
      <c r="H199" s="4">
        <f t="shared" si="15"/>
        <v>3.4597555561206912</v>
      </c>
      <c r="I199" s="4">
        <f t="shared" si="16"/>
        <v>8.2940496401020276</v>
      </c>
      <c r="J199" s="4">
        <f t="shared" si="17"/>
        <v>5.7037824746562009</v>
      </c>
      <c r="K199" s="4">
        <f t="shared" si="18"/>
        <v>47.4</v>
      </c>
      <c r="L199" s="4">
        <f t="shared" si="19"/>
        <v>0</v>
      </c>
    </row>
    <row r="200" spans="1:12" x14ac:dyDescent="0.35">
      <c r="A200" s="2" t="s">
        <v>240</v>
      </c>
      <c r="B200" s="2" t="s">
        <v>67</v>
      </c>
      <c r="C200" s="2">
        <v>21.644500000000001</v>
      </c>
      <c r="D200" s="2">
        <v>4000</v>
      </c>
      <c r="E200" s="2">
        <v>486</v>
      </c>
      <c r="F200" s="2">
        <v>47.3</v>
      </c>
      <c r="G200" s="2">
        <v>0</v>
      </c>
      <c r="H200" s="4">
        <f t="shared" si="15"/>
        <v>3.0747513806040341</v>
      </c>
      <c r="I200" s="4">
        <f t="shared" si="16"/>
        <v>8.2940496401020276</v>
      </c>
      <c r="J200" s="4">
        <f t="shared" si="17"/>
        <v>6.1862086239004936</v>
      </c>
      <c r="K200" s="4">
        <f t="shared" si="18"/>
        <v>47.3</v>
      </c>
      <c r="L200" s="4">
        <f t="shared" si="19"/>
        <v>0</v>
      </c>
    </row>
    <row r="201" spans="1:12" x14ac:dyDescent="0.35">
      <c r="A201" s="2" t="s">
        <v>240</v>
      </c>
      <c r="B201" s="2" t="s">
        <v>67</v>
      </c>
      <c r="C201" s="2">
        <v>21.1417</v>
      </c>
      <c r="D201" s="2">
        <v>4000</v>
      </c>
      <c r="E201" s="2">
        <v>486</v>
      </c>
      <c r="F201" s="2">
        <v>47.3</v>
      </c>
      <c r="G201" s="2">
        <v>0</v>
      </c>
      <c r="H201" s="4">
        <f t="shared" si="15"/>
        <v>3.0512473934813458</v>
      </c>
      <c r="I201" s="4">
        <f t="shared" si="16"/>
        <v>8.2940496401020276</v>
      </c>
      <c r="J201" s="4">
        <f t="shared" si="17"/>
        <v>6.1862086239004936</v>
      </c>
      <c r="K201" s="4">
        <f t="shared" si="18"/>
        <v>47.3</v>
      </c>
      <c r="L201" s="4">
        <f t="shared" si="19"/>
        <v>0</v>
      </c>
    </row>
    <row r="202" spans="1:12" x14ac:dyDescent="0.35">
      <c r="A202" s="2" t="s">
        <v>241</v>
      </c>
      <c r="B202" s="2" t="s">
        <v>67</v>
      </c>
      <c r="C202" s="2">
        <v>23.342700000000001</v>
      </c>
      <c r="D202" s="2">
        <v>4000</v>
      </c>
      <c r="E202" s="2">
        <v>480</v>
      </c>
      <c r="F202" s="2">
        <v>47.7</v>
      </c>
      <c r="G202" s="2">
        <v>0</v>
      </c>
      <c r="H202" s="4">
        <f t="shared" si="15"/>
        <v>3.1502843014017849</v>
      </c>
      <c r="I202" s="4">
        <f t="shared" si="16"/>
        <v>8.2940496401020276</v>
      </c>
      <c r="J202" s="4">
        <f t="shared" si="17"/>
        <v>6.1737861039019366</v>
      </c>
      <c r="K202" s="4">
        <f t="shared" si="18"/>
        <v>47.7</v>
      </c>
      <c r="L202" s="4">
        <f t="shared" si="19"/>
        <v>0</v>
      </c>
    </row>
    <row r="203" spans="1:12" x14ac:dyDescent="0.35">
      <c r="A203" s="2" t="s">
        <v>241</v>
      </c>
      <c r="B203" s="2" t="s">
        <v>67</v>
      </c>
      <c r="C203" s="2">
        <v>24.779900000000001</v>
      </c>
      <c r="D203" s="2">
        <v>4000</v>
      </c>
      <c r="E203" s="2">
        <v>480</v>
      </c>
      <c r="F203" s="2">
        <v>47.7</v>
      </c>
      <c r="G203" s="2">
        <v>0</v>
      </c>
      <c r="H203" s="4">
        <f t="shared" si="15"/>
        <v>3.2100328406803436</v>
      </c>
      <c r="I203" s="4">
        <f t="shared" si="16"/>
        <v>8.2940496401020276</v>
      </c>
      <c r="J203" s="4">
        <f t="shared" si="17"/>
        <v>6.1737861039019366</v>
      </c>
      <c r="K203" s="4">
        <f t="shared" si="18"/>
        <v>47.7</v>
      </c>
      <c r="L203" s="4">
        <f t="shared" si="19"/>
        <v>0</v>
      </c>
    </row>
    <row r="204" spans="1:12" x14ac:dyDescent="0.35">
      <c r="A204" s="2" t="s">
        <v>241</v>
      </c>
      <c r="B204" s="2" t="s">
        <v>67</v>
      </c>
      <c r="C204" s="2">
        <v>34.438299999999998</v>
      </c>
      <c r="D204" s="2">
        <v>4000</v>
      </c>
      <c r="E204" s="2">
        <v>300</v>
      </c>
      <c r="F204" s="2">
        <v>47.7</v>
      </c>
      <c r="G204" s="2">
        <v>0</v>
      </c>
      <c r="H204" s="4">
        <f t="shared" si="15"/>
        <v>3.5391693171333278</v>
      </c>
      <c r="I204" s="4">
        <f t="shared" si="16"/>
        <v>8.2940496401020276</v>
      </c>
      <c r="J204" s="4">
        <f t="shared" si="17"/>
        <v>5.7037824746562009</v>
      </c>
      <c r="K204" s="4">
        <f t="shared" si="18"/>
        <v>47.7</v>
      </c>
      <c r="L204" s="4">
        <f t="shared" si="19"/>
        <v>0</v>
      </c>
    </row>
    <row r="205" spans="1:12" x14ac:dyDescent="0.35">
      <c r="A205" s="2" t="s">
        <v>241</v>
      </c>
      <c r="B205" s="2" t="s">
        <v>67</v>
      </c>
      <c r="C205" s="2">
        <v>21.9955</v>
      </c>
      <c r="D205" s="2">
        <v>4000</v>
      </c>
      <c r="E205" s="2">
        <v>480</v>
      </c>
      <c r="F205" s="2">
        <v>47.7</v>
      </c>
      <c r="G205" s="2">
        <v>0</v>
      </c>
      <c r="H205" s="4">
        <f t="shared" si="15"/>
        <v>3.0908378869814959</v>
      </c>
      <c r="I205" s="4">
        <f t="shared" si="16"/>
        <v>8.2940496401020276</v>
      </c>
      <c r="J205" s="4">
        <f t="shared" si="17"/>
        <v>6.1737861039019366</v>
      </c>
      <c r="K205" s="4">
        <f t="shared" si="18"/>
        <v>47.7</v>
      </c>
      <c r="L205" s="4">
        <f t="shared" si="19"/>
        <v>0</v>
      </c>
    </row>
    <row r="206" spans="1:12" x14ac:dyDescent="0.35">
      <c r="A206" s="2" t="s">
        <v>241</v>
      </c>
      <c r="B206" s="2" t="s">
        <v>67</v>
      </c>
      <c r="C206" s="2">
        <v>23.676300000000001</v>
      </c>
      <c r="D206" s="2">
        <v>4000</v>
      </c>
      <c r="E206" s="2">
        <v>480</v>
      </c>
      <c r="F206" s="2">
        <v>47.7</v>
      </c>
      <c r="G206" s="2">
        <v>0</v>
      </c>
      <c r="H206" s="4">
        <f t="shared" si="15"/>
        <v>3.1644745478075018</v>
      </c>
      <c r="I206" s="4">
        <f t="shared" si="16"/>
        <v>8.2940496401020276</v>
      </c>
      <c r="J206" s="4">
        <f t="shared" si="17"/>
        <v>6.1737861039019366</v>
      </c>
      <c r="K206" s="4">
        <f t="shared" si="18"/>
        <v>47.7</v>
      </c>
      <c r="L206" s="4">
        <f t="shared" si="19"/>
        <v>0</v>
      </c>
    </row>
    <row r="207" spans="1:12" x14ac:dyDescent="0.35">
      <c r="A207" s="2" t="s">
        <v>242</v>
      </c>
      <c r="B207" s="2" t="s">
        <v>67</v>
      </c>
      <c r="C207" s="2">
        <v>27.756799999999998</v>
      </c>
      <c r="D207" s="2">
        <v>4500</v>
      </c>
      <c r="E207" s="2">
        <v>275</v>
      </c>
      <c r="F207" s="2">
        <v>45.3</v>
      </c>
      <c r="G207" s="2">
        <v>0</v>
      </c>
      <c r="H207" s="4">
        <f t="shared" si="15"/>
        <v>3.3234808552188553</v>
      </c>
      <c r="I207" s="4">
        <f t="shared" si="16"/>
        <v>8.4118326757584114</v>
      </c>
      <c r="J207" s="4">
        <f t="shared" si="17"/>
        <v>5.6167710976665717</v>
      </c>
      <c r="K207" s="4">
        <f t="shared" si="18"/>
        <v>45.3</v>
      </c>
      <c r="L207" s="4">
        <f t="shared" si="19"/>
        <v>0</v>
      </c>
    </row>
    <row r="208" spans="1:12" x14ac:dyDescent="0.35">
      <c r="A208" s="2" t="s">
        <v>242</v>
      </c>
      <c r="B208" s="2" t="s">
        <v>67</v>
      </c>
      <c r="C208" s="2">
        <v>28.229199999999999</v>
      </c>
      <c r="D208" s="2">
        <v>4500</v>
      </c>
      <c r="E208" s="2">
        <v>275</v>
      </c>
      <c r="F208" s="2">
        <v>45.3</v>
      </c>
      <c r="G208" s="2">
        <v>0</v>
      </c>
      <c r="H208" s="4">
        <f t="shared" si="15"/>
        <v>3.3403569032170211</v>
      </c>
      <c r="I208" s="4">
        <f t="shared" si="16"/>
        <v>8.4118326757584114</v>
      </c>
      <c r="J208" s="4">
        <f t="shared" si="17"/>
        <v>5.6167710976665717</v>
      </c>
      <c r="K208" s="4">
        <f t="shared" si="18"/>
        <v>45.3</v>
      </c>
      <c r="L208" s="4">
        <f t="shared" si="19"/>
        <v>0</v>
      </c>
    </row>
    <row r="209" spans="1:12" x14ac:dyDescent="0.35">
      <c r="A209" s="2" t="s">
        <v>242</v>
      </c>
      <c r="B209" s="2" t="s">
        <v>67</v>
      </c>
      <c r="C209" s="2">
        <v>27.214099999999998</v>
      </c>
      <c r="D209" s="2">
        <v>5000</v>
      </c>
      <c r="E209" s="2">
        <v>315</v>
      </c>
      <c r="F209" s="2">
        <v>45.3</v>
      </c>
      <c r="G209" s="2">
        <v>0</v>
      </c>
      <c r="H209" s="4">
        <f t="shared" si="15"/>
        <v>3.3037352213411761</v>
      </c>
      <c r="I209" s="4">
        <f t="shared" si="16"/>
        <v>8.5171931914162382</v>
      </c>
      <c r="J209" s="4">
        <f t="shared" si="17"/>
        <v>5.7525726388256331</v>
      </c>
      <c r="K209" s="4">
        <f t="shared" si="18"/>
        <v>45.3</v>
      </c>
      <c r="L209" s="4">
        <f t="shared" si="19"/>
        <v>0</v>
      </c>
    </row>
    <row r="210" spans="1:12" x14ac:dyDescent="0.35">
      <c r="A210" s="2" t="s">
        <v>243</v>
      </c>
      <c r="B210" s="2" t="s">
        <v>67</v>
      </c>
      <c r="C210" s="2">
        <v>36.9148</v>
      </c>
      <c r="D210" s="2">
        <v>3500</v>
      </c>
      <c r="E210" s="2">
        <v>175</v>
      </c>
      <c r="F210" s="2">
        <v>46.2</v>
      </c>
      <c r="G210" s="2">
        <v>0</v>
      </c>
      <c r="H210" s="4">
        <f t="shared" si="15"/>
        <v>3.6086125546446306</v>
      </c>
      <c r="I210" s="4">
        <f t="shared" si="16"/>
        <v>8.1605182474775049</v>
      </c>
      <c r="J210" s="4">
        <f t="shared" si="17"/>
        <v>5.1647859739235145</v>
      </c>
      <c r="K210" s="4">
        <f t="shared" si="18"/>
        <v>46.2</v>
      </c>
      <c r="L210" s="4">
        <f t="shared" si="19"/>
        <v>0</v>
      </c>
    </row>
    <row r="211" spans="1:12" x14ac:dyDescent="0.35">
      <c r="A211" s="2" t="s">
        <v>243</v>
      </c>
      <c r="B211" s="2" t="s">
        <v>67</v>
      </c>
      <c r="C211" s="2">
        <v>30.897600000000001</v>
      </c>
      <c r="D211" s="2">
        <v>4000</v>
      </c>
      <c r="E211" s="2">
        <v>250</v>
      </c>
      <c r="F211" s="2">
        <v>46.2</v>
      </c>
      <c r="G211" s="2">
        <v>0</v>
      </c>
      <c r="H211" s="4">
        <f t="shared" si="15"/>
        <v>3.4306785109843241</v>
      </c>
      <c r="I211" s="4">
        <f t="shared" si="16"/>
        <v>8.2940496401020276</v>
      </c>
      <c r="J211" s="4">
        <f t="shared" si="17"/>
        <v>5.521460917862246</v>
      </c>
      <c r="K211" s="4">
        <f t="shared" si="18"/>
        <v>46.2</v>
      </c>
      <c r="L211" s="4">
        <f t="shared" si="19"/>
        <v>0</v>
      </c>
    </row>
    <row r="212" spans="1:12" x14ac:dyDescent="0.35">
      <c r="A212" s="2" t="s">
        <v>244</v>
      </c>
      <c r="B212" s="2" t="s">
        <v>67</v>
      </c>
      <c r="C212" s="2">
        <v>27.657900000000001</v>
      </c>
      <c r="D212" s="2">
        <v>5000</v>
      </c>
      <c r="E212" s="2">
        <v>275</v>
      </c>
      <c r="F212" s="2">
        <v>45.3</v>
      </c>
      <c r="G212" s="2">
        <v>0</v>
      </c>
      <c r="H212" s="4">
        <f t="shared" si="15"/>
        <v>3.3199114014455047</v>
      </c>
      <c r="I212" s="4">
        <f t="shared" si="16"/>
        <v>8.5171931914162382</v>
      </c>
      <c r="J212" s="4">
        <f t="shared" si="17"/>
        <v>5.6167710976665717</v>
      </c>
      <c r="K212" s="4">
        <f t="shared" si="18"/>
        <v>45.3</v>
      </c>
      <c r="L212" s="4">
        <f t="shared" si="19"/>
        <v>0</v>
      </c>
    </row>
    <row r="213" spans="1:12" x14ac:dyDescent="0.35">
      <c r="A213" s="2" t="s">
        <v>244</v>
      </c>
      <c r="B213" s="2" t="s">
        <v>67</v>
      </c>
      <c r="C213" s="2">
        <v>28.167000000000002</v>
      </c>
      <c r="D213" s="2">
        <v>5000</v>
      </c>
      <c r="E213" s="2">
        <v>275</v>
      </c>
      <c r="F213" s="2">
        <v>45.3</v>
      </c>
      <c r="G213" s="2">
        <v>0</v>
      </c>
      <c r="H213" s="4">
        <f t="shared" si="15"/>
        <v>3.3381510799445202</v>
      </c>
      <c r="I213" s="4">
        <f t="shared" si="16"/>
        <v>8.5171931914162382</v>
      </c>
      <c r="J213" s="4">
        <f t="shared" si="17"/>
        <v>5.6167710976665717</v>
      </c>
      <c r="K213" s="4">
        <f t="shared" si="18"/>
        <v>45.3</v>
      </c>
      <c r="L213" s="4">
        <f t="shared" si="19"/>
        <v>0</v>
      </c>
    </row>
    <row r="214" spans="1:12" x14ac:dyDescent="0.35">
      <c r="A214" s="2" t="s">
        <v>244</v>
      </c>
      <c r="B214" s="2" t="s">
        <v>67</v>
      </c>
      <c r="C214" s="2">
        <v>27.214099999999998</v>
      </c>
      <c r="D214" s="2">
        <v>5000</v>
      </c>
      <c r="E214" s="2">
        <v>315</v>
      </c>
      <c r="F214" s="2">
        <v>45.3</v>
      </c>
      <c r="G214" s="2">
        <v>0</v>
      </c>
      <c r="H214" s="4">
        <f t="shared" si="15"/>
        <v>3.3037352213411761</v>
      </c>
      <c r="I214" s="4">
        <f t="shared" si="16"/>
        <v>8.5171931914162382</v>
      </c>
      <c r="J214" s="4">
        <f t="shared" si="17"/>
        <v>5.7525726388256331</v>
      </c>
      <c r="K214" s="4">
        <f t="shared" si="18"/>
        <v>45.3</v>
      </c>
      <c r="L214" s="4">
        <f t="shared" si="19"/>
        <v>0</v>
      </c>
    </row>
    <row r="215" spans="1:12" x14ac:dyDescent="0.35">
      <c r="A215" s="2" t="s">
        <v>245</v>
      </c>
      <c r="B215" s="2" t="s">
        <v>67</v>
      </c>
      <c r="C215" s="2">
        <v>22.9163</v>
      </c>
      <c r="D215" s="2">
        <v>5000</v>
      </c>
      <c r="E215" s="2">
        <v>275</v>
      </c>
      <c r="F215" s="2">
        <v>45.4</v>
      </c>
      <c r="G215" s="2">
        <v>0</v>
      </c>
      <c r="H215" s="4">
        <f t="shared" si="15"/>
        <v>3.1318484477505697</v>
      </c>
      <c r="I215" s="4">
        <f t="shared" si="16"/>
        <v>8.5171931914162382</v>
      </c>
      <c r="J215" s="4">
        <f t="shared" si="17"/>
        <v>5.6167710976665717</v>
      </c>
      <c r="K215" s="4">
        <f t="shared" si="18"/>
        <v>45.4</v>
      </c>
      <c r="L215" s="4">
        <f t="shared" si="19"/>
        <v>0</v>
      </c>
    </row>
    <row r="216" spans="1:12" x14ac:dyDescent="0.35">
      <c r="A216" s="2" t="s">
        <v>245</v>
      </c>
      <c r="B216" s="2" t="s">
        <v>67</v>
      </c>
      <c r="C216" s="2">
        <v>23.671500000000002</v>
      </c>
      <c r="D216" s="2">
        <v>5000</v>
      </c>
      <c r="E216" s="2">
        <v>315</v>
      </c>
      <c r="F216" s="2">
        <v>45.4</v>
      </c>
      <c r="G216" s="2">
        <v>0</v>
      </c>
      <c r="H216" s="4">
        <f t="shared" si="15"/>
        <v>3.1642717928741599</v>
      </c>
      <c r="I216" s="4">
        <f t="shared" si="16"/>
        <v>8.5171931914162382</v>
      </c>
      <c r="J216" s="4">
        <f t="shared" si="17"/>
        <v>5.7525726388256331</v>
      </c>
      <c r="K216" s="4">
        <f t="shared" si="18"/>
        <v>45.4</v>
      </c>
      <c r="L216" s="4">
        <f t="shared" si="19"/>
        <v>0</v>
      </c>
    </row>
    <row r="217" spans="1:12" x14ac:dyDescent="0.35">
      <c r="A217" s="2" t="s">
        <v>246</v>
      </c>
      <c r="B217" s="2" t="s">
        <v>67</v>
      </c>
      <c r="C217" s="2">
        <v>20.627199999999998</v>
      </c>
      <c r="D217" s="2">
        <v>6000</v>
      </c>
      <c r="E217" s="2">
        <v>418</v>
      </c>
      <c r="F217" s="2">
        <v>59.6</v>
      </c>
      <c r="G217" s="2">
        <v>0</v>
      </c>
      <c r="H217" s="4">
        <f t="shared" si="15"/>
        <v>3.0266105931989271</v>
      </c>
      <c r="I217" s="4">
        <f t="shared" si="16"/>
        <v>8.6995147482101913</v>
      </c>
      <c r="J217" s="4">
        <f t="shared" si="17"/>
        <v>6.0354814325247563</v>
      </c>
      <c r="K217" s="4">
        <f t="shared" si="18"/>
        <v>59.6</v>
      </c>
      <c r="L217" s="4">
        <f t="shared" si="19"/>
        <v>0</v>
      </c>
    </row>
    <row r="218" spans="1:12" x14ac:dyDescent="0.35">
      <c r="A218" s="2" t="s">
        <v>247</v>
      </c>
      <c r="B218" s="2" t="s">
        <v>67</v>
      </c>
      <c r="C218" s="2">
        <v>27.657900000000001</v>
      </c>
      <c r="D218" s="2">
        <v>5000</v>
      </c>
      <c r="E218" s="2">
        <v>275</v>
      </c>
      <c r="F218" s="2">
        <v>54</v>
      </c>
      <c r="G218" s="2">
        <v>0</v>
      </c>
      <c r="H218" s="4">
        <f t="shared" si="15"/>
        <v>3.3199114014455047</v>
      </c>
      <c r="I218" s="4">
        <f t="shared" si="16"/>
        <v>8.5171931914162382</v>
      </c>
      <c r="J218" s="4">
        <f t="shared" si="17"/>
        <v>5.6167710976665717</v>
      </c>
      <c r="K218" s="4">
        <f t="shared" si="18"/>
        <v>54</v>
      </c>
      <c r="L218" s="4">
        <f t="shared" si="19"/>
        <v>0</v>
      </c>
    </row>
    <row r="219" spans="1:12" x14ac:dyDescent="0.35">
      <c r="A219" s="2" t="s">
        <v>247</v>
      </c>
      <c r="B219" s="2" t="s">
        <v>67</v>
      </c>
      <c r="C219" s="2">
        <v>26.978400000000001</v>
      </c>
      <c r="D219" s="2">
        <v>5000</v>
      </c>
      <c r="E219" s="2">
        <v>275</v>
      </c>
      <c r="F219" s="2">
        <v>54</v>
      </c>
      <c r="G219" s="2">
        <v>0</v>
      </c>
      <c r="H219" s="4">
        <f t="shared" si="15"/>
        <v>3.2950365458335598</v>
      </c>
      <c r="I219" s="4">
        <f t="shared" si="16"/>
        <v>8.5171931914162382</v>
      </c>
      <c r="J219" s="4">
        <f t="shared" si="17"/>
        <v>5.6167710976665717</v>
      </c>
      <c r="K219" s="4">
        <f t="shared" si="18"/>
        <v>54</v>
      </c>
      <c r="L219" s="4">
        <f t="shared" si="19"/>
        <v>0</v>
      </c>
    </row>
    <row r="220" spans="1:12" x14ac:dyDescent="0.35">
      <c r="A220" s="2" t="s">
        <v>247</v>
      </c>
      <c r="B220" s="2" t="s">
        <v>67</v>
      </c>
      <c r="C220" s="2">
        <v>23.026399999999999</v>
      </c>
      <c r="D220" s="2">
        <v>5000</v>
      </c>
      <c r="E220" s="2">
        <v>315</v>
      </c>
      <c r="F220" s="2">
        <v>54</v>
      </c>
      <c r="G220" s="2">
        <v>0</v>
      </c>
      <c r="H220" s="4">
        <f t="shared" si="15"/>
        <v>3.1366413837673983</v>
      </c>
      <c r="I220" s="4">
        <f t="shared" si="16"/>
        <v>8.5171931914162382</v>
      </c>
      <c r="J220" s="4">
        <f t="shared" si="17"/>
        <v>5.7525726388256331</v>
      </c>
      <c r="K220" s="4">
        <f t="shared" si="18"/>
        <v>54</v>
      </c>
      <c r="L220" s="4">
        <f t="shared" si="19"/>
        <v>0</v>
      </c>
    </row>
    <row r="221" spans="1:12" x14ac:dyDescent="0.35">
      <c r="A221" s="2" t="s">
        <v>248</v>
      </c>
      <c r="B221" s="2" t="s">
        <v>33</v>
      </c>
      <c r="C221" s="2">
        <v>54.768500000000003</v>
      </c>
      <c r="D221" s="2">
        <v>4000</v>
      </c>
      <c r="E221" s="2">
        <v>162</v>
      </c>
      <c r="F221" s="2">
        <v>53.1</v>
      </c>
      <c r="G221" s="2">
        <v>1</v>
      </c>
      <c r="H221" s="4">
        <f t="shared" si="15"/>
        <v>4.0031152111647952</v>
      </c>
      <c r="I221" s="4">
        <f t="shared" si="16"/>
        <v>8.2940496401020276</v>
      </c>
      <c r="J221" s="4">
        <f t="shared" si="17"/>
        <v>5.0875963352323836</v>
      </c>
      <c r="K221" s="4">
        <f t="shared" si="18"/>
        <v>53.1</v>
      </c>
      <c r="L221" s="4">
        <f t="shared" si="19"/>
        <v>1</v>
      </c>
    </row>
    <row r="222" spans="1:12" x14ac:dyDescent="0.35">
      <c r="A222" s="2" t="s">
        <v>249</v>
      </c>
      <c r="B222" s="2" t="s">
        <v>67</v>
      </c>
      <c r="C222" s="2">
        <v>34.601700000000001</v>
      </c>
      <c r="D222" s="2">
        <v>4000</v>
      </c>
      <c r="E222" s="2">
        <v>250</v>
      </c>
      <c r="F222" s="2">
        <v>53.1</v>
      </c>
      <c r="G222" s="2">
        <v>0</v>
      </c>
      <c r="H222" s="4">
        <f t="shared" si="15"/>
        <v>3.5439028138046718</v>
      </c>
      <c r="I222" s="4">
        <f t="shared" si="16"/>
        <v>8.2940496401020276</v>
      </c>
      <c r="J222" s="4">
        <f t="shared" si="17"/>
        <v>5.521460917862246</v>
      </c>
      <c r="K222" s="4">
        <f t="shared" si="18"/>
        <v>53.1</v>
      </c>
      <c r="L222" s="4">
        <f t="shared" si="19"/>
        <v>0</v>
      </c>
    </row>
    <row r="223" spans="1:12" x14ac:dyDescent="0.35">
      <c r="A223" s="2" t="s">
        <v>250</v>
      </c>
      <c r="B223" s="2" t="s">
        <v>67</v>
      </c>
      <c r="C223" s="2">
        <v>32.920499999999997</v>
      </c>
      <c r="D223" s="2">
        <v>4000</v>
      </c>
      <c r="E223" s="2">
        <v>250</v>
      </c>
      <c r="F223" s="2">
        <v>53</v>
      </c>
      <c r="G223" s="2">
        <v>0</v>
      </c>
      <c r="H223" s="4">
        <f t="shared" si="15"/>
        <v>3.494095564028886</v>
      </c>
      <c r="I223" s="4">
        <f t="shared" si="16"/>
        <v>8.2940496401020276</v>
      </c>
      <c r="J223" s="4">
        <f t="shared" si="17"/>
        <v>5.521460917862246</v>
      </c>
      <c r="K223" s="4">
        <f t="shared" si="18"/>
        <v>53</v>
      </c>
      <c r="L223" s="4">
        <f t="shared" si="19"/>
        <v>0</v>
      </c>
    </row>
    <row r="224" spans="1:12" x14ac:dyDescent="0.35">
      <c r="A224" s="2" t="s">
        <v>251</v>
      </c>
      <c r="B224" s="2" t="s">
        <v>67</v>
      </c>
      <c r="C224" s="2">
        <v>28.9404</v>
      </c>
      <c r="D224" s="2">
        <v>4000</v>
      </c>
      <c r="E224" s="2">
        <v>250</v>
      </c>
      <c r="F224" s="2">
        <v>52.7</v>
      </c>
      <c r="G224" s="2">
        <v>0</v>
      </c>
      <c r="H224" s="4">
        <f t="shared" si="15"/>
        <v>3.3652385428078881</v>
      </c>
      <c r="I224" s="4">
        <f t="shared" si="16"/>
        <v>8.2940496401020276</v>
      </c>
      <c r="J224" s="4">
        <f t="shared" si="17"/>
        <v>5.521460917862246</v>
      </c>
      <c r="K224" s="4">
        <f t="shared" si="18"/>
        <v>52.7</v>
      </c>
      <c r="L224" s="4">
        <f t="shared" si="19"/>
        <v>0</v>
      </c>
    </row>
    <row r="225" spans="1:12" x14ac:dyDescent="0.35">
      <c r="A225" s="2" t="s">
        <v>252</v>
      </c>
      <c r="B225" s="2" t="s">
        <v>67</v>
      </c>
      <c r="C225" s="2">
        <v>27.810300000000002</v>
      </c>
      <c r="D225" s="2">
        <v>5000</v>
      </c>
      <c r="E225" s="2">
        <v>335</v>
      </c>
      <c r="F225" s="2">
        <v>50.6</v>
      </c>
      <c r="G225" s="2">
        <v>0</v>
      </c>
      <c r="H225" s="4">
        <f t="shared" si="15"/>
        <v>3.3254064556742047</v>
      </c>
      <c r="I225" s="4">
        <f t="shared" si="16"/>
        <v>8.5171931914162382</v>
      </c>
      <c r="J225" s="4">
        <f t="shared" si="17"/>
        <v>5.8141305318250662</v>
      </c>
      <c r="K225" s="4">
        <f t="shared" si="18"/>
        <v>50.6</v>
      </c>
      <c r="L225" s="4">
        <f t="shared" si="19"/>
        <v>0</v>
      </c>
    </row>
    <row r="226" spans="1:12" x14ac:dyDescent="0.35">
      <c r="A226" s="2" t="s">
        <v>252</v>
      </c>
      <c r="B226" s="2" t="s">
        <v>67</v>
      </c>
      <c r="C226" s="2">
        <v>30.915900000000001</v>
      </c>
      <c r="D226" s="2">
        <v>4500</v>
      </c>
      <c r="E226" s="2">
        <v>250</v>
      </c>
      <c r="F226" s="2">
        <v>50.6</v>
      </c>
      <c r="G226" s="2">
        <v>0</v>
      </c>
      <c r="H226" s="4">
        <f t="shared" si="15"/>
        <v>3.4312706146682976</v>
      </c>
      <c r="I226" s="4">
        <f t="shared" si="16"/>
        <v>8.4118326757584114</v>
      </c>
      <c r="J226" s="4">
        <f t="shared" si="17"/>
        <v>5.521460917862246</v>
      </c>
      <c r="K226" s="4">
        <f t="shared" si="18"/>
        <v>50.6</v>
      </c>
      <c r="L226" s="4">
        <f t="shared" si="19"/>
        <v>0</v>
      </c>
    </row>
    <row r="227" spans="1:12" x14ac:dyDescent="0.35">
      <c r="A227" s="2" t="s">
        <v>252</v>
      </c>
      <c r="B227" s="2" t="s">
        <v>67</v>
      </c>
      <c r="C227" s="2">
        <v>30.9405</v>
      </c>
      <c r="D227" s="2">
        <v>4500</v>
      </c>
      <c r="E227" s="2">
        <v>250</v>
      </c>
      <c r="F227" s="2">
        <v>50.6</v>
      </c>
      <c r="G227" s="2">
        <v>0</v>
      </c>
      <c r="H227" s="4">
        <f t="shared" si="15"/>
        <v>3.4320660053246215</v>
      </c>
      <c r="I227" s="4">
        <f t="shared" si="16"/>
        <v>8.4118326757584114</v>
      </c>
      <c r="J227" s="4">
        <f t="shared" si="17"/>
        <v>5.521460917862246</v>
      </c>
      <c r="K227" s="4">
        <f t="shared" si="18"/>
        <v>50.6</v>
      </c>
      <c r="L227" s="4">
        <f t="shared" si="19"/>
        <v>0</v>
      </c>
    </row>
    <row r="228" spans="1:12" x14ac:dyDescent="0.35">
      <c r="A228" s="2" t="s">
        <v>253</v>
      </c>
      <c r="B228" s="2" t="s">
        <v>67</v>
      </c>
      <c r="C228" s="2">
        <v>24.530799999999999</v>
      </c>
      <c r="D228" s="2">
        <v>4500</v>
      </c>
      <c r="E228" s="2">
        <v>400</v>
      </c>
      <c r="F228" s="2">
        <v>58.3</v>
      </c>
      <c r="G228" s="2">
        <v>0</v>
      </c>
      <c r="H228" s="4">
        <f t="shared" si="15"/>
        <v>3.1999294708653849</v>
      </c>
      <c r="I228" s="4">
        <f t="shared" si="16"/>
        <v>8.4118326757584114</v>
      </c>
      <c r="J228" s="4">
        <f t="shared" si="17"/>
        <v>5.9914645471079817</v>
      </c>
      <c r="K228" s="4">
        <f t="shared" si="18"/>
        <v>58.3</v>
      </c>
      <c r="L228" s="4">
        <f t="shared" si="19"/>
        <v>0</v>
      </c>
    </row>
    <row r="229" spans="1:12" x14ac:dyDescent="0.35">
      <c r="A229" s="2" t="s">
        <v>253</v>
      </c>
      <c r="B229" s="2" t="s">
        <v>67</v>
      </c>
      <c r="C229" s="2">
        <v>25.3246</v>
      </c>
      <c r="D229" s="2">
        <v>5000</v>
      </c>
      <c r="E229" s="2">
        <v>400</v>
      </c>
      <c r="F229" s="2">
        <v>58.3</v>
      </c>
      <c r="G229" s="2">
        <v>0</v>
      </c>
      <c r="H229" s="4">
        <f t="shared" si="15"/>
        <v>3.2317762553407108</v>
      </c>
      <c r="I229" s="4">
        <f t="shared" si="16"/>
        <v>8.5171931914162382</v>
      </c>
      <c r="J229" s="4">
        <f t="shared" si="17"/>
        <v>5.9914645471079817</v>
      </c>
      <c r="K229" s="4">
        <f t="shared" si="18"/>
        <v>58.3</v>
      </c>
      <c r="L229" s="4">
        <f t="shared" si="19"/>
        <v>0</v>
      </c>
    </row>
    <row r="230" spans="1:12" x14ac:dyDescent="0.35">
      <c r="A230" s="2" t="s">
        <v>253</v>
      </c>
      <c r="B230" s="2" t="s">
        <v>67</v>
      </c>
      <c r="C230" s="2">
        <v>27.3537</v>
      </c>
      <c r="D230" s="2">
        <v>4500</v>
      </c>
      <c r="E230" s="2">
        <v>325</v>
      </c>
      <c r="F230" s="2">
        <v>58.3</v>
      </c>
      <c r="G230" s="2">
        <v>0</v>
      </c>
      <c r="H230" s="4">
        <f t="shared" si="15"/>
        <v>3.3088518030818239</v>
      </c>
      <c r="I230" s="4">
        <f t="shared" si="16"/>
        <v>8.4118326757584114</v>
      </c>
      <c r="J230" s="4">
        <f t="shared" si="17"/>
        <v>5.7838251823297373</v>
      </c>
      <c r="K230" s="4">
        <f t="shared" si="18"/>
        <v>58.3</v>
      </c>
      <c r="L230" s="4">
        <f t="shared" si="19"/>
        <v>0</v>
      </c>
    </row>
    <row r="231" spans="1:12" x14ac:dyDescent="0.35">
      <c r="A231" s="2" t="s">
        <v>254</v>
      </c>
      <c r="B231" s="2" t="s">
        <v>67</v>
      </c>
      <c r="C231" s="2">
        <v>26.362300000000001</v>
      </c>
      <c r="D231" s="2">
        <v>5000</v>
      </c>
      <c r="E231" s="2">
        <v>325</v>
      </c>
      <c r="F231" s="2">
        <v>58.3</v>
      </c>
      <c r="G231" s="2">
        <v>0</v>
      </c>
      <c r="H231" s="4">
        <f t="shared" si="15"/>
        <v>3.2719349592422127</v>
      </c>
      <c r="I231" s="4">
        <f t="shared" si="16"/>
        <v>8.5171931914162382</v>
      </c>
      <c r="J231" s="4">
        <f t="shared" si="17"/>
        <v>5.7838251823297373</v>
      </c>
      <c r="K231" s="4">
        <f t="shared" si="18"/>
        <v>58.3</v>
      </c>
      <c r="L231" s="4">
        <f t="shared" si="19"/>
        <v>0</v>
      </c>
    </row>
    <row r="232" spans="1:12" x14ac:dyDescent="0.35">
      <c r="A232" s="2" t="s">
        <v>254</v>
      </c>
      <c r="B232" s="2" t="s">
        <v>67</v>
      </c>
      <c r="C232" s="2">
        <v>24.362200000000001</v>
      </c>
      <c r="D232" s="2">
        <v>5000</v>
      </c>
      <c r="E232" s="2">
        <v>400</v>
      </c>
      <c r="F232" s="2">
        <v>58.3</v>
      </c>
      <c r="G232" s="2">
        <v>0</v>
      </c>
      <c r="H232" s="4">
        <f t="shared" si="15"/>
        <v>3.1930327507506782</v>
      </c>
      <c r="I232" s="4">
        <f t="shared" si="16"/>
        <v>8.5171931914162382</v>
      </c>
      <c r="J232" s="4">
        <f t="shared" si="17"/>
        <v>5.9914645471079817</v>
      </c>
      <c r="K232" s="4">
        <f t="shared" si="18"/>
        <v>58.3</v>
      </c>
      <c r="L232" s="4">
        <f t="shared" si="19"/>
        <v>0</v>
      </c>
    </row>
    <row r="233" spans="1:12" x14ac:dyDescent="0.35">
      <c r="A233" s="2" t="s">
        <v>254</v>
      </c>
      <c r="B233" s="2" t="s">
        <v>67</v>
      </c>
      <c r="C233" s="2">
        <v>25.020900000000001</v>
      </c>
      <c r="D233" s="2">
        <v>5500</v>
      </c>
      <c r="E233" s="2">
        <v>400</v>
      </c>
      <c r="F233" s="2">
        <v>58.3</v>
      </c>
      <c r="G233" s="2">
        <v>0</v>
      </c>
      <c r="H233" s="4">
        <f t="shared" si="15"/>
        <v>3.2197114756148379</v>
      </c>
      <c r="I233" s="4">
        <f t="shared" si="16"/>
        <v>8.6125033712205621</v>
      </c>
      <c r="J233" s="4">
        <f t="shared" si="17"/>
        <v>5.9914645471079817</v>
      </c>
      <c r="K233" s="4">
        <f t="shared" si="18"/>
        <v>58.3</v>
      </c>
      <c r="L233" s="4">
        <f t="shared" si="19"/>
        <v>0</v>
      </c>
    </row>
    <row r="234" spans="1:12" x14ac:dyDescent="0.35">
      <c r="A234" s="2" t="s">
        <v>255</v>
      </c>
      <c r="B234" s="2" t="s">
        <v>67</v>
      </c>
      <c r="C234" s="2">
        <v>20.354600000000001</v>
      </c>
      <c r="D234" s="2">
        <v>6500</v>
      </c>
      <c r="E234" s="2">
        <v>450</v>
      </c>
      <c r="F234" s="2">
        <v>75.099999999999994</v>
      </c>
      <c r="G234" s="2">
        <v>0</v>
      </c>
      <c r="H234" s="4">
        <f t="shared" si="15"/>
        <v>3.0133069305705016</v>
      </c>
      <c r="I234" s="4">
        <f t="shared" si="16"/>
        <v>8.7795574558837277</v>
      </c>
      <c r="J234" s="4">
        <f t="shared" si="17"/>
        <v>6.1092475827643655</v>
      </c>
      <c r="K234" s="4">
        <f t="shared" si="18"/>
        <v>75.099999999999994</v>
      </c>
      <c r="L234" s="4">
        <f t="shared" si="19"/>
        <v>0</v>
      </c>
    </row>
    <row r="235" spans="1:12" x14ac:dyDescent="0.35">
      <c r="A235" s="2" t="s">
        <v>256</v>
      </c>
      <c r="B235" s="2" t="s">
        <v>33</v>
      </c>
      <c r="C235" s="2">
        <v>30.472999999999999</v>
      </c>
      <c r="D235" s="2">
        <v>6000</v>
      </c>
      <c r="E235" s="2">
        <v>400</v>
      </c>
      <c r="F235" s="2">
        <v>69.099999999999994</v>
      </c>
      <c r="G235" s="2">
        <v>1</v>
      </c>
      <c r="H235" s="4">
        <f t="shared" si="15"/>
        <v>3.4168410456501759</v>
      </c>
      <c r="I235" s="4">
        <f t="shared" si="16"/>
        <v>8.6995147482101913</v>
      </c>
      <c r="J235" s="4">
        <f t="shared" si="17"/>
        <v>5.9914645471079817</v>
      </c>
      <c r="K235" s="4">
        <f t="shared" si="18"/>
        <v>69.099999999999994</v>
      </c>
      <c r="L235" s="4">
        <f t="shared" si="19"/>
        <v>1</v>
      </c>
    </row>
    <row r="236" spans="1:12" x14ac:dyDescent="0.35">
      <c r="A236" s="2" t="s">
        <v>257</v>
      </c>
      <c r="B236" s="2" t="s">
        <v>67</v>
      </c>
      <c r="C236" s="2">
        <v>24.131499999999999</v>
      </c>
      <c r="D236" s="2">
        <v>5500</v>
      </c>
      <c r="E236" s="2">
        <v>400</v>
      </c>
      <c r="F236" s="2">
        <v>69.7</v>
      </c>
      <c r="G236" s="2">
        <v>0</v>
      </c>
      <c r="H236" s="4">
        <f t="shared" si="15"/>
        <v>3.1835180409871047</v>
      </c>
      <c r="I236" s="4">
        <f t="shared" si="16"/>
        <v>8.6125033712205621</v>
      </c>
      <c r="J236" s="4">
        <f t="shared" si="17"/>
        <v>5.9914645471079817</v>
      </c>
      <c r="K236" s="4">
        <f t="shared" si="18"/>
        <v>69.7</v>
      </c>
      <c r="L236" s="4">
        <f t="shared" si="19"/>
        <v>0</v>
      </c>
    </row>
    <row r="237" spans="1:12" x14ac:dyDescent="0.35">
      <c r="A237" s="2" t="s">
        <v>257</v>
      </c>
      <c r="B237" s="2" t="s">
        <v>67</v>
      </c>
      <c r="C237" s="2">
        <v>22.987400000000001</v>
      </c>
      <c r="D237" s="2">
        <v>5500</v>
      </c>
      <c r="E237" s="2">
        <v>400</v>
      </c>
      <c r="F237" s="2">
        <v>69.7</v>
      </c>
      <c r="G237" s="2">
        <v>0</v>
      </c>
      <c r="H237" s="4">
        <f t="shared" si="15"/>
        <v>3.1349462397306564</v>
      </c>
      <c r="I237" s="4">
        <f t="shared" si="16"/>
        <v>8.6125033712205621</v>
      </c>
      <c r="J237" s="4">
        <f t="shared" si="17"/>
        <v>5.9914645471079817</v>
      </c>
      <c r="K237" s="4">
        <f t="shared" si="18"/>
        <v>69.7</v>
      </c>
      <c r="L237" s="4">
        <f t="shared" si="19"/>
        <v>0</v>
      </c>
    </row>
    <row r="238" spans="1:12" x14ac:dyDescent="0.35">
      <c r="A238" s="2" t="s">
        <v>258</v>
      </c>
      <c r="B238" s="2" t="s">
        <v>67</v>
      </c>
      <c r="C238" s="2">
        <v>30.5991</v>
      </c>
      <c r="D238" s="2">
        <v>4500</v>
      </c>
      <c r="E238" s="2">
        <v>275</v>
      </c>
      <c r="F238" s="2">
        <v>57.1</v>
      </c>
      <c r="G238" s="2">
        <v>0</v>
      </c>
      <c r="H238" s="4">
        <f t="shared" si="15"/>
        <v>3.4209705967610948</v>
      </c>
      <c r="I238" s="4">
        <f t="shared" si="16"/>
        <v>8.4118326757584114</v>
      </c>
      <c r="J238" s="4">
        <f t="shared" si="17"/>
        <v>5.6167710976665717</v>
      </c>
      <c r="K238" s="4">
        <f t="shared" si="18"/>
        <v>57.1</v>
      </c>
      <c r="L238" s="4">
        <f t="shared" si="19"/>
        <v>0</v>
      </c>
    </row>
    <row r="239" spans="1:12" x14ac:dyDescent="0.35">
      <c r="A239" s="2" t="s">
        <v>259</v>
      </c>
      <c r="B239" s="2" t="s">
        <v>67</v>
      </c>
      <c r="C239" s="2">
        <v>27.152200000000001</v>
      </c>
      <c r="D239" s="2">
        <v>5000</v>
      </c>
      <c r="E239" s="2">
        <v>315</v>
      </c>
      <c r="F239" s="2">
        <v>57.1</v>
      </c>
      <c r="G239" s="2">
        <v>0</v>
      </c>
      <c r="H239" s="4">
        <f t="shared" si="15"/>
        <v>3.301458074404636</v>
      </c>
      <c r="I239" s="4">
        <f t="shared" si="16"/>
        <v>8.5171931914162382</v>
      </c>
      <c r="J239" s="4">
        <f t="shared" si="17"/>
        <v>5.7525726388256331</v>
      </c>
      <c r="K239" s="4">
        <f t="shared" si="18"/>
        <v>57.1</v>
      </c>
      <c r="L239" s="4">
        <f t="shared" si="19"/>
        <v>0</v>
      </c>
    </row>
    <row r="240" spans="1:12" x14ac:dyDescent="0.35">
      <c r="A240" s="2" t="s">
        <v>259</v>
      </c>
      <c r="B240" s="2" t="s">
        <v>67</v>
      </c>
      <c r="C240" s="2">
        <v>29.164400000000001</v>
      </c>
      <c r="D240" s="2">
        <v>4500</v>
      </c>
      <c r="E240" s="2">
        <v>275</v>
      </c>
      <c r="F240" s="2">
        <v>57.1</v>
      </c>
      <c r="G240" s="2">
        <v>0</v>
      </c>
      <c r="H240" s="4">
        <f t="shared" si="15"/>
        <v>3.3729487873898334</v>
      </c>
      <c r="I240" s="4">
        <f t="shared" si="16"/>
        <v>8.4118326757584114</v>
      </c>
      <c r="J240" s="4">
        <f t="shared" si="17"/>
        <v>5.6167710976665717</v>
      </c>
      <c r="K240" s="4">
        <f t="shared" si="18"/>
        <v>57.1</v>
      </c>
      <c r="L240" s="4">
        <f t="shared" si="19"/>
        <v>0</v>
      </c>
    </row>
    <row r="241" spans="1:12" x14ac:dyDescent="0.35">
      <c r="A241" s="2" t="s">
        <v>260</v>
      </c>
      <c r="B241" s="2" t="s">
        <v>67</v>
      </c>
      <c r="C241" s="2">
        <v>31.616900000000001</v>
      </c>
      <c r="D241" s="2">
        <v>4500</v>
      </c>
      <c r="E241" s="2">
        <v>300</v>
      </c>
      <c r="F241" s="2">
        <v>55.7</v>
      </c>
      <c r="G241" s="2">
        <v>0</v>
      </c>
      <c r="H241" s="4">
        <f t="shared" si="15"/>
        <v>3.4536917877594817</v>
      </c>
      <c r="I241" s="4">
        <f t="shared" si="16"/>
        <v>8.4118326757584114</v>
      </c>
      <c r="J241" s="4">
        <f t="shared" si="17"/>
        <v>5.7037824746562009</v>
      </c>
      <c r="K241" s="4">
        <f t="shared" si="18"/>
        <v>55.7</v>
      </c>
      <c r="L241" s="4">
        <f t="shared" si="19"/>
        <v>0</v>
      </c>
    </row>
    <row r="242" spans="1:12" x14ac:dyDescent="0.35">
      <c r="A242" s="2" t="s">
        <v>260</v>
      </c>
      <c r="B242" s="2" t="s">
        <v>67</v>
      </c>
      <c r="C242" s="2">
        <v>27.243500000000001</v>
      </c>
      <c r="D242" s="2">
        <v>5000</v>
      </c>
      <c r="E242" s="2">
        <v>400</v>
      </c>
      <c r="F242" s="2">
        <v>55.7</v>
      </c>
      <c r="G242" s="2">
        <v>0</v>
      </c>
      <c r="H242" s="4">
        <f t="shared" si="15"/>
        <v>3.304814960545853</v>
      </c>
      <c r="I242" s="4">
        <f t="shared" si="16"/>
        <v>8.5171931914162382</v>
      </c>
      <c r="J242" s="4">
        <f t="shared" si="17"/>
        <v>5.9914645471079817</v>
      </c>
      <c r="K242" s="4">
        <f t="shared" si="18"/>
        <v>55.7</v>
      </c>
      <c r="L242" s="4">
        <f t="shared" si="19"/>
        <v>0</v>
      </c>
    </row>
    <row r="243" spans="1:12" x14ac:dyDescent="0.35">
      <c r="A243" s="2" t="s">
        <v>260</v>
      </c>
      <c r="B243" s="2" t="s">
        <v>67</v>
      </c>
      <c r="C243" s="2">
        <v>26.514099999999999</v>
      </c>
      <c r="D243" s="2">
        <v>5000</v>
      </c>
      <c r="E243" s="2">
        <v>400</v>
      </c>
      <c r="F243" s="2">
        <v>55.7</v>
      </c>
      <c r="G243" s="2">
        <v>0</v>
      </c>
      <c r="H243" s="4">
        <f t="shared" si="15"/>
        <v>3.277676666961912</v>
      </c>
      <c r="I243" s="4">
        <f t="shared" si="16"/>
        <v>8.5171931914162382</v>
      </c>
      <c r="J243" s="4">
        <f t="shared" si="17"/>
        <v>5.9914645471079817</v>
      </c>
      <c r="K243" s="4">
        <f t="shared" si="18"/>
        <v>55.7</v>
      </c>
      <c r="L243" s="4">
        <f t="shared" si="19"/>
        <v>0</v>
      </c>
    </row>
    <row r="244" spans="1:12" x14ac:dyDescent="0.35">
      <c r="A244" s="2" t="s">
        <v>261</v>
      </c>
      <c r="B244" s="2" t="s">
        <v>67</v>
      </c>
      <c r="C244" s="2">
        <v>30.282399999999999</v>
      </c>
      <c r="D244" s="2">
        <v>4500</v>
      </c>
      <c r="E244" s="2">
        <v>300</v>
      </c>
      <c r="F244" s="2">
        <v>55.5</v>
      </c>
      <c r="G244" s="2">
        <v>0</v>
      </c>
      <c r="H244" s="4">
        <f t="shared" si="15"/>
        <v>3.4105666856661019</v>
      </c>
      <c r="I244" s="4">
        <f t="shared" si="16"/>
        <v>8.4118326757584114</v>
      </c>
      <c r="J244" s="4">
        <f t="shared" si="17"/>
        <v>5.7037824746562009</v>
      </c>
      <c r="K244" s="4">
        <f t="shared" si="18"/>
        <v>55.5</v>
      </c>
      <c r="L244" s="4">
        <f t="shared" si="19"/>
        <v>0</v>
      </c>
    </row>
    <row r="245" spans="1:12" x14ac:dyDescent="0.35">
      <c r="A245" s="2" t="s">
        <v>261</v>
      </c>
      <c r="B245" s="2" t="s">
        <v>67</v>
      </c>
      <c r="C245" s="2">
        <v>26.521100000000001</v>
      </c>
      <c r="D245" s="2">
        <v>5000</v>
      </c>
      <c r="E245" s="2">
        <v>400</v>
      </c>
      <c r="F245" s="2">
        <v>55.5</v>
      </c>
      <c r="G245" s="2">
        <v>0</v>
      </c>
      <c r="H245" s="4">
        <f t="shared" si="15"/>
        <v>3.2779406425871813</v>
      </c>
      <c r="I245" s="4">
        <f t="shared" si="16"/>
        <v>8.5171931914162382</v>
      </c>
      <c r="J245" s="4">
        <f t="shared" si="17"/>
        <v>5.9914645471079817</v>
      </c>
      <c r="K245" s="4">
        <f t="shared" si="18"/>
        <v>55.5</v>
      </c>
      <c r="L245" s="4">
        <f t="shared" si="19"/>
        <v>0</v>
      </c>
    </row>
    <row r="246" spans="1:12" x14ac:dyDescent="0.35">
      <c r="A246" s="2" t="s">
        <v>261</v>
      </c>
      <c r="B246" s="2" t="s">
        <v>67</v>
      </c>
      <c r="C246" s="2">
        <v>26.285699999999999</v>
      </c>
      <c r="D246" s="2">
        <v>5000</v>
      </c>
      <c r="E246" s="2">
        <v>400</v>
      </c>
      <c r="F246" s="2">
        <v>55.5</v>
      </c>
      <c r="G246" s="2">
        <v>0</v>
      </c>
      <c r="H246" s="4">
        <f t="shared" si="15"/>
        <v>3.2690250650752639</v>
      </c>
      <c r="I246" s="4">
        <f t="shared" si="16"/>
        <v>8.5171931914162382</v>
      </c>
      <c r="J246" s="4">
        <f t="shared" si="17"/>
        <v>5.9914645471079817</v>
      </c>
      <c r="K246" s="4">
        <f t="shared" si="18"/>
        <v>55.5</v>
      </c>
      <c r="L246" s="4">
        <f t="shared" si="19"/>
        <v>0</v>
      </c>
    </row>
    <row r="247" spans="1:12" x14ac:dyDescent="0.35">
      <c r="A247" s="2" t="s">
        <v>262</v>
      </c>
      <c r="B247" s="2" t="s">
        <v>67</v>
      </c>
      <c r="C247" s="2">
        <v>22.232800000000001</v>
      </c>
      <c r="D247" s="2">
        <v>5500</v>
      </c>
      <c r="E247" s="2">
        <v>418</v>
      </c>
      <c r="F247" s="2">
        <v>60.2</v>
      </c>
      <c r="G247" s="2">
        <v>0</v>
      </c>
      <c r="H247" s="4">
        <f t="shared" si="15"/>
        <v>3.1015686759597547</v>
      </c>
      <c r="I247" s="4">
        <f t="shared" si="16"/>
        <v>8.6125033712205621</v>
      </c>
      <c r="J247" s="4">
        <f t="shared" si="17"/>
        <v>6.0354814325247563</v>
      </c>
      <c r="K247" s="4">
        <f t="shared" si="18"/>
        <v>60.2</v>
      </c>
      <c r="L247" s="4">
        <f t="shared" si="19"/>
        <v>0</v>
      </c>
    </row>
    <row r="248" spans="1:12" x14ac:dyDescent="0.35">
      <c r="A248" s="2" t="s">
        <v>263</v>
      </c>
      <c r="B248" s="2" t="s">
        <v>67</v>
      </c>
      <c r="C248" s="2">
        <v>40.184100000000001</v>
      </c>
      <c r="D248" s="2">
        <v>3500</v>
      </c>
      <c r="E248" s="2">
        <v>170</v>
      </c>
      <c r="F248" s="2">
        <v>46.3</v>
      </c>
      <c r="G248" s="2">
        <v>0</v>
      </c>
      <c r="H248" s="4">
        <f t="shared" si="15"/>
        <v>3.6934713949973048</v>
      </c>
      <c r="I248" s="4">
        <f t="shared" si="16"/>
        <v>8.1605182474775049</v>
      </c>
      <c r="J248" s="4">
        <f t="shared" si="17"/>
        <v>5.1357984370502621</v>
      </c>
      <c r="K248" s="4">
        <f t="shared" si="18"/>
        <v>46.3</v>
      </c>
      <c r="L248" s="4">
        <f t="shared" si="19"/>
        <v>0</v>
      </c>
    </row>
    <row r="249" spans="1:12" x14ac:dyDescent="0.35">
      <c r="A249" s="2" t="s">
        <v>264</v>
      </c>
      <c r="B249" s="2" t="s">
        <v>67</v>
      </c>
      <c r="C249" s="2">
        <v>38.560499999999998</v>
      </c>
      <c r="D249" s="2">
        <v>3500</v>
      </c>
      <c r="E249" s="2">
        <v>170</v>
      </c>
      <c r="F249" s="2">
        <v>46.2</v>
      </c>
      <c r="G249" s="2">
        <v>0</v>
      </c>
      <c r="H249" s="4">
        <f t="shared" si="15"/>
        <v>3.6522284364632558</v>
      </c>
      <c r="I249" s="4">
        <f t="shared" si="16"/>
        <v>8.1605182474775049</v>
      </c>
      <c r="J249" s="4">
        <f t="shared" si="17"/>
        <v>5.1357984370502621</v>
      </c>
      <c r="K249" s="4">
        <f t="shared" si="18"/>
        <v>46.2</v>
      </c>
      <c r="L249" s="4">
        <f t="shared" si="19"/>
        <v>0</v>
      </c>
    </row>
    <row r="250" spans="1:12" x14ac:dyDescent="0.35">
      <c r="A250" s="2" t="s">
        <v>264</v>
      </c>
      <c r="B250" s="2" t="s">
        <v>67</v>
      </c>
      <c r="C250" s="2">
        <v>35.281500000000001</v>
      </c>
      <c r="D250" s="2">
        <v>4000</v>
      </c>
      <c r="E250" s="2">
        <v>250</v>
      </c>
      <c r="F250" s="2">
        <v>46.2</v>
      </c>
      <c r="G250" s="2">
        <v>0</v>
      </c>
      <c r="H250" s="4">
        <f t="shared" si="15"/>
        <v>3.5633587472415709</v>
      </c>
      <c r="I250" s="4">
        <f t="shared" si="16"/>
        <v>8.2940496401020276</v>
      </c>
      <c r="J250" s="4">
        <f t="shared" si="17"/>
        <v>5.521460917862246</v>
      </c>
      <c r="K250" s="4">
        <f t="shared" si="18"/>
        <v>46.2</v>
      </c>
      <c r="L250" s="4">
        <f t="shared" si="19"/>
        <v>0</v>
      </c>
    </row>
    <row r="251" spans="1:12" x14ac:dyDescent="0.35">
      <c r="A251" s="2" t="s">
        <v>265</v>
      </c>
      <c r="B251" s="2" t="s">
        <v>67</v>
      </c>
      <c r="C251" s="2">
        <v>28.16</v>
      </c>
      <c r="D251" s="2">
        <v>5000</v>
      </c>
      <c r="E251" s="2">
        <v>300</v>
      </c>
      <c r="F251" s="2">
        <v>55.5</v>
      </c>
      <c r="G251" s="2">
        <v>0</v>
      </c>
      <c r="H251" s="4">
        <f t="shared" si="15"/>
        <v>3.3379025312898416</v>
      </c>
      <c r="I251" s="4">
        <f t="shared" si="16"/>
        <v>8.5171931914162382</v>
      </c>
      <c r="J251" s="4">
        <f t="shared" si="17"/>
        <v>5.7037824746562009</v>
      </c>
      <c r="K251" s="4">
        <f t="shared" si="18"/>
        <v>55.5</v>
      </c>
      <c r="L251" s="4">
        <f t="shared" si="19"/>
        <v>0</v>
      </c>
    </row>
    <row r="252" spans="1:12" x14ac:dyDescent="0.35">
      <c r="A252" s="2" t="s">
        <v>266</v>
      </c>
      <c r="B252" s="2" t="s">
        <v>67</v>
      </c>
      <c r="C252" s="2">
        <v>19.117599999999999</v>
      </c>
      <c r="D252" s="2">
        <v>4500</v>
      </c>
      <c r="E252" s="2">
        <v>282</v>
      </c>
      <c r="F252" s="2">
        <v>55.6</v>
      </c>
      <c r="G252" s="2">
        <v>0</v>
      </c>
      <c r="H252" s="4">
        <f t="shared" si="15"/>
        <v>2.9506093767320301</v>
      </c>
      <c r="I252" s="4">
        <f t="shared" si="16"/>
        <v>8.4118326757584114</v>
      </c>
      <c r="J252" s="4">
        <f t="shared" si="17"/>
        <v>5.6419070709381138</v>
      </c>
      <c r="K252" s="4">
        <f t="shared" si="18"/>
        <v>55.6</v>
      </c>
      <c r="L252" s="4">
        <f t="shared" si="19"/>
        <v>0</v>
      </c>
    </row>
    <row r="253" spans="1:12" x14ac:dyDescent="0.35">
      <c r="A253" s="2" t="s">
        <v>267</v>
      </c>
      <c r="B253" s="2" t="s">
        <v>33</v>
      </c>
      <c r="C253" s="2">
        <v>56.036000000000001</v>
      </c>
      <c r="D253" s="2">
        <v>4000</v>
      </c>
      <c r="E253" s="2">
        <v>162</v>
      </c>
      <c r="F253" s="2">
        <v>46.3</v>
      </c>
      <c r="G253" s="2">
        <v>1</v>
      </c>
      <c r="H253" s="4">
        <f t="shared" si="15"/>
        <v>4.0259943413338677</v>
      </c>
      <c r="I253" s="4">
        <f t="shared" si="16"/>
        <v>8.2940496401020276</v>
      </c>
      <c r="J253" s="4">
        <f t="shared" si="17"/>
        <v>5.0875963352323836</v>
      </c>
      <c r="K253" s="4">
        <f t="shared" si="18"/>
        <v>46.3</v>
      </c>
      <c r="L253" s="4">
        <f t="shared" si="19"/>
        <v>1</v>
      </c>
    </row>
    <row r="254" spans="1:12" x14ac:dyDescent="0.35">
      <c r="A254" s="2" t="s">
        <v>268</v>
      </c>
      <c r="B254" s="2" t="s">
        <v>33</v>
      </c>
      <c r="C254" s="2">
        <v>57.458599999999997</v>
      </c>
      <c r="D254" s="2">
        <v>4000</v>
      </c>
      <c r="E254" s="2">
        <v>163</v>
      </c>
      <c r="F254" s="2">
        <v>46.3</v>
      </c>
      <c r="G254" s="2">
        <v>1</v>
      </c>
      <c r="H254" s="4">
        <f t="shared" si="15"/>
        <v>4.0510646884788217</v>
      </c>
      <c r="I254" s="4">
        <f t="shared" si="16"/>
        <v>8.2940496401020276</v>
      </c>
      <c r="J254" s="4">
        <f t="shared" si="17"/>
        <v>5.0937502008067623</v>
      </c>
      <c r="K254" s="4">
        <f t="shared" si="18"/>
        <v>46.3</v>
      </c>
      <c r="L254" s="4">
        <f t="shared" si="19"/>
        <v>1</v>
      </c>
    </row>
    <row r="255" spans="1:12" x14ac:dyDescent="0.35">
      <c r="A255" s="2" t="s">
        <v>269</v>
      </c>
      <c r="B255" s="2" t="s">
        <v>33</v>
      </c>
      <c r="C255" s="2">
        <v>55.9527</v>
      </c>
      <c r="D255" s="2">
        <v>4000</v>
      </c>
      <c r="E255" s="2">
        <v>162</v>
      </c>
      <c r="F255" s="2">
        <v>46.2</v>
      </c>
      <c r="G255" s="2">
        <v>1</v>
      </c>
      <c r="H255" s="4">
        <f t="shared" si="15"/>
        <v>4.0245066909662386</v>
      </c>
      <c r="I255" s="4">
        <f t="shared" si="16"/>
        <v>8.2940496401020276</v>
      </c>
      <c r="J255" s="4">
        <f t="shared" si="17"/>
        <v>5.0875963352323836</v>
      </c>
      <c r="K255" s="4">
        <f t="shared" si="18"/>
        <v>46.2</v>
      </c>
      <c r="L255" s="4">
        <f t="shared" si="19"/>
        <v>1</v>
      </c>
    </row>
    <row r="256" spans="1:12" x14ac:dyDescent="0.35">
      <c r="A256" s="2" t="s">
        <v>270</v>
      </c>
      <c r="B256" s="2" t="s">
        <v>67</v>
      </c>
      <c r="C256" s="2">
        <v>15.062900000000001</v>
      </c>
      <c r="D256" s="2">
        <v>6500</v>
      </c>
      <c r="E256" s="2">
        <v>700</v>
      </c>
      <c r="F256" s="2">
        <v>75.099999999999994</v>
      </c>
      <c r="G256" s="2">
        <v>0</v>
      </c>
      <c r="H256" s="4">
        <f t="shared" si="15"/>
        <v>2.7122347669148668</v>
      </c>
      <c r="I256" s="4">
        <f t="shared" si="16"/>
        <v>8.7795574558837277</v>
      </c>
      <c r="J256" s="4">
        <f t="shared" si="17"/>
        <v>6.5510803350434044</v>
      </c>
      <c r="K256" s="4">
        <f t="shared" si="18"/>
        <v>75.099999999999994</v>
      </c>
      <c r="L256" s="4">
        <f t="shared" si="19"/>
        <v>0</v>
      </c>
    </row>
    <row r="257" spans="1:12" x14ac:dyDescent="0.35">
      <c r="A257" s="2" t="s">
        <v>271</v>
      </c>
      <c r="B257" s="2" t="s">
        <v>67</v>
      </c>
      <c r="C257" s="2">
        <v>24.951799999999999</v>
      </c>
      <c r="D257" s="2">
        <v>6000</v>
      </c>
      <c r="E257" s="2">
        <v>380</v>
      </c>
      <c r="F257" s="2">
        <v>57.3</v>
      </c>
      <c r="G257" s="2">
        <v>0</v>
      </c>
      <c r="H257" s="4">
        <f t="shared" si="15"/>
        <v>3.2169459638838309</v>
      </c>
      <c r="I257" s="4">
        <f t="shared" si="16"/>
        <v>8.6995147482101913</v>
      </c>
      <c r="J257" s="4">
        <f t="shared" si="17"/>
        <v>5.9401712527204316</v>
      </c>
      <c r="K257" s="4">
        <f t="shared" si="18"/>
        <v>57.3</v>
      </c>
      <c r="L257" s="4">
        <f t="shared" si="19"/>
        <v>0</v>
      </c>
    </row>
    <row r="258" spans="1:12" x14ac:dyDescent="0.35">
      <c r="A258" s="2" t="s">
        <v>272</v>
      </c>
      <c r="B258" s="2" t="s">
        <v>67</v>
      </c>
      <c r="C258" s="2">
        <v>23.667100000000001</v>
      </c>
      <c r="D258" s="2">
        <v>6000</v>
      </c>
      <c r="E258" s="2">
        <v>380</v>
      </c>
      <c r="F258" s="2">
        <v>57.3</v>
      </c>
      <c r="G258" s="2">
        <v>0</v>
      </c>
      <c r="H258" s="4">
        <f t="shared" ref="H258:H321" si="20">LN(C258)</f>
        <v>3.1640858980647373</v>
      </c>
      <c r="I258" s="4">
        <f t="shared" ref="I258:I321" si="21">LN(D258)</f>
        <v>8.6995147482101913</v>
      </c>
      <c r="J258" s="4">
        <f t="shared" ref="J258:J321" si="22">LN(E258)</f>
        <v>5.9401712527204316</v>
      </c>
      <c r="K258" s="4">
        <f t="shared" ref="K258:K321" si="23">F258</f>
        <v>57.3</v>
      </c>
      <c r="L258" s="4">
        <f t="shared" ref="L258:L321" si="24">G258</f>
        <v>0</v>
      </c>
    </row>
    <row r="259" spans="1:12" x14ac:dyDescent="0.35">
      <c r="A259" s="2" t="s">
        <v>273</v>
      </c>
      <c r="B259" s="2" t="s">
        <v>67</v>
      </c>
      <c r="C259" s="2">
        <v>23.2622</v>
      </c>
      <c r="D259" s="2">
        <v>6000</v>
      </c>
      <c r="E259" s="2">
        <v>380</v>
      </c>
      <c r="F259" s="2">
        <v>57.3</v>
      </c>
      <c r="G259" s="2">
        <v>0</v>
      </c>
      <c r="H259" s="4">
        <f t="shared" si="20"/>
        <v>3.1468297255928954</v>
      </c>
      <c r="I259" s="4">
        <f t="shared" si="21"/>
        <v>8.6995147482101913</v>
      </c>
      <c r="J259" s="4">
        <f t="shared" si="22"/>
        <v>5.9401712527204316</v>
      </c>
      <c r="K259" s="4">
        <f t="shared" si="23"/>
        <v>57.3</v>
      </c>
      <c r="L259" s="4">
        <f t="shared" si="24"/>
        <v>0</v>
      </c>
    </row>
    <row r="260" spans="1:12" x14ac:dyDescent="0.35">
      <c r="A260" s="2" t="s">
        <v>274</v>
      </c>
      <c r="B260" s="2" t="s">
        <v>67</v>
      </c>
      <c r="C260" s="2">
        <v>32.191200000000002</v>
      </c>
      <c r="D260" s="2">
        <v>4500</v>
      </c>
      <c r="E260" s="2">
        <v>250</v>
      </c>
      <c r="F260" s="2">
        <v>51.9</v>
      </c>
      <c r="G260" s="2">
        <v>0</v>
      </c>
      <c r="H260" s="4">
        <f t="shared" si="20"/>
        <v>3.4716931232738535</v>
      </c>
      <c r="I260" s="4">
        <f t="shared" si="21"/>
        <v>8.4118326757584114</v>
      </c>
      <c r="J260" s="4">
        <f t="shared" si="22"/>
        <v>5.521460917862246</v>
      </c>
      <c r="K260" s="4">
        <f t="shared" si="23"/>
        <v>51.9</v>
      </c>
      <c r="L260" s="4">
        <f t="shared" si="24"/>
        <v>0</v>
      </c>
    </row>
    <row r="261" spans="1:12" x14ac:dyDescent="0.35">
      <c r="A261" s="2" t="s">
        <v>275</v>
      </c>
      <c r="B261" s="2" t="s">
        <v>33</v>
      </c>
      <c r="C261" s="2">
        <v>41.642800000000001</v>
      </c>
      <c r="D261" s="2">
        <v>5000</v>
      </c>
      <c r="E261" s="2">
        <v>300</v>
      </c>
      <c r="F261" s="2">
        <v>51.9</v>
      </c>
      <c r="G261" s="2">
        <v>1</v>
      </c>
      <c r="H261" s="4">
        <f t="shared" si="20"/>
        <v>3.7291284845215995</v>
      </c>
      <c r="I261" s="4">
        <f t="shared" si="21"/>
        <v>8.5171931914162382</v>
      </c>
      <c r="J261" s="4">
        <f t="shared" si="22"/>
        <v>5.7037824746562009</v>
      </c>
      <c r="K261" s="4">
        <f t="shared" si="23"/>
        <v>51.9</v>
      </c>
      <c r="L261" s="4">
        <f t="shared" si="24"/>
        <v>1</v>
      </c>
    </row>
    <row r="262" spans="1:12" x14ac:dyDescent="0.35">
      <c r="A262" s="2" t="s">
        <v>276</v>
      </c>
      <c r="B262" s="2" t="s">
        <v>67</v>
      </c>
      <c r="C262" s="2">
        <v>23.015799999999999</v>
      </c>
      <c r="D262" s="2">
        <v>6500</v>
      </c>
      <c r="E262" s="2">
        <v>380</v>
      </c>
      <c r="F262" s="2">
        <v>61.6</v>
      </c>
      <c r="G262" s="2">
        <v>0</v>
      </c>
      <c r="H262" s="4">
        <f t="shared" si="20"/>
        <v>3.1361809366042621</v>
      </c>
      <c r="I262" s="4">
        <f t="shared" si="21"/>
        <v>8.7795574558837277</v>
      </c>
      <c r="J262" s="4">
        <f t="shared" si="22"/>
        <v>5.9401712527204316</v>
      </c>
      <c r="K262" s="4">
        <f t="shared" si="23"/>
        <v>61.6</v>
      </c>
      <c r="L262" s="4">
        <f t="shared" si="24"/>
        <v>0</v>
      </c>
    </row>
    <row r="263" spans="1:12" x14ac:dyDescent="0.35">
      <c r="A263" s="2" t="s">
        <v>277</v>
      </c>
      <c r="B263" s="2" t="s">
        <v>67</v>
      </c>
      <c r="C263" s="2">
        <v>33.055799999999998</v>
      </c>
      <c r="D263" s="2">
        <v>4000</v>
      </c>
      <c r="E263" s="2">
        <v>250</v>
      </c>
      <c r="F263" s="2">
        <v>46.9</v>
      </c>
      <c r="G263" s="2">
        <v>0</v>
      </c>
      <c r="H263" s="4">
        <f t="shared" si="20"/>
        <v>3.4981970425801054</v>
      </c>
      <c r="I263" s="4">
        <f t="shared" si="21"/>
        <v>8.2940496401020276</v>
      </c>
      <c r="J263" s="4">
        <f t="shared" si="22"/>
        <v>5.521460917862246</v>
      </c>
      <c r="K263" s="4">
        <f t="shared" si="23"/>
        <v>46.9</v>
      </c>
      <c r="L263" s="4">
        <f t="shared" si="24"/>
        <v>0</v>
      </c>
    </row>
    <row r="264" spans="1:12" x14ac:dyDescent="0.35">
      <c r="A264" s="2" t="s">
        <v>278</v>
      </c>
      <c r="B264" s="2" t="s">
        <v>33</v>
      </c>
      <c r="C264" s="2">
        <v>46.144599999999997</v>
      </c>
      <c r="D264" s="2">
        <v>4500</v>
      </c>
      <c r="E264" s="2">
        <v>163</v>
      </c>
      <c r="F264" s="2">
        <v>47.1</v>
      </c>
      <c r="G264" s="2">
        <v>1</v>
      </c>
      <c r="H264" s="4">
        <f t="shared" si="20"/>
        <v>3.8317799443518736</v>
      </c>
      <c r="I264" s="4">
        <f t="shared" si="21"/>
        <v>8.4118326757584114</v>
      </c>
      <c r="J264" s="4">
        <f t="shared" si="22"/>
        <v>5.0937502008067623</v>
      </c>
      <c r="K264" s="4">
        <f t="shared" si="23"/>
        <v>47.1</v>
      </c>
      <c r="L264" s="4">
        <f t="shared" si="24"/>
        <v>1</v>
      </c>
    </row>
    <row r="265" spans="1:12" x14ac:dyDescent="0.35">
      <c r="A265" s="2" t="s">
        <v>279</v>
      </c>
      <c r="B265" s="2" t="s">
        <v>67</v>
      </c>
      <c r="C265" s="2">
        <v>31.2454</v>
      </c>
      <c r="D265" s="2">
        <v>4000</v>
      </c>
      <c r="E265" s="2">
        <v>250</v>
      </c>
      <c r="F265" s="2">
        <v>47</v>
      </c>
      <c r="G265" s="2">
        <v>0</v>
      </c>
      <c r="H265" s="4">
        <f t="shared" si="20"/>
        <v>3.4418721653474273</v>
      </c>
      <c r="I265" s="4">
        <f t="shared" si="21"/>
        <v>8.2940496401020276</v>
      </c>
      <c r="J265" s="4">
        <f t="shared" si="22"/>
        <v>5.521460917862246</v>
      </c>
      <c r="K265" s="4">
        <f t="shared" si="23"/>
        <v>47</v>
      </c>
      <c r="L265" s="4">
        <f t="shared" si="24"/>
        <v>0</v>
      </c>
    </row>
    <row r="266" spans="1:12" x14ac:dyDescent="0.35">
      <c r="A266" s="2" t="s">
        <v>280</v>
      </c>
      <c r="B266" s="2" t="s">
        <v>67</v>
      </c>
      <c r="C266" s="2">
        <v>27.5596</v>
      </c>
      <c r="D266" s="2">
        <v>5000</v>
      </c>
      <c r="E266" s="2">
        <v>400</v>
      </c>
      <c r="F266" s="2">
        <v>55.7</v>
      </c>
      <c r="G266" s="2">
        <v>0</v>
      </c>
      <c r="H266" s="4">
        <f t="shared" si="20"/>
        <v>3.3163509322520333</v>
      </c>
      <c r="I266" s="4">
        <f t="shared" si="21"/>
        <v>8.5171931914162382</v>
      </c>
      <c r="J266" s="4">
        <f t="shared" si="22"/>
        <v>5.9914645471079817</v>
      </c>
      <c r="K266" s="4">
        <f t="shared" si="23"/>
        <v>55.7</v>
      </c>
      <c r="L266" s="4">
        <f t="shared" si="24"/>
        <v>0</v>
      </c>
    </row>
    <row r="267" spans="1:12" x14ac:dyDescent="0.35">
      <c r="A267" s="2" t="s">
        <v>281</v>
      </c>
      <c r="B267" s="2" t="s">
        <v>67</v>
      </c>
      <c r="C267" s="2">
        <v>25.734200000000001</v>
      </c>
      <c r="D267" s="2">
        <v>5500</v>
      </c>
      <c r="E267" s="2">
        <v>400</v>
      </c>
      <c r="F267" s="2">
        <v>55.7</v>
      </c>
      <c r="G267" s="2">
        <v>0</v>
      </c>
      <c r="H267" s="4">
        <f t="shared" si="20"/>
        <v>3.2478208465519809</v>
      </c>
      <c r="I267" s="4">
        <f t="shared" si="21"/>
        <v>8.6125033712205621</v>
      </c>
      <c r="J267" s="4">
        <f t="shared" si="22"/>
        <v>5.9914645471079817</v>
      </c>
      <c r="K267" s="4">
        <f t="shared" si="23"/>
        <v>55.7</v>
      </c>
      <c r="L267" s="4">
        <f t="shared" si="24"/>
        <v>0</v>
      </c>
    </row>
    <row r="268" spans="1:12" x14ac:dyDescent="0.35">
      <c r="A268" s="2" t="s">
        <v>282</v>
      </c>
      <c r="B268" s="2" t="s">
        <v>67</v>
      </c>
      <c r="C268" s="2">
        <v>26.755299999999998</v>
      </c>
      <c r="D268" s="2">
        <v>4500</v>
      </c>
      <c r="E268" s="2">
        <v>310</v>
      </c>
      <c r="F268" s="2">
        <v>56.7</v>
      </c>
      <c r="G268" s="2">
        <v>0</v>
      </c>
      <c r="H268" s="4">
        <f t="shared" si="20"/>
        <v>3.2867325845578139</v>
      </c>
      <c r="I268" s="4">
        <f t="shared" si="21"/>
        <v>8.4118326757584114</v>
      </c>
      <c r="J268" s="4">
        <f t="shared" si="22"/>
        <v>5.7365722974791922</v>
      </c>
      <c r="K268" s="4">
        <f t="shared" si="23"/>
        <v>56.7</v>
      </c>
      <c r="L268" s="4">
        <f t="shared" si="24"/>
        <v>0</v>
      </c>
    </row>
    <row r="269" spans="1:12" x14ac:dyDescent="0.35">
      <c r="A269" s="2" t="s">
        <v>284</v>
      </c>
      <c r="B269" s="2" t="s">
        <v>67</v>
      </c>
      <c r="C269" s="2">
        <v>25.655000000000001</v>
      </c>
      <c r="D269" s="2">
        <v>5000</v>
      </c>
      <c r="E269" s="2">
        <v>310</v>
      </c>
      <c r="F269" s="2">
        <v>56.7</v>
      </c>
      <c r="G269" s="2">
        <v>0</v>
      </c>
      <c r="H269" s="4">
        <f t="shared" si="20"/>
        <v>3.244738484393928</v>
      </c>
      <c r="I269" s="4">
        <f t="shared" si="21"/>
        <v>8.5171931914162382</v>
      </c>
      <c r="J269" s="4">
        <f t="shared" si="22"/>
        <v>5.7365722974791922</v>
      </c>
      <c r="K269" s="4">
        <f t="shared" si="23"/>
        <v>56.7</v>
      </c>
      <c r="L269" s="4">
        <f t="shared" si="24"/>
        <v>0</v>
      </c>
    </row>
    <row r="270" spans="1:12" x14ac:dyDescent="0.35">
      <c r="A270" s="2" t="s">
        <v>285</v>
      </c>
      <c r="B270" s="2" t="s">
        <v>67</v>
      </c>
      <c r="C270" s="2">
        <v>43.7761</v>
      </c>
      <c r="D270" s="2">
        <v>3500</v>
      </c>
      <c r="E270" s="2">
        <v>137</v>
      </c>
      <c r="F270" s="2">
        <v>43.6</v>
      </c>
      <c r="G270" s="2">
        <v>0</v>
      </c>
      <c r="H270" s="4">
        <f t="shared" si="20"/>
        <v>3.7790880063542014</v>
      </c>
      <c r="I270" s="4">
        <f t="shared" si="21"/>
        <v>8.1605182474775049</v>
      </c>
      <c r="J270" s="4">
        <f t="shared" si="22"/>
        <v>4.9199809258281251</v>
      </c>
      <c r="K270" s="4">
        <f t="shared" si="23"/>
        <v>43.6</v>
      </c>
      <c r="L270" s="4">
        <f t="shared" si="24"/>
        <v>0</v>
      </c>
    </row>
    <row r="271" spans="1:12" x14ac:dyDescent="0.35">
      <c r="A271" s="2" t="s">
        <v>285</v>
      </c>
      <c r="B271" s="2" t="s">
        <v>67</v>
      </c>
      <c r="C271" s="2">
        <v>43.15</v>
      </c>
      <c r="D271" s="2">
        <v>3500</v>
      </c>
      <c r="E271" s="2">
        <v>155</v>
      </c>
      <c r="F271" s="2">
        <v>43.6</v>
      </c>
      <c r="G271" s="2">
        <v>0</v>
      </c>
      <c r="H271" s="4">
        <f t="shared" si="20"/>
        <v>3.7646824175294369</v>
      </c>
      <c r="I271" s="4">
        <f t="shared" si="21"/>
        <v>8.1605182474775049</v>
      </c>
      <c r="J271" s="4">
        <f t="shared" si="22"/>
        <v>5.0434251169192468</v>
      </c>
      <c r="K271" s="4">
        <f t="shared" si="23"/>
        <v>43.6</v>
      </c>
      <c r="L271" s="4">
        <f t="shared" si="24"/>
        <v>0</v>
      </c>
    </row>
    <row r="272" spans="1:12" x14ac:dyDescent="0.35">
      <c r="A272" s="2" t="s">
        <v>286</v>
      </c>
      <c r="B272" s="2" t="s">
        <v>67</v>
      </c>
      <c r="C272" s="2">
        <v>37.209499999999998</v>
      </c>
      <c r="D272" s="2">
        <v>3500</v>
      </c>
      <c r="E272" s="2">
        <v>155</v>
      </c>
      <c r="F272" s="2">
        <v>43.6</v>
      </c>
      <c r="G272" s="2">
        <v>0</v>
      </c>
      <c r="H272" s="4">
        <f t="shared" si="20"/>
        <v>3.6165641050201986</v>
      </c>
      <c r="I272" s="4">
        <f t="shared" si="21"/>
        <v>8.1605182474775049</v>
      </c>
      <c r="J272" s="4">
        <f t="shared" si="22"/>
        <v>5.0434251169192468</v>
      </c>
      <c r="K272" s="4">
        <f t="shared" si="23"/>
        <v>43.6</v>
      </c>
      <c r="L272" s="4">
        <f t="shared" si="24"/>
        <v>0</v>
      </c>
    </row>
    <row r="273" spans="1:12" x14ac:dyDescent="0.35">
      <c r="A273" s="2" t="s">
        <v>287</v>
      </c>
      <c r="B273" s="2" t="s">
        <v>67</v>
      </c>
      <c r="C273" s="2">
        <v>41.926099999999998</v>
      </c>
      <c r="D273" s="2">
        <v>3500</v>
      </c>
      <c r="E273" s="2">
        <v>137</v>
      </c>
      <c r="F273" s="2">
        <v>45.7</v>
      </c>
      <c r="G273" s="2">
        <v>0</v>
      </c>
      <c r="H273" s="4">
        <f t="shared" si="20"/>
        <v>3.7359085446936429</v>
      </c>
      <c r="I273" s="4">
        <f t="shared" si="21"/>
        <v>8.1605182474775049</v>
      </c>
      <c r="J273" s="4">
        <f t="shared" si="22"/>
        <v>4.9199809258281251</v>
      </c>
      <c r="K273" s="4">
        <f t="shared" si="23"/>
        <v>45.7</v>
      </c>
      <c r="L273" s="4">
        <f t="shared" si="24"/>
        <v>0</v>
      </c>
    </row>
    <row r="274" spans="1:12" x14ac:dyDescent="0.35">
      <c r="A274" s="2" t="s">
        <v>288</v>
      </c>
      <c r="B274" s="2" t="s">
        <v>67</v>
      </c>
      <c r="C274" s="2">
        <v>33.765300000000003</v>
      </c>
      <c r="D274" s="2">
        <v>4000</v>
      </c>
      <c r="E274" s="2">
        <v>228</v>
      </c>
      <c r="F274" s="2">
        <v>46.7</v>
      </c>
      <c r="G274" s="2">
        <v>0</v>
      </c>
      <c r="H274" s="4">
        <f t="shared" si="20"/>
        <v>3.5194336479273614</v>
      </c>
      <c r="I274" s="4">
        <f t="shared" si="21"/>
        <v>8.2940496401020276</v>
      </c>
      <c r="J274" s="4">
        <f t="shared" si="22"/>
        <v>5.4293456289544411</v>
      </c>
      <c r="K274" s="4">
        <f t="shared" si="23"/>
        <v>46.7</v>
      </c>
      <c r="L274" s="4">
        <f t="shared" si="24"/>
        <v>0</v>
      </c>
    </row>
    <row r="275" spans="1:12" x14ac:dyDescent="0.35">
      <c r="A275" s="2" t="s">
        <v>289</v>
      </c>
      <c r="B275" s="2" t="s">
        <v>67</v>
      </c>
      <c r="C275" s="2">
        <v>20.7746</v>
      </c>
      <c r="D275" s="2">
        <v>6500</v>
      </c>
      <c r="E275" s="2">
        <v>420</v>
      </c>
      <c r="F275" s="2">
        <v>57.5</v>
      </c>
      <c r="G275" s="2">
        <v>0</v>
      </c>
      <c r="H275" s="4">
        <f t="shared" si="20"/>
        <v>3.0337310866452021</v>
      </c>
      <c r="I275" s="4">
        <f t="shared" si="21"/>
        <v>8.7795574558837277</v>
      </c>
      <c r="J275" s="4">
        <f t="shared" si="22"/>
        <v>6.0402547112774139</v>
      </c>
      <c r="K275" s="4">
        <f t="shared" si="23"/>
        <v>57.5</v>
      </c>
      <c r="L275" s="4">
        <f t="shared" si="24"/>
        <v>0</v>
      </c>
    </row>
    <row r="276" spans="1:12" x14ac:dyDescent="0.35">
      <c r="A276" s="2" t="s">
        <v>289</v>
      </c>
      <c r="B276" s="2" t="s">
        <v>67</v>
      </c>
      <c r="C276" s="2">
        <v>30.1508</v>
      </c>
      <c r="D276" s="2">
        <v>6500</v>
      </c>
      <c r="E276" s="2">
        <v>277</v>
      </c>
      <c r="F276" s="2">
        <v>57.5</v>
      </c>
      <c r="G276" s="2">
        <v>0</v>
      </c>
      <c r="H276" s="4">
        <f t="shared" si="20"/>
        <v>3.4062114568178576</v>
      </c>
      <c r="I276" s="4">
        <f t="shared" si="21"/>
        <v>8.7795574558837277</v>
      </c>
      <c r="J276" s="4">
        <f t="shared" si="22"/>
        <v>5.6240175061873385</v>
      </c>
      <c r="K276" s="4">
        <f t="shared" si="23"/>
        <v>57.5</v>
      </c>
      <c r="L276" s="4">
        <f t="shared" si="24"/>
        <v>0</v>
      </c>
    </row>
    <row r="277" spans="1:12" x14ac:dyDescent="0.35">
      <c r="A277" s="2" t="s">
        <v>290</v>
      </c>
      <c r="B277" s="2" t="s">
        <v>67</v>
      </c>
      <c r="C277" s="2">
        <v>22.037600000000001</v>
      </c>
      <c r="D277" s="2">
        <v>6000</v>
      </c>
      <c r="E277" s="2">
        <v>420</v>
      </c>
      <c r="F277" s="2">
        <v>57.5</v>
      </c>
      <c r="G277" s="2">
        <v>0</v>
      </c>
      <c r="H277" s="4">
        <f t="shared" si="20"/>
        <v>3.0927500854334888</v>
      </c>
      <c r="I277" s="4">
        <f t="shared" si="21"/>
        <v>8.6995147482101913</v>
      </c>
      <c r="J277" s="4">
        <f t="shared" si="22"/>
        <v>6.0402547112774139</v>
      </c>
      <c r="K277" s="4">
        <f t="shared" si="23"/>
        <v>57.5</v>
      </c>
      <c r="L277" s="4">
        <f t="shared" si="24"/>
        <v>0</v>
      </c>
    </row>
    <row r="278" spans="1:12" x14ac:dyDescent="0.35">
      <c r="A278" s="2" t="s">
        <v>290</v>
      </c>
      <c r="B278" s="2" t="s">
        <v>67</v>
      </c>
      <c r="C278" s="2">
        <v>31.219200000000001</v>
      </c>
      <c r="D278" s="2">
        <v>6500</v>
      </c>
      <c r="E278" s="2">
        <v>277</v>
      </c>
      <c r="F278" s="2">
        <v>57.5</v>
      </c>
      <c r="G278" s="2">
        <v>0</v>
      </c>
      <c r="H278" s="4">
        <f t="shared" si="20"/>
        <v>3.4410332901593548</v>
      </c>
      <c r="I278" s="4">
        <f t="shared" si="21"/>
        <v>8.7795574558837277</v>
      </c>
      <c r="J278" s="4">
        <f t="shared" si="22"/>
        <v>5.6240175061873385</v>
      </c>
      <c r="K278" s="4">
        <f t="shared" si="23"/>
        <v>57.5</v>
      </c>
      <c r="L278" s="4">
        <f t="shared" si="24"/>
        <v>0</v>
      </c>
    </row>
    <row r="279" spans="1:12" x14ac:dyDescent="0.35">
      <c r="A279" s="2" t="s">
        <v>291</v>
      </c>
      <c r="B279" s="2" t="s">
        <v>67</v>
      </c>
      <c r="C279" s="2">
        <v>28.2286</v>
      </c>
      <c r="D279" s="2">
        <v>5500</v>
      </c>
      <c r="E279" s="2">
        <v>237</v>
      </c>
      <c r="F279" s="2">
        <v>67.2</v>
      </c>
      <c r="G279" s="2">
        <v>0</v>
      </c>
      <c r="H279" s="4">
        <f t="shared" si="20"/>
        <v>3.3403356484036908</v>
      </c>
      <c r="I279" s="4">
        <f t="shared" si="21"/>
        <v>8.6125033712205621</v>
      </c>
      <c r="J279" s="4">
        <f t="shared" si="22"/>
        <v>5.4680601411351315</v>
      </c>
      <c r="K279" s="4">
        <f t="shared" si="23"/>
        <v>67.2</v>
      </c>
      <c r="L279" s="4">
        <f t="shared" si="24"/>
        <v>0</v>
      </c>
    </row>
    <row r="280" spans="1:12" x14ac:dyDescent="0.35">
      <c r="A280" s="2" t="s">
        <v>292</v>
      </c>
      <c r="B280" s="2" t="s">
        <v>67</v>
      </c>
      <c r="C280" s="2">
        <v>28.2286</v>
      </c>
      <c r="D280" s="2">
        <v>5500</v>
      </c>
      <c r="E280" s="2">
        <v>237</v>
      </c>
      <c r="F280" s="2">
        <v>70.8</v>
      </c>
      <c r="G280" s="2">
        <v>0</v>
      </c>
      <c r="H280" s="4">
        <f t="shared" si="20"/>
        <v>3.3403356484036908</v>
      </c>
      <c r="I280" s="4">
        <f t="shared" si="21"/>
        <v>8.6125033712205621</v>
      </c>
      <c r="J280" s="4">
        <f t="shared" si="22"/>
        <v>5.4680601411351315</v>
      </c>
      <c r="K280" s="4">
        <f t="shared" si="23"/>
        <v>70.8</v>
      </c>
      <c r="L280" s="4">
        <f t="shared" si="24"/>
        <v>0</v>
      </c>
    </row>
    <row r="281" spans="1:12" x14ac:dyDescent="0.35">
      <c r="A281" s="2" t="s">
        <v>293</v>
      </c>
      <c r="B281" s="2" t="s">
        <v>67</v>
      </c>
      <c r="C281" s="2">
        <v>33.634900000000002</v>
      </c>
      <c r="D281" s="2">
        <v>4000</v>
      </c>
      <c r="E281" s="2">
        <v>237</v>
      </c>
      <c r="F281" s="2">
        <v>50.5</v>
      </c>
      <c r="G281" s="2">
        <v>0</v>
      </c>
      <c r="H281" s="4">
        <f t="shared" si="20"/>
        <v>3.5155642183796458</v>
      </c>
      <c r="I281" s="4">
        <f t="shared" si="21"/>
        <v>8.2940496401020276</v>
      </c>
      <c r="J281" s="4">
        <f t="shared" si="22"/>
        <v>5.4680601411351315</v>
      </c>
      <c r="K281" s="4">
        <f t="shared" si="23"/>
        <v>50.5</v>
      </c>
      <c r="L281" s="4">
        <f t="shared" si="24"/>
        <v>0</v>
      </c>
    </row>
    <row r="282" spans="1:12" x14ac:dyDescent="0.35">
      <c r="A282" s="2" t="s">
        <v>293</v>
      </c>
      <c r="B282" s="2" t="s">
        <v>67</v>
      </c>
      <c r="C282" s="2">
        <v>27.843699999999998</v>
      </c>
      <c r="D282" s="2">
        <v>4500</v>
      </c>
      <c r="E282" s="2">
        <v>310</v>
      </c>
      <c r="F282" s="2">
        <v>50.5</v>
      </c>
      <c r="G282" s="2">
        <v>0</v>
      </c>
      <c r="H282" s="4">
        <f t="shared" si="20"/>
        <v>3.3266067289343413</v>
      </c>
      <c r="I282" s="4">
        <f t="shared" si="21"/>
        <v>8.4118326757584114</v>
      </c>
      <c r="J282" s="4">
        <f t="shared" si="22"/>
        <v>5.7365722974791922</v>
      </c>
      <c r="K282" s="4">
        <f t="shared" si="23"/>
        <v>50.5</v>
      </c>
      <c r="L282" s="4">
        <f t="shared" si="24"/>
        <v>0</v>
      </c>
    </row>
    <row r="283" spans="1:12" x14ac:dyDescent="0.35">
      <c r="A283" s="2" t="s">
        <v>294</v>
      </c>
      <c r="B283" s="2" t="s">
        <v>67</v>
      </c>
      <c r="C283" s="2">
        <v>31.877199999999998</v>
      </c>
      <c r="D283" s="2">
        <v>4500</v>
      </c>
      <c r="E283" s="2">
        <v>237</v>
      </c>
      <c r="F283" s="2">
        <v>50.5</v>
      </c>
      <c r="G283" s="2">
        <v>0</v>
      </c>
      <c r="H283" s="4">
        <f t="shared" si="20"/>
        <v>3.4618910207046896</v>
      </c>
      <c r="I283" s="4">
        <f t="shared" si="21"/>
        <v>8.4118326757584114</v>
      </c>
      <c r="J283" s="4">
        <f t="shared" si="22"/>
        <v>5.4680601411351315</v>
      </c>
      <c r="K283" s="4">
        <f t="shared" si="23"/>
        <v>50.5</v>
      </c>
      <c r="L283" s="4">
        <f t="shared" si="24"/>
        <v>0</v>
      </c>
    </row>
    <row r="284" spans="1:12" x14ac:dyDescent="0.35">
      <c r="A284" s="2" t="s">
        <v>294</v>
      </c>
      <c r="B284" s="2" t="s">
        <v>67</v>
      </c>
      <c r="C284" s="2">
        <v>27.3842</v>
      </c>
      <c r="D284" s="2">
        <v>4500</v>
      </c>
      <c r="E284" s="2">
        <v>310</v>
      </c>
      <c r="F284" s="2">
        <v>50.5</v>
      </c>
      <c r="G284" s="2">
        <v>0</v>
      </c>
      <c r="H284" s="4">
        <f t="shared" si="20"/>
        <v>3.3099662047361242</v>
      </c>
      <c r="I284" s="4">
        <f t="shared" si="21"/>
        <v>8.4118326757584114</v>
      </c>
      <c r="J284" s="4">
        <f t="shared" si="22"/>
        <v>5.7365722974791922</v>
      </c>
      <c r="K284" s="4">
        <f t="shared" si="23"/>
        <v>50.5</v>
      </c>
      <c r="L284" s="4">
        <f t="shared" si="24"/>
        <v>0</v>
      </c>
    </row>
    <row r="285" spans="1:12" x14ac:dyDescent="0.35">
      <c r="A285" s="2" t="s">
        <v>295</v>
      </c>
      <c r="B285" s="2" t="s">
        <v>67</v>
      </c>
      <c r="C285" s="2">
        <v>35.253399999999999</v>
      </c>
      <c r="D285" s="2">
        <v>4000</v>
      </c>
      <c r="E285" s="2">
        <v>235</v>
      </c>
      <c r="F285" s="2">
        <v>48.2</v>
      </c>
      <c r="G285" s="2">
        <v>0</v>
      </c>
      <c r="H285" s="4">
        <f t="shared" si="20"/>
        <v>3.5625619785076084</v>
      </c>
      <c r="I285" s="4">
        <f t="shared" si="21"/>
        <v>8.2940496401020276</v>
      </c>
      <c r="J285" s="4">
        <f t="shared" si="22"/>
        <v>5.4595855141441589</v>
      </c>
      <c r="K285" s="4">
        <f t="shared" si="23"/>
        <v>48.2</v>
      </c>
      <c r="L285" s="4">
        <f t="shared" si="24"/>
        <v>0</v>
      </c>
    </row>
    <row r="286" spans="1:12" x14ac:dyDescent="0.35">
      <c r="A286" s="2" t="s">
        <v>296</v>
      </c>
      <c r="B286" s="2" t="s">
        <v>67</v>
      </c>
      <c r="C286" s="2">
        <v>33.406999999999996</v>
      </c>
      <c r="D286" s="2">
        <v>4000</v>
      </c>
      <c r="E286" s="2">
        <v>235</v>
      </c>
      <c r="F286" s="2">
        <v>48.2</v>
      </c>
      <c r="G286" s="2">
        <v>0</v>
      </c>
      <c r="H286" s="4">
        <f t="shared" si="20"/>
        <v>3.5087654588619821</v>
      </c>
      <c r="I286" s="4">
        <f t="shared" si="21"/>
        <v>8.2940496401020276</v>
      </c>
      <c r="J286" s="4">
        <f t="shared" si="22"/>
        <v>5.4595855141441589</v>
      </c>
      <c r="K286" s="4">
        <f t="shared" si="23"/>
        <v>48.2</v>
      </c>
      <c r="L286" s="4">
        <f t="shared" si="24"/>
        <v>0</v>
      </c>
    </row>
    <row r="287" spans="1:12" x14ac:dyDescent="0.35">
      <c r="A287" s="2" t="s">
        <v>297</v>
      </c>
      <c r="B287" s="2" t="s">
        <v>67</v>
      </c>
      <c r="C287" s="2">
        <v>31.310199999999998</v>
      </c>
      <c r="D287" s="2">
        <v>4500</v>
      </c>
      <c r="E287" s="2">
        <v>237</v>
      </c>
      <c r="F287" s="2">
        <v>51.8</v>
      </c>
      <c r="G287" s="2">
        <v>0</v>
      </c>
      <c r="H287" s="4">
        <f t="shared" si="20"/>
        <v>3.4439439230534603</v>
      </c>
      <c r="I287" s="4">
        <f t="shared" si="21"/>
        <v>8.4118326757584114</v>
      </c>
      <c r="J287" s="4">
        <f t="shared" si="22"/>
        <v>5.4680601411351315</v>
      </c>
      <c r="K287" s="4">
        <f t="shared" si="23"/>
        <v>51.8</v>
      </c>
      <c r="L287" s="4">
        <f t="shared" si="24"/>
        <v>0</v>
      </c>
    </row>
    <row r="288" spans="1:12" x14ac:dyDescent="0.35">
      <c r="A288" s="2" t="s">
        <v>297</v>
      </c>
      <c r="B288" s="2" t="s">
        <v>67</v>
      </c>
      <c r="C288" s="2">
        <v>27.843699999999998</v>
      </c>
      <c r="D288" s="2">
        <v>4500</v>
      </c>
      <c r="E288" s="2">
        <v>310</v>
      </c>
      <c r="F288" s="2">
        <v>51.8</v>
      </c>
      <c r="G288" s="2">
        <v>0</v>
      </c>
      <c r="H288" s="4">
        <f t="shared" si="20"/>
        <v>3.3266067289343413</v>
      </c>
      <c r="I288" s="4">
        <f t="shared" si="21"/>
        <v>8.4118326757584114</v>
      </c>
      <c r="J288" s="4">
        <f t="shared" si="22"/>
        <v>5.7365722974791922</v>
      </c>
      <c r="K288" s="4">
        <f t="shared" si="23"/>
        <v>51.8</v>
      </c>
      <c r="L288" s="4">
        <f t="shared" si="24"/>
        <v>0</v>
      </c>
    </row>
    <row r="289" spans="1:12" x14ac:dyDescent="0.35">
      <c r="A289" s="2" t="s">
        <v>298</v>
      </c>
      <c r="B289" s="2" t="s">
        <v>67</v>
      </c>
      <c r="C289" s="2">
        <v>31.877199999999998</v>
      </c>
      <c r="D289" s="2">
        <v>4500</v>
      </c>
      <c r="E289" s="2">
        <v>237</v>
      </c>
      <c r="F289" s="2">
        <v>51.8</v>
      </c>
      <c r="G289" s="2">
        <v>0</v>
      </c>
      <c r="H289" s="4">
        <f t="shared" si="20"/>
        <v>3.4618910207046896</v>
      </c>
      <c r="I289" s="4">
        <f t="shared" si="21"/>
        <v>8.4118326757584114</v>
      </c>
      <c r="J289" s="4">
        <f t="shared" si="22"/>
        <v>5.4680601411351315</v>
      </c>
      <c r="K289" s="4">
        <f t="shared" si="23"/>
        <v>51.8</v>
      </c>
      <c r="L289" s="4">
        <f t="shared" si="24"/>
        <v>0</v>
      </c>
    </row>
    <row r="290" spans="1:12" x14ac:dyDescent="0.35">
      <c r="A290" s="2" t="s">
        <v>298</v>
      </c>
      <c r="B290" s="2" t="s">
        <v>67</v>
      </c>
      <c r="C290" s="2">
        <v>26.7821</v>
      </c>
      <c r="D290" s="2">
        <v>5000</v>
      </c>
      <c r="E290" s="2">
        <v>310</v>
      </c>
      <c r="F290" s="2">
        <v>51.8</v>
      </c>
      <c r="G290" s="2">
        <v>0</v>
      </c>
      <c r="H290" s="4">
        <f t="shared" si="20"/>
        <v>3.2877337539174976</v>
      </c>
      <c r="I290" s="4">
        <f t="shared" si="21"/>
        <v>8.5171931914162382</v>
      </c>
      <c r="J290" s="4">
        <f t="shared" si="22"/>
        <v>5.7365722974791922</v>
      </c>
      <c r="K290" s="4">
        <f t="shared" si="23"/>
        <v>51.8</v>
      </c>
      <c r="L290" s="4">
        <f t="shared" si="24"/>
        <v>0</v>
      </c>
    </row>
    <row r="291" spans="1:12" x14ac:dyDescent="0.35">
      <c r="A291" s="2" t="s">
        <v>299</v>
      </c>
      <c r="B291" s="2" t="s">
        <v>67</v>
      </c>
      <c r="C291" s="2">
        <v>32.893000000000001</v>
      </c>
      <c r="D291" s="2">
        <v>4000</v>
      </c>
      <c r="E291" s="2">
        <v>310</v>
      </c>
      <c r="F291" s="2">
        <v>46.5</v>
      </c>
      <c r="G291" s="2">
        <v>0</v>
      </c>
      <c r="H291" s="4">
        <f t="shared" si="20"/>
        <v>3.4932598691759922</v>
      </c>
      <c r="I291" s="4">
        <f t="shared" si="21"/>
        <v>8.2940496401020276</v>
      </c>
      <c r="J291" s="4">
        <f t="shared" si="22"/>
        <v>5.7365722974791922</v>
      </c>
      <c r="K291" s="4">
        <f t="shared" si="23"/>
        <v>46.5</v>
      </c>
      <c r="L291" s="4">
        <f t="shared" si="24"/>
        <v>0</v>
      </c>
    </row>
    <row r="292" spans="1:12" x14ac:dyDescent="0.35">
      <c r="A292" s="2" t="s">
        <v>299</v>
      </c>
      <c r="B292" s="2" t="s">
        <v>67</v>
      </c>
      <c r="C292" s="2">
        <v>34.35</v>
      </c>
      <c r="D292" s="2">
        <v>3500</v>
      </c>
      <c r="E292" s="2">
        <v>237</v>
      </c>
      <c r="F292" s="2">
        <v>46.5</v>
      </c>
      <c r="G292" s="2">
        <v>0</v>
      </c>
      <c r="H292" s="4">
        <f t="shared" si="20"/>
        <v>3.5366020186683582</v>
      </c>
      <c r="I292" s="4">
        <f t="shared" si="21"/>
        <v>8.1605182474775049</v>
      </c>
      <c r="J292" s="4">
        <f t="shared" si="22"/>
        <v>5.4680601411351315</v>
      </c>
      <c r="K292" s="4">
        <f t="shared" si="23"/>
        <v>46.5</v>
      </c>
      <c r="L292" s="4">
        <f t="shared" si="24"/>
        <v>0</v>
      </c>
    </row>
    <row r="293" spans="1:12" x14ac:dyDescent="0.35">
      <c r="A293" s="2" t="s">
        <v>300</v>
      </c>
      <c r="B293" s="2" t="s">
        <v>67</v>
      </c>
      <c r="C293" s="2">
        <v>33.388500000000001</v>
      </c>
      <c r="D293" s="2">
        <v>4000</v>
      </c>
      <c r="E293" s="2">
        <v>237</v>
      </c>
      <c r="F293" s="2">
        <v>46.5</v>
      </c>
      <c r="G293" s="2">
        <v>0</v>
      </c>
      <c r="H293" s="4">
        <f t="shared" si="20"/>
        <v>3.5082115293166374</v>
      </c>
      <c r="I293" s="4">
        <f t="shared" si="21"/>
        <v>8.2940496401020276</v>
      </c>
      <c r="J293" s="4">
        <f t="shared" si="22"/>
        <v>5.4680601411351315</v>
      </c>
      <c r="K293" s="4">
        <f t="shared" si="23"/>
        <v>46.5</v>
      </c>
      <c r="L293" s="4">
        <f t="shared" si="24"/>
        <v>0</v>
      </c>
    </row>
    <row r="294" spans="1:12" x14ac:dyDescent="0.35">
      <c r="A294" s="2" t="s">
        <v>300</v>
      </c>
      <c r="B294" s="2" t="s">
        <v>67</v>
      </c>
      <c r="C294" s="2">
        <v>31.5167</v>
      </c>
      <c r="D294" s="2">
        <v>4000</v>
      </c>
      <c r="E294" s="2">
        <v>310</v>
      </c>
      <c r="F294" s="2">
        <v>46.5</v>
      </c>
      <c r="G294" s="2">
        <v>0</v>
      </c>
      <c r="H294" s="4">
        <f t="shared" si="20"/>
        <v>3.450517564077257</v>
      </c>
      <c r="I294" s="4">
        <f t="shared" si="21"/>
        <v>8.2940496401020276</v>
      </c>
      <c r="J294" s="4">
        <f t="shared" si="22"/>
        <v>5.7365722974791922</v>
      </c>
      <c r="K294" s="4">
        <f t="shared" si="23"/>
        <v>46.5</v>
      </c>
      <c r="L294" s="4">
        <f t="shared" si="24"/>
        <v>0</v>
      </c>
    </row>
    <row r="295" spans="1:12" x14ac:dyDescent="0.35">
      <c r="A295" s="2" t="s">
        <v>301</v>
      </c>
      <c r="B295" s="2" t="s">
        <v>67</v>
      </c>
      <c r="C295" s="2">
        <v>28.6873</v>
      </c>
      <c r="D295" s="2">
        <v>4000</v>
      </c>
      <c r="E295" s="2">
        <v>335</v>
      </c>
      <c r="F295" s="2">
        <v>51.2</v>
      </c>
      <c r="G295" s="2">
        <v>0</v>
      </c>
      <c r="H295" s="4">
        <f t="shared" si="20"/>
        <v>3.3564545161189017</v>
      </c>
      <c r="I295" s="4">
        <f t="shared" si="21"/>
        <v>8.2940496401020276</v>
      </c>
      <c r="J295" s="4">
        <f t="shared" si="22"/>
        <v>5.8141305318250662</v>
      </c>
      <c r="K295" s="4">
        <f t="shared" si="23"/>
        <v>51.2</v>
      </c>
      <c r="L295" s="4">
        <f t="shared" si="24"/>
        <v>0</v>
      </c>
    </row>
    <row r="296" spans="1:12" x14ac:dyDescent="0.35">
      <c r="A296" s="2" t="s">
        <v>301</v>
      </c>
      <c r="B296" s="2" t="s">
        <v>67</v>
      </c>
      <c r="C296" s="2">
        <v>35.503900000000002</v>
      </c>
      <c r="D296" s="2">
        <v>4000</v>
      </c>
      <c r="E296" s="2">
        <v>237</v>
      </c>
      <c r="F296" s="2">
        <v>51.2</v>
      </c>
      <c r="G296" s="2">
        <v>0</v>
      </c>
      <c r="H296" s="4">
        <f t="shared" si="20"/>
        <v>3.5696425496022246</v>
      </c>
      <c r="I296" s="4">
        <f t="shared" si="21"/>
        <v>8.2940496401020276</v>
      </c>
      <c r="J296" s="4">
        <f t="shared" si="22"/>
        <v>5.4680601411351315</v>
      </c>
      <c r="K296" s="4">
        <f t="shared" si="23"/>
        <v>51.2</v>
      </c>
      <c r="L296" s="4">
        <f t="shared" si="24"/>
        <v>0</v>
      </c>
    </row>
    <row r="297" spans="1:12" x14ac:dyDescent="0.35">
      <c r="A297" s="2" t="s">
        <v>302</v>
      </c>
      <c r="B297" s="2" t="s">
        <v>67</v>
      </c>
      <c r="C297" s="2">
        <v>27.776299999999999</v>
      </c>
      <c r="D297" s="2">
        <v>4500</v>
      </c>
      <c r="E297" s="2">
        <v>335</v>
      </c>
      <c r="F297" s="2">
        <v>51.1</v>
      </c>
      <c r="G297" s="2">
        <v>0</v>
      </c>
      <c r="H297" s="4">
        <f t="shared" si="20"/>
        <v>3.3241831391108567</v>
      </c>
      <c r="I297" s="4">
        <f t="shared" si="21"/>
        <v>8.4118326757584114</v>
      </c>
      <c r="J297" s="4">
        <f t="shared" si="22"/>
        <v>5.8141305318250662</v>
      </c>
      <c r="K297" s="4">
        <f t="shared" si="23"/>
        <v>51.1</v>
      </c>
      <c r="L297" s="4">
        <f t="shared" si="24"/>
        <v>0</v>
      </c>
    </row>
    <row r="298" spans="1:12" x14ac:dyDescent="0.35">
      <c r="A298" s="2" t="s">
        <v>302</v>
      </c>
      <c r="B298" s="2" t="s">
        <v>67</v>
      </c>
      <c r="C298" s="2">
        <v>32.918300000000002</v>
      </c>
      <c r="D298" s="2">
        <v>4000</v>
      </c>
      <c r="E298" s="2">
        <v>237</v>
      </c>
      <c r="F298" s="2">
        <v>51.1</v>
      </c>
      <c r="G298" s="2">
        <v>0</v>
      </c>
      <c r="H298" s="4">
        <f t="shared" si="20"/>
        <v>3.4940287341352421</v>
      </c>
      <c r="I298" s="4">
        <f t="shared" si="21"/>
        <v>8.2940496401020276</v>
      </c>
      <c r="J298" s="4">
        <f t="shared" si="22"/>
        <v>5.4680601411351315</v>
      </c>
      <c r="K298" s="4">
        <f t="shared" si="23"/>
        <v>51.1</v>
      </c>
      <c r="L298" s="4">
        <f t="shared" si="24"/>
        <v>0</v>
      </c>
    </row>
    <row r="299" spans="1:12" x14ac:dyDescent="0.35">
      <c r="A299" s="2" t="s">
        <v>303</v>
      </c>
      <c r="B299" s="2" t="s">
        <v>67</v>
      </c>
      <c r="C299" s="2">
        <v>24.024100000000001</v>
      </c>
      <c r="D299" s="2">
        <v>4000</v>
      </c>
      <c r="E299" s="2">
        <v>472</v>
      </c>
      <c r="F299" s="2">
        <v>46.3</v>
      </c>
      <c r="G299" s="2">
        <v>0</v>
      </c>
      <c r="H299" s="4">
        <f t="shared" si="20"/>
        <v>3.1790574931765283</v>
      </c>
      <c r="I299" s="4">
        <f t="shared" si="21"/>
        <v>8.2940496401020276</v>
      </c>
      <c r="J299" s="4">
        <f t="shared" si="22"/>
        <v>6.156978985585555</v>
      </c>
      <c r="K299" s="4">
        <f t="shared" si="23"/>
        <v>46.3</v>
      </c>
      <c r="L299" s="4">
        <f t="shared" si="24"/>
        <v>0</v>
      </c>
    </row>
    <row r="300" spans="1:12" x14ac:dyDescent="0.35">
      <c r="A300" s="2" t="s">
        <v>303</v>
      </c>
      <c r="B300" s="2" t="s">
        <v>67</v>
      </c>
      <c r="C300" s="2">
        <v>22.446999999999999</v>
      </c>
      <c r="D300" s="2">
        <v>4000</v>
      </c>
      <c r="E300" s="2">
        <v>472</v>
      </c>
      <c r="F300" s="2">
        <v>46.3</v>
      </c>
      <c r="G300" s="2">
        <v>0</v>
      </c>
      <c r="H300" s="4">
        <f t="shared" si="20"/>
        <v>3.1111569749694081</v>
      </c>
      <c r="I300" s="4">
        <f t="shared" si="21"/>
        <v>8.2940496401020276</v>
      </c>
      <c r="J300" s="4">
        <f t="shared" si="22"/>
        <v>6.156978985585555</v>
      </c>
      <c r="K300" s="4">
        <f t="shared" si="23"/>
        <v>46.3</v>
      </c>
      <c r="L300" s="4">
        <f t="shared" si="24"/>
        <v>0</v>
      </c>
    </row>
    <row r="301" spans="1:12" x14ac:dyDescent="0.35">
      <c r="A301" s="2" t="s">
        <v>303</v>
      </c>
      <c r="B301" s="2" t="s">
        <v>67</v>
      </c>
      <c r="C301" s="2">
        <v>30.407699999999998</v>
      </c>
      <c r="D301" s="2">
        <v>4000</v>
      </c>
      <c r="E301" s="2">
        <v>325</v>
      </c>
      <c r="F301" s="2">
        <v>46.3</v>
      </c>
      <c r="G301" s="2">
        <v>0</v>
      </c>
      <c r="H301" s="4">
        <f t="shared" si="20"/>
        <v>3.4146958658134969</v>
      </c>
      <c r="I301" s="4">
        <f t="shared" si="21"/>
        <v>8.2940496401020276</v>
      </c>
      <c r="J301" s="4">
        <f t="shared" si="22"/>
        <v>5.7838251823297373</v>
      </c>
      <c r="K301" s="4">
        <f t="shared" si="23"/>
        <v>46.3</v>
      </c>
      <c r="L301" s="4">
        <f t="shared" si="24"/>
        <v>0</v>
      </c>
    </row>
    <row r="302" spans="1:12" x14ac:dyDescent="0.35">
      <c r="A302" s="2" t="s">
        <v>304</v>
      </c>
      <c r="B302" s="2" t="s">
        <v>67</v>
      </c>
      <c r="C302" s="2">
        <v>28.6873</v>
      </c>
      <c r="D302" s="2">
        <v>4000</v>
      </c>
      <c r="E302" s="2">
        <v>335</v>
      </c>
      <c r="F302" s="2">
        <v>51.2</v>
      </c>
      <c r="G302" s="2">
        <v>0</v>
      </c>
      <c r="H302" s="4">
        <f t="shared" si="20"/>
        <v>3.3564545161189017</v>
      </c>
      <c r="I302" s="4">
        <f t="shared" si="21"/>
        <v>8.2940496401020276</v>
      </c>
      <c r="J302" s="4">
        <f t="shared" si="22"/>
        <v>5.8141305318250662</v>
      </c>
      <c r="K302" s="4">
        <f t="shared" si="23"/>
        <v>51.2</v>
      </c>
      <c r="L302" s="4">
        <f t="shared" si="24"/>
        <v>0</v>
      </c>
    </row>
    <row r="303" spans="1:12" x14ac:dyDescent="0.35">
      <c r="A303" s="2" t="s">
        <v>304</v>
      </c>
      <c r="B303" s="2" t="s">
        <v>67</v>
      </c>
      <c r="C303" s="2">
        <v>18.847300000000001</v>
      </c>
      <c r="D303" s="2">
        <v>4500</v>
      </c>
      <c r="E303" s="2">
        <v>668</v>
      </c>
      <c r="F303" s="2">
        <v>51.2</v>
      </c>
      <c r="G303" s="2">
        <v>0</v>
      </c>
      <c r="H303" s="4">
        <f t="shared" si="20"/>
        <v>2.9363696675604829</v>
      </c>
      <c r="I303" s="4">
        <f t="shared" si="21"/>
        <v>8.4118326757584114</v>
      </c>
      <c r="J303" s="4">
        <f t="shared" si="22"/>
        <v>6.5042881735366453</v>
      </c>
      <c r="K303" s="4">
        <f t="shared" si="23"/>
        <v>51.2</v>
      </c>
      <c r="L303" s="4">
        <f t="shared" si="24"/>
        <v>0</v>
      </c>
    </row>
    <row r="304" spans="1:12" x14ac:dyDescent="0.35">
      <c r="A304" s="2" t="s">
        <v>304</v>
      </c>
      <c r="B304" s="2" t="s">
        <v>67</v>
      </c>
      <c r="C304" s="2">
        <v>19.427800000000001</v>
      </c>
      <c r="D304" s="2">
        <v>4500</v>
      </c>
      <c r="E304" s="2">
        <v>668</v>
      </c>
      <c r="F304" s="2">
        <v>51.2</v>
      </c>
      <c r="G304" s="2">
        <v>0</v>
      </c>
      <c r="H304" s="4">
        <f t="shared" si="20"/>
        <v>2.9667050300100866</v>
      </c>
      <c r="I304" s="4">
        <f t="shared" si="21"/>
        <v>8.4118326757584114</v>
      </c>
      <c r="J304" s="4">
        <f t="shared" si="22"/>
        <v>6.5042881735366453</v>
      </c>
      <c r="K304" s="4">
        <f t="shared" si="23"/>
        <v>51.2</v>
      </c>
      <c r="L304" s="4">
        <f t="shared" si="24"/>
        <v>0</v>
      </c>
    </row>
    <row r="305" spans="1:12" x14ac:dyDescent="0.35">
      <c r="A305" s="2" t="s">
        <v>305</v>
      </c>
      <c r="B305" s="2" t="s">
        <v>67</v>
      </c>
      <c r="C305" s="2">
        <v>31.0197</v>
      </c>
      <c r="D305" s="2">
        <v>4000</v>
      </c>
      <c r="E305" s="2">
        <v>325</v>
      </c>
      <c r="F305" s="2">
        <v>46.3</v>
      </c>
      <c r="G305" s="2">
        <v>0</v>
      </c>
      <c r="H305" s="4">
        <f t="shared" si="20"/>
        <v>3.4346224865217425</v>
      </c>
      <c r="I305" s="4">
        <f t="shared" si="21"/>
        <v>8.2940496401020276</v>
      </c>
      <c r="J305" s="4">
        <f t="shared" si="22"/>
        <v>5.7838251823297373</v>
      </c>
      <c r="K305" s="4">
        <f t="shared" si="23"/>
        <v>46.3</v>
      </c>
      <c r="L305" s="4">
        <f t="shared" si="24"/>
        <v>0</v>
      </c>
    </row>
    <row r="306" spans="1:12" x14ac:dyDescent="0.35">
      <c r="A306" s="2" t="s">
        <v>306</v>
      </c>
      <c r="B306" s="2" t="s">
        <v>67</v>
      </c>
      <c r="C306" s="2">
        <v>27.776299999999999</v>
      </c>
      <c r="D306" s="2">
        <v>4500</v>
      </c>
      <c r="E306" s="2">
        <v>335</v>
      </c>
      <c r="F306" s="2">
        <v>51.1</v>
      </c>
      <c r="G306" s="2">
        <v>0</v>
      </c>
      <c r="H306" s="4">
        <f t="shared" si="20"/>
        <v>3.3241831391108567</v>
      </c>
      <c r="I306" s="4">
        <f t="shared" si="21"/>
        <v>8.4118326757584114</v>
      </c>
      <c r="J306" s="4">
        <f t="shared" si="22"/>
        <v>5.8141305318250662</v>
      </c>
      <c r="K306" s="4">
        <f t="shared" si="23"/>
        <v>51.1</v>
      </c>
      <c r="L306" s="4">
        <f t="shared" si="24"/>
        <v>0</v>
      </c>
    </row>
    <row r="307" spans="1:12" x14ac:dyDescent="0.35">
      <c r="A307" s="2" t="s">
        <v>307</v>
      </c>
      <c r="B307" s="2" t="s">
        <v>67</v>
      </c>
      <c r="C307" s="2">
        <v>28.2286</v>
      </c>
      <c r="D307" s="2">
        <v>5500</v>
      </c>
      <c r="E307" s="2">
        <v>237</v>
      </c>
      <c r="F307" s="2">
        <v>67.2</v>
      </c>
      <c r="G307" s="2">
        <v>0</v>
      </c>
      <c r="H307" s="4">
        <f t="shared" si="20"/>
        <v>3.3403356484036908</v>
      </c>
      <c r="I307" s="4">
        <f t="shared" si="21"/>
        <v>8.6125033712205621</v>
      </c>
      <c r="J307" s="4">
        <f t="shared" si="22"/>
        <v>5.4680601411351315</v>
      </c>
      <c r="K307" s="4">
        <f t="shared" si="23"/>
        <v>67.2</v>
      </c>
      <c r="L307" s="4">
        <f t="shared" si="24"/>
        <v>0</v>
      </c>
    </row>
    <row r="308" spans="1:12" x14ac:dyDescent="0.35">
      <c r="A308" s="2" t="s">
        <v>308</v>
      </c>
      <c r="B308" s="2" t="s">
        <v>67</v>
      </c>
      <c r="C308" s="2">
        <v>28.2286</v>
      </c>
      <c r="D308" s="2">
        <v>5500</v>
      </c>
      <c r="E308" s="2">
        <v>237</v>
      </c>
      <c r="F308" s="2">
        <v>70.8</v>
      </c>
      <c r="G308" s="2">
        <v>0</v>
      </c>
      <c r="H308" s="4">
        <f t="shared" si="20"/>
        <v>3.3403356484036908</v>
      </c>
      <c r="I308" s="4">
        <f t="shared" si="21"/>
        <v>8.6125033712205621</v>
      </c>
      <c r="J308" s="4">
        <f t="shared" si="22"/>
        <v>5.4680601411351315</v>
      </c>
      <c r="K308" s="4">
        <f t="shared" si="23"/>
        <v>70.8</v>
      </c>
      <c r="L308" s="4">
        <f t="shared" si="24"/>
        <v>0</v>
      </c>
    </row>
    <row r="309" spans="1:12" x14ac:dyDescent="0.35">
      <c r="A309" s="2" t="s">
        <v>309</v>
      </c>
      <c r="B309" s="2" t="s">
        <v>67</v>
      </c>
      <c r="C309" s="2">
        <v>17.113399999999999</v>
      </c>
      <c r="D309" s="2">
        <v>6500</v>
      </c>
      <c r="E309" s="2">
        <v>682</v>
      </c>
      <c r="F309" s="2">
        <v>57.5</v>
      </c>
      <c r="G309" s="2">
        <v>0</v>
      </c>
      <c r="H309" s="4">
        <f t="shared" si="20"/>
        <v>2.8398617823652712</v>
      </c>
      <c r="I309" s="4">
        <f t="shared" si="21"/>
        <v>8.7795574558837277</v>
      </c>
      <c r="J309" s="4">
        <f t="shared" si="22"/>
        <v>6.5250296578434623</v>
      </c>
      <c r="K309" s="4">
        <f t="shared" si="23"/>
        <v>57.5</v>
      </c>
      <c r="L309" s="4">
        <f t="shared" si="24"/>
        <v>0</v>
      </c>
    </row>
    <row r="310" spans="1:12" x14ac:dyDescent="0.35">
      <c r="A310" s="2" t="s">
        <v>310</v>
      </c>
      <c r="B310" s="2" t="s">
        <v>67</v>
      </c>
      <c r="C310" s="2">
        <v>20.564299999999999</v>
      </c>
      <c r="D310" s="2">
        <v>6000</v>
      </c>
      <c r="E310" s="2">
        <v>420</v>
      </c>
      <c r="F310" s="2">
        <v>70.2</v>
      </c>
      <c r="G310" s="2">
        <v>0</v>
      </c>
      <c r="H310" s="4">
        <f t="shared" si="20"/>
        <v>3.023556562688285</v>
      </c>
      <c r="I310" s="4">
        <f t="shared" si="21"/>
        <v>8.6995147482101913</v>
      </c>
      <c r="J310" s="4">
        <f t="shared" si="22"/>
        <v>6.0402547112774139</v>
      </c>
      <c r="K310" s="4">
        <f t="shared" si="23"/>
        <v>70.2</v>
      </c>
      <c r="L310" s="4">
        <f t="shared" si="24"/>
        <v>0</v>
      </c>
    </row>
    <row r="311" spans="1:12" x14ac:dyDescent="0.35">
      <c r="A311" s="2" t="s">
        <v>310</v>
      </c>
      <c r="B311" s="2" t="s">
        <v>67</v>
      </c>
      <c r="C311" s="2">
        <v>28.154499999999999</v>
      </c>
      <c r="D311" s="2">
        <v>6000</v>
      </c>
      <c r="E311" s="2">
        <v>305</v>
      </c>
      <c r="F311" s="2">
        <v>70.2</v>
      </c>
      <c r="G311" s="2">
        <v>0</v>
      </c>
      <c r="H311" s="4">
        <f t="shared" si="20"/>
        <v>3.3377071997138712</v>
      </c>
      <c r="I311" s="4">
        <f t="shared" si="21"/>
        <v>8.6995147482101913</v>
      </c>
      <c r="J311" s="4">
        <f t="shared" si="22"/>
        <v>5.7203117766074119</v>
      </c>
      <c r="K311" s="4">
        <f t="shared" si="23"/>
        <v>70.2</v>
      </c>
      <c r="L311" s="4">
        <f t="shared" si="24"/>
        <v>0</v>
      </c>
    </row>
    <row r="312" spans="1:12" x14ac:dyDescent="0.35">
      <c r="A312" s="2" t="s">
        <v>311</v>
      </c>
      <c r="B312" s="2" t="s">
        <v>67</v>
      </c>
      <c r="C312" s="2">
        <v>16.267299999999999</v>
      </c>
      <c r="D312" s="2">
        <v>5500</v>
      </c>
      <c r="E312" s="2">
        <v>355</v>
      </c>
      <c r="F312" s="2">
        <v>70.099999999999994</v>
      </c>
      <c r="G312" s="2">
        <v>0</v>
      </c>
      <c r="H312" s="4">
        <f t="shared" si="20"/>
        <v>2.7891569578592961</v>
      </c>
      <c r="I312" s="4">
        <f t="shared" si="21"/>
        <v>8.6125033712205621</v>
      </c>
      <c r="J312" s="4">
        <f t="shared" si="22"/>
        <v>5.872117789475416</v>
      </c>
      <c r="K312" s="4">
        <f t="shared" si="23"/>
        <v>70.099999999999994</v>
      </c>
      <c r="L312" s="4">
        <f t="shared" si="24"/>
        <v>0</v>
      </c>
    </row>
    <row r="313" spans="1:12" x14ac:dyDescent="0.35">
      <c r="A313" s="2" t="s">
        <v>311</v>
      </c>
      <c r="B313" s="2" t="s">
        <v>67</v>
      </c>
      <c r="C313" s="2">
        <v>19.727900000000002</v>
      </c>
      <c r="D313" s="2">
        <v>5500</v>
      </c>
      <c r="E313" s="2">
        <v>420</v>
      </c>
      <c r="F313" s="2">
        <v>70.099999999999994</v>
      </c>
      <c r="G313" s="2">
        <v>0</v>
      </c>
      <c r="H313" s="4">
        <f t="shared" si="20"/>
        <v>2.9820338774715909</v>
      </c>
      <c r="I313" s="4">
        <f t="shared" si="21"/>
        <v>8.6125033712205621</v>
      </c>
      <c r="J313" s="4">
        <f t="shared" si="22"/>
        <v>6.0402547112774139</v>
      </c>
      <c r="K313" s="4">
        <f t="shared" si="23"/>
        <v>70.099999999999994</v>
      </c>
      <c r="L313" s="4">
        <f t="shared" si="24"/>
        <v>0</v>
      </c>
    </row>
    <row r="314" spans="1:12" x14ac:dyDescent="0.35">
      <c r="A314" s="2" t="s">
        <v>311</v>
      </c>
      <c r="B314" s="2" t="s">
        <v>67</v>
      </c>
      <c r="C314" s="2">
        <v>21.833500000000001</v>
      </c>
      <c r="D314" s="2">
        <v>5500</v>
      </c>
      <c r="E314" s="2">
        <v>355</v>
      </c>
      <c r="F314" s="2">
        <v>70.099999999999994</v>
      </c>
      <c r="G314" s="2">
        <v>0</v>
      </c>
      <c r="H314" s="4">
        <f t="shared" si="20"/>
        <v>3.0834454875317472</v>
      </c>
      <c r="I314" s="4">
        <f t="shared" si="21"/>
        <v>8.6125033712205621</v>
      </c>
      <c r="J314" s="4">
        <f t="shared" si="22"/>
        <v>5.872117789475416</v>
      </c>
      <c r="K314" s="4">
        <f t="shared" si="23"/>
        <v>70.099999999999994</v>
      </c>
      <c r="L314" s="4">
        <f t="shared" si="24"/>
        <v>0</v>
      </c>
    </row>
    <row r="315" spans="1:12" x14ac:dyDescent="0.35">
      <c r="A315" s="2" t="s">
        <v>311</v>
      </c>
      <c r="B315" s="2" t="s">
        <v>67</v>
      </c>
      <c r="C315" s="2">
        <v>21.630099999999999</v>
      </c>
      <c r="D315" s="2">
        <v>5500</v>
      </c>
      <c r="E315" s="2">
        <v>355</v>
      </c>
      <c r="F315" s="2">
        <v>70.099999999999994</v>
      </c>
      <c r="G315" s="2">
        <v>0</v>
      </c>
      <c r="H315" s="4">
        <f t="shared" si="20"/>
        <v>3.0740858631627872</v>
      </c>
      <c r="I315" s="4">
        <f t="shared" si="21"/>
        <v>8.6125033712205621</v>
      </c>
      <c r="J315" s="4">
        <f t="shared" si="22"/>
        <v>5.872117789475416</v>
      </c>
      <c r="K315" s="4">
        <f t="shared" si="23"/>
        <v>70.099999999999994</v>
      </c>
      <c r="L315" s="4">
        <f t="shared" si="24"/>
        <v>0</v>
      </c>
    </row>
    <row r="316" spans="1:12" x14ac:dyDescent="0.35">
      <c r="A316" s="2" t="s">
        <v>311</v>
      </c>
      <c r="B316" s="2" t="s">
        <v>67</v>
      </c>
      <c r="C316" s="2">
        <v>21.349299999999999</v>
      </c>
      <c r="D316" s="2">
        <v>5500</v>
      </c>
      <c r="E316" s="2">
        <v>355</v>
      </c>
      <c r="F316" s="2">
        <v>70.099999999999994</v>
      </c>
      <c r="G316" s="2">
        <v>0</v>
      </c>
      <c r="H316" s="4">
        <f t="shared" si="20"/>
        <v>3.061018952251886</v>
      </c>
      <c r="I316" s="4">
        <f t="shared" si="21"/>
        <v>8.6125033712205621</v>
      </c>
      <c r="J316" s="4">
        <f t="shared" si="22"/>
        <v>5.872117789475416</v>
      </c>
      <c r="K316" s="4">
        <f t="shared" si="23"/>
        <v>70.099999999999994</v>
      </c>
      <c r="L316" s="4">
        <f t="shared" si="24"/>
        <v>0</v>
      </c>
    </row>
    <row r="317" spans="1:12" x14ac:dyDescent="0.35">
      <c r="A317" s="2" t="s">
        <v>311</v>
      </c>
      <c r="B317" s="2" t="s">
        <v>67</v>
      </c>
      <c r="C317" s="2">
        <v>30.282499999999999</v>
      </c>
      <c r="D317" s="2">
        <v>6000</v>
      </c>
      <c r="E317" s="2">
        <v>305</v>
      </c>
      <c r="F317" s="2">
        <v>70.099999999999994</v>
      </c>
      <c r="G317" s="2">
        <v>0</v>
      </c>
      <c r="H317" s="4">
        <f t="shared" si="20"/>
        <v>3.4105699879088203</v>
      </c>
      <c r="I317" s="4">
        <f t="shared" si="21"/>
        <v>8.6995147482101913</v>
      </c>
      <c r="J317" s="4">
        <f t="shared" si="22"/>
        <v>5.7203117766074119</v>
      </c>
      <c r="K317" s="4">
        <f t="shared" si="23"/>
        <v>70.099999999999994</v>
      </c>
      <c r="L317" s="4">
        <f t="shared" si="24"/>
        <v>0</v>
      </c>
    </row>
    <row r="318" spans="1:12" x14ac:dyDescent="0.35">
      <c r="A318" s="2" t="s">
        <v>311</v>
      </c>
      <c r="B318" s="2" t="s">
        <v>67</v>
      </c>
      <c r="C318" s="2">
        <v>29.4499</v>
      </c>
      <c r="D318" s="2">
        <v>6000</v>
      </c>
      <c r="E318" s="2">
        <v>305</v>
      </c>
      <c r="F318" s="2">
        <v>70.099999999999994</v>
      </c>
      <c r="G318" s="2">
        <v>0</v>
      </c>
      <c r="H318" s="4">
        <f t="shared" si="20"/>
        <v>3.3826905145060921</v>
      </c>
      <c r="I318" s="4">
        <f t="shared" si="21"/>
        <v>8.6995147482101913</v>
      </c>
      <c r="J318" s="4">
        <f t="shared" si="22"/>
        <v>5.7203117766074119</v>
      </c>
      <c r="K318" s="4">
        <f t="shared" si="23"/>
        <v>70.099999999999994</v>
      </c>
      <c r="L318" s="4">
        <f t="shared" si="24"/>
        <v>0</v>
      </c>
    </row>
    <row r="319" spans="1:12" x14ac:dyDescent="0.35">
      <c r="A319" s="2" t="s">
        <v>311</v>
      </c>
      <c r="B319" s="2" t="s">
        <v>67</v>
      </c>
      <c r="C319" s="2">
        <v>23.666699999999999</v>
      </c>
      <c r="D319" s="2">
        <v>5500</v>
      </c>
      <c r="E319" s="2">
        <v>310</v>
      </c>
      <c r="F319" s="2">
        <v>70.099999999999994</v>
      </c>
      <c r="G319" s="2">
        <v>0</v>
      </c>
      <c r="H319" s="4">
        <f t="shared" si="20"/>
        <v>3.1640689968229179</v>
      </c>
      <c r="I319" s="4">
        <f t="shared" si="21"/>
        <v>8.6125033712205621</v>
      </c>
      <c r="J319" s="4">
        <f t="shared" si="22"/>
        <v>5.7365722974791922</v>
      </c>
      <c r="K319" s="4">
        <f t="shared" si="23"/>
        <v>70.099999999999994</v>
      </c>
      <c r="L319" s="4">
        <f t="shared" si="24"/>
        <v>0</v>
      </c>
    </row>
    <row r="320" spans="1:12" x14ac:dyDescent="0.35">
      <c r="A320" s="2" t="s">
        <v>311</v>
      </c>
      <c r="B320" s="2" t="s">
        <v>67</v>
      </c>
      <c r="C320" s="2">
        <v>23.011099999999999</v>
      </c>
      <c r="D320" s="2">
        <v>5500</v>
      </c>
      <c r="E320" s="2">
        <v>310</v>
      </c>
      <c r="F320" s="2">
        <v>70.099999999999994</v>
      </c>
      <c r="G320" s="2">
        <v>0</v>
      </c>
      <c r="H320" s="4">
        <f t="shared" si="20"/>
        <v>3.1359767082066798</v>
      </c>
      <c r="I320" s="4">
        <f t="shared" si="21"/>
        <v>8.6125033712205621</v>
      </c>
      <c r="J320" s="4">
        <f t="shared" si="22"/>
        <v>5.7365722974791922</v>
      </c>
      <c r="K320" s="4">
        <f t="shared" si="23"/>
        <v>70.099999999999994</v>
      </c>
      <c r="L320" s="4">
        <f t="shared" si="24"/>
        <v>0</v>
      </c>
    </row>
    <row r="321" spans="1:12" x14ac:dyDescent="0.35">
      <c r="A321" s="2" t="s">
        <v>312</v>
      </c>
      <c r="B321" s="2" t="s">
        <v>67</v>
      </c>
      <c r="C321" s="2">
        <v>23.959199999999999</v>
      </c>
      <c r="D321" s="2">
        <v>4000</v>
      </c>
      <c r="E321" s="2">
        <v>495</v>
      </c>
      <c r="F321" s="2">
        <v>47.3</v>
      </c>
      <c r="G321" s="2">
        <v>0</v>
      </c>
      <c r="H321" s="4">
        <f t="shared" si="20"/>
        <v>3.176352383708188</v>
      </c>
      <c r="I321" s="4">
        <f t="shared" si="21"/>
        <v>8.2940496401020276</v>
      </c>
      <c r="J321" s="4">
        <f t="shared" si="22"/>
        <v>6.2045577625686903</v>
      </c>
      <c r="K321" s="4">
        <f t="shared" si="23"/>
        <v>47.3</v>
      </c>
      <c r="L321" s="4">
        <f t="shared" si="24"/>
        <v>0</v>
      </c>
    </row>
    <row r="322" spans="1:12" x14ac:dyDescent="0.35">
      <c r="A322" s="2" t="s">
        <v>313</v>
      </c>
      <c r="B322" s="2" t="s">
        <v>67</v>
      </c>
      <c r="C322" s="2">
        <v>43.7761</v>
      </c>
      <c r="D322" s="2">
        <v>3500</v>
      </c>
      <c r="E322" s="2">
        <v>137</v>
      </c>
      <c r="F322" s="2">
        <v>44.3</v>
      </c>
      <c r="G322" s="2">
        <v>0</v>
      </c>
      <c r="H322" s="4">
        <f t="shared" ref="H322:H385" si="25">LN(C322)</f>
        <v>3.7790880063542014</v>
      </c>
      <c r="I322" s="4">
        <f t="shared" ref="I322:I385" si="26">LN(D322)</f>
        <v>8.1605182474775049</v>
      </c>
      <c r="J322" s="4">
        <f t="shared" ref="J322:J385" si="27">LN(E322)</f>
        <v>4.9199809258281251</v>
      </c>
      <c r="K322" s="4">
        <f t="shared" ref="K322:K385" si="28">F322</f>
        <v>44.3</v>
      </c>
      <c r="L322" s="4">
        <f t="shared" ref="L322:L385" si="29">G322</f>
        <v>0</v>
      </c>
    </row>
    <row r="323" spans="1:12" x14ac:dyDescent="0.35">
      <c r="A323" s="2" t="s">
        <v>313</v>
      </c>
      <c r="B323" s="2" t="s">
        <v>67</v>
      </c>
      <c r="C323" s="2">
        <v>43.995199999999997</v>
      </c>
      <c r="D323" s="2">
        <v>3500</v>
      </c>
      <c r="E323" s="2">
        <v>155</v>
      </c>
      <c r="F323" s="2">
        <v>44.3</v>
      </c>
      <c r="G323" s="2">
        <v>0</v>
      </c>
      <c r="H323" s="4">
        <f t="shared" si="25"/>
        <v>3.7840805370583244</v>
      </c>
      <c r="I323" s="4">
        <f t="shared" si="26"/>
        <v>8.1605182474775049</v>
      </c>
      <c r="J323" s="4">
        <f t="shared" si="27"/>
        <v>5.0434251169192468</v>
      </c>
      <c r="K323" s="4">
        <f t="shared" si="28"/>
        <v>44.3</v>
      </c>
      <c r="L323" s="4">
        <f t="shared" si="29"/>
        <v>0</v>
      </c>
    </row>
    <row r="324" spans="1:12" x14ac:dyDescent="0.35">
      <c r="A324" s="2" t="s">
        <v>314</v>
      </c>
      <c r="B324" s="2" t="s">
        <v>67</v>
      </c>
      <c r="C324" s="2">
        <v>38.808799999999998</v>
      </c>
      <c r="D324" s="2">
        <v>3500</v>
      </c>
      <c r="E324" s="2">
        <v>155</v>
      </c>
      <c r="F324" s="2">
        <v>44.3</v>
      </c>
      <c r="G324" s="2">
        <v>0</v>
      </c>
      <c r="H324" s="4">
        <f t="shared" si="25"/>
        <v>3.658647025036772</v>
      </c>
      <c r="I324" s="4">
        <f t="shared" si="26"/>
        <v>8.1605182474775049</v>
      </c>
      <c r="J324" s="4">
        <f t="shared" si="27"/>
        <v>5.0434251169192468</v>
      </c>
      <c r="K324" s="4">
        <f t="shared" si="28"/>
        <v>44.3</v>
      </c>
      <c r="L324" s="4">
        <f t="shared" si="29"/>
        <v>0</v>
      </c>
    </row>
    <row r="325" spans="1:12" x14ac:dyDescent="0.35">
      <c r="A325" s="2" t="s">
        <v>315</v>
      </c>
      <c r="B325" s="2" t="s">
        <v>33</v>
      </c>
      <c r="C325" s="2">
        <v>23.4892</v>
      </c>
      <c r="D325" s="2">
        <v>4000</v>
      </c>
      <c r="E325" s="2">
        <v>495</v>
      </c>
      <c r="F325" s="2">
        <v>48.7</v>
      </c>
      <c r="G325" s="2">
        <v>1</v>
      </c>
      <c r="H325" s="4">
        <f t="shared" si="25"/>
        <v>3.1565407410453159</v>
      </c>
      <c r="I325" s="4">
        <f t="shared" si="26"/>
        <v>8.2940496401020276</v>
      </c>
      <c r="J325" s="4">
        <f t="shared" si="27"/>
        <v>6.2045577625686903</v>
      </c>
      <c r="K325" s="4">
        <f t="shared" si="28"/>
        <v>48.7</v>
      </c>
      <c r="L325" s="4">
        <f t="shared" si="29"/>
        <v>1</v>
      </c>
    </row>
    <row r="326" spans="1:12" x14ac:dyDescent="0.35">
      <c r="A326" s="2" t="s">
        <v>316</v>
      </c>
      <c r="B326" s="2" t="s">
        <v>67</v>
      </c>
      <c r="C326" s="2">
        <v>17.8005</v>
      </c>
      <c r="D326" s="2">
        <v>4000</v>
      </c>
      <c r="E326" s="2">
        <v>670</v>
      </c>
      <c r="F326" s="2">
        <v>48.7</v>
      </c>
      <c r="G326" s="2">
        <v>0</v>
      </c>
      <c r="H326" s="4">
        <f t="shared" si="25"/>
        <v>2.8792265467911662</v>
      </c>
      <c r="I326" s="4">
        <f t="shared" si="26"/>
        <v>8.2940496401020276</v>
      </c>
      <c r="J326" s="4">
        <f t="shared" si="27"/>
        <v>6.5072777123850116</v>
      </c>
      <c r="K326" s="4">
        <f t="shared" si="28"/>
        <v>48.7</v>
      </c>
      <c r="L326" s="4">
        <f t="shared" si="29"/>
        <v>0</v>
      </c>
    </row>
    <row r="327" spans="1:12" x14ac:dyDescent="0.35">
      <c r="A327" s="2" t="s">
        <v>317</v>
      </c>
      <c r="B327" s="2" t="s">
        <v>67</v>
      </c>
      <c r="C327" s="2">
        <v>16.9373</v>
      </c>
      <c r="D327" s="2">
        <v>4000</v>
      </c>
      <c r="E327" s="2">
        <v>670</v>
      </c>
      <c r="F327" s="2">
        <v>48.7</v>
      </c>
      <c r="G327" s="2">
        <v>0</v>
      </c>
      <c r="H327" s="4">
        <f t="shared" si="25"/>
        <v>2.8295182904521221</v>
      </c>
      <c r="I327" s="4">
        <f t="shared" si="26"/>
        <v>8.2940496401020276</v>
      </c>
      <c r="J327" s="4">
        <f t="shared" si="27"/>
        <v>6.5072777123850116</v>
      </c>
      <c r="K327" s="4">
        <f t="shared" si="28"/>
        <v>48.7</v>
      </c>
      <c r="L327" s="4">
        <f t="shared" si="29"/>
        <v>0</v>
      </c>
    </row>
    <row r="328" spans="1:12" x14ac:dyDescent="0.35">
      <c r="A328" s="2" t="s">
        <v>318</v>
      </c>
      <c r="B328" s="2" t="s">
        <v>67</v>
      </c>
      <c r="C328" s="2">
        <v>25.2761</v>
      </c>
      <c r="D328" s="2">
        <v>5000</v>
      </c>
      <c r="E328" s="2">
        <v>310</v>
      </c>
      <c r="F328" s="2">
        <v>60.4</v>
      </c>
      <c r="G328" s="2">
        <v>0</v>
      </c>
      <c r="H328" s="4">
        <f t="shared" si="25"/>
        <v>3.2298592852255856</v>
      </c>
      <c r="I328" s="4">
        <f t="shared" si="26"/>
        <v>8.5171931914162382</v>
      </c>
      <c r="J328" s="4">
        <f t="shared" si="27"/>
        <v>5.7365722974791922</v>
      </c>
      <c r="K328" s="4">
        <f t="shared" si="28"/>
        <v>60.4</v>
      </c>
      <c r="L328" s="4">
        <f t="shared" si="29"/>
        <v>0</v>
      </c>
    </row>
    <row r="329" spans="1:12" x14ac:dyDescent="0.35">
      <c r="A329" s="2" t="s">
        <v>319</v>
      </c>
      <c r="B329" s="2" t="s">
        <v>67</v>
      </c>
      <c r="C329" s="2">
        <v>26.755299999999998</v>
      </c>
      <c r="D329" s="2">
        <v>4500</v>
      </c>
      <c r="E329" s="2">
        <v>310</v>
      </c>
      <c r="F329" s="2">
        <v>56.7</v>
      </c>
      <c r="G329" s="2">
        <v>0</v>
      </c>
      <c r="H329" s="4">
        <f t="shared" si="25"/>
        <v>3.2867325845578139</v>
      </c>
      <c r="I329" s="4">
        <f t="shared" si="26"/>
        <v>8.4118326757584114</v>
      </c>
      <c r="J329" s="4">
        <f t="shared" si="27"/>
        <v>5.7365722974791922</v>
      </c>
      <c r="K329" s="4">
        <f t="shared" si="28"/>
        <v>56.7</v>
      </c>
      <c r="L329" s="4">
        <f t="shared" si="29"/>
        <v>0</v>
      </c>
    </row>
    <row r="330" spans="1:12" x14ac:dyDescent="0.35">
      <c r="A330" s="2" t="s">
        <v>320</v>
      </c>
      <c r="B330" s="2" t="s">
        <v>67</v>
      </c>
      <c r="C330" s="2">
        <v>25.671500000000002</v>
      </c>
      <c r="D330" s="2">
        <v>5000</v>
      </c>
      <c r="E330" s="2">
        <v>310</v>
      </c>
      <c r="F330" s="2">
        <v>56.7</v>
      </c>
      <c r="G330" s="2">
        <v>0</v>
      </c>
      <c r="H330" s="4">
        <f t="shared" si="25"/>
        <v>3.2453814271454657</v>
      </c>
      <c r="I330" s="4">
        <f t="shared" si="26"/>
        <v>8.5171931914162382</v>
      </c>
      <c r="J330" s="4">
        <f t="shared" si="27"/>
        <v>5.7365722974791922</v>
      </c>
      <c r="K330" s="4">
        <f t="shared" si="28"/>
        <v>56.7</v>
      </c>
      <c r="L330" s="4">
        <f t="shared" si="29"/>
        <v>0</v>
      </c>
    </row>
    <row r="331" spans="1:12" x14ac:dyDescent="0.35">
      <c r="A331" s="2" t="s">
        <v>321</v>
      </c>
      <c r="B331" s="2" t="s">
        <v>67</v>
      </c>
      <c r="C331" s="2">
        <v>22.9604</v>
      </c>
      <c r="D331" s="2">
        <v>6000</v>
      </c>
      <c r="E331" s="2">
        <v>355</v>
      </c>
      <c r="F331" s="2">
        <v>57.6</v>
      </c>
      <c r="G331" s="2">
        <v>0</v>
      </c>
      <c r="H331" s="4">
        <f t="shared" si="25"/>
        <v>3.1337709929023987</v>
      </c>
      <c r="I331" s="4">
        <f t="shared" si="26"/>
        <v>8.6995147482101913</v>
      </c>
      <c r="J331" s="4">
        <f t="shared" si="27"/>
        <v>5.872117789475416</v>
      </c>
      <c r="K331" s="4">
        <f t="shared" si="28"/>
        <v>57.6</v>
      </c>
      <c r="L331" s="4">
        <f t="shared" si="29"/>
        <v>0</v>
      </c>
    </row>
    <row r="332" spans="1:12" x14ac:dyDescent="0.35">
      <c r="A332" s="2" t="s">
        <v>321</v>
      </c>
      <c r="B332" s="2" t="s">
        <v>67</v>
      </c>
      <c r="C332" s="2">
        <v>22.466100000000001</v>
      </c>
      <c r="D332" s="2">
        <v>6000</v>
      </c>
      <c r="E332" s="2">
        <v>420</v>
      </c>
      <c r="F332" s="2">
        <v>57.6</v>
      </c>
      <c r="G332" s="2">
        <v>0</v>
      </c>
      <c r="H332" s="4">
        <f t="shared" si="25"/>
        <v>3.1120075063801291</v>
      </c>
      <c r="I332" s="4">
        <f t="shared" si="26"/>
        <v>8.6995147482101913</v>
      </c>
      <c r="J332" s="4">
        <f t="shared" si="27"/>
        <v>6.0402547112774139</v>
      </c>
      <c r="K332" s="4">
        <f t="shared" si="28"/>
        <v>57.6</v>
      </c>
      <c r="L332" s="4">
        <f t="shared" si="29"/>
        <v>0</v>
      </c>
    </row>
    <row r="333" spans="1:12" x14ac:dyDescent="0.35">
      <c r="A333" s="2" t="s">
        <v>321</v>
      </c>
      <c r="B333" s="2" t="s">
        <v>67</v>
      </c>
      <c r="C333" s="2">
        <v>32</v>
      </c>
      <c r="D333" s="2">
        <v>6000</v>
      </c>
      <c r="E333" s="2">
        <v>277</v>
      </c>
      <c r="F333" s="2">
        <v>57.6</v>
      </c>
      <c r="G333" s="2">
        <v>0</v>
      </c>
      <c r="H333" s="4">
        <f t="shared" si="25"/>
        <v>3.4657359027997265</v>
      </c>
      <c r="I333" s="4">
        <f t="shared" si="26"/>
        <v>8.6995147482101913</v>
      </c>
      <c r="J333" s="4">
        <f t="shared" si="27"/>
        <v>5.6240175061873385</v>
      </c>
      <c r="K333" s="4">
        <f t="shared" si="28"/>
        <v>57.6</v>
      </c>
      <c r="L333" s="4">
        <f t="shared" si="29"/>
        <v>0</v>
      </c>
    </row>
    <row r="334" spans="1:12" x14ac:dyDescent="0.35">
      <c r="A334" s="2" t="s">
        <v>322</v>
      </c>
      <c r="B334" s="2" t="s">
        <v>67</v>
      </c>
      <c r="C334" s="2">
        <v>31.266400000000001</v>
      </c>
      <c r="D334" s="2">
        <v>4500</v>
      </c>
      <c r="E334" s="2">
        <v>328</v>
      </c>
      <c r="F334" s="2">
        <v>56.7</v>
      </c>
      <c r="G334" s="2">
        <v>0</v>
      </c>
      <c r="H334" s="4">
        <f t="shared" si="25"/>
        <v>3.4425440385230508</v>
      </c>
      <c r="I334" s="4">
        <f t="shared" si="26"/>
        <v>8.4118326757584114</v>
      </c>
      <c r="J334" s="4">
        <f t="shared" si="27"/>
        <v>5.7930136083841441</v>
      </c>
      <c r="K334" s="4">
        <f t="shared" si="28"/>
        <v>56.7</v>
      </c>
      <c r="L334" s="4">
        <f t="shared" si="29"/>
        <v>0</v>
      </c>
    </row>
    <row r="335" spans="1:12" x14ac:dyDescent="0.35">
      <c r="A335" s="2" t="s">
        <v>323</v>
      </c>
      <c r="B335" s="2" t="s">
        <v>67</v>
      </c>
      <c r="C335" s="2">
        <v>29.091999999999999</v>
      </c>
      <c r="D335" s="2">
        <v>5000</v>
      </c>
      <c r="E335" s="2">
        <v>328</v>
      </c>
      <c r="F335" s="2">
        <v>56.7</v>
      </c>
      <c r="G335" s="2">
        <v>0</v>
      </c>
      <c r="H335" s="4">
        <f t="shared" si="25"/>
        <v>3.3704632222922943</v>
      </c>
      <c r="I335" s="4">
        <f t="shared" si="26"/>
        <v>8.5171931914162382</v>
      </c>
      <c r="J335" s="4">
        <f t="shared" si="27"/>
        <v>5.7930136083841441</v>
      </c>
      <c r="K335" s="4">
        <f t="shared" si="28"/>
        <v>56.7</v>
      </c>
      <c r="L335" s="4">
        <f t="shared" si="29"/>
        <v>0</v>
      </c>
    </row>
    <row r="336" spans="1:12" x14ac:dyDescent="0.35">
      <c r="A336" s="2" t="s">
        <v>324</v>
      </c>
      <c r="B336" s="2" t="s">
        <v>67</v>
      </c>
      <c r="C336" s="2">
        <v>22.9604</v>
      </c>
      <c r="D336" s="2">
        <v>6000</v>
      </c>
      <c r="E336" s="2">
        <v>355</v>
      </c>
      <c r="F336" s="2">
        <v>63.9</v>
      </c>
      <c r="G336" s="2">
        <v>0</v>
      </c>
      <c r="H336" s="4">
        <f t="shared" si="25"/>
        <v>3.1337709929023987</v>
      </c>
      <c r="I336" s="4">
        <f t="shared" si="26"/>
        <v>8.6995147482101913</v>
      </c>
      <c r="J336" s="4">
        <f t="shared" si="27"/>
        <v>5.872117789475416</v>
      </c>
      <c r="K336" s="4">
        <f t="shared" si="28"/>
        <v>63.9</v>
      </c>
      <c r="L336" s="4">
        <f t="shared" si="29"/>
        <v>0</v>
      </c>
    </row>
    <row r="337" spans="1:12" x14ac:dyDescent="0.35">
      <c r="A337" s="2" t="s">
        <v>324</v>
      </c>
      <c r="B337" s="2" t="s">
        <v>67</v>
      </c>
      <c r="C337" s="2">
        <v>22.466100000000001</v>
      </c>
      <c r="D337" s="2">
        <v>6000</v>
      </c>
      <c r="E337" s="2">
        <v>420</v>
      </c>
      <c r="F337" s="2">
        <v>63.9</v>
      </c>
      <c r="G337" s="2">
        <v>0</v>
      </c>
      <c r="H337" s="4">
        <f t="shared" si="25"/>
        <v>3.1120075063801291</v>
      </c>
      <c r="I337" s="4">
        <f t="shared" si="26"/>
        <v>8.6995147482101913</v>
      </c>
      <c r="J337" s="4">
        <f t="shared" si="27"/>
        <v>6.0402547112774139</v>
      </c>
      <c r="K337" s="4">
        <f t="shared" si="28"/>
        <v>63.9</v>
      </c>
      <c r="L337" s="4">
        <f t="shared" si="29"/>
        <v>0</v>
      </c>
    </row>
    <row r="338" spans="1:12" x14ac:dyDescent="0.35">
      <c r="A338" s="2" t="s">
        <v>324</v>
      </c>
      <c r="B338" s="2" t="s">
        <v>67</v>
      </c>
      <c r="C338" s="2">
        <v>31.219200000000001</v>
      </c>
      <c r="D338" s="2">
        <v>6500</v>
      </c>
      <c r="E338" s="2">
        <v>277</v>
      </c>
      <c r="F338" s="2">
        <v>63.9</v>
      </c>
      <c r="G338" s="2">
        <v>0</v>
      </c>
      <c r="H338" s="4">
        <f t="shared" si="25"/>
        <v>3.4410332901593548</v>
      </c>
      <c r="I338" s="4">
        <f t="shared" si="26"/>
        <v>8.7795574558837277</v>
      </c>
      <c r="J338" s="4">
        <f t="shared" si="27"/>
        <v>5.6240175061873385</v>
      </c>
      <c r="K338" s="4">
        <f t="shared" si="28"/>
        <v>63.9</v>
      </c>
      <c r="L338" s="4">
        <f t="shared" si="29"/>
        <v>0</v>
      </c>
    </row>
    <row r="339" spans="1:12" x14ac:dyDescent="0.35">
      <c r="A339" s="2" t="s">
        <v>325</v>
      </c>
      <c r="B339" s="2" t="s">
        <v>67</v>
      </c>
      <c r="C339" s="2">
        <v>22.9604</v>
      </c>
      <c r="D339" s="2">
        <v>6000</v>
      </c>
      <c r="E339" s="2">
        <v>355</v>
      </c>
      <c r="F339" s="2">
        <v>57.5</v>
      </c>
      <c r="G339" s="2">
        <v>0</v>
      </c>
      <c r="H339" s="4">
        <f t="shared" si="25"/>
        <v>3.1337709929023987</v>
      </c>
      <c r="I339" s="4">
        <f t="shared" si="26"/>
        <v>8.6995147482101913</v>
      </c>
      <c r="J339" s="4">
        <f t="shared" si="27"/>
        <v>5.872117789475416</v>
      </c>
      <c r="K339" s="4">
        <f t="shared" si="28"/>
        <v>57.5</v>
      </c>
      <c r="L339" s="4">
        <f t="shared" si="29"/>
        <v>0</v>
      </c>
    </row>
    <row r="340" spans="1:12" x14ac:dyDescent="0.35">
      <c r="A340" s="2" t="s">
        <v>325</v>
      </c>
      <c r="B340" s="2" t="s">
        <v>67</v>
      </c>
      <c r="C340" s="2">
        <v>21.4877</v>
      </c>
      <c r="D340" s="2">
        <v>6000</v>
      </c>
      <c r="E340" s="2">
        <v>355</v>
      </c>
      <c r="F340" s="2">
        <v>57.5</v>
      </c>
      <c r="G340" s="2">
        <v>0</v>
      </c>
      <c r="H340" s="4">
        <f t="shared" si="25"/>
        <v>3.0674806784027076</v>
      </c>
      <c r="I340" s="4">
        <f t="shared" si="26"/>
        <v>8.6995147482101913</v>
      </c>
      <c r="J340" s="4">
        <f t="shared" si="27"/>
        <v>5.872117789475416</v>
      </c>
      <c r="K340" s="4">
        <f t="shared" si="28"/>
        <v>57.5</v>
      </c>
      <c r="L340" s="4">
        <f t="shared" si="29"/>
        <v>0</v>
      </c>
    </row>
    <row r="341" spans="1:12" x14ac:dyDescent="0.35">
      <c r="A341" s="2" t="s">
        <v>325</v>
      </c>
      <c r="B341" s="2" t="s">
        <v>67</v>
      </c>
      <c r="C341" s="2">
        <v>20.7746</v>
      </c>
      <c r="D341" s="2">
        <v>6500</v>
      </c>
      <c r="E341" s="2">
        <v>420</v>
      </c>
      <c r="F341" s="2">
        <v>57.5</v>
      </c>
      <c r="G341" s="2">
        <v>0</v>
      </c>
      <c r="H341" s="4">
        <f t="shared" si="25"/>
        <v>3.0337310866452021</v>
      </c>
      <c r="I341" s="4">
        <f t="shared" si="26"/>
        <v>8.7795574558837277</v>
      </c>
      <c r="J341" s="4">
        <f t="shared" si="27"/>
        <v>6.0402547112774139</v>
      </c>
      <c r="K341" s="4">
        <f t="shared" si="28"/>
        <v>57.5</v>
      </c>
      <c r="L341" s="4">
        <f t="shared" si="29"/>
        <v>0</v>
      </c>
    </row>
    <row r="342" spans="1:12" x14ac:dyDescent="0.35">
      <c r="A342" s="2" t="s">
        <v>325</v>
      </c>
      <c r="B342" s="2" t="s">
        <v>67</v>
      </c>
      <c r="C342" s="2">
        <v>30.1508</v>
      </c>
      <c r="D342" s="2">
        <v>6500</v>
      </c>
      <c r="E342" s="2">
        <v>277</v>
      </c>
      <c r="F342" s="2">
        <v>57.5</v>
      </c>
      <c r="G342" s="2">
        <v>0</v>
      </c>
      <c r="H342" s="4">
        <f t="shared" si="25"/>
        <v>3.4062114568178576</v>
      </c>
      <c r="I342" s="4">
        <f t="shared" si="26"/>
        <v>8.7795574558837277</v>
      </c>
      <c r="J342" s="4">
        <f t="shared" si="27"/>
        <v>5.6240175061873385</v>
      </c>
      <c r="K342" s="4">
        <f t="shared" si="28"/>
        <v>57.5</v>
      </c>
      <c r="L342" s="4">
        <f t="shared" si="29"/>
        <v>0</v>
      </c>
    </row>
    <row r="343" spans="1:12" x14ac:dyDescent="0.35">
      <c r="A343" s="2" t="s">
        <v>326</v>
      </c>
      <c r="B343" s="2" t="s">
        <v>67</v>
      </c>
      <c r="C343" s="2">
        <v>21.949200000000001</v>
      </c>
      <c r="D343" s="2">
        <v>6500</v>
      </c>
      <c r="E343" s="2">
        <v>355</v>
      </c>
      <c r="F343" s="2">
        <v>63.8</v>
      </c>
      <c r="G343" s="2">
        <v>0</v>
      </c>
      <c r="H343" s="4">
        <f t="shared" si="25"/>
        <v>3.0887306923877436</v>
      </c>
      <c r="I343" s="4">
        <f t="shared" si="26"/>
        <v>8.7795574558837277</v>
      </c>
      <c r="J343" s="4">
        <f t="shared" si="27"/>
        <v>5.872117789475416</v>
      </c>
      <c r="K343" s="4">
        <f t="shared" si="28"/>
        <v>63.8</v>
      </c>
      <c r="L343" s="4">
        <f t="shared" si="29"/>
        <v>0</v>
      </c>
    </row>
    <row r="344" spans="1:12" x14ac:dyDescent="0.35">
      <c r="A344" s="2" t="s">
        <v>326</v>
      </c>
      <c r="B344" s="2" t="s">
        <v>67</v>
      </c>
      <c r="C344" s="2">
        <v>20.7746</v>
      </c>
      <c r="D344" s="2">
        <v>6500</v>
      </c>
      <c r="E344" s="2">
        <v>420</v>
      </c>
      <c r="F344" s="2">
        <v>63.8</v>
      </c>
      <c r="G344" s="2">
        <v>0</v>
      </c>
      <c r="H344" s="4">
        <f t="shared" si="25"/>
        <v>3.0337310866452021</v>
      </c>
      <c r="I344" s="4">
        <f t="shared" si="26"/>
        <v>8.7795574558837277</v>
      </c>
      <c r="J344" s="4">
        <f t="shared" si="27"/>
        <v>6.0402547112774139</v>
      </c>
      <c r="K344" s="4">
        <f t="shared" si="28"/>
        <v>63.8</v>
      </c>
      <c r="L344" s="4">
        <f t="shared" si="29"/>
        <v>0</v>
      </c>
    </row>
    <row r="345" spans="1:12" x14ac:dyDescent="0.35">
      <c r="A345" s="2" t="s">
        <v>326</v>
      </c>
      <c r="B345" s="2" t="s">
        <v>67</v>
      </c>
      <c r="C345" s="2">
        <v>30.1508</v>
      </c>
      <c r="D345" s="2">
        <v>6500</v>
      </c>
      <c r="E345" s="2">
        <v>277</v>
      </c>
      <c r="F345" s="2">
        <v>63.8</v>
      </c>
      <c r="G345" s="2">
        <v>0</v>
      </c>
      <c r="H345" s="4">
        <f t="shared" si="25"/>
        <v>3.4062114568178576</v>
      </c>
      <c r="I345" s="4">
        <f t="shared" si="26"/>
        <v>8.7795574558837277</v>
      </c>
      <c r="J345" s="4">
        <f t="shared" si="27"/>
        <v>5.6240175061873385</v>
      </c>
      <c r="K345" s="4">
        <f t="shared" si="28"/>
        <v>63.8</v>
      </c>
      <c r="L345" s="4">
        <f t="shared" si="29"/>
        <v>0</v>
      </c>
    </row>
    <row r="346" spans="1:12" x14ac:dyDescent="0.35">
      <c r="A346" s="2" t="s">
        <v>327</v>
      </c>
      <c r="B346" s="2" t="s">
        <v>67</v>
      </c>
      <c r="C346" s="2">
        <v>41.389200000000002</v>
      </c>
      <c r="D346" s="2">
        <v>3000</v>
      </c>
      <c r="E346" s="2">
        <v>137</v>
      </c>
      <c r="F346" s="2">
        <v>45.7</v>
      </c>
      <c r="G346" s="2">
        <v>0</v>
      </c>
      <c r="H346" s="4">
        <f t="shared" si="25"/>
        <v>3.7230199772336676</v>
      </c>
      <c r="I346" s="4">
        <f t="shared" si="26"/>
        <v>8.0063675676502459</v>
      </c>
      <c r="J346" s="4">
        <f t="shared" si="27"/>
        <v>4.9199809258281251</v>
      </c>
      <c r="K346" s="4">
        <f t="shared" si="28"/>
        <v>45.7</v>
      </c>
      <c r="L346" s="4">
        <f t="shared" si="29"/>
        <v>0</v>
      </c>
    </row>
    <row r="347" spans="1:12" x14ac:dyDescent="0.35">
      <c r="A347" s="2" t="s">
        <v>328</v>
      </c>
      <c r="B347" s="2" t="s">
        <v>67</v>
      </c>
      <c r="C347" s="2">
        <v>28.5578</v>
      </c>
      <c r="D347" s="2">
        <v>4500</v>
      </c>
      <c r="E347" s="2">
        <v>310</v>
      </c>
      <c r="F347" s="2">
        <v>57.3</v>
      </c>
      <c r="G347" s="2">
        <v>0</v>
      </c>
      <c r="H347" s="4">
        <f t="shared" si="25"/>
        <v>3.3519301036920335</v>
      </c>
      <c r="I347" s="4">
        <f t="shared" si="26"/>
        <v>8.4118326757584114</v>
      </c>
      <c r="J347" s="4">
        <f t="shared" si="27"/>
        <v>5.7365722974791922</v>
      </c>
      <c r="K347" s="4">
        <f t="shared" si="28"/>
        <v>57.3</v>
      </c>
      <c r="L347" s="4">
        <f t="shared" si="29"/>
        <v>0</v>
      </c>
    </row>
    <row r="348" spans="1:12" x14ac:dyDescent="0.35">
      <c r="A348" s="2" t="s">
        <v>328</v>
      </c>
      <c r="B348" s="2" t="s">
        <v>67</v>
      </c>
      <c r="C348" s="2">
        <v>29.1219</v>
      </c>
      <c r="D348" s="2">
        <v>4500</v>
      </c>
      <c r="E348" s="2">
        <v>237</v>
      </c>
      <c r="F348" s="2">
        <v>57.3</v>
      </c>
      <c r="G348" s="2">
        <v>0</v>
      </c>
      <c r="H348" s="4">
        <f t="shared" si="25"/>
        <v>3.3714904684527229</v>
      </c>
      <c r="I348" s="4">
        <f t="shared" si="26"/>
        <v>8.4118326757584114</v>
      </c>
      <c r="J348" s="4">
        <f t="shared" si="27"/>
        <v>5.4680601411351315</v>
      </c>
      <c r="K348" s="4">
        <f t="shared" si="28"/>
        <v>57.3</v>
      </c>
      <c r="L348" s="4">
        <f t="shared" si="29"/>
        <v>0</v>
      </c>
    </row>
    <row r="349" spans="1:12" x14ac:dyDescent="0.35">
      <c r="A349" s="2" t="s">
        <v>329</v>
      </c>
      <c r="B349" s="2" t="s">
        <v>67</v>
      </c>
      <c r="C349" s="2">
        <v>26.954999999999998</v>
      </c>
      <c r="D349" s="2">
        <v>5000</v>
      </c>
      <c r="E349" s="2">
        <v>310</v>
      </c>
      <c r="F349" s="2">
        <v>57.3</v>
      </c>
      <c r="G349" s="2">
        <v>0</v>
      </c>
      <c r="H349" s="4">
        <f t="shared" si="25"/>
        <v>3.2941688089036321</v>
      </c>
      <c r="I349" s="4">
        <f t="shared" si="26"/>
        <v>8.5171931914162382</v>
      </c>
      <c r="J349" s="4">
        <f t="shared" si="27"/>
        <v>5.7365722974791922</v>
      </c>
      <c r="K349" s="4">
        <f t="shared" si="28"/>
        <v>57.3</v>
      </c>
      <c r="L349" s="4">
        <f t="shared" si="29"/>
        <v>0</v>
      </c>
    </row>
    <row r="350" spans="1:12" x14ac:dyDescent="0.35">
      <c r="A350" s="2" t="s">
        <v>329</v>
      </c>
      <c r="B350" s="2" t="s">
        <v>67</v>
      </c>
      <c r="C350" s="2">
        <v>27.878499999999999</v>
      </c>
      <c r="D350" s="2">
        <v>4500</v>
      </c>
      <c r="E350" s="2">
        <v>237</v>
      </c>
      <c r="F350" s="2">
        <v>57.3</v>
      </c>
      <c r="G350" s="2">
        <v>0</v>
      </c>
      <c r="H350" s="4">
        <f t="shared" si="25"/>
        <v>3.3278557824363348</v>
      </c>
      <c r="I350" s="4">
        <f t="shared" si="26"/>
        <v>8.4118326757584114</v>
      </c>
      <c r="J350" s="4">
        <f t="shared" si="27"/>
        <v>5.4680601411351315</v>
      </c>
      <c r="K350" s="4">
        <f t="shared" si="28"/>
        <v>57.3</v>
      </c>
      <c r="L350" s="4">
        <f t="shared" si="29"/>
        <v>0</v>
      </c>
    </row>
    <row r="351" spans="1:12" x14ac:dyDescent="0.35">
      <c r="A351" s="2" t="s">
        <v>330</v>
      </c>
      <c r="B351" s="2" t="s">
        <v>67</v>
      </c>
      <c r="C351" s="2">
        <v>25.5518</v>
      </c>
      <c r="D351" s="2">
        <v>3500</v>
      </c>
      <c r="E351" s="2">
        <v>335</v>
      </c>
      <c r="F351" s="2">
        <v>48.7</v>
      </c>
      <c r="G351" s="2">
        <v>0</v>
      </c>
      <c r="H351" s="4">
        <f t="shared" si="25"/>
        <v>3.2407077642660691</v>
      </c>
      <c r="I351" s="4">
        <f t="shared" si="26"/>
        <v>8.1605182474775049</v>
      </c>
      <c r="J351" s="4">
        <f t="shared" si="27"/>
        <v>5.8141305318250662</v>
      </c>
      <c r="K351" s="4">
        <f t="shared" si="28"/>
        <v>48.7</v>
      </c>
      <c r="L351" s="4">
        <f t="shared" si="29"/>
        <v>0</v>
      </c>
    </row>
    <row r="352" spans="1:12" x14ac:dyDescent="0.35">
      <c r="A352" s="2" t="s">
        <v>330</v>
      </c>
      <c r="B352" s="2" t="s">
        <v>67</v>
      </c>
      <c r="C352" s="2">
        <v>19.014500000000002</v>
      </c>
      <c r="D352" s="2">
        <v>4000</v>
      </c>
      <c r="E352" s="2">
        <v>650</v>
      </c>
      <c r="F352" s="2">
        <v>48.7</v>
      </c>
      <c r="G352" s="2">
        <v>0</v>
      </c>
      <c r="H352" s="4">
        <f t="shared" si="25"/>
        <v>2.9452018460042635</v>
      </c>
      <c r="I352" s="4">
        <f t="shared" si="26"/>
        <v>8.2940496401020276</v>
      </c>
      <c r="J352" s="4">
        <f t="shared" si="27"/>
        <v>6.4769723628896827</v>
      </c>
      <c r="K352" s="4">
        <f t="shared" si="28"/>
        <v>48.7</v>
      </c>
      <c r="L352" s="4">
        <f t="shared" si="29"/>
        <v>0</v>
      </c>
    </row>
    <row r="353" spans="1:12" x14ac:dyDescent="0.35">
      <c r="A353" s="2" t="s">
        <v>330</v>
      </c>
      <c r="B353" s="2" t="s">
        <v>67</v>
      </c>
      <c r="C353" s="2">
        <v>20.254999999999999</v>
      </c>
      <c r="D353" s="2">
        <v>4000</v>
      </c>
      <c r="E353" s="2">
        <v>650</v>
      </c>
      <c r="F353" s="2">
        <v>48.7</v>
      </c>
      <c r="G353" s="2">
        <v>0</v>
      </c>
      <c r="H353" s="4">
        <f t="shared" si="25"/>
        <v>3.0084016766546537</v>
      </c>
      <c r="I353" s="4">
        <f t="shared" si="26"/>
        <v>8.2940496401020276</v>
      </c>
      <c r="J353" s="4">
        <f t="shared" si="27"/>
        <v>6.4769723628896827</v>
      </c>
      <c r="K353" s="4">
        <f t="shared" si="28"/>
        <v>48.7</v>
      </c>
      <c r="L353" s="4">
        <f t="shared" si="29"/>
        <v>0</v>
      </c>
    </row>
    <row r="354" spans="1:12" x14ac:dyDescent="0.35">
      <c r="A354" s="2" t="s">
        <v>330</v>
      </c>
      <c r="B354" s="2" t="s">
        <v>67</v>
      </c>
      <c r="C354" s="2">
        <v>25.014800000000001</v>
      </c>
      <c r="D354" s="2">
        <v>4000</v>
      </c>
      <c r="E354" s="2">
        <v>455</v>
      </c>
      <c r="F354" s="2">
        <v>48.7</v>
      </c>
      <c r="G354" s="2">
        <v>0</v>
      </c>
      <c r="H354" s="4">
        <f t="shared" si="25"/>
        <v>3.2194676497053285</v>
      </c>
      <c r="I354" s="4">
        <f t="shared" si="26"/>
        <v>8.2940496401020276</v>
      </c>
      <c r="J354" s="4">
        <f t="shared" si="27"/>
        <v>6.1202974189509503</v>
      </c>
      <c r="K354" s="4">
        <f t="shared" si="28"/>
        <v>48.7</v>
      </c>
      <c r="L354" s="4">
        <f t="shared" si="29"/>
        <v>0</v>
      </c>
    </row>
    <row r="355" spans="1:12" x14ac:dyDescent="0.35">
      <c r="A355" s="2" t="s">
        <v>330</v>
      </c>
      <c r="B355" s="2" t="s">
        <v>67</v>
      </c>
      <c r="C355" s="2">
        <v>24.076499999999999</v>
      </c>
      <c r="D355" s="2">
        <v>4000</v>
      </c>
      <c r="E355" s="2">
        <v>455</v>
      </c>
      <c r="F355" s="2">
        <v>48.7</v>
      </c>
      <c r="G355" s="2">
        <v>0</v>
      </c>
      <c r="H355" s="4">
        <f t="shared" si="25"/>
        <v>3.1812362610392451</v>
      </c>
      <c r="I355" s="4">
        <f t="shared" si="26"/>
        <v>8.2940496401020276</v>
      </c>
      <c r="J355" s="4">
        <f t="shared" si="27"/>
        <v>6.1202974189509503</v>
      </c>
      <c r="K355" s="4">
        <f t="shared" si="28"/>
        <v>48.7</v>
      </c>
      <c r="L355" s="4">
        <f t="shared" si="29"/>
        <v>0</v>
      </c>
    </row>
    <row r="356" spans="1:12" x14ac:dyDescent="0.35">
      <c r="A356" s="2" t="s">
        <v>330</v>
      </c>
      <c r="B356" s="2" t="s">
        <v>67</v>
      </c>
      <c r="C356" s="2">
        <v>28.629899999999999</v>
      </c>
      <c r="D356" s="2">
        <v>3500</v>
      </c>
      <c r="E356" s="2">
        <v>335</v>
      </c>
      <c r="F356" s="2">
        <v>48.7</v>
      </c>
      <c r="G356" s="2">
        <v>0</v>
      </c>
      <c r="H356" s="4">
        <f t="shared" si="25"/>
        <v>3.354451626264245</v>
      </c>
      <c r="I356" s="4">
        <f t="shared" si="26"/>
        <v>8.1605182474775049</v>
      </c>
      <c r="J356" s="4">
        <f t="shared" si="27"/>
        <v>5.8141305318250662</v>
      </c>
      <c r="K356" s="4">
        <f t="shared" si="28"/>
        <v>48.7</v>
      </c>
      <c r="L356" s="4">
        <f t="shared" si="29"/>
        <v>0</v>
      </c>
    </row>
    <row r="357" spans="1:12" x14ac:dyDescent="0.35">
      <c r="A357" s="2" t="s">
        <v>331</v>
      </c>
      <c r="B357" s="2" t="s">
        <v>67</v>
      </c>
      <c r="C357" s="2">
        <v>42.890599999999999</v>
      </c>
      <c r="D357" s="2">
        <v>3500</v>
      </c>
      <c r="E357" s="2">
        <v>163</v>
      </c>
      <c r="F357" s="2">
        <v>48.9</v>
      </c>
      <c r="G357" s="2">
        <v>0</v>
      </c>
      <c r="H357" s="4">
        <f t="shared" si="25"/>
        <v>3.7586526877058293</v>
      </c>
      <c r="I357" s="4">
        <f t="shared" si="26"/>
        <v>8.1605182474775049</v>
      </c>
      <c r="J357" s="4">
        <f t="shared" si="27"/>
        <v>5.0937502008067623</v>
      </c>
      <c r="K357" s="4">
        <f t="shared" si="28"/>
        <v>48.9</v>
      </c>
      <c r="L357" s="4">
        <f t="shared" si="29"/>
        <v>0</v>
      </c>
    </row>
    <row r="358" spans="1:12" x14ac:dyDescent="0.35">
      <c r="A358" s="2" t="s">
        <v>332</v>
      </c>
      <c r="B358" s="2" t="s">
        <v>67</v>
      </c>
      <c r="C358" s="2">
        <v>38.2151</v>
      </c>
      <c r="D358" s="2">
        <v>3500</v>
      </c>
      <c r="E358" s="2">
        <v>175</v>
      </c>
      <c r="F358" s="2">
        <v>46.2</v>
      </c>
      <c r="G358" s="2">
        <v>0</v>
      </c>
      <c r="H358" s="4">
        <f t="shared" si="25"/>
        <v>3.6432307254649419</v>
      </c>
      <c r="I358" s="4">
        <f t="shared" si="26"/>
        <v>8.1605182474775049</v>
      </c>
      <c r="J358" s="4">
        <f t="shared" si="27"/>
        <v>5.1647859739235145</v>
      </c>
      <c r="K358" s="4">
        <f t="shared" si="28"/>
        <v>46.2</v>
      </c>
      <c r="L358" s="4">
        <f t="shared" si="29"/>
        <v>0</v>
      </c>
    </row>
    <row r="359" spans="1:12" x14ac:dyDescent="0.35">
      <c r="A359" s="2" t="s">
        <v>333</v>
      </c>
      <c r="B359" s="2" t="s">
        <v>67</v>
      </c>
      <c r="C359" s="2">
        <v>35.721899999999998</v>
      </c>
      <c r="D359" s="2">
        <v>4000</v>
      </c>
      <c r="E359" s="2">
        <v>175</v>
      </c>
      <c r="F359" s="2">
        <v>46.4</v>
      </c>
      <c r="G359" s="2">
        <v>0</v>
      </c>
      <c r="H359" s="4">
        <f t="shared" si="25"/>
        <v>3.5757639460830428</v>
      </c>
      <c r="I359" s="4">
        <f t="shared" si="26"/>
        <v>8.2940496401020276</v>
      </c>
      <c r="J359" s="4">
        <f t="shared" si="27"/>
        <v>5.1647859739235145</v>
      </c>
      <c r="K359" s="4">
        <f t="shared" si="28"/>
        <v>46.4</v>
      </c>
      <c r="L359" s="4">
        <f t="shared" si="29"/>
        <v>0</v>
      </c>
    </row>
    <row r="360" spans="1:12" x14ac:dyDescent="0.35">
      <c r="A360" s="2" t="s">
        <v>334</v>
      </c>
      <c r="B360" s="2" t="s">
        <v>67</v>
      </c>
      <c r="C360" s="2">
        <v>23.686900000000001</v>
      </c>
      <c r="D360" s="2">
        <v>5000</v>
      </c>
      <c r="E360" s="2">
        <v>310</v>
      </c>
      <c r="F360" s="2">
        <v>60.6</v>
      </c>
      <c r="G360" s="2">
        <v>0</v>
      </c>
      <c r="H360" s="4">
        <f t="shared" si="25"/>
        <v>3.1649221527065365</v>
      </c>
      <c r="I360" s="4">
        <f t="shared" si="26"/>
        <v>8.5171931914162382</v>
      </c>
      <c r="J360" s="4">
        <f t="shared" si="27"/>
        <v>5.7365722974791922</v>
      </c>
      <c r="K360" s="4">
        <f t="shared" si="28"/>
        <v>60.6</v>
      </c>
      <c r="L360" s="4">
        <f t="shared" si="29"/>
        <v>0</v>
      </c>
    </row>
    <row r="361" spans="1:12" x14ac:dyDescent="0.35">
      <c r="A361" s="2" t="s">
        <v>335</v>
      </c>
      <c r="B361" s="2" t="s">
        <v>67</v>
      </c>
      <c r="C361" s="2">
        <v>18.138500000000001</v>
      </c>
      <c r="D361" s="2">
        <v>5000</v>
      </c>
      <c r="E361" s="2">
        <v>355</v>
      </c>
      <c r="F361" s="2">
        <v>69.900000000000006</v>
      </c>
      <c r="G361" s="2">
        <v>0</v>
      </c>
      <c r="H361" s="4">
        <f t="shared" si="25"/>
        <v>2.8980367510805376</v>
      </c>
      <c r="I361" s="4">
        <f t="shared" si="26"/>
        <v>8.5171931914162382</v>
      </c>
      <c r="J361" s="4">
        <f t="shared" si="27"/>
        <v>5.872117789475416</v>
      </c>
      <c r="K361" s="4">
        <f t="shared" si="28"/>
        <v>69.900000000000006</v>
      </c>
      <c r="L361" s="4">
        <f t="shared" si="29"/>
        <v>0</v>
      </c>
    </row>
    <row r="362" spans="1:12" x14ac:dyDescent="0.35">
      <c r="A362" s="2" t="s">
        <v>335</v>
      </c>
      <c r="B362" s="2" t="s">
        <v>67</v>
      </c>
      <c r="C362" s="2">
        <v>21.833500000000001</v>
      </c>
      <c r="D362" s="2">
        <v>5000</v>
      </c>
      <c r="E362" s="2">
        <v>355</v>
      </c>
      <c r="F362" s="2">
        <v>69.900000000000006</v>
      </c>
      <c r="G362" s="2">
        <v>0</v>
      </c>
      <c r="H362" s="4">
        <f t="shared" si="25"/>
        <v>3.0834454875317472</v>
      </c>
      <c r="I362" s="4">
        <f t="shared" si="26"/>
        <v>8.5171931914162382</v>
      </c>
      <c r="J362" s="4">
        <f t="shared" si="27"/>
        <v>5.872117789475416</v>
      </c>
      <c r="K362" s="4">
        <f t="shared" si="28"/>
        <v>69.900000000000006</v>
      </c>
      <c r="L362" s="4">
        <f t="shared" si="29"/>
        <v>0</v>
      </c>
    </row>
    <row r="363" spans="1:12" x14ac:dyDescent="0.35">
      <c r="A363" s="2" t="s">
        <v>335</v>
      </c>
      <c r="B363" s="2" t="s">
        <v>67</v>
      </c>
      <c r="C363" s="2">
        <v>24.759899999999998</v>
      </c>
      <c r="D363" s="2">
        <v>5000</v>
      </c>
      <c r="E363" s="2">
        <v>355</v>
      </c>
      <c r="F363" s="2">
        <v>69.900000000000006</v>
      </c>
      <c r="G363" s="2">
        <v>0</v>
      </c>
      <c r="H363" s="4">
        <f t="shared" si="25"/>
        <v>3.2092254090360264</v>
      </c>
      <c r="I363" s="4">
        <f t="shared" si="26"/>
        <v>8.5171931914162382</v>
      </c>
      <c r="J363" s="4">
        <f t="shared" si="27"/>
        <v>5.872117789475416</v>
      </c>
      <c r="K363" s="4">
        <f t="shared" si="28"/>
        <v>69.900000000000006</v>
      </c>
      <c r="L363" s="4">
        <f t="shared" si="29"/>
        <v>0</v>
      </c>
    </row>
    <row r="364" spans="1:12" x14ac:dyDescent="0.35">
      <c r="A364" s="2" t="s">
        <v>335</v>
      </c>
      <c r="B364" s="2" t="s">
        <v>67</v>
      </c>
      <c r="C364" s="2">
        <v>24.340900000000001</v>
      </c>
      <c r="D364" s="2">
        <v>5000</v>
      </c>
      <c r="E364" s="2">
        <v>355</v>
      </c>
      <c r="F364" s="2">
        <v>69.900000000000006</v>
      </c>
      <c r="G364" s="2">
        <v>0</v>
      </c>
      <c r="H364" s="4">
        <f t="shared" si="25"/>
        <v>3.1921580630466915</v>
      </c>
      <c r="I364" s="4">
        <f t="shared" si="26"/>
        <v>8.5171931914162382</v>
      </c>
      <c r="J364" s="4">
        <f t="shared" si="27"/>
        <v>5.872117789475416</v>
      </c>
      <c r="K364" s="4">
        <f t="shared" si="28"/>
        <v>69.900000000000006</v>
      </c>
      <c r="L364" s="4">
        <f t="shared" si="29"/>
        <v>0</v>
      </c>
    </row>
    <row r="365" spans="1:12" x14ac:dyDescent="0.35">
      <c r="A365" s="2" t="s">
        <v>335</v>
      </c>
      <c r="B365" s="2" t="s">
        <v>67</v>
      </c>
      <c r="C365" s="2">
        <v>35.238599999999998</v>
      </c>
      <c r="D365" s="2">
        <v>5500</v>
      </c>
      <c r="E365" s="2">
        <v>305</v>
      </c>
      <c r="F365" s="2">
        <v>69.900000000000006</v>
      </c>
      <c r="G365" s="2">
        <v>0</v>
      </c>
      <c r="H365" s="4">
        <f t="shared" si="25"/>
        <v>3.5621420726965245</v>
      </c>
      <c r="I365" s="4">
        <f t="shared" si="26"/>
        <v>8.6125033712205621</v>
      </c>
      <c r="J365" s="4">
        <f t="shared" si="27"/>
        <v>5.7203117766074119</v>
      </c>
      <c r="K365" s="4">
        <f t="shared" si="28"/>
        <v>69.900000000000006</v>
      </c>
      <c r="L365" s="4">
        <f t="shared" si="29"/>
        <v>0</v>
      </c>
    </row>
    <row r="366" spans="1:12" x14ac:dyDescent="0.35">
      <c r="A366" s="2" t="s">
        <v>335</v>
      </c>
      <c r="B366" s="2" t="s">
        <v>67</v>
      </c>
      <c r="C366" s="2">
        <v>27.385999999999999</v>
      </c>
      <c r="D366" s="2">
        <v>4500</v>
      </c>
      <c r="E366" s="2">
        <v>310</v>
      </c>
      <c r="F366" s="2">
        <v>69.900000000000006</v>
      </c>
      <c r="G366" s="2">
        <v>0</v>
      </c>
      <c r="H366" s="4">
        <f t="shared" si="25"/>
        <v>3.3100319339100417</v>
      </c>
      <c r="I366" s="4">
        <f t="shared" si="26"/>
        <v>8.4118326757584114</v>
      </c>
      <c r="J366" s="4">
        <f t="shared" si="27"/>
        <v>5.7365722974791922</v>
      </c>
      <c r="K366" s="4">
        <f t="shared" si="28"/>
        <v>69.900000000000006</v>
      </c>
      <c r="L366" s="4">
        <f t="shared" si="29"/>
        <v>0</v>
      </c>
    </row>
    <row r="367" spans="1:12" x14ac:dyDescent="0.35">
      <c r="A367" s="2" t="s">
        <v>335</v>
      </c>
      <c r="B367" s="2" t="s">
        <v>67</v>
      </c>
      <c r="C367" s="2">
        <v>26.425799999999999</v>
      </c>
      <c r="D367" s="2">
        <v>5000</v>
      </c>
      <c r="E367" s="2">
        <v>310</v>
      </c>
      <c r="F367" s="2">
        <v>69.900000000000006</v>
      </c>
      <c r="G367" s="2">
        <v>0</v>
      </c>
      <c r="H367" s="4">
        <f t="shared" si="25"/>
        <v>3.2743408056594423</v>
      </c>
      <c r="I367" s="4">
        <f t="shared" si="26"/>
        <v>8.5171931914162382</v>
      </c>
      <c r="J367" s="4">
        <f t="shared" si="27"/>
        <v>5.7365722974791922</v>
      </c>
      <c r="K367" s="4">
        <f t="shared" si="28"/>
        <v>69.900000000000006</v>
      </c>
      <c r="L367" s="4">
        <f t="shared" si="29"/>
        <v>0</v>
      </c>
    </row>
    <row r="368" spans="1:12" x14ac:dyDescent="0.35">
      <c r="A368" s="2" t="s">
        <v>336</v>
      </c>
      <c r="B368" s="2" t="s">
        <v>67</v>
      </c>
      <c r="C368" s="2">
        <v>16.267299999999999</v>
      </c>
      <c r="D368" s="2">
        <v>5000</v>
      </c>
      <c r="E368" s="2">
        <v>355</v>
      </c>
      <c r="F368" s="2">
        <v>69.900000000000006</v>
      </c>
      <c r="G368" s="2">
        <v>0</v>
      </c>
      <c r="H368" s="4">
        <f t="shared" si="25"/>
        <v>2.7891569578592961</v>
      </c>
      <c r="I368" s="4">
        <f t="shared" si="26"/>
        <v>8.5171931914162382</v>
      </c>
      <c r="J368" s="4">
        <f t="shared" si="27"/>
        <v>5.872117789475416</v>
      </c>
      <c r="K368" s="4">
        <f t="shared" si="28"/>
        <v>69.900000000000006</v>
      </c>
      <c r="L368" s="4">
        <f t="shared" si="29"/>
        <v>0</v>
      </c>
    </row>
    <row r="369" spans="1:12" x14ac:dyDescent="0.35">
      <c r="A369" s="2" t="s">
        <v>336</v>
      </c>
      <c r="B369" s="2" t="s">
        <v>67</v>
      </c>
      <c r="C369" s="2">
        <v>22.2957</v>
      </c>
      <c r="D369" s="2">
        <v>5500</v>
      </c>
      <c r="E369" s="2">
        <v>420</v>
      </c>
      <c r="F369" s="2">
        <v>69.900000000000006</v>
      </c>
      <c r="G369" s="2">
        <v>0</v>
      </c>
      <c r="H369" s="4">
        <f t="shared" si="25"/>
        <v>3.1043938347608133</v>
      </c>
      <c r="I369" s="4">
        <f t="shared" si="26"/>
        <v>8.6125033712205621</v>
      </c>
      <c r="J369" s="4">
        <f t="shared" si="27"/>
        <v>6.0402547112774139</v>
      </c>
      <c r="K369" s="4">
        <f t="shared" si="28"/>
        <v>69.900000000000006</v>
      </c>
      <c r="L369" s="4">
        <f t="shared" si="29"/>
        <v>0</v>
      </c>
    </row>
    <row r="370" spans="1:12" x14ac:dyDescent="0.35">
      <c r="A370" s="2" t="s">
        <v>336</v>
      </c>
      <c r="B370" s="2" t="s">
        <v>67</v>
      </c>
      <c r="C370" s="2">
        <v>21.833500000000001</v>
      </c>
      <c r="D370" s="2">
        <v>5500</v>
      </c>
      <c r="E370" s="2">
        <v>355</v>
      </c>
      <c r="F370" s="2">
        <v>69.900000000000006</v>
      </c>
      <c r="G370" s="2">
        <v>0</v>
      </c>
      <c r="H370" s="4">
        <f t="shared" si="25"/>
        <v>3.0834454875317472</v>
      </c>
      <c r="I370" s="4">
        <f t="shared" si="26"/>
        <v>8.6125033712205621</v>
      </c>
      <c r="J370" s="4">
        <f t="shared" si="27"/>
        <v>5.872117789475416</v>
      </c>
      <c r="K370" s="4">
        <f t="shared" si="28"/>
        <v>69.900000000000006</v>
      </c>
      <c r="L370" s="4">
        <f t="shared" si="29"/>
        <v>0</v>
      </c>
    </row>
    <row r="371" spans="1:12" x14ac:dyDescent="0.35">
      <c r="A371" s="2" t="s">
        <v>336</v>
      </c>
      <c r="B371" s="2" t="s">
        <v>67</v>
      </c>
      <c r="C371" s="2">
        <v>22.588100000000001</v>
      </c>
      <c r="D371" s="2">
        <v>5500</v>
      </c>
      <c r="E371" s="2">
        <v>355</v>
      </c>
      <c r="F371" s="2">
        <v>69.900000000000006</v>
      </c>
      <c r="G371" s="2">
        <v>0</v>
      </c>
      <c r="H371" s="4">
        <f t="shared" si="25"/>
        <v>3.1174232189302398</v>
      </c>
      <c r="I371" s="4">
        <f t="shared" si="26"/>
        <v>8.6125033712205621</v>
      </c>
      <c r="J371" s="4">
        <f t="shared" si="27"/>
        <v>5.872117789475416</v>
      </c>
      <c r="K371" s="4">
        <f t="shared" si="28"/>
        <v>69.900000000000006</v>
      </c>
      <c r="L371" s="4">
        <f t="shared" si="29"/>
        <v>0</v>
      </c>
    </row>
    <row r="372" spans="1:12" x14ac:dyDescent="0.35">
      <c r="A372" s="2" t="s">
        <v>336</v>
      </c>
      <c r="B372" s="2" t="s">
        <v>67</v>
      </c>
      <c r="C372" s="2">
        <v>22.892800000000001</v>
      </c>
      <c r="D372" s="2">
        <v>5000</v>
      </c>
      <c r="E372" s="2">
        <v>355</v>
      </c>
      <c r="F372" s="2">
        <v>69.900000000000006</v>
      </c>
      <c r="G372" s="2">
        <v>0</v>
      </c>
      <c r="H372" s="4">
        <f t="shared" si="25"/>
        <v>3.1308224506425071</v>
      </c>
      <c r="I372" s="4">
        <f t="shared" si="26"/>
        <v>8.5171931914162382</v>
      </c>
      <c r="J372" s="4">
        <f t="shared" si="27"/>
        <v>5.872117789475416</v>
      </c>
      <c r="K372" s="4">
        <f t="shared" si="28"/>
        <v>69.900000000000006</v>
      </c>
      <c r="L372" s="4">
        <f t="shared" si="29"/>
        <v>0</v>
      </c>
    </row>
    <row r="373" spans="1:12" x14ac:dyDescent="0.35">
      <c r="A373" s="2" t="s">
        <v>336</v>
      </c>
      <c r="B373" s="2" t="s">
        <v>67</v>
      </c>
      <c r="C373" s="2">
        <v>33.589700000000001</v>
      </c>
      <c r="D373" s="2">
        <v>6000</v>
      </c>
      <c r="E373" s="2">
        <v>305</v>
      </c>
      <c r="F373" s="2">
        <v>69.900000000000006</v>
      </c>
      <c r="G373" s="2">
        <v>0</v>
      </c>
      <c r="H373" s="4">
        <f t="shared" si="25"/>
        <v>3.5142194723547853</v>
      </c>
      <c r="I373" s="4">
        <f t="shared" si="26"/>
        <v>8.6995147482101913</v>
      </c>
      <c r="J373" s="4">
        <f t="shared" si="27"/>
        <v>5.7203117766074119</v>
      </c>
      <c r="K373" s="4">
        <f t="shared" si="28"/>
        <v>69.900000000000006</v>
      </c>
      <c r="L373" s="4">
        <f t="shared" si="29"/>
        <v>0</v>
      </c>
    </row>
    <row r="374" spans="1:12" x14ac:dyDescent="0.35">
      <c r="A374" s="2" t="s">
        <v>336</v>
      </c>
      <c r="B374" s="2" t="s">
        <v>67</v>
      </c>
      <c r="C374" s="2">
        <v>31.230599999999999</v>
      </c>
      <c r="D374" s="2">
        <v>6000</v>
      </c>
      <c r="E374" s="2">
        <v>305</v>
      </c>
      <c r="F374" s="2">
        <v>69.900000000000006</v>
      </c>
      <c r="G374" s="2">
        <v>0</v>
      </c>
      <c r="H374" s="4">
        <f t="shared" si="25"/>
        <v>3.4413983834063027</v>
      </c>
      <c r="I374" s="4">
        <f t="shared" si="26"/>
        <v>8.6995147482101913</v>
      </c>
      <c r="J374" s="4">
        <f t="shared" si="27"/>
        <v>5.7203117766074119</v>
      </c>
      <c r="K374" s="4">
        <f t="shared" si="28"/>
        <v>69.900000000000006</v>
      </c>
      <c r="L374" s="4">
        <f t="shared" si="29"/>
        <v>0</v>
      </c>
    </row>
    <row r="375" spans="1:12" x14ac:dyDescent="0.35">
      <c r="A375" s="2" t="s">
        <v>336</v>
      </c>
      <c r="B375" s="2" t="s">
        <v>67</v>
      </c>
      <c r="C375" s="2">
        <v>24.861999999999998</v>
      </c>
      <c r="D375" s="2">
        <v>5000</v>
      </c>
      <c r="E375" s="2">
        <v>310</v>
      </c>
      <c r="F375" s="2">
        <v>69.900000000000006</v>
      </c>
      <c r="G375" s="2">
        <v>0</v>
      </c>
      <c r="H375" s="4">
        <f t="shared" si="25"/>
        <v>3.2133405333695237</v>
      </c>
      <c r="I375" s="4">
        <f t="shared" si="26"/>
        <v>8.5171931914162382</v>
      </c>
      <c r="J375" s="4">
        <f t="shared" si="27"/>
        <v>5.7365722974791922</v>
      </c>
      <c r="K375" s="4">
        <f t="shared" si="28"/>
        <v>69.900000000000006</v>
      </c>
      <c r="L375" s="4">
        <f t="shared" si="29"/>
        <v>0</v>
      </c>
    </row>
    <row r="376" spans="1:12" x14ac:dyDescent="0.35">
      <c r="A376" s="2" t="s">
        <v>336</v>
      </c>
      <c r="B376" s="2" t="s">
        <v>67</v>
      </c>
      <c r="C376" s="2">
        <v>26.7728</v>
      </c>
      <c r="D376" s="2">
        <v>5000</v>
      </c>
      <c r="E376" s="2">
        <v>310</v>
      </c>
      <c r="F376" s="2">
        <v>69.900000000000006</v>
      </c>
      <c r="G376" s="2">
        <v>0</v>
      </c>
      <c r="H376" s="4">
        <f t="shared" si="25"/>
        <v>3.2873864467581719</v>
      </c>
      <c r="I376" s="4">
        <f t="shared" si="26"/>
        <v>8.5171931914162382</v>
      </c>
      <c r="J376" s="4">
        <f t="shared" si="27"/>
        <v>5.7365722974791922</v>
      </c>
      <c r="K376" s="4">
        <f t="shared" si="28"/>
        <v>69.900000000000006</v>
      </c>
      <c r="L376" s="4">
        <f t="shared" si="29"/>
        <v>0</v>
      </c>
    </row>
    <row r="377" spans="1:12" x14ac:dyDescent="0.35">
      <c r="A377" s="2" t="s">
        <v>337</v>
      </c>
      <c r="B377" s="2" t="s">
        <v>67</v>
      </c>
      <c r="C377" s="2">
        <v>33.7087</v>
      </c>
      <c r="D377" s="2">
        <v>4000</v>
      </c>
      <c r="E377" s="2">
        <v>237</v>
      </c>
      <c r="F377" s="2">
        <v>52</v>
      </c>
      <c r="G377" s="2">
        <v>0</v>
      </c>
      <c r="H377" s="4">
        <f t="shared" si="25"/>
        <v>3.5177559642780847</v>
      </c>
      <c r="I377" s="4">
        <f t="shared" si="26"/>
        <v>8.2940496401020276</v>
      </c>
      <c r="J377" s="4">
        <f t="shared" si="27"/>
        <v>5.4680601411351315</v>
      </c>
      <c r="K377" s="4">
        <f t="shared" si="28"/>
        <v>52</v>
      </c>
      <c r="L377" s="4">
        <f t="shared" si="29"/>
        <v>0</v>
      </c>
    </row>
    <row r="378" spans="1:12" x14ac:dyDescent="0.35">
      <c r="A378" s="2" t="s">
        <v>337</v>
      </c>
      <c r="B378" s="2" t="s">
        <v>67</v>
      </c>
      <c r="C378" s="2">
        <v>28.325800000000001</v>
      </c>
      <c r="D378" s="2">
        <v>4500</v>
      </c>
      <c r="E378" s="2">
        <v>308</v>
      </c>
      <c r="F378" s="2">
        <v>52</v>
      </c>
      <c r="G378" s="2">
        <v>0</v>
      </c>
      <c r="H378" s="4">
        <f t="shared" si="25"/>
        <v>3.3437730501162863</v>
      </c>
      <c r="I378" s="4">
        <f t="shared" si="26"/>
        <v>8.4118326757584114</v>
      </c>
      <c r="J378" s="4">
        <f t="shared" si="27"/>
        <v>5.730099782973574</v>
      </c>
      <c r="K378" s="4">
        <f t="shared" si="28"/>
        <v>52</v>
      </c>
      <c r="L378" s="4">
        <f t="shared" si="29"/>
        <v>0</v>
      </c>
    </row>
    <row r="379" spans="1:12" x14ac:dyDescent="0.35">
      <c r="A379" s="2" t="s">
        <v>338</v>
      </c>
      <c r="B379" s="2" t="s">
        <v>67</v>
      </c>
      <c r="C379" s="2">
        <v>32.516599999999997</v>
      </c>
      <c r="D379" s="2">
        <v>4500</v>
      </c>
      <c r="E379" s="2">
        <v>237</v>
      </c>
      <c r="F379" s="2">
        <v>52</v>
      </c>
      <c r="G379" s="2">
        <v>0</v>
      </c>
      <c r="H379" s="4">
        <f t="shared" si="25"/>
        <v>3.4817507281682576</v>
      </c>
      <c r="I379" s="4">
        <f t="shared" si="26"/>
        <v>8.4118326757584114</v>
      </c>
      <c r="J379" s="4">
        <f t="shared" si="27"/>
        <v>5.4680601411351315</v>
      </c>
      <c r="K379" s="4">
        <f t="shared" si="28"/>
        <v>52</v>
      </c>
      <c r="L379" s="4">
        <f t="shared" si="29"/>
        <v>0</v>
      </c>
    </row>
    <row r="380" spans="1:12" x14ac:dyDescent="0.35">
      <c r="A380" s="2" t="s">
        <v>338</v>
      </c>
      <c r="B380" s="2" t="s">
        <v>67</v>
      </c>
      <c r="C380" s="2">
        <v>27.540800000000001</v>
      </c>
      <c r="D380" s="2">
        <v>4500</v>
      </c>
      <c r="E380" s="2">
        <v>308</v>
      </c>
      <c r="F380" s="2">
        <v>52</v>
      </c>
      <c r="G380" s="2">
        <v>0</v>
      </c>
      <c r="H380" s="4">
        <f t="shared" si="25"/>
        <v>3.3156685415351044</v>
      </c>
      <c r="I380" s="4">
        <f t="shared" si="26"/>
        <v>8.4118326757584114</v>
      </c>
      <c r="J380" s="4">
        <f t="shared" si="27"/>
        <v>5.730099782973574</v>
      </c>
      <c r="K380" s="4">
        <f t="shared" si="28"/>
        <v>52</v>
      </c>
      <c r="L380" s="4">
        <f t="shared" si="29"/>
        <v>0</v>
      </c>
    </row>
    <row r="381" spans="1:12" x14ac:dyDescent="0.35">
      <c r="A381" s="2" t="s">
        <v>339</v>
      </c>
      <c r="B381" s="2" t="s">
        <v>67</v>
      </c>
      <c r="C381" s="2">
        <v>21.349299999999999</v>
      </c>
      <c r="D381" s="2">
        <v>5500</v>
      </c>
      <c r="E381" s="2">
        <v>355</v>
      </c>
      <c r="F381" s="2">
        <v>66.5</v>
      </c>
      <c r="G381" s="2">
        <v>0</v>
      </c>
      <c r="H381" s="4">
        <f t="shared" si="25"/>
        <v>3.061018952251886</v>
      </c>
      <c r="I381" s="4">
        <f t="shared" si="26"/>
        <v>8.6125033712205621</v>
      </c>
      <c r="J381" s="4">
        <f t="shared" si="27"/>
        <v>5.872117789475416</v>
      </c>
      <c r="K381" s="4">
        <f t="shared" si="28"/>
        <v>66.5</v>
      </c>
      <c r="L381" s="4">
        <f t="shared" si="29"/>
        <v>0</v>
      </c>
    </row>
    <row r="382" spans="1:12" x14ac:dyDescent="0.35">
      <c r="A382" s="2" t="s">
        <v>340</v>
      </c>
      <c r="B382" s="2" t="s">
        <v>67</v>
      </c>
      <c r="C382" s="2">
        <v>22.281600000000001</v>
      </c>
      <c r="D382" s="2">
        <v>5500</v>
      </c>
      <c r="E382" s="2">
        <v>310</v>
      </c>
      <c r="F382" s="2">
        <v>61.3</v>
      </c>
      <c r="G382" s="2">
        <v>0</v>
      </c>
      <c r="H382" s="4">
        <f t="shared" si="25"/>
        <v>3.1037612257660907</v>
      </c>
      <c r="I382" s="4">
        <f t="shared" si="26"/>
        <v>8.6125033712205621</v>
      </c>
      <c r="J382" s="4">
        <f t="shared" si="27"/>
        <v>5.7365722974791922</v>
      </c>
      <c r="K382" s="4">
        <f t="shared" si="28"/>
        <v>61.3</v>
      </c>
      <c r="L382" s="4">
        <f t="shared" si="29"/>
        <v>0</v>
      </c>
    </row>
    <row r="383" spans="1:12" x14ac:dyDescent="0.35">
      <c r="A383" s="2" t="s">
        <v>341</v>
      </c>
      <c r="B383" s="2" t="s">
        <v>67</v>
      </c>
      <c r="C383" s="2">
        <v>22.9604</v>
      </c>
      <c r="D383" s="2">
        <v>6000</v>
      </c>
      <c r="E383" s="2">
        <v>355</v>
      </c>
      <c r="F383" s="2">
        <v>57.6</v>
      </c>
      <c r="G383" s="2">
        <v>0</v>
      </c>
      <c r="H383" s="4">
        <f t="shared" si="25"/>
        <v>3.1337709929023987</v>
      </c>
      <c r="I383" s="4">
        <f t="shared" si="26"/>
        <v>8.6995147482101913</v>
      </c>
      <c r="J383" s="4">
        <f t="shared" si="27"/>
        <v>5.872117789475416</v>
      </c>
      <c r="K383" s="4">
        <f t="shared" si="28"/>
        <v>57.6</v>
      </c>
      <c r="L383" s="4">
        <f t="shared" si="29"/>
        <v>0</v>
      </c>
    </row>
    <row r="384" spans="1:12" x14ac:dyDescent="0.35">
      <c r="A384" s="2" t="s">
        <v>341</v>
      </c>
      <c r="B384" s="2" t="s">
        <v>67</v>
      </c>
      <c r="C384" s="2">
        <v>22.466100000000001</v>
      </c>
      <c r="D384" s="2">
        <v>6000</v>
      </c>
      <c r="E384" s="2">
        <v>420</v>
      </c>
      <c r="F384" s="2">
        <v>57.6</v>
      </c>
      <c r="G384" s="2">
        <v>0</v>
      </c>
      <c r="H384" s="4">
        <f t="shared" si="25"/>
        <v>3.1120075063801291</v>
      </c>
      <c r="I384" s="4">
        <f t="shared" si="26"/>
        <v>8.6995147482101913</v>
      </c>
      <c r="J384" s="4">
        <f t="shared" si="27"/>
        <v>6.0402547112774139</v>
      </c>
      <c r="K384" s="4">
        <f t="shared" si="28"/>
        <v>57.6</v>
      </c>
      <c r="L384" s="4">
        <f t="shared" si="29"/>
        <v>0</v>
      </c>
    </row>
    <row r="385" spans="1:12" x14ac:dyDescent="0.35">
      <c r="A385" s="2" t="s">
        <v>341</v>
      </c>
      <c r="B385" s="2" t="s">
        <v>67</v>
      </c>
      <c r="C385" s="2">
        <v>31.219200000000001</v>
      </c>
      <c r="D385" s="2">
        <v>6500</v>
      </c>
      <c r="E385" s="2">
        <v>277</v>
      </c>
      <c r="F385" s="2">
        <v>57.6</v>
      </c>
      <c r="G385" s="2">
        <v>0</v>
      </c>
      <c r="H385" s="4">
        <f t="shared" si="25"/>
        <v>3.4410332901593548</v>
      </c>
      <c r="I385" s="4">
        <f t="shared" si="26"/>
        <v>8.7795574558837277</v>
      </c>
      <c r="J385" s="4">
        <f t="shared" si="27"/>
        <v>5.6240175061873385</v>
      </c>
      <c r="K385" s="4">
        <f t="shared" si="28"/>
        <v>57.6</v>
      </c>
      <c r="L385" s="4">
        <f t="shared" si="29"/>
        <v>0</v>
      </c>
    </row>
    <row r="386" spans="1:12" x14ac:dyDescent="0.35">
      <c r="A386" s="2" t="s">
        <v>342</v>
      </c>
      <c r="B386" s="2" t="s">
        <v>67</v>
      </c>
      <c r="C386" s="2">
        <v>22.9604</v>
      </c>
      <c r="D386" s="2">
        <v>6000</v>
      </c>
      <c r="E386" s="2">
        <v>355</v>
      </c>
      <c r="F386" s="2">
        <v>63.9</v>
      </c>
      <c r="G386" s="2">
        <v>0</v>
      </c>
      <c r="H386" s="4">
        <f t="shared" ref="H386:H449" si="30">LN(C386)</f>
        <v>3.1337709929023987</v>
      </c>
      <c r="I386" s="4">
        <f t="shared" ref="I386:I449" si="31">LN(D386)</f>
        <v>8.6995147482101913</v>
      </c>
      <c r="J386" s="4">
        <f t="shared" ref="J386:J449" si="32">LN(E386)</f>
        <v>5.872117789475416</v>
      </c>
      <c r="K386" s="4">
        <f t="shared" ref="K386:K449" si="33">F386</f>
        <v>63.9</v>
      </c>
      <c r="L386" s="4">
        <f t="shared" ref="L386:L449" si="34">G386</f>
        <v>0</v>
      </c>
    </row>
    <row r="387" spans="1:12" x14ac:dyDescent="0.35">
      <c r="A387" s="2" t="s">
        <v>342</v>
      </c>
      <c r="B387" s="2" t="s">
        <v>67</v>
      </c>
      <c r="C387" s="2">
        <v>21.207999999999998</v>
      </c>
      <c r="D387" s="2">
        <v>6500</v>
      </c>
      <c r="E387" s="2">
        <v>420</v>
      </c>
      <c r="F387" s="2">
        <v>63.9</v>
      </c>
      <c r="G387" s="2">
        <v>0</v>
      </c>
      <c r="H387" s="4">
        <f t="shared" si="30"/>
        <v>3.0543784689867244</v>
      </c>
      <c r="I387" s="4">
        <f t="shared" si="31"/>
        <v>8.7795574558837277</v>
      </c>
      <c r="J387" s="4">
        <f t="shared" si="32"/>
        <v>6.0402547112774139</v>
      </c>
      <c r="K387" s="4">
        <f t="shared" si="33"/>
        <v>63.9</v>
      </c>
      <c r="L387" s="4">
        <f t="shared" si="34"/>
        <v>0</v>
      </c>
    </row>
    <row r="388" spans="1:12" x14ac:dyDescent="0.35">
      <c r="A388" s="2" t="s">
        <v>342</v>
      </c>
      <c r="B388" s="2" t="s">
        <v>67</v>
      </c>
      <c r="C388" s="2">
        <v>31.219200000000001</v>
      </c>
      <c r="D388" s="2">
        <v>6500</v>
      </c>
      <c r="E388" s="2">
        <v>277</v>
      </c>
      <c r="F388" s="2">
        <v>63.9</v>
      </c>
      <c r="G388" s="2">
        <v>0</v>
      </c>
      <c r="H388" s="4">
        <f t="shared" si="30"/>
        <v>3.4410332901593548</v>
      </c>
      <c r="I388" s="4">
        <f t="shared" si="31"/>
        <v>8.7795574558837277</v>
      </c>
      <c r="J388" s="4">
        <f t="shared" si="32"/>
        <v>5.6240175061873385</v>
      </c>
      <c r="K388" s="4">
        <f t="shared" si="33"/>
        <v>63.9</v>
      </c>
      <c r="L388" s="4">
        <f t="shared" si="34"/>
        <v>0</v>
      </c>
    </row>
    <row r="389" spans="1:12" x14ac:dyDescent="0.35">
      <c r="A389" s="2" t="s">
        <v>343</v>
      </c>
      <c r="B389" s="2" t="s">
        <v>67</v>
      </c>
      <c r="C389" s="2">
        <v>21.949200000000001</v>
      </c>
      <c r="D389" s="2">
        <v>6500</v>
      </c>
      <c r="E389" s="2">
        <v>355</v>
      </c>
      <c r="F389" s="2">
        <v>63.8</v>
      </c>
      <c r="G389" s="2">
        <v>0</v>
      </c>
      <c r="H389" s="4">
        <f t="shared" si="30"/>
        <v>3.0887306923877436</v>
      </c>
      <c r="I389" s="4">
        <f t="shared" si="31"/>
        <v>8.7795574558837277</v>
      </c>
      <c r="J389" s="4">
        <f t="shared" si="32"/>
        <v>5.872117789475416</v>
      </c>
      <c r="K389" s="4">
        <f t="shared" si="33"/>
        <v>63.8</v>
      </c>
      <c r="L389" s="4">
        <f t="shared" si="34"/>
        <v>0</v>
      </c>
    </row>
    <row r="390" spans="1:12" x14ac:dyDescent="0.35">
      <c r="A390" s="2" t="s">
        <v>343</v>
      </c>
      <c r="B390" s="2" t="s">
        <v>67</v>
      </c>
      <c r="C390" s="2">
        <v>20.7746</v>
      </c>
      <c r="D390" s="2">
        <v>6500</v>
      </c>
      <c r="E390" s="2">
        <v>420</v>
      </c>
      <c r="F390" s="2">
        <v>63.8</v>
      </c>
      <c r="G390" s="2">
        <v>0</v>
      </c>
      <c r="H390" s="4">
        <f t="shared" si="30"/>
        <v>3.0337310866452021</v>
      </c>
      <c r="I390" s="4">
        <f t="shared" si="31"/>
        <v>8.7795574558837277</v>
      </c>
      <c r="J390" s="4">
        <f t="shared" si="32"/>
        <v>6.0402547112774139</v>
      </c>
      <c r="K390" s="4">
        <f t="shared" si="33"/>
        <v>63.8</v>
      </c>
      <c r="L390" s="4">
        <f t="shared" si="34"/>
        <v>0</v>
      </c>
    </row>
    <row r="391" spans="1:12" x14ac:dyDescent="0.35">
      <c r="A391" s="2" t="s">
        <v>343</v>
      </c>
      <c r="B391" s="2" t="s">
        <v>67</v>
      </c>
      <c r="C391" s="2">
        <v>30.1508</v>
      </c>
      <c r="D391" s="2">
        <v>6500</v>
      </c>
      <c r="E391" s="2">
        <v>277</v>
      </c>
      <c r="F391" s="2">
        <v>63.8</v>
      </c>
      <c r="G391" s="2">
        <v>0</v>
      </c>
      <c r="H391" s="4">
        <f t="shared" si="30"/>
        <v>3.4062114568178576</v>
      </c>
      <c r="I391" s="4">
        <f t="shared" si="31"/>
        <v>8.7795574558837277</v>
      </c>
      <c r="J391" s="4">
        <f t="shared" si="32"/>
        <v>5.6240175061873385</v>
      </c>
      <c r="K391" s="4">
        <f t="shared" si="33"/>
        <v>63.8</v>
      </c>
      <c r="L391" s="4">
        <f t="shared" si="34"/>
        <v>0</v>
      </c>
    </row>
    <row r="392" spans="1:12" x14ac:dyDescent="0.35">
      <c r="A392" s="2" t="s">
        <v>344</v>
      </c>
      <c r="B392" s="2" t="s">
        <v>67</v>
      </c>
      <c r="C392" s="2">
        <v>22.9604</v>
      </c>
      <c r="D392" s="2">
        <v>6000</v>
      </c>
      <c r="E392" s="2">
        <v>355</v>
      </c>
      <c r="F392" s="2">
        <v>57.5</v>
      </c>
      <c r="G392" s="2">
        <v>0</v>
      </c>
      <c r="H392" s="4">
        <f t="shared" si="30"/>
        <v>3.1337709929023987</v>
      </c>
      <c r="I392" s="4">
        <f t="shared" si="31"/>
        <v>8.6995147482101913</v>
      </c>
      <c r="J392" s="4">
        <f t="shared" si="32"/>
        <v>5.872117789475416</v>
      </c>
      <c r="K392" s="4">
        <f t="shared" si="33"/>
        <v>57.5</v>
      </c>
      <c r="L392" s="4">
        <f t="shared" si="34"/>
        <v>0</v>
      </c>
    </row>
    <row r="393" spans="1:12" x14ac:dyDescent="0.35">
      <c r="A393" s="2" t="s">
        <v>344</v>
      </c>
      <c r="B393" s="2" t="s">
        <v>67</v>
      </c>
      <c r="C393" s="2">
        <v>20.7746</v>
      </c>
      <c r="D393" s="2">
        <v>6500</v>
      </c>
      <c r="E393" s="2">
        <v>420</v>
      </c>
      <c r="F393" s="2">
        <v>57.5</v>
      </c>
      <c r="G393" s="2">
        <v>0</v>
      </c>
      <c r="H393" s="4">
        <f t="shared" si="30"/>
        <v>3.0337310866452021</v>
      </c>
      <c r="I393" s="4">
        <f t="shared" si="31"/>
        <v>8.7795574558837277</v>
      </c>
      <c r="J393" s="4">
        <f t="shared" si="32"/>
        <v>6.0402547112774139</v>
      </c>
      <c r="K393" s="4">
        <f t="shared" si="33"/>
        <v>57.5</v>
      </c>
      <c r="L393" s="4">
        <f t="shared" si="34"/>
        <v>0</v>
      </c>
    </row>
    <row r="394" spans="1:12" x14ac:dyDescent="0.35">
      <c r="A394" s="2" t="s">
        <v>344</v>
      </c>
      <c r="B394" s="2" t="s">
        <v>67</v>
      </c>
      <c r="C394" s="2">
        <v>30.1508</v>
      </c>
      <c r="D394" s="2">
        <v>6500</v>
      </c>
      <c r="E394" s="2">
        <v>277</v>
      </c>
      <c r="F394" s="2">
        <v>57.5</v>
      </c>
      <c r="G394" s="2">
        <v>0</v>
      </c>
      <c r="H394" s="4">
        <f t="shared" si="30"/>
        <v>3.4062114568178576</v>
      </c>
      <c r="I394" s="4">
        <f t="shared" si="31"/>
        <v>8.7795574558837277</v>
      </c>
      <c r="J394" s="4">
        <f t="shared" si="32"/>
        <v>5.6240175061873385</v>
      </c>
      <c r="K394" s="4">
        <f t="shared" si="33"/>
        <v>57.5</v>
      </c>
      <c r="L394" s="4">
        <f t="shared" si="34"/>
        <v>0</v>
      </c>
    </row>
    <row r="395" spans="1:12" x14ac:dyDescent="0.35">
      <c r="A395" s="2" t="s">
        <v>345</v>
      </c>
      <c r="B395" s="2" t="s">
        <v>67</v>
      </c>
      <c r="C395" s="2">
        <v>28.5578</v>
      </c>
      <c r="D395" s="2">
        <v>4500</v>
      </c>
      <c r="E395" s="2">
        <v>310</v>
      </c>
      <c r="F395" s="2">
        <v>60.4</v>
      </c>
      <c r="G395" s="2">
        <v>0</v>
      </c>
      <c r="H395" s="4">
        <f t="shared" si="30"/>
        <v>3.3519301036920335</v>
      </c>
      <c r="I395" s="4">
        <f t="shared" si="31"/>
        <v>8.4118326757584114</v>
      </c>
      <c r="J395" s="4">
        <f t="shared" si="32"/>
        <v>5.7365722974791922</v>
      </c>
      <c r="K395" s="4">
        <f t="shared" si="33"/>
        <v>60.4</v>
      </c>
      <c r="L395" s="4">
        <f t="shared" si="34"/>
        <v>0</v>
      </c>
    </row>
    <row r="396" spans="1:12" x14ac:dyDescent="0.35">
      <c r="A396" s="2" t="s">
        <v>346</v>
      </c>
      <c r="B396" s="2" t="s">
        <v>67</v>
      </c>
      <c r="C396" s="2">
        <v>26.954999999999998</v>
      </c>
      <c r="D396" s="2">
        <v>5000</v>
      </c>
      <c r="E396" s="2">
        <v>310</v>
      </c>
      <c r="F396" s="2">
        <v>60.4</v>
      </c>
      <c r="G396" s="2">
        <v>0</v>
      </c>
      <c r="H396" s="4">
        <f t="shared" si="30"/>
        <v>3.2941688089036321</v>
      </c>
      <c r="I396" s="4">
        <f t="shared" si="31"/>
        <v>8.5171931914162382</v>
      </c>
      <c r="J396" s="4">
        <f t="shared" si="32"/>
        <v>5.7365722974791922</v>
      </c>
      <c r="K396" s="4">
        <f t="shared" si="33"/>
        <v>60.4</v>
      </c>
      <c r="L396" s="4">
        <f t="shared" si="34"/>
        <v>0</v>
      </c>
    </row>
    <row r="397" spans="1:12" x14ac:dyDescent="0.35">
      <c r="A397" s="2" t="s">
        <v>347</v>
      </c>
      <c r="B397" s="2" t="s">
        <v>67</v>
      </c>
      <c r="C397" s="2">
        <v>31.266400000000001</v>
      </c>
      <c r="D397" s="2">
        <v>4500</v>
      </c>
      <c r="E397" s="2">
        <v>328</v>
      </c>
      <c r="F397" s="2">
        <v>56.7</v>
      </c>
      <c r="G397" s="2">
        <v>0</v>
      </c>
      <c r="H397" s="4">
        <f t="shared" si="30"/>
        <v>3.4425440385230508</v>
      </c>
      <c r="I397" s="4">
        <f t="shared" si="31"/>
        <v>8.4118326757584114</v>
      </c>
      <c r="J397" s="4">
        <f t="shared" si="32"/>
        <v>5.7930136083841441</v>
      </c>
      <c r="K397" s="4">
        <f t="shared" si="33"/>
        <v>56.7</v>
      </c>
      <c r="L397" s="4">
        <f t="shared" si="34"/>
        <v>0</v>
      </c>
    </row>
    <row r="398" spans="1:12" x14ac:dyDescent="0.35">
      <c r="A398" s="2" t="s">
        <v>348</v>
      </c>
      <c r="B398" s="2" t="s">
        <v>67</v>
      </c>
      <c r="C398" s="2">
        <v>29.091999999999999</v>
      </c>
      <c r="D398" s="2">
        <v>5000</v>
      </c>
      <c r="E398" s="2">
        <v>328</v>
      </c>
      <c r="F398" s="2">
        <v>56.7</v>
      </c>
      <c r="G398" s="2">
        <v>0</v>
      </c>
      <c r="H398" s="4">
        <f t="shared" si="30"/>
        <v>3.3704632222922943</v>
      </c>
      <c r="I398" s="4">
        <f t="shared" si="31"/>
        <v>8.5171931914162382</v>
      </c>
      <c r="J398" s="4">
        <f t="shared" si="32"/>
        <v>5.7930136083841441</v>
      </c>
      <c r="K398" s="4">
        <f t="shared" si="33"/>
        <v>56.7</v>
      </c>
      <c r="L398" s="4">
        <f t="shared" si="34"/>
        <v>0</v>
      </c>
    </row>
    <row r="399" spans="1:12" x14ac:dyDescent="0.35">
      <c r="A399" s="2" t="s">
        <v>349</v>
      </c>
      <c r="B399" s="2" t="s">
        <v>67</v>
      </c>
      <c r="C399" s="2">
        <v>34.365600000000001</v>
      </c>
      <c r="D399" s="2">
        <v>4000</v>
      </c>
      <c r="E399" s="2">
        <v>175</v>
      </c>
      <c r="F399" s="2">
        <v>46.2</v>
      </c>
      <c r="G399" s="2">
        <v>0</v>
      </c>
      <c r="H399" s="4">
        <f t="shared" si="30"/>
        <v>3.5370560640457693</v>
      </c>
      <c r="I399" s="4">
        <f t="shared" si="31"/>
        <v>8.2940496401020276</v>
      </c>
      <c r="J399" s="4">
        <f t="shared" si="32"/>
        <v>5.1647859739235145</v>
      </c>
      <c r="K399" s="4">
        <f t="shared" si="33"/>
        <v>46.2</v>
      </c>
      <c r="L399" s="4">
        <f t="shared" si="34"/>
        <v>0</v>
      </c>
    </row>
    <row r="400" spans="1:12" x14ac:dyDescent="0.35">
      <c r="A400" s="2" t="s">
        <v>350</v>
      </c>
      <c r="B400" s="2" t="s">
        <v>67</v>
      </c>
      <c r="C400" s="2">
        <v>18.138500000000001</v>
      </c>
      <c r="D400" s="2">
        <v>5000</v>
      </c>
      <c r="E400" s="2">
        <v>355</v>
      </c>
      <c r="F400" s="2">
        <v>69.900000000000006</v>
      </c>
      <c r="G400" s="2">
        <v>0</v>
      </c>
      <c r="H400" s="4">
        <f t="shared" si="30"/>
        <v>2.8980367510805376</v>
      </c>
      <c r="I400" s="4">
        <f t="shared" si="31"/>
        <v>8.5171931914162382</v>
      </c>
      <c r="J400" s="4">
        <f t="shared" si="32"/>
        <v>5.872117789475416</v>
      </c>
      <c r="K400" s="4">
        <f t="shared" si="33"/>
        <v>69.900000000000006</v>
      </c>
      <c r="L400" s="4">
        <f t="shared" si="34"/>
        <v>0</v>
      </c>
    </row>
    <row r="401" spans="1:12" x14ac:dyDescent="0.35">
      <c r="A401" s="2" t="s">
        <v>350</v>
      </c>
      <c r="B401" s="2" t="s">
        <v>67</v>
      </c>
      <c r="C401" s="2">
        <v>24.1099</v>
      </c>
      <c r="D401" s="2">
        <v>5500</v>
      </c>
      <c r="E401" s="2">
        <v>355</v>
      </c>
      <c r="F401" s="2">
        <v>69.900000000000006</v>
      </c>
      <c r="G401" s="2">
        <v>0</v>
      </c>
      <c r="H401" s="4">
        <f t="shared" si="30"/>
        <v>3.1826225445279039</v>
      </c>
      <c r="I401" s="4">
        <f t="shared" si="31"/>
        <v>8.6125033712205621</v>
      </c>
      <c r="J401" s="4">
        <f t="shared" si="32"/>
        <v>5.872117789475416</v>
      </c>
      <c r="K401" s="4">
        <f t="shared" si="33"/>
        <v>69.900000000000006</v>
      </c>
      <c r="L401" s="4">
        <f t="shared" si="34"/>
        <v>0</v>
      </c>
    </row>
    <row r="402" spans="1:12" x14ac:dyDescent="0.35">
      <c r="A402" s="2" t="s">
        <v>350</v>
      </c>
      <c r="B402" s="2" t="s">
        <v>67</v>
      </c>
      <c r="C402" s="2">
        <v>24.340900000000001</v>
      </c>
      <c r="D402" s="2">
        <v>5000</v>
      </c>
      <c r="E402" s="2">
        <v>355</v>
      </c>
      <c r="F402" s="2">
        <v>69.900000000000006</v>
      </c>
      <c r="G402" s="2">
        <v>0</v>
      </c>
      <c r="H402" s="4">
        <f t="shared" si="30"/>
        <v>3.1921580630466915</v>
      </c>
      <c r="I402" s="4">
        <f t="shared" si="31"/>
        <v>8.5171931914162382</v>
      </c>
      <c r="J402" s="4">
        <f t="shared" si="32"/>
        <v>5.872117789475416</v>
      </c>
      <c r="K402" s="4">
        <f t="shared" si="33"/>
        <v>69.900000000000006</v>
      </c>
      <c r="L402" s="4">
        <f t="shared" si="34"/>
        <v>0</v>
      </c>
    </row>
    <row r="403" spans="1:12" x14ac:dyDescent="0.35">
      <c r="A403" s="2" t="s">
        <v>350</v>
      </c>
      <c r="B403" s="2" t="s">
        <v>67</v>
      </c>
      <c r="C403" s="2">
        <v>35.032899999999998</v>
      </c>
      <c r="D403" s="2">
        <v>5500</v>
      </c>
      <c r="E403" s="2">
        <v>305</v>
      </c>
      <c r="F403" s="2">
        <v>69.900000000000006</v>
      </c>
      <c r="G403" s="2">
        <v>0</v>
      </c>
      <c r="H403" s="4">
        <f t="shared" si="30"/>
        <v>3.55628761996608</v>
      </c>
      <c r="I403" s="4">
        <f t="shared" si="31"/>
        <v>8.6125033712205621</v>
      </c>
      <c r="J403" s="4">
        <f t="shared" si="32"/>
        <v>5.7203117766074119</v>
      </c>
      <c r="K403" s="4">
        <f t="shared" si="33"/>
        <v>69.900000000000006</v>
      </c>
      <c r="L403" s="4">
        <f t="shared" si="34"/>
        <v>0</v>
      </c>
    </row>
    <row r="404" spans="1:12" x14ac:dyDescent="0.35">
      <c r="A404" s="2" t="s">
        <v>350</v>
      </c>
      <c r="B404" s="2" t="s">
        <v>67</v>
      </c>
      <c r="C404" s="2">
        <v>27.481300000000001</v>
      </c>
      <c r="D404" s="2">
        <v>4500</v>
      </c>
      <c r="E404" s="2">
        <v>310</v>
      </c>
      <c r="F404" s="2">
        <v>69.900000000000006</v>
      </c>
      <c r="G404" s="2">
        <v>0</v>
      </c>
      <c r="H404" s="4">
        <f t="shared" si="30"/>
        <v>3.3135057733676616</v>
      </c>
      <c r="I404" s="4">
        <f t="shared" si="31"/>
        <v>8.4118326757584114</v>
      </c>
      <c r="J404" s="4">
        <f t="shared" si="32"/>
        <v>5.7365722974791922</v>
      </c>
      <c r="K404" s="4">
        <f t="shared" si="33"/>
        <v>69.900000000000006</v>
      </c>
      <c r="L404" s="4">
        <f t="shared" si="34"/>
        <v>0</v>
      </c>
    </row>
    <row r="405" spans="1:12" x14ac:dyDescent="0.35">
      <c r="A405" s="2" t="s">
        <v>350</v>
      </c>
      <c r="B405" s="2" t="s">
        <v>67</v>
      </c>
      <c r="C405" s="2">
        <v>26.425799999999999</v>
      </c>
      <c r="D405" s="2">
        <v>5000</v>
      </c>
      <c r="E405" s="2">
        <v>310</v>
      </c>
      <c r="F405" s="2">
        <v>69.900000000000006</v>
      </c>
      <c r="G405" s="2">
        <v>0</v>
      </c>
      <c r="H405" s="4">
        <f t="shared" si="30"/>
        <v>3.2743408056594423</v>
      </c>
      <c r="I405" s="4">
        <f t="shared" si="31"/>
        <v>8.5171931914162382</v>
      </c>
      <c r="J405" s="4">
        <f t="shared" si="32"/>
        <v>5.7365722974791922</v>
      </c>
      <c r="K405" s="4">
        <f t="shared" si="33"/>
        <v>69.900000000000006</v>
      </c>
      <c r="L405" s="4">
        <f t="shared" si="34"/>
        <v>0</v>
      </c>
    </row>
    <row r="406" spans="1:12" x14ac:dyDescent="0.35">
      <c r="A406" s="2" t="s">
        <v>351</v>
      </c>
      <c r="B406" s="2" t="s">
        <v>67</v>
      </c>
      <c r="C406" s="2">
        <v>16.267299999999999</v>
      </c>
      <c r="D406" s="2">
        <v>5000</v>
      </c>
      <c r="E406" s="2">
        <v>355</v>
      </c>
      <c r="F406" s="2">
        <v>69.900000000000006</v>
      </c>
      <c r="G406" s="2">
        <v>0</v>
      </c>
      <c r="H406" s="4">
        <f t="shared" si="30"/>
        <v>2.7891569578592961</v>
      </c>
      <c r="I406" s="4">
        <f t="shared" si="31"/>
        <v>8.5171931914162382</v>
      </c>
      <c r="J406" s="4">
        <f t="shared" si="32"/>
        <v>5.872117789475416</v>
      </c>
      <c r="K406" s="4">
        <f t="shared" si="33"/>
        <v>69.900000000000006</v>
      </c>
      <c r="L406" s="4">
        <f t="shared" si="34"/>
        <v>0</v>
      </c>
    </row>
    <row r="407" spans="1:12" x14ac:dyDescent="0.35">
      <c r="A407" s="2" t="s">
        <v>351</v>
      </c>
      <c r="B407" s="2" t="s">
        <v>67</v>
      </c>
      <c r="C407" s="2">
        <v>21.656199999999998</v>
      </c>
      <c r="D407" s="2">
        <v>6000</v>
      </c>
      <c r="E407" s="2">
        <v>420</v>
      </c>
      <c r="F407" s="2">
        <v>69.900000000000006</v>
      </c>
      <c r="G407" s="2">
        <v>0</v>
      </c>
      <c r="H407" s="4">
        <f t="shared" si="30"/>
        <v>3.0752917875852024</v>
      </c>
      <c r="I407" s="4">
        <f t="shared" si="31"/>
        <v>8.6995147482101913</v>
      </c>
      <c r="J407" s="4">
        <f t="shared" si="32"/>
        <v>6.0402547112774139</v>
      </c>
      <c r="K407" s="4">
        <f t="shared" si="33"/>
        <v>69.900000000000006</v>
      </c>
      <c r="L407" s="4">
        <f t="shared" si="34"/>
        <v>0</v>
      </c>
    </row>
    <row r="408" spans="1:12" x14ac:dyDescent="0.35">
      <c r="A408" s="2" t="s">
        <v>351</v>
      </c>
      <c r="B408" s="2" t="s">
        <v>67</v>
      </c>
      <c r="C408" s="2">
        <v>22.6509</v>
      </c>
      <c r="D408" s="2">
        <v>5500</v>
      </c>
      <c r="E408" s="2">
        <v>355</v>
      </c>
      <c r="F408" s="2">
        <v>69.900000000000006</v>
      </c>
      <c r="G408" s="2">
        <v>0</v>
      </c>
      <c r="H408" s="4">
        <f t="shared" si="30"/>
        <v>3.1201995862389627</v>
      </c>
      <c r="I408" s="4">
        <f t="shared" si="31"/>
        <v>8.6125033712205621</v>
      </c>
      <c r="J408" s="4">
        <f t="shared" si="32"/>
        <v>5.872117789475416</v>
      </c>
      <c r="K408" s="4">
        <f t="shared" si="33"/>
        <v>69.900000000000006</v>
      </c>
      <c r="L408" s="4">
        <f t="shared" si="34"/>
        <v>0</v>
      </c>
    </row>
    <row r="409" spans="1:12" x14ac:dyDescent="0.35">
      <c r="A409" s="2" t="s">
        <v>351</v>
      </c>
      <c r="B409" s="2" t="s">
        <v>67</v>
      </c>
      <c r="C409" s="2">
        <v>23.395399999999999</v>
      </c>
      <c r="D409" s="2">
        <v>5500</v>
      </c>
      <c r="E409" s="2">
        <v>355</v>
      </c>
      <c r="F409" s="2">
        <v>69.900000000000006</v>
      </c>
      <c r="G409" s="2">
        <v>0</v>
      </c>
      <c r="H409" s="4">
        <f t="shared" si="30"/>
        <v>3.1525394218424583</v>
      </c>
      <c r="I409" s="4">
        <f t="shared" si="31"/>
        <v>8.6125033712205621</v>
      </c>
      <c r="J409" s="4">
        <f t="shared" si="32"/>
        <v>5.872117789475416</v>
      </c>
      <c r="K409" s="4">
        <f t="shared" si="33"/>
        <v>69.900000000000006</v>
      </c>
      <c r="L409" s="4">
        <f t="shared" si="34"/>
        <v>0</v>
      </c>
    </row>
    <row r="410" spans="1:12" x14ac:dyDescent="0.35">
      <c r="A410" s="2" t="s">
        <v>351</v>
      </c>
      <c r="B410" s="2" t="s">
        <v>67</v>
      </c>
      <c r="C410" s="2">
        <v>33.589700000000001</v>
      </c>
      <c r="D410" s="2">
        <v>6000</v>
      </c>
      <c r="E410" s="2">
        <v>305</v>
      </c>
      <c r="F410" s="2">
        <v>69.900000000000006</v>
      </c>
      <c r="G410" s="2">
        <v>0</v>
      </c>
      <c r="H410" s="4">
        <f t="shared" si="30"/>
        <v>3.5142194723547853</v>
      </c>
      <c r="I410" s="4">
        <f t="shared" si="31"/>
        <v>8.6995147482101913</v>
      </c>
      <c r="J410" s="4">
        <f t="shared" si="32"/>
        <v>5.7203117766074119</v>
      </c>
      <c r="K410" s="4">
        <f t="shared" si="33"/>
        <v>69.900000000000006</v>
      </c>
      <c r="L410" s="4">
        <f t="shared" si="34"/>
        <v>0</v>
      </c>
    </row>
    <row r="411" spans="1:12" x14ac:dyDescent="0.35">
      <c r="A411" s="2" t="s">
        <v>351</v>
      </c>
      <c r="B411" s="2" t="s">
        <v>67</v>
      </c>
      <c r="C411" s="2">
        <v>24.452100000000002</v>
      </c>
      <c r="D411" s="2">
        <v>5500</v>
      </c>
      <c r="E411" s="2">
        <v>310</v>
      </c>
      <c r="F411" s="2">
        <v>69.900000000000006</v>
      </c>
      <c r="G411" s="2">
        <v>0</v>
      </c>
      <c r="H411" s="4">
        <f t="shared" si="30"/>
        <v>3.1967161018031351</v>
      </c>
      <c r="I411" s="4">
        <f t="shared" si="31"/>
        <v>8.6125033712205621</v>
      </c>
      <c r="J411" s="4">
        <f t="shared" si="32"/>
        <v>5.7365722974791922</v>
      </c>
      <c r="K411" s="4">
        <f t="shared" si="33"/>
        <v>69.900000000000006</v>
      </c>
      <c r="L411" s="4">
        <f t="shared" si="34"/>
        <v>0</v>
      </c>
    </row>
    <row r="412" spans="1:12" x14ac:dyDescent="0.35">
      <c r="A412" s="2" t="s">
        <v>351</v>
      </c>
      <c r="B412" s="2" t="s">
        <v>67</v>
      </c>
      <c r="C412" s="2">
        <v>25.225100000000001</v>
      </c>
      <c r="D412" s="2">
        <v>5000</v>
      </c>
      <c r="E412" s="2">
        <v>310</v>
      </c>
      <c r="F412" s="2">
        <v>69.900000000000006</v>
      </c>
      <c r="G412" s="2">
        <v>0</v>
      </c>
      <c r="H412" s="4">
        <f t="shared" si="30"/>
        <v>3.2278395305529246</v>
      </c>
      <c r="I412" s="4">
        <f t="shared" si="31"/>
        <v>8.5171931914162382</v>
      </c>
      <c r="J412" s="4">
        <f t="shared" si="32"/>
        <v>5.7365722974791922</v>
      </c>
      <c r="K412" s="4">
        <f t="shared" si="33"/>
        <v>69.900000000000006</v>
      </c>
      <c r="L412" s="4">
        <f t="shared" si="34"/>
        <v>0</v>
      </c>
    </row>
    <row r="413" spans="1:12" x14ac:dyDescent="0.35">
      <c r="A413" s="2" t="s">
        <v>352</v>
      </c>
      <c r="B413" s="2" t="s">
        <v>67</v>
      </c>
      <c r="C413" s="2">
        <v>20.7059</v>
      </c>
      <c r="D413" s="2">
        <v>5500</v>
      </c>
      <c r="E413" s="2">
        <v>355</v>
      </c>
      <c r="F413" s="2">
        <v>66.5</v>
      </c>
      <c r="G413" s="2">
        <v>0</v>
      </c>
      <c r="H413" s="4">
        <f t="shared" si="30"/>
        <v>3.0304186838142453</v>
      </c>
      <c r="I413" s="4">
        <f t="shared" si="31"/>
        <v>8.6125033712205621</v>
      </c>
      <c r="J413" s="4">
        <f t="shared" si="32"/>
        <v>5.872117789475416</v>
      </c>
      <c r="K413" s="4">
        <f t="shared" si="33"/>
        <v>66.5</v>
      </c>
      <c r="L413" s="4">
        <f t="shared" si="34"/>
        <v>0</v>
      </c>
    </row>
    <row r="414" spans="1:12" x14ac:dyDescent="0.35">
      <c r="A414" s="2" t="s">
        <v>353</v>
      </c>
      <c r="B414" s="2" t="s">
        <v>67</v>
      </c>
      <c r="C414" s="2">
        <v>36.974200000000003</v>
      </c>
      <c r="D414" s="2">
        <v>3500</v>
      </c>
      <c r="E414" s="2">
        <v>175</v>
      </c>
      <c r="F414" s="2">
        <v>46.5</v>
      </c>
      <c r="G414" s="2">
        <v>0</v>
      </c>
      <c r="H414" s="4">
        <f t="shared" si="30"/>
        <v>3.6102203721220936</v>
      </c>
      <c r="I414" s="4">
        <f t="shared" si="31"/>
        <v>8.1605182474775049</v>
      </c>
      <c r="J414" s="4">
        <f t="shared" si="32"/>
        <v>5.1647859739235145</v>
      </c>
      <c r="K414" s="4">
        <f t="shared" si="33"/>
        <v>46.5</v>
      </c>
      <c r="L414" s="4">
        <f t="shared" si="34"/>
        <v>0</v>
      </c>
    </row>
    <row r="415" spans="1:12" x14ac:dyDescent="0.35">
      <c r="A415" s="2" t="s">
        <v>354</v>
      </c>
      <c r="B415" s="2" t="s">
        <v>67</v>
      </c>
      <c r="C415" s="2">
        <v>16.267299999999999</v>
      </c>
      <c r="D415" s="2">
        <v>5500</v>
      </c>
      <c r="E415" s="2">
        <v>355</v>
      </c>
      <c r="F415" s="2">
        <v>70.099999999999994</v>
      </c>
      <c r="G415" s="2">
        <v>0</v>
      </c>
      <c r="H415" s="4">
        <f t="shared" si="30"/>
        <v>2.7891569578592961</v>
      </c>
      <c r="I415" s="4">
        <f t="shared" si="31"/>
        <v>8.6125033712205621</v>
      </c>
      <c r="J415" s="4">
        <f t="shared" si="32"/>
        <v>5.872117789475416</v>
      </c>
      <c r="K415" s="4">
        <f t="shared" si="33"/>
        <v>70.099999999999994</v>
      </c>
      <c r="L415" s="4">
        <f t="shared" si="34"/>
        <v>0</v>
      </c>
    </row>
    <row r="416" spans="1:12" x14ac:dyDescent="0.35">
      <c r="A416" s="2" t="s">
        <v>354</v>
      </c>
      <c r="B416" s="2" t="s">
        <v>67</v>
      </c>
      <c r="C416" s="2">
        <v>19.727900000000002</v>
      </c>
      <c r="D416" s="2">
        <v>6000</v>
      </c>
      <c r="E416" s="2">
        <v>420</v>
      </c>
      <c r="F416" s="2">
        <v>70.099999999999994</v>
      </c>
      <c r="G416" s="2">
        <v>0</v>
      </c>
      <c r="H416" s="4">
        <f t="shared" si="30"/>
        <v>2.9820338774715909</v>
      </c>
      <c r="I416" s="4">
        <f t="shared" si="31"/>
        <v>8.6995147482101913</v>
      </c>
      <c r="J416" s="4">
        <f t="shared" si="32"/>
        <v>6.0402547112774139</v>
      </c>
      <c r="K416" s="4">
        <f t="shared" si="33"/>
        <v>70.099999999999994</v>
      </c>
      <c r="L416" s="4">
        <f t="shared" si="34"/>
        <v>0</v>
      </c>
    </row>
    <row r="417" spans="1:12" x14ac:dyDescent="0.35">
      <c r="A417" s="2" t="s">
        <v>354</v>
      </c>
      <c r="B417" s="2" t="s">
        <v>67</v>
      </c>
      <c r="C417" s="2">
        <v>21.114000000000001</v>
      </c>
      <c r="D417" s="2">
        <v>5500</v>
      </c>
      <c r="E417" s="2">
        <v>355</v>
      </c>
      <c r="F417" s="2">
        <v>70.099999999999994</v>
      </c>
      <c r="G417" s="2">
        <v>0</v>
      </c>
      <c r="H417" s="4">
        <f t="shared" si="30"/>
        <v>3.0499363275675031</v>
      </c>
      <c r="I417" s="4">
        <f t="shared" si="31"/>
        <v>8.6125033712205621</v>
      </c>
      <c r="J417" s="4">
        <f t="shared" si="32"/>
        <v>5.872117789475416</v>
      </c>
      <c r="K417" s="4">
        <f t="shared" si="33"/>
        <v>70.099999999999994</v>
      </c>
      <c r="L417" s="4">
        <f t="shared" si="34"/>
        <v>0</v>
      </c>
    </row>
    <row r="418" spans="1:12" x14ac:dyDescent="0.35">
      <c r="A418" s="2" t="s">
        <v>354</v>
      </c>
      <c r="B418" s="2" t="s">
        <v>67</v>
      </c>
      <c r="C418" s="2">
        <v>29.4499</v>
      </c>
      <c r="D418" s="2">
        <v>6000</v>
      </c>
      <c r="E418" s="2">
        <v>305</v>
      </c>
      <c r="F418" s="2">
        <v>70.099999999999994</v>
      </c>
      <c r="G418" s="2">
        <v>0</v>
      </c>
      <c r="H418" s="4">
        <f t="shared" si="30"/>
        <v>3.3826905145060921</v>
      </c>
      <c r="I418" s="4">
        <f t="shared" si="31"/>
        <v>8.6995147482101913</v>
      </c>
      <c r="J418" s="4">
        <f t="shared" si="32"/>
        <v>5.7203117766074119</v>
      </c>
      <c r="K418" s="4">
        <f t="shared" si="33"/>
        <v>70.099999999999994</v>
      </c>
      <c r="L418" s="4">
        <f t="shared" si="34"/>
        <v>0</v>
      </c>
    </row>
    <row r="419" spans="1:12" x14ac:dyDescent="0.35">
      <c r="A419" s="2" t="s">
        <v>355</v>
      </c>
      <c r="B419" s="2" t="s">
        <v>67</v>
      </c>
      <c r="C419" s="2">
        <v>20.564299999999999</v>
      </c>
      <c r="D419" s="2">
        <v>6000</v>
      </c>
      <c r="E419" s="2">
        <v>420</v>
      </c>
      <c r="F419" s="2">
        <v>70.2</v>
      </c>
      <c r="G419" s="2">
        <v>0</v>
      </c>
      <c r="H419" s="4">
        <f t="shared" si="30"/>
        <v>3.023556562688285</v>
      </c>
      <c r="I419" s="4">
        <f t="shared" si="31"/>
        <v>8.6995147482101913</v>
      </c>
      <c r="J419" s="4">
        <f t="shared" si="32"/>
        <v>6.0402547112774139</v>
      </c>
      <c r="K419" s="4">
        <f t="shared" si="33"/>
        <v>70.2</v>
      </c>
      <c r="L419" s="4">
        <f t="shared" si="34"/>
        <v>0</v>
      </c>
    </row>
    <row r="420" spans="1:12" x14ac:dyDescent="0.35">
      <c r="A420" s="2" t="s">
        <v>355</v>
      </c>
      <c r="B420" s="2" t="s">
        <v>67</v>
      </c>
      <c r="C420" s="2">
        <v>26.645399999999999</v>
      </c>
      <c r="D420" s="2">
        <v>6500</v>
      </c>
      <c r="E420" s="2">
        <v>305</v>
      </c>
      <c r="F420" s="2">
        <v>70.2</v>
      </c>
      <c r="G420" s="2">
        <v>0</v>
      </c>
      <c r="H420" s="4">
        <f t="shared" si="30"/>
        <v>3.2826165278334738</v>
      </c>
      <c r="I420" s="4">
        <f t="shared" si="31"/>
        <v>8.7795574558837277</v>
      </c>
      <c r="J420" s="4">
        <f t="shared" si="32"/>
        <v>5.7203117766074119</v>
      </c>
      <c r="K420" s="4">
        <f t="shared" si="33"/>
        <v>70.2</v>
      </c>
      <c r="L420" s="4">
        <f t="shared" si="34"/>
        <v>0</v>
      </c>
    </row>
    <row r="421" spans="1:12" x14ac:dyDescent="0.35">
      <c r="A421" s="2" t="s">
        <v>356</v>
      </c>
      <c r="B421" s="2" t="s">
        <v>67</v>
      </c>
      <c r="C421" s="2">
        <v>25.2761</v>
      </c>
      <c r="D421" s="2">
        <v>5000</v>
      </c>
      <c r="E421" s="2">
        <v>310</v>
      </c>
      <c r="F421" s="2">
        <v>60.4</v>
      </c>
      <c r="G421" s="2">
        <v>0</v>
      </c>
      <c r="H421" s="4">
        <f t="shared" si="30"/>
        <v>3.2298592852255856</v>
      </c>
      <c r="I421" s="4">
        <f t="shared" si="31"/>
        <v>8.5171931914162382</v>
      </c>
      <c r="J421" s="4">
        <f t="shared" si="32"/>
        <v>5.7365722974791922</v>
      </c>
      <c r="K421" s="4">
        <f t="shared" si="33"/>
        <v>60.4</v>
      </c>
      <c r="L421" s="4">
        <f t="shared" si="34"/>
        <v>0</v>
      </c>
    </row>
    <row r="422" spans="1:12" x14ac:dyDescent="0.35">
      <c r="A422" s="2" t="s">
        <v>357</v>
      </c>
      <c r="B422" s="2" t="s">
        <v>67</v>
      </c>
      <c r="C422" s="2">
        <v>23.686900000000001</v>
      </c>
      <c r="D422" s="2">
        <v>5000</v>
      </c>
      <c r="E422" s="2">
        <v>310</v>
      </c>
      <c r="F422" s="2">
        <v>60.6</v>
      </c>
      <c r="G422" s="2">
        <v>0</v>
      </c>
      <c r="H422" s="4">
        <f t="shared" si="30"/>
        <v>3.1649221527065365</v>
      </c>
      <c r="I422" s="4">
        <f t="shared" si="31"/>
        <v>8.5171931914162382</v>
      </c>
      <c r="J422" s="4">
        <f t="shared" si="32"/>
        <v>5.7365722974791922</v>
      </c>
      <c r="K422" s="4">
        <f t="shared" si="33"/>
        <v>60.6</v>
      </c>
      <c r="L422" s="4">
        <f t="shared" si="34"/>
        <v>0</v>
      </c>
    </row>
    <row r="423" spans="1:12" x14ac:dyDescent="0.35">
      <c r="A423" s="2" t="s">
        <v>358</v>
      </c>
      <c r="B423" s="2" t="s">
        <v>67</v>
      </c>
      <c r="C423" s="2">
        <v>22.281600000000001</v>
      </c>
      <c r="D423" s="2">
        <v>5500</v>
      </c>
      <c r="E423" s="2">
        <v>310</v>
      </c>
      <c r="F423" s="2">
        <v>61.3</v>
      </c>
      <c r="G423" s="2">
        <v>0</v>
      </c>
      <c r="H423" s="4">
        <f t="shared" si="30"/>
        <v>3.1037612257660907</v>
      </c>
      <c r="I423" s="4">
        <f t="shared" si="31"/>
        <v>8.6125033712205621</v>
      </c>
      <c r="J423" s="4">
        <f t="shared" si="32"/>
        <v>5.7365722974791922</v>
      </c>
      <c r="K423" s="4">
        <f t="shared" si="33"/>
        <v>61.3</v>
      </c>
      <c r="L423" s="4">
        <f t="shared" si="34"/>
        <v>0</v>
      </c>
    </row>
    <row r="424" spans="1:12" x14ac:dyDescent="0.35">
      <c r="A424" s="2" t="s">
        <v>359</v>
      </c>
      <c r="B424" s="2" t="s">
        <v>67</v>
      </c>
      <c r="C424" s="2">
        <v>50.710900000000002</v>
      </c>
      <c r="D424" s="2">
        <v>3000</v>
      </c>
      <c r="E424" s="2">
        <v>180</v>
      </c>
      <c r="F424" s="2">
        <v>45.6</v>
      </c>
      <c r="G424" s="2">
        <v>0</v>
      </c>
      <c r="H424" s="4">
        <f t="shared" si="30"/>
        <v>3.9261408776281366</v>
      </c>
      <c r="I424" s="4">
        <f t="shared" si="31"/>
        <v>8.0063675676502459</v>
      </c>
      <c r="J424" s="4">
        <f t="shared" si="32"/>
        <v>5.1929568508902104</v>
      </c>
      <c r="K424" s="4">
        <f t="shared" si="33"/>
        <v>45.6</v>
      </c>
      <c r="L424" s="4">
        <f t="shared" si="34"/>
        <v>0</v>
      </c>
    </row>
    <row r="425" spans="1:12" x14ac:dyDescent="0.35">
      <c r="A425" s="2" t="s">
        <v>359</v>
      </c>
      <c r="B425" s="2" t="s">
        <v>67</v>
      </c>
      <c r="C425" s="2">
        <v>46.917299999999997</v>
      </c>
      <c r="D425" s="2">
        <v>3500</v>
      </c>
      <c r="E425" s="2">
        <v>180</v>
      </c>
      <c r="F425" s="2">
        <v>45.6</v>
      </c>
      <c r="G425" s="2">
        <v>0</v>
      </c>
      <c r="H425" s="4">
        <f t="shared" si="30"/>
        <v>3.8483864773724785</v>
      </c>
      <c r="I425" s="4">
        <f t="shared" si="31"/>
        <v>8.1605182474775049</v>
      </c>
      <c r="J425" s="4">
        <f t="shared" si="32"/>
        <v>5.1929568508902104</v>
      </c>
      <c r="K425" s="4">
        <f t="shared" si="33"/>
        <v>45.6</v>
      </c>
      <c r="L425" s="4">
        <f t="shared" si="34"/>
        <v>0</v>
      </c>
    </row>
    <row r="426" spans="1:12" x14ac:dyDescent="0.35">
      <c r="A426" s="2" t="s">
        <v>359</v>
      </c>
      <c r="B426" s="2" t="s">
        <v>67</v>
      </c>
      <c r="C426" s="2">
        <v>42.8155</v>
      </c>
      <c r="D426" s="2">
        <v>3000</v>
      </c>
      <c r="E426" s="2">
        <v>200</v>
      </c>
      <c r="F426" s="2">
        <v>45.6</v>
      </c>
      <c r="G426" s="2">
        <v>0</v>
      </c>
      <c r="H426" s="4">
        <f t="shared" si="30"/>
        <v>3.7569001865601472</v>
      </c>
      <c r="I426" s="4">
        <f t="shared" si="31"/>
        <v>8.0063675676502459</v>
      </c>
      <c r="J426" s="4">
        <f t="shared" si="32"/>
        <v>5.2983173665480363</v>
      </c>
      <c r="K426" s="4">
        <f t="shared" si="33"/>
        <v>45.6</v>
      </c>
      <c r="L426" s="4">
        <f t="shared" si="34"/>
        <v>0</v>
      </c>
    </row>
    <row r="427" spans="1:12" x14ac:dyDescent="0.35">
      <c r="A427" s="2" t="s">
        <v>359</v>
      </c>
      <c r="B427" s="2" t="s">
        <v>67</v>
      </c>
      <c r="C427" s="2">
        <v>48.039900000000003</v>
      </c>
      <c r="D427" s="2">
        <v>3000</v>
      </c>
      <c r="E427" s="2">
        <v>158</v>
      </c>
      <c r="F427" s="2">
        <v>45.6</v>
      </c>
      <c r="G427" s="2">
        <v>0</v>
      </c>
      <c r="H427" s="4">
        <f t="shared" si="30"/>
        <v>3.8720319156109486</v>
      </c>
      <c r="I427" s="4">
        <f t="shared" si="31"/>
        <v>8.0063675676502459</v>
      </c>
      <c r="J427" s="4">
        <f t="shared" si="32"/>
        <v>5.0625950330269669</v>
      </c>
      <c r="K427" s="4">
        <f t="shared" si="33"/>
        <v>45.6</v>
      </c>
      <c r="L427" s="4">
        <f t="shared" si="34"/>
        <v>0</v>
      </c>
    </row>
    <row r="428" spans="1:12" x14ac:dyDescent="0.35">
      <c r="A428" s="2" t="s">
        <v>359</v>
      </c>
      <c r="B428" s="2" t="s">
        <v>67</v>
      </c>
      <c r="C428" s="2">
        <v>45.6267</v>
      </c>
      <c r="D428" s="2">
        <v>3000</v>
      </c>
      <c r="E428" s="2">
        <v>158</v>
      </c>
      <c r="F428" s="2">
        <v>45.6</v>
      </c>
      <c r="G428" s="2">
        <v>0</v>
      </c>
      <c r="H428" s="4">
        <f t="shared" si="30"/>
        <v>3.8204930714824812</v>
      </c>
      <c r="I428" s="4">
        <f t="shared" si="31"/>
        <v>8.0063675676502459</v>
      </c>
      <c r="J428" s="4">
        <f t="shared" si="32"/>
        <v>5.0625950330269669</v>
      </c>
      <c r="K428" s="4">
        <f t="shared" si="33"/>
        <v>45.6</v>
      </c>
      <c r="L428" s="4">
        <f t="shared" si="34"/>
        <v>0</v>
      </c>
    </row>
    <row r="429" spans="1:12" x14ac:dyDescent="0.35">
      <c r="A429" s="2" t="s">
        <v>361</v>
      </c>
      <c r="B429" s="2" t="s">
        <v>67</v>
      </c>
      <c r="C429" s="2">
        <v>48.177799999999998</v>
      </c>
      <c r="D429" s="2">
        <v>3500</v>
      </c>
      <c r="E429" s="2">
        <v>180</v>
      </c>
      <c r="F429" s="2">
        <v>45.6</v>
      </c>
      <c r="G429" s="2">
        <v>0</v>
      </c>
      <c r="H429" s="4">
        <f t="shared" si="30"/>
        <v>3.8748983340437233</v>
      </c>
      <c r="I429" s="4">
        <f t="shared" si="31"/>
        <v>8.1605182474775049</v>
      </c>
      <c r="J429" s="4">
        <f t="shared" si="32"/>
        <v>5.1929568508902104</v>
      </c>
      <c r="K429" s="4">
        <f t="shared" si="33"/>
        <v>45.6</v>
      </c>
      <c r="L429" s="4">
        <f t="shared" si="34"/>
        <v>0</v>
      </c>
    </row>
    <row r="430" spans="1:12" x14ac:dyDescent="0.35">
      <c r="A430" s="2" t="s">
        <v>361</v>
      </c>
      <c r="B430" s="2" t="s">
        <v>67</v>
      </c>
      <c r="C430" s="2">
        <v>45.7074</v>
      </c>
      <c r="D430" s="2">
        <v>3500</v>
      </c>
      <c r="E430" s="2">
        <v>180</v>
      </c>
      <c r="F430" s="2">
        <v>45.6</v>
      </c>
      <c r="G430" s="2">
        <v>0</v>
      </c>
      <c r="H430" s="4">
        <f t="shared" si="30"/>
        <v>3.8222602103933743</v>
      </c>
      <c r="I430" s="4">
        <f t="shared" si="31"/>
        <v>8.1605182474775049</v>
      </c>
      <c r="J430" s="4">
        <f t="shared" si="32"/>
        <v>5.1929568508902104</v>
      </c>
      <c r="K430" s="4">
        <f t="shared" si="33"/>
        <v>45.6</v>
      </c>
      <c r="L430" s="4">
        <f t="shared" si="34"/>
        <v>0</v>
      </c>
    </row>
    <row r="431" spans="1:12" x14ac:dyDescent="0.35">
      <c r="A431" s="2" t="s">
        <v>361</v>
      </c>
      <c r="B431" s="2" t="s">
        <v>67</v>
      </c>
      <c r="C431" s="2">
        <v>42.753100000000003</v>
      </c>
      <c r="D431" s="2">
        <v>3500</v>
      </c>
      <c r="E431" s="2">
        <v>180</v>
      </c>
      <c r="F431" s="2">
        <v>45.6</v>
      </c>
      <c r="G431" s="2">
        <v>0</v>
      </c>
      <c r="H431" s="4">
        <f t="shared" si="30"/>
        <v>3.7554417073735942</v>
      </c>
      <c r="I431" s="4">
        <f t="shared" si="31"/>
        <v>8.1605182474775049</v>
      </c>
      <c r="J431" s="4">
        <f t="shared" si="32"/>
        <v>5.1929568508902104</v>
      </c>
      <c r="K431" s="4">
        <f t="shared" si="33"/>
        <v>45.6</v>
      </c>
      <c r="L431" s="4">
        <f t="shared" si="34"/>
        <v>0</v>
      </c>
    </row>
    <row r="432" spans="1:12" x14ac:dyDescent="0.35">
      <c r="A432" s="2" t="s">
        <v>361</v>
      </c>
      <c r="B432" s="2" t="s">
        <v>67</v>
      </c>
      <c r="C432" s="2">
        <v>45.141300000000001</v>
      </c>
      <c r="D432" s="2">
        <v>3000</v>
      </c>
      <c r="E432" s="2">
        <v>158</v>
      </c>
      <c r="F432" s="2">
        <v>45.6</v>
      </c>
      <c r="G432" s="2">
        <v>0</v>
      </c>
      <c r="H432" s="4">
        <f t="shared" si="30"/>
        <v>3.8097975702657925</v>
      </c>
      <c r="I432" s="4">
        <f t="shared" si="31"/>
        <v>8.0063675676502459</v>
      </c>
      <c r="J432" s="4">
        <f t="shared" si="32"/>
        <v>5.0625950330269669</v>
      </c>
      <c r="K432" s="4">
        <f t="shared" si="33"/>
        <v>45.6</v>
      </c>
      <c r="L432" s="4">
        <f t="shared" si="34"/>
        <v>0</v>
      </c>
    </row>
    <row r="433" spans="1:12" x14ac:dyDescent="0.35">
      <c r="A433" s="2" t="s">
        <v>361</v>
      </c>
      <c r="B433" s="2" t="s">
        <v>67</v>
      </c>
      <c r="C433" s="2">
        <v>43.640300000000003</v>
      </c>
      <c r="D433" s="2">
        <v>3000</v>
      </c>
      <c r="E433" s="2">
        <v>158</v>
      </c>
      <c r="F433" s="2">
        <v>45.6</v>
      </c>
      <c r="G433" s="2">
        <v>0</v>
      </c>
      <c r="H433" s="4">
        <f t="shared" si="30"/>
        <v>3.7759810353683725</v>
      </c>
      <c r="I433" s="4">
        <f t="shared" si="31"/>
        <v>8.0063675676502459</v>
      </c>
      <c r="J433" s="4">
        <f t="shared" si="32"/>
        <v>5.0625950330269669</v>
      </c>
      <c r="K433" s="4">
        <f t="shared" si="33"/>
        <v>45.6</v>
      </c>
      <c r="L433" s="4">
        <f t="shared" si="34"/>
        <v>0</v>
      </c>
    </row>
    <row r="434" spans="1:12" x14ac:dyDescent="0.35">
      <c r="A434" s="2" t="s">
        <v>361</v>
      </c>
      <c r="B434" s="2" t="s">
        <v>67</v>
      </c>
      <c r="C434" s="2">
        <v>40.329700000000003</v>
      </c>
      <c r="D434" s="2">
        <v>3000</v>
      </c>
      <c r="E434" s="2">
        <v>158</v>
      </c>
      <c r="F434" s="2">
        <v>45.6</v>
      </c>
      <c r="G434" s="2">
        <v>0</v>
      </c>
      <c r="H434" s="4">
        <f t="shared" si="30"/>
        <v>3.6970881702263183</v>
      </c>
      <c r="I434" s="4">
        <f t="shared" si="31"/>
        <v>8.0063675676502459</v>
      </c>
      <c r="J434" s="4">
        <f t="shared" si="32"/>
        <v>5.0625950330269669</v>
      </c>
      <c r="K434" s="4">
        <f t="shared" si="33"/>
        <v>45.6</v>
      </c>
      <c r="L434" s="4">
        <f t="shared" si="34"/>
        <v>0</v>
      </c>
    </row>
    <row r="435" spans="1:12" x14ac:dyDescent="0.35">
      <c r="A435" s="2" t="s">
        <v>361</v>
      </c>
      <c r="B435" s="2" t="s">
        <v>67</v>
      </c>
      <c r="C435" s="2">
        <v>31.2608</v>
      </c>
      <c r="D435" s="2">
        <v>3500</v>
      </c>
      <c r="E435" s="2">
        <v>315</v>
      </c>
      <c r="F435" s="2">
        <v>45.6</v>
      </c>
      <c r="G435" s="2">
        <v>0</v>
      </c>
      <c r="H435" s="4">
        <f t="shared" si="30"/>
        <v>3.4423649164764862</v>
      </c>
      <c r="I435" s="4">
        <f t="shared" si="31"/>
        <v>8.1605182474775049</v>
      </c>
      <c r="J435" s="4">
        <f t="shared" si="32"/>
        <v>5.7525726388256331</v>
      </c>
      <c r="K435" s="4">
        <f t="shared" si="33"/>
        <v>45.6</v>
      </c>
      <c r="L435" s="4">
        <f t="shared" si="34"/>
        <v>0</v>
      </c>
    </row>
    <row r="436" spans="1:12" x14ac:dyDescent="0.35">
      <c r="A436" s="2" t="s">
        <v>362</v>
      </c>
      <c r="B436" s="2" t="s">
        <v>67</v>
      </c>
      <c r="C436" s="2">
        <v>45.177799999999998</v>
      </c>
      <c r="D436" s="2">
        <v>3500</v>
      </c>
      <c r="E436" s="2">
        <v>192</v>
      </c>
      <c r="F436" s="2">
        <v>49</v>
      </c>
      <c r="G436" s="2">
        <v>0</v>
      </c>
      <c r="H436" s="4">
        <f t="shared" si="30"/>
        <v>3.8106058157418214</v>
      </c>
      <c r="I436" s="4">
        <f t="shared" si="31"/>
        <v>8.1605182474775049</v>
      </c>
      <c r="J436" s="4">
        <f t="shared" si="32"/>
        <v>5.2574953720277815</v>
      </c>
      <c r="K436" s="4">
        <f t="shared" si="33"/>
        <v>49</v>
      </c>
      <c r="L436" s="4">
        <f t="shared" si="34"/>
        <v>0</v>
      </c>
    </row>
    <row r="437" spans="1:12" x14ac:dyDescent="0.35">
      <c r="A437" s="2" t="s">
        <v>362</v>
      </c>
      <c r="B437" s="2" t="s">
        <v>33</v>
      </c>
      <c r="C437" s="2">
        <v>69.817099999999996</v>
      </c>
      <c r="D437" s="2">
        <v>3500</v>
      </c>
      <c r="E437" s="2">
        <v>146</v>
      </c>
      <c r="F437" s="2">
        <v>49</v>
      </c>
      <c r="G437" s="2">
        <v>1</v>
      </c>
      <c r="H437" s="4">
        <f t="shared" si="30"/>
        <v>4.2458789654375897</v>
      </c>
      <c r="I437" s="4">
        <f t="shared" si="31"/>
        <v>8.1605182474775049</v>
      </c>
      <c r="J437" s="4">
        <f t="shared" si="32"/>
        <v>4.9836066217083363</v>
      </c>
      <c r="K437" s="4">
        <f t="shared" si="33"/>
        <v>49</v>
      </c>
      <c r="L437" s="4">
        <f t="shared" si="34"/>
        <v>1</v>
      </c>
    </row>
    <row r="438" spans="1:12" x14ac:dyDescent="0.35">
      <c r="A438" s="2" t="s">
        <v>363</v>
      </c>
      <c r="B438" s="2" t="s">
        <v>33</v>
      </c>
      <c r="C438" s="2">
        <v>63.3553</v>
      </c>
      <c r="D438" s="2">
        <v>3500</v>
      </c>
      <c r="E438" s="2">
        <v>146</v>
      </c>
      <c r="F438" s="2">
        <v>48.7</v>
      </c>
      <c r="G438" s="2">
        <v>1</v>
      </c>
      <c r="H438" s="4">
        <f t="shared" si="30"/>
        <v>4.1487585654618213</v>
      </c>
      <c r="I438" s="4">
        <f t="shared" si="31"/>
        <v>8.1605182474775049</v>
      </c>
      <c r="J438" s="4">
        <f t="shared" si="32"/>
        <v>4.9836066217083363</v>
      </c>
      <c r="K438" s="4">
        <f t="shared" si="33"/>
        <v>48.7</v>
      </c>
      <c r="L438" s="4">
        <f t="shared" si="34"/>
        <v>1</v>
      </c>
    </row>
    <row r="439" spans="1:12" x14ac:dyDescent="0.35">
      <c r="A439" s="2" t="s">
        <v>364</v>
      </c>
      <c r="B439" s="2" t="s">
        <v>67</v>
      </c>
      <c r="C439" s="2">
        <v>39.121899999999997</v>
      </c>
      <c r="D439" s="2">
        <v>4000</v>
      </c>
      <c r="E439" s="2">
        <v>190</v>
      </c>
      <c r="F439" s="2">
        <v>46.9</v>
      </c>
      <c r="G439" s="2">
        <v>0</v>
      </c>
      <c r="H439" s="4">
        <f t="shared" si="30"/>
        <v>3.666682412494362</v>
      </c>
      <c r="I439" s="4">
        <f t="shared" si="31"/>
        <v>8.2940496401020276</v>
      </c>
      <c r="J439" s="4">
        <f t="shared" si="32"/>
        <v>5.2470240721604862</v>
      </c>
      <c r="K439" s="4">
        <f t="shared" si="33"/>
        <v>46.9</v>
      </c>
      <c r="L439" s="4">
        <f t="shared" si="34"/>
        <v>0</v>
      </c>
    </row>
    <row r="440" spans="1:12" x14ac:dyDescent="0.35">
      <c r="A440" s="2" t="s">
        <v>364</v>
      </c>
      <c r="B440" s="2" t="s">
        <v>33</v>
      </c>
      <c r="C440" s="2">
        <v>52.924500000000002</v>
      </c>
      <c r="D440" s="2">
        <v>4000</v>
      </c>
      <c r="E440" s="2">
        <v>145</v>
      </c>
      <c r="F440" s="2">
        <v>46.9</v>
      </c>
      <c r="G440" s="2">
        <v>1</v>
      </c>
      <c r="H440" s="4">
        <f t="shared" si="30"/>
        <v>3.9688663696451738</v>
      </c>
      <c r="I440" s="4">
        <f t="shared" si="31"/>
        <v>8.2940496401020276</v>
      </c>
      <c r="J440" s="4">
        <f t="shared" si="32"/>
        <v>4.9767337424205742</v>
      </c>
      <c r="K440" s="4">
        <f t="shared" si="33"/>
        <v>46.9</v>
      </c>
      <c r="L440" s="4">
        <f t="shared" si="34"/>
        <v>1</v>
      </c>
    </row>
    <row r="441" spans="1:12" x14ac:dyDescent="0.35">
      <c r="A441" s="2" t="s">
        <v>365</v>
      </c>
      <c r="B441" s="2" t="s">
        <v>67</v>
      </c>
      <c r="C441" s="2">
        <v>41.339700000000001</v>
      </c>
      <c r="D441" s="2">
        <v>3500</v>
      </c>
      <c r="E441" s="2">
        <v>190</v>
      </c>
      <c r="F441" s="2">
        <v>47.1</v>
      </c>
      <c r="G441" s="2">
        <v>0</v>
      </c>
      <c r="H441" s="4">
        <f t="shared" si="30"/>
        <v>3.7218232973332417</v>
      </c>
      <c r="I441" s="4">
        <f t="shared" si="31"/>
        <v>8.1605182474775049</v>
      </c>
      <c r="J441" s="4">
        <f t="shared" si="32"/>
        <v>5.2470240721604862</v>
      </c>
      <c r="K441" s="4">
        <f t="shared" si="33"/>
        <v>47.1</v>
      </c>
      <c r="L441" s="4">
        <f t="shared" si="34"/>
        <v>0</v>
      </c>
    </row>
    <row r="442" spans="1:12" x14ac:dyDescent="0.35">
      <c r="A442" s="2" t="s">
        <v>365</v>
      </c>
      <c r="B442" s="2" t="s">
        <v>33</v>
      </c>
      <c r="C442" s="2">
        <v>58.0184</v>
      </c>
      <c r="D442" s="2">
        <v>4000</v>
      </c>
      <c r="E442" s="2">
        <v>145</v>
      </c>
      <c r="F442" s="2">
        <v>47.1</v>
      </c>
      <c r="G442" s="2">
        <v>1</v>
      </c>
      <c r="H442" s="4">
        <f t="shared" si="30"/>
        <v>4.0607602016153237</v>
      </c>
      <c r="I442" s="4">
        <f t="shared" si="31"/>
        <v>8.2940496401020276</v>
      </c>
      <c r="J442" s="4">
        <f t="shared" si="32"/>
        <v>4.9767337424205742</v>
      </c>
      <c r="K442" s="4">
        <f t="shared" si="33"/>
        <v>47.1</v>
      </c>
      <c r="L442" s="4">
        <f t="shared" si="34"/>
        <v>1</v>
      </c>
    </row>
    <row r="443" spans="1:12" x14ac:dyDescent="0.35">
      <c r="A443" s="2" t="s">
        <v>366</v>
      </c>
      <c r="B443" s="2" t="s">
        <v>67</v>
      </c>
      <c r="C443" s="2">
        <v>36.486600000000003</v>
      </c>
      <c r="D443" s="2">
        <v>3500</v>
      </c>
      <c r="E443" s="2">
        <v>158</v>
      </c>
      <c r="F443" s="2">
        <v>45.6</v>
      </c>
      <c r="G443" s="2">
        <v>0</v>
      </c>
      <c r="H443" s="4">
        <f t="shared" si="30"/>
        <v>3.5969450698945225</v>
      </c>
      <c r="I443" s="4">
        <f t="shared" si="31"/>
        <v>8.1605182474775049</v>
      </c>
      <c r="J443" s="4">
        <f t="shared" si="32"/>
        <v>5.0625950330269669</v>
      </c>
      <c r="K443" s="4">
        <f t="shared" si="33"/>
        <v>45.6</v>
      </c>
      <c r="L443" s="4">
        <f t="shared" si="34"/>
        <v>0</v>
      </c>
    </row>
    <row r="444" spans="1:12" x14ac:dyDescent="0.35">
      <c r="A444" s="2" t="s">
        <v>367</v>
      </c>
      <c r="B444" s="2" t="s">
        <v>67</v>
      </c>
      <c r="C444" s="2">
        <v>38.529200000000003</v>
      </c>
      <c r="D444" s="2">
        <v>3500</v>
      </c>
      <c r="E444" s="2">
        <v>158</v>
      </c>
      <c r="F444" s="2">
        <v>45.6</v>
      </c>
      <c r="G444" s="2">
        <v>0</v>
      </c>
      <c r="H444" s="4">
        <f t="shared" si="30"/>
        <v>3.6514163953807257</v>
      </c>
      <c r="I444" s="4">
        <f t="shared" si="31"/>
        <v>8.1605182474775049</v>
      </c>
      <c r="J444" s="4">
        <f t="shared" si="32"/>
        <v>5.0625950330269669</v>
      </c>
      <c r="K444" s="4">
        <f t="shared" si="33"/>
        <v>45.6</v>
      </c>
      <c r="L444" s="4">
        <f t="shared" si="34"/>
        <v>0</v>
      </c>
    </row>
    <row r="445" spans="1:12" x14ac:dyDescent="0.35">
      <c r="A445" s="2" t="s">
        <v>368</v>
      </c>
      <c r="B445" s="2" t="s">
        <v>67</v>
      </c>
      <c r="C445" s="2">
        <v>29.517900000000001</v>
      </c>
      <c r="D445" s="2">
        <v>4500</v>
      </c>
      <c r="E445" s="2">
        <v>280</v>
      </c>
      <c r="F445" s="2">
        <v>55.1</v>
      </c>
      <c r="G445" s="2">
        <v>0</v>
      </c>
      <c r="H445" s="4">
        <f t="shared" si="30"/>
        <v>3.3849968589904469</v>
      </c>
      <c r="I445" s="4">
        <f t="shared" si="31"/>
        <v>8.4118326757584114</v>
      </c>
      <c r="J445" s="4">
        <f t="shared" si="32"/>
        <v>5.6347896031692493</v>
      </c>
      <c r="K445" s="4">
        <f t="shared" si="33"/>
        <v>55.1</v>
      </c>
      <c r="L445" s="4">
        <f t="shared" si="34"/>
        <v>0</v>
      </c>
    </row>
    <row r="446" spans="1:12" x14ac:dyDescent="0.35">
      <c r="A446" s="2" t="s">
        <v>369</v>
      </c>
      <c r="B446" s="2" t="s">
        <v>67</v>
      </c>
      <c r="C446" s="2">
        <v>28.048100000000002</v>
      </c>
      <c r="D446" s="2">
        <v>4500</v>
      </c>
      <c r="E446" s="2">
        <v>285</v>
      </c>
      <c r="F446" s="2">
        <v>53.4</v>
      </c>
      <c r="G446" s="2">
        <v>0</v>
      </c>
      <c r="H446" s="4">
        <f t="shared" si="30"/>
        <v>3.3339208934891231</v>
      </c>
      <c r="I446" s="4">
        <f t="shared" si="31"/>
        <v>8.4118326757584114</v>
      </c>
      <c r="J446" s="4">
        <f t="shared" si="32"/>
        <v>5.6524891802686508</v>
      </c>
      <c r="K446" s="4">
        <f t="shared" si="33"/>
        <v>53.4</v>
      </c>
      <c r="L446" s="4">
        <f t="shared" si="34"/>
        <v>0</v>
      </c>
    </row>
    <row r="447" spans="1:12" x14ac:dyDescent="0.35">
      <c r="A447" s="2" t="s">
        <v>370</v>
      </c>
      <c r="B447" s="2" t="s">
        <v>67</v>
      </c>
      <c r="C447" s="2">
        <v>29.528400000000001</v>
      </c>
      <c r="D447" s="2">
        <v>4500</v>
      </c>
      <c r="E447" s="2">
        <v>285</v>
      </c>
      <c r="F447" s="2">
        <v>53.4</v>
      </c>
      <c r="G447" s="2">
        <v>0</v>
      </c>
      <c r="H447" s="4">
        <f t="shared" si="30"/>
        <v>3.3853525121003178</v>
      </c>
      <c r="I447" s="4">
        <f t="shared" si="31"/>
        <v>8.4118326757584114</v>
      </c>
      <c r="J447" s="4">
        <f t="shared" si="32"/>
        <v>5.6524891802686508</v>
      </c>
      <c r="K447" s="4">
        <f t="shared" si="33"/>
        <v>53.4</v>
      </c>
      <c r="L447" s="4">
        <f t="shared" si="34"/>
        <v>0</v>
      </c>
    </row>
    <row r="448" spans="1:12" x14ac:dyDescent="0.35">
      <c r="A448" s="2" t="s">
        <v>371</v>
      </c>
      <c r="B448" s="2" t="s">
        <v>67</v>
      </c>
      <c r="C448" s="2">
        <v>27.425599999999999</v>
      </c>
      <c r="D448" s="2">
        <v>5000</v>
      </c>
      <c r="E448" s="2">
        <v>285</v>
      </c>
      <c r="F448" s="2">
        <v>53.4</v>
      </c>
      <c r="G448" s="2">
        <v>0</v>
      </c>
      <c r="H448" s="4">
        <f t="shared" si="30"/>
        <v>3.3114768837706556</v>
      </c>
      <c r="I448" s="4">
        <f t="shared" si="31"/>
        <v>8.5171931914162382</v>
      </c>
      <c r="J448" s="4">
        <f t="shared" si="32"/>
        <v>5.6524891802686508</v>
      </c>
      <c r="K448" s="4">
        <f t="shared" si="33"/>
        <v>53.4</v>
      </c>
      <c r="L448" s="4">
        <f t="shared" si="34"/>
        <v>0</v>
      </c>
    </row>
    <row r="449" spans="1:12" x14ac:dyDescent="0.35">
      <c r="A449" s="2" t="s">
        <v>372</v>
      </c>
      <c r="B449" s="2" t="s">
        <v>67</v>
      </c>
      <c r="C449" s="2">
        <v>26.0425</v>
      </c>
      <c r="D449" s="2">
        <v>5000</v>
      </c>
      <c r="E449" s="2">
        <v>285</v>
      </c>
      <c r="F449" s="2">
        <v>53.2</v>
      </c>
      <c r="G449" s="2">
        <v>0</v>
      </c>
      <c r="H449" s="4">
        <f t="shared" si="30"/>
        <v>3.2597298188764667</v>
      </c>
      <c r="I449" s="4">
        <f t="shared" si="31"/>
        <v>8.5171931914162382</v>
      </c>
      <c r="J449" s="4">
        <f t="shared" si="32"/>
        <v>5.6524891802686508</v>
      </c>
      <c r="K449" s="4">
        <f t="shared" si="33"/>
        <v>53.2</v>
      </c>
      <c r="L449" s="4">
        <f t="shared" si="34"/>
        <v>0</v>
      </c>
    </row>
    <row r="450" spans="1:12" x14ac:dyDescent="0.35">
      <c r="A450" s="2" t="s">
        <v>373</v>
      </c>
      <c r="B450" s="2" t="s">
        <v>67</v>
      </c>
      <c r="C450" s="2">
        <v>28.072199999999999</v>
      </c>
      <c r="D450" s="2">
        <v>4500</v>
      </c>
      <c r="E450" s="2">
        <v>280</v>
      </c>
      <c r="F450" s="2">
        <v>51.4</v>
      </c>
      <c r="G450" s="2">
        <v>0</v>
      </c>
      <c r="H450" s="4">
        <f t="shared" ref="H450:H513" si="35">LN(C450)</f>
        <v>3.3347797627924396</v>
      </c>
      <c r="I450" s="4">
        <f t="shared" ref="I450:I513" si="36">LN(D450)</f>
        <v>8.4118326757584114</v>
      </c>
      <c r="J450" s="4">
        <f t="shared" ref="J450:J513" si="37">LN(E450)</f>
        <v>5.6347896031692493</v>
      </c>
      <c r="K450" s="4">
        <f t="shared" ref="K450:K513" si="38">F450</f>
        <v>51.4</v>
      </c>
      <c r="L450" s="4">
        <f t="shared" ref="L450:L513" si="39">G450</f>
        <v>0</v>
      </c>
    </row>
    <row r="451" spans="1:12" x14ac:dyDescent="0.35">
      <c r="A451" s="2" t="s">
        <v>374</v>
      </c>
      <c r="B451" s="2" t="s">
        <v>67</v>
      </c>
      <c r="C451" s="2">
        <v>27.1602</v>
      </c>
      <c r="D451" s="2">
        <v>4500</v>
      </c>
      <c r="E451" s="2">
        <v>280</v>
      </c>
      <c r="F451" s="2">
        <v>58.1</v>
      </c>
      <c r="G451" s="2">
        <v>0</v>
      </c>
      <c r="H451" s="4">
        <f t="shared" si="35"/>
        <v>3.3017526664336332</v>
      </c>
      <c r="I451" s="4">
        <f t="shared" si="36"/>
        <v>8.4118326757584114</v>
      </c>
      <c r="J451" s="4">
        <f t="shared" si="37"/>
        <v>5.6347896031692493</v>
      </c>
      <c r="K451" s="4">
        <f t="shared" si="38"/>
        <v>58.1</v>
      </c>
      <c r="L451" s="4">
        <f t="shared" si="39"/>
        <v>0</v>
      </c>
    </row>
    <row r="452" spans="1:12" x14ac:dyDescent="0.35">
      <c r="A452" s="2" t="s">
        <v>375</v>
      </c>
      <c r="B452" s="2" t="s">
        <v>67</v>
      </c>
      <c r="C452" s="2">
        <v>26.7837</v>
      </c>
      <c r="D452" s="2">
        <v>4500</v>
      </c>
      <c r="E452" s="2">
        <v>280</v>
      </c>
      <c r="F452" s="2">
        <v>58.1</v>
      </c>
      <c r="G452" s="2">
        <v>0</v>
      </c>
      <c r="H452" s="4">
        <f t="shared" si="35"/>
        <v>3.2877934935274906</v>
      </c>
      <c r="I452" s="4">
        <f t="shared" si="36"/>
        <v>8.4118326757584114</v>
      </c>
      <c r="J452" s="4">
        <f t="shared" si="37"/>
        <v>5.6347896031692493</v>
      </c>
      <c r="K452" s="4">
        <f t="shared" si="38"/>
        <v>58.1</v>
      </c>
      <c r="L452" s="4">
        <f t="shared" si="39"/>
        <v>0</v>
      </c>
    </row>
    <row r="453" spans="1:12" x14ac:dyDescent="0.35">
      <c r="A453" s="2" t="s">
        <v>376</v>
      </c>
      <c r="B453" s="2" t="s">
        <v>67</v>
      </c>
      <c r="C453" s="2">
        <v>27.7745</v>
      </c>
      <c r="D453" s="2">
        <v>4500</v>
      </c>
      <c r="E453" s="2">
        <v>290</v>
      </c>
      <c r="F453" s="2">
        <v>53.5</v>
      </c>
      <c r="G453" s="2">
        <v>0</v>
      </c>
      <c r="H453" s="4">
        <f t="shared" si="35"/>
        <v>3.3241183335634794</v>
      </c>
      <c r="I453" s="4">
        <f t="shared" si="36"/>
        <v>8.4118326757584114</v>
      </c>
      <c r="J453" s="4">
        <f t="shared" si="37"/>
        <v>5.6698809229805196</v>
      </c>
      <c r="K453" s="4">
        <f t="shared" si="38"/>
        <v>53.5</v>
      </c>
      <c r="L453" s="4">
        <f t="shared" si="39"/>
        <v>0</v>
      </c>
    </row>
    <row r="454" spans="1:12" x14ac:dyDescent="0.35">
      <c r="A454" s="2" t="s">
        <v>377</v>
      </c>
      <c r="B454" s="2" t="s">
        <v>67</v>
      </c>
      <c r="C454" s="2">
        <v>29.328299999999999</v>
      </c>
      <c r="D454" s="2">
        <v>4500</v>
      </c>
      <c r="E454" s="2">
        <v>290</v>
      </c>
      <c r="F454" s="2">
        <v>53.5</v>
      </c>
      <c r="G454" s="2">
        <v>0</v>
      </c>
      <c r="H454" s="4">
        <f t="shared" si="35"/>
        <v>3.3785529201776017</v>
      </c>
      <c r="I454" s="4">
        <f t="shared" si="36"/>
        <v>8.4118326757584114</v>
      </c>
      <c r="J454" s="4">
        <f t="shared" si="37"/>
        <v>5.6698809229805196</v>
      </c>
      <c r="K454" s="4">
        <f t="shared" si="38"/>
        <v>53.5</v>
      </c>
      <c r="L454" s="4">
        <f t="shared" si="39"/>
        <v>0</v>
      </c>
    </row>
    <row r="455" spans="1:12" x14ac:dyDescent="0.35">
      <c r="A455" s="2" t="s">
        <v>378</v>
      </c>
      <c r="B455" s="2" t="s">
        <v>67</v>
      </c>
      <c r="C455" s="2">
        <v>26.145299999999999</v>
      </c>
      <c r="D455" s="2">
        <v>5000</v>
      </c>
      <c r="E455" s="2">
        <v>355</v>
      </c>
      <c r="F455" s="2">
        <v>53.5</v>
      </c>
      <c r="G455" s="2">
        <v>0</v>
      </c>
      <c r="H455" s="4">
        <f t="shared" si="35"/>
        <v>3.2636694420435686</v>
      </c>
      <c r="I455" s="4">
        <f t="shared" si="36"/>
        <v>8.5171931914162382</v>
      </c>
      <c r="J455" s="4">
        <f t="shared" si="37"/>
        <v>5.872117789475416</v>
      </c>
      <c r="K455" s="4">
        <f t="shared" si="38"/>
        <v>53.5</v>
      </c>
      <c r="L455" s="4">
        <f t="shared" si="39"/>
        <v>0</v>
      </c>
    </row>
    <row r="456" spans="1:12" x14ac:dyDescent="0.35">
      <c r="A456" s="2" t="s">
        <v>379</v>
      </c>
      <c r="B456" s="2" t="s">
        <v>67</v>
      </c>
      <c r="C456" s="2">
        <v>33.504300000000001</v>
      </c>
      <c r="D456" s="2">
        <v>4000</v>
      </c>
      <c r="E456" s="2">
        <v>272</v>
      </c>
      <c r="F456" s="2">
        <v>50.5</v>
      </c>
      <c r="G456" s="2">
        <v>0</v>
      </c>
      <c r="H456" s="4">
        <f t="shared" si="35"/>
        <v>3.5116737888027658</v>
      </c>
      <c r="I456" s="4">
        <f t="shared" si="36"/>
        <v>8.2940496401020276</v>
      </c>
      <c r="J456" s="4">
        <f t="shared" si="37"/>
        <v>5.6058020662959978</v>
      </c>
      <c r="K456" s="4">
        <f t="shared" si="38"/>
        <v>50.5</v>
      </c>
      <c r="L456" s="4">
        <f t="shared" si="39"/>
        <v>0</v>
      </c>
    </row>
    <row r="457" spans="1:12" x14ac:dyDescent="0.35">
      <c r="A457" s="2" t="s">
        <v>380</v>
      </c>
      <c r="B457" s="2" t="s">
        <v>67</v>
      </c>
      <c r="C457" s="2">
        <v>31.621300000000002</v>
      </c>
      <c r="D457" s="2">
        <v>4000</v>
      </c>
      <c r="E457" s="2">
        <v>272</v>
      </c>
      <c r="F457" s="2">
        <v>50.5</v>
      </c>
      <c r="G457" s="2">
        <v>0</v>
      </c>
      <c r="H457" s="4">
        <f t="shared" si="35"/>
        <v>3.453830944155682</v>
      </c>
      <c r="I457" s="4">
        <f t="shared" si="36"/>
        <v>8.2940496401020276</v>
      </c>
      <c r="J457" s="4">
        <f t="shared" si="37"/>
        <v>5.6058020662959978</v>
      </c>
      <c r="K457" s="4">
        <f t="shared" si="38"/>
        <v>50.5</v>
      </c>
      <c r="L457" s="4">
        <f t="shared" si="39"/>
        <v>0</v>
      </c>
    </row>
    <row r="458" spans="1:12" x14ac:dyDescent="0.35">
      <c r="A458" s="2" t="s">
        <v>381</v>
      </c>
      <c r="B458" s="2" t="s">
        <v>67</v>
      </c>
      <c r="C458" s="2">
        <v>29.148700000000002</v>
      </c>
      <c r="D458" s="2">
        <v>4500</v>
      </c>
      <c r="E458" s="2">
        <v>355</v>
      </c>
      <c r="F458" s="2">
        <v>50.5</v>
      </c>
      <c r="G458" s="2">
        <v>0</v>
      </c>
      <c r="H458" s="4">
        <f t="shared" si="35"/>
        <v>3.3724103148895082</v>
      </c>
      <c r="I458" s="4">
        <f t="shared" si="36"/>
        <v>8.4118326757584114</v>
      </c>
      <c r="J458" s="4">
        <f t="shared" si="37"/>
        <v>5.872117789475416</v>
      </c>
      <c r="K458" s="4">
        <f t="shared" si="38"/>
        <v>50.5</v>
      </c>
      <c r="L458" s="4">
        <f t="shared" si="39"/>
        <v>0</v>
      </c>
    </row>
    <row r="459" spans="1:12" x14ac:dyDescent="0.35">
      <c r="A459" s="2" t="s">
        <v>382</v>
      </c>
      <c r="B459" s="2" t="s">
        <v>67</v>
      </c>
      <c r="C459" s="2">
        <v>31.487100000000002</v>
      </c>
      <c r="D459" s="2">
        <v>4000</v>
      </c>
      <c r="E459" s="2">
        <v>272</v>
      </c>
      <c r="F459" s="2">
        <v>48.4</v>
      </c>
      <c r="G459" s="2">
        <v>0</v>
      </c>
      <c r="H459" s="4">
        <f t="shared" si="35"/>
        <v>3.4495779381442877</v>
      </c>
      <c r="I459" s="4">
        <f t="shared" si="36"/>
        <v>8.2940496401020276</v>
      </c>
      <c r="J459" s="4">
        <f t="shared" si="37"/>
        <v>5.6058020662959978</v>
      </c>
      <c r="K459" s="4">
        <f t="shared" si="38"/>
        <v>48.4</v>
      </c>
      <c r="L459" s="4">
        <f t="shared" si="39"/>
        <v>0</v>
      </c>
    </row>
    <row r="460" spans="1:12" x14ac:dyDescent="0.35">
      <c r="A460" s="2" t="s">
        <v>383</v>
      </c>
      <c r="B460" s="2" t="s">
        <v>67</v>
      </c>
      <c r="C460" s="2">
        <v>30.897600000000001</v>
      </c>
      <c r="D460" s="2">
        <v>4000</v>
      </c>
      <c r="E460" s="2">
        <v>272</v>
      </c>
      <c r="F460" s="2">
        <v>48.4</v>
      </c>
      <c r="G460" s="2">
        <v>0</v>
      </c>
      <c r="H460" s="4">
        <f t="shared" si="35"/>
        <v>3.4306785109843241</v>
      </c>
      <c r="I460" s="4">
        <f t="shared" si="36"/>
        <v>8.2940496401020276</v>
      </c>
      <c r="J460" s="4">
        <f t="shared" si="37"/>
        <v>5.6058020662959978</v>
      </c>
      <c r="K460" s="4">
        <f t="shared" si="38"/>
        <v>48.4</v>
      </c>
      <c r="L460" s="4">
        <f t="shared" si="39"/>
        <v>0</v>
      </c>
    </row>
    <row r="461" spans="1:12" x14ac:dyDescent="0.35">
      <c r="A461" s="2" t="s">
        <v>384</v>
      </c>
      <c r="B461" s="2" t="s">
        <v>67</v>
      </c>
      <c r="C461" s="2">
        <v>45.1038</v>
      </c>
      <c r="D461" s="2">
        <v>3500</v>
      </c>
      <c r="E461" s="2">
        <v>200</v>
      </c>
      <c r="F461" s="2">
        <v>46</v>
      </c>
      <c r="G461" s="2">
        <v>0</v>
      </c>
      <c r="H461" s="4">
        <f t="shared" si="35"/>
        <v>3.8089665001654023</v>
      </c>
      <c r="I461" s="4">
        <f t="shared" si="36"/>
        <v>8.1605182474775049</v>
      </c>
      <c r="J461" s="4">
        <f t="shared" si="37"/>
        <v>5.2983173665480363</v>
      </c>
      <c r="K461" s="4">
        <f t="shared" si="38"/>
        <v>46</v>
      </c>
      <c r="L461" s="4">
        <f t="shared" si="39"/>
        <v>0</v>
      </c>
    </row>
    <row r="462" spans="1:12" x14ac:dyDescent="0.35">
      <c r="A462" s="2" t="s">
        <v>384</v>
      </c>
      <c r="B462" s="2" t="s">
        <v>67</v>
      </c>
      <c r="C462" s="2">
        <v>31.569700000000001</v>
      </c>
      <c r="D462" s="2">
        <v>3500</v>
      </c>
      <c r="E462" s="2">
        <v>320</v>
      </c>
      <c r="F462" s="2">
        <v>46</v>
      </c>
      <c r="G462" s="2">
        <v>0</v>
      </c>
      <c r="H462" s="4">
        <f t="shared" si="35"/>
        <v>3.4521977998323199</v>
      </c>
      <c r="I462" s="4">
        <f t="shared" si="36"/>
        <v>8.1605182474775049</v>
      </c>
      <c r="J462" s="4">
        <f t="shared" si="37"/>
        <v>5.768320995793772</v>
      </c>
      <c r="K462" s="4">
        <f t="shared" si="38"/>
        <v>46</v>
      </c>
      <c r="L462" s="4">
        <f t="shared" si="39"/>
        <v>0</v>
      </c>
    </row>
    <row r="463" spans="1:12" x14ac:dyDescent="0.35">
      <c r="A463" s="2" t="s">
        <v>385</v>
      </c>
      <c r="B463" s="2" t="s">
        <v>67</v>
      </c>
      <c r="C463" s="2">
        <v>43.6203</v>
      </c>
      <c r="D463" s="2">
        <v>3500</v>
      </c>
      <c r="E463" s="2">
        <v>200</v>
      </c>
      <c r="F463" s="2">
        <v>45.6</v>
      </c>
      <c r="G463" s="2">
        <v>0</v>
      </c>
      <c r="H463" s="4">
        <f t="shared" si="35"/>
        <v>3.7755226383289249</v>
      </c>
      <c r="I463" s="4">
        <f t="shared" si="36"/>
        <v>8.1605182474775049</v>
      </c>
      <c r="J463" s="4">
        <f t="shared" si="37"/>
        <v>5.2983173665480363</v>
      </c>
      <c r="K463" s="4">
        <f t="shared" si="38"/>
        <v>45.6</v>
      </c>
      <c r="L463" s="4">
        <f t="shared" si="39"/>
        <v>0</v>
      </c>
    </row>
    <row r="464" spans="1:12" x14ac:dyDescent="0.35">
      <c r="A464" s="2" t="s">
        <v>385</v>
      </c>
      <c r="B464" s="2" t="s">
        <v>67</v>
      </c>
      <c r="C464" s="2">
        <v>41.797400000000003</v>
      </c>
      <c r="D464" s="2">
        <v>3500</v>
      </c>
      <c r="E464" s="2">
        <v>200</v>
      </c>
      <c r="F464" s="2">
        <v>45.6</v>
      </c>
      <c r="G464" s="2">
        <v>0</v>
      </c>
      <c r="H464" s="4">
        <f t="shared" si="35"/>
        <v>3.7328341366392133</v>
      </c>
      <c r="I464" s="4">
        <f t="shared" si="36"/>
        <v>8.1605182474775049</v>
      </c>
      <c r="J464" s="4">
        <f t="shared" si="37"/>
        <v>5.2983173665480363</v>
      </c>
      <c r="K464" s="4">
        <f t="shared" si="38"/>
        <v>45.6</v>
      </c>
      <c r="L464" s="4">
        <f t="shared" si="39"/>
        <v>0</v>
      </c>
    </row>
    <row r="465" spans="1:12" x14ac:dyDescent="0.35">
      <c r="A465" s="2" t="s">
        <v>386</v>
      </c>
      <c r="B465" s="2" t="s">
        <v>67</v>
      </c>
      <c r="C465" s="2">
        <v>28.574400000000001</v>
      </c>
      <c r="D465" s="2">
        <v>4500</v>
      </c>
      <c r="E465" s="2">
        <v>281</v>
      </c>
      <c r="F465" s="2">
        <v>50</v>
      </c>
      <c r="G465" s="2">
        <v>0</v>
      </c>
      <c r="H465" s="4">
        <f t="shared" si="35"/>
        <v>3.3525112120850982</v>
      </c>
      <c r="I465" s="4">
        <f t="shared" si="36"/>
        <v>8.4118326757584114</v>
      </c>
      <c r="J465" s="4">
        <f t="shared" si="37"/>
        <v>5.6383546693337454</v>
      </c>
      <c r="K465" s="4">
        <f t="shared" si="38"/>
        <v>50</v>
      </c>
      <c r="L465" s="4">
        <f t="shared" si="39"/>
        <v>0</v>
      </c>
    </row>
    <row r="466" spans="1:12" x14ac:dyDescent="0.35">
      <c r="A466" s="2" t="s">
        <v>388</v>
      </c>
      <c r="B466" s="2" t="s">
        <v>67</v>
      </c>
      <c r="C466" s="2">
        <v>29.8306</v>
      </c>
      <c r="D466" s="2">
        <v>4500</v>
      </c>
      <c r="E466" s="2">
        <v>281</v>
      </c>
      <c r="F466" s="2">
        <v>49.9</v>
      </c>
      <c r="G466" s="2">
        <v>0</v>
      </c>
      <c r="H466" s="4">
        <f t="shared" si="35"/>
        <v>3.3955347123035895</v>
      </c>
      <c r="I466" s="4">
        <f t="shared" si="36"/>
        <v>8.4118326757584114</v>
      </c>
      <c r="J466" s="4">
        <f t="shared" si="37"/>
        <v>5.6383546693337454</v>
      </c>
      <c r="K466" s="4">
        <f t="shared" si="38"/>
        <v>49.9</v>
      </c>
      <c r="L466" s="4">
        <f t="shared" si="39"/>
        <v>0</v>
      </c>
    </row>
    <row r="467" spans="1:12" x14ac:dyDescent="0.35">
      <c r="A467" s="2" t="s">
        <v>389</v>
      </c>
      <c r="B467" s="2" t="s">
        <v>67</v>
      </c>
      <c r="C467" s="2">
        <v>31.148299999999999</v>
      </c>
      <c r="D467" s="2">
        <v>4500</v>
      </c>
      <c r="E467" s="2">
        <v>281</v>
      </c>
      <c r="F467" s="2">
        <v>49.9</v>
      </c>
      <c r="G467" s="2">
        <v>0</v>
      </c>
      <c r="H467" s="4">
        <f t="shared" si="35"/>
        <v>3.4387596691053681</v>
      </c>
      <c r="I467" s="4">
        <f t="shared" si="36"/>
        <v>8.4118326757584114</v>
      </c>
      <c r="J467" s="4">
        <f t="shared" si="37"/>
        <v>5.6383546693337454</v>
      </c>
      <c r="K467" s="4">
        <f t="shared" si="38"/>
        <v>49.9</v>
      </c>
      <c r="L467" s="4">
        <f t="shared" si="39"/>
        <v>0</v>
      </c>
    </row>
    <row r="468" spans="1:12" x14ac:dyDescent="0.35">
      <c r="A468" s="2" t="s">
        <v>390</v>
      </c>
      <c r="B468" s="2" t="s">
        <v>33</v>
      </c>
      <c r="C468" s="2">
        <v>46.428199999999997</v>
      </c>
      <c r="D468" s="2">
        <v>4500</v>
      </c>
      <c r="E468" s="2">
        <v>178</v>
      </c>
      <c r="F468" s="2">
        <v>50</v>
      </c>
      <c r="G468" s="2">
        <v>1</v>
      </c>
      <c r="H468" s="4">
        <f t="shared" si="35"/>
        <v>3.8379070332424239</v>
      </c>
      <c r="I468" s="4">
        <f t="shared" si="36"/>
        <v>8.4118326757584114</v>
      </c>
      <c r="J468" s="4">
        <f t="shared" si="37"/>
        <v>5.181783550292085</v>
      </c>
      <c r="K468" s="4">
        <f t="shared" si="38"/>
        <v>50</v>
      </c>
      <c r="L468" s="4">
        <f t="shared" si="39"/>
        <v>1</v>
      </c>
    </row>
    <row r="469" spans="1:12" x14ac:dyDescent="0.35">
      <c r="A469" s="2" t="s">
        <v>391</v>
      </c>
      <c r="B469" s="2" t="s">
        <v>33</v>
      </c>
      <c r="C469" s="2">
        <v>47.978499999999997</v>
      </c>
      <c r="D469" s="2">
        <v>4500</v>
      </c>
      <c r="E469" s="2">
        <v>178</v>
      </c>
      <c r="F469" s="2">
        <v>50</v>
      </c>
      <c r="G469" s="2">
        <v>1</v>
      </c>
      <c r="H469" s="4">
        <f t="shared" si="35"/>
        <v>3.870752993896589</v>
      </c>
      <c r="I469" s="4">
        <f t="shared" si="36"/>
        <v>8.4118326757584114</v>
      </c>
      <c r="J469" s="4">
        <f t="shared" si="37"/>
        <v>5.181783550292085</v>
      </c>
      <c r="K469" s="4">
        <f t="shared" si="38"/>
        <v>50</v>
      </c>
      <c r="L469" s="4">
        <f t="shared" si="39"/>
        <v>1</v>
      </c>
    </row>
    <row r="470" spans="1:12" x14ac:dyDescent="0.35">
      <c r="A470" s="2" t="s">
        <v>392</v>
      </c>
      <c r="B470" s="2" t="s">
        <v>67</v>
      </c>
      <c r="C470" s="2">
        <v>30.6873</v>
      </c>
      <c r="D470" s="2">
        <v>4000</v>
      </c>
      <c r="E470" s="2">
        <v>191</v>
      </c>
      <c r="F470" s="2">
        <v>53.2</v>
      </c>
      <c r="G470" s="2">
        <v>0</v>
      </c>
      <c r="H470" s="4">
        <f t="shared" si="35"/>
        <v>3.4238488882218925</v>
      </c>
      <c r="I470" s="4">
        <f t="shared" si="36"/>
        <v>8.2940496401020276</v>
      </c>
      <c r="J470" s="4">
        <f t="shared" si="37"/>
        <v>5.2522734280466299</v>
      </c>
      <c r="K470" s="4">
        <f t="shared" si="38"/>
        <v>53.2</v>
      </c>
      <c r="L470" s="4">
        <f t="shared" si="39"/>
        <v>0</v>
      </c>
    </row>
    <row r="471" spans="1:12" x14ac:dyDescent="0.35">
      <c r="A471" s="2" t="s">
        <v>392</v>
      </c>
      <c r="B471" s="2" t="s">
        <v>67</v>
      </c>
      <c r="C471" s="2">
        <v>29.241599999999998</v>
      </c>
      <c r="D471" s="2">
        <v>4500</v>
      </c>
      <c r="E471" s="2">
        <v>281</v>
      </c>
      <c r="F471" s="2">
        <v>53.2</v>
      </c>
      <c r="G471" s="2">
        <v>0</v>
      </c>
      <c r="H471" s="4">
        <f t="shared" si="35"/>
        <v>3.3755923529467604</v>
      </c>
      <c r="I471" s="4">
        <f t="shared" si="36"/>
        <v>8.4118326757584114</v>
      </c>
      <c r="J471" s="4">
        <f t="shared" si="37"/>
        <v>5.6383546693337454</v>
      </c>
      <c r="K471" s="4">
        <f t="shared" si="38"/>
        <v>53.2</v>
      </c>
      <c r="L471" s="4">
        <f t="shared" si="39"/>
        <v>0</v>
      </c>
    </row>
    <row r="472" spans="1:12" x14ac:dyDescent="0.35">
      <c r="A472" s="2" t="s">
        <v>393</v>
      </c>
      <c r="B472" s="2" t="s">
        <v>67</v>
      </c>
      <c r="C472" s="2">
        <v>32.553199999999997</v>
      </c>
      <c r="D472" s="2">
        <v>4000</v>
      </c>
      <c r="E472" s="2">
        <v>191</v>
      </c>
      <c r="F472" s="2">
        <v>53.2</v>
      </c>
      <c r="G472" s="2">
        <v>0</v>
      </c>
      <c r="H472" s="4">
        <f t="shared" si="35"/>
        <v>3.4828756741142968</v>
      </c>
      <c r="I472" s="4">
        <f t="shared" si="36"/>
        <v>8.2940496401020276</v>
      </c>
      <c r="J472" s="4">
        <f t="shared" si="37"/>
        <v>5.2522734280466299</v>
      </c>
      <c r="K472" s="4">
        <f t="shared" si="38"/>
        <v>53.2</v>
      </c>
      <c r="L472" s="4">
        <f t="shared" si="39"/>
        <v>0</v>
      </c>
    </row>
    <row r="473" spans="1:12" x14ac:dyDescent="0.35">
      <c r="A473" s="2" t="s">
        <v>394</v>
      </c>
      <c r="B473" s="2" t="s">
        <v>67</v>
      </c>
      <c r="C473" s="2">
        <v>37.168500000000002</v>
      </c>
      <c r="D473" s="2">
        <v>3500</v>
      </c>
      <c r="E473" s="2">
        <v>188</v>
      </c>
      <c r="F473" s="2">
        <v>48.1</v>
      </c>
      <c r="G473" s="2">
        <v>0</v>
      </c>
      <c r="H473" s="4">
        <f t="shared" si="35"/>
        <v>3.6154616283697698</v>
      </c>
      <c r="I473" s="4">
        <f t="shared" si="36"/>
        <v>8.1605182474775049</v>
      </c>
      <c r="J473" s="4">
        <f t="shared" si="37"/>
        <v>5.2364419628299492</v>
      </c>
      <c r="K473" s="4">
        <f t="shared" si="38"/>
        <v>48.1</v>
      </c>
      <c r="L473" s="4">
        <f t="shared" si="39"/>
        <v>0</v>
      </c>
    </row>
    <row r="474" spans="1:12" x14ac:dyDescent="0.35">
      <c r="A474" s="2" t="s">
        <v>395</v>
      </c>
      <c r="B474" s="2" t="s">
        <v>67</v>
      </c>
      <c r="C474" s="2">
        <v>33.9848</v>
      </c>
      <c r="D474" s="2">
        <v>3500</v>
      </c>
      <c r="E474" s="2">
        <v>188</v>
      </c>
      <c r="F474" s="2">
        <v>48.1</v>
      </c>
      <c r="G474" s="2">
        <v>0</v>
      </c>
      <c r="H474" s="4">
        <f t="shared" si="35"/>
        <v>3.525913365832043</v>
      </c>
      <c r="I474" s="4">
        <f t="shared" si="36"/>
        <v>8.1605182474775049</v>
      </c>
      <c r="J474" s="4">
        <f t="shared" si="37"/>
        <v>5.2364419628299492</v>
      </c>
      <c r="K474" s="4">
        <f t="shared" si="38"/>
        <v>48.1</v>
      </c>
      <c r="L474" s="4">
        <f t="shared" si="39"/>
        <v>0</v>
      </c>
    </row>
    <row r="475" spans="1:12" x14ac:dyDescent="0.35">
      <c r="A475" s="2" t="s">
        <v>396</v>
      </c>
      <c r="B475" s="2" t="s">
        <v>67</v>
      </c>
      <c r="C475" s="2">
        <v>46.252600000000001</v>
      </c>
      <c r="D475" s="2">
        <v>3000</v>
      </c>
      <c r="E475" s="2">
        <v>147</v>
      </c>
      <c r="F475" s="2">
        <v>46.8</v>
      </c>
      <c r="G475" s="2">
        <v>0</v>
      </c>
      <c r="H475" s="4">
        <f t="shared" si="35"/>
        <v>3.8341176785945783</v>
      </c>
      <c r="I475" s="4">
        <f t="shared" si="36"/>
        <v>8.0063675676502459</v>
      </c>
      <c r="J475" s="4">
        <f t="shared" si="37"/>
        <v>4.990432586778736</v>
      </c>
      <c r="K475" s="4">
        <f t="shared" si="38"/>
        <v>46.8</v>
      </c>
      <c r="L475" s="4">
        <f t="shared" si="39"/>
        <v>0</v>
      </c>
    </row>
    <row r="476" spans="1:12" x14ac:dyDescent="0.35">
      <c r="A476" s="2" t="s">
        <v>396</v>
      </c>
      <c r="B476" s="2" t="s">
        <v>67</v>
      </c>
      <c r="C476" s="2">
        <v>48.800800000000002</v>
      </c>
      <c r="D476" s="2">
        <v>3000</v>
      </c>
      <c r="E476" s="2">
        <v>147</v>
      </c>
      <c r="F476" s="2">
        <v>46.8</v>
      </c>
      <c r="G476" s="2">
        <v>0</v>
      </c>
      <c r="H476" s="4">
        <f t="shared" si="35"/>
        <v>3.8877467061673534</v>
      </c>
      <c r="I476" s="4">
        <f t="shared" si="36"/>
        <v>8.0063675676502459</v>
      </c>
      <c r="J476" s="4">
        <f t="shared" si="37"/>
        <v>4.990432586778736</v>
      </c>
      <c r="K476" s="4">
        <f t="shared" si="38"/>
        <v>46.8</v>
      </c>
      <c r="L476" s="4">
        <f t="shared" si="39"/>
        <v>0</v>
      </c>
    </row>
    <row r="477" spans="1:12" x14ac:dyDescent="0.35">
      <c r="A477" s="2" t="s">
        <v>396</v>
      </c>
      <c r="B477" s="2" t="s">
        <v>67</v>
      </c>
      <c r="C477" s="2">
        <v>41.206499999999998</v>
      </c>
      <c r="D477" s="2">
        <v>3500</v>
      </c>
      <c r="E477" s="2">
        <v>195</v>
      </c>
      <c r="F477" s="2">
        <v>46.8</v>
      </c>
      <c r="G477" s="2">
        <v>0</v>
      </c>
      <c r="H477" s="4">
        <f t="shared" si="35"/>
        <v>3.718596010901869</v>
      </c>
      <c r="I477" s="4">
        <f t="shared" si="36"/>
        <v>8.1605182474775049</v>
      </c>
      <c r="J477" s="4">
        <f t="shared" si="37"/>
        <v>5.2729995585637468</v>
      </c>
      <c r="K477" s="4">
        <f t="shared" si="38"/>
        <v>46.8</v>
      </c>
      <c r="L477" s="4">
        <f t="shared" si="39"/>
        <v>0</v>
      </c>
    </row>
    <row r="478" spans="1:12" x14ac:dyDescent="0.35">
      <c r="A478" s="2" t="s">
        <v>397</v>
      </c>
      <c r="B478" s="2" t="s">
        <v>33</v>
      </c>
      <c r="C478" s="2">
        <v>67.891999999999996</v>
      </c>
      <c r="D478" s="2">
        <v>3500</v>
      </c>
      <c r="E478" s="2">
        <v>104</v>
      </c>
      <c r="F478" s="2">
        <v>46.4</v>
      </c>
      <c r="G478" s="2">
        <v>1</v>
      </c>
      <c r="H478" s="4">
        <f t="shared" si="35"/>
        <v>4.2179182072992845</v>
      </c>
      <c r="I478" s="4">
        <f t="shared" si="36"/>
        <v>8.1605182474775049</v>
      </c>
      <c r="J478" s="4">
        <f t="shared" si="37"/>
        <v>4.6443908991413725</v>
      </c>
      <c r="K478" s="4">
        <f t="shared" si="38"/>
        <v>46.4</v>
      </c>
      <c r="L478" s="4">
        <f t="shared" si="39"/>
        <v>1</v>
      </c>
    </row>
    <row r="479" spans="1:12" x14ac:dyDescent="0.35">
      <c r="A479" s="2" t="s">
        <v>398</v>
      </c>
      <c r="B479" s="2" t="s">
        <v>33</v>
      </c>
      <c r="C479" s="2">
        <v>69.331500000000005</v>
      </c>
      <c r="D479" s="2">
        <v>3500</v>
      </c>
      <c r="E479" s="2">
        <v>104</v>
      </c>
      <c r="F479" s="2">
        <v>46.6</v>
      </c>
      <c r="G479" s="2">
        <v>1</v>
      </c>
      <c r="H479" s="4">
        <f t="shared" si="35"/>
        <v>4.2388993483759121</v>
      </c>
      <c r="I479" s="4">
        <f t="shared" si="36"/>
        <v>8.1605182474775049</v>
      </c>
      <c r="J479" s="4">
        <f t="shared" si="37"/>
        <v>4.6443908991413725</v>
      </c>
      <c r="K479" s="4">
        <f t="shared" si="38"/>
        <v>46.6</v>
      </c>
      <c r="L479" s="4">
        <f t="shared" si="39"/>
        <v>1</v>
      </c>
    </row>
    <row r="480" spans="1:12" x14ac:dyDescent="0.35">
      <c r="A480" s="2" t="s">
        <v>399</v>
      </c>
      <c r="B480" s="2" t="s">
        <v>67</v>
      </c>
      <c r="C480" s="2">
        <v>28.9862</v>
      </c>
      <c r="D480" s="2">
        <v>3500</v>
      </c>
      <c r="E480" s="2">
        <v>280</v>
      </c>
      <c r="F480" s="2">
        <v>46.3</v>
      </c>
      <c r="G480" s="2">
        <v>0</v>
      </c>
      <c r="H480" s="4">
        <f t="shared" si="35"/>
        <v>3.3668198546592225</v>
      </c>
      <c r="I480" s="4">
        <f t="shared" si="36"/>
        <v>8.1605182474775049</v>
      </c>
      <c r="J480" s="4">
        <f t="shared" si="37"/>
        <v>5.6347896031692493</v>
      </c>
      <c r="K480" s="4">
        <f t="shared" si="38"/>
        <v>46.3</v>
      </c>
      <c r="L480" s="4">
        <f t="shared" si="39"/>
        <v>0</v>
      </c>
    </row>
    <row r="481" spans="1:12" x14ac:dyDescent="0.35">
      <c r="A481" s="2" t="s">
        <v>399</v>
      </c>
      <c r="B481" s="2" t="s">
        <v>67</v>
      </c>
      <c r="C481" s="2">
        <v>31.385899999999999</v>
      </c>
      <c r="D481" s="2">
        <v>3500</v>
      </c>
      <c r="E481" s="2">
        <v>280</v>
      </c>
      <c r="F481" s="2">
        <v>46.3</v>
      </c>
      <c r="G481" s="2">
        <v>0</v>
      </c>
      <c r="H481" s="4">
        <f t="shared" si="35"/>
        <v>3.4463587474775084</v>
      </c>
      <c r="I481" s="4">
        <f t="shared" si="36"/>
        <v>8.1605182474775049</v>
      </c>
      <c r="J481" s="4">
        <f t="shared" si="37"/>
        <v>5.6347896031692493</v>
      </c>
      <c r="K481" s="4">
        <f t="shared" si="38"/>
        <v>46.3</v>
      </c>
      <c r="L481" s="4">
        <f t="shared" si="39"/>
        <v>0</v>
      </c>
    </row>
    <row r="482" spans="1:12" x14ac:dyDescent="0.35">
      <c r="A482" s="2" t="s">
        <v>400</v>
      </c>
      <c r="B482" s="2" t="s">
        <v>33</v>
      </c>
      <c r="C482" s="2">
        <v>60.659300000000002</v>
      </c>
      <c r="D482" s="2">
        <v>4000</v>
      </c>
      <c r="E482" s="2">
        <v>150</v>
      </c>
      <c r="F482" s="2">
        <v>50</v>
      </c>
      <c r="G482" s="2">
        <v>1</v>
      </c>
      <c r="H482" s="4">
        <f t="shared" si="35"/>
        <v>4.1052729624642117</v>
      </c>
      <c r="I482" s="4">
        <f t="shared" si="36"/>
        <v>8.2940496401020276</v>
      </c>
      <c r="J482" s="4">
        <f t="shared" si="37"/>
        <v>5.0106352940962555</v>
      </c>
      <c r="K482" s="4">
        <f t="shared" si="38"/>
        <v>50</v>
      </c>
      <c r="L482" s="4">
        <f t="shared" si="39"/>
        <v>1</v>
      </c>
    </row>
    <row r="483" spans="1:12" x14ac:dyDescent="0.35">
      <c r="A483" s="2" t="s">
        <v>401</v>
      </c>
      <c r="B483" s="2" t="s">
        <v>67</v>
      </c>
      <c r="C483" s="2">
        <v>36.271599999999999</v>
      </c>
      <c r="D483" s="2">
        <v>3500</v>
      </c>
      <c r="E483" s="2">
        <v>190</v>
      </c>
      <c r="F483" s="2">
        <v>45.5</v>
      </c>
      <c r="G483" s="2">
        <v>0</v>
      </c>
      <c r="H483" s="4">
        <f t="shared" si="35"/>
        <v>3.591035065914336</v>
      </c>
      <c r="I483" s="4">
        <f t="shared" si="36"/>
        <v>8.1605182474775049</v>
      </c>
      <c r="J483" s="4">
        <f t="shared" si="37"/>
        <v>5.2470240721604862</v>
      </c>
      <c r="K483" s="4">
        <f t="shared" si="38"/>
        <v>45.5</v>
      </c>
      <c r="L483" s="4">
        <f t="shared" si="39"/>
        <v>0</v>
      </c>
    </row>
    <row r="484" spans="1:12" x14ac:dyDescent="0.35">
      <c r="A484" s="2" t="s">
        <v>401</v>
      </c>
      <c r="B484" s="2" t="s">
        <v>67</v>
      </c>
      <c r="C484" s="2">
        <v>39.181800000000003</v>
      </c>
      <c r="D484" s="2">
        <v>3500</v>
      </c>
      <c r="E484" s="2">
        <v>147</v>
      </c>
      <c r="F484" s="2">
        <v>45.5</v>
      </c>
      <c r="G484" s="2">
        <v>0</v>
      </c>
      <c r="H484" s="4">
        <f t="shared" si="35"/>
        <v>3.6682123532681468</v>
      </c>
      <c r="I484" s="4">
        <f t="shared" si="36"/>
        <v>8.1605182474775049</v>
      </c>
      <c r="J484" s="4">
        <f t="shared" si="37"/>
        <v>4.990432586778736</v>
      </c>
      <c r="K484" s="4">
        <f t="shared" si="38"/>
        <v>45.5</v>
      </c>
      <c r="L484" s="4">
        <f t="shared" si="39"/>
        <v>0</v>
      </c>
    </row>
    <row r="485" spans="1:12" x14ac:dyDescent="0.35">
      <c r="A485" s="2" t="s">
        <v>401</v>
      </c>
      <c r="B485" s="2" t="s">
        <v>67</v>
      </c>
      <c r="C485" s="2">
        <v>39.9131</v>
      </c>
      <c r="D485" s="2">
        <v>3500</v>
      </c>
      <c r="E485" s="2">
        <v>147</v>
      </c>
      <c r="F485" s="2">
        <v>45.5</v>
      </c>
      <c r="G485" s="2">
        <v>0</v>
      </c>
      <c r="H485" s="4">
        <f t="shared" si="35"/>
        <v>3.6867045908123424</v>
      </c>
      <c r="I485" s="4">
        <f t="shared" si="36"/>
        <v>8.1605182474775049</v>
      </c>
      <c r="J485" s="4">
        <f t="shared" si="37"/>
        <v>4.990432586778736</v>
      </c>
      <c r="K485" s="4">
        <f t="shared" si="38"/>
        <v>45.5</v>
      </c>
      <c r="L485" s="4">
        <f t="shared" si="39"/>
        <v>0</v>
      </c>
    </row>
    <row r="486" spans="1:12" x14ac:dyDescent="0.35">
      <c r="A486" s="2" t="s">
        <v>402</v>
      </c>
      <c r="B486" s="2" t="s">
        <v>67</v>
      </c>
      <c r="C486" s="2">
        <v>39.563499999999998</v>
      </c>
      <c r="D486" s="2">
        <v>3500</v>
      </c>
      <c r="E486" s="2">
        <v>190</v>
      </c>
      <c r="F486" s="2">
        <v>45.7</v>
      </c>
      <c r="G486" s="2">
        <v>0</v>
      </c>
      <c r="H486" s="4">
        <f t="shared" si="35"/>
        <v>3.6779069760462457</v>
      </c>
      <c r="I486" s="4">
        <f t="shared" si="36"/>
        <v>8.1605182474775049</v>
      </c>
      <c r="J486" s="4">
        <f t="shared" si="37"/>
        <v>5.2470240721604862</v>
      </c>
      <c r="K486" s="4">
        <f t="shared" si="38"/>
        <v>45.7</v>
      </c>
      <c r="L486" s="4">
        <f t="shared" si="39"/>
        <v>0</v>
      </c>
    </row>
    <row r="487" spans="1:12" x14ac:dyDescent="0.35">
      <c r="A487" s="2" t="s">
        <v>402</v>
      </c>
      <c r="B487" s="2" t="s">
        <v>67</v>
      </c>
      <c r="C487" s="2">
        <v>43.003500000000003</v>
      </c>
      <c r="D487" s="2">
        <v>3500</v>
      </c>
      <c r="E487" s="2">
        <v>147</v>
      </c>
      <c r="F487" s="2">
        <v>45.7</v>
      </c>
      <c r="G487" s="2">
        <v>0</v>
      </c>
      <c r="H487" s="4">
        <f t="shared" si="35"/>
        <v>3.7612815077299779</v>
      </c>
      <c r="I487" s="4">
        <f t="shared" si="36"/>
        <v>8.1605182474775049</v>
      </c>
      <c r="J487" s="4">
        <f t="shared" si="37"/>
        <v>4.990432586778736</v>
      </c>
      <c r="K487" s="4">
        <f t="shared" si="38"/>
        <v>45.7</v>
      </c>
      <c r="L487" s="4">
        <f t="shared" si="39"/>
        <v>0</v>
      </c>
    </row>
    <row r="488" spans="1:12" x14ac:dyDescent="0.35">
      <c r="A488" s="2" t="s">
        <v>402</v>
      </c>
      <c r="B488" s="2" t="s">
        <v>67</v>
      </c>
      <c r="C488" s="2">
        <v>44.243699999999997</v>
      </c>
      <c r="D488" s="2">
        <v>3000</v>
      </c>
      <c r="E488" s="2">
        <v>147</v>
      </c>
      <c r="F488" s="2">
        <v>45.7</v>
      </c>
      <c r="G488" s="2">
        <v>0</v>
      </c>
      <c r="H488" s="4">
        <f t="shared" si="35"/>
        <v>3.7897129884366016</v>
      </c>
      <c r="I488" s="4">
        <f t="shared" si="36"/>
        <v>8.0063675676502459</v>
      </c>
      <c r="J488" s="4">
        <f t="shared" si="37"/>
        <v>4.990432586778736</v>
      </c>
      <c r="K488" s="4">
        <f t="shared" si="38"/>
        <v>45.7</v>
      </c>
      <c r="L488" s="4">
        <f t="shared" si="39"/>
        <v>0</v>
      </c>
    </row>
    <row r="489" spans="1:12" x14ac:dyDescent="0.35">
      <c r="A489" s="2" t="s">
        <v>403</v>
      </c>
      <c r="B489" s="2" t="s">
        <v>33</v>
      </c>
      <c r="C489" s="2">
        <v>46.9788</v>
      </c>
      <c r="D489" s="2">
        <v>4500</v>
      </c>
      <c r="E489" s="2">
        <v>177</v>
      </c>
      <c r="F489" s="2">
        <v>48.1</v>
      </c>
      <c r="G489" s="2">
        <v>1</v>
      </c>
      <c r="H489" s="4">
        <f t="shared" si="35"/>
        <v>3.8496964361203809</v>
      </c>
      <c r="I489" s="4">
        <f t="shared" si="36"/>
        <v>8.4118326757584114</v>
      </c>
      <c r="J489" s="4">
        <f t="shared" si="37"/>
        <v>5.1761497325738288</v>
      </c>
      <c r="K489" s="4">
        <f t="shared" si="38"/>
        <v>48.1</v>
      </c>
      <c r="L489" s="4">
        <f t="shared" si="39"/>
        <v>1</v>
      </c>
    </row>
    <row r="490" spans="1:12" x14ac:dyDescent="0.35">
      <c r="A490" s="2" t="s">
        <v>404</v>
      </c>
      <c r="B490" s="2" t="s">
        <v>33</v>
      </c>
      <c r="C490" s="2">
        <v>50.176699999999997</v>
      </c>
      <c r="D490" s="2">
        <v>4000</v>
      </c>
      <c r="E490" s="2">
        <v>177</v>
      </c>
      <c r="F490" s="2">
        <v>48.2</v>
      </c>
      <c r="G490" s="2">
        <v>1</v>
      </c>
      <c r="H490" s="4">
        <f t="shared" si="35"/>
        <v>3.9155507755234868</v>
      </c>
      <c r="I490" s="4">
        <f t="shared" si="36"/>
        <v>8.2940496401020276</v>
      </c>
      <c r="J490" s="4">
        <f t="shared" si="37"/>
        <v>5.1761497325738288</v>
      </c>
      <c r="K490" s="4">
        <f t="shared" si="38"/>
        <v>48.2</v>
      </c>
      <c r="L490" s="4">
        <f t="shared" si="39"/>
        <v>1</v>
      </c>
    </row>
    <row r="491" spans="1:12" x14ac:dyDescent="0.35">
      <c r="A491" s="2" t="s">
        <v>405</v>
      </c>
      <c r="B491" s="2" t="s">
        <v>33</v>
      </c>
      <c r="C491" s="2">
        <v>49.448300000000003</v>
      </c>
      <c r="D491" s="2">
        <v>4000</v>
      </c>
      <c r="E491" s="2">
        <v>177</v>
      </c>
      <c r="F491" s="2">
        <v>48.1</v>
      </c>
      <c r="G491" s="2">
        <v>1</v>
      </c>
      <c r="H491" s="4">
        <f t="shared" si="35"/>
        <v>3.9009276793180212</v>
      </c>
      <c r="I491" s="4">
        <f t="shared" si="36"/>
        <v>8.2940496401020276</v>
      </c>
      <c r="J491" s="4">
        <f t="shared" si="37"/>
        <v>5.1761497325738288</v>
      </c>
      <c r="K491" s="4">
        <f t="shared" si="38"/>
        <v>48.1</v>
      </c>
      <c r="L491" s="4">
        <f t="shared" si="39"/>
        <v>1</v>
      </c>
    </row>
    <row r="492" spans="1:12" x14ac:dyDescent="0.35">
      <c r="A492" s="2" t="s">
        <v>406</v>
      </c>
      <c r="B492" s="2" t="s">
        <v>67</v>
      </c>
      <c r="C492" s="2">
        <v>39.494500000000002</v>
      </c>
      <c r="D492" s="2">
        <v>3500</v>
      </c>
      <c r="E492" s="2">
        <v>191</v>
      </c>
      <c r="F492" s="2">
        <v>49.4</v>
      </c>
      <c r="G492" s="2">
        <v>0</v>
      </c>
      <c r="H492" s="4">
        <f t="shared" si="35"/>
        <v>3.676161421705888</v>
      </c>
      <c r="I492" s="4">
        <f t="shared" si="36"/>
        <v>8.1605182474775049</v>
      </c>
      <c r="J492" s="4">
        <f t="shared" si="37"/>
        <v>5.2522734280466299</v>
      </c>
      <c r="K492" s="4">
        <f t="shared" si="38"/>
        <v>49.4</v>
      </c>
      <c r="L492" s="4">
        <f t="shared" si="39"/>
        <v>0</v>
      </c>
    </row>
    <row r="493" spans="1:12" x14ac:dyDescent="0.35">
      <c r="A493" s="2" t="s">
        <v>406</v>
      </c>
      <c r="B493" s="2" t="s">
        <v>67</v>
      </c>
      <c r="C493" s="2">
        <v>34.552300000000002</v>
      </c>
      <c r="D493" s="2">
        <v>4000</v>
      </c>
      <c r="E493" s="2">
        <v>290</v>
      </c>
      <c r="F493" s="2">
        <v>49.4</v>
      </c>
      <c r="G493" s="2">
        <v>0</v>
      </c>
      <c r="H493" s="4">
        <f t="shared" si="35"/>
        <v>3.5424741181861155</v>
      </c>
      <c r="I493" s="4">
        <f t="shared" si="36"/>
        <v>8.2940496401020276</v>
      </c>
      <c r="J493" s="4">
        <f t="shared" si="37"/>
        <v>5.6698809229805196</v>
      </c>
      <c r="K493" s="4">
        <f t="shared" si="38"/>
        <v>49.4</v>
      </c>
      <c r="L493" s="4">
        <f t="shared" si="39"/>
        <v>0</v>
      </c>
    </row>
    <row r="494" spans="1:12" x14ac:dyDescent="0.35">
      <c r="A494" s="2" t="s">
        <v>407</v>
      </c>
      <c r="B494" s="2" t="s">
        <v>67</v>
      </c>
      <c r="C494" s="2">
        <v>37.950800000000001</v>
      </c>
      <c r="D494" s="2">
        <v>3500</v>
      </c>
      <c r="E494" s="2">
        <v>191</v>
      </c>
      <c r="F494" s="2">
        <v>49.7</v>
      </c>
      <c r="G494" s="2">
        <v>0</v>
      </c>
      <c r="H494" s="4">
        <f t="shared" si="35"/>
        <v>3.6362905839883575</v>
      </c>
      <c r="I494" s="4">
        <f t="shared" si="36"/>
        <v>8.1605182474775049</v>
      </c>
      <c r="J494" s="4">
        <f t="shared" si="37"/>
        <v>5.2522734280466299</v>
      </c>
      <c r="K494" s="4">
        <f t="shared" si="38"/>
        <v>49.7</v>
      </c>
      <c r="L494" s="4">
        <f t="shared" si="39"/>
        <v>0</v>
      </c>
    </row>
    <row r="495" spans="1:12" x14ac:dyDescent="0.35">
      <c r="A495" s="2" t="s">
        <v>408</v>
      </c>
      <c r="B495" s="2" t="s">
        <v>67</v>
      </c>
      <c r="C495" s="2">
        <v>42.167700000000004</v>
      </c>
      <c r="D495" s="2">
        <v>3000</v>
      </c>
      <c r="E495" s="2">
        <v>121</v>
      </c>
      <c r="F495" s="2">
        <v>41.7</v>
      </c>
      <c r="G495" s="2">
        <v>0</v>
      </c>
      <c r="H495" s="4">
        <f t="shared" si="35"/>
        <v>3.7416545251280535</v>
      </c>
      <c r="I495" s="4">
        <f t="shared" si="36"/>
        <v>8.0063675676502459</v>
      </c>
      <c r="J495" s="4">
        <f t="shared" si="37"/>
        <v>4.7957905455967413</v>
      </c>
      <c r="K495" s="4">
        <f t="shared" si="38"/>
        <v>41.7</v>
      </c>
      <c r="L495" s="4">
        <f t="shared" si="39"/>
        <v>0</v>
      </c>
    </row>
    <row r="496" spans="1:12" x14ac:dyDescent="0.35">
      <c r="A496" s="2" t="s">
        <v>409</v>
      </c>
      <c r="B496" s="2" t="s">
        <v>67</v>
      </c>
      <c r="C496" s="2">
        <v>27.878799999999998</v>
      </c>
      <c r="D496" s="2">
        <v>4500</v>
      </c>
      <c r="E496" s="2">
        <v>291</v>
      </c>
      <c r="F496" s="2">
        <v>53.5</v>
      </c>
      <c r="G496" s="2">
        <v>0</v>
      </c>
      <c r="H496" s="4">
        <f t="shared" si="35"/>
        <v>3.3278665433591197</v>
      </c>
      <c r="I496" s="4">
        <f t="shared" si="36"/>
        <v>8.4118326757584114</v>
      </c>
      <c r="J496" s="4">
        <f t="shared" si="37"/>
        <v>5.6733232671714928</v>
      </c>
      <c r="K496" s="4">
        <f t="shared" si="38"/>
        <v>53.5</v>
      </c>
      <c r="L496" s="4">
        <f t="shared" si="39"/>
        <v>0</v>
      </c>
    </row>
    <row r="497" spans="1:12" x14ac:dyDescent="0.35">
      <c r="A497" s="2" t="s">
        <v>410</v>
      </c>
      <c r="B497" s="2" t="s">
        <v>67</v>
      </c>
      <c r="C497" s="2">
        <v>28.813500000000001</v>
      </c>
      <c r="D497" s="2">
        <v>4500</v>
      </c>
      <c r="E497" s="2">
        <v>291</v>
      </c>
      <c r="F497" s="2">
        <v>53.5</v>
      </c>
      <c r="G497" s="2">
        <v>0</v>
      </c>
      <c r="H497" s="4">
        <f t="shared" si="35"/>
        <v>3.3608440273129392</v>
      </c>
      <c r="I497" s="4">
        <f t="shared" si="36"/>
        <v>8.4118326757584114</v>
      </c>
      <c r="J497" s="4">
        <f t="shared" si="37"/>
        <v>5.6733232671714928</v>
      </c>
      <c r="K497" s="4">
        <f t="shared" si="38"/>
        <v>53.5</v>
      </c>
      <c r="L497" s="4">
        <f t="shared" si="39"/>
        <v>0</v>
      </c>
    </row>
    <row r="498" spans="1:12" x14ac:dyDescent="0.35">
      <c r="A498" s="2" t="s">
        <v>411</v>
      </c>
      <c r="B498" s="2" t="s">
        <v>67</v>
      </c>
      <c r="C498" s="2">
        <v>27.172699999999999</v>
      </c>
      <c r="D498" s="2">
        <v>5000</v>
      </c>
      <c r="E498" s="2">
        <v>375</v>
      </c>
      <c r="F498" s="2">
        <v>56.8</v>
      </c>
      <c r="G498" s="2">
        <v>0</v>
      </c>
      <c r="H498" s="4">
        <f t="shared" si="35"/>
        <v>3.3022127928108573</v>
      </c>
      <c r="I498" s="4">
        <f t="shared" si="36"/>
        <v>8.5171931914162382</v>
      </c>
      <c r="J498" s="4">
        <f t="shared" si="37"/>
        <v>5.9269260259704106</v>
      </c>
      <c r="K498" s="4">
        <f t="shared" si="38"/>
        <v>56.8</v>
      </c>
      <c r="L498" s="4">
        <f t="shared" si="39"/>
        <v>0</v>
      </c>
    </row>
    <row r="499" spans="1:12" x14ac:dyDescent="0.35">
      <c r="A499" s="2" t="s">
        <v>412</v>
      </c>
      <c r="B499" s="2" t="s">
        <v>33</v>
      </c>
      <c r="C499" s="2">
        <v>26.964200000000002</v>
      </c>
      <c r="D499" s="2">
        <v>5500</v>
      </c>
      <c r="E499" s="2">
        <v>420</v>
      </c>
      <c r="F499" s="2">
        <v>56.8</v>
      </c>
      <c r="G499" s="2">
        <v>1</v>
      </c>
      <c r="H499" s="4">
        <f t="shared" si="35"/>
        <v>3.2945100602608215</v>
      </c>
      <c r="I499" s="4">
        <f t="shared" si="36"/>
        <v>8.6125033712205621</v>
      </c>
      <c r="J499" s="4">
        <f t="shared" si="37"/>
        <v>6.0402547112774139</v>
      </c>
      <c r="K499" s="4">
        <f t="shared" si="38"/>
        <v>56.8</v>
      </c>
      <c r="L499" s="4">
        <f t="shared" si="39"/>
        <v>1</v>
      </c>
    </row>
    <row r="500" spans="1:12" x14ac:dyDescent="0.35">
      <c r="A500" s="2" t="s">
        <v>413</v>
      </c>
      <c r="B500" s="2" t="s">
        <v>67</v>
      </c>
      <c r="C500" s="2">
        <v>32.941000000000003</v>
      </c>
      <c r="D500" s="2">
        <v>4500</v>
      </c>
      <c r="E500" s="2">
        <v>300</v>
      </c>
      <c r="F500" s="2">
        <v>52.9</v>
      </c>
      <c r="G500" s="2">
        <v>0</v>
      </c>
      <c r="H500" s="4">
        <f t="shared" si="35"/>
        <v>3.4947180825157722</v>
      </c>
      <c r="I500" s="4">
        <f t="shared" si="36"/>
        <v>8.4118326757584114</v>
      </c>
      <c r="J500" s="4">
        <f t="shared" si="37"/>
        <v>5.7037824746562009</v>
      </c>
      <c r="K500" s="4">
        <f t="shared" si="38"/>
        <v>52.9</v>
      </c>
      <c r="L500" s="4">
        <f t="shared" si="39"/>
        <v>0</v>
      </c>
    </row>
    <row r="501" spans="1:12" x14ac:dyDescent="0.35">
      <c r="A501" s="2" t="s">
        <v>413</v>
      </c>
      <c r="B501" s="2" t="s">
        <v>67</v>
      </c>
      <c r="C501" s="2">
        <v>24.0002</v>
      </c>
      <c r="D501" s="2">
        <v>4500</v>
      </c>
      <c r="E501" s="2">
        <v>375</v>
      </c>
      <c r="F501" s="2">
        <v>52.9</v>
      </c>
      <c r="G501" s="2">
        <v>0</v>
      </c>
      <c r="H501" s="4">
        <f t="shared" si="35"/>
        <v>3.1780621636465569</v>
      </c>
      <c r="I501" s="4">
        <f t="shared" si="36"/>
        <v>8.4118326757584114</v>
      </c>
      <c r="J501" s="4">
        <f t="shared" si="37"/>
        <v>5.9269260259704106</v>
      </c>
      <c r="K501" s="4">
        <f t="shared" si="38"/>
        <v>52.9</v>
      </c>
      <c r="L501" s="4">
        <f t="shared" si="39"/>
        <v>0</v>
      </c>
    </row>
    <row r="502" spans="1:12" x14ac:dyDescent="0.35">
      <c r="A502" s="2" t="s">
        <v>414</v>
      </c>
      <c r="B502" s="2" t="s">
        <v>67</v>
      </c>
      <c r="C502" s="2">
        <v>29.363199999999999</v>
      </c>
      <c r="D502" s="2">
        <v>5000</v>
      </c>
      <c r="E502" s="2">
        <v>300</v>
      </c>
      <c r="F502" s="2">
        <v>53.5</v>
      </c>
      <c r="G502" s="2">
        <v>0</v>
      </c>
      <c r="H502" s="4">
        <f t="shared" si="35"/>
        <v>3.3797421896327502</v>
      </c>
      <c r="I502" s="4">
        <f t="shared" si="36"/>
        <v>8.5171931914162382</v>
      </c>
      <c r="J502" s="4">
        <f t="shared" si="37"/>
        <v>5.7037824746562009</v>
      </c>
      <c r="K502" s="4">
        <f t="shared" si="38"/>
        <v>53.5</v>
      </c>
      <c r="L502" s="4">
        <f t="shared" si="39"/>
        <v>0</v>
      </c>
    </row>
    <row r="503" spans="1:12" x14ac:dyDescent="0.35">
      <c r="A503" s="2" t="s">
        <v>414</v>
      </c>
      <c r="B503" s="2" t="s">
        <v>67</v>
      </c>
      <c r="C503" s="2">
        <v>26.097100000000001</v>
      </c>
      <c r="D503" s="2">
        <v>5000</v>
      </c>
      <c r="E503" s="2">
        <v>375</v>
      </c>
      <c r="F503" s="2">
        <v>53.5</v>
      </c>
      <c r="G503" s="2">
        <v>0</v>
      </c>
      <c r="H503" s="4">
        <f t="shared" si="35"/>
        <v>3.2618241970442399</v>
      </c>
      <c r="I503" s="4">
        <f t="shared" si="36"/>
        <v>8.5171931914162382</v>
      </c>
      <c r="J503" s="4">
        <f t="shared" si="37"/>
        <v>5.9269260259704106</v>
      </c>
      <c r="K503" s="4">
        <f t="shared" si="38"/>
        <v>53.5</v>
      </c>
      <c r="L503" s="4">
        <f t="shared" si="39"/>
        <v>0</v>
      </c>
    </row>
    <row r="504" spans="1:12" x14ac:dyDescent="0.35">
      <c r="A504" s="2" t="s">
        <v>415</v>
      </c>
      <c r="B504" s="2" t="s">
        <v>67</v>
      </c>
      <c r="C504" s="2">
        <v>25.130099999999999</v>
      </c>
      <c r="D504" s="2">
        <v>4000</v>
      </c>
      <c r="E504" s="2">
        <v>368</v>
      </c>
      <c r="F504" s="2">
        <v>48.8</v>
      </c>
      <c r="G504" s="2">
        <v>0</v>
      </c>
      <c r="H504" s="4">
        <f t="shared" si="35"/>
        <v>3.2240663308551838</v>
      </c>
      <c r="I504" s="4">
        <f t="shared" si="36"/>
        <v>8.2940496401020276</v>
      </c>
      <c r="J504" s="4">
        <f t="shared" si="37"/>
        <v>5.9080829381689313</v>
      </c>
      <c r="K504" s="4">
        <f t="shared" si="38"/>
        <v>48.8</v>
      </c>
      <c r="L504" s="4">
        <f t="shared" si="39"/>
        <v>0</v>
      </c>
    </row>
    <row r="505" spans="1:12" x14ac:dyDescent="0.35">
      <c r="A505" s="2" t="s">
        <v>415</v>
      </c>
      <c r="B505" s="2" t="s">
        <v>67</v>
      </c>
      <c r="C505" s="2">
        <v>29.257999999999999</v>
      </c>
      <c r="D505" s="2">
        <v>4000</v>
      </c>
      <c r="E505" s="2">
        <v>300</v>
      </c>
      <c r="F505" s="2">
        <v>48.8</v>
      </c>
      <c r="G505" s="2">
        <v>0</v>
      </c>
      <c r="H505" s="4">
        <f t="shared" si="35"/>
        <v>3.3761530405558942</v>
      </c>
      <c r="I505" s="4">
        <f t="shared" si="36"/>
        <v>8.2940496401020276</v>
      </c>
      <c r="J505" s="4">
        <f t="shared" si="37"/>
        <v>5.7037824746562009</v>
      </c>
      <c r="K505" s="4">
        <f t="shared" si="38"/>
        <v>48.8</v>
      </c>
      <c r="L505" s="4">
        <f t="shared" si="39"/>
        <v>0</v>
      </c>
    </row>
    <row r="506" spans="1:12" x14ac:dyDescent="0.35">
      <c r="A506" s="2" t="s">
        <v>416</v>
      </c>
      <c r="B506" s="2" t="s">
        <v>67</v>
      </c>
      <c r="C506" s="2">
        <v>25.595800000000001</v>
      </c>
      <c r="D506" s="2">
        <v>4000</v>
      </c>
      <c r="E506" s="2">
        <v>368</v>
      </c>
      <c r="F506" s="2">
        <v>48.8</v>
      </c>
      <c r="G506" s="2">
        <v>0</v>
      </c>
      <c r="H506" s="4">
        <f t="shared" si="35"/>
        <v>3.2424282755257927</v>
      </c>
      <c r="I506" s="4">
        <f t="shared" si="36"/>
        <v>8.2940496401020276</v>
      </c>
      <c r="J506" s="4">
        <f t="shared" si="37"/>
        <v>5.9080829381689313</v>
      </c>
      <c r="K506" s="4">
        <f t="shared" si="38"/>
        <v>48.8</v>
      </c>
      <c r="L506" s="4">
        <f t="shared" si="39"/>
        <v>0</v>
      </c>
    </row>
    <row r="507" spans="1:12" x14ac:dyDescent="0.35">
      <c r="A507" s="2" t="s">
        <v>416</v>
      </c>
      <c r="B507" s="2" t="s">
        <v>67</v>
      </c>
      <c r="C507" s="2">
        <v>30.487100000000002</v>
      </c>
      <c r="D507" s="2">
        <v>4000</v>
      </c>
      <c r="E507" s="2">
        <v>300</v>
      </c>
      <c r="F507" s="2">
        <v>48.8</v>
      </c>
      <c r="G507" s="2">
        <v>0</v>
      </c>
      <c r="H507" s="4">
        <f t="shared" si="35"/>
        <v>3.4173036433247677</v>
      </c>
      <c r="I507" s="4">
        <f t="shared" si="36"/>
        <v>8.2940496401020276</v>
      </c>
      <c r="J507" s="4">
        <f t="shared" si="37"/>
        <v>5.7037824746562009</v>
      </c>
      <c r="K507" s="4">
        <f t="shared" si="38"/>
        <v>48.8</v>
      </c>
      <c r="L507" s="4">
        <f t="shared" si="39"/>
        <v>0</v>
      </c>
    </row>
    <row r="508" spans="1:12" x14ac:dyDescent="0.35">
      <c r="A508" s="2" t="s">
        <v>417</v>
      </c>
      <c r="B508" s="2" t="s">
        <v>67</v>
      </c>
      <c r="C508" s="2">
        <v>28.669799999999999</v>
      </c>
      <c r="D508" s="2">
        <v>4500</v>
      </c>
      <c r="E508" s="2">
        <v>300</v>
      </c>
      <c r="F508" s="2">
        <v>51</v>
      </c>
      <c r="G508" s="2">
        <v>0</v>
      </c>
      <c r="H508" s="4">
        <f t="shared" si="35"/>
        <v>3.3558443039379156</v>
      </c>
      <c r="I508" s="4">
        <f t="shared" si="36"/>
        <v>8.4118326757584114</v>
      </c>
      <c r="J508" s="4">
        <f t="shared" si="37"/>
        <v>5.7037824746562009</v>
      </c>
      <c r="K508" s="4">
        <f t="shared" si="38"/>
        <v>51</v>
      </c>
      <c r="L508" s="4">
        <f t="shared" si="39"/>
        <v>0</v>
      </c>
    </row>
    <row r="509" spans="1:12" x14ac:dyDescent="0.35">
      <c r="A509" s="2" t="s">
        <v>417</v>
      </c>
      <c r="B509" s="2" t="s">
        <v>67</v>
      </c>
      <c r="C509" s="2">
        <v>32.267000000000003</v>
      </c>
      <c r="D509" s="2">
        <v>4500</v>
      </c>
      <c r="E509" s="2">
        <v>300</v>
      </c>
      <c r="F509" s="2">
        <v>51</v>
      </c>
      <c r="G509" s="2">
        <v>0</v>
      </c>
      <c r="H509" s="4">
        <f t="shared" si="35"/>
        <v>3.4740450361395743</v>
      </c>
      <c r="I509" s="4">
        <f t="shared" si="36"/>
        <v>8.4118326757584114</v>
      </c>
      <c r="J509" s="4">
        <f t="shared" si="37"/>
        <v>5.7037824746562009</v>
      </c>
      <c r="K509" s="4">
        <f t="shared" si="38"/>
        <v>51</v>
      </c>
      <c r="L509" s="4">
        <f t="shared" si="39"/>
        <v>0</v>
      </c>
    </row>
    <row r="510" spans="1:12" x14ac:dyDescent="0.35">
      <c r="A510" s="2" t="s">
        <v>417</v>
      </c>
      <c r="B510" s="2" t="s">
        <v>67</v>
      </c>
      <c r="C510" s="2">
        <v>26.565200000000001</v>
      </c>
      <c r="D510" s="2">
        <v>4500</v>
      </c>
      <c r="E510" s="2">
        <v>375</v>
      </c>
      <c r="F510" s="2">
        <v>51</v>
      </c>
      <c r="G510" s="2">
        <v>0</v>
      </c>
      <c r="H510" s="4">
        <f t="shared" si="35"/>
        <v>3.279602088577747</v>
      </c>
      <c r="I510" s="4">
        <f t="shared" si="36"/>
        <v>8.4118326757584114</v>
      </c>
      <c r="J510" s="4">
        <f t="shared" si="37"/>
        <v>5.9269260259704106</v>
      </c>
      <c r="K510" s="4">
        <f t="shared" si="38"/>
        <v>51</v>
      </c>
      <c r="L510" s="4">
        <f t="shared" si="39"/>
        <v>0</v>
      </c>
    </row>
    <row r="511" spans="1:12" x14ac:dyDescent="0.35">
      <c r="A511" s="2" t="s">
        <v>418</v>
      </c>
      <c r="B511" s="2" t="s">
        <v>67</v>
      </c>
      <c r="C511" s="2">
        <v>20.220600000000001</v>
      </c>
      <c r="D511" s="2">
        <v>6000</v>
      </c>
      <c r="E511" s="2">
        <v>286</v>
      </c>
      <c r="F511" s="2">
        <v>51.8</v>
      </c>
      <c r="G511" s="2">
        <v>0</v>
      </c>
      <c r="H511" s="4">
        <f t="shared" si="35"/>
        <v>3.0067018867425777</v>
      </c>
      <c r="I511" s="4">
        <f t="shared" si="36"/>
        <v>8.6995147482101913</v>
      </c>
      <c r="J511" s="4">
        <f t="shared" si="37"/>
        <v>5.6559918108198524</v>
      </c>
      <c r="K511" s="4">
        <f t="shared" si="38"/>
        <v>51.8</v>
      </c>
      <c r="L511" s="4">
        <f t="shared" si="39"/>
        <v>0</v>
      </c>
    </row>
    <row r="512" spans="1:12" x14ac:dyDescent="0.35">
      <c r="A512" s="2" t="s">
        <v>420</v>
      </c>
      <c r="B512" s="2" t="s">
        <v>67</v>
      </c>
      <c r="C512" s="2">
        <v>20.220600000000001</v>
      </c>
      <c r="D512" s="2">
        <v>6000</v>
      </c>
      <c r="E512" s="2">
        <v>286</v>
      </c>
      <c r="F512" s="2">
        <v>51.8</v>
      </c>
      <c r="G512" s="2">
        <v>0</v>
      </c>
      <c r="H512" s="4">
        <f t="shared" si="35"/>
        <v>3.0067018867425777</v>
      </c>
      <c r="I512" s="4">
        <f t="shared" si="36"/>
        <v>8.6995147482101913</v>
      </c>
      <c r="J512" s="4">
        <f t="shared" si="37"/>
        <v>5.6559918108198524</v>
      </c>
      <c r="K512" s="4">
        <f t="shared" si="38"/>
        <v>51.8</v>
      </c>
      <c r="L512" s="4">
        <f t="shared" si="39"/>
        <v>0</v>
      </c>
    </row>
    <row r="513" spans="1:12" x14ac:dyDescent="0.35">
      <c r="A513" s="2" t="s">
        <v>421</v>
      </c>
      <c r="B513" s="2" t="s">
        <v>67</v>
      </c>
      <c r="C513" s="2">
        <v>18.869</v>
      </c>
      <c r="D513" s="2">
        <v>6500</v>
      </c>
      <c r="E513" s="2">
        <v>286</v>
      </c>
      <c r="F513" s="2">
        <v>51.8</v>
      </c>
      <c r="G513" s="2">
        <v>0</v>
      </c>
      <c r="H513" s="4">
        <f t="shared" si="35"/>
        <v>2.9375203638055769</v>
      </c>
      <c r="I513" s="4">
        <f t="shared" si="36"/>
        <v>8.7795574558837277</v>
      </c>
      <c r="J513" s="4">
        <f t="shared" si="37"/>
        <v>5.6559918108198524</v>
      </c>
      <c r="K513" s="4">
        <f t="shared" si="38"/>
        <v>51.8</v>
      </c>
      <c r="L513" s="4">
        <f t="shared" si="39"/>
        <v>0</v>
      </c>
    </row>
    <row r="514" spans="1:12" x14ac:dyDescent="0.35">
      <c r="A514" s="2" t="s">
        <v>422</v>
      </c>
      <c r="B514" s="2" t="s">
        <v>67</v>
      </c>
      <c r="C514" s="2">
        <v>18.869</v>
      </c>
      <c r="D514" s="2">
        <v>6500</v>
      </c>
      <c r="E514" s="2">
        <v>286</v>
      </c>
      <c r="F514" s="2">
        <v>57.2</v>
      </c>
      <c r="G514" s="2">
        <v>0</v>
      </c>
      <c r="H514" s="4">
        <f t="shared" ref="H514:H577" si="40">LN(C514)</f>
        <v>2.9375203638055769</v>
      </c>
      <c r="I514" s="4">
        <f t="shared" ref="I514:I577" si="41">LN(D514)</f>
        <v>8.7795574558837277</v>
      </c>
      <c r="J514" s="4">
        <f t="shared" ref="J514:J577" si="42">LN(E514)</f>
        <v>5.6559918108198524</v>
      </c>
      <c r="K514" s="4">
        <f t="shared" ref="K514:K577" si="43">F514</f>
        <v>57.2</v>
      </c>
      <c r="L514" s="4">
        <f t="shared" ref="L514:L577" si="44">G514</f>
        <v>0</v>
      </c>
    </row>
    <row r="515" spans="1:12" x14ac:dyDescent="0.35">
      <c r="A515" s="2" t="s">
        <v>423</v>
      </c>
      <c r="B515" s="2" t="s">
        <v>67</v>
      </c>
      <c r="C515" s="2">
        <v>31.071100000000001</v>
      </c>
      <c r="D515" s="2">
        <v>4500</v>
      </c>
      <c r="E515" s="2">
        <v>250</v>
      </c>
      <c r="F515" s="2">
        <v>51.1</v>
      </c>
      <c r="G515" s="2">
        <v>0</v>
      </c>
      <c r="H515" s="4">
        <f t="shared" si="40"/>
        <v>3.436278126704869</v>
      </c>
      <c r="I515" s="4">
        <f t="shared" si="41"/>
        <v>8.4118326757584114</v>
      </c>
      <c r="J515" s="4">
        <f t="shared" si="42"/>
        <v>5.521460917862246</v>
      </c>
      <c r="K515" s="4">
        <f t="shared" si="43"/>
        <v>51.1</v>
      </c>
      <c r="L515" s="4">
        <f t="shared" si="44"/>
        <v>0</v>
      </c>
    </row>
    <row r="516" spans="1:12" x14ac:dyDescent="0.35">
      <c r="A516" s="2" t="s">
        <v>425</v>
      </c>
      <c r="B516" s="2" t="s">
        <v>33</v>
      </c>
      <c r="C516" s="2">
        <v>27.639399999999998</v>
      </c>
      <c r="D516" s="2">
        <v>5000</v>
      </c>
      <c r="E516" s="2">
        <v>400</v>
      </c>
      <c r="F516" s="2">
        <v>51.1</v>
      </c>
      <c r="G516" s="2">
        <v>1</v>
      </c>
      <c r="H516" s="4">
        <f t="shared" si="40"/>
        <v>3.3192422909938109</v>
      </c>
      <c r="I516" s="4">
        <f t="shared" si="41"/>
        <v>8.5171931914162382</v>
      </c>
      <c r="J516" s="4">
        <f t="shared" si="42"/>
        <v>5.9914645471079817</v>
      </c>
      <c r="K516" s="4">
        <f t="shared" si="43"/>
        <v>51.1</v>
      </c>
      <c r="L516" s="4">
        <f t="shared" si="44"/>
        <v>1</v>
      </c>
    </row>
    <row r="517" spans="1:12" x14ac:dyDescent="0.35">
      <c r="A517" s="2" t="s">
        <v>426</v>
      </c>
      <c r="B517" s="2" t="s">
        <v>67</v>
      </c>
      <c r="C517" s="2">
        <v>28.318300000000001</v>
      </c>
      <c r="D517" s="2">
        <v>5500</v>
      </c>
      <c r="E517" s="2">
        <v>400</v>
      </c>
      <c r="F517" s="2">
        <v>53.3</v>
      </c>
      <c r="G517" s="2">
        <v>0</v>
      </c>
      <c r="H517" s="4">
        <f t="shared" si="40"/>
        <v>3.343508238775164</v>
      </c>
      <c r="I517" s="4">
        <f t="shared" si="41"/>
        <v>8.6125033712205621</v>
      </c>
      <c r="J517" s="4">
        <f t="shared" si="42"/>
        <v>5.9914645471079817</v>
      </c>
      <c r="K517" s="4">
        <f t="shared" si="43"/>
        <v>53.3</v>
      </c>
      <c r="L517" s="4">
        <f t="shared" si="44"/>
        <v>0</v>
      </c>
    </row>
    <row r="518" spans="1:12" x14ac:dyDescent="0.35">
      <c r="A518" s="2" t="s">
        <v>427</v>
      </c>
      <c r="B518" s="2" t="s">
        <v>33</v>
      </c>
      <c r="C518" s="2">
        <v>26.921299999999999</v>
      </c>
      <c r="D518" s="2">
        <v>6000</v>
      </c>
      <c r="E518" s="2">
        <v>360</v>
      </c>
      <c r="F518" s="2">
        <v>53.3</v>
      </c>
      <c r="G518" s="2">
        <v>1</v>
      </c>
      <c r="H518" s="4">
        <f t="shared" si="40"/>
        <v>3.2929177948438269</v>
      </c>
      <c r="I518" s="4">
        <f t="shared" si="41"/>
        <v>8.6995147482101913</v>
      </c>
      <c r="J518" s="4">
        <f t="shared" si="42"/>
        <v>5.8861040314501558</v>
      </c>
      <c r="K518" s="4">
        <f t="shared" si="43"/>
        <v>53.3</v>
      </c>
      <c r="L518" s="4">
        <f t="shared" si="44"/>
        <v>1</v>
      </c>
    </row>
    <row r="519" spans="1:12" x14ac:dyDescent="0.35">
      <c r="A519" s="2" t="s">
        <v>428</v>
      </c>
      <c r="B519" s="2" t="s">
        <v>67</v>
      </c>
      <c r="C519" s="2">
        <v>27.1707</v>
      </c>
      <c r="D519" s="2">
        <v>4500</v>
      </c>
      <c r="E519" s="2">
        <v>249</v>
      </c>
      <c r="F519" s="2">
        <v>48.1</v>
      </c>
      <c r="G519" s="2">
        <v>0</v>
      </c>
      <c r="H519" s="4">
        <f t="shared" si="40"/>
        <v>3.3021391868163521</v>
      </c>
      <c r="I519" s="4">
        <f t="shared" si="41"/>
        <v>8.4118326757584114</v>
      </c>
      <c r="J519" s="4">
        <f t="shared" si="42"/>
        <v>5.5174528964647074</v>
      </c>
      <c r="K519" s="4">
        <f t="shared" si="43"/>
        <v>48.1</v>
      </c>
      <c r="L519" s="4">
        <f t="shared" si="44"/>
        <v>0</v>
      </c>
    </row>
    <row r="520" spans="1:12" x14ac:dyDescent="0.35">
      <c r="A520" s="2" t="s">
        <v>429</v>
      </c>
      <c r="B520" s="2" t="s">
        <v>67</v>
      </c>
      <c r="C520" s="2">
        <v>29.704599999999999</v>
      </c>
      <c r="D520" s="2">
        <v>4500</v>
      </c>
      <c r="E520" s="2">
        <v>249</v>
      </c>
      <c r="F520" s="2">
        <v>47.1</v>
      </c>
      <c r="G520" s="2">
        <v>0</v>
      </c>
      <c r="H520" s="4">
        <f t="shared" si="40"/>
        <v>3.3913019159705335</v>
      </c>
      <c r="I520" s="4">
        <f t="shared" si="41"/>
        <v>8.4118326757584114</v>
      </c>
      <c r="J520" s="4">
        <f t="shared" si="42"/>
        <v>5.5174528964647074</v>
      </c>
      <c r="K520" s="4">
        <f t="shared" si="43"/>
        <v>47.1</v>
      </c>
      <c r="L520" s="4">
        <f t="shared" si="44"/>
        <v>0</v>
      </c>
    </row>
    <row r="521" spans="1:12" x14ac:dyDescent="0.35">
      <c r="A521" s="2" t="s">
        <v>430</v>
      </c>
      <c r="B521" s="2" t="s">
        <v>33</v>
      </c>
      <c r="C521" s="2">
        <v>28.394200000000001</v>
      </c>
      <c r="D521" s="2">
        <v>5500</v>
      </c>
      <c r="E521" s="2">
        <v>360</v>
      </c>
      <c r="F521" s="2">
        <v>54.9</v>
      </c>
      <c r="G521" s="2">
        <v>1</v>
      </c>
      <c r="H521" s="4">
        <f t="shared" si="40"/>
        <v>3.3461848989582106</v>
      </c>
      <c r="I521" s="4">
        <f t="shared" si="41"/>
        <v>8.6125033712205621</v>
      </c>
      <c r="J521" s="4">
        <f t="shared" si="42"/>
        <v>5.8861040314501558</v>
      </c>
      <c r="K521" s="4">
        <f t="shared" si="43"/>
        <v>54.9</v>
      </c>
      <c r="L521" s="4">
        <f t="shared" si="44"/>
        <v>1</v>
      </c>
    </row>
    <row r="522" spans="1:12" x14ac:dyDescent="0.35">
      <c r="A522" s="2" t="s">
        <v>431</v>
      </c>
      <c r="B522" s="2" t="s">
        <v>33</v>
      </c>
      <c r="C522" s="2">
        <v>29.279499999999999</v>
      </c>
      <c r="D522" s="2">
        <v>5500</v>
      </c>
      <c r="E522" s="2">
        <v>400</v>
      </c>
      <c r="F522" s="2">
        <v>54.9</v>
      </c>
      <c r="G522" s="2">
        <v>1</v>
      </c>
      <c r="H522" s="4">
        <f t="shared" si="40"/>
        <v>3.3768876124445733</v>
      </c>
      <c r="I522" s="4">
        <f t="shared" si="41"/>
        <v>8.6125033712205621</v>
      </c>
      <c r="J522" s="4">
        <f t="shared" si="42"/>
        <v>5.9914645471079817</v>
      </c>
      <c r="K522" s="4">
        <f t="shared" si="43"/>
        <v>54.9</v>
      </c>
      <c r="L522" s="4">
        <f t="shared" si="44"/>
        <v>1</v>
      </c>
    </row>
    <row r="523" spans="1:12" x14ac:dyDescent="0.35">
      <c r="A523" s="2" t="s">
        <v>432</v>
      </c>
      <c r="B523" s="2" t="s">
        <v>33</v>
      </c>
      <c r="C523" s="2">
        <v>29.4405</v>
      </c>
      <c r="D523" s="2">
        <v>6500</v>
      </c>
      <c r="E523" s="2">
        <v>510</v>
      </c>
      <c r="F523" s="2">
        <v>54.9</v>
      </c>
      <c r="G523" s="2">
        <v>1</v>
      </c>
      <c r="H523" s="4">
        <f t="shared" si="40"/>
        <v>3.3823712774121062</v>
      </c>
      <c r="I523" s="4">
        <f t="shared" si="41"/>
        <v>8.7795574558837277</v>
      </c>
      <c r="J523" s="4">
        <f t="shared" si="42"/>
        <v>6.2344107257183712</v>
      </c>
      <c r="K523" s="4">
        <f t="shared" si="43"/>
        <v>54.9</v>
      </c>
      <c r="L523" s="4">
        <f t="shared" si="44"/>
        <v>1</v>
      </c>
    </row>
    <row r="524" spans="1:12" x14ac:dyDescent="0.35">
      <c r="A524" s="2" t="s">
        <v>433</v>
      </c>
      <c r="B524" s="2" t="s">
        <v>33</v>
      </c>
      <c r="C524" s="2">
        <v>24.231200000000001</v>
      </c>
      <c r="D524" s="2">
        <v>6000</v>
      </c>
      <c r="E524" s="2">
        <v>530</v>
      </c>
      <c r="F524" s="2">
        <v>54.9</v>
      </c>
      <c r="G524" s="2">
        <v>1</v>
      </c>
      <c r="H524" s="4">
        <f t="shared" si="40"/>
        <v>3.1876410589838513</v>
      </c>
      <c r="I524" s="4">
        <f t="shared" si="41"/>
        <v>8.6995147482101913</v>
      </c>
      <c r="J524" s="4">
        <f t="shared" si="42"/>
        <v>6.2728770065461674</v>
      </c>
      <c r="K524" s="4">
        <f t="shared" si="43"/>
        <v>54.9</v>
      </c>
      <c r="L524" s="4">
        <f t="shared" si="44"/>
        <v>1</v>
      </c>
    </row>
    <row r="525" spans="1:12" x14ac:dyDescent="0.35">
      <c r="A525" s="2" t="s">
        <v>434</v>
      </c>
      <c r="B525" s="2" t="s">
        <v>33</v>
      </c>
      <c r="C525" s="2">
        <v>22.995999999999999</v>
      </c>
      <c r="D525" s="2">
        <v>6500</v>
      </c>
      <c r="E525" s="2">
        <v>530</v>
      </c>
      <c r="F525" s="2">
        <v>58.6</v>
      </c>
      <c r="G525" s="2">
        <v>1</v>
      </c>
      <c r="H525" s="4">
        <f t="shared" si="40"/>
        <v>3.1353202877610444</v>
      </c>
      <c r="I525" s="4">
        <f t="shared" si="41"/>
        <v>8.7795574558837277</v>
      </c>
      <c r="J525" s="4">
        <f t="shared" si="42"/>
        <v>6.2728770065461674</v>
      </c>
      <c r="K525" s="4">
        <f t="shared" si="43"/>
        <v>58.6</v>
      </c>
      <c r="L525" s="4">
        <f t="shared" si="44"/>
        <v>1</v>
      </c>
    </row>
    <row r="526" spans="1:12" x14ac:dyDescent="0.35">
      <c r="A526" s="2" t="s">
        <v>435</v>
      </c>
      <c r="B526" s="2" t="s">
        <v>33</v>
      </c>
      <c r="C526" s="2">
        <v>23.194800000000001</v>
      </c>
      <c r="D526" s="2">
        <v>6000</v>
      </c>
      <c r="E526" s="2">
        <v>625</v>
      </c>
      <c r="F526" s="2">
        <v>54.9</v>
      </c>
      <c r="G526" s="2">
        <v>1</v>
      </c>
      <c r="H526" s="4">
        <f t="shared" si="40"/>
        <v>3.1439281156185697</v>
      </c>
      <c r="I526" s="4">
        <f t="shared" si="41"/>
        <v>8.6995147482101913</v>
      </c>
      <c r="J526" s="4">
        <f t="shared" si="42"/>
        <v>6.4377516497364011</v>
      </c>
      <c r="K526" s="4">
        <f t="shared" si="43"/>
        <v>54.9</v>
      </c>
      <c r="L526" s="4">
        <f t="shared" si="44"/>
        <v>1</v>
      </c>
    </row>
    <row r="527" spans="1:12" x14ac:dyDescent="0.35">
      <c r="A527" s="2" t="s">
        <v>436</v>
      </c>
      <c r="B527" s="2" t="s">
        <v>33</v>
      </c>
      <c r="C527" s="2">
        <v>22.995999999999999</v>
      </c>
      <c r="D527" s="2">
        <v>6500</v>
      </c>
      <c r="E527" s="2">
        <v>625</v>
      </c>
      <c r="F527" s="2">
        <v>54.9</v>
      </c>
      <c r="G527" s="2">
        <v>1</v>
      </c>
      <c r="H527" s="4">
        <f t="shared" si="40"/>
        <v>3.1353202877610444</v>
      </c>
      <c r="I527" s="4">
        <f t="shared" si="41"/>
        <v>8.7795574558837277</v>
      </c>
      <c r="J527" s="4">
        <f t="shared" si="42"/>
        <v>6.4377516497364011</v>
      </c>
      <c r="K527" s="4">
        <f t="shared" si="43"/>
        <v>54.9</v>
      </c>
      <c r="L527" s="4">
        <f t="shared" si="44"/>
        <v>1</v>
      </c>
    </row>
    <row r="528" spans="1:12" x14ac:dyDescent="0.35">
      <c r="A528" s="2" t="s">
        <v>437</v>
      </c>
      <c r="B528" s="2" t="s">
        <v>33</v>
      </c>
      <c r="C528" s="2">
        <v>22.995999999999999</v>
      </c>
      <c r="D528" s="2">
        <v>6500</v>
      </c>
      <c r="E528" s="2">
        <v>625</v>
      </c>
      <c r="F528" s="2">
        <v>58.6</v>
      </c>
      <c r="G528" s="2">
        <v>1</v>
      </c>
      <c r="H528" s="4">
        <f t="shared" si="40"/>
        <v>3.1353202877610444</v>
      </c>
      <c r="I528" s="4">
        <f t="shared" si="41"/>
        <v>8.7795574558837277</v>
      </c>
      <c r="J528" s="4">
        <f t="shared" si="42"/>
        <v>6.4377516497364011</v>
      </c>
      <c r="K528" s="4">
        <f t="shared" si="43"/>
        <v>58.6</v>
      </c>
      <c r="L528" s="4">
        <f t="shared" si="44"/>
        <v>1</v>
      </c>
    </row>
    <row r="529" spans="1:12" x14ac:dyDescent="0.35">
      <c r="A529" s="2" t="s">
        <v>438</v>
      </c>
      <c r="B529" s="2" t="s">
        <v>33</v>
      </c>
      <c r="C529" s="2">
        <v>25.739899999999999</v>
      </c>
      <c r="D529" s="2">
        <v>6000</v>
      </c>
      <c r="E529" s="2">
        <v>400</v>
      </c>
      <c r="F529" s="2">
        <v>55.5</v>
      </c>
      <c r="G529" s="2">
        <v>1</v>
      </c>
      <c r="H529" s="4">
        <f t="shared" si="40"/>
        <v>3.2480423171565489</v>
      </c>
      <c r="I529" s="4">
        <f t="shared" si="41"/>
        <v>8.6995147482101913</v>
      </c>
      <c r="J529" s="4">
        <f t="shared" si="42"/>
        <v>5.9914645471079817</v>
      </c>
      <c r="K529" s="4">
        <f t="shared" si="43"/>
        <v>55.5</v>
      </c>
      <c r="L529" s="4">
        <f t="shared" si="44"/>
        <v>1</v>
      </c>
    </row>
    <row r="530" spans="1:12" x14ac:dyDescent="0.35">
      <c r="A530" s="2" t="s">
        <v>439</v>
      </c>
      <c r="B530" s="2" t="s">
        <v>33</v>
      </c>
      <c r="C530" s="2">
        <v>26.437999999999999</v>
      </c>
      <c r="D530" s="2">
        <v>5500</v>
      </c>
      <c r="E530" s="2">
        <v>400</v>
      </c>
      <c r="F530" s="2">
        <v>47.4</v>
      </c>
      <c r="G530" s="2">
        <v>1</v>
      </c>
      <c r="H530" s="4">
        <f t="shared" si="40"/>
        <v>3.2748023691572077</v>
      </c>
      <c r="I530" s="4">
        <f t="shared" si="41"/>
        <v>8.6125033712205621</v>
      </c>
      <c r="J530" s="4">
        <f t="shared" si="42"/>
        <v>5.9914645471079817</v>
      </c>
      <c r="K530" s="4">
        <f t="shared" si="43"/>
        <v>47.4</v>
      </c>
      <c r="L530" s="4">
        <f t="shared" si="44"/>
        <v>1</v>
      </c>
    </row>
    <row r="531" spans="1:12" x14ac:dyDescent="0.35">
      <c r="A531" s="2" t="s">
        <v>440</v>
      </c>
      <c r="B531" s="2" t="s">
        <v>67</v>
      </c>
      <c r="C531" s="2">
        <v>25.965199999999999</v>
      </c>
      <c r="D531" s="2">
        <v>5000</v>
      </c>
      <c r="E531" s="2">
        <v>400</v>
      </c>
      <c r="F531" s="2">
        <v>47.4</v>
      </c>
      <c r="G531" s="2">
        <v>0</v>
      </c>
      <c r="H531" s="4">
        <f t="shared" si="40"/>
        <v>3.2567571799432971</v>
      </c>
      <c r="I531" s="4">
        <f t="shared" si="41"/>
        <v>8.5171931914162382</v>
      </c>
      <c r="J531" s="4">
        <f t="shared" si="42"/>
        <v>5.9914645471079817</v>
      </c>
      <c r="K531" s="4">
        <f t="shared" si="43"/>
        <v>47.4</v>
      </c>
      <c r="L531" s="4">
        <f t="shared" si="44"/>
        <v>0</v>
      </c>
    </row>
    <row r="532" spans="1:12" x14ac:dyDescent="0.35">
      <c r="A532" s="2" t="s">
        <v>440</v>
      </c>
      <c r="B532" s="2" t="s">
        <v>67</v>
      </c>
      <c r="C532" s="2">
        <v>21.216000000000001</v>
      </c>
      <c r="D532" s="2">
        <v>5500</v>
      </c>
      <c r="E532" s="2">
        <v>525</v>
      </c>
      <c r="F532" s="2">
        <v>47.4</v>
      </c>
      <c r="G532" s="2">
        <v>0</v>
      </c>
      <c r="H532" s="4">
        <f t="shared" si="40"/>
        <v>3.0547556140034522</v>
      </c>
      <c r="I532" s="4">
        <f t="shared" si="41"/>
        <v>8.6125033712205621</v>
      </c>
      <c r="J532" s="4">
        <f t="shared" si="42"/>
        <v>6.2633982625916236</v>
      </c>
      <c r="K532" s="4">
        <f t="shared" si="43"/>
        <v>47.4</v>
      </c>
      <c r="L532" s="4">
        <f t="shared" si="44"/>
        <v>0</v>
      </c>
    </row>
    <row r="533" spans="1:12" x14ac:dyDescent="0.35">
      <c r="A533" s="2" t="s">
        <v>441</v>
      </c>
      <c r="B533" s="2" t="s">
        <v>67</v>
      </c>
      <c r="C533" s="2">
        <v>25.482299999999999</v>
      </c>
      <c r="D533" s="2">
        <v>5500</v>
      </c>
      <c r="E533" s="2">
        <v>400</v>
      </c>
      <c r="F533" s="2">
        <v>55.5</v>
      </c>
      <c r="G533" s="2">
        <v>0</v>
      </c>
      <c r="H533" s="4">
        <f t="shared" si="40"/>
        <v>3.2379840935061344</v>
      </c>
      <c r="I533" s="4">
        <f t="shared" si="41"/>
        <v>8.6125033712205621</v>
      </c>
      <c r="J533" s="4">
        <f t="shared" si="42"/>
        <v>5.9914645471079817</v>
      </c>
      <c r="K533" s="4">
        <f t="shared" si="43"/>
        <v>55.5</v>
      </c>
      <c r="L533" s="4">
        <f t="shared" si="44"/>
        <v>0</v>
      </c>
    </row>
    <row r="534" spans="1:12" x14ac:dyDescent="0.35">
      <c r="A534" s="2" t="s">
        <v>441</v>
      </c>
      <c r="B534" s="2" t="s">
        <v>67</v>
      </c>
      <c r="C534" s="2">
        <v>20.4861</v>
      </c>
      <c r="D534" s="2">
        <v>6000</v>
      </c>
      <c r="E534" s="2">
        <v>525</v>
      </c>
      <c r="F534" s="2">
        <v>55.5</v>
      </c>
      <c r="G534" s="2">
        <v>0</v>
      </c>
      <c r="H534" s="4">
        <f t="shared" si="40"/>
        <v>3.0197466073848367</v>
      </c>
      <c r="I534" s="4">
        <f t="shared" si="41"/>
        <v>8.6995147482101913</v>
      </c>
      <c r="J534" s="4">
        <f t="shared" si="42"/>
        <v>6.2633982625916236</v>
      </c>
      <c r="K534" s="4">
        <f t="shared" si="43"/>
        <v>55.5</v>
      </c>
      <c r="L534" s="4">
        <f t="shared" si="44"/>
        <v>0</v>
      </c>
    </row>
    <row r="535" spans="1:12" x14ac:dyDescent="0.35">
      <c r="A535" s="2" t="s">
        <v>442</v>
      </c>
      <c r="B535" s="2" t="s">
        <v>67</v>
      </c>
      <c r="C535" s="2">
        <v>20.163799999999998</v>
      </c>
      <c r="D535" s="2">
        <v>6500</v>
      </c>
      <c r="E535" s="2">
        <v>500</v>
      </c>
      <c r="F535" s="2">
        <v>55.5</v>
      </c>
      <c r="G535" s="2">
        <v>0</v>
      </c>
      <c r="H535" s="4">
        <f t="shared" si="40"/>
        <v>3.0038889175042627</v>
      </c>
      <c r="I535" s="4">
        <f t="shared" si="41"/>
        <v>8.7795574558837277</v>
      </c>
      <c r="J535" s="4">
        <f t="shared" si="42"/>
        <v>6.2146080984221914</v>
      </c>
      <c r="K535" s="4">
        <f t="shared" si="43"/>
        <v>55.5</v>
      </c>
      <c r="L535" s="4">
        <f t="shared" si="44"/>
        <v>0</v>
      </c>
    </row>
    <row r="536" spans="1:12" x14ac:dyDescent="0.35">
      <c r="A536" s="2" t="s">
        <v>443</v>
      </c>
      <c r="B536" s="2" t="s">
        <v>33</v>
      </c>
      <c r="C536" s="2">
        <v>28.032399999999999</v>
      </c>
      <c r="D536" s="2">
        <v>6000</v>
      </c>
      <c r="E536" s="2">
        <v>400</v>
      </c>
      <c r="F536" s="2">
        <v>54.9</v>
      </c>
      <c r="G536" s="2">
        <v>1</v>
      </c>
      <c r="H536" s="4">
        <f t="shared" si="40"/>
        <v>3.3333609840585665</v>
      </c>
      <c r="I536" s="4">
        <f t="shared" si="41"/>
        <v>8.6995147482101913</v>
      </c>
      <c r="J536" s="4">
        <f t="shared" si="42"/>
        <v>5.9914645471079817</v>
      </c>
      <c r="K536" s="4">
        <f t="shared" si="43"/>
        <v>54.9</v>
      </c>
      <c r="L536" s="4">
        <f t="shared" si="44"/>
        <v>1</v>
      </c>
    </row>
    <row r="537" spans="1:12" x14ac:dyDescent="0.35">
      <c r="A537" s="2" t="s">
        <v>444</v>
      </c>
      <c r="B537" s="2" t="s">
        <v>33</v>
      </c>
      <c r="C537" s="2">
        <v>28.032399999999999</v>
      </c>
      <c r="D537" s="2">
        <v>6000</v>
      </c>
      <c r="E537" s="2">
        <v>400</v>
      </c>
      <c r="F537" s="2">
        <v>58.6</v>
      </c>
      <c r="G537" s="2">
        <v>1</v>
      </c>
      <c r="H537" s="4">
        <f t="shared" si="40"/>
        <v>3.3333609840585665</v>
      </c>
      <c r="I537" s="4">
        <f t="shared" si="41"/>
        <v>8.6995147482101913</v>
      </c>
      <c r="J537" s="4">
        <f t="shared" si="42"/>
        <v>5.9914645471079817</v>
      </c>
      <c r="K537" s="4">
        <f t="shared" si="43"/>
        <v>58.6</v>
      </c>
      <c r="L537" s="4">
        <f t="shared" si="44"/>
        <v>1</v>
      </c>
    </row>
    <row r="538" spans="1:12" x14ac:dyDescent="0.35">
      <c r="A538" s="2" t="s">
        <v>445</v>
      </c>
      <c r="B538" s="2" t="s">
        <v>33</v>
      </c>
      <c r="C538" s="2">
        <v>29.4405</v>
      </c>
      <c r="D538" s="2">
        <v>6500</v>
      </c>
      <c r="E538" s="2">
        <v>510</v>
      </c>
      <c r="F538" s="2">
        <v>54.9</v>
      </c>
      <c r="G538" s="2">
        <v>1</v>
      </c>
      <c r="H538" s="4">
        <f t="shared" si="40"/>
        <v>3.3823712774121062</v>
      </c>
      <c r="I538" s="4">
        <f t="shared" si="41"/>
        <v>8.7795574558837277</v>
      </c>
      <c r="J538" s="4">
        <f t="shared" si="42"/>
        <v>6.2344107257183712</v>
      </c>
      <c r="K538" s="4">
        <f t="shared" si="43"/>
        <v>54.9</v>
      </c>
      <c r="L538" s="4">
        <f t="shared" si="44"/>
        <v>1</v>
      </c>
    </row>
    <row r="539" spans="1:12" x14ac:dyDescent="0.35">
      <c r="A539" s="2" t="s">
        <v>446</v>
      </c>
      <c r="B539" s="2" t="s">
        <v>33</v>
      </c>
      <c r="C539" s="2">
        <v>25.657</v>
      </c>
      <c r="D539" s="2">
        <v>6000</v>
      </c>
      <c r="E539" s="2">
        <v>300</v>
      </c>
      <c r="F539" s="2">
        <v>55.5</v>
      </c>
      <c r="G539" s="2">
        <v>1</v>
      </c>
      <c r="H539" s="4">
        <f t="shared" si="40"/>
        <v>3.2448164388685545</v>
      </c>
      <c r="I539" s="4">
        <f t="shared" si="41"/>
        <v>8.6995147482101913</v>
      </c>
      <c r="J539" s="4">
        <f t="shared" si="42"/>
        <v>5.7037824746562009</v>
      </c>
      <c r="K539" s="4">
        <f t="shared" si="43"/>
        <v>55.5</v>
      </c>
      <c r="L539" s="4">
        <f t="shared" si="44"/>
        <v>1</v>
      </c>
    </row>
    <row r="540" spans="1:12" x14ac:dyDescent="0.35">
      <c r="A540" s="2" t="s">
        <v>447</v>
      </c>
      <c r="B540" s="2" t="s">
        <v>33</v>
      </c>
      <c r="C540" s="2">
        <v>25.6248</v>
      </c>
      <c r="D540" s="2">
        <v>6000</v>
      </c>
      <c r="E540" s="2">
        <v>400</v>
      </c>
      <c r="F540" s="2">
        <v>55.5</v>
      </c>
      <c r="G540" s="2">
        <v>1</v>
      </c>
      <c r="H540" s="4">
        <f t="shared" si="40"/>
        <v>3.2435606325500652</v>
      </c>
      <c r="I540" s="4">
        <f t="shared" si="41"/>
        <v>8.6995147482101913</v>
      </c>
      <c r="J540" s="4">
        <f t="shared" si="42"/>
        <v>5.9914645471079817</v>
      </c>
      <c r="K540" s="4">
        <f t="shared" si="43"/>
        <v>55.5</v>
      </c>
      <c r="L540" s="4">
        <f t="shared" si="44"/>
        <v>1</v>
      </c>
    </row>
    <row r="541" spans="1:12" x14ac:dyDescent="0.35">
      <c r="A541" s="2" t="s">
        <v>448</v>
      </c>
      <c r="B541" s="2" t="s">
        <v>33</v>
      </c>
      <c r="C541" s="2">
        <v>23.600999999999999</v>
      </c>
      <c r="D541" s="2">
        <v>6000</v>
      </c>
      <c r="E541" s="2">
        <v>400</v>
      </c>
      <c r="F541" s="2">
        <v>55.5</v>
      </c>
      <c r="G541" s="2">
        <v>1</v>
      </c>
      <c r="H541" s="4">
        <f t="shared" si="40"/>
        <v>3.1612890840152152</v>
      </c>
      <c r="I541" s="4">
        <f t="shared" si="41"/>
        <v>8.6995147482101913</v>
      </c>
      <c r="J541" s="4">
        <f t="shared" si="42"/>
        <v>5.9914645471079817</v>
      </c>
      <c r="K541" s="4">
        <f t="shared" si="43"/>
        <v>55.5</v>
      </c>
      <c r="L541" s="4">
        <f t="shared" si="44"/>
        <v>1</v>
      </c>
    </row>
    <row r="542" spans="1:12" x14ac:dyDescent="0.35">
      <c r="A542" s="2" t="s">
        <v>449</v>
      </c>
      <c r="B542" s="2" t="s">
        <v>67</v>
      </c>
      <c r="C542" s="2">
        <v>23.840900000000001</v>
      </c>
      <c r="D542" s="2">
        <v>4500</v>
      </c>
      <c r="E542" s="2">
        <v>575</v>
      </c>
      <c r="F542" s="2">
        <v>45.2</v>
      </c>
      <c r="G542" s="2">
        <v>0</v>
      </c>
      <c r="H542" s="4">
        <f t="shared" si="40"/>
        <v>3.1714025931624246</v>
      </c>
      <c r="I542" s="4">
        <f t="shared" si="41"/>
        <v>8.4118326757584114</v>
      </c>
      <c r="J542" s="4">
        <f t="shared" si="42"/>
        <v>6.3543700407973507</v>
      </c>
      <c r="K542" s="4">
        <f t="shared" si="43"/>
        <v>45.2</v>
      </c>
      <c r="L542" s="4">
        <f t="shared" si="44"/>
        <v>0</v>
      </c>
    </row>
    <row r="543" spans="1:12" x14ac:dyDescent="0.35">
      <c r="A543" s="2" t="s">
        <v>450</v>
      </c>
      <c r="B543" s="2" t="s">
        <v>67</v>
      </c>
      <c r="C543" s="2">
        <v>23.840900000000001</v>
      </c>
      <c r="D543" s="2">
        <v>4500</v>
      </c>
      <c r="E543" s="2">
        <v>575</v>
      </c>
      <c r="F543" s="2">
        <v>45.2</v>
      </c>
      <c r="G543" s="2">
        <v>0</v>
      </c>
      <c r="H543" s="4">
        <f t="shared" si="40"/>
        <v>3.1714025931624246</v>
      </c>
      <c r="I543" s="4">
        <f t="shared" si="41"/>
        <v>8.4118326757584114</v>
      </c>
      <c r="J543" s="4">
        <f t="shared" si="42"/>
        <v>6.3543700407973507</v>
      </c>
      <c r="K543" s="4">
        <f t="shared" si="43"/>
        <v>45.2</v>
      </c>
      <c r="L543" s="4">
        <f t="shared" si="44"/>
        <v>0</v>
      </c>
    </row>
    <row r="544" spans="1:12" x14ac:dyDescent="0.35">
      <c r="A544" s="2" t="s">
        <v>451</v>
      </c>
      <c r="B544" s="2" t="s">
        <v>67</v>
      </c>
      <c r="C544" s="2">
        <v>25.173300000000001</v>
      </c>
      <c r="D544" s="2">
        <v>4000</v>
      </c>
      <c r="E544" s="2">
        <v>450</v>
      </c>
      <c r="F544" s="2">
        <v>45.3</v>
      </c>
      <c r="G544" s="2">
        <v>0</v>
      </c>
      <c r="H544" s="4">
        <f t="shared" si="40"/>
        <v>3.2257839090157163</v>
      </c>
      <c r="I544" s="4">
        <f t="shared" si="41"/>
        <v>8.2940496401020276</v>
      </c>
      <c r="J544" s="4">
        <f t="shared" si="42"/>
        <v>6.1092475827643655</v>
      </c>
      <c r="K544" s="4">
        <f t="shared" si="43"/>
        <v>45.3</v>
      </c>
      <c r="L544" s="4">
        <f t="shared" si="44"/>
        <v>0</v>
      </c>
    </row>
    <row r="545" spans="1:12" x14ac:dyDescent="0.35">
      <c r="A545" s="2" t="s">
        <v>452</v>
      </c>
      <c r="B545" s="2" t="s">
        <v>67</v>
      </c>
      <c r="C545" s="2">
        <v>25.173300000000001</v>
      </c>
      <c r="D545" s="2">
        <v>4000</v>
      </c>
      <c r="E545" s="2">
        <v>450</v>
      </c>
      <c r="F545" s="2">
        <v>45.3</v>
      </c>
      <c r="G545" s="2">
        <v>0</v>
      </c>
      <c r="H545" s="4">
        <f t="shared" si="40"/>
        <v>3.2257839090157163</v>
      </c>
      <c r="I545" s="4">
        <f t="shared" si="41"/>
        <v>8.2940496401020276</v>
      </c>
      <c r="J545" s="4">
        <f t="shared" si="42"/>
        <v>6.1092475827643655</v>
      </c>
      <c r="K545" s="4">
        <f t="shared" si="43"/>
        <v>45.3</v>
      </c>
      <c r="L545" s="4">
        <f t="shared" si="44"/>
        <v>0</v>
      </c>
    </row>
    <row r="546" spans="1:12" x14ac:dyDescent="0.35">
      <c r="A546" s="2" t="s">
        <v>453</v>
      </c>
      <c r="B546" s="2" t="s">
        <v>67</v>
      </c>
      <c r="C546" s="2">
        <v>23.840900000000001</v>
      </c>
      <c r="D546" s="2">
        <v>4500</v>
      </c>
      <c r="E546" s="2">
        <v>450</v>
      </c>
      <c r="F546" s="2">
        <v>45.3</v>
      </c>
      <c r="G546" s="2">
        <v>0</v>
      </c>
      <c r="H546" s="4">
        <f t="shared" si="40"/>
        <v>3.1714025931624246</v>
      </c>
      <c r="I546" s="4">
        <f t="shared" si="41"/>
        <v>8.4118326757584114</v>
      </c>
      <c r="J546" s="4">
        <f t="shared" si="42"/>
        <v>6.1092475827643655</v>
      </c>
      <c r="K546" s="4">
        <f t="shared" si="43"/>
        <v>45.3</v>
      </c>
      <c r="L546" s="4">
        <f t="shared" si="44"/>
        <v>0</v>
      </c>
    </row>
    <row r="547" spans="1:12" x14ac:dyDescent="0.35">
      <c r="A547" s="2" t="s">
        <v>454</v>
      </c>
      <c r="B547" s="2" t="s">
        <v>67</v>
      </c>
      <c r="C547" s="2">
        <v>23.840900000000001</v>
      </c>
      <c r="D547" s="2">
        <v>4500</v>
      </c>
      <c r="E547" s="2">
        <v>450</v>
      </c>
      <c r="F547" s="2">
        <v>45.3</v>
      </c>
      <c r="G547" s="2">
        <v>0</v>
      </c>
      <c r="H547" s="4">
        <f t="shared" si="40"/>
        <v>3.1714025931624246</v>
      </c>
      <c r="I547" s="4">
        <f t="shared" si="41"/>
        <v>8.4118326757584114</v>
      </c>
      <c r="J547" s="4">
        <f t="shared" si="42"/>
        <v>6.1092475827643655</v>
      </c>
      <c r="K547" s="4">
        <f t="shared" si="43"/>
        <v>45.3</v>
      </c>
      <c r="L547" s="4">
        <f t="shared" si="44"/>
        <v>0</v>
      </c>
    </row>
    <row r="548" spans="1:12" x14ac:dyDescent="0.35">
      <c r="A548" s="2" t="s">
        <v>455</v>
      </c>
      <c r="B548" s="2" t="s">
        <v>67</v>
      </c>
      <c r="C548" s="2">
        <v>34.456000000000003</v>
      </c>
      <c r="D548" s="2">
        <v>4000</v>
      </c>
      <c r="E548" s="2">
        <v>250</v>
      </c>
      <c r="F548" s="2">
        <v>51.1</v>
      </c>
      <c r="G548" s="2">
        <v>0</v>
      </c>
      <c r="H548" s="4">
        <f t="shared" si="40"/>
        <v>3.5396831477518096</v>
      </c>
      <c r="I548" s="4">
        <f t="shared" si="41"/>
        <v>8.2940496401020276</v>
      </c>
      <c r="J548" s="4">
        <f t="shared" si="42"/>
        <v>5.521460917862246</v>
      </c>
      <c r="K548" s="4">
        <f t="shared" si="43"/>
        <v>51.1</v>
      </c>
      <c r="L548" s="4">
        <f t="shared" si="44"/>
        <v>0</v>
      </c>
    </row>
    <row r="549" spans="1:12" x14ac:dyDescent="0.35">
      <c r="A549" s="2" t="s">
        <v>456</v>
      </c>
      <c r="B549" s="2" t="s">
        <v>67</v>
      </c>
      <c r="C549" s="2">
        <v>31.797599999999999</v>
      </c>
      <c r="D549" s="2">
        <v>4500</v>
      </c>
      <c r="E549" s="2">
        <v>300</v>
      </c>
      <c r="F549" s="2">
        <v>51.1</v>
      </c>
      <c r="G549" s="2">
        <v>0</v>
      </c>
      <c r="H549" s="4">
        <f t="shared" si="40"/>
        <v>3.4593908152398858</v>
      </c>
      <c r="I549" s="4">
        <f t="shared" si="41"/>
        <v>8.4118326757584114</v>
      </c>
      <c r="J549" s="4">
        <f t="shared" si="42"/>
        <v>5.7037824746562009</v>
      </c>
      <c r="K549" s="4">
        <f t="shared" si="43"/>
        <v>51.1</v>
      </c>
      <c r="L549" s="4">
        <f t="shared" si="44"/>
        <v>0</v>
      </c>
    </row>
    <row r="550" spans="1:12" x14ac:dyDescent="0.35">
      <c r="A550" s="2" t="s">
        <v>457</v>
      </c>
      <c r="B550" s="2" t="s">
        <v>67</v>
      </c>
      <c r="C550" s="2">
        <v>31.5137</v>
      </c>
      <c r="D550" s="2">
        <v>4500</v>
      </c>
      <c r="E550" s="2">
        <v>250</v>
      </c>
      <c r="F550" s="2">
        <v>51</v>
      </c>
      <c r="G550" s="2">
        <v>0</v>
      </c>
      <c r="H550" s="4">
        <f t="shared" si="40"/>
        <v>3.4504223719159421</v>
      </c>
      <c r="I550" s="4">
        <f t="shared" si="41"/>
        <v>8.4118326757584114</v>
      </c>
      <c r="J550" s="4">
        <f t="shared" si="42"/>
        <v>5.521460917862246</v>
      </c>
      <c r="K550" s="4">
        <f t="shared" si="43"/>
        <v>51</v>
      </c>
      <c r="L550" s="4">
        <f t="shared" si="44"/>
        <v>0</v>
      </c>
    </row>
    <row r="551" spans="1:12" x14ac:dyDescent="0.35">
      <c r="A551" s="2" t="s">
        <v>458</v>
      </c>
      <c r="B551" s="2" t="s">
        <v>67</v>
      </c>
      <c r="C551" s="2">
        <v>22.03</v>
      </c>
      <c r="D551" s="2">
        <v>5000</v>
      </c>
      <c r="E551" s="2">
        <v>550</v>
      </c>
      <c r="F551" s="2">
        <v>51.3</v>
      </c>
      <c r="G551" s="2">
        <v>0</v>
      </c>
      <c r="H551" s="4">
        <f t="shared" si="40"/>
        <v>3.092405160814252</v>
      </c>
      <c r="I551" s="4">
        <f t="shared" si="41"/>
        <v>8.5171931914162382</v>
      </c>
      <c r="J551" s="4">
        <f t="shared" si="42"/>
        <v>6.3099182782265162</v>
      </c>
      <c r="K551" s="4">
        <f t="shared" si="43"/>
        <v>51.3</v>
      </c>
      <c r="L551" s="4">
        <f t="shared" si="44"/>
        <v>0</v>
      </c>
    </row>
    <row r="552" spans="1:12" x14ac:dyDescent="0.35">
      <c r="A552" s="2" t="s">
        <v>459</v>
      </c>
      <c r="B552" s="2" t="s">
        <v>33</v>
      </c>
      <c r="C552" s="2">
        <v>27.639399999999998</v>
      </c>
      <c r="D552" s="2">
        <v>5000</v>
      </c>
      <c r="E552" s="2">
        <v>400</v>
      </c>
      <c r="F552" s="2">
        <v>51</v>
      </c>
      <c r="G552" s="2">
        <v>1</v>
      </c>
      <c r="H552" s="4">
        <f t="shared" si="40"/>
        <v>3.3192422909938109</v>
      </c>
      <c r="I552" s="4">
        <f t="shared" si="41"/>
        <v>8.5171931914162382</v>
      </c>
      <c r="J552" s="4">
        <f t="shared" si="42"/>
        <v>5.9914645471079817</v>
      </c>
      <c r="K552" s="4">
        <f t="shared" si="43"/>
        <v>51</v>
      </c>
      <c r="L552" s="4">
        <f t="shared" si="44"/>
        <v>1</v>
      </c>
    </row>
    <row r="553" spans="1:12" x14ac:dyDescent="0.35">
      <c r="A553" s="2" t="s">
        <v>460</v>
      </c>
      <c r="B553" s="2" t="s">
        <v>67</v>
      </c>
      <c r="C553" s="2">
        <v>30.090499999999999</v>
      </c>
      <c r="D553" s="2">
        <v>4500</v>
      </c>
      <c r="E553" s="2">
        <v>249</v>
      </c>
      <c r="F553" s="2">
        <v>47.2</v>
      </c>
      <c r="G553" s="2">
        <v>0</v>
      </c>
      <c r="H553" s="4">
        <f t="shared" si="40"/>
        <v>3.4042095073201142</v>
      </c>
      <c r="I553" s="4">
        <f t="shared" si="41"/>
        <v>8.4118326757584114</v>
      </c>
      <c r="J553" s="4">
        <f t="shared" si="42"/>
        <v>5.5174528964647074</v>
      </c>
      <c r="K553" s="4">
        <f t="shared" si="43"/>
        <v>47.2</v>
      </c>
      <c r="L553" s="4">
        <f t="shared" si="44"/>
        <v>0</v>
      </c>
    </row>
    <row r="554" spans="1:12" x14ac:dyDescent="0.35">
      <c r="A554" s="2" t="s">
        <v>461</v>
      </c>
      <c r="B554" s="2" t="s">
        <v>67</v>
      </c>
      <c r="C554" s="2">
        <v>26.277100000000001</v>
      </c>
      <c r="D554" s="2">
        <v>4500</v>
      </c>
      <c r="E554" s="2">
        <v>291</v>
      </c>
      <c r="F554" s="2">
        <v>53.5</v>
      </c>
      <c r="G554" s="2">
        <v>0</v>
      </c>
      <c r="H554" s="4">
        <f t="shared" si="40"/>
        <v>3.2686978374512887</v>
      </c>
      <c r="I554" s="4">
        <f t="shared" si="41"/>
        <v>8.4118326757584114</v>
      </c>
      <c r="J554" s="4">
        <f t="shared" si="42"/>
        <v>5.6733232671714928</v>
      </c>
      <c r="K554" s="4">
        <f t="shared" si="43"/>
        <v>53.5</v>
      </c>
      <c r="L554" s="4">
        <f t="shared" si="44"/>
        <v>0</v>
      </c>
    </row>
    <row r="555" spans="1:12" x14ac:dyDescent="0.35">
      <c r="A555" s="2" t="s">
        <v>463</v>
      </c>
      <c r="B555" s="2" t="s">
        <v>67</v>
      </c>
      <c r="C555" s="2">
        <v>29.479199999999999</v>
      </c>
      <c r="D555" s="2">
        <v>4500</v>
      </c>
      <c r="E555" s="2">
        <v>291</v>
      </c>
      <c r="F555" s="2">
        <v>53.5</v>
      </c>
      <c r="G555" s="2">
        <v>0</v>
      </c>
      <c r="H555" s="4">
        <f t="shared" si="40"/>
        <v>3.3836849299108573</v>
      </c>
      <c r="I555" s="4">
        <f t="shared" si="41"/>
        <v>8.4118326757584114</v>
      </c>
      <c r="J555" s="4">
        <f t="shared" si="42"/>
        <v>5.6733232671714928</v>
      </c>
      <c r="K555" s="4">
        <f t="shared" si="43"/>
        <v>53.5</v>
      </c>
      <c r="L555" s="4">
        <f t="shared" si="44"/>
        <v>0</v>
      </c>
    </row>
    <row r="556" spans="1:12" x14ac:dyDescent="0.35">
      <c r="A556" s="2" t="s">
        <v>464</v>
      </c>
      <c r="B556" s="2" t="s">
        <v>33</v>
      </c>
      <c r="C556" s="2">
        <v>65.511399999999995</v>
      </c>
      <c r="D556" s="2">
        <v>3500</v>
      </c>
      <c r="E556" s="2">
        <v>104</v>
      </c>
      <c r="F556" s="2">
        <v>46.3</v>
      </c>
      <c r="G556" s="2">
        <v>1</v>
      </c>
      <c r="H556" s="4">
        <f t="shared" si="40"/>
        <v>4.1822241732985193</v>
      </c>
      <c r="I556" s="4">
        <f t="shared" si="41"/>
        <v>8.1605182474775049</v>
      </c>
      <c r="J556" s="4">
        <f t="shared" si="42"/>
        <v>4.6443908991413725</v>
      </c>
      <c r="K556" s="4">
        <f t="shared" si="43"/>
        <v>46.3</v>
      </c>
      <c r="L556" s="4">
        <f t="shared" si="44"/>
        <v>1</v>
      </c>
    </row>
    <row r="557" spans="1:12" x14ac:dyDescent="0.35">
      <c r="A557" s="2" t="s">
        <v>465</v>
      </c>
      <c r="B557" s="2" t="s">
        <v>33</v>
      </c>
      <c r="C557" s="2">
        <v>68.685400000000001</v>
      </c>
      <c r="D557" s="2">
        <v>3500</v>
      </c>
      <c r="E557" s="2">
        <v>104</v>
      </c>
      <c r="F557" s="2">
        <v>46.6</v>
      </c>
      <c r="G557" s="2">
        <v>1</v>
      </c>
      <c r="H557" s="4">
        <f t="shared" si="40"/>
        <v>4.2295366584480609</v>
      </c>
      <c r="I557" s="4">
        <f t="shared" si="41"/>
        <v>8.1605182474775049</v>
      </c>
      <c r="J557" s="4">
        <f t="shared" si="42"/>
        <v>4.6443908991413725</v>
      </c>
      <c r="K557" s="4">
        <f t="shared" si="43"/>
        <v>46.6</v>
      </c>
      <c r="L557" s="4">
        <f t="shared" si="44"/>
        <v>1</v>
      </c>
    </row>
    <row r="558" spans="1:12" x14ac:dyDescent="0.35">
      <c r="A558" s="2" t="s">
        <v>466</v>
      </c>
      <c r="B558" s="2" t="s">
        <v>33</v>
      </c>
      <c r="C558" s="2">
        <v>67.032499999999999</v>
      </c>
      <c r="D558" s="2">
        <v>3500</v>
      </c>
      <c r="E558" s="2">
        <v>104</v>
      </c>
      <c r="F558" s="2">
        <v>46.6</v>
      </c>
      <c r="G558" s="2">
        <v>1</v>
      </c>
      <c r="H558" s="4">
        <f t="shared" si="40"/>
        <v>4.2051775764071664</v>
      </c>
      <c r="I558" s="4">
        <f t="shared" si="41"/>
        <v>8.1605182474775049</v>
      </c>
      <c r="J558" s="4">
        <f t="shared" si="42"/>
        <v>4.6443908991413725</v>
      </c>
      <c r="K558" s="4">
        <f t="shared" si="43"/>
        <v>46.6</v>
      </c>
      <c r="L558" s="4">
        <f t="shared" si="44"/>
        <v>1</v>
      </c>
    </row>
    <row r="559" spans="1:12" x14ac:dyDescent="0.35">
      <c r="A559" s="2" t="s">
        <v>467</v>
      </c>
      <c r="B559" s="2" t="s">
        <v>67</v>
      </c>
      <c r="C559" s="2">
        <v>40.534700000000001</v>
      </c>
      <c r="D559" s="2">
        <v>3000</v>
      </c>
      <c r="E559" s="2">
        <v>147</v>
      </c>
      <c r="F559" s="2">
        <v>44.2</v>
      </c>
      <c r="G559" s="2">
        <v>0</v>
      </c>
      <c r="H559" s="4">
        <f t="shared" si="40"/>
        <v>3.7021583974008112</v>
      </c>
      <c r="I559" s="4">
        <f t="shared" si="41"/>
        <v>8.0063675676502459</v>
      </c>
      <c r="J559" s="4">
        <f t="shared" si="42"/>
        <v>4.990432586778736</v>
      </c>
      <c r="K559" s="4">
        <f t="shared" si="43"/>
        <v>44.2</v>
      </c>
      <c r="L559" s="4">
        <f t="shared" si="44"/>
        <v>0</v>
      </c>
    </row>
    <row r="560" spans="1:12" x14ac:dyDescent="0.35">
      <c r="A560" s="2" t="s">
        <v>468</v>
      </c>
      <c r="B560" s="2" t="s">
        <v>67</v>
      </c>
      <c r="C560" s="2">
        <v>42.916699999999999</v>
      </c>
      <c r="D560" s="2">
        <v>3000</v>
      </c>
      <c r="E560" s="2">
        <v>147</v>
      </c>
      <c r="F560" s="2">
        <v>43.9</v>
      </c>
      <c r="G560" s="2">
        <v>0</v>
      </c>
      <c r="H560" s="4">
        <f t="shared" si="40"/>
        <v>3.7592610275744631</v>
      </c>
      <c r="I560" s="4">
        <f t="shared" si="41"/>
        <v>8.0063675676502459</v>
      </c>
      <c r="J560" s="4">
        <f t="shared" si="42"/>
        <v>4.990432586778736</v>
      </c>
      <c r="K560" s="4">
        <f t="shared" si="43"/>
        <v>43.9</v>
      </c>
      <c r="L560" s="4">
        <f t="shared" si="44"/>
        <v>0</v>
      </c>
    </row>
    <row r="561" spans="1:12" x14ac:dyDescent="0.35">
      <c r="A561" s="2" t="s">
        <v>469</v>
      </c>
      <c r="B561" s="2" t="s">
        <v>67</v>
      </c>
      <c r="C561" s="2">
        <v>41.5413</v>
      </c>
      <c r="D561" s="2">
        <v>3500</v>
      </c>
      <c r="E561" s="2">
        <v>180</v>
      </c>
      <c r="F561" s="2">
        <v>50.2</v>
      </c>
      <c r="G561" s="2">
        <v>0</v>
      </c>
      <c r="H561" s="4">
        <f t="shared" si="40"/>
        <v>3.7266881130955007</v>
      </c>
      <c r="I561" s="4">
        <f t="shared" si="41"/>
        <v>8.1605182474775049</v>
      </c>
      <c r="J561" s="4">
        <f t="shared" si="42"/>
        <v>5.1929568508902104</v>
      </c>
      <c r="K561" s="4">
        <f t="shared" si="43"/>
        <v>50.2</v>
      </c>
      <c r="L561" s="4">
        <f t="shared" si="44"/>
        <v>0</v>
      </c>
    </row>
    <row r="562" spans="1:12" x14ac:dyDescent="0.35">
      <c r="A562" s="2" t="s">
        <v>469</v>
      </c>
      <c r="B562" s="2" t="s">
        <v>67</v>
      </c>
      <c r="C562" s="2">
        <v>35.341000000000001</v>
      </c>
      <c r="D562" s="2">
        <v>4000</v>
      </c>
      <c r="E562" s="2">
        <v>290</v>
      </c>
      <c r="F562" s="2">
        <v>50.2</v>
      </c>
      <c r="G562" s="2">
        <v>0</v>
      </c>
      <c r="H562" s="4">
        <f t="shared" si="40"/>
        <v>3.5650437630390317</v>
      </c>
      <c r="I562" s="4">
        <f t="shared" si="41"/>
        <v>8.2940496401020276</v>
      </c>
      <c r="J562" s="4">
        <f t="shared" si="42"/>
        <v>5.6698809229805196</v>
      </c>
      <c r="K562" s="4">
        <f t="shared" si="43"/>
        <v>50.2</v>
      </c>
      <c r="L562" s="4">
        <f t="shared" si="44"/>
        <v>0</v>
      </c>
    </row>
    <row r="563" spans="1:12" x14ac:dyDescent="0.35">
      <c r="A563" s="2" t="s">
        <v>470</v>
      </c>
      <c r="B563" s="2" t="s">
        <v>67</v>
      </c>
      <c r="C563" s="2">
        <v>38.232599999999998</v>
      </c>
      <c r="D563" s="2">
        <v>3500</v>
      </c>
      <c r="E563" s="2">
        <v>180</v>
      </c>
      <c r="F563" s="2">
        <v>49.7</v>
      </c>
      <c r="G563" s="2">
        <v>0</v>
      </c>
      <c r="H563" s="4">
        <f t="shared" si="40"/>
        <v>3.6436885548124742</v>
      </c>
      <c r="I563" s="4">
        <f t="shared" si="41"/>
        <v>8.1605182474775049</v>
      </c>
      <c r="J563" s="4">
        <f t="shared" si="42"/>
        <v>5.1929568508902104</v>
      </c>
      <c r="K563" s="4">
        <f t="shared" si="43"/>
        <v>49.7</v>
      </c>
      <c r="L563" s="4">
        <f t="shared" si="44"/>
        <v>0</v>
      </c>
    </row>
    <row r="564" spans="1:12" x14ac:dyDescent="0.35">
      <c r="A564" s="2" t="s">
        <v>471</v>
      </c>
      <c r="B564" s="2" t="s">
        <v>67</v>
      </c>
      <c r="C564" s="2">
        <v>47.416600000000003</v>
      </c>
      <c r="D564" s="2">
        <v>3000</v>
      </c>
      <c r="E564" s="2">
        <v>147</v>
      </c>
      <c r="F564" s="2">
        <v>45.5</v>
      </c>
      <c r="G564" s="2">
        <v>0</v>
      </c>
      <c r="H564" s="4">
        <f t="shared" si="40"/>
        <v>3.8589723783619467</v>
      </c>
      <c r="I564" s="4">
        <f t="shared" si="41"/>
        <v>8.0063675676502459</v>
      </c>
      <c r="J564" s="4">
        <f t="shared" si="42"/>
        <v>4.990432586778736</v>
      </c>
      <c r="K564" s="4">
        <f t="shared" si="43"/>
        <v>45.5</v>
      </c>
      <c r="L564" s="4">
        <f t="shared" si="44"/>
        <v>0</v>
      </c>
    </row>
    <row r="565" spans="1:12" x14ac:dyDescent="0.35">
      <c r="A565" s="2" t="s">
        <v>472</v>
      </c>
      <c r="B565" s="2" t="s">
        <v>67</v>
      </c>
      <c r="C565" s="2">
        <v>34.053400000000003</v>
      </c>
      <c r="D565" s="2">
        <v>3000</v>
      </c>
      <c r="E565" s="2">
        <v>201</v>
      </c>
      <c r="F565" s="2">
        <v>45.3</v>
      </c>
      <c r="G565" s="2">
        <v>0</v>
      </c>
      <c r="H565" s="4">
        <f t="shared" si="40"/>
        <v>3.5279298807676489</v>
      </c>
      <c r="I565" s="4">
        <f t="shared" si="41"/>
        <v>8.0063675676502459</v>
      </c>
      <c r="J565" s="4">
        <f t="shared" si="42"/>
        <v>5.3033049080590757</v>
      </c>
      <c r="K565" s="4">
        <f t="shared" si="43"/>
        <v>45.3</v>
      </c>
      <c r="L565" s="4">
        <f t="shared" si="44"/>
        <v>0</v>
      </c>
    </row>
    <row r="566" spans="1:12" x14ac:dyDescent="0.35">
      <c r="A566" s="2" t="s">
        <v>472</v>
      </c>
      <c r="B566" s="2" t="s">
        <v>67</v>
      </c>
      <c r="C566" s="2">
        <v>39.667299999999997</v>
      </c>
      <c r="D566" s="2">
        <v>3500</v>
      </c>
      <c r="E566" s="2">
        <v>201</v>
      </c>
      <c r="F566" s="2">
        <v>45.3</v>
      </c>
      <c r="G566" s="2">
        <v>0</v>
      </c>
      <c r="H566" s="4">
        <f t="shared" si="40"/>
        <v>3.6805271707025127</v>
      </c>
      <c r="I566" s="4">
        <f t="shared" si="41"/>
        <v>8.1605182474775049</v>
      </c>
      <c r="J566" s="4">
        <f t="shared" si="42"/>
        <v>5.3033049080590757</v>
      </c>
      <c r="K566" s="4">
        <f t="shared" si="43"/>
        <v>45.3</v>
      </c>
      <c r="L566" s="4">
        <f t="shared" si="44"/>
        <v>0</v>
      </c>
    </row>
    <row r="567" spans="1:12" x14ac:dyDescent="0.35">
      <c r="A567" s="2" t="s">
        <v>472</v>
      </c>
      <c r="B567" s="2" t="s">
        <v>67</v>
      </c>
      <c r="C567" s="2">
        <v>44.300600000000003</v>
      </c>
      <c r="D567" s="2">
        <v>3000</v>
      </c>
      <c r="E567" s="2">
        <v>147</v>
      </c>
      <c r="F567" s="2">
        <v>45.3</v>
      </c>
      <c r="G567" s="2">
        <v>0</v>
      </c>
      <c r="H567" s="4">
        <f t="shared" si="40"/>
        <v>3.7909982209774293</v>
      </c>
      <c r="I567" s="4">
        <f t="shared" si="41"/>
        <v>8.0063675676502459</v>
      </c>
      <c r="J567" s="4">
        <f t="shared" si="42"/>
        <v>4.990432586778736</v>
      </c>
      <c r="K567" s="4">
        <f t="shared" si="43"/>
        <v>45.3</v>
      </c>
      <c r="L567" s="4">
        <f t="shared" si="44"/>
        <v>0</v>
      </c>
    </row>
    <row r="568" spans="1:12" x14ac:dyDescent="0.35">
      <c r="A568" s="2" t="s">
        <v>473</v>
      </c>
      <c r="B568" s="2" t="s">
        <v>67</v>
      </c>
      <c r="C568" s="2">
        <v>28.845099999999999</v>
      </c>
      <c r="D568" s="2">
        <v>4500</v>
      </c>
      <c r="E568" s="2">
        <v>290</v>
      </c>
      <c r="F568" s="2">
        <v>57.9</v>
      </c>
      <c r="G568" s="2">
        <v>0</v>
      </c>
      <c r="H568" s="4">
        <f t="shared" si="40"/>
        <v>3.3619401345081821</v>
      </c>
      <c r="I568" s="4">
        <f t="shared" si="41"/>
        <v>8.4118326757584114</v>
      </c>
      <c r="J568" s="4">
        <f t="shared" si="42"/>
        <v>5.6698809229805196</v>
      </c>
      <c r="K568" s="4">
        <f t="shared" si="43"/>
        <v>57.9</v>
      </c>
      <c r="L568" s="4">
        <f t="shared" si="44"/>
        <v>0</v>
      </c>
    </row>
    <row r="569" spans="1:12" x14ac:dyDescent="0.35">
      <c r="A569" s="2" t="s">
        <v>474</v>
      </c>
      <c r="B569" s="2" t="s">
        <v>67</v>
      </c>
      <c r="C569" s="2">
        <v>32.7866</v>
      </c>
      <c r="D569" s="2">
        <v>4000</v>
      </c>
      <c r="E569" s="2">
        <v>188</v>
      </c>
      <c r="F569" s="2">
        <v>48.2</v>
      </c>
      <c r="G569" s="2">
        <v>0</v>
      </c>
      <c r="H569" s="4">
        <f t="shared" si="40"/>
        <v>3.490019895330926</v>
      </c>
      <c r="I569" s="4">
        <f t="shared" si="41"/>
        <v>8.2940496401020276</v>
      </c>
      <c r="J569" s="4">
        <f t="shared" si="42"/>
        <v>5.2364419628299492</v>
      </c>
      <c r="K569" s="4">
        <f t="shared" si="43"/>
        <v>48.2</v>
      </c>
      <c r="L569" s="4">
        <f t="shared" si="44"/>
        <v>0</v>
      </c>
    </row>
    <row r="570" spans="1:12" x14ac:dyDescent="0.35">
      <c r="A570" s="2" t="s">
        <v>475</v>
      </c>
      <c r="B570" s="2" t="s">
        <v>67</v>
      </c>
      <c r="C570" s="2">
        <v>38.023800000000001</v>
      </c>
      <c r="D570" s="2">
        <v>3500</v>
      </c>
      <c r="E570" s="2">
        <v>188</v>
      </c>
      <c r="F570" s="2">
        <v>48.2</v>
      </c>
      <c r="G570" s="2">
        <v>0</v>
      </c>
      <c r="H570" s="4">
        <f t="shared" si="40"/>
        <v>3.6382122794619822</v>
      </c>
      <c r="I570" s="4">
        <f t="shared" si="41"/>
        <v>8.1605182474775049</v>
      </c>
      <c r="J570" s="4">
        <f t="shared" si="42"/>
        <v>5.2364419628299492</v>
      </c>
      <c r="K570" s="4">
        <f t="shared" si="43"/>
        <v>48.2</v>
      </c>
      <c r="L570" s="4">
        <f t="shared" si="44"/>
        <v>0</v>
      </c>
    </row>
    <row r="571" spans="1:12" x14ac:dyDescent="0.35">
      <c r="A571" s="2" t="s">
        <v>476</v>
      </c>
      <c r="B571" s="2" t="s">
        <v>33</v>
      </c>
      <c r="C571" s="2">
        <v>50.726399999999998</v>
      </c>
      <c r="D571" s="2">
        <v>4000</v>
      </c>
      <c r="E571" s="2">
        <v>177</v>
      </c>
      <c r="F571" s="2">
        <v>48.2</v>
      </c>
      <c r="G571" s="2">
        <v>1</v>
      </c>
      <c r="H571" s="4">
        <f t="shared" si="40"/>
        <v>3.9264464851338694</v>
      </c>
      <c r="I571" s="4">
        <f t="shared" si="41"/>
        <v>8.2940496401020276</v>
      </c>
      <c r="J571" s="4">
        <f t="shared" si="42"/>
        <v>5.1761497325738288</v>
      </c>
      <c r="K571" s="4">
        <f t="shared" si="43"/>
        <v>48.2</v>
      </c>
      <c r="L571" s="4">
        <f t="shared" si="44"/>
        <v>1</v>
      </c>
    </row>
    <row r="572" spans="1:12" x14ac:dyDescent="0.35">
      <c r="A572" s="2" t="s">
        <v>477</v>
      </c>
      <c r="B572" s="2" t="s">
        <v>33</v>
      </c>
      <c r="C572" s="2">
        <v>56.735700000000001</v>
      </c>
      <c r="D572" s="2">
        <v>4000</v>
      </c>
      <c r="E572" s="2">
        <v>177</v>
      </c>
      <c r="F572" s="2">
        <v>48.2</v>
      </c>
      <c r="G572" s="2">
        <v>1</v>
      </c>
      <c r="H572" s="4">
        <f t="shared" si="40"/>
        <v>4.0384036422297633</v>
      </c>
      <c r="I572" s="4">
        <f t="shared" si="41"/>
        <v>8.2940496401020276</v>
      </c>
      <c r="J572" s="4">
        <f t="shared" si="42"/>
        <v>5.1761497325738288</v>
      </c>
      <c r="K572" s="4">
        <f t="shared" si="43"/>
        <v>48.2</v>
      </c>
      <c r="L572" s="4">
        <f t="shared" si="44"/>
        <v>1</v>
      </c>
    </row>
    <row r="573" spans="1:12" x14ac:dyDescent="0.35">
      <c r="A573" s="2" t="s">
        <v>478</v>
      </c>
      <c r="B573" s="2" t="s">
        <v>33</v>
      </c>
      <c r="C573" s="2">
        <v>47.4373</v>
      </c>
      <c r="D573" s="2">
        <v>4500</v>
      </c>
      <c r="E573" s="2">
        <v>177</v>
      </c>
      <c r="F573" s="2">
        <v>48.1</v>
      </c>
      <c r="G573" s="2">
        <v>1</v>
      </c>
      <c r="H573" s="4">
        <f t="shared" si="40"/>
        <v>3.8594088390731796</v>
      </c>
      <c r="I573" s="4">
        <f t="shared" si="41"/>
        <v>8.4118326757584114</v>
      </c>
      <c r="J573" s="4">
        <f t="shared" si="42"/>
        <v>5.1761497325738288</v>
      </c>
      <c r="K573" s="4">
        <f t="shared" si="43"/>
        <v>48.1</v>
      </c>
      <c r="L573" s="4">
        <f t="shared" si="44"/>
        <v>1</v>
      </c>
    </row>
    <row r="574" spans="1:12" x14ac:dyDescent="0.35">
      <c r="A574" s="2" t="s">
        <v>479</v>
      </c>
      <c r="B574" s="2" t="s">
        <v>67</v>
      </c>
      <c r="C574" s="2">
        <v>34.571100000000001</v>
      </c>
      <c r="D574" s="2">
        <v>4000</v>
      </c>
      <c r="E574" s="2">
        <v>188</v>
      </c>
      <c r="F574" s="2">
        <v>48.2</v>
      </c>
      <c r="G574" s="2">
        <v>0</v>
      </c>
      <c r="H574" s="4">
        <f t="shared" si="40"/>
        <v>3.5430180729239771</v>
      </c>
      <c r="I574" s="4">
        <f t="shared" si="41"/>
        <v>8.2940496401020276</v>
      </c>
      <c r="J574" s="4">
        <f t="shared" si="42"/>
        <v>5.2364419628299492</v>
      </c>
      <c r="K574" s="4">
        <f t="shared" si="43"/>
        <v>48.2</v>
      </c>
      <c r="L574" s="4">
        <f t="shared" si="44"/>
        <v>0</v>
      </c>
    </row>
    <row r="575" spans="1:12" x14ac:dyDescent="0.35">
      <c r="A575" s="2" t="s">
        <v>480</v>
      </c>
      <c r="B575" s="2" t="s">
        <v>67</v>
      </c>
      <c r="C575" s="2">
        <v>36.047899999999998</v>
      </c>
      <c r="D575" s="2">
        <v>3500</v>
      </c>
      <c r="E575" s="2">
        <v>195</v>
      </c>
      <c r="F575" s="2">
        <v>44.3</v>
      </c>
      <c r="G575" s="2">
        <v>0</v>
      </c>
      <c r="H575" s="4">
        <f t="shared" si="40"/>
        <v>3.5848486096070351</v>
      </c>
      <c r="I575" s="4">
        <f t="shared" si="41"/>
        <v>8.1605182474775049</v>
      </c>
      <c r="J575" s="4">
        <f t="shared" si="42"/>
        <v>5.2729995585637468</v>
      </c>
      <c r="K575" s="4">
        <f t="shared" si="43"/>
        <v>44.3</v>
      </c>
      <c r="L575" s="4">
        <f t="shared" si="44"/>
        <v>0</v>
      </c>
    </row>
    <row r="576" spans="1:12" x14ac:dyDescent="0.35">
      <c r="A576" s="2" t="s">
        <v>480</v>
      </c>
      <c r="B576" s="2" t="s">
        <v>67</v>
      </c>
      <c r="C576" s="2">
        <v>38.920999999999999</v>
      </c>
      <c r="D576" s="2">
        <v>3500</v>
      </c>
      <c r="E576" s="2">
        <v>147</v>
      </c>
      <c r="F576" s="2">
        <v>44.3</v>
      </c>
      <c r="G576" s="2">
        <v>0</v>
      </c>
      <c r="H576" s="4">
        <f t="shared" si="40"/>
        <v>3.6615339507184559</v>
      </c>
      <c r="I576" s="4">
        <f t="shared" si="41"/>
        <v>8.1605182474775049</v>
      </c>
      <c r="J576" s="4">
        <f t="shared" si="42"/>
        <v>4.990432586778736</v>
      </c>
      <c r="K576" s="4">
        <f t="shared" si="43"/>
        <v>44.3</v>
      </c>
      <c r="L576" s="4">
        <f t="shared" si="44"/>
        <v>0</v>
      </c>
    </row>
    <row r="577" spans="1:12" x14ac:dyDescent="0.35">
      <c r="A577" s="2" t="s">
        <v>481</v>
      </c>
      <c r="B577" s="2" t="s">
        <v>67</v>
      </c>
      <c r="C577" s="2">
        <v>42.215600000000002</v>
      </c>
      <c r="D577" s="2">
        <v>3000</v>
      </c>
      <c r="E577" s="2">
        <v>147</v>
      </c>
      <c r="F577" s="2">
        <v>44.3</v>
      </c>
      <c r="G577" s="2">
        <v>0</v>
      </c>
      <c r="H577" s="4">
        <f t="shared" si="40"/>
        <v>3.7427898209779396</v>
      </c>
      <c r="I577" s="4">
        <f t="shared" si="41"/>
        <v>8.0063675676502459</v>
      </c>
      <c r="J577" s="4">
        <f t="shared" si="42"/>
        <v>4.990432586778736</v>
      </c>
      <c r="K577" s="4">
        <f t="shared" si="43"/>
        <v>44.3</v>
      </c>
      <c r="L577" s="4">
        <f t="shared" si="44"/>
        <v>0</v>
      </c>
    </row>
    <row r="578" spans="1:12" x14ac:dyDescent="0.35">
      <c r="A578" s="2" t="s">
        <v>482</v>
      </c>
      <c r="B578" s="2" t="s">
        <v>67</v>
      </c>
      <c r="C578" s="2">
        <v>33.260800000000003</v>
      </c>
      <c r="D578" s="2">
        <v>4000</v>
      </c>
      <c r="E578" s="2">
        <v>191</v>
      </c>
      <c r="F578" s="2">
        <v>50</v>
      </c>
      <c r="G578" s="2">
        <v>0</v>
      </c>
      <c r="H578" s="4">
        <f t="shared" ref="H578:H641" si="45">LN(C578)</f>
        <v>3.5043795263919311</v>
      </c>
      <c r="I578" s="4">
        <f t="shared" ref="I578:I641" si="46">LN(D578)</f>
        <v>8.2940496401020276</v>
      </c>
      <c r="J578" s="4">
        <f t="shared" ref="J578:J641" si="47">LN(E578)</f>
        <v>5.2522734280466299</v>
      </c>
      <c r="K578" s="4">
        <f t="shared" ref="K578:K641" si="48">F578</f>
        <v>50</v>
      </c>
      <c r="L578" s="4">
        <f t="shared" ref="L578:L641" si="49">G578</f>
        <v>0</v>
      </c>
    </row>
    <row r="579" spans="1:12" x14ac:dyDescent="0.35">
      <c r="A579" s="2" t="s">
        <v>482</v>
      </c>
      <c r="B579" s="2" t="s">
        <v>67</v>
      </c>
      <c r="C579" s="2">
        <v>30.229900000000001</v>
      </c>
      <c r="D579" s="2">
        <v>4500</v>
      </c>
      <c r="E579" s="2">
        <v>281</v>
      </c>
      <c r="F579" s="2">
        <v>50</v>
      </c>
      <c r="G579" s="2">
        <v>0</v>
      </c>
      <c r="H579" s="4">
        <f t="shared" si="45"/>
        <v>3.4088315008136822</v>
      </c>
      <c r="I579" s="4">
        <f t="shared" si="46"/>
        <v>8.4118326757584114</v>
      </c>
      <c r="J579" s="4">
        <f t="shared" si="47"/>
        <v>5.6383546693337454</v>
      </c>
      <c r="K579" s="4">
        <f t="shared" si="48"/>
        <v>50</v>
      </c>
      <c r="L579" s="4">
        <f t="shared" si="49"/>
        <v>0</v>
      </c>
    </row>
    <row r="580" spans="1:12" x14ac:dyDescent="0.35">
      <c r="A580" s="2" t="s">
        <v>483</v>
      </c>
      <c r="B580" s="2" t="s">
        <v>67</v>
      </c>
      <c r="C580" s="2">
        <v>35.201900000000002</v>
      </c>
      <c r="D580" s="2">
        <v>4000</v>
      </c>
      <c r="E580" s="2">
        <v>191</v>
      </c>
      <c r="F580" s="2">
        <v>50.2</v>
      </c>
      <c r="G580" s="2">
        <v>0</v>
      </c>
      <c r="H580" s="4">
        <f t="shared" si="45"/>
        <v>3.5611000584200583</v>
      </c>
      <c r="I580" s="4">
        <f t="shared" si="46"/>
        <v>8.2940496401020276</v>
      </c>
      <c r="J580" s="4">
        <f t="shared" si="47"/>
        <v>5.2522734280466299</v>
      </c>
      <c r="K580" s="4">
        <f t="shared" si="48"/>
        <v>50.2</v>
      </c>
      <c r="L580" s="4">
        <f t="shared" si="49"/>
        <v>0</v>
      </c>
    </row>
    <row r="581" spans="1:12" x14ac:dyDescent="0.35">
      <c r="A581" s="2" t="s">
        <v>483</v>
      </c>
      <c r="B581" s="2" t="s">
        <v>67</v>
      </c>
      <c r="C581" s="2">
        <v>30.702100000000002</v>
      </c>
      <c r="D581" s="2">
        <v>4500</v>
      </c>
      <c r="E581" s="2">
        <v>281</v>
      </c>
      <c r="F581" s="2">
        <v>50.2</v>
      </c>
      <c r="G581" s="2">
        <v>0</v>
      </c>
      <c r="H581" s="4">
        <f t="shared" si="45"/>
        <v>3.4243310561625058</v>
      </c>
      <c r="I581" s="4">
        <f t="shared" si="46"/>
        <v>8.4118326757584114</v>
      </c>
      <c r="J581" s="4">
        <f t="shared" si="47"/>
        <v>5.6383546693337454</v>
      </c>
      <c r="K581" s="4">
        <f t="shared" si="48"/>
        <v>50.2</v>
      </c>
      <c r="L581" s="4">
        <f t="shared" si="49"/>
        <v>0</v>
      </c>
    </row>
    <row r="582" spans="1:12" x14ac:dyDescent="0.35">
      <c r="A582" s="2" t="s">
        <v>484</v>
      </c>
      <c r="B582" s="2" t="s">
        <v>33</v>
      </c>
      <c r="C582" s="2">
        <v>52.025500000000001</v>
      </c>
      <c r="D582" s="2">
        <v>4000</v>
      </c>
      <c r="E582" s="2">
        <v>177</v>
      </c>
      <c r="F582" s="2">
        <v>50.2</v>
      </c>
      <c r="G582" s="2">
        <v>1</v>
      </c>
      <c r="H582" s="4">
        <f t="shared" si="45"/>
        <v>3.9517339829975708</v>
      </c>
      <c r="I582" s="4">
        <f t="shared" si="46"/>
        <v>8.2940496401020276</v>
      </c>
      <c r="J582" s="4">
        <f t="shared" si="47"/>
        <v>5.1761497325738288</v>
      </c>
      <c r="K582" s="4">
        <f t="shared" si="48"/>
        <v>50.2</v>
      </c>
      <c r="L582" s="4">
        <f t="shared" si="49"/>
        <v>1</v>
      </c>
    </row>
    <row r="583" spans="1:12" x14ac:dyDescent="0.35">
      <c r="A583" s="2" t="s">
        <v>485</v>
      </c>
      <c r="B583" s="2" t="s">
        <v>33</v>
      </c>
      <c r="C583" s="2">
        <v>46.336599999999997</v>
      </c>
      <c r="D583" s="2">
        <v>4500</v>
      </c>
      <c r="E583" s="2">
        <v>177</v>
      </c>
      <c r="F583" s="2">
        <v>50</v>
      </c>
      <c r="G583" s="2">
        <v>1</v>
      </c>
      <c r="H583" s="4">
        <f t="shared" si="45"/>
        <v>3.8359321455744424</v>
      </c>
      <c r="I583" s="4">
        <f t="shared" si="46"/>
        <v>8.4118326757584114</v>
      </c>
      <c r="J583" s="4">
        <f t="shared" si="47"/>
        <v>5.1761497325738288</v>
      </c>
      <c r="K583" s="4">
        <f t="shared" si="48"/>
        <v>50</v>
      </c>
      <c r="L583" s="4">
        <f t="shared" si="49"/>
        <v>1</v>
      </c>
    </row>
    <row r="584" spans="1:12" x14ac:dyDescent="0.35">
      <c r="A584" s="2" t="s">
        <v>486</v>
      </c>
      <c r="B584" s="2" t="s">
        <v>33</v>
      </c>
      <c r="C584" s="2">
        <v>47.108899999999998</v>
      </c>
      <c r="D584" s="2">
        <v>4500</v>
      </c>
      <c r="E584" s="2">
        <v>177</v>
      </c>
      <c r="F584" s="2">
        <v>50</v>
      </c>
      <c r="G584" s="2">
        <v>1</v>
      </c>
      <c r="H584" s="4">
        <f t="shared" si="45"/>
        <v>3.8524619428320412</v>
      </c>
      <c r="I584" s="4">
        <f t="shared" si="46"/>
        <v>8.4118326757584114</v>
      </c>
      <c r="J584" s="4">
        <f t="shared" si="47"/>
        <v>5.1761497325738288</v>
      </c>
      <c r="K584" s="4">
        <f t="shared" si="48"/>
        <v>50</v>
      </c>
      <c r="L584" s="4">
        <f t="shared" si="49"/>
        <v>1</v>
      </c>
    </row>
    <row r="585" spans="1:12" x14ac:dyDescent="0.35">
      <c r="A585" s="2" t="s">
        <v>487</v>
      </c>
      <c r="B585" s="2" t="s">
        <v>67</v>
      </c>
      <c r="C585" s="2">
        <v>23.770099999999999</v>
      </c>
      <c r="D585" s="2">
        <v>3500</v>
      </c>
      <c r="E585" s="2">
        <v>400</v>
      </c>
      <c r="F585" s="2">
        <v>44.7</v>
      </c>
      <c r="G585" s="2">
        <v>0</v>
      </c>
      <c r="H585" s="4">
        <f t="shared" si="45"/>
        <v>3.1684284883468461</v>
      </c>
      <c r="I585" s="4">
        <f t="shared" si="46"/>
        <v>8.1605182474775049</v>
      </c>
      <c r="J585" s="4">
        <f t="shared" si="47"/>
        <v>5.9914645471079817</v>
      </c>
      <c r="K585" s="4">
        <f t="shared" si="48"/>
        <v>44.7</v>
      </c>
      <c r="L585" s="4">
        <f t="shared" si="49"/>
        <v>0</v>
      </c>
    </row>
    <row r="586" spans="1:12" x14ac:dyDescent="0.35">
      <c r="A586" s="2" t="s">
        <v>487</v>
      </c>
      <c r="B586" s="2" t="s">
        <v>67</v>
      </c>
      <c r="C586" s="2">
        <v>26.779499999999999</v>
      </c>
      <c r="D586" s="2">
        <v>3500</v>
      </c>
      <c r="E586" s="2">
        <v>400</v>
      </c>
      <c r="F586" s="2">
        <v>44.7</v>
      </c>
      <c r="G586" s="2">
        <v>0</v>
      </c>
      <c r="H586" s="4">
        <f t="shared" si="45"/>
        <v>3.2876366694389891</v>
      </c>
      <c r="I586" s="4">
        <f t="shared" si="46"/>
        <v>8.1605182474775049</v>
      </c>
      <c r="J586" s="4">
        <f t="shared" si="47"/>
        <v>5.9914645471079817</v>
      </c>
      <c r="K586" s="4">
        <f t="shared" si="48"/>
        <v>44.7</v>
      </c>
      <c r="L586" s="4">
        <f t="shared" si="49"/>
        <v>0</v>
      </c>
    </row>
    <row r="587" spans="1:12" x14ac:dyDescent="0.35">
      <c r="A587" s="2" t="s">
        <v>487</v>
      </c>
      <c r="B587" s="2" t="s">
        <v>67</v>
      </c>
      <c r="C587" s="2">
        <v>31.138000000000002</v>
      </c>
      <c r="D587" s="2">
        <v>3500</v>
      </c>
      <c r="E587" s="2">
        <v>400</v>
      </c>
      <c r="F587" s="2">
        <v>44.7</v>
      </c>
      <c r="G587" s="2">
        <v>0</v>
      </c>
      <c r="H587" s="4">
        <f t="shared" si="45"/>
        <v>3.4384289382674829</v>
      </c>
      <c r="I587" s="4">
        <f t="shared" si="46"/>
        <v>8.1605182474775049</v>
      </c>
      <c r="J587" s="4">
        <f t="shared" si="47"/>
        <v>5.9914645471079817</v>
      </c>
      <c r="K587" s="4">
        <f t="shared" si="48"/>
        <v>44.7</v>
      </c>
      <c r="L587" s="4">
        <f t="shared" si="49"/>
        <v>0</v>
      </c>
    </row>
    <row r="588" spans="1:12" x14ac:dyDescent="0.35">
      <c r="A588" s="2" t="s">
        <v>489</v>
      </c>
      <c r="B588" s="2" t="s">
        <v>67</v>
      </c>
      <c r="C588" s="2">
        <v>20.14</v>
      </c>
      <c r="D588" s="2">
        <v>5000</v>
      </c>
      <c r="E588" s="2">
        <v>572</v>
      </c>
      <c r="F588" s="2">
        <v>53.1</v>
      </c>
      <c r="G588" s="2">
        <v>0</v>
      </c>
      <c r="H588" s="4">
        <f t="shared" si="45"/>
        <v>3.0027078872904163</v>
      </c>
      <c r="I588" s="4">
        <f t="shared" si="46"/>
        <v>8.5171931914162382</v>
      </c>
      <c r="J588" s="4">
        <f t="shared" si="47"/>
        <v>6.3491389913797978</v>
      </c>
      <c r="K588" s="4">
        <f t="shared" si="48"/>
        <v>53.1</v>
      </c>
      <c r="L588" s="4">
        <f t="shared" si="49"/>
        <v>0</v>
      </c>
    </row>
    <row r="589" spans="1:12" x14ac:dyDescent="0.35">
      <c r="A589" s="2" t="s">
        <v>491</v>
      </c>
      <c r="B589" s="2" t="s">
        <v>67</v>
      </c>
      <c r="C589" s="2">
        <v>24.8066</v>
      </c>
      <c r="D589" s="2">
        <v>5000</v>
      </c>
      <c r="E589" s="2">
        <v>424</v>
      </c>
      <c r="F589" s="2">
        <v>56</v>
      </c>
      <c r="G589" s="2">
        <v>0</v>
      </c>
      <c r="H589" s="4">
        <f t="shared" si="45"/>
        <v>3.211109746797145</v>
      </c>
      <c r="I589" s="4">
        <f t="shared" si="46"/>
        <v>8.5171931914162382</v>
      </c>
      <c r="J589" s="4">
        <f t="shared" si="47"/>
        <v>6.0497334552319577</v>
      </c>
      <c r="K589" s="4">
        <f t="shared" si="48"/>
        <v>56</v>
      </c>
      <c r="L589" s="4">
        <f t="shared" si="49"/>
        <v>0</v>
      </c>
    </row>
    <row r="590" spans="1:12" x14ac:dyDescent="0.35">
      <c r="A590" s="2" t="s">
        <v>492</v>
      </c>
      <c r="B590" s="2" t="s">
        <v>67</v>
      </c>
      <c r="C590" s="2">
        <v>24.8066</v>
      </c>
      <c r="D590" s="2">
        <v>5000</v>
      </c>
      <c r="E590" s="2">
        <v>424</v>
      </c>
      <c r="F590" s="2">
        <v>53.1</v>
      </c>
      <c r="G590" s="2">
        <v>0</v>
      </c>
      <c r="H590" s="4">
        <f t="shared" si="45"/>
        <v>3.211109746797145</v>
      </c>
      <c r="I590" s="4">
        <f t="shared" si="46"/>
        <v>8.5171931914162382</v>
      </c>
      <c r="J590" s="4">
        <f t="shared" si="47"/>
        <v>6.0497334552319577</v>
      </c>
      <c r="K590" s="4">
        <f t="shared" si="48"/>
        <v>53.1</v>
      </c>
      <c r="L590" s="4">
        <f t="shared" si="49"/>
        <v>0</v>
      </c>
    </row>
    <row r="591" spans="1:12" x14ac:dyDescent="0.35">
      <c r="A591" s="2" t="s">
        <v>493</v>
      </c>
      <c r="B591" s="2" t="s">
        <v>67</v>
      </c>
      <c r="C591" s="2">
        <v>22.992699999999999</v>
      </c>
      <c r="D591" s="2">
        <v>5000</v>
      </c>
      <c r="E591" s="2">
        <v>424</v>
      </c>
      <c r="F591" s="2">
        <v>53.4</v>
      </c>
      <c r="G591" s="2">
        <v>0</v>
      </c>
      <c r="H591" s="4">
        <f t="shared" si="45"/>
        <v>3.1351767742455214</v>
      </c>
      <c r="I591" s="4">
        <f t="shared" si="46"/>
        <v>8.5171931914162382</v>
      </c>
      <c r="J591" s="4">
        <f t="shared" si="47"/>
        <v>6.0497334552319577</v>
      </c>
      <c r="K591" s="4">
        <f t="shared" si="48"/>
        <v>53.4</v>
      </c>
      <c r="L591" s="4">
        <f t="shared" si="49"/>
        <v>0</v>
      </c>
    </row>
    <row r="592" spans="1:12" x14ac:dyDescent="0.35">
      <c r="A592" s="2" t="s">
        <v>494</v>
      </c>
      <c r="B592" s="2" t="s">
        <v>67</v>
      </c>
      <c r="C592" s="2">
        <v>22.992699999999999</v>
      </c>
      <c r="D592" s="2">
        <v>5000</v>
      </c>
      <c r="E592" s="2">
        <v>345</v>
      </c>
      <c r="F592" s="2">
        <v>53.4</v>
      </c>
      <c r="G592" s="2">
        <v>0</v>
      </c>
      <c r="H592" s="4">
        <f t="shared" si="45"/>
        <v>3.1351767742455214</v>
      </c>
      <c r="I592" s="4">
        <f t="shared" si="46"/>
        <v>8.5171931914162382</v>
      </c>
      <c r="J592" s="4">
        <f t="shared" si="47"/>
        <v>5.8435444170313602</v>
      </c>
      <c r="K592" s="4">
        <f t="shared" si="48"/>
        <v>53.4</v>
      </c>
      <c r="L592" s="4">
        <f t="shared" si="49"/>
        <v>0</v>
      </c>
    </row>
    <row r="593" spans="1:12" x14ac:dyDescent="0.35">
      <c r="A593" s="2" t="s">
        <v>495</v>
      </c>
      <c r="B593" s="2" t="s">
        <v>67</v>
      </c>
      <c r="C593" s="2">
        <v>19.895</v>
      </c>
      <c r="D593" s="2">
        <v>5000</v>
      </c>
      <c r="E593" s="2">
        <v>572</v>
      </c>
      <c r="F593" s="2">
        <v>53.4</v>
      </c>
      <c r="G593" s="2">
        <v>0</v>
      </c>
      <c r="H593" s="4">
        <f t="shared" si="45"/>
        <v>2.9904684438788918</v>
      </c>
      <c r="I593" s="4">
        <f t="shared" si="46"/>
        <v>8.5171931914162382</v>
      </c>
      <c r="J593" s="4">
        <f t="shared" si="47"/>
        <v>6.3491389913797978</v>
      </c>
      <c r="K593" s="4">
        <f t="shared" si="48"/>
        <v>53.4</v>
      </c>
      <c r="L593" s="4">
        <f t="shared" si="49"/>
        <v>0</v>
      </c>
    </row>
    <row r="594" spans="1:12" x14ac:dyDescent="0.35">
      <c r="A594" s="2" t="s">
        <v>496</v>
      </c>
      <c r="B594" s="2" t="s">
        <v>67</v>
      </c>
      <c r="C594" s="2">
        <v>22.659400000000002</v>
      </c>
      <c r="D594" s="2">
        <v>4000</v>
      </c>
      <c r="E594" s="2">
        <v>621</v>
      </c>
      <c r="F594" s="2">
        <v>48.4</v>
      </c>
      <c r="G594" s="2">
        <v>0</v>
      </c>
      <c r="H594" s="4">
        <f t="shared" si="45"/>
        <v>3.1205747768733092</v>
      </c>
      <c r="I594" s="4">
        <f t="shared" si="46"/>
        <v>8.2940496401020276</v>
      </c>
      <c r="J594" s="4">
        <f t="shared" si="47"/>
        <v>6.4313310819334788</v>
      </c>
      <c r="K594" s="4">
        <f t="shared" si="48"/>
        <v>48.4</v>
      </c>
      <c r="L594" s="4">
        <f t="shared" si="49"/>
        <v>0</v>
      </c>
    </row>
    <row r="595" spans="1:12" x14ac:dyDescent="0.35">
      <c r="A595" s="2" t="s">
        <v>497</v>
      </c>
      <c r="B595" s="2" t="s">
        <v>67</v>
      </c>
      <c r="C595" s="2">
        <v>22.534400000000002</v>
      </c>
      <c r="D595" s="2">
        <v>4000</v>
      </c>
      <c r="E595" s="2">
        <v>621</v>
      </c>
      <c r="F595" s="2">
        <v>48.4</v>
      </c>
      <c r="G595" s="2">
        <v>0</v>
      </c>
      <c r="H595" s="4">
        <f t="shared" si="45"/>
        <v>3.1150430305385415</v>
      </c>
      <c r="I595" s="4">
        <f t="shared" si="46"/>
        <v>8.2940496401020276</v>
      </c>
      <c r="J595" s="4">
        <f t="shared" si="47"/>
        <v>6.4313310819334788</v>
      </c>
      <c r="K595" s="4">
        <f t="shared" si="48"/>
        <v>48.4</v>
      </c>
      <c r="L595" s="4">
        <f t="shared" si="49"/>
        <v>0</v>
      </c>
    </row>
    <row r="596" spans="1:12" x14ac:dyDescent="0.35">
      <c r="A596" s="2" t="s">
        <v>498</v>
      </c>
      <c r="B596" s="2" t="s">
        <v>67</v>
      </c>
      <c r="C596" s="2">
        <v>26.407800000000002</v>
      </c>
      <c r="D596" s="2">
        <v>5000</v>
      </c>
      <c r="E596" s="2">
        <v>523</v>
      </c>
      <c r="F596" s="2">
        <v>51.4</v>
      </c>
      <c r="G596" s="2">
        <v>0</v>
      </c>
      <c r="H596" s="4">
        <f t="shared" si="45"/>
        <v>3.2736594210596262</v>
      </c>
      <c r="I596" s="4">
        <f t="shared" si="46"/>
        <v>8.5171931914162382</v>
      </c>
      <c r="J596" s="4">
        <f t="shared" si="47"/>
        <v>6.2595814640649232</v>
      </c>
      <c r="K596" s="4">
        <f t="shared" si="48"/>
        <v>51.4</v>
      </c>
      <c r="L596" s="4">
        <f t="shared" si="49"/>
        <v>0</v>
      </c>
    </row>
    <row r="597" spans="1:12" x14ac:dyDescent="0.35">
      <c r="A597" s="2" t="s">
        <v>499</v>
      </c>
      <c r="B597" s="2" t="s">
        <v>33</v>
      </c>
      <c r="C597" s="2">
        <v>33.191400000000002</v>
      </c>
      <c r="D597" s="2">
        <v>4500</v>
      </c>
      <c r="E597" s="2">
        <v>325</v>
      </c>
      <c r="F597" s="2">
        <v>51.4</v>
      </c>
      <c r="G597" s="2">
        <v>1</v>
      </c>
      <c r="H597" s="4">
        <f t="shared" si="45"/>
        <v>3.5022908062222076</v>
      </c>
      <c r="I597" s="4">
        <f t="shared" si="46"/>
        <v>8.4118326757584114</v>
      </c>
      <c r="J597" s="4">
        <f t="shared" si="47"/>
        <v>5.7838251823297373</v>
      </c>
      <c r="K597" s="4">
        <f t="shared" si="48"/>
        <v>51.4</v>
      </c>
      <c r="L597" s="4">
        <f t="shared" si="49"/>
        <v>1</v>
      </c>
    </row>
    <row r="598" spans="1:12" x14ac:dyDescent="0.35">
      <c r="A598" s="2" t="s">
        <v>500</v>
      </c>
      <c r="B598" s="2" t="s">
        <v>33</v>
      </c>
      <c r="C598" s="2">
        <v>33.191400000000002</v>
      </c>
      <c r="D598" s="2">
        <v>4500</v>
      </c>
      <c r="E598" s="2">
        <v>296</v>
      </c>
      <c r="F598" s="2">
        <v>51.4</v>
      </c>
      <c r="G598" s="2">
        <v>1</v>
      </c>
      <c r="H598" s="4">
        <f t="shared" si="45"/>
        <v>3.5022908062222076</v>
      </c>
      <c r="I598" s="4">
        <f t="shared" si="46"/>
        <v>8.4118326757584114</v>
      </c>
      <c r="J598" s="4">
        <f t="shared" si="47"/>
        <v>5.6903594543240601</v>
      </c>
      <c r="K598" s="4">
        <f t="shared" si="48"/>
        <v>51.4</v>
      </c>
      <c r="L598" s="4">
        <f t="shared" si="49"/>
        <v>1</v>
      </c>
    </row>
    <row r="599" spans="1:12" x14ac:dyDescent="0.35">
      <c r="A599" s="2" t="s">
        <v>501</v>
      </c>
      <c r="B599" s="2" t="s">
        <v>67</v>
      </c>
      <c r="C599" s="2">
        <v>27.102799999999998</v>
      </c>
      <c r="D599" s="2">
        <v>4000</v>
      </c>
      <c r="E599" s="2">
        <v>542</v>
      </c>
      <c r="F599" s="2">
        <v>52.1</v>
      </c>
      <c r="G599" s="2">
        <v>0</v>
      </c>
      <c r="H599" s="4">
        <f t="shared" si="45"/>
        <v>3.2996370435816154</v>
      </c>
      <c r="I599" s="4">
        <f t="shared" si="46"/>
        <v>8.2940496401020276</v>
      </c>
      <c r="J599" s="4">
        <f t="shared" si="47"/>
        <v>6.2952660014396464</v>
      </c>
      <c r="K599" s="4">
        <f t="shared" si="48"/>
        <v>52.1</v>
      </c>
      <c r="L599" s="4">
        <f t="shared" si="49"/>
        <v>0</v>
      </c>
    </row>
    <row r="600" spans="1:12" x14ac:dyDescent="0.35">
      <c r="A600" s="2" t="s">
        <v>502</v>
      </c>
      <c r="B600" s="2" t="s">
        <v>67</v>
      </c>
      <c r="C600" s="2">
        <v>27.102799999999998</v>
      </c>
      <c r="D600" s="2">
        <v>4000</v>
      </c>
      <c r="E600" s="2">
        <v>483</v>
      </c>
      <c r="F600" s="2">
        <v>52.1</v>
      </c>
      <c r="G600" s="2">
        <v>0</v>
      </c>
      <c r="H600" s="4">
        <f t="shared" si="45"/>
        <v>3.2996370435816154</v>
      </c>
      <c r="I600" s="4">
        <f t="shared" si="46"/>
        <v>8.2940496401020276</v>
      </c>
      <c r="J600" s="4">
        <f t="shared" si="47"/>
        <v>6.1800166536525722</v>
      </c>
      <c r="K600" s="4">
        <f t="shared" si="48"/>
        <v>52.1</v>
      </c>
      <c r="L600" s="4">
        <f t="shared" si="49"/>
        <v>0</v>
      </c>
    </row>
    <row r="601" spans="1:12" x14ac:dyDescent="0.35">
      <c r="A601" s="2" t="s">
        <v>503</v>
      </c>
      <c r="B601" s="2" t="s">
        <v>67</v>
      </c>
      <c r="C601" s="2">
        <v>25.902899999999999</v>
      </c>
      <c r="D601" s="2">
        <v>4500</v>
      </c>
      <c r="E601" s="2">
        <v>542</v>
      </c>
      <c r="F601" s="2">
        <v>52.1</v>
      </c>
      <c r="G601" s="2">
        <v>0</v>
      </c>
      <c r="H601" s="4">
        <f t="shared" si="45"/>
        <v>3.254354931549388</v>
      </c>
      <c r="I601" s="4">
        <f t="shared" si="46"/>
        <v>8.4118326757584114</v>
      </c>
      <c r="J601" s="4">
        <f t="shared" si="47"/>
        <v>6.2952660014396464</v>
      </c>
      <c r="K601" s="4">
        <f t="shared" si="48"/>
        <v>52.1</v>
      </c>
      <c r="L601" s="4">
        <f t="shared" si="49"/>
        <v>0</v>
      </c>
    </row>
    <row r="602" spans="1:12" x14ac:dyDescent="0.35">
      <c r="A602" s="2" t="s">
        <v>504</v>
      </c>
      <c r="B602" s="2" t="s">
        <v>33</v>
      </c>
      <c r="C602" s="2">
        <v>36.642000000000003</v>
      </c>
      <c r="D602" s="2">
        <v>4500</v>
      </c>
      <c r="E602" s="2">
        <v>255</v>
      </c>
      <c r="F602" s="2">
        <v>50.6</v>
      </c>
      <c r="G602" s="2">
        <v>1</v>
      </c>
      <c r="H602" s="4">
        <f t="shared" si="45"/>
        <v>3.6011951234690529</v>
      </c>
      <c r="I602" s="4">
        <f t="shared" si="46"/>
        <v>8.4118326757584114</v>
      </c>
      <c r="J602" s="4">
        <f t="shared" si="47"/>
        <v>5.5412635451584258</v>
      </c>
      <c r="K602" s="4">
        <f t="shared" si="48"/>
        <v>50.6</v>
      </c>
      <c r="L602" s="4">
        <f t="shared" si="49"/>
        <v>1</v>
      </c>
    </row>
    <row r="603" spans="1:12" x14ac:dyDescent="0.35">
      <c r="A603" s="2" t="s">
        <v>506</v>
      </c>
      <c r="B603" s="2" t="s">
        <v>33</v>
      </c>
      <c r="C603" s="2">
        <v>36.067799999999998</v>
      </c>
      <c r="D603" s="2">
        <v>4500</v>
      </c>
      <c r="E603" s="2">
        <v>255</v>
      </c>
      <c r="F603" s="2">
        <v>50.6</v>
      </c>
      <c r="G603" s="2">
        <v>1</v>
      </c>
      <c r="H603" s="4">
        <f t="shared" si="45"/>
        <v>3.5854005005407736</v>
      </c>
      <c r="I603" s="4">
        <f t="shared" si="46"/>
        <v>8.4118326757584114</v>
      </c>
      <c r="J603" s="4">
        <f t="shared" si="47"/>
        <v>5.5412635451584258</v>
      </c>
      <c r="K603" s="4">
        <f t="shared" si="48"/>
        <v>50.6</v>
      </c>
      <c r="L603" s="4">
        <f t="shared" si="49"/>
        <v>1</v>
      </c>
    </row>
    <row r="604" spans="1:12" x14ac:dyDescent="0.35">
      <c r="A604" s="2" t="s">
        <v>507</v>
      </c>
      <c r="B604" s="2" t="s">
        <v>33</v>
      </c>
      <c r="C604" s="2">
        <v>27.506399999999999</v>
      </c>
      <c r="D604" s="2">
        <v>5000</v>
      </c>
      <c r="E604" s="2">
        <v>469</v>
      </c>
      <c r="F604" s="2">
        <v>49.7</v>
      </c>
      <c r="G604" s="2">
        <v>1</v>
      </c>
      <c r="H604" s="4">
        <f t="shared" si="45"/>
        <v>3.3144187048684621</v>
      </c>
      <c r="I604" s="4">
        <f t="shared" si="46"/>
        <v>8.5171931914162382</v>
      </c>
      <c r="J604" s="4">
        <f t="shared" si="47"/>
        <v>6.1506027684462792</v>
      </c>
      <c r="K604" s="4">
        <f t="shared" si="48"/>
        <v>49.7</v>
      </c>
      <c r="L604" s="4">
        <f t="shared" si="49"/>
        <v>1</v>
      </c>
    </row>
    <row r="605" spans="1:12" x14ac:dyDescent="0.35">
      <c r="A605" s="2" t="s">
        <v>508</v>
      </c>
      <c r="B605" s="2" t="s">
        <v>33</v>
      </c>
      <c r="C605" s="2">
        <v>34.988799999999998</v>
      </c>
      <c r="D605" s="2">
        <v>4500</v>
      </c>
      <c r="E605" s="2">
        <v>255</v>
      </c>
      <c r="F605" s="2">
        <v>50.6</v>
      </c>
      <c r="G605" s="2">
        <v>1</v>
      </c>
      <c r="H605" s="4">
        <f t="shared" si="45"/>
        <v>3.5550280102784884</v>
      </c>
      <c r="I605" s="4">
        <f t="shared" si="46"/>
        <v>8.4118326757584114</v>
      </c>
      <c r="J605" s="4">
        <f t="shared" si="47"/>
        <v>5.5412635451584258</v>
      </c>
      <c r="K605" s="4">
        <f t="shared" si="48"/>
        <v>50.6</v>
      </c>
      <c r="L605" s="4">
        <f t="shared" si="49"/>
        <v>1</v>
      </c>
    </row>
    <row r="606" spans="1:12" x14ac:dyDescent="0.35">
      <c r="A606" s="2" t="s">
        <v>509</v>
      </c>
      <c r="B606" s="2" t="s">
        <v>33</v>
      </c>
      <c r="C606" s="2">
        <v>40.069200000000002</v>
      </c>
      <c r="D606" s="2">
        <v>4000</v>
      </c>
      <c r="E606" s="2">
        <v>255</v>
      </c>
      <c r="F606" s="2">
        <v>48.9</v>
      </c>
      <c r="G606" s="2">
        <v>1</v>
      </c>
      <c r="H606" s="4">
        <f t="shared" si="45"/>
        <v>3.6906079593876058</v>
      </c>
      <c r="I606" s="4">
        <f t="shared" si="46"/>
        <v>8.2940496401020276</v>
      </c>
      <c r="J606" s="4">
        <f t="shared" si="47"/>
        <v>5.5412635451584258</v>
      </c>
      <c r="K606" s="4">
        <f t="shared" si="48"/>
        <v>48.9</v>
      </c>
      <c r="L606" s="4">
        <f t="shared" si="49"/>
        <v>1</v>
      </c>
    </row>
    <row r="607" spans="1:12" x14ac:dyDescent="0.35">
      <c r="A607" s="2" t="s">
        <v>510</v>
      </c>
      <c r="B607" s="2" t="s">
        <v>33</v>
      </c>
      <c r="C607" s="2">
        <v>35.9054</v>
      </c>
      <c r="D607" s="2">
        <v>4000</v>
      </c>
      <c r="E607" s="2">
        <v>255</v>
      </c>
      <c r="F607" s="2">
        <v>48.9</v>
      </c>
      <c r="G607" s="2">
        <v>1</v>
      </c>
      <c r="H607" s="4">
        <f t="shared" si="45"/>
        <v>3.5808877020099041</v>
      </c>
      <c r="I607" s="4">
        <f t="shared" si="46"/>
        <v>8.2940496401020276</v>
      </c>
      <c r="J607" s="4">
        <f t="shared" si="47"/>
        <v>5.5412635451584258</v>
      </c>
      <c r="K607" s="4">
        <f t="shared" si="48"/>
        <v>48.9</v>
      </c>
      <c r="L607" s="4">
        <f t="shared" si="49"/>
        <v>1</v>
      </c>
    </row>
    <row r="608" spans="1:12" x14ac:dyDescent="0.35">
      <c r="A608" s="2" t="s">
        <v>511</v>
      </c>
      <c r="B608" s="2" t="s">
        <v>33</v>
      </c>
      <c r="C608" s="2">
        <v>32.657200000000003</v>
      </c>
      <c r="D608" s="2">
        <v>4000</v>
      </c>
      <c r="E608" s="2">
        <v>302</v>
      </c>
      <c r="F608" s="2">
        <v>47.3</v>
      </c>
      <c r="G608" s="2">
        <v>1</v>
      </c>
      <c r="H608" s="4">
        <f t="shared" si="45"/>
        <v>3.4860653520851437</v>
      </c>
      <c r="I608" s="4">
        <f t="shared" si="46"/>
        <v>8.2940496401020276</v>
      </c>
      <c r="J608" s="4">
        <f t="shared" si="47"/>
        <v>5.7104270173748697</v>
      </c>
      <c r="K608" s="4">
        <f t="shared" si="48"/>
        <v>47.3</v>
      </c>
      <c r="L608" s="4">
        <f t="shared" si="49"/>
        <v>1</v>
      </c>
    </row>
    <row r="609" spans="1:12" x14ac:dyDescent="0.35">
      <c r="A609" s="2" t="s">
        <v>512</v>
      </c>
      <c r="B609" s="2" t="s">
        <v>33</v>
      </c>
      <c r="C609" s="2">
        <v>31.8841</v>
      </c>
      <c r="D609" s="2">
        <v>4000</v>
      </c>
      <c r="E609" s="2">
        <v>302</v>
      </c>
      <c r="F609" s="2">
        <v>47.1</v>
      </c>
      <c r="G609" s="2">
        <v>1</v>
      </c>
      <c r="H609" s="4">
        <f t="shared" si="45"/>
        <v>3.462107452930097</v>
      </c>
      <c r="I609" s="4">
        <f t="shared" si="46"/>
        <v>8.2940496401020276</v>
      </c>
      <c r="J609" s="4">
        <f t="shared" si="47"/>
        <v>5.7104270173748697</v>
      </c>
      <c r="K609" s="4">
        <f t="shared" si="48"/>
        <v>47.1</v>
      </c>
      <c r="L609" s="4">
        <f t="shared" si="49"/>
        <v>1</v>
      </c>
    </row>
    <row r="610" spans="1:12" x14ac:dyDescent="0.35">
      <c r="A610" s="2" t="s">
        <v>513</v>
      </c>
      <c r="B610" s="2" t="s">
        <v>33</v>
      </c>
      <c r="C610" s="2">
        <v>30.133299999999998</v>
      </c>
      <c r="D610" s="2">
        <v>4500</v>
      </c>
      <c r="E610" s="2">
        <v>302</v>
      </c>
      <c r="F610" s="2">
        <v>48.9</v>
      </c>
      <c r="G610" s="2">
        <v>1</v>
      </c>
      <c r="H610" s="4">
        <f t="shared" si="45"/>
        <v>3.4056308725347191</v>
      </c>
      <c r="I610" s="4">
        <f t="shared" si="46"/>
        <v>8.4118326757584114</v>
      </c>
      <c r="J610" s="4">
        <f t="shared" si="47"/>
        <v>5.7104270173748697</v>
      </c>
      <c r="K610" s="4">
        <f t="shared" si="48"/>
        <v>48.9</v>
      </c>
      <c r="L610" s="4">
        <f t="shared" si="49"/>
        <v>1</v>
      </c>
    </row>
    <row r="611" spans="1:12" x14ac:dyDescent="0.35">
      <c r="A611" s="2" t="s">
        <v>514</v>
      </c>
      <c r="B611" s="2" t="s">
        <v>33</v>
      </c>
      <c r="C611" s="2">
        <v>23.230799999999999</v>
      </c>
      <c r="D611" s="2">
        <v>6500</v>
      </c>
      <c r="E611" s="2">
        <v>603</v>
      </c>
      <c r="F611" s="2">
        <v>57.3</v>
      </c>
      <c r="G611" s="2">
        <v>1</v>
      </c>
      <c r="H611" s="4">
        <f t="shared" si="45"/>
        <v>3.1454789844157669</v>
      </c>
      <c r="I611" s="4">
        <f t="shared" si="46"/>
        <v>8.7795574558837277</v>
      </c>
      <c r="J611" s="4">
        <f t="shared" si="47"/>
        <v>6.4019171967271857</v>
      </c>
      <c r="K611" s="4">
        <f t="shared" si="48"/>
        <v>57.3</v>
      </c>
      <c r="L611" s="4">
        <f t="shared" si="49"/>
        <v>1</v>
      </c>
    </row>
    <row r="612" spans="1:12" x14ac:dyDescent="0.35">
      <c r="A612" s="2" t="s">
        <v>515</v>
      </c>
      <c r="B612" s="2" t="s">
        <v>67</v>
      </c>
      <c r="C612" s="2">
        <v>30.1006</v>
      </c>
      <c r="D612" s="2">
        <v>4000</v>
      </c>
      <c r="E612" s="2">
        <v>416</v>
      </c>
      <c r="F612" s="2">
        <v>46.8</v>
      </c>
      <c r="G612" s="2">
        <v>0</v>
      </c>
      <c r="H612" s="4">
        <f t="shared" si="45"/>
        <v>3.4045451051109765</v>
      </c>
      <c r="I612" s="4">
        <f t="shared" si="46"/>
        <v>8.2940496401020276</v>
      </c>
      <c r="J612" s="4">
        <f t="shared" si="47"/>
        <v>6.0306852602612633</v>
      </c>
      <c r="K612" s="4">
        <f t="shared" si="48"/>
        <v>46.8</v>
      </c>
      <c r="L612" s="4">
        <f t="shared" si="49"/>
        <v>0</v>
      </c>
    </row>
    <row r="613" spans="1:12" x14ac:dyDescent="0.35">
      <c r="A613" s="2" t="s">
        <v>516</v>
      </c>
      <c r="B613" s="2" t="s">
        <v>33</v>
      </c>
      <c r="C613" s="2">
        <v>38.342399999999998</v>
      </c>
      <c r="D613" s="2">
        <v>4000</v>
      </c>
      <c r="E613" s="2">
        <v>221</v>
      </c>
      <c r="F613" s="2">
        <v>47</v>
      </c>
      <c r="G613" s="2">
        <v>1</v>
      </c>
      <c r="H613" s="4">
        <f t="shared" si="45"/>
        <v>3.646556333467414</v>
      </c>
      <c r="I613" s="4">
        <f t="shared" si="46"/>
        <v>8.2940496401020276</v>
      </c>
      <c r="J613" s="4">
        <f t="shared" si="47"/>
        <v>5.3981627015177525</v>
      </c>
      <c r="K613" s="4">
        <f t="shared" si="48"/>
        <v>47</v>
      </c>
      <c r="L613" s="4">
        <f t="shared" si="49"/>
        <v>1</v>
      </c>
    </row>
    <row r="614" spans="1:12" x14ac:dyDescent="0.35">
      <c r="A614" s="2" t="s">
        <v>517</v>
      </c>
      <c r="B614" s="2" t="s">
        <v>33</v>
      </c>
      <c r="C614" s="2">
        <v>29.475300000000001</v>
      </c>
      <c r="D614" s="2">
        <v>4000</v>
      </c>
      <c r="E614" s="2">
        <v>416</v>
      </c>
      <c r="F614" s="2">
        <v>47.8</v>
      </c>
      <c r="G614" s="2">
        <v>1</v>
      </c>
      <c r="H614" s="4">
        <f t="shared" si="45"/>
        <v>3.3835526244886864</v>
      </c>
      <c r="I614" s="4">
        <f t="shared" si="46"/>
        <v>8.2940496401020276</v>
      </c>
      <c r="J614" s="4">
        <f t="shared" si="47"/>
        <v>6.0306852602612633</v>
      </c>
      <c r="K614" s="4">
        <f t="shared" si="48"/>
        <v>47.8</v>
      </c>
      <c r="L614" s="4">
        <f t="shared" si="49"/>
        <v>1</v>
      </c>
    </row>
    <row r="615" spans="1:12" x14ac:dyDescent="0.35">
      <c r="A615" s="2" t="s">
        <v>518</v>
      </c>
      <c r="B615" s="2" t="s">
        <v>67</v>
      </c>
      <c r="C615" s="2">
        <v>20.8429</v>
      </c>
      <c r="D615" s="2">
        <v>4500</v>
      </c>
      <c r="E615" s="2">
        <v>577</v>
      </c>
      <c r="F615" s="2">
        <v>47.8</v>
      </c>
      <c r="G615" s="2">
        <v>0</v>
      </c>
      <c r="H615" s="4">
        <f t="shared" si="45"/>
        <v>3.0370133626741915</v>
      </c>
      <c r="I615" s="4">
        <f t="shared" si="46"/>
        <v>8.4118326757584114</v>
      </c>
      <c r="J615" s="4">
        <f t="shared" si="47"/>
        <v>6.3578422665080998</v>
      </c>
      <c r="K615" s="4">
        <f t="shared" si="48"/>
        <v>47.8</v>
      </c>
      <c r="L615" s="4">
        <f t="shared" si="49"/>
        <v>0</v>
      </c>
    </row>
    <row r="616" spans="1:12" x14ac:dyDescent="0.35">
      <c r="A616" s="2" t="s">
        <v>519</v>
      </c>
      <c r="B616" s="2" t="s">
        <v>67</v>
      </c>
      <c r="C616" s="2">
        <v>20.8429</v>
      </c>
      <c r="D616" s="2">
        <v>4500</v>
      </c>
      <c r="E616" s="2">
        <v>469</v>
      </c>
      <c r="F616" s="2">
        <v>47.7</v>
      </c>
      <c r="G616" s="2">
        <v>0</v>
      </c>
      <c r="H616" s="4">
        <f t="shared" si="45"/>
        <v>3.0370133626741915</v>
      </c>
      <c r="I616" s="4">
        <f t="shared" si="46"/>
        <v>8.4118326757584114</v>
      </c>
      <c r="J616" s="4">
        <f t="shared" si="47"/>
        <v>6.1506027684462792</v>
      </c>
      <c r="K616" s="4">
        <f t="shared" si="48"/>
        <v>47.7</v>
      </c>
      <c r="L616" s="4">
        <f t="shared" si="49"/>
        <v>0</v>
      </c>
    </row>
    <row r="617" spans="1:12" x14ac:dyDescent="0.35">
      <c r="A617" s="2" t="s">
        <v>520</v>
      </c>
      <c r="B617" s="2" t="s">
        <v>33</v>
      </c>
      <c r="C617" s="2">
        <v>24.176100000000002</v>
      </c>
      <c r="D617" s="2">
        <v>5000</v>
      </c>
      <c r="E617" s="2">
        <v>603</v>
      </c>
      <c r="F617" s="2">
        <v>47.5</v>
      </c>
      <c r="G617" s="2">
        <v>1</v>
      </c>
      <c r="H617" s="4">
        <f t="shared" si="45"/>
        <v>3.1853645418553831</v>
      </c>
      <c r="I617" s="4">
        <f t="shared" si="46"/>
        <v>8.5171931914162382</v>
      </c>
      <c r="J617" s="4">
        <f t="shared" si="47"/>
        <v>6.4019171967271857</v>
      </c>
      <c r="K617" s="4">
        <f t="shared" si="48"/>
        <v>47.5</v>
      </c>
      <c r="L617" s="4">
        <f t="shared" si="49"/>
        <v>1</v>
      </c>
    </row>
    <row r="618" spans="1:12" x14ac:dyDescent="0.35">
      <c r="A618" s="2" t="s">
        <v>521</v>
      </c>
      <c r="B618" s="2" t="s">
        <v>33</v>
      </c>
      <c r="C618" s="2">
        <v>40.801600000000001</v>
      </c>
      <c r="D618" s="2">
        <v>4000</v>
      </c>
      <c r="E618" s="2">
        <v>221</v>
      </c>
      <c r="F618" s="2">
        <v>47</v>
      </c>
      <c r="G618" s="2">
        <v>1</v>
      </c>
      <c r="H618" s="4">
        <f t="shared" si="45"/>
        <v>3.7087212963274756</v>
      </c>
      <c r="I618" s="4">
        <f t="shared" si="46"/>
        <v>8.2940496401020276</v>
      </c>
      <c r="J618" s="4">
        <f t="shared" si="47"/>
        <v>5.3981627015177525</v>
      </c>
      <c r="K618" s="4">
        <f t="shared" si="48"/>
        <v>47</v>
      </c>
      <c r="L618" s="4">
        <f t="shared" si="49"/>
        <v>1</v>
      </c>
    </row>
    <row r="619" spans="1:12" x14ac:dyDescent="0.35">
      <c r="A619" s="2" t="s">
        <v>522</v>
      </c>
      <c r="B619" s="2" t="s">
        <v>33</v>
      </c>
      <c r="C619" s="2">
        <v>33.267200000000003</v>
      </c>
      <c r="D619" s="2">
        <v>4500</v>
      </c>
      <c r="E619" s="2">
        <v>375</v>
      </c>
      <c r="F619" s="2">
        <v>52.1</v>
      </c>
      <c r="G619" s="2">
        <v>1</v>
      </c>
      <c r="H619" s="4">
        <f t="shared" si="45"/>
        <v>3.5045719265849247</v>
      </c>
      <c r="I619" s="4">
        <f t="shared" si="46"/>
        <v>8.4118326757584114</v>
      </c>
      <c r="J619" s="4">
        <f t="shared" si="47"/>
        <v>5.9269260259704106</v>
      </c>
      <c r="K619" s="4">
        <f t="shared" si="48"/>
        <v>52.1</v>
      </c>
      <c r="L619" s="4">
        <f t="shared" si="49"/>
        <v>1</v>
      </c>
    </row>
    <row r="620" spans="1:12" x14ac:dyDescent="0.35">
      <c r="A620" s="2" t="s">
        <v>523</v>
      </c>
      <c r="B620" s="2" t="s">
        <v>33</v>
      </c>
      <c r="C620" s="2">
        <v>33.687600000000003</v>
      </c>
      <c r="D620" s="2">
        <v>5000</v>
      </c>
      <c r="E620" s="2">
        <v>375</v>
      </c>
      <c r="F620" s="2">
        <v>52.2</v>
      </c>
      <c r="G620" s="2">
        <v>1</v>
      </c>
      <c r="H620" s="4">
        <f t="shared" si="45"/>
        <v>3.5171298171249217</v>
      </c>
      <c r="I620" s="4">
        <f t="shared" si="46"/>
        <v>8.5171931914162382</v>
      </c>
      <c r="J620" s="4">
        <f t="shared" si="47"/>
        <v>5.9269260259704106</v>
      </c>
      <c r="K620" s="4">
        <f t="shared" si="48"/>
        <v>52.2</v>
      </c>
      <c r="L620" s="4">
        <f t="shared" si="49"/>
        <v>1</v>
      </c>
    </row>
    <row r="621" spans="1:12" x14ac:dyDescent="0.35">
      <c r="A621" s="2" t="s">
        <v>524</v>
      </c>
      <c r="B621" s="2" t="s">
        <v>33</v>
      </c>
      <c r="C621" s="2">
        <v>36.538499999999999</v>
      </c>
      <c r="D621" s="2">
        <v>4500</v>
      </c>
      <c r="E621" s="2">
        <v>255</v>
      </c>
      <c r="F621" s="2">
        <v>52.1</v>
      </c>
      <c r="G621" s="2">
        <v>1</v>
      </c>
      <c r="H621" s="4">
        <f t="shared" si="45"/>
        <v>3.5983664992041295</v>
      </c>
      <c r="I621" s="4">
        <f t="shared" si="46"/>
        <v>8.4118326757584114</v>
      </c>
      <c r="J621" s="4">
        <f t="shared" si="47"/>
        <v>5.5412635451584258</v>
      </c>
      <c r="K621" s="4">
        <f t="shared" si="48"/>
        <v>52.1</v>
      </c>
      <c r="L621" s="4">
        <f t="shared" si="49"/>
        <v>1</v>
      </c>
    </row>
    <row r="622" spans="1:12" x14ac:dyDescent="0.35">
      <c r="A622" s="2" t="s">
        <v>525</v>
      </c>
      <c r="B622" s="2" t="s">
        <v>33</v>
      </c>
      <c r="C622" s="2">
        <v>27.605399999999999</v>
      </c>
      <c r="D622" s="2">
        <v>5000</v>
      </c>
      <c r="E622" s="2">
        <v>416</v>
      </c>
      <c r="F622" s="2">
        <v>51.2</v>
      </c>
      <c r="G622" s="2">
        <v>1</v>
      </c>
      <c r="H622" s="4">
        <f t="shared" si="45"/>
        <v>3.3180114057596271</v>
      </c>
      <c r="I622" s="4">
        <f t="shared" si="46"/>
        <v>8.5171931914162382</v>
      </c>
      <c r="J622" s="4">
        <f t="shared" si="47"/>
        <v>6.0306852602612633</v>
      </c>
      <c r="K622" s="4">
        <f t="shared" si="48"/>
        <v>51.2</v>
      </c>
      <c r="L622" s="4">
        <f t="shared" si="49"/>
        <v>1</v>
      </c>
    </row>
    <row r="623" spans="1:12" x14ac:dyDescent="0.35">
      <c r="A623" s="2" t="s">
        <v>526</v>
      </c>
      <c r="B623" s="2" t="s">
        <v>33</v>
      </c>
      <c r="C623" s="2">
        <v>26.9544</v>
      </c>
      <c r="D623" s="2">
        <v>5000</v>
      </c>
      <c r="E623" s="2">
        <v>416</v>
      </c>
      <c r="F623" s="2">
        <v>51.2</v>
      </c>
      <c r="G623" s="2">
        <v>1</v>
      </c>
      <c r="H623" s="4">
        <f t="shared" si="45"/>
        <v>3.294146549334799</v>
      </c>
      <c r="I623" s="4">
        <f t="shared" si="46"/>
        <v>8.5171931914162382</v>
      </c>
      <c r="J623" s="4">
        <f t="shared" si="47"/>
        <v>6.0306852602612633</v>
      </c>
      <c r="K623" s="4">
        <f t="shared" si="48"/>
        <v>51.2</v>
      </c>
      <c r="L623" s="4">
        <f t="shared" si="49"/>
        <v>1</v>
      </c>
    </row>
    <row r="624" spans="1:12" x14ac:dyDescent="0.35">
      <c r="A624" s="2" t="s">
        <v>527</v>
      </c>
      <c r="B624" s="2" t="s">
        <v>33</v>
      </c>
      <c r="C624" s="2">
        <v>30.130400000000002</v>
      </c>
      <c r="D624" s="2">
        <v>4500</v>
      </c>
      <c r="E624" s="2">
        <v>416</v>
      </c>
      <c r="F624" s="2">
        <v>49.2</v>
      </c>
      <c r="G624" s="2">
        <v>1</v>
      </c>
      <c r="H624" s="4">
        <f t="shared" si="45"/>
        <v>3.4055346288589328</v>
      </c>
      <c r="I624" s="4">
        <f t="shared" si="46"/>
        <v>8.4118326757584114</v>
      </c>
      <c r="J624" s="4">
        <f t="shared" si="47"/>
        <v>6.0306852602612633</v>
      </c>
      <c r="K624" s="4">
        <f t="shared" si="48"/>
        <v>49.2</v>
      </c>
      <c r="L624" s="4">
        <f t="shared" si="49"/>
        <v>1</v>
      </c>
    </row>
    <row r="625" spans="1:12" x14ac:dyDescent="0.35">
      <c r="A625" s="2" t="s">
        <v>528</v>
      </c>
      <c r="B625" s="2" t="s">
        <v>33</v>
      </c>
      <c r="C625" s="2">
        <v>35.413600000000002</v>
      </c>
      <c r="D625" s="2">
        <v>4500</v>
      </c>
      <c r="E625" s="2">
        <v>255</v>
      </c>
      <c r="F625" s="2">
        <v>49.7</v>
      </c>
      <c r="G625" s="2">
        <v>1</v>
      </c>
      <c r="H625" s="4">
        <f t="shared" si="45"/>
        <v>3.567095927152145</v>
      </c>
      <c r="I625" s="4">
        <f t="shared" si="46"/>
        <v>8.4118326757584114</v>
      </c>
      <c r="J625" s="4">
        <f t="shared" si="47"/>
        <v>5.5412635451584258</v>
      </c>
      <c r="K625" s="4">
        <f t="shared" si="48"/>
        <v>49.7</v>
      </c>
      <c r="L625" s="4">
        <f t="shared" si="49"/>
        <v>1</v>
      </c>
    </row>
    <row r="626" spans="1:12" x14ac:dyDescent="0.35">
      <c r="A626" s="2" t="s">
        <v>529</v>
      </c>
      <c r="B626" s="2" t="s">
        <v>33</v>
      </c>
      <c r="C626" s="2">
        <v>36.901800000000001</v>
      </c>
      <c r="D626" s="2">
        <v>4500</v>
      </c>
      <c r="E626" s="2">
        <v>255</v>
      </c>
      <c r="F626" s="2">
        <v>49.7</v>
      </c>
      <c r="G626" s="2">
        <v>1</v>
      </c>
      <c r="H626" s="4">
        <f t="shared" si="45"/>
        <v>3.6082603303445571</v>
      </c>
      <c r="I626" s="4">
        <f t="shared" si="46"/>
        <v>8.4118326757584114</v>
      </c>
      <c r="J626" s="4">
        <f t="shared" si="47"/>
        <v>5.5412635451584258</v>
      </c>
      <c r="K626" s="4">
        <f t="shared" si="48"/>
        <v>49.7</v>
      </c>
      <c r="L626" s="4">
        <f t="shared" si="49"/>
        <v>1</v>
      </c>
    </row>
    <row r="627" spans="1:12" x14ac:dyDescent="0.35">
      <c r="A627" s="2" t="s">
        <v>530</v>
      </c>
      <c r="B627" s="2" t="s">
        <v>33</v>
      </c>
      <c r="C627" s="2">
        <v>35.256300000000003</v>
      </c>
      <c r="D627" s="2">
        <v>4500</v>
      </c>
      <c r="E627" s="2">
        <v>375</v>
      </c>
      <c r="F627" s="2">
        <v>49.2</v>
      </c>
      <c r="G627" s="2">
        <v>1</v>
      </c>
      <c r="H627" s="4">
        <f t="shared" si="45"/>
        <v>3.5626442366934081</v>
      </c>
      <c r="I627" s="4">
        <f t="shared" si="46"/>
        <v>8.4118326757584114</v>
      </c>
      <c r="J627" s="4">
        <f t="shared" si="47"/>
        <v>5.9269260259704106</v>
      </c>
      <c r="K627" s="4">
        <f t="shared" si="48"/>
        <v>49.2</v>
      </c>
      <c r="L627" s="4">
        <f t="shared" si="49"/>
        <v>1</v>
      </c>
    </row>
    <row r="628" spans="1:12" x14ac:dyDescent="0.35">
      <c r="A628" s="2" t="s">
        <v>531</v>
      </c>
      <c r="B628" s="2" t="s">
        <v>33</v>
      </c>
      <c r="C628" s="2">
        <v>35.019799999999996</v>
      </c>
      <c r="D628" s="2">
        <v>4500</v>
      </c>
      <c r="E628" s="2">
        <v>375</v>
      </c>
      <c r="F628" s="2">
        <v>49.2</v>
      </c>
      <c r="G628" s="2">
        <v>1</v>
      </c>
      <c r="H628" s="4">
        <f t="shared" si="45"/>
        <v>3.5559136158191249</v>
      </c>
      <c r="I628" s="4">
        <f t="shared" si="46"/>
        <v>8.4118326757584114</v>
      </c>
      <c r="J628" s="4">
        <f t="shared" si="47"/>
        <v>5.9269260259704106</v>
      </c>
      <c r="K628" s="4">
        <f t="shared" si="48"/>
        <v>49.2</v>
      </c>
      <c r="L628" s="4">
        <f t="shared" si="49"/>
        <v>1</v>
      </c>
    </row>
    <row r="629" spans="1:12" x14ac:dyDescent="0.35">
      <c r="A629" s="2" t="s">
        <v>532</v>
      </c>
      <c r="B629" s="2" t="s">
        <v>33</v>
      </c>
      <c r="C629" s="2">
        <v>29.888300000000001</v>
      </c>
      <c r="D629" s="2">
        <v>4500</v>
      </c>
      <c r="E629" s="2">
        <v>443</v>
      </c>
      <c r="F629" s="2">
        <v>51.2</v>
      </c>
      <c r="G629" s="2">
        <v>1</v>
      </c>
      <c r="H629" s="4">
        <f t="shared" si="45"/>
        <v>3.3974670994692904</v>
      </c>
      <c r="I629" s="4">
        <f t="shared" si="46"/>
        <v>8.4118326757584114</v>
      </c>
      <c r="J629" s="4">
        <f t="shared" si="47"/>
        <v>6.0935697700451357</v>
      </c>
      <c r="K629" s="4">
        <f t="shared" si="48"/>
        <v>51.2</v>
      </c>
      <c r="L629" s="4">
        <f t="shared" si="49"/>
        <v>1</v>
      </c>
    </row>
    <row r="630" spans="1:12" x14ac:dyDescent="0.35">
      <c r="A630" s="2" t="s">
        <v>533</v>
      </c>
      <c r="B630" s="2" t="s">
        <v>33</v>
      </c>
      <c r="C630" s="2">
        <v>21.0928</v>
      </c>
      <c r="D630" s="2">
        <v>6000</v>
      </c>
      <c r="E630" s="2">
        <v>603</v>
      </c>
      <c r="F630" s="2">
        <v>53.8</v>
      </c>
      <c r="G630" s="2">
        <v>1</v>
      </c>
      <c r="H630" s="4">
        <f t="shared" si="45"/>
        <v>3.0489317500215685</v>
      </c>
      <c r="I630" s="4">
        <f t="shared" si="46"/>
        <v>8.6995147482101913</v>
      </c>
      <c r="J630" s="4">
        <f t="shared" si="47"/>
        <v>6.4019171967271857</v>
      </c>
      <c r="K630" s="4">
        <f t="shared" si="48"/>
        <v>53.8</v>
      </c>
      <c r="L630" s="4">
        <f t="shared" si="49"/>
        <v>1</v>
      </c>
    </row>
    <row r="631" spans="1:12" x14ac:dyDescent="0.35">
      <c r="A631" s="2" t="s">
        <v>534</v>
      </c>
      <c r="B631" s="2" t="s">
        <v>33</v>
      </c>
      <c r="C631" s="2">
        <v>21.0928</v>
      </c>
      <c r="D631" s="2">
        <v>6000</v>
      </c>
      <c r="E631" s="2">
        <v>603</v>
      </c>
      <c r="F631" s="2">
        <v>54.9</v>
      </c>
      <c r="G631" s="2">
        <v>1</v>
      </c>
      <c r="H631" s="4">
        <f t="shared" si="45"/>
        <v>3.0489317500215685</v>
      </c>
      <c r="I631" s="4">
        <f t="shared" si="46"/>
        <v>8.6995147482101913</v>
      </c>
      <c r="J631" s="4">
        <f t="shared" si="47"/>
        <v>6.4019171967271857</v>
      </c>
      <c r="K631" s="4">
        <f t="shared" si="48"/>
        <v>54.9</v>
      </c>
      <c r="L631" s="4">
        <f t="shared" si="49"/>
        <v>1</v>
      </c>
    </row>
    <row r="632" spans="1:12" x14ac:dyDescent="0.35">
      <c r="A632" s="2" t="s">
        <v>535</v>
      </c>
      <c r="B632" s="2" t="s">
        <v>33</v>
      </c>
      <c r="C632" s="2">
        <v>20.244700000000002</v>
      </c>
      <c r="D632" s="2">
        <v>6500</v>
      </c>
      <c r="E632" s="2">
        <v>603</v>
      </c>
      <c r="F632" s="2">
        <v>58.1</v>
      </c>
      <c r="G632" s="2">
        <v>1</v>
      </c>
      <c r="H632" s="4">
        <f t="shared" si="45"/>
        <v>3.0078930309006329</v>
      </c>
      <c r="I632" s="4">
        <f t="shared" si="46"/>
        <v>8.7795574558837277</v>
      </c>
      <c r="J632" s="4">
        <f t="shared" si="47"/>
        <v>6.4019171967271857</v>
      </c>
      <c r="K632" s="4">
        <f t="shared" si="48"/>
        <v>58.1</v>
      </c>
      <c r="L632" s="4">
        <f t="shared" si="49"/>
        <v>1</v>
      </c>
    </row>
    <row r="633" spans="1:12" x14ac:dyDescent="0.35">
      <c r="A633" s="2" t="s">
        <v>536</v>
      </c>
      <c r="B633" s="2" t="s">
        <v>33</v>
      </c>
      <c r="C633" s="2">
        <v>19.851500000000001</v>
      </c>
      <c r="D633" s="2">
        <v>7000</v>
      </c>
      <c r="E633" s="2">
        <v>603</v>
      </c>
      <c r="F633" s="2">
        <v>57.8</v>
      </c>
      <c r="G633" s="2">
        <v>1</v>
      </c>
      <c r="H633" s="4">
        <f t="shared" si="45"/>
        <v>2.9882795710288059</v>
      </c>
      <c r="I633" s="4">
        <f t="shared" si="46"/>
        <v>8.8536654280374503</v>
      </c>
      <c r="J633" s="4">
        <f t="shared" si="47"/>
        <v>6.4019171967271857</v>
      </c>
      <c r="K633" s="4">
        <f t="shared" si="48"/>
        <v>57.8</v>
      </c>
      <c r="L633" s="4">
        <f t="shared" si="49"/>
        <v>1</v>
      </c>
    </row>
    <row r="634" spans="1:12" x14ac:dyDescent="0.35">
      <c r="A634" s="2" t="s">
        <v>537</v>
      </c>
      <c r="B634" s="2" t="s">
        <v>33</v>
      </c>
      <c r="C634" s="2">
        <v>21.417400000000001</v>
      </c>
      <c r="D634" s="2">
        <v>6000</v>
      </c>
      <c r="E634" s="2">
        <v>603</v>
      </c>
      <c r="F634" s="2">
        <v>54.9</v>
      </c>
      <c r="G634" s="2">
        <v>1</v>
      </c>
      <c r="H634" s="4">
        <f t="shared" si="45"/>
        <v>3.0642036757661377</v>
      </c>
      <c r="I634" s="4">
        <f t="shared" si="46"/>
        <v>8.6995147482101913</v>
      </c>
      <c r="J634" s="4">
        <f t="shared" si="47"/>
        <v>6.4019171967271857</v>
      </c>
      <c r="K634" s="4">
        <f t="shared" si="48"/>
        <v>54.9</v>
      </c>
      <c r="L634" s="4">
        <f t="shared" si="49"/>
        <v>1</v>
      </c>
    </row>
    <row r="635" spans="1:12" x14ac:dyDescent="0.35">
      <c r="A635" s="2" t="s">
        <v>538</v>
      </c>
      <c r="B635" s="2" t="s">
        <v>33</v>
      </c>
      <c r="C635" s="2">
        <v>20.6097</v>
      </c>
      <c r="D635" s="2">
        <v>6500</v>
      </c>
      <c r="E635" s="2">
        <v>603</v>
      </c>
      <c r="F635" s="2">
        <v>57.8</v>
      </c>
      <c r="G635" s="2">
        <v>1</v>
      </c>
      <c r="H635" s="4">
        <f t="shared" si="45"/>
        <v>3.0257618387556704</v>
      </c>
      <c r="I635" s="4">
        <f t="shared" si="46"/>
        <v>8.7795574558837277</v>
      </c>
      <c r="J635" s="4">
        <f t="shared" si="47"/>
        <v>6.4019171967271857</v>
      </c>
      <c r="K635" s="4">
        <f t="shared" si="48"/>
        <v>57.8</v>
      </c>
      <c r="L635" s="4">
        <f t="shared" si="49"/>
        <v>1</v>
      </c>
    </row>
    <row r="636" spans="1:12" x14ac:dyDescent="0.35">
      <c r="A636" s="2" t="s">
        <v>539</v>
      </c>
      <c r="B636" s="2" t="s">
        <v>33</v>
      </c>
      <c r="C636" s="2">
        <v>31.618500000000001</v>
      </c>
      <c r="D636" s="2">
        <v>6000</v>
      </c>
      <c r="E636" s="2">
        <v>248</v>
      </c>
      <c r="F636" s="2">
        <v>53.7</v>
      </c>
      <c r="G636" s="2">
        <v>1</v>
      </c>
      <c r="H636" s="4">
        <f t="shared" si="45"/>
        <v>3.4537423923259221</v>
      </c>
      <c r="I636" s="4">
        <f t="shared" si="46"/>
        <v>8.6995147482101913</v>
      </c>
      <c r="J636" s="4">
        <f t="shared" si="47"/>
        <v>5.5134287461649825</v>
      </c>
      <c r="K636" s="4">
        <f t="shared" si="48"/>
        <v>53.7</v>
      </c>
      <c r="L636" s="4">
        <f t="shared" si="49"/>
        <v>1</v>
      </c>
    </row>
    <row r="637" spans="1:12" x14ac:dyDescent="0.35">
      <c r="A637" s="2" t="s">
        <v>540</v>
      </c>
      <c r="B637" s="2" t="s">
        <v>33</v>
      </c>
      <c r="C637" s="2">
        <v>28.5944</v>
      </c>
      <c r="D637" s="2">
        <v>5500</v>
      </c>
      <c r="E637" s="2">
        <v>362</v>
      </c>
      <c r="F637" s="2">
        <v>54.7</v>
      </c>
      <c r="G637" s="2">
        <v>1</v>
      </c>
      <c r="H637" s="4">
        <f t="shared" si="45"/>
        <v>3.3532108944578587</v>
      </c>
      <c r="I637" s="4">
        <f t="shared" si="46"/>
        <v>8.6125033712205621</v>
      </c>
      <c r="J637" s="4">
        <f t="shared" si="47"/>
        <v>5.8916442118257715</v>
      </c>
      <c r="K637" s="4">
        <f t="shared" si="48"/>
        <v>54.7</v>
      </c>
      <c r="L637" s="4">
        <f t="shared" si="49"/>
        <v>1</v>
      </c>
    </row>
    <row r="638" spans="1:12" x14ac:dyDescent="0.35">
      <c r="A638" s="2" t="s">
        <v>541</v>
      </c>
      <c r="B638" s="2" t="s">
        <v>33</v>
      </c>
      <c r="C638" s="2">
        <v>30.352900000000002</v>
      </c>
      <c r="D638" s="2">
        <v>5500</v>
      </c>
      <c r="E638" s="2">
        <v>255</v>
      </c>
      <c r="F638" s="2">
        <v>52.5</v>
      </c>
      <c r="G638" s="2">
        <v>1</v>
      </c>
      <c r="H638" s="4">
        <f t="shared" si="45"/>
        <v>3.4128920648352792</v>
      </c>
      <c r="I638" s="4">
        <f t="shared" si="46"/>
        <v>8.6125033712205621</v>
      </c>
      <c r="J638" s="4">
        <f t="shared" si="47"/>
        <v>5.5412635451584258</v>
      </c>
      <c r="K638" s="4">
        <f t="shared" si="48"/>
        <v>52.5</v>
      </c>
      <c r="L638" s="4">
        <f t="shared" si="49"/>
        <v>1</v>
      </c>
    </row>
    <row r="639" spans="1:12" x14ac:dyDescent="0.35">
      <c r="A639" s="2" t="s">
        <v>542</v>
      </c>
      <c r="B639" s="2" t="s">
        <v>33</v>
      </c>
      <c r="C639" s="2">
        <v>27.257899999999999</v>
      </c>
      <c r="D639" s="2">
        <v>6000</v>
      </c>
      <c r="E639" s="2">
        <v>375</v>
      </c>
      <c r="F639" s="2">
        <v>56.9</v>
      </c>
      <c r="G639" s="2">
        <v>1</v>
      </c>
      <c r="H639" s="4">
        <f t="shared" si="45"/>
        <v>3.3053433873508551</v>
      </c>
      <c r="I639" s="4">
        <f t="shared" si="46"/>
        <v>8.6995147482101913</v>
      </c>
      <c r="J639" s="4">
        <f t="shared" si="47"/>
        <v>5.9269260259704106</v>
      </c>
      <c r="K639" s="4">
        <f t="shared" si="48"/>
        <v>56.9</v>
      </c>
      <c r="L639" s="4">
        <f t="shared" si="49"/>
        <v>1</v>
      </c>
    </row>
    <row r="640" spans="1:12" x14ac:dyDescent="0.35">
      <c r="A640" s="2" t="s">
        <v>543</v>
      </c>
      <c r="B640" s="2" t="s">
        <v>33</v>
      </c>
      <c r="C640" s="2">
        <v>27.637499999999999</v>
      </c>
      <c r="D640" s="2">
        <v>5000</v>
      </c>
      <c r="E640" s="2">
        <v>429</v>
      </c>
      <c r="F640" s="2">
        <v>53.1</v>
      </c>
      <c r="G640" s="2">
        <v>1</v>
      </c>
      <c r="H640" s="4">
        <f t="shared" si="45"/>
        <v>3.3191735461835647</v>
      </c>
      <c r="I640" s="4">
        <f t="shared" si="46"/>
        <v>8.5171931914162382</v>
      </c>
      <c r="J640" s="4">
        <f t="shared" si="47"/>
        <v>6.061456918928017</v>
      </c>
      <c r="K640" s="4">
        <f t="shared" si="48"/>
        <v>53.1</v>
      </c>
      <c r="L640" s="4">
        <f t="shared" si="49"/>
        <v>1</v>
      </c>
    </row>
    <row r="641" spans="1:12" x14ac:dyDescent="0.35">
      <c r="A641" s="2" t="s">
        <v>544</v>
      </c>
      <c r="B641" s="2" t="s">
        <v>33</v>
      </c>
      <c r="C641" s="2">
        <v>26.320900000000002</v>
      </c>
      <c r="D641" s="2">
        <v>5500</v>
      </c>
      <c r="E641" s="2">
        <v>429</v>
      </c>
      <c r="F641" s="2">
        <v>54.9</v>
      </c>
      <c r="G641" s="2">
        <v>1</v>
      </c>
      <c r="H641" s="4">
        <f t="shared" si="45"/>
        <v>3.2703633004013724</v>
      </c>
      <c r="I641" s="4">
        <f t="shared" si="46"/>
        <v>8.6125033712205621</v>
      </c>
      <c r="J641" s="4">
        <f t="shared" si="47"/>
        <v>6.061456918928017</v>
      </c>
      <c r="K641" s="4">
        <f t="shared" si="48"/>
        <v>54.9</v>
      </c>
      <c r="L641" s="4">
        <f t="shared" si="49"/>
        <v>1</v>
      </c>
    </row>
    <row r="642" spans="1:12" x14ac:dyDescent="0.35">
      <c r="A642" s="2" t="s">
        <v>545</v>
      </c>
      <c r="B642" s="2" t="s">
        <v>33</v>
      </c>
      <c r="C642" s="2">
        <v>25.4313</v>
      </c>
      <c r="D642" s="2">
        <v>5500</v>
      </c>
      <c r="E642" s="2">
        <v>429</v>
      </c>
      <c r="F642" s="2">
        <v>53.8</v>
      </c>
      <c r="G642" s="2">
        <v>1</v>
      </c>
      <c r="H642" s="4">
        <f t="shared" ref="H642:H705" si="50">LN(C642)</f>
        <v>3.2359806988509634</v>
      </c>
      <c r="I642" s="4">
        <f t="shared" ref="I642:I705" si="51">LN(D642)</f>
        <v>8.6125033712205621</v>
      </c>
      <c r="J642" s="4">
        <f t="shared" ref="J642:J705" si="52">LN(E642)</f>
        <v>6.061456918928017</v>
      </c>
      <c r="K642" s="4">
        <f t="shared" ref="K642:K705" si="53">F642</f>
        <v>53.8</v>
      </c>
      <c r="L642" s="4">
        <f t="shared" ref="L642:L705" si="54">G642</f>
        <v>1</v>
      </c>
    </row>
    <row r="643" spans="1:12" x14ac:dyDescent="0.35">
      <c r="A643" s="2" t="s">
        <v>546</v>
      </c>
      <c r="B643" s="2" t="s">
        <v>67</v>
      </c>
      <c r="C643" s="2">
        <v>18.4024</v>
      </c>
      <c r="D643" s="2">
        <v>6000</v>
      </c>
      <c r="E643" s="2">
        <v>416</v>
      </c>
      <c r="F643" s="2">
        <v>51</v>
      </c>
      <c r="G643" s="2">
        <v>0</v>
      </c>
      <c r="H643" s="4">
        <f t="shared" si="50"/>
        <v>2.9124810908916721</v>
      </c>
      <c r="I643" s="4">
        <f t="shared" si="51"/>
        <v>8.6995147482101913</v>
      </c>
      <c r="J643" s="4">
        <f t="shared" si="52"/>
        <v>6.0306852602612633</v>
      </c>
      <c r="K643" s="4">
        <f t="shared" si="53"/>
        <v>51</v>
      </c>
      <c r="L643" s="4">
        <f t="shared" si="54"/>
        <v>0</v>
      </c>
    </row>
    <row r="644" spans="1:12" x14ac:dyDescent="0.35">
      <c r="A644" s="2" t="s">
        <v>547</v>
      </c>
      <c r="B644" s="2" t="s">
        <v>67</v>
      </c>
      <c r="C644" s="2">
        <v>18.215299999999999</v>
      </c>
      <c r="D644" s="2">
        <v>6000</v>
      </c>
      <c r="E644" s="2">
        <v>577</v>
      </c>
      <c r="F644" s="2">
        <v>51.4</v>
      </c>
      <c r="G644" s="2">
        <v>0</v>
      </c>
      <c r="H644" s="4">
        <f t="shared" si="50"/>
        <v>2.9022619002672543</v>
      </c>
      <c r="I644" s="4">
        <f t="shared" si="51"/>
        <v>8.6995147482101913</v>
      </c>
      <c r="J644" s="4">
        <f t="shared" si="52"/>
        <v>6.3578422665080998</v>
      </c>
      <c r="K644" s="4">
        <f t="shared" si="53"/>
        <v>51.4</v>
      </c>
      <c r="L644" s="4">
        <f t="shared" si="54"/>
        <v>0</v>
      </c>
    </row>
    <row r="645" spans="1:12" x14ac:dyDescent="0.35">
      <c r="A645" s="2" t="s">
        <v>548</v>
      </c>
      <c r="B645" s="2" t="s">
        <v>67</v>
      </c>
      <c r="C645" s="2">
        <v>13.686999999999999</v>
      </c>
      <c r="D645" s="2">
        <v>7000</v>
      </c>
      <c r="E645" s="2">
        <v>577</v>
      </c>
      <c r="F645" s="2">
        <v>51.4</v>
      </c>
      <c r="G645" s="2">
        <v>0</v>
      </c>
      <c r="H645" s="4">
        <f t="shared" si="50"/>
        <v>2.6164464772291294</v>
      </c>
      <c r="I645" s="4">
        <f t="shared" si="51"/>
        <v>8.8536654280374503</v>
      </c>
      <c r="J645" s="4">
        <f t="shared" si="52"/>
        <v>6.3578422665080998</v>
      </c>
      <c r="K645" s="4">
        <f t="shared" si="53"/>
        <v>51.4</v>
      </c>
      <c r="L645" s="4">
        <f t="shared" si="54"/>
        <v>0</v>
      </c>
    </row>
    <row r="646" spans="1:12" x14ac:dyDescent="0.35">
      <c r="A646" s="2" t="s">
        <v>549</v>
      </c>
      <c r="B646" s="2" t="s">
        <v>33</v>
      </c>
      <c r="C646" s="2">
        <v>36.754100000000001</v>
      </c>
      <c r="D646" s="2">
        <v>4000</v>
      </c>
      <c r="E646" s="2">
        <v>221</v>
      </c>
      <c r="F646" s="2">
        <v>46.5</v>
      </c>
      <c r="G646" s="2">
        <v>1</v>
      </c>
      <c r="H646" s="4">
        <f t="shared" si="50"/>
        <v>3.6042497840618259</v>
      </c>
      <c r="I646" s="4">
        <f t="shared" si="51"/>
        <v>8.2940496401020276</v>
      </c>
      <c r="J646" s="4">
        <f t="shared" si="52"/>
        <v>5.3981627015177525</v>
      </c>
      <c r="K646" s="4">
        <f t="shared" si="53"/>
        <v>46.5</v>
      </c>
      <c r="L646" s="4">
        <f t="shared" si="54"/>
        <v>1</v>
      </c>
    </row>
    <row r="647" spans="1:12" x14ac:dyDescent="0.35">
      <c r="A647" s="2" t="s">
        <v>550</v>
      </c>
      <c r="B647" s="2" t="s">
        <v>33</v>
      </c>
      <c r="C647" s="2">
        <v>38.386400000000002</v>
      </c>
      <c r="D647" s="2">
        <v>4000</v>
      </c>
      <c r="E647" s="2">
        <v>221</v>
      </c>
      <c r="F647" s="2">
        <v>46.6</v>
      </c>
      <c r="G647" s="2">
        <v>1</v>
      </c>
      <c r="H647" s="4">
        <f t="shared" si="50"/>
        <v>3.6477032301951886</v>
      </c>
      <c r="I647" s="4">
        <f t="shared" si="51"/>
        <v>8.2940496401020276</v>
      </c>
      <c r="J647" s="4">
        <f t="shared" si="52"/>
        <v>5.3981627015177525</v>
      </c>
      <c r="K647" s="4">
        <f t="shared" si="53"/>
        <v>46.6</v>
      </c>
      <c r="L647" s="4">
        <f t="shared" si="54"/>
        <v>1</v>
      </c>
    </row>
    <row r="648" spans="1:12" x14ac:dyDescent="0.35">
      <c r="A648" s="2" t="s">
        <v>551</v>
      </c>
      <c r="B648" s="2" t="s">
        <v>33</v>
      </c>
      <c r="C648" s="2">
        <v>32.382599999999996</v>
      </c>
      <c r="D648" s="2">
        <v>5000</v>
      </c>
      <c r="E648" s="2">
        <v>443</v>
      </c>
      <c r="F648" s="2">
        <v>57.8</v>
      </c>
      <c r="G648" s="2">
        <v>1</v>
      </c>
      <c r="H648" s="4">
        <f t="shared" si="50"/>
        <v>3.4776212415052075</v>
      </c>
      <c r="I648" s="4">
        <f t="shared" si="51"/>
        <v>8.5171931914162382</v>
      </c>
      <c r="J648" s="4">
        <f t="shared" si="52"/>
        <v>6.0935697700451357</v>
      </c>
      <c r="K648" s="4">
        <f t="shared" si="53"/>
        <v>57.8</v>
      </c>
      <c r="L648" s="4">
        <f t="shared" si="54"/>
        <v>1</v>
      </c>
    </row>
    <row r="649" spans="1:12" x14ac:dyDescent="0.35">
      <c r="A649" s="2" t="s">
        <v>552</v>
      </c>
      <c r="B649" s="2" t="s">
        <v>67</v>
      </c>
      <c r="C649" s="2">
        <v>22.473600000000001</v>
      </c>
      <c r="D649" s="2">
        <v>5000</v>
      </c>
      <c r="E649" s="2">
        <v>577</v>
      </c>
      <c r="F649" s="2">
        <v>53.1</v>
      </c>
      <c r="G649" s="2">
        <v>0</v>
      </c>
      <c r="H649" s="4">
        <f t="shared" si="50"/>
        <v>3.1123412869825642</v>
      </c>
      <c r="I649" s="4">
        <f t="shared" si="51"/>
        <v>8.5171931914162382</v>
      </c>
      <c r="J649" s="4">
        <f t="shared" si="52"/>
        <v>6.3578422665080998</v>
      </c>
      <c r="K649" s="4">
        <f t="shared" si="53"/>
        <v>53.1</v>
      </c>
      <c r="L649" s="4">
        <f t="shared" si="54"/>
        <v>0</v>
      </c>
    </row>
    <row r="650" spans="1:12" x14ac:dyDescent="0.35">
      <c r="A650" s="2" t="s">
        <v>553</v>
      </c>
      <c r="B650" s="2" t="s">
        <v>33</v>
      </c>
      <c r="C650" s="2">
        <v>23.3687</v>
      </c>
      <c r="D650" s="2">
        <v>5500</v>
      </c>
      <c r="E650" s="2">
        <v>630</v>
      </c>
      <c r="F650" s="2">
        <v>52.9</v>
      </c>
      <c r="G650" s="2">
        <v>1</v>
      </c>
      <c r="H650" s="4">
        <f t="shared" si="50"/>
        <v>3.1513975201314768</v>
      </c>
      <c r="I650" s="4">
        <f t="shared" si="51"/>
        <v>8.6125033712205621</v>
      </c>
      <c r="J650" s="4">
        <f t="shared" si="52"/>
        <v>6.4457198193855785</v>
      </c>
      <c r="K650" s="4">
        <f t="shared" si="53"/>
        <v>52.9</v>
      </c>
      <c r="L650" s="4">
        <f t="shared" si="54"/>
        <v>1</v>
      </c>
    </row>
    <row r="651" spans="1:12" x14ac:dyDescent="0.35">
      <c r="A651" s="2" t="s">
        <v>554</v>
      </c>
      <c r="B651" s="2" t="s">
        <v>67</v>
      </c>
      <c r="C651" s="2">
        <v>19.991199999999999</v>
      </c>
      <c r="D651" s="2">
        <v>4500</v>
      </c>
      <c r="E651" s="2">
        <v>469</v>
      </c>
      <c r="F651" s="2">
        <v>48.9</v>
      </c>
      <c r="G651" s="2">
        <v>0</v>
      </c>
      <c r="H651" s="4">
        <f t="shared" si="50"/>
        <v>2.9952921767255871</v>
      </c>
      <c r="I651" s="4">
        <f t="shared" si="51"/>
        <v>8.4118326757584114</v>
      </c>
      <c r="J651" s="4">
        <f t="shared" si="52"/>
        <v>6.1506027684462792</v>
      </c>
      <c r="K651" s="4">
        <f t="shared" si="53"/>
        <v>48.9</v>
      </c>
      <c r="L651" s="4">
        <f t="shared" si="54"/>
        <v>0</v>
      </c>
    </row>
    <row r="652" spans="1:12" x14ac:dyDescent="0.35">
      <c r="A652" s="2" t="s">
        <v>555</v>
      </c>
      <c r="B652" s="2" t="s">
        <v>67</v>
      </c>
      <c r="C652" s="2">
        <v>19.991199999999999</v>
      </c>
      <c r="D652" s="2">
        <v>4500</v>
      </c>
      <c r="E652" s="2">
        <v>577</v>
      </c>
      <c r="F652" s="2">
        <v>48.9</v>
      </c>
      <c r="G652" s="2">
        <v>0</v>
      </c>
      <c r="H652" s="4">
        <f t="shared" si="50"/>
        <v>2.9952921767255871</v>
      </c>
      <c r="I652" s="4">
        <f t="shared" si="51"/>
        <v>8.4118326757584114</v>
      </c>
      <c r="J652" s="4">
        <f t="shared" si="52"/>
        <v>6.3578422665080998</v>
      </c>
      <c r="K652" s="4">
        <f t="shared" si="53"/>
        <v>48.9</v>
      </c>
      <c r="L652" s="4">
        <f t="shared" si="54"/>
        <v>0</v>
      </c>
    </row>
    <row r="653" spans="1:12" x14ac:dyDescent="0.35">
      <c r="A653" s="2" t="s">
        <v>556</v>
      </c>
      <c r="B653" s="2" t="s">
        <v>33</v>
      </c>
      <c r="C653" s="2">
        <v>27.637499999999999</v>
      </c>
      <c r="D653" s="2">
        <v>5000</v>
      </c>
      <c r="E653" s="2">
        <v>429</v>
      </c>
      <c r="F653" s="2">
        <v>53.1</v>
      </c>
      <c r="G653" s="2">
        <v>1</v>
      </c>
      <c r="H653" s="4">
        <f t="shared" si="50"/>
        <v>3.3191735461835647</v>
      </c>
      <c r="I653" s="4">
        <f t="shared" si="51"/>
        <v>8.5171931914162382</v>
      </c>
      <c r="J653" s="4">
        <f t="shared" si="52"/>
        <v>6.061456918928017</v>
      </c>
      <c r="K653" s="4">
        <f t="shared" si="53"/>
        <v>53.1</v>
      </c>
      <c r="L653" s="4">
        <f t="shared" si="54"/>
        <v>1</v>
      </c>
    </row>
    <row r="654" spans="1:12" x14ac:dyDescent="0.35">
      <c r="A654" s="2" t="s">
        <v>557</v>
      </c>
      <c r="B654" s="2" t="s">
        <v>33</v>
      </c>
      <c r="C654" s="2">
        <v>37.526699999999998</v>
      </c>
      <c r="D654" s="2">
        <v>4000</v>
      </c>
      <c r="E654" s="2">
        <v>221</v>
      </c>
      <c r="F654" s="2">
        <v>48.4</v>
      </c>
      <c r="G654" s="2">
        <v>1</v>
      </c>
      <c r="H654" s="4">
        <f t="shared" si="50"/>
        <v>3.6250526796246154</v>
      </c>
      <c r="I654" s="4">
        <f t="shared" si="51"/>
        <v>8.2940496401020276</v>
      </c>
      <c r="J654" s="4">
        <f t="shared" si="52"/>
        <v>5.3981627015177525</v>
      </c>
      <c r="K654" s="4">
        <f t="shared" si="53"/>
        <v>48.4</v>
      </c>
      <c r="L654" s="4">
        <f t="shared" si="54"/>
        <v>1</v>
      </c>
    </row>
    <row r="655" spans="1:12" x14ac:dyDescent="0.35">
      <c r="A655" s="2" t="s">
        <v>558</v>
      </c>
      <c r="B655" s="2" t="s">
        <v>33</v>
      </c>
      <c r="C655" s="2">
        <v>36.131500000000003</v>
      </c>
      <c r="D655" s="2">
        <v>4000</v>
      </c>
      <c r="E655" s="2">
        <v>221</v>
      </c>
      <c r="F655" s="2">
        <v>48.3</v>
      </c>
      <c r="G655" s="2">
        <v>1</v>
      </c>
      <c r="H655" s="4">
        <f t="shared" si="50"/>
        <v>3.5871650610428398</v>
      </c>
      <c r="I655" s="4">
        <f t="shared" si="51"/>
        <v>8.2940496401020276</v>
      </c>
      <c r="J655" s="4">
        <f t="shared" si="52"/>
        <v>5.3981627015177525</v>
      </c>
      <c r="K655" s="4">
        <f t="shared" si="53"/>
        <v>48.3</v>
      </c>
      <c r="L655" s="4">
        <f t="shared" si="54"/>
        <v>1</v>
      </c>
    </row>
    <row r="656" spans="1:12" x14ac:dyDescent="0.35">
      <c r="A656" s="2" t="s">
        <v>559</v>
      </c>
      <c r="B656" s="2" t="s">
        <v>33</v>
      </c>
      <c r="C656" s="2">
        <v>27.145099999999999</v>
      </c>
      <c r="D656" s="2">
        <v>5500</v>
      </c>
      <c r="E656" s="2">
        <v>496</v>
      </c>
      <c r="F656" s="2">
        <v>61.1</v>
      </c>
      <c r="G656" s="2">
        <v>1</v>
      </c>
      <c r="H656" s="4">
        <f t="shared" si="50"/>
        <v>3.3011965512703192</v>
      </c>
      <c r="I656" s="4">
        <f t="shared" si="51"/>
        <v>8.6125033712205621</v>
      </c>
      <c r="J656" s="4">
        <f t="shared" si="52"/>
        <v>6.2065759267249279</v>
      </c>
      <c r="K656" s="4">
        <f t="shared" si="53"/>
        <v>61.1</v>
      </c>
      <c r="L656" s="4">
        <f t="shared" si="54"/>
        <v>1</v>
      </c>
    </row>
    <row r="657" spans="1:12" x14ac:dyDescent="0.35">
      <c r="A657" s="2" t="s">
        <v>560</v>
      </c>
      <c r="B657" s="2" t="s">
        <v>33</v>
      </c>
      <c r="C657" s="2">
        <v>27.805399999999999</v>
      </c>
      <c r="D657" s="2">
        <v>5000</v>
      </c>
      <c r="E657" s="2">
        <v>496</v>
      </c>
      <c r="F657" s="2">
        <v>57.8</v>
      </c>
      <c r="G657" s="2">
        <v>1</v>
      </c>
      <c r="H657" s="4">
        <f t="shared" si="50"/>
        <v>3.3252302464378674</v>
      </c>
      <c r="I657" s="4">
        <f t="shared" si="51"/>
        <v>8.5171931914162382</v>
      </c>
      <c r="J657" s="4">
        <f t="shared" si="52"/>
        <v>6.2065759267249279</v>
      </c>
      <c r="K657" s="4">
        <f t="shared" si="53"/>
        <v>57.8</v>
      </c>
      <c r="L657" s="4">
        <f t="shared" si="54"/>
        <v>1</v>
      </c>
    </row>
    <row r="658" spans="1:12" x14ac:dyDescent="0.35">
      <c r="A658" s="2" t="s">
        <v>561</v>
      </c>
      <c r="B658" s="2" t="s">
        <v>67</v>
      </c>
      <c r="C658" s="2">
        <v>18.530200000000001</v>
      </c>
      <c r="D658" s="2">
        <v>5500</v>
      </c>
      <c r="E658" s="2">
        <v>621</v>
      </c>
      <c r="F658" s="2">
        <v>61.1</v>
      </c>
      <c r="G658" s="2">
        <v>0</v>
      </c>
      <c r="H658" s="4">
        <f t="shared" si="50"/>
        <v>2.9194018335471701</v>
      </c>
      <c r="I658" s="4">
        <f t="shared" si="51"/>
        <v>8.6125033712205621</v>
      </c>
      <c r="J658" s="4">
        <f t="shared" si="52"/>
        <v>6.4313310819334788</v>
      </c>
      <c r="K658" s="4">
        <f t="shared" si="53"/>
        <v>61.1</v>
      </c>
      <c r="L658" s="4">
        <f t="shared" si="54"/>
        <v>0</v>
      </c>
    </row>
    <row r="659" spans="1:12" x14ac:dyDescent="0.35">
      <c r="A659" s="2" t="s">
        <v>562</v>
      </c>
      <c r="B659" s="2" t="s">
        <v>33</v>
      </c>
      <c r="C659" s="2">
        <v>30.941299999999998</v>
      </c>
      <c r="D659" s="2">
        <v>6000</v>
      </c>
      <c r="E659" s="2">
        <v>362</v>
      </c>
      <c r="F659" s="2">
        <v>57.8</v>
      </c>
      <c r="G659" s="2">
        <v>1</v>
      </c>
      <c r="H659" s="4">
        <f t="shared" si="50"/>
        <v>3.4320918610689612</v>
      </c>
      <c r="I659" s="4">
        <f t="shared" si="51"/>
        <v>8.6995147482101913</v>
      </c>
      <c r="J659" s="4">
        <f t="shared" si="52"/>
        <v>5.8916442118257715</v>
      </c>
      <c r="K659" s="4">
        <f t="shared" si="53"/>
        <v>57.8</v>
      </c>
      <c r="L659" s="4">
        <f t="shared" si="54"/>
        <v>1</v>
      </c>
    </row>
    <row r="660" spans="1:12" x14ac:dyDescent="0.35">
      <c r="A660" s="2" t="s">
        <v>563</v>
      </c>
      <c r="B660" s="2" t="s">
        <v>67</v>
      </c>
      <c r="C660" s="2">
        <v>21.360800000000001</v>
      </c>
      <c r="D660" s="2">
        <v>3500</v>
      </c>
      <c r="E660" s="2">
        <v>740</v>
      </c>
      <c r="F660" s="2">
        <v>47.1</v>
      </c>
      <c r="G660" s="2">
        <v>0</v>
      </c>
      <c r="H660" s="4">
        <f t="shared" si="50"/>
        <v>3.0615574665741616</v>
      </c>
      <c r="I660" s="4">
        <f t="shared" si="51"/>
        <v>8.1605182474775049</v>
      </c>
      <c r="J660" s="4">
        <f t="shared" si="52"/>
        <v>6.6066501861982152</v>
      </c>
      <c r="K660" s="4">
        <f t="shared" si="53"/>
        <v>47.1</v>
      </c>
      <c r="L660" s="4">
        <f t="shared" si="54"/>
        <v>0</v>
      </c>
    </row>
    <row r="661" spans="1:12" x14ac:dyDescent="0.35">
      <c r="A661" s="2" t="s">
        <v>565</v>
      </c>
      <c r="B661" s="2" t="s">
        <v>67</v>
      </c>
      <c r="C661" s="2">
        <v>21.360800000000001</v>
      </c>
      <c r="D661" s="2">
        <v>3500</v>
      </c>
      <c r="E661" s="2">
        <v>740</v>
      </c>
      <c r="F661" s="2">
        <v>47.1</v>
      </c>
      <c r="G661" s="2">
        <v>0</v>
      </c>
      <c r="H661" s="4">
        <f t="shared" si="50"/>
        <v>3.0615574665741616</v>
      </c>
      <c r="I661" s="4">
        <f t="shared" si="51"/>
        <v>8.1605182474775049</v>
      </c>
      <c r="J661" s="4">
        <f t="shared" si="52"/>
        <v>6.6066501861982152</v>
      </c>
      <c r="K661" s="4">
        <f t="shared" si="53"/>
        <v>47.1</v>
      </c>
      <c r="L661" s="4">
        <f t="shared" si="54"/>
        <v>0</v>
      </c>
    </row>
    <row r="662" spans="1:12" x14ac:dyDescent="0.35">
      <c r="A662" s="2" t="s">
        <v>566</v>
      </c>
      <c r="B662" s="2" t="s">
        <v>33</v>
      </c>
      <c r="C662" s="2">
        <v>23.291699999999999</v>
      </c>
      <c r="D662" s="2">
        <v>3500</v>
      </c>
      <c r="E662" s="2">
        <v>577</v>
      </c>
      <c r="F662" s="2">
        <v>46.3</v>
      </c>
      <c r="G662" s="2">
        <v>1</v>
      </c>
      <c r="H662" s="4">
        <f t="shared" si="50"/>
        <v>3.1480970739331418</v>
      </c>
      <c r="I662" s="4">
        <f t="shared" si="51"/>
        <v>8.1605182474775049</v>
      </c>
      <c r="J662" s="4">
        <f t="shared" si="52"/>
        <v>6.3578422665080998</v>
      </c>
      <c r="K662" s="4">
        <f t="shared" si="53"/>
        <v>46.3</v>
      </c>
      <c r="L662" s="4">
        <f t="shared" si="54"/>
        <v>1</v>
      </c>
    </row>
    <row r="663" spans="1:12" x14ac:dyDescent="0.35">
      <c r="A663" s="2" t="s">
        <v>567</v>
      </c>
      <c r="B663" s="2" t="s">
        <v>67</v>
      </c>
      <c r="C663" s="2">
        <v>54.807299999999998</v>
      </c>
      <c r="D663" s="2">
        <v>2250</v>
      </c>
      <c r="E663" s="2">
        <v>78</v>
      </c>
      <c r="F663" s="2">
        <v>37.5</v>
      </c>
      <c r="G663" s="2">
        <v>0</v>
      </c>
      <c r="H663" s="4">
        <f t="shared" si="50"/>
        <v>4.0038233967609145</v>
      </c>
      <c r="I663" s="4">
        <f t="shared" si="51"/>
        <v>7.718685495198466</v>
      </c>
      <c r="J663" s="4">
        <f t="shared" si="52"/>
        <v>4.3567088266895917</v>
      </c>
      <c r="K663" s="4">
        <f t="shared" si="53"/>
        <v>37.5</v>
      </c>
      <c r="L663" s="4">
        <f t="shared" si="54"/>
        <v>0</v>
      </c>
    </row>
    <row r="664" spans="1:12" x14ac:dyDescent="0.35">
      <c r="A664" s="2" t="s">
        <v>569</v>
      </c>
      <c r="B664" s="2" t="s">
        <v>67</v>
      </c>
      <c r="C664" s="2">
        <v>52.628300000000003</v>
      </c>
      <c r="D664" s="2">
        <v>2500</v>
      </c>
      <c r="E664" s="2">
        <v>78</v>
      </c>
      <c r="F664" s="2">
        <v>39.5</v>
      </c>
      <c r="G664" s="2">
        <v>0</v>
      </c>
      <c r="H664" s="4">
        <f t="shared" si="50"/>
        <v>3.963253997874971</v>
      </c>
      <c r="I664" s="4">
        <f t="shared" si="51"/>
        <v>7.8240460108562919</v>
      </c>
      <c r="J664" s="4">
        <f t="shared" si="52"/>
        <v>4.3567088266895917</v>
      </c>
      <c r="K664" s="4">
        <f t="shared" si="53"/>
        <v>39.5</v>
      </c>
      <c r="L664" s="4">
        <f t="shared" si="54"/>
        <v>0</v>
      </c>
    </row>
    <row r="665" spans="1:12" x14ac:dyDescent="0.35">
      <c r="A665" s="2" t="s">
        <v>570</v>
      </c>
      <c r="B665" s="2" t="s">
        <v>33</v>
      </c>
      <c r="C665" s="2">
        <v>38.451300000000003</v>
      </c>
      <c r="D665" s="2">
        <v>5000</v>
      </c>
      <c r="E665" s="2">
        <v>131</v>
      </c>
      <c r="F665" s="2">
        <v>46.4</v>
      </c>
      <c r="G665" s="2">
        <v>1</v>
      </c>
      <c r="H665" s="4">
        <f t="shared" si="50"/>
        <v>3.6493925055231458</v>
      </c>
      <c r="I665" s="4">
        <f t="shared" si="51"/>
        <v>8.5171931914162382</v>
      </c>
      <c r="J665" s="4">
        <f t="shared" si="52"/>
        <v>4.8751973232011512</v>
      </c>
      <c r="K665" s="4">
        <f t="shared" si="53"/>
        <v>46.4</v>
      </c>
      <c r="L665" s="4">
        <f t="shared" si="54"/>
        <v>1</v>
      </c>
    </row>
    <row r="666" spans="1:12" x14ac:dyDescent="0.35">
      <c r="A666" s="2" t="s">
        <v>571</v>
      </c>
      <c r="B666" s="2" t="s">
        <v>67</v>
      </c>
      <c r="C666" s="2">
        <v>35.555</v>
      </c>
      <c r="D666" s="2">
        <v>3500</v>
      </c>
      <c r="E666" s="2">
        <v>148</v>
      </c>
      <c r="F666" s="2">
        <v>43.8</v>
      </c>
      <c r="G666" s="2">
        <v>0</v>
      </c>
      <c r="H666" s="4">
        <f t="shared" si="50"/>
        <v>3.5710807933354811</v>
      </c>
      <c r="I666" s="4">
        <f t="shared" si="51"/>
        <v>8.1605182474775049</v>
      </c>
      <c r="J666" s="4">
        <f t="shared" si="52"/>
        <v>4.9972122737641147</v>
      </c>
      <c r="K666" s="4">
        <f t="shared" si="53"/>
        <v>43.8</v>
      </c>
      <c r="L666" s="4">
        <f t="shared" si="54"/>
        <v>0</v>
      </c>
    </row>
    <row r="667" spans="1:12" x14ac:dyDescent="0.35">
      <c r="A667" s="2" t="s">
        <v>572</v>
      </c>
      <c r="B667" s="2" t="s">
        <v>67</v>
      </c>
      <c r="C667" s="2">
        <v>34.468400000000003</v>
      </c>
      <c r="D667" s="2">
        <v>3500</v>
      </c>
      <c r="E667" s="2">
        <v>148</v>
      </c>
      <c r="F667" s="2">
        <v>43.8</v>
      </c>
      <c r="G667" s="2">
        <v>0</v>
      </c>
      <c r="H667" s="4">
        <f t="shared" si="50"/>
        <v>3.5400429622771092</v>
      </c>
      <c r="I667" s="4">
        <f t="shared" si="51"/>
        <v>8.1605182474775049</v>
      </c>
      <c r="J667" s="4">
        <f t="shared" si="52"/>
        <v>4.9972122737641147</v>
      </c>
      <c r="K667" s="4">
        <f t="shared" si="53"/>
        <v>43.8</v>
      </c>
      <c r="L667" s="4">
        <f t="shared" si="54"/>
        <v>0</v>
      </c>
    </row>
    <row r="668" spans="1:12" x14ac:dyDescent="0.35">
      <c r="A668" s="2" t="s">
        <v>572</v>
      </c>
      <c r="B668" s="2" t="s">
        <v>67</v>
      </c>
      <c r="C668" s="2">
        <v>33.628799999999998</v>
      </c>
      <c r="D668" s="2">
        <v>3500</v>
      </c>
      <c r="E668" s="2">
        <v>168</v>
      </c>
      <c r="F668" s="2">
        <v>43.8</v>
      </c>
      <c r="G668" s="2">
        <v>0</v>
      </c>
      <c r="H668" s="4">
        <f t="shared" si="50"/>
        <v>3.5153828426891405</v>
      </c>
      <c r="I668" s="4">
        <f t="shared" si="51"/>
        <v>8.1605182474775049</v>
      </c>
      <c r="J668" s="4">
        <f t="shared" si="52"/>
        <v>5.1239639794032588</v>
      </c>
      <c r="K668" s="4">
        <f t="shared" si="53"/>
        <v>43.8</v>
      </c>
      <c r="L668" s="4">
        <f t="shared" si="54"/>
        <v>0</v>
      </c>
    </row>
    <row r="669" spans="1:12" x14ac:dyDescent="0.35">
      <c r="A669" s="2" t="s">
        <v>573</v>
      </c>
      <c r="B669" s="2" t="s">
        <v>67</v>
      </c>
      <c r="C669" s="2">
        <v>37.264400000000002</v>
      </c>
      <c r="D669" s="2">
        <v>3500</v>
      </c>
      <c r="E669" s="2">
        <v>152</v>
      </c>
      <c r="F669" s="2">
        <v>44.4</v>
      </c>
      <c r="G669" s="2">
        <v>0</v>
      </c>
      <c r="H669" s="4">
        <f t="shared" si="50"/>
        <v>3.6180384473050693</v>
      </c>
      <c r="I669" s="4">
        <f t="shared" si="51"/>
        <v>8.1605182474775049</v>
      </c>
      <c r="J669" s="4">
        <f t="shared" si="52"/>
        <v>5.0238805208462765</v>
      </c>
      <c r="K669" s="4">
        <f t="shared" si="53"/>
        <v>44.4</v>
      </c>
      <c r="L669" s="4">
        <f t="shared" si="54"/>
        <v>0</v>
      </c>
    </row>
    <row r="670" spans="1:12" x14ac:dyDescent="0.35">
      <c r="A670" s="2" t="s">
        <v>574</v>
      </c>
      <c r="B670" s="2" t="s">
        <v>67</v>
      </c>
      <c r="C670" s="2">
        <v>35.628799999999998</v>
      </c>
      <c r="D670" s="2">
        <v>4000</v>
      </c>
      <c r="E670" s="2">
        <v>152</v>
      </c>
      <c r="F670" s="2">
        <v>44.2</v>
      </c>
      <c r="G670" s="2">
        <v>0</v>
      </c>
      <c r="H670" s="4">
        <f t="shared" si="50"/>
        <v>3.5731542995669967</v>
      </c>
      <c r="I670" s="4">
        <f t="shared" si="51"/>
        <v>8.2940496401020276</v>
      </c>
      <c r="J670" s="4">
        <f t="shared" si="52"/>
        <v>5.0238805208462765</v>
      </c>
      <c r="K670" s="4">
        <f t="shared" si="53"/>
        <v>44.2</v>
      </c>
      <c r="L670" s="4">
        <f t="shared" si="54"/>
        <v>0</v>
      </c>
    </row>
    <row r="671" spans="1:12" x14ac:dyDescent="0.35">
      <c r="A671" s="2" t="s">
        <v>575</v>
      </c>
      <c r="B671" s="2" t="s">
        <v>67</v>
      </c>
      <c r="C671" s="2">
        <v>36.933399999999999</v>
      </c>
      <c r="D671" s="2">
        <v>3500</v>
      </c>
      <c r="E671" s="2">
        <v>152</v>
      </c>
      <c r="F671" s="2">
        <v>44.2</v>
      </c>
      <c r="G671" s="2">
        <v>0</v>
      </c>
      <c r="H671" s="4">
        <f t="shared" si="50"/>
        <v>3.6091162906975964</v>
      </c>
      <c r="I671" s="4">
        <f t="shared" si="51"/>
        <v>8.1605182474775049</v>
      </c>
      <c r="J671" s="4">
        <f t="shared" si="52"/>
        <v>5.0238805208462765</v>
      </c>
      <c r="K671" s="4">
        <f t="shared" si="53"/>
        <v>44.2</v>
      </c>
      <c r="L671" s="4">
        <f t="shared" si="54"/>
        <v>0</v>
      </c>
    </row>
    <row r="672" spans="1:12" x14ac:dyDescent="0.35">
      <c r="A672" s="2" t="s">
        <v>576</v>
      </c>
      <c r="B672" s="2" t="s">
        <v>67</v>
      </c>
      <c r="C672" s="2">
        <v>48.709699999999998</v>
      </c>
      <c r="D672" s="2">
        <v>3000</v>
      </c>
      <c r="E672" s="2">
        <v>122</v>
      </c>
      <c r="F672" s="2">
        <v>42.5</v>
      </c>
      <c r="G672" s="2">
        <v>0</v>
      </c>
      <c r="H672" s="4">
        <f t="shared" si="50"/>
        <v>3.8858781888998752</v>
      </c>
      <c r="I672" s="4">
        <f t="shared" si="51"/>
        <v>8.0063675676502459</v>
      </c>
      <c r="J672" s="4">
        <f t="shared" si="52"/>
        <v>4.8040210447332568</v>
      </c>
      <c r="K672" s="4">
        <f t="shared" si="53"/>
        <v>42.5</v>
      </c>
      <c r="L672" s="4">
        <f t="shared" si="54"/>
        <v>0</v>
      </c>
    </row>
    <row r="673" spans="1:12" x14ac:dyDescent="0.35">
      <c r="A673" s="2" t="s">
        <v>576</v>
      </c>
      <c r="B673" s="2" t="s">
        <v>67</v>
      </c>
      <c r="C673" s="2">
        <v>42.065899999999999</v>
      </c>
      <c r="D673" s="2">
        <v>2750</v>
      </c>
      <c r="E673" s="2">
        <v>122</v>
      </c>
      <c r="F673" s="2">
        <v>42.5</v>
      </c>
      <c r="G673" s="2">
        <v>0</v>
      </c>
      <c r="H673" s="4">
        <f t="shared" si="50"/>
        <v>3.7392374362333052</v>
      </c>
      <c r="I673" s="4">
        <f t="shared" si="51"/>
        <v>7.9193561906606167</v>
      </c>
      <c r="J673" s="4">
        <f t="shared" si="52"/>
        <v>4.8040210447332568</v>
      </c>
      <c r="K673" s="4">
        <f t="shared" si="53"/>
        <v>42.5</v>
      </c>
      <c r="L673" s="4">
        <f t="shared" si="54"/>
        <v>0</v>
      </c>
    </row>
    <row r="674" spans="1:12" x14ac:dyDescent="0.35">
      <c r="A674" s="2" t="s">
        <v>578</v>
      </c>
      <c r="B674" s="2" t="s">
        <v>67</v>
      </c>
      <c r="C674" s="2">
        <v>49.5839</v>
      </c>
      <c r="D674" s="2">
        <v>3500</v>
      </c>
      <c r="E674" s="2">
        <v>149</v>
      </c>
      <c r="F674" s="2">
        <v>45.7</v>
      </c>
      <c r="G674" s="2">
        <v>0</v>
      </c>
      <c r="H674" s="4">
        <f t="shared" si="50"/>
        <v>3.9036661842637526</v>
      </c>
      <c r="I674" s="4">
        <f t="shared" si="51"/>
        <v>8.1605182474775049</v>
      </c>
      <c r="J674" s="4">
        <f t="shared" si="52"/>
        <v>5.0039463059454592</v>
      </c>
      <c r="K674" s="4">
        <f t="shared" si="53"/>
        <v>45.7</v>
      </c>
      <c r="L674" s="4">
        <f t="shared" si="54"/>
        <v>0</v>
      </c>
    </row>
    <row r="675" spans="1:12" x14ac:dyDescent="0.35">
      <c r="A675" s="2" t="s">
        <v>579</v>
      </c>
      <c r="B675" s="2" t="s">
        <v>67</v>
      </c>
      <c r="C675" s="2">
        <v>43.063299999999998</v>
      </c>
      <c r="D675" s="2">
        <v>3500</v>
      </c>
      <c r="E675" s="2">
        <v>188</v>
      </c>
      <c r="F675" s="2">
        <v>49.1</v>
      </c>
      <c r="G675" s="2">
        <v>0</v>
      </c>
      <c r="H675" s="4">
        <f t="shared" si="50"/>
        <v>3.7626711262500812</v>
      </c>
      <c r="I675" s="4">
        <f t="shared" si="51"/>
        <v>8.1605182474775049</v>
      </c>
      <c r="J675" s="4">
        <f t="shared" si="52"/>
        <v>5.2364419628299492</v>
      </c>
      <c r="K675" s="4">
        <f t="shared" si="53"/>
        <v>49.1</v>
      </c>
      <c r="L675" s="4">
        <f t="shared" si="54"/>
        <v>0</v>
      </c>
    </row>
    <row r="676" spans="1:12" x14ac:dyDescent="0.35">
      <c r="A676" s="2" t="s">
        <v>580</v>
      </c>
      <c r="B676" s="2" t="s">
        <v>67</v>
      </c>
      <c r="C676" s="2">
        <v>40.201700000000002</v>
      </c>
      <c r="D676" s="2">
        <v>3500</v>
      </c>
      <c r="E676" s="2">
        <v>182</v>
      </c>
      <c r="F676" s="2">
        <v>48.8</v>
      </c>
      <c r="G676" s="2">
        <v>0</v>
      </c>
      <c r="H676" s="4">
        <f t="shared" si="50"/>
        <v>3.6939092832880536</v>
      </c>
      <c r="I676" s="4">
        <f t="shared" si="51"/>
        <v>8.1605182474775049</v>
      </c>
      <c r="J676" s="4">
        <f t="shared" si="52"/>
        <v>5.2040066870767951</v>
      </c>
      <c r="K676" s="4">
        <f t="shared" si="53"/>
        <v>48.8</v>
      </c>
      <c r="L676" s="4">
        <f t="shared" si="54"/>
        <v>0</v>
      </c>
    </row>
    <row r="677" spans="1:12" x14ac:dyDescent="0.35">
      <c r="A677" s="2" t="s">
        <v>581</v>
      </c>
      <c r="B677" s="2" t="s">
        <v>67</v>
      </c>
      <c r="C677" s="2">
        <v>45.6571</v>
      </c>
      <c r="D677" s="2">
        <v>3000</v>
      </c>
      <c r="E677" s="2">
        <v>122</v>
      </c>
      <c r="F677" s="2">
        <v>43</v>
      </c>
      <c r="G677" s="2">
        <v>0</v>
      </c>
      <c r="H677" s="4">
        <f t="shared" si="50"/>
        <v>3.8211591261630242</v>
      </c>
      <c r="I677" s="4">
        <f t="shared" si="51"/>
        <v>8.0063675676502459</v>
      </c>
      <c r="J677" s="4">
        <f t="shared" si="52"/>
        <v>4.8040210447332568</v>
      </c>
      <c r="K677" s="4">
        <f t="shared" si="53"/>
        <v>43</v>
      </c>
      <c r="L677" s="4">
        <f t="shared" si="54"/>
        <v>0</v>
      </c>
    </row>
    <row r="678" spans="1:12" x14ac:dyDescent="0.35">
      <c r="A678" s="2" t="s">
        <v>582</v>
      </c>
      <c r="B678" s="2" t="s">
        <v>67</v>
      </c>
      <c r="C678" s="2">
        <v>47.761499999999998</v>
      </c>
      <c r="D678" s="2">
        <v>3500</v>
      </c>
      <c r="E678" s="2">
        <v>149</v>
      </c>
      <c r="F678" s="2">
        <v>46</v>
      </c>
      <c r="G678" s="2">
        <v>0</v>
      </c>
      <c r="H678" s="4">
        <f t="shared" si="50"/>
        <v>3.866219875626332</v>
      </c>
      <c r="I678" s="4">
        <f t="shared" si="51"/>
        <v>8.1605182474775049</v>
      </c>
      <c r="J678" s="4">
        <f t="shared" si="52"/>
        <v>5.0039463059454592</v>
      </c>
      <c r="K678" s="4">
        <f t="shared" si="53"/>
        <v>46</v>
      </c>
      <c r="L678" s="4">
        <f t="shared" si="54"/>
        <v>0</v>
      </c>
    </row>
    <row r="679" spans="1:12" x14ac:dyDescent="0.35">
      <c r="A679" s="2" t="s">
        <v>583</v>
      </c>
      <c r="B679" s="2" t="s">
        <v>67</v>
      </c>
      <c r="C679" s="2">
        <v>26.7332</v>
      </c>
      <c r="D679" s="2">
        <v>4000</v>
      </c>
      <c r="E679" s="2">
        <v>400</v>
      </c>
      <c r="F679" s="2">
        <v>42.8</v>
      </c>
      <c r="G679" s="2">
        <v>0</v>
      </c>
      <c r="H679" s="4">
        <f t="shared" si="50"/>
        <v>3.2859062386607492</v>
      </c>
      <c r="I679" s="4">
        <f t="shared" si="51"/>
        <v>8.2940496401020276</v>
      </c>
      <c r="J679" s="4">
        <f t="shared" si="52"/>
        <v>5.9914645471079817</v>
      </c>
      <c r="K679" s="4">
        <f t="shared" si="53"/>
        <v>42.8</v>
      </c>
      <c r="L679" s="4">
        <f t="shared" si="54"/>
        <v>0</v>
      </c>
    </row>
    <row r="680" spans="1:12" x14ac:dyDescent="0.35">
      <c r="A680" s="2" t="s">
        <v>583</v>
      </c>
      <c r="B680" s="2" t="s">
        <v>67</v>
      </c>
      <c r="C680" s="2">
        <v>30.097300000000001</v>
      </c>
      <c r="D680" s="2">
        <v>4000</v>
      </c>
      <c r="E680" s="2">
        <v>400</v>
      </c>
      <c r="F680" s="2">
        <v>42.8</v>
      </c>
      <c r="G680" s="2">
        <v>0</v>
      </c>
      <c r="H680" s="4">
        <f t="shared" si="50"/>
        <v>3.4044354667347774</v>
      </c>
      <c r="I680" s="4">
        <f t="shared" si="51"/>
        <v>8.2940496401020276</v>
      </c>
      <c r="J680" s="4">
        <f t="shared" si="52"/>
        <v>5.9914645471079817</v>
      </c>
      <c r="K680" s="4">
        <f t="shared" si="53"/>
        <v>42.8</v>
      </c>
      <c r="L680" s="4">
        <f t="shared" si="54"/>
        <v>0</v>
      </c>
    </row>
    <row r="681" spans="1:12" x14ac:dyDescent="0.35">
      <c r="A681" s="2" t="s">
        <v>584</v>
      </c>
      <c r="B681" s="2" t="s">
        <v>67</v>
      </c>
      <c r="C681" s="2">
        <v>27.3035</v>
      </c>
      <c r="D681" s="2">
        <v>4000</v>
      </c>
      <c r="E681" s="2">
        <v>420</v>
      </c>
      <c r="F681" s="2">
        <v>43.2</v>
      </c>
      <c r="G681" s="2">
        <v>0</v>
      </c>
      <c r="H681" s="4">
        <f t="shared" si="50"/>
        <v>3.307014899101544</v>
      </c>
      <c r="I681" s="4">
        <f t="shared" si="51"/>
        <v>8.2940496401020276</v>
      </c>
      <c r="J681" s="4">
        <f t="shared" si="52"/>
        <v>6.0402547112774139</v>
      </c>
      <c r="K681" s="4">
        <f t="shared" si="53"/>
        <v>43.2</v>
      </c>
      <c r="L681" s="4">
        <f t="shared" si="54"/>
        <v>0</v>
      </c>
    </row>
    <row r="682" spans="1:12" x14ac:dyDescent="0.35">
      <c r="A682" s="2" t="s">
        <v>585</v>
      </c>
      <c r="B682" s="2" t="s">
        <v>67</v>
      </c>
      <c r="C682" s="2">
        <v>23.459900000000001</v>
      </c>
      <c r="D682" s="2">
        <v>4000</v>
      </c>
      <c r="E682" s="2">
        <v>565</v>
      </c>
      <c r="F682" s="2">
        <v>47.7</v>
      </c>
      <c r="G682" s="2">
        <v>0</v>
      </c>
      <c r="H682" s="4">
        <f t="shared" si="50"/>
        <v>3.1552925806416496</v>
      </c>
      <c r="I682" s="4">
        <f t="shared" si="51"/>
        <v>8.2940496401020276</v>
      </c>
      <c r="J682" s="4">
        <f t="shared" si="52"/>
        <v>6.3368257311464413</v>
      </c>
      <c r="K682" s="4">
        <f t="shared" si="53"/>
        <v>47.7</v>
      </c>
      <c r="L682" s="4">
        <f t="shared" si="54"/>
        <v>0</v>
      </c>
    </row>
    <row r="683" spans="1:12" x14ac:dyDescent="0.35">
      <c r="A683" s="2" t="s">
        <v>586</v>
      </c>
      <c r="B683" s="2" t="s">
        <v>67</v>
      </c>
      <c r="C683" s="2">
        <v>31.127400000000002</v>
      </c>
      <c r="D683" s="2">
        <v>4000</v>
      </c>
      <c r="E683" s="2">
        <v>260</v>
      </c>
      <c r="F683" s="2">
        <v>49.9</v>
      </c>
      <c r="G683" s="2">
        <v>0</v>
      </c>
      <c r="H683" s="4">
        <f t="shared" si="50"/>
        <v>3.4380884602459041</v>
      </c>
      <c r="I683" s="4">
        <f t="shared" si="51"/>
        <v>8.2940496401020276</v>
      </c>
      <c r="J683" s="4">
        <f t="shared" si="52"/>
        <v>5.5606816310155276</v>
      </c>
      <c r="K683" s="4">
        <f t="shared" si="53"/>
        <v>49.9</v>
      </c>
      <c r="L683" s="4">
        <f t="shared" si="54"/>
        <v>0</v>
      </c>
    </row>
    <row r="684" spans="1:12" x14ac:dyDescent="0.35">
      <c r="A684" s="2" t="s">
        <v>587</v>
      </c>
      <c r="B684" s="2" t="s">
        <v>67</v>
      </c>
      <c r="C684" s="2">
        <v>29.790900000000001</v>
      </c>
      <c r="D684" s="2">
        <v>4500</v>
      </c>
      <c r="E684" s="2">
        <v>260</v>
      </c>
      <c r="F684" s="2">
        <v>49.9</v>
      </c>
      <c r="G684" s="2">
        <v>0</v>
      </c>
      <c r="H684" s="4">
        <f t="shared" si="50"/>
        <v>3.3942029777491958</v>
      </c>
      <c r="I684" s="4">
        <f t="shared" si="51"/>
        <v>8.4118326757584114</v>
      </c>
      <c r="J684" s="4">
        <f t="shared" si="52"/>
        <v>5.5606816310155276</v>
      </c>
      <c r="K684" s="4">
        <f t="shared" si="53"/>
        <v>49.9</v>
      </c>
      <c r="L684" s="4">
        <f t="shared" si="54"/>
        <v>0</v>
      </c>
    </row>
    <row r="685" spans="1:12" x14ac:dyDescent="0.35">
      <c r="A685" s="2" t="s">
        <v>588</v>
      </c>
      <c r="B685" s="2" t="s">
        <v>67</v>
      </c>
      <c r="C685" s="2">
        <v>38.621499999999997</v>
      </c>
      <c r="D685" s="2">
        <v>3500</v>
      </c>
      <c r="E685" s="2">
        <v>239</v>
      </c>
      <c r="F685" s="2">
        <v>48.5</v>
      </c>
      <c r="G685" s="2">
        <v>0</v>
      </c>
      <c r="H685" s="4">
        <f t="shared" si="50"/>
        <v>3.6538091162254012</v>
      </c>
      <c r="I685" s="4">
        <f t="shared" si="51"/>
        <v>8.1605182474775049</v>
      </c>
      <c r="J685" s="4">
        <f t="shared" si="52"/>
        <v>5.476463551931511</v>
      </c>
      <c r="K685" s="4">
        <f t="shared" si="53"/>
        <v>48.5</v>
      </c>
      <c r="L685" s="4">
        <f t="shared" si="54"/>
        <v>0</v>
      </c>
    </row>
    <row r="686" spans="1:12" x14ac:dyDescent="0.35">
      <c r="A686" s="2" t="s">
        <v>589</v>
      </c>
      <c r="B686" s="2" t="s">
        <v>67</v>
      </c>
      <c r="C686" s="2">
        <v>42.265599999999999</v>
      </c>
      <c r="D686" s="2">
        <v>3500</v>
      </c>
      <c r="E686" s="2">
        <v>188</v>
      </c>
      <c r="F686" s="2">
        <v>48.5</v>
      </c>
      <c r="G686" s="2">
        <v>0</v>
      </c>
      <c r="H686" s="4">
        <f t="shared" si="50"/>
        <v>3.7439735164235075</v>
      </c>
      <c r="I686" s="4">
        <f t="shared" si="51"/>
        <v>8.1605182474775049</v>
      </c>
      <c r="J686" s="4">
        <f t="shared" si="52"/>
        <v>5.2364419628299492</v>
      </c>
      <c r="K686" s="4">
        <f t="shared" si="53"/>
        <v>48.5</v>
      </c>
      <c r="L686" s="4">
        <f t="shared" si="54"/>
        <v>0</v>
      </c>
    </row>
    <row r="687" spans="1:12" x14ac:dyDescent="0.35">
      <c r="A687" s="2" t="s">
        <v>590</v>
      </c>
      <c r="B687" s="2" t="s">
        <v>67</v>
      </c>
      <c r="C687" s="2">
        <v>47.207900000000002</v>
      </c>
      <c r="D687" s="2">
        <v>3500</v>
      </c>
      <c r="E687" s="2">
        <v>201</v>
      </c>
      <c r="F687" s="2">
        <v>46.2</v>
      </c>
      <c r="G687" s="2">
        <v>0</v>
      </c>
      <c r="H687" s="4">
        <f t="shared" si="50"/>
        <v>3.8545612514675875</v>
      </c>
      <c r="I687" s="4">
        <f t="shared" si="51"/>
        <v>8.1605182474775049</v>
      </c>
      <c r="J687" s="4">
        <f t="shared" si="52"/>
        <v>5.3033049080590757</v>
      </c>
      <c r="K687" s="4">
        <f t="shared" si="53"/>
        <v>46.2</v>
      </c>
      <c r="L687" s="4">
        <f t="shared" si="54"/>
        <v>0</v>
      </c>
    </row>
    <row r="688" spans="1:12" x14ac:dyDescent="0.35">
      <c r="A688" s="2" t="s">
        <v>591</v>
      </c>
      <c r="B688" s="2" t="s">
        <v>67</v>
      </c>
      <c r="C688" s="2">
        <v>45.831600000000002</v>
      </c>
      <c r="D688" s="2">
        <v>4000</v>
      </c>
      <c r="E688" s="2">
        <v>201</v>
      </c>
      <c r="F688" s="2">
        <v>46.2</v>
      </c>
      <c r="G688" s="2">
        <v>0</v>
      </c>
      <c r="H688" s="4">
        <f t="shared" si="50"/>
        <v>3.8249738095415728</v>
      </c>
      <c r="I688" s="4">
        <f t="shared" si="51"/>
        <v>8.2940496401020276</v>
      </c>
      <c r="J688" s="4">
        <f t="shared" si="52"/>
        <v>5.3033049080590757</v>
      </c>
      <c r="K688" s="4">
        <f t="shared" si="53"/>
        <v>46.2</v>
      </c>
      <c r="L688" s="4">
        <f t="shared" si="54"/>
        <v>0</v>
      </c>
    </row>
    <row r="689" spans="1:12" x14ac:dyDescent="0.35">
      <c r="A689" s="2" t="s">
        <v>592</v>
      </c>
      <c r="B689" s="2" t="s">
        <v>67</v>
      </c>
      <c r="C689" s="2">
        <v>46.333799999999997</v>
      </c>
      <c r="D689" s="2">
        <v>4000</v>
      </c>
      <c r="E689" s="2">
        <v>201</v>
      </c>
      <c r="F689" s="2">
        <v>46.2</v>
      </c>
      <c r="G689" s="2">
        <v>0</v>
      </c>
      <c r="H689" s="4">
        <f t="shared" si="50"/>
        <v>3.8358717163543066</v>
      </c>
      <c r="I689" s="4">
        <f t="shared" si="51"/>
        <v>8.2940496401020276</v>
      </c>
      <c r="J689" s="4">
        <f t="shared" si="52"/>
        <v>5.3033049080590757</v>
      </c>
      <c r="K689" s="4">
        <f t="shared" si="53"/>
        <v>46.2</v>
      </c>
      <c r="L689" s="4">
        <f t="shared" si="54"/>
        <v>0</v>
      </c>
    </row>
    <row r="690" spans="1:12" x14ac:dyDescent="0.35">
      <c r="A690" s="2" t="s">
        <v>593</v>
      </c>
      <c r="B690" s="2" t="s">
        <v>67</v>
      </c>
      <c r="C690" s="2">
        <v>44.261200000000002</v>
      </c>
      <c r="D690" s="2">
        <v>4000</v>
      </c>
      <c r="E690" s="2">
        <v>201</v>
      </c>
      <c r="F690" s="2">
        <v>46.2</v>
      </c>
      <c r="G690" s="2">
        <v>0</v>
      </c>
      <c r="H690" s="4">
        <f t="shared" si="50"/>
        <v>3.7901084467723112</v>
      </c>
      <c r="I690" s="4">
        <f t="shared" si="51"/>
        <v>8.2940496401020276</v>
      </c>
      <c r="J690" s="4">
        <f t="shared" si="52"/>
        <v>5.3033049080590757</v>
      </c>
      <c r="K690" s="4">
        <f t="shared" si="53"/>
        <v>46.2</v>
      </c>
      <c r="L690" s="4">
        <f t="shared" si="54"/>
        <v>0</v>
      </c>
    </row>
    <row r="691" spans="1:12" x14ac:dyDescent="0.35">
      <c r="A691" s="2" t="s">
        <v>594</v>
      </c>
      <c r="B691" s="2" t="s">
        <v>67</v>
      </c>
      <c r="C691" s="2">
        <v>27.698899999999998</v>
      </c>
      <c r="D691" s="2">
        <v>4500</v>
      </c>
      <c r="E691" s="2">
        <v>310</v>
      </c>
      <c r="F691" s="2">
        <v>54.1</v>
      </c>
      <c r="G691" s="2">
        <v>0</v>
      </c>
      <c r="H691" s="4">
        <f t="shared" si="50"/>
        <v>3.3213927012134468</v>
      </c>
      <c r="I691" s="4">
        <f t="shared" si="51"/>
        <v>8.4118326757584114</v>
      </c>
      <c r="J691" s="4">
        <f t="shared" si="52"/>
        <v>5.7365722974791922</v>
      </c>
      <c r="K691" s="4">
        <f t="shared" si="53"/>
        <v>54.1</v>
      </c>
      <c r="L691" s="4">
        <f t="shared" si="54"/>
        <v>0</v>
      </c>
    </row>
    <row r="692" spans="1:12" x14ac:dyDescent="0.35">
      <c r="A692" s="2" t="s">
        <v>595</v>
      </c>
      <c r="B692" s="2" t="s">
        <v>67</v>
      </c>
      <c r="C692" s="2">
        <v>26.586400000000001</v>
      </c>
      <c r="D692" s="2">
        <v>5000</v>
      </c>
      <c r="E692" s="2">
        <v>310</v>
      </c>
      <c r="F692" s="2">
        <v>54.1</v>
      </c>
      <c r="G692" s="2">
        <v>0</v>
      </c>
      <c r="H692" s="4">
        <f t="shared" si="50"/>
        <v>3.2803998068449007</v>
      </c>
      <c r="I692" s="4">
        <f t="shared" si="51"/>
        <v>8.5171931914162382</v>
      </c>
      <c r="J692" s="4">
        <f t="shared" si="52"/>
        <v>5.7365722974791922</v>
      </c>
      <c r="K692" s="4">
        <f t="shared" si="53"/>
        <v>54.1</v>
      </c>
      <c r="L692" s="4">
        <f t="shared" si="54"/>
        <v>0</v>
      </c>
    </row>
    <row r="693" spans="1:12" x14ac:dyDescent="0.35">
      <c r="A693" s="2" t="s">
        <v>596</v>
      </c>
      <c r="B693" s="2" t="s">
        <v>67</v>
      </c>
      <c r="C693" s="2">
        <v>25.8309</v>
      </c>
      <c r="D693" s="2">
        <v>5000</v>
      </c>
      <c r="E693" s="2">
        <v>310</v>
      </c>
      <c r="F693" s="2">
        <v>54.1</v>
      </c>
      <c r="G693" s="2">
        <v>0</v>
      </c>
      <c r="H693" s="4">
        <f t="shared" si="50"/>
        <v>3.2515714497063137</v>
      </c>
      <c r="I693" s="4">
        <f t="shared" si="51"/>
        <v>8.5171931914162382</v>
      </c>
      <c r="J693" s="4">
        <f t="shared" si="52"/>
        <v>5.7365722974791922</v>
      </c>
      <c r="K693" s="4">
        <f t="shared" si="53"/>
        <v>54.1</v>
      </c>
      <c r="L693" s="4">
        <f t="shared" si="54"/>
        <v>0</v>
      </c>
    </row>
    <row r="694" spans="1:12" x14ac:dyDescent="0.35">
      <c r="A694" s="2" t="s">
        <v>597</v>
      </c>
      <c r="B694" s="2" t="s">
        <v>67</v>
      </c>
      <c r="C694" s="2">
        <v>21.146699999999999</v>
      </c>
      <c r="D694" s="2">
        <v>6000</v>
      </c>
      <c r="E694" s="2">
        <v>400</v>
      </c>
      <c r="F694" s="2">
        <v>56.9</v>
      </c>
      <c r="G694" s="2">
        <v>0</v>
      </c>
      <c r="H694" s="4">
        <f t="shared" si="50"/>
        <v>3.0514838649498004</v>
      </c>
      <c r="I694" s="4">
        <f t="shared" si="51"/>
        <v>8.6995147482101913</v>
      </c>
      <c r="J694" s="4">
        <f t="shared" si="52"/>
        <v>5.9914645471079817</v>
      </c>
      <c r="K694" s="4">
        <f t="shared" si="53"/>
        <v>56.9</v>
      </c>
      <c r="L694" s="4">
        <f t="shared" si="54"/>
        <v>0</v>
      </c>
    </row>
    <row r="695" spans="1:12" x14ac:dyDescent="0.35">
      <c r="A695" s="2" t="s">
        <v>598</v>
      </c>
      <c r="B695" s="2" t="s">
        <v>67</v>
      </c>
      <c r="C695" s="2">
        <v>20.120100000000001</v>
      </c>
      <c r="D695" s="2">
        <v>6000</v>
      </c>
      <c r="E695" s="2">
        <v>400</v>
      </c>
      <c r="F695" s="2">
        <v>56.9</v>
      </c>
      <c r="G695" s="2">
        <v>0</v>
      </c>
      <c r="H695" s="4">
        <f t="shared" si="50"/>
        <v>3.0017193153981134</v>
      </c>
      <c r="I695" s="4">
        <f t="shared" si="51"/>
        <v>8.6995147482101913</v>
      </c>
      <c r="J695" s="4">
        <f t="shared" si="52"/>
        <v>5.9914645471079817</v>
      </c>
      <c r="K695" s="4">
        <f t="shared" si="53"/>
        <v>56.9</v>
      </c>
      <c r="L695" s="4">
        <f t="shared" si="54"/>
        <v>0</v>
      </c>
    </row>
    <row r="696" spans="1:12" x14ac:dyDescent="0.35">
      <c r="A696" s="2" t="s">
        <v>599</v>
      </c>
      <c r="B696" s="2" t="s">
        <v>67</v>
      </c>
      <c r="C696" s="2">
        <v>22.581399999999999</v>
      </c>
      <c r="D696" s="2">
        <v>6000</v>
      </c>
      <c r="E696" s="2">
        <v>400</v>
      </c>
      <c r="F696" s="2">
        <v>65.900000000000006</v>
      </c>
      <c r="G696" s="2">
        <v>0</v>
      </c>
      <c r="H696" s="4">
        <f t="shared" si="50"/>
        <v>3.1171265585709649</v>
      </c>
      <c r="I696" s="4">
        <f t="shared" si="51"/>
        <v>8.6995147482101913</v>
      </c>
      <c r="J696" s="4">
        <f t="shared" si="52"/>
        <v>5.9914645471079817</v>
      </c>
      <c r="K696" s="4">
        <f t="shared" si="53"/>
        <v>65.900000000000006</v>
      </c>
      <c r="L696" s="4">
        <f t="shared" si="54"/>
        <v>0</v>
      </c>
    </row>
    <row r="697" spans="1:12" x14ac:dyDescent="0.35">
      <c r="A697" s="2" t="s">
        <v>600</v>
      </c>
      <c r="B697" s="2" t="s">
        <v>67</v>
      </c>
      <c r="C697" s="2">
        <v>22.172799999999999</v>
      </c>
      <c r="D697" s="2">
        <v>6000</v>
      </c>
      <c r="E697" s="2">
        <v>400</v>
      </c>
      <c r="F697" s="2">
        <v>65.900000000000006</v>
      </c>
      <c r="G697" s="2">
        <v>0</v>
      </c>
      <c r="H697" s="4">
        <f t="shared" si="50"/>
        <v>3.0988663124509248</v>
      </c>
      <c r="I697" s="4">
        <f t="shared" si="51"/>
        <v>8.6995147482101913</v>
      </c>
      <c r="J697" s="4">
        <f t="shared" si="52"/>
        <v>5.9914645471079817</v>
      </c>
      <c r="K697" s="4">
        <f t="shared" si="53"/>
        <v>65.900000000000006</v>
      </c>
      <c r="L697" s="4">
        <f t="shared" si="54"/>
        <v>0</v>
      </c>
    </row>
    <row r="698" spans="1:12" x14ac:dyDescent="0.35">
      <c r="A698" s="2" t="s">
        <v>601</v>
      </c>
      <c r="B698" s="2" t="s">
        <v>67</v>
      </c>
      <c r="C698" s="2">
        <v>20.923100000000002</v>
      </c>
      <c r="D698" s="2">
        <v>6000</v>
      </c>
      <c r="E698" s="2">
        <v>400</v>
      </c>
      <c r="F698" s="2">
        <v>66.099999999999994</v>
      </c>
      <c r="G698" s="2">
        <v>0</v>
      </c>
      <c r="H698" s="4">
        <f t="shared" si="50"/>
        <v>3.0408538117750288</v>
      </c>
      <c r="I698" s="4">
        <f t="shared" si="51"/>
        <v>8.6995147482101913</v>
      </c>
      <c r="J698" s="4">
        <f t="shared" si="52"/>
        <v>5.9914645471079817</v>
      </c>
      <c r="K698" s="4">
        <f t="shared" si="53"/>
        <v>66.099999999999994</v>
      </c>
      <c r="L698" s="4">
        <f t="shared" si="54"/>
        <v>0</v>
      </c>
    </row>
    <row r="699" spans="1:12" x14ac:dyDescent="0.35">
      <c r="A699" s="2" t="s">
        <v>602</v>
      </c>
      <c r="B699" s="2" t="s">
        <v>67</v>
      </c>
      <c r="C699" s="2">
        <v>30.575700000000001</v>
      </c>
      <c r="D699" s="2">
        <v>4500</v>
      </c>
      <c r="E699" s="2">
        <v>284</v>
      </c>
      <c r="F699" s="2">
        <v>53.1</v>
      </c>
      <c r="G699" s="2">
        <v>0</v>
      </c>
      <c r="H699" s="4">
        <f t="shared" si="50"/>
        <v>3.4202055758328287</v>
      </c>
      <c r="I699" s="4">
        <f t="shared" si="51"/>
        <v>8.4118326757584114</v>
      </c>
      <c r="J699" s="4">
        <f t="shared" si="52"/>
        <v>5.6489742381612063</v>
      </c>
      <c r="K699" s="4">
        <f t="shared" si="53"/>
        <v>53.1</v>
      </c>
      <c r="L699" s="4">
        <f t="shared" si="54"/>
        <v>0</v>
      </c>
    </row>
    <row r="700" spans="1:12" x14ac:dyDescent="0.35">
      <c r="A700" s="2" t="s">
        <v>603</v>
      </c>
      <c r="B700" s="2" t="s">
        <v>67</v>
      </c>
      <c r="C700" s="2">
        <v>31.535399999999999</v>
      </c>
      <c r="D700" s="2">
        <v>4500</v>
      </c>
      <c r="E700" s="2">
        <v>284</v>
      </c>
      <c r="F700" s="2">
        <v>53.1</v>
      </c>
      <c r="G700" s="2">
        <v>0</v>
      </c>
      <c r="H700" s="4">
        <f t="shared" si="50"/>
        <v>3.4511107243541796</v>
      </c>
      <c r="I700" s="4">
        <f t="shared" si="51"/>
        <v>8.4118326757584114</v>
      </c>
      <c r="J700" s="4">
        <f t="shared" si="52"/>
        <v>5.6489742381612063</v>
      </c>
      <c r="K700" s="4">
        <f t="shared" si="53"/>
        <v>53.1</v>
      </c>
      <c r="L700" s="4">
        <f t="shared" si="54"/>
        <v>0</v>
      </c>
    </row>
    <row r="701" spans="1:12" x14ac:dyDescent="0.35">
      <c r="A701" s="2" t="s">
        <v>604</v>
      </c>
      <c r="B701" s="2" t="s">
        <v>67</v>
      </c>
      <c r="C701" s="2">
        <v>30.096299999999999</v>
      </c>
      <c r="D701" s="2">
        <v>5000</v>
      </c>
      <c r="E701" s="2">
        <v>284</v>
      </c>
      <c r="F701" s="2">
        <v>53.1</v>
      </c>
      <c r="G701" s="2">
        <v>0</v>
      </c>
      <c r="H701" s="4">
        <f t="shared" si="50"/>
        <v>3.4044022406110668</v>
      </c>
      <c r="I701" s="4">
        <f t="shared" si="51"/>
        <v>8.5171931914162382</v>
      </c>
      <c r="J701" s="4">
        <f t="shared" si="52"/>
        <v>5.6489742381612063</v>
      </c>
      <c r="K701" s="4">
        <f t="shared" si="53"/>
        <v>53.1</v>
      </c>
      <c r="L701" s="4">
        <f t="shared" si="54"/>
        <v>0</v>
      </c>
    </row>
    <row r="702" spans="1:12" x14ac:dyDescent="0.35">
      <c r="A702" s="2" t="s">
        <v>605</v>
      </c>
      <c r="B702" s="2" t="s">
        <v>67</v>
      </c>
      <c r="C702" s="2">
        <v>28.675899999999999</v>
      </c>
      <c r="D702" s="2">
        <v>5000</v>
      </c>
      <c r="E702" s="2">
        <v>295</v>
      </c>
      <c r="F702" s="2">
        <v>52.9</v>
      </c>
      <c r="G702" s="2">
        <v>0</v>
      </c>
      <c r="H702" s="4">
        <f t="shared" si="50"/>
        <v>3.3560570487478318</v>
      </c>
      <c r="I702" s="4">
        <f t="shared" si="51"/>
        <v>8.5171931914162382</v>
      </c>
      <c r="J702" s="4">
        <f t="shared" si="52"/>
        <v>5.6869753563398202</v>
      </c>
      <c r="K702" s="4">
        <f t="shared" si="53"/>
        <v>52.9</v>
      </c>
      <c r="L702" s="4">
        <f t="shared" si="54"/>
        <v>0</v>
      </c>
    </row>
    <row r="703" spans="1:12" x14ac:dyDescent="0.35">
      <c r="A703" s="2" t="s">
        <v>606</v>
      </c>
      <c r="B703" s="2" t="s">
        <v>67</v>
      </c>
      <c r="C703" s="2">
        <v>31.408300000000001</v>
      </c>
      <c r="D703" s="2">
        <v>4000</v>
      </c>
      <c r="E703" s="2">
        <v>300</v>
      </c>
      <c r="F703" s="2">
        <v>47.5</v>
      </c>
      <c r="G703" s="2">
        <v>0</v>
      </c>
      <c r="H703" s="4">
        <f t="shared" si="50"/>
        <v>3.4470721891950595</v>
      </c>
      <c r="I703" s="4">
        <f t="shared" si="51"/>
        <v>8.2940496401020276</v>
      </c>
      <c r="J703" s="4">
        <f t="shared" si="52"/>
        <v>5.7037824746562009</v>
      </c>
      <c r="K703" s="4">
        <f t="shared" si="53"/>
        <v>47.5</v>
      </c>
      <c r="L703" s="4">
        <f t="shared" si="54"/>
        <v>0</v>
      </c>
    </row>
    <row r="704" spans="1:12" x14ac:dyDescent="0.35">
      <c r="A704" s="2" t="s">
        <v>607</v>
      </c>
      <c r="B704" s="2" t="s">
        <v>67</v>
      </c>
      <c r="C704" s="2">
        <v>29.043800000000001</v>
      </c>
      <c r="D704" s="2">
        <v>4000</v>
      </c>
      <c r="E704" s="2">
        <v>300</v>
      </c>
      <c r="F704" s="2">
        <v>47.5</v>
      </c>
      <c r="G704" s="2">
        <v>0</v>
      </c>
      <c r="H704" s="4">
        <f t="shared" si="50"/>
        <v>3.3688050353904484</v>
      </c>
      <c r="I704" s="4">
        <f t="shared" si="51"/>
        <v>8.2940496401020276</v>
      </c>
      <c r="J704" s="4">
        <f t="shared" si="52"/>
        <v>5.7037824746562009</v>
      </c>
      <c r="K704" s="4">
        <f t="shared" si="53"/>
        <v>47.5</v>
      </c>
      <c r="L704" s="4">
        <f t="shared" si="54"/>
        <v>0</v>
      </c>
    </row>
    <row r="705" spans="1:12" x14ac:dyDescent="0.35">
      <c r="A705" s="2" t="s">
        <v>608</v>
      </c>
      <c r="B705" s="2" t="s">
        <v>67</v>
      </c>
      <c r="C705" s="2">
        <v>29.058399999999999</v>
      </c>
      <c r="D705" s="2">
        <v>4000</v>
      </c>
      <c r="E705" s="2">
        <v>400</v>
      </c>
      <c r="F705" s="2">
        <v>47.5</v>
      </c>
      <c r="G705" s="2">
        <v>0</v>
      </c>
      <c r="H705" s="4">
        <f t="shared" si="50"/>
        <v>3.369307598126706</v>
      </c>
      <c r="I705" s="4">
        <f t="shared" si="51"/>
        <v>8.2940496401020276</v>
      </c>
      <c r="J705" s="4">
        <f t="shared" si="52"/>
        <v>5.9914645471079817</v>
      </c>
      <c r="K705" s="4">
        <f t="shared" si="53"/>
        <v>47.5</v>
      </c>
      <c r="L705" s="4">
        <f t="shared" si="54"/>
        <v>0</v>
      </c>
    </row>
    <row r="706" spans="1:12" x14ac:dyDescent="0.35">
      <c r="A706" s="2" t="s">
        <v>609</v>
      </c>
      <c r="B706" s="2" t="s">
        <v>67</v>
      </c>
      <c r="C706" s="2">
        <v>28.933499999999999</v>
      </c>
      <c r="D706" s="2">
        <v>4000</v>
      </c>
      <c r="E706" s="2">
        <v>400</v>
      </c>
      <c r="F706" s="2">
        <v>47.7</v>
      </c>
      <c r="G706" s="2">
        <v>0</v>
      </c>
      <c r="H706" s="4">
        <f t="shared" ref="H706:H769" si="55">LN(C706)</f>
        <v>3.3650000933502673</v>
      </c>
      <c r="I706" s="4">
        <f t="shared" ref="I706:I769" si="56">LN(D706)</f>
        <v>8.2940496401020276</v>
      </c>
      <c r="J706" s="4">
        <f t="shared" ref="J706:J769" si="57">LN(E706)</f>
        <v>5.9914645471079817</v>
      </c>
      <c r="K706" s="4">
        <f t="shared" ref="K706:K769" si="58">F706</f>
        <v>47.7</v>
      </c>
      <c r="L706" s="4">
        <f t="shared" ref="L706:L769" si="59">G706</f>
        <v>0</v>
      </c>
    </row>
    <row r="707" spans="1:12" x14ac:dyDescent="0.35">
      <c r="A707" s="2" t="s">
        <v>610</v>
      </c>
      <c r="B707" s="2" t="s">
        <v>67</v>
      </c>
      <c r="C707" s="2">
        <v>35.972299999999997</v>
      </c>
      <c r="D707" s="2">
        <v>4000</v>
      </c>
      <c r="E707" s="2">
        <v>268</v>
      </c>
      <c r="F707" s="2">
        <v>49.2</v>
      </c>
      <c r="G707" s="2">
        <v>0</v>
      </c>
      <c r="H707" s="4">
        <f t="shared" si="55"/>
        <v>3.5827491978373529</v>
      </c>
      <c r="I707" s="4">
        <f t="shared" si="56"/>
        <v>8.2940496401020276</v>
      </c>
      <c r="J707" s="4">
        <f t="shared" si="57"/>
        <v>5.5909869805108565</v>
      </c>
      <c r="K707" s="4">
        <f t="shared" si="58"/>
        <v>49.2</v>
      </c>
      <c r="L707" s="4">
        <f t="shared" si="59"/>
        <v>0</v>
      </c>
    </row>
    <row r="708" spans="1:12" x14ac:dyDescent="0.35">
      <c r="A708" s="2" t="s">
        <v>611</v>
      </c>
      <c r="B708" s="2" t="s">
        <v>67</v>
      </c>
      <c r="C708" s="2">
        <v>34.325099999999999</v>
      </c>
      <c r="D708" s="2">
        <v>4000</v>
      </c>
      <c r="E708" s="2">
        <v>268</v>
      </c>
      <c r="F708" s="2">
        <v>49.2</v>
      </c>
      <c r="G708" s="2">
        <v>0</v>
      </c>
      <c r="H708" s="4">
        <f t="shared" si="55"/>
        <v>3.5358768649782686</v>
      </c>
      <c r="I708" s="4">
        <f t="shared" si="56"/>
        <v>8.2940496401020276</v>
      </c>
      <c r="J708" s="4">
        <f t="shared" si="57"/>
        <v>5.5909869805108565</v>
      </c>
      <c r="K708" s="4">
        <f t="shared" si="58"/>
        <v>49.2</v>
      </c>
      <c r="L708" s="4">
        <f t="shared" si="59"/>
        <v>0</v>
      </c>
    </row>
    <row r="709" spans="1:12" x14ac:dyDescent="0.35">
      <c r="A709" s="2" t="s">
        <v>612</v>
      </c>
      <c r="B709" s="2" t="s">
        <v>67</v>
      </c>
      <c r="C709" s="2">
        <v>33.3123</v>
      </c>
      <c r="D709" s="2">
        <v>4000</v>
      </c>
      <c r="E709" s="2">
        <v>268</v>
      </c>
      <c r="F709" s="2">
        <v>48.9</v>
      </c>
      <c r="G709" s="2">
        <v>0</v>
      </c>
      <c r="H709" s="4">
        <f t="shared" si="55"/>
        <v>3.5059266981556956</v>
      </c>
      <c r="I709" s="4">
        <f t="shared" si="56"/>
        <v>8.2940496401020276</v>
      </c>
      <c r="J709" s="4">
        <f t="shared" si="57"/>
        <v>5.5909869805108565</v>
      </c>
      <c r="K709" s="4">
        <f t="shared" si="58"/>
        <v>48.9</v>
      </c>
      <c r="L709" s="4">
        <f t="shared" si="59"/>
        <v>0</v>
      </c>
    </row>
    <row r="710" spans="1:12" x14ac:dyDescent="0.35">
      <c r="A710" s="2" t="s">
        <v>613</v>
      </c>
      <c r="B710" s="2" t="s">
        <v>67</v>
      </c>
      <c r="C710" s="2">
        <v>20.836200000000002</v>
      </c>
      <c r="D710" s="2">
        <v>6000</v>
      </c>
      <c r="E710" s="2">
        <v>400</v>
      </c>
      <c r="F710" s="2">
        <v>56.9</v>
      </c>
      <c r="G710" s="2">
        <v>0</v>
      </c>
      <c r="H710" s="4">
        <f t="shared" si="55"/>
        <v>3.0366918586082345</v>
      </c>
      <c r="I710" s="4">
        <f t="shared" si="56"/>
        <v>8.6995147482101913</v>
      </c>
      <c r="J710" s="4">
        <f t="shared" si="57"/>
        <v>5.9914645471079817</v>
      </c>
      <c r="K710" s="4">
        <f t="shared" si="58"/>
        <v>56.9</v>
      </c>
      <c r="L710" s="4">
        <f t="shared" si="59"/>
        <v>0</v>
      </c>
    </row>
    <row r="711" spans="1:12" x14ac:dyDescent="0.35">
      <c r="A711" s="2" t="s">
        <v>614</v>
      </c>
      <c r="B711" s="2" t="s">
        <v>67</v>
      </c>
      <c r="C711" s="2">
        <v>20.056799999999999</v>
      </c>
      <c r="D711" s="2">
        <v>6500</v>
      </c>
      <c r="E711" s="2">
        <v>400</v>
      </c>
      <c r="F711" s="2">
        <v>56.9</v>
      </c>
      <c r="G711" s="2">
        <v>0</v>
      </c>
      <c r="H711" s="4">
        <f t="shared" si="55"/>
        <v>2.998568248373199</v>
      </c>
      <c r="I711" s="4">
        <f t="shared" si="56"/>
        <v>8.7795574558837277</v>
      </c>
      <c r="J711" s="4">
        <f t="shared" si="57"/>
        <v>5.9914645471079817</v>
      </c>
      <c r="K711" s="4">
        <f t="shared" si="58"/>
        <v>56.9</v>
      </c>
      <c r="L711" s="4">
        <f t="shared" si="59"/>
        <v>0</v>
      </c>
    </row>
    <row r="712" spans="1:12" x14ac:dyDescent="0.35">
      <c r="A712" s="2" t="s">
        <v>615</v>
      </c>
      <c r="B712" s="2" t="s">
        <v>67</v>
      </c>
      <c r="C712" s="2">
        <v>31.121500000000001</v>
      </c>
      <c r="D712" s="2">
        <v>4500</v>
      </c>
      <c r="E712" s="2">
        <v>295</v>
      </c>
      <c r="F712" s="2">
        <v>53.1</v>
      </c>
      <c r="G712" s="2">
        <v>0</v>
      </c>
      <c r="H712" s="4">
        <f t="shared" si="55"/>
        <v>3.4378988986627221</v>
      </c>
      <c r="I712" s="4">
        <f t="shared" si="56"/>
        <v>8.4118326757584114</v>
      </c>
      <c r="J712" s="4">
        <f t="shared" si="57"/>
        <v>5.6869753563398202</v>
      </c>
      <c r="K712" s="4">
        <f t="shared" si="58"/>
        <v>53.1</v>
      </c>
      <c r="L712" s="4">
        <f t="shared" si="59"/>
        <v>0</v>
      </c>
    </row>
    <row r="713" spans="1:12" x14ac:dyDescent="0.35">
      <c r="A713" s="2" t="s">
        <v>616</v>
      </c>
      <c r="B713" s="2" t="s">
        <v>67</v>
      </c>
      <c r="C713" s="2">
        <v>29.108799999999999</v>
      </c>
      <c r="D713" s="2">
        <v>5000</v>
      </c>
      <c r="E713" s="2">
        <v>295</v>
      </c>
      <c r="F713" s="2">
        <v>53.1</v>
      </c>
      <c r="G713" s="2">
        <v>0</v>
      </c>
      <c r="H713" s="4">
        <f t="shared" si="55"/>
        <v>3.3710405339604019</v>
      </c>
      <c r="I713" s="4">
        <f t="shared" si="56"/>
        <v>8.5171931914162382</v>
      </c>
      <c r="J713" s="4">
        <f t="shared" si="57"/>
        <v>5.6869753563398202</v>
      </c>
      <c r="K713" s="4">
        <f t="shared" si="58"/>
        <v>53.1</v>
      </c>
      <c r="L713" s="4">
        <f t="shared" si="59"/>
        <v>0</v>
      </c>
    </row>
    <row r="714" spans="1:12" x14ac:dyDescent="0.35">
      <c r="A714" s="2" t="s">
        <v>617</v>
      </c>
      <c r="B714" s="2" t="s">
        <v>67</v>
      </c>
      <c r="C714" s="2">
        <v>36.551900000000003</v>
      </c>
      <c r="D714" s="2">
        <v>4000</v>
      </c>
      <c r="E714" s="2">
        <v>181</v>
      </c>
      <c r="F714" s="2">
        <v>46.5</v>
      </c>
      <c r="G714" s="2">
        <v>0</v>
      </c>
      <c r="H714" s="4">
        <f t="shared" si="55"/>
        <v>3.5987331684288191</v>
      </c>
      <c r="I714" s="4">
        <f t="shared" si="56"/>
        <v>8.2940496401020276</v>
      </c>
      <c r="J714" s="4">
        <f t="shared" si="57"/>
        <v>5.1984970312658261</v>
      </c>
      <c r="K714" s="4">
        <f t="shared" si="58"/>
        <v>46.5</v>
      </c>
      <c r="L714" s="4">
        <f t="shared" si="59"/>
        <v>0</v>
      </c>
    </row>
    <row r="715" spans="1:12" x14ac:dyDescent="0.35">
      <c r="A715" s="2" t="s">
        <v>618</v>
      </c>
      <c r="B715" s="2" t="s">
        <v>67</v>
      </c>
      <c r="C715" s="2">
        <v>36.153100000000002</v>
      </c>
      <c r="D715" s="2">
        <v>4000</v>
      </c>
      <c r="E715" s="2">
        <v>181</v>
      </c>
      <c r="F715" s="2">
        <v>46.5</v>
      </c>
      <c r="G715" s="2">
        <v>0</v>
      </c>
      <c r="H715" s="4">
        <f t="shared" si="55"/>
        <v>3.5877626987317228</v>
      </c>
      <c r="I715" s="4">
        <f t="shared" si="56"/>
        <v>8.2940496401020276</v>
      </c>
      <c r="J715" s="4">
        <f t="shared" si="57"/>
        <v>5.1984970312658261</v>
      </c>
      <c r="K715" s="4">
        <f t="shared" si="58"/>
        <v>46.5</v>
      </c>
      <c r="L715" s="4">
        <f t="shared" si="59"/>
        <v>0</v>
      </c>
    </row>
    <row r="716" spans="1:12" x14ac:dyDescent="0.35">
      <c r="A716" s="2" t="s">
        <v>619</v>
      </c>
      <c r="B716" s="2" t="s">
        <v>67</v>
      </c>
      <c r="C716" s="2">
        <v>16.385000000000002</v>
      </c>
      <c r="D716" s="2">
        <v>3500</v>
      </c>
      <c r="E716" s="2">
        <v>791</v>
      </c>
      <c r="F716" s="2">
        <v>49.8</v>
      </c>
      <c r="G716" s="2">
        <v>0</v>
      </c>
      <c r="H716" s="4">
        <f t="shared" si="55"/>
        <v>2.7963662821507782</v>
      </c>
      <c r="I716" s="4">
        <f t="shared" si="56"/>
        <v>8.1605182474775049</v>
      </c>
      <c r="J716" s="4">
        <f t="shared" si="57"/>
        <v>6.6732979677676543</v>
      </c>
      <c r="K716" s="4">
        <f t="shared" si="58"/>
        <v>49.8</v>
      </c>
      <c r="L716" s="4">
        <f t="shared" si="59"/>
        <v>0</v>
      </c>
    </row>
    <row r="717" spans="1:12" x14ac:dyDescent="0.35">
      <c r="A717" s="2" t="s">
        <v>621</v>
      </c>
      <c r="B717" s="2" t="s">
        <v>67</v>
      </c>
      <c r="C717" s="2">
        <v>16.385000000000002</v>
      </c>
      <c r="D717" s="2">
        <v>3500</v>
      </c>
      <c r="E717" s="2">
        <v>791</v>
      </c>
      <c r="F717" s="2">
        <v>49.8</v>
      </c>
      <c r="G717" s="2">
        <v>0</v>
      </c>
      <c r="H717" s="4">
        <f t="shared" si="55"/>
        <v>2.7963662821507782</v>
      </c>
      <c r="I717" s="4">
        <f t="shared" si="56"/>
        <v>8.1605182474775049</v>
      </c>
      <c r="J717" s="4">
        <f t="shared" si="57"/>
        <v>6.6732979677676543</v>
      </c>
      <c r="K717" s="4">
        <f t="shared" si="58"/>
        <v>49.8</v>
      </c>
      <c r="L717" s="4">
        <f t="shared" si="59"/>
        <v>0</v>
      </c>
    </row>
    <row r="718" spans="1:12" x14ac:dyDescent="0.35">
      <c r="A718" s="2" t="s">
        <v>622</v>
      </c>
      <c r="B718" s="2" t="s">
        <v>67</v>
      </c>
      <c r="C718" s="2">
        <v>17.100000000000001</v>
      </c>
      <c r="D718" s="2">
        <v>3500</v>
      </c>
      <c r="E718" s="2">
        <v>864</v>
      </c>
      <c r="F718" s="2">
        <v>51.4</v>
      </c>
      <c r="G718" s="2">
        <v>0</v>
      </c>
      <c r="H718" s="4">
        <f t="shared" si="55"/>
        <v>2.8390784635086144</v>
      </c>
      <c r="I718" s="4">
        <f t="shared" si="56"/>
        <v>8.1605182474775049</v>
      </c>
      <c r="J718" s="4">
        <f t="shared" si="57"/>
        <v>6.7615727688040552</v>
      </c>
      <c r="K718" s="4">
        <f t="shared" si="58"/>
        <v>51.4</v>
      </c>
      <c r="L718" s="4">
        <f t="shared" si="59"/>
        <v>0</v>
      </c>
    </row>
    <row r="719" spans="1:12" x14ac:dyDescent="0.35">
      <c r="A719" s="2" t="s">
        <v>623</v>
      </c>
      <c r="B719" s="2" t="s">
        <v>67</v>
      </c>
      <c r="C719" s="2">
        <v>28.844200000000001</v>
      </c>
      <c r="D719" s="2">
        <v>4500</v>
      </c>
      <c r="E719" s="2">
        <v>261</v>
      </c>
      <c r="F719" s="2">
        <v>50</v>
      </c>
      <c r="G719" s="2">
        <v>0</v>
      </c>
      <c r="H719" s="4">
        <f t="shared" si="55"/>
        <v>3.3619089328815348</v>
      </c>
      <c r="I719" s="4">
        <f t="shared" si="56"/>
        <v>8.4118326757584114</v>
      </c>
      <c r="J719" s="4">
        <f t="shared" si="57"/>
        <v>5.5645204073226937</v>
      </c>
      <c r="K719" s="4">
        <f t="shared" si="58"/>
        <v>50</v>
      </c>
      <c r="L719" s="4">
        <f t="shared" si="59"/>
        <v>0</v>
      </c>
    </row>
    <row r="720" spans="1:12" x14ac:dyDescent="0.35">
      <c r="A720" s="2" t="s">
        <v>625</v>
      </c>
      <c r="B720" s="2" t="s">
        <v>67</v>
      </c>
      <c r="C720" s="2">
        <v>26.0365</v>
      </c>
      <c r="D720" s="2">
        <v>4500</v>
      </c>
      <c r="E720" s="2">
        <v>375</v>
      </c>
      <c r="F720" s="2">
        <v>49.9</v>
      </c>
      <c r="G720" s="2">
        <v>0</v>
      </c>
      <c r="H720" s="4">
        <f t="shared" si="55"/>
        <v>3.2594993997045725</v>
      </c>
      <c r="I720" s="4">
        <f t="shared" si="56"/>
        <v>8.4118326757584114</v>
      </c>
      <c r="J720" s="4">
        <f t="shared" si="57"/>
        <v>5.9269260259704106</v>
      </c>
      <c r="K720" s="4">
        <f t="shared" si="58"/>
        <v>49.9</v>
      </c>
      <c r="L720" s="4">
        <f t="shared" si="59"/>
        <v>0</v>
      </c>
    </row>
    <row r="721" spans="1:12" x14ac:dyDescent="0.35">
      <c r="A721" s="2" t="s">
        <v>626</v>
      </c>
      <c r="B721" s="2" t="s">
        <v>67</v>
      </c>
      <c r="C721" s="2">
        <v>27.974299999999999</v>
      </c>
      <c r="D721" s="2">
        <v>4500</v>
      </c>
      <c r="E721" s="2">
        <v>261</v>
      </c>
      <c r="F721" s="2">
        <v>50</v>
      </c>
      <c r="G721" s="2">
        <v>0</v>
      </c>
      <c r="H721" s="4">
        <f t="shared" si="55"/>
        <v>3.3312862315435487</v>
      </c>
      <c r="I721" s="4">
        <f t="shared" si="56"/>
        <v>8.4118326757584114</v>
      </c>
      <c r="J721" s="4">
        <f t="shared" si="57"/>
        <v>5.5645204073226937</v>
      </c>
      <c r="K721" s="4">
        <f t="shared" si="58"/>
        <v>50</v>
      </c>
      <c r="L721" s="4">
        <f t="shared" si="59"/>
        <v>0</v>
      </c>
    </row>
    <row r="722" spans="1:12" x14ac:dyDescent="0.35">
      <c r="A722" s="2" t="s">
        <v>627</v>
      </c>
      <c r="B722" s="2" t="s">
        <v>67</v>
      </c>
      <c r="C722" s="2">
        <v>25.540700000000001</v>
      </c>
      <c r="D722" s="2">
        <v>4500</v>
      </c>
      <c r="E722" s="2">
        <v>434</v>
      </c>
      <c r="F722" s="2">
        <v>50</v>
      </c>
      <c r="G722" s="2">
        <v>0</v>
      </c>
      <c r="H722" s="4">
        <f t="shared" si="55"/>
        <v>3.2402732582162721</v>
      </c>
      <c r="I722" s="4">
        <f t="shared" si="56"/>
        <v>8.4118326757584114</v>
      </c>
      <c r="J722" s="4">
        <f t="shared" si="57"/>
        <v>6.0730445341004051</v>
      </c>
      <c r="K722" s="4">
        <f t="shared" si="58"/>
        <v>50</v>
      </c>
      <c r="L722" s="4">
        <f t="shared" si="59"/>
        <v>0</v>
      </c>
    </row>
    <row r="723" spans="1:12" x14ac:dyDescent="0.35">
      <c r="A723" s="2" t="s">
        <v>628</v>
      </c>
      <c r="B723" s="2" t="s">
        <v>67</v>
      </c>
      <c r="C723" s="2">
        <v>25.888200000000001</v>
      </c>
      <c r="D723" s="2">
        <v>5000</v>
      </c>
      <c r="E723" s="2">
        <v>348</v>
      </c>
      <c r="F723" s="2">
        <v>52.2</v>
      </c>
      <c r="G723" s="2">
        <v>0</v>
      </c>
      <c r="H723" s="4">
        <f t="shared" si="55"/>
        <v>3.2537872664333838</v>
      </c>
      <c r="I723" s="4">
        <f t="shared" si="56"/>
        <v>8.5171931914162382</v>
      </c>
      <c r="J723" s="4">
        <f t="shared" si="57"/>
        <v>5.8522024797744745</v>
      </c>
      <c r="K723" s="4">
        <f t="shared" si="58"/>
        <v>52.2</v>
      </c>
      <c r="L723" s="4">
        <f t="shared" si="59"/>
        <v>0</v>
      </c>
    </row>
    <row r="724" spans="1:12" x14ac:dyDescent="0.35">
      <c r="A724" s="2" t="s">
        <v>629</v>
      </c>
      <c r="B724" s="2" t="s">
        <v>67</v>
      </c>
      <c r="C724" s="2">
        <v>26.3934</v>
      </c>
      <c r="D724" s="2">
        <v>5000</v>
      </c>
      <c r="E724" s="2">
        <v>348</v>
      </c>
      <c r="F724" s="2">
        <v>52.1</v>
      </c>
      <c r="G724" s="2">
        <v>0</v>
      </c>
      <c r="H724" s="4">
        <f t="shared" si="55"/>
        <v>3.2731139788970611</v>
      </c>
      <c r="I724" s="4">
        <f t="shared" si="56"/>
        <v>8.5171931914162382</v>
      </c>
      <c r="J724" s="4">
        <f t="shared" si="57"/>
        <v>5.8522024797744745</v>
      </c>
      <c r="K724" s="4">
        <f t="shared" si="58"/>
        <v>52.1</v>
      </c>
      <c r="L724" s="4">
        <f t="shared" si="59"/>
        <v>0</v>
      </c>
    </row>
    <row r="725" spans="1:12" x14ac:dyDescent="0.35">
      <c r="A725" s="2" t="s">
        <v>630</v>
      </c>
      <c r="B725" s="2" t="s">
        <v>33</v>
      </c>
      <c r="C725" s="2">
        <v>29.1126</v>
      </c>
      <c r="D725" s="2">
        <v>6000</v>
      </c>
      <c r="E725" s="2">
        <v>300</v>
      </c>
      <c r="F725" s="2">
        <v>52.2</v>
      </c>
      <c r="G725" s="2">
        <v>1</v>
      </c>
      <c r="H725" s="4">
        <f t="shared" si="55"/>
        <v>3.3711710701551825</v>
      </c>
      <c r="I725" s="4">
        <f t="shared" si="56"/>
        <v>8.6995147482101913</v>
      </c>
      <c r="J725" s="4">
        <f t="shared" si="57"/>
        <v>5.7037824746562009</v>
      </c>
      <c r="K725" s="4">
        <f t="shared" si="58"/>
        <v>52.2</v>
      </c>
      <c r="L725" s="4">
        <f t="shared" si="59"/>
        <v>1</v>
      </c>
    </row>
    <row r="726" spans="1:12" x14ac:dyDescent="0.35">
      <c r="A726" s="2" t="s">
        <v>631</v>
      </c>
      <c r="B726" s="2" t="s">
        <v>67</v>
      </c>
      <c r="C726" s="2">
        <v>22.831600000000002</v>
      </c>
      <c r="D726" s="2">
        <v>5500</v>
      </c>
      <c r="E726" s="2">
        <v>468</v>
      </c>
      <c r="F726" s="2">
        <v>52.2</v>
      </c>
      <c r="G726" s="2">
        <v>0</v>
      </c>
      <c r="H726" s="4">
        <f t="shared" si="55"/>
        <v>3.1281455413098183</v>
      </c>
      <c r="I726" s="4">
        <f t="shared" si="56"/>
        <v>8.6125033712205621</v>
      </c>
      <c r="J726" s="4">
        <f t="shared" si="57"/>
        <v>6.1484682959176471</v>
      </c>
      <c r="K726" s="4">
        <f t="shared" si="58"/>
        <v>52.2</v>
      </c>
      <c r="L726" s="4">
        <f t="shared" si="59"/>
        <v>0</v>
      </c>
    </row>
    <row r="727" spans="1:12" x14ac:dyDescent="0.35">
      <c r="A727" s="2" t="s">
        <v>632</v>
      </c>
      <c r="B727" s="2" t="s">
        <v>67</v>
      </c>
      <c r="C727" s="2">
        <v>22.805800000000001</v>
      </c>
      <c r="D727" s="2">
        <v>5500</v>
      </c>
      <c r="E727" s="2">
        <v>468</v>
      </c>
      <c r="F727" s="2">
        <v>52.2</v>
      </c>
      <c r="G727" s="2">
        <v>0</v>
      </c>
      <c r="H727" s="4">
        <f t="shared" si="55"/>
        <v>3.1270148895746841</v>
      </c>
      <c r="I727" s="4">
        <f t="shared" si="56"/>
        <v>8.6125033712205621</v>
      </c>
      <c r="J727" s="4">
        <f t="shared" si="57"/>
        <v>6.1484682959176471</v>
      </c>
      <c r="K727" s="4">
        <f t="shared" si="58"/>
        <v>52.2</v>
      </c>
      <c r="L727" s="4">
        <f t="shared" si="59"/>
        <v>0</v>
      </c>
    </row>
    <row r="728" spans="1:12" x14ac:dyDescent="0.35">
      <c r="A728" s="2" t="s">
        <v>633</v>
      </c>
      <c r="B728" s="2" t="s">
        <v>33</v>
      </c>
      <c r="C728" s="2">
        <v>29.1126</v>
      </c>
      <c r="D728" s="2">
        <v>6000</v>
      </c>
      <c r="E728" s="2">
        <v>300</v>
      </c>
      <c r="F728" s="2">
        <v>52.1</v>
      </c>
      <c r="G728" s="2">
        <v>1</v>
      </c>
      <c r="H728" s="4">
        <f t="shared" si="55"/>
        <v>3.3711710701551825</v>
      </c>
      <c r="I728" s="4">
        <f t="shared" si="56"/>
        <v>8.6995147482101913</v>
      </c>
      <c r="J728" s="4">
        <f t="shared" si="57"/>
        <v>5.7037824746562009</v>
      </c>
      <c r="K728" s="4">
        <f t="shared" si="58"/>
        <v>52.1</v>
      </c>
      <c r="L728" s="4">
        <f t="shared" si="59"/>
        <v>1</v>
      </c>
    </row>
    <row r="729" spans="1:12" x14ac:dyDescent="0.35">
      <c r="A729" s="2" t="s">
        <v>634</v>
      </c>
      <c r="B729" s="2" t="s">
        <v>33</v>
      </c>
      <c r="C729" s="2">
        <v>28.637699999999999</v>
      </c>
      <c r="D729" s="2">
        <v>6000</v>
      </c>
      <c r="E729" s="2">
        <v>348</v>
      </c>
      <c r="F729" s="2">
        <v>52.2</v>
      </c>
      <c r="G729" s="2">
        <v>1</v>
      </c>
      <c r="H729" s="4">
        <f t="shared" si="55"/>
        <v>3.3547240316050742</v>
      </c>
      <c r="I729" s="4">
        <f t="shared" si="56"/>
        <v>8.6995147482101913</v>
      </c>
      <c r="J729" s="4">
        <f t="shared" si="57"/>
        <v>5.8522024797744745</v>
      </c>
      <c r="K729" s="4">
        <f t="shared" si="58"/>
        <v>52.2</v>
      </c>
      <c r="L729" s="4">
        <f t="shared" si="59"/>
        <v>1</v>
      </c>
    </row>
    <row r="730" spans="1:12" x14ac:dyDescent="0.35">
      <c r="A730" s="2" t="s">
        <v>635</v>
      </c>
      <c r="B730" s="2" t="s">
        <v>33</v>
      </c>
      <c r="C730" s="2">
        <v>28.637699999999999</v>
      </c>
      <c r="D730" s="2">
        <v>6000</v>
      </c>
      <c r="E730" s="2">
        <v>348</v>
      </c>
      <c r="F730" s="2">
        <v>52.1</v>
      </c>
      <c r="G730" s="2">
        <v>1</v>
      </c>
      <c r="H730" s="4">
        <f t="shared" si="55"/>
        <v>3.3547240316050742</v>
      </c>
      <c r="I730" s="4">
        <f t="shared" si="56"/>
        <v>8.6995147482101913</v>
      </c>
      <c r="J730" s="4">
        <f t="shared" si="57"/>
        <v>5.8522024797744745</v>
      </c>
      <c r="K730" s="4">
        <f t="shared" si="58"/>
        <v>52.1</v>
      </c>
      <c r="L730" s="4">
        <f t="shared" si="59"/>
        <v>1</v>
      </c>
    </row>
    <row r="731" spans="1:12" x14ac:dyDescent="0.35">
      <c r="A731" s="2" t="s">
        <v>636</v>
      </c>
      <c r="B731" s="2" t="s">
        <v>67</v>
      </c>
      <c r="C731" s="2">
        <v>22.335100000000001</v>
      </c>
      <c r="D731" s="2">
        <v>5500</v>
      </c>
      <c r="E731" s="2">
        <v>650</v>
      </c>
      <c r="F731" s="2">
        <v>52.4</v>
      </c>
      <c r="G731" s="2">
        <v>0</v>
      </c>
      <c r="H731" s="4">
        <f t="shared" si="55"/>
        <v>3.1061594320718742</v>
      </c>
      <c r="I731" s="4">
        <f t="shared" si="56"/>
        <v>8.6125033712205621</v>
      </c>
      <c r="J731" s="4">
        <f t="shared" si="57"/>
        <v>6.4769723628896827</v>
      </c>
      <c r="K731" s="4">
        <f t="shared" si="58"/>
        <v>52.4</v>
      </c>
      <c r="L731" s="4">
        <f t="shared" si="59"/>
        <v>0</v>
      </c>
    </row>
    <row r="732" spans="1:12" x14ac:dyDescent="0.35">
      <c r="A732" s="2" t="s">
        <v>637</v>
      </c>
      <c r="B732" s="2" t="s">
        <v>33</v>
      </c>
      <c r="C732" s="2">
        <v>24.785799999999998</v>
      </c>
      <c r="D732" s="2">
        <v>6500</v>
      </c>
      <c r="E732" s="2">
        <v>591</v>
      </c>
      <c r="F732" s="2">
        <v>52.2</v>
      </c>
      <c r="G732" s="2">
        <v>1</v>
      </c>
      <c r="H732" s="4">
        <f t="shared" si="55"/>
        <v>3.2102709085388774</v>
      </c>
      <c r="I732" s="4">
        <f t="shared" si="56"/>
        <v>8.7795574558837277</v>
      </c>
      <c r="J732" s="4">
        <f t="shared" si="57"/>
        <v>6.3818160174060985</v>
      </c>
      <c r="K732" s="4">
        <f t="shared" si="58"/>
        <v>52.2</v>
      </c>
      <c r="L732" s="4">
        <f t="shared" si="59"/>
        <v>1</v>
      </c>
    </row>
    <row r="733" spans="1:12" x14ac:dyDescent="0.35">
      <c r="A733" s="2" t="s">
        <v>638</v>
      </c>
      <c r="B733" s="2" t="s">
        <v>33</v>
      </c>
      <c r="C733" s="2">
        <v>24.3477</v>
      </c>
      <c r="D733" s="2">
        <v>6500</v>
      </c>
      <c r="E733" s="2">
        <v>591</v>
      </c>
      <c r="F733" s="2">
        <v>52.4</v>
      </c>
      <c r="G733" s="2">
        <v>1</v>
      </c>
      <c r="H733" s="4">
        <f t="shared" si="55"/>
        <v>3.1924373892152076</v>
      </c>
      <c r="I733" s="4">
        <f t="shared" si="56"/>
        <v>8.7795574558837277</v>
      </c>
      <c r="J733" s="4">
        <f t="shared" si="57"/>
        <v>6.3818160174060985</v>
      </c>
      <c r="K733" s="4">
        <f t="shared" si="58"/>
        <v>52.4</v>
      </c>
      <c r="L733" s="4">
        <f t="shared" si="59"/>
        <v>1</v>
      </c>
    </row>
    <row r="734" spans="1:12" x14ac:dyDescent="0.35">
      <c r="A734" s="2" t="s">
        <v>639</v>
      </c>
      <c r="B734" s="2" t="s">
        <v>67</v>
      </c>
      <c r="C734" s="2">
        <v>27.9072</v>
      </c>
      <c r="D734" s="2">
        <v>4000</v>
      </c>
      <c r="E734" s="2">
        <v>379</v>
      </c>
      <c r="F734" s="2">
        <v>41.5</v>
      </c>
      <c r="G734" s="2">
        <v>0</v>
      </c>
      <c r="H734" s="4">
        <f t="shared" si="55"/>
        <v>3.3288847200505294</v>
      </c>
      <c r="I734" s="4">
        <f t="shared" si="56"/>
        <v>8.2940496401020276</v>
      </c>
      <c r="J734" s="4">
        <f t="shared" si="57"/>
        <v>5.9375362050824263</v>
      </c>
      <c r="K734" s="4">
        <f t="shared" si="58"/>
        <v>41.5</v>
      </c>
      <c r="L734" s="4">
        <f t="shared" si="59"/>
        <v>0</v>
      </c>
    </row>
    <row r="735" spans="1:12" x14ac:dyDescent="0.35">
      <c r="A735" s="2" t="s">
        <v>640</v>
      </c>
      <c r="B735" s="2" t="s">
        <v>67</v>
      </c>
      <c r="C735" s="2">
        <v>27.821400000000001</v>
      </c>
      <c r="D735" s="2">
        <v>4000</v>
      </c>
      <c r="E735" s="2">
        <v>379</v>
      </c>
      <c r="F735" s="2">
        <v>41.5</v>
      </c>
      <c r="G735" s="2">
        <v>0</v>
      </c>
      <c r="H735" s="4">
        <f t="shared" si="55"/>
        <v>3.3258055087373792</v>
      </c>
      <c r="I735" s="4">
        <f t="shared" si="56"/>
        <v>8.2940496401020276</v>
      </c>
      <c r="J735" s="4">
        <f t="shared" si="57"/>
        <v>5.9375362050824263</v>
      </c>
      <c r="K735" s="4">
        <f t="shared" si="58"/>
        <v>41.5</v>
      </c>
      <c r="L735" s="4">
        <f t="shared" si="59"/>
        <v>0</v>
      </c>
    </row>
    <row r="736" spans="1:12" x14ac:dyDescent="0.35">
      <c r="A736" s="2" t="s">
        <v>641</v>
      </c>
      <c r="B736" s="2" t="s">
        <v>67</v>
      </c>
      <c r="C736" s="2">
        <v>27.514900000000001</v>
      </c>
      <c r="D736" s="2">
        <v>3500</v>
      </c>
      <c r="E736" s="2">
        <v>443</v>
      </c>
      <c r="F736" s="2">
        <v>41.5</v>
      </c>
      <c r="G736" s="2">
        <v>0</v>
      </c>
      <c r="H736" s="4">
        <f t="shared" si="55"/>
        <v>3.3147276761238711</v>
      </c>
      <c r="I736" s="4">
        <f t="shared" si="56"/>
        <v>8.1605182474775049</v>
      </c>
      <c r="J736" s="4">
        <f t="shared" si="57"/>
        <v>6.0935697700451357</v>
      </c>
      <c r="K736" s="4">
        <f t="shared" si="58"/>
        <v>41.5</v>
      </c>
      <c r="L736" s="4">
        <f t="shared" si="59"/>
        <v>0</v>
      </c>
    </row>
    <row r="737" spans="1:12" x14ac:dyDescent="0.35">
      <c r="A737" s="2" t="s">
        <v>641</v>
      </c>
      <c r="B737" s="2" t="s">
        <v>67</v>
      </c>
      <c r="C737" s="2">
        <v>26.627199999999998</v>
      </c>
      <c r="D737" s="2">
        <v>4000</v>
      </c>
      <c r="E737" s="2">
        <v>443</v>
      </c>
      <c r="F737" s="2">
        <v>41.5</v>
      </c>
      <c r="G737" s="2">
        <v>0</v>
      </c>
      <c r="H737" s="4">
        <f t="shared" si="55"/>
        <v>3.2819332497239735</v>
      </c>
      <c r="I737" s="4">
        <f t="shared" si="56"/>
        <v>8.2940496401020276</v>
      </c>
      <c r="J737" s="4">
        <f t="shared" si="57"/>
        <v>6.0935697700451357</v>
      </c>
      <c r="K737" s="4">
        <f t="shared" si="58"/>
        <v>41.5</v>
      </c>
      <c r="L737" s="4">
        <f t="shared" si="59"/>
        <v>0</v>
      </c>
    </row>
    <row r="738" spans="1:12" x14ac:dyDescent="0.35">
      <c r="A738" s="2" t="s">
        <v>642</v>
      </c>
      <c r="B738" s="2" t="s">
        <v>67</v>
      </c>
      <c r="C738" s="2">
        <v>27.252099999999999</v>
      </c>
      <c r="D738" s="2">
        <v>4000</v>
      </c>
      <c r="E738" s="2">
        <v>443</v>
      </c>
      <c r="F738" s="2">
        <v>41.5</v>
      </c>
      <c r="G738" s="2">
        <v>0</v>
      </c>
      <c r="H738" s="4">
        <f t="shared" si="55"/>
        <v>3.305130582360142</v>
      </c>
      <c r="I738" s="4">
        <f t="shared" si="56"/>
        <v>8.2940496401020276</v>
      </c>
      <c r="J738" s="4">
        <f t="shared" si="57"/>
        <v>6.0935697700451357</v>
      </c>
      <c r="K738" s="4">
        <f t="shared" si="58"/>
        <v>41.5</v>
      </c>
      <c r="L738" s="4">
        <f t="shared" si="59"/>
        <v>0</v>
      </c>
    </row>
    <row r="739" spans="1:12" x14ac:dyDescent="0.35">
      <c r="A739" s="2" t="s">
        <v>642</v>
      </c>
      <c r="B739" s="2" t="s">
        <v>67</v>
      </c>
      <c r="C739" s="2">
        <v>26.673400000000001</v>
      </c>
      <c r="D739" s="2">
        <v>4000</v>
      </c>
      <c r="E739" s="2">
        <v>443</v>
      </c>
      <c r="F739" s="2">
        <v>41.5</v>
      </c>
      <c r="G739" s="2">
        <v>0</v>
      </c>
      <c r="H739" s="4">
        <f t="shared" si="55"/>
        <v>3.2836668141330119</v>
      </c>
      <c r="I739" s="4">
        <f t="shared" si="56"/>
        <v>8.2940496401020276</v>
      </c>
      <c r="J739" s="4">
        <f t="shared" si="57"/>
        <v>6.0935697700451357</v>
      </c>
      <c r="K739" s="4">
        <f t="shared" si="58"/>
        <v>41.5</v>
      </c>
      <c r="L739" s="4">
        <f t="shared" si="59"/>
        <v>0</v>
      </c>
    </row>
    <row r="740" spans="1:12" x14ac:dyDescent="0.35">
      <c r="A740" s="2" t="s">
        <v>643</v>
      </c>
      <c r="B740" s="2" t="s">
        <v>67</v>
      </c>
      <c r="C740" s="2">
        <v>27.253399999999999</v>
      </c>
      <c r="D740" s="2">
        <v>3500</v>
      </c>
      <c r="E740" s="2">
        <v>379</v>
      </c>
      <c r="F740" s="2">
        <v>41.5</v>
      </c>
      <c r="G740" s="2">
        <v>0</v>
      </c>
      <c r="H740" s="4">
        <f t="shared" si="55"/>
        <v>3.3051782839682455</v>
      </c>
      <c r="I740" s="4">
        <f t="shared" si="56"/>
        <v>8.1605182474775049</v>
      </c>
      <c r="J740" s="4">
        <f t="shared" si="57"/>
        <v>5.9375362050824263</v>
      </c>
      <c r="K740" s="4">
        <f t="shared" si="58"/>
        <v>41.5</v>
      </c>
      <c r="L740" s="4">
        <f t="shared" si="59"/>
        <v>0</v>
      </c>
    </row>
    <row r="741" spans="1:12" x14ac:dyDescent="0.35">
      <c r="A741" s="2" t="s">
        <v>643</v>
      </c>
      <c r="B741" s="2" t="s">
        <v>67</v>
      </c>
      <c r="C741" s="2">
        <v>27.069299999999998</v>
      </c>
      <c r="D741" s="2">
        <v>4000</v>
      </c>
      <c r="E741" s="2">
        <v>379</v>
      </c>
      <c r="F741" s="2">
        <v>41.5</v>
      </c>
      <c r="G741" s="2">
        <v>0</v>
      </c>
      <c r="H741" s="4">
        <f t="shared" si="55"/>
        <v>3.2984002444074894</v>
      </c>
      <c r="I741" s="4">
        <f t="shared" si="56"/>
        <v>8.2940496401020276</v>
      </c>
      <c r="J741" s="4">
        <f t="shared" si="57"/>
        <v>5.9375362050824263</v>
      </c>
      <c r="K741" s="4">
        <f t="shared" si="58"/>
        <v>41.5</v>
      </c>
      <c r="L741" s="4">
        <f t="shared" si="59"/>
        <v>0</v>
      </c>
    </row>
    <row r="742" spans="1:12" x14ac:dyDescent="0.35">
      <c r="A742" s="2" t="s">
        <v>644</v>
      </c>
      <c r="B742" s="2" t="s">
        <v>67</v>
      </c>
      <c r="C742" s="2">
        <v>26.937200000000001</v>
      </c>
      <c r="D742" s="2">
        <v>4000</v>
      </c>
      <c r="E742" s="2">
        <v>443</v>
      </c>
      <c r="F742" s="2">
        <v>41.5</v>
      </c>
      <c r="G742" s="2">
        <v>0</v>
      </c>
      <c r="H742" s="4">
        <f t="shared" si="55"/>
        <v>3.2935082309109998</v>
      </c>
      <c r="I742" s="4">
        <f t="shared" si="56"/>
        <v>8.2940496401020276</v>
      </c>
      <c r="J742" s="4">
        <f t="shared" si="57"/>
        <v>6.0935697700451357</v>
      </c>
      <c r="K742" s="4">
        <f t="shared" si="58"/>
        <v>41.5</v>
      </c>
      <c r="L742" s="4">
        <f t="shared" si="59"/>
        <v>0</v>
      </c>
    </row>
    <row r="743" spans="1:12" x14ac:dyDescent="0.35">
      <c r="A743" s="2" t="s">
        <v>644</v>
      </c>
      <c r="B743" s="2" t="s">
        <v>67</v>
      </c>
      <c r="C743" s="2">
        <v>26.448499999999999</v>
      </c>
      <c r="D743" s="2">
        <v>4000</v>
      </c>
      <c r="E743" s="2">
        <v>443</v>
      </c>
      <c r="F743" s="2">
        <v>41.5</v>
      </c>
      <c r="G743" s="2">
        <v>0</v>
      </c>
      <c r="H743" s="4">
        <f t="shared" si="55"/>
        <v>3.2751994459211442</v>
      </c>
      <c r="I743" s="4">
        <f t="shared" si="56"/>
        <v>8.2940496401020276</v>
      </c>
      <c r="J743" s="4">
        <f t="shared" si="57"/>
        <v>6.0935697700451357</v>
      </c>
      <c r="K743" s="4">
        <f t="shared" si="58"/>
        <v>41.5</v>
      </c>
      <c r="L743" s="4">
        <f t="shared" si="59"/>
        <v>0</v>
      </c>
    </row>
    <row r="744" spans="1:12" x14ac:dyDescent="0.35">
      <c r="A744" s="2" t="s">
        <v>645</v>
      </c>
      <c r="B744" s="2" t="s">
        <v>67</v>
      </c>
      <c r="C744" s="2">
        <v>26.625699999999998</v>
      </c>
      <c r="D744" s="2">
        <v>4000</v>
      </c>
      <c r="E744" s="2">
        <v>443</v>
      </c>
      <c r="F744" s="2">
        <v>41.5</v>
      </c>
      <c r="G744" s="2">
        <v>0</v>
      </c>
      <c r="H744" s="4">
        <f t="shared" si="55"/>
        <v>3.2818769147637967</v>
      </c>
      <c r="I744" s="4">
        <f t="shared" si="56"/>
        <v>8.2940496401020276</v>
      </c>
      <c r="J744" s="4">
        <f t="shared" si="57"/>
        <v>6.0935697700451357</v>
      </c>
      <c r="K744" s="4">
        <f t="shared" si="58"/>
        <v>41.5</v>
      </c>
      <c r="L744" s="4">
        <f t="shared" si="59"/>
        <v>0</v>
      </c>
    </row>
    <row r="745" spans="1:12" x14ac:dyDescent="0.35">
      <c r="A745" s="2" t="s">
        <v>645</v>
      </c>
      <c r="B745" s="2" t="s">
        <v>67</v>
      </c>
      <c r="C745" s="2">
        <v>26.631599999999999</v>
      </c>
      <c r="D745" s="2">
        <v>4000</v>
      </c>
      <c r="E745" s="2">
        <v>379</v>
      </c>
      <c r="F745" s="2">
        <v>41.5</v>
      </c>
      <c r="G745" s="2">
        <v>0</v>
      </c>
      <c r="H745" s="4">
        <f t="shared" si="55"/>
        <v>3.2820984806345468</v>
      </c>
      <c r="I745" s="4">
        <f t="shared" si="56"/>
        <v>8.2940496401020276</v>
      </c>
      <c r="J745" s="4">
        <f t="shared" si="57"/>
        <v>5.9375362050824263</v>
      </c>
      <c r="K745" s="4">
        <f t="shared" si="58"/>
        <v>41.5</v>
      </c>
      <c r="L745" s="4">
        <f t="shared" si="59"/>
        <v>0</v>
      </c>
    </row>
    <row r="746" spans="1:12" x14ac:dyDescent="0.35">
      <c r="A746" s="2" t="s">
        <v>646</v>
      </c>
      <c r="B746" s="2" t="s">
        <v>67</v>
      </c>
      <c r="C746" s="2">
        <v>27.172699999999999</v>
      </c>
      <c r="D746" s="2">
        <v>4000</v>
      </c>
      <c r="E746" s="2">
        <v>443</v>
      </c>
      <c r="F746" s="2">
        <v>41.5</v>
      </c>
      <c r="G746" s="2">
        <v>0</v>
      </c>
      <c r="H746" s="4">
        <f t="shared" si="55"/>
        <v>3.3022127928108573</v>
      </c>
      <c r="I746" s="4">
        <f t="shared" si="56"/>
        <v>8.2940496401020276</v>
      </c>
      <c r="J746" s="4">
        <f t="shared" si="57"/>
        <v>6.0935697700451357</v>
      </c>
      <c r="K746" s="4">
        <f t="shared" si="58"/>
        <v>41.5</v>
      </c>
      <c r="L746" s="4">
        <f t="shared" si="59"/>
        <v>0</v>
      </c>
    </row>
    <row r="747" spans="1:12" x14ac:dyDescent="0.35">
      <c r="A747" s="2" t="s">
        <v>646</v>
      </c>
      <c r="B747" s="2" t="s">
        <v>67</v>
      </c>
      <c r="C747" s="2">
        <v>26.065100000000001</v>
      </c>
      <c r="D747" s="2">
        <v>4000</v>
      </c>
      <c r="E747" s="2">
        <v>443</v>
      </c>
      <c r="F747" s="2">
        <v>41.5</v>
      </c>
      <c r="G747" s="2">
        <v>0</v>
      </c>
      <c r="H747" s="4">
        <f t="shared" si="55"/>
        <v>3.2605972547751496</v>
      </c>
      <c r="I747" s="4">
        <f t="shared" si="56"/>
        <v>8.2940496401020276</v>
      </c>
      <c r="J747" s="4">
        <f t="shared" si="57"/>
        <v>6.0935697700451357</v>
      </c>
      <c r="K747" s="4">
        <f t="shared" si="58"/>
        <v>41.5</v>
      </c>
      <c r="L747" s="4">
        <f t="shared" si="59"/>
        <v>0</v>
      </c>
    </row>
    <row r="748" spans="1:12" x14ac:dyDescent="0.35">
      <c r="A748" s="2" t="s">
        <v>647</v>
      </c>
      <c r="B748" s="2" t="s">
        <v>67</v>
      </c>
      <c r="C748" s="2">
        <v>27.605399999999999</v>
      </c>
      <c r="D748" s="2">
        <v>4000</v>
      </c>
      <c r="E748" s="2">
        <v>379</v>
      </c>
      <c r="F748" s="2">
        <v>41.5</v>
      </c>
      <c r="G748" s="2">
        <v>0</v>
      </c>
      <c r="H748" s="4">
        <f t="shared" si="55"/>
        <v>3.3180114057596271</v>
      </c>
      <c r="I748" s="4">
        <f t="shared" si="56"/>
        <v>8.2940496401020276</v>
      </c>
      <c r="J748" s="4">
        <f t="shared" si="57"/>
        <v>5.9375362050824263</v>
      </c>
      <c r="K748" s="4">
        <f t="shared" si="58"/>
        <v>41.5</v>
      </c>
      <c r="L748" s="4">
        <f t="shared" si="59"/>
        <v>0</v>
      </c>
    </row>
    <row r="749" spans="1:12" x14ac:dyDescent="0.35">
      <c r="A749" s="2" t="s">
        <v>648</v>
      </c>
      <c r="B749" s="2" t="s">
        <v>67</v>
      </c>
      <c r="C749" s="2">
        <v>27.292899999999999</v>
      </c>
      <c r="D749" s="2">
        <v>4000</v>
      </c>
      <c r="E749" s="2">
        <v>379</v>
      </c>
      <c r="F749" s="2">
        <v>41.5</v>
      </c>
      <c r="G749" s="2">
        <v>0</v>
      </c>
      <c r="H749" s="4">
        <f t="shared" si="55"/>
        <v>3.3066265951059255</v>
      </c>
      <c r="I749" s="4">
        <f t="shared" si="56"/>
        <v>8.2940496401020276</v>
      </c>
      <c r="J749" s="4">
        <f t="shared" si="57"/>
        <v>5.9375362050824263</v>
      </c>
      <c r="K749" s="4">
        <f t="shared" si="58"/>
        <v>41.5</v>
      </c>
      <c r="L749" s="4">
        <f t="shared" si="59"/>
        <v>0</v>
      </c>
    </row>
    <row r="750" spans="1:12" x14ac:dyDescent="0.35">
      <c r="A750" s="2" t="s">
        <v>649</v>
      </c>
      <c r="B750" s="2" t="s">
        <v>67</v>
      </c>
      <c r="C750" s="2">
        <v>27.511399999999998</v>
      </c>
      <c r="D750" s="2">
        <v>4000</v>
      </c>
      <c r="E750" s="2">
        <v>379</v>
      </c>
      <c r="F750" s="2">
        <v>41.5</v>
      </c>
      <c r="G750" s="2">
        <v>0</v>
      </c>
      <c r="H750" s="4">
        <f t="shared" si="55"/>
        <v>3.3146004642268427</v>
      </c>
      <c r="I750" s="4">
        <f t="shared" si="56"/>
        <v>8.2940496401020276</v>
      </c>
      <c r="J750" s="4">
        <f t="shared" si="57"/>
        <v>5.9375362050824263</v>
      </c>
      <c r="K750" s="4">
        <f t="shared" si="58"/>
        <v>41.5</v>
      </c>
      <c r="L750" s="4">
        <f t="shared" si="59"/>
        <v>0</v>
      </c>
    </row>
    <row r="751" spans="1:12" x14ac:dyDescent="0.35">
      <c r="A751" s="2" t="s">
        <v>650</v>
      </c>
      <c r="B751" s="2" t="s">
        <v>67</v>
      </c>
      <c r="C751" s="2">
        <v>21.2837</v>
      </c>
      <c r="D751" s="2">
        <v>4000</v>
      </c>
      <c r="E751" s="2">
        <v>572</v>
      </c>
      <c r="F751" s="2">
        <v>42</v>
      </c>
      <c r="G751" s="2">
        <v>0</v>
      </c>
      <c r="H751" s="4">
        <f t="shared" si="55"/>
        <v>3.0579415215398793</v>
      </c>
      <c r="I751" s="4">
        <f t="shared" si="56"/>
        <v>8.2940496401020276</v>
      </c>
      <c r="J751" s="4">
        <f t="shared" si="57"/>
        <v>6.3491389913797978</v>
      </c>
      <c r="K751" s="4">
        <f t="shared" si="58"/>
        <v>42</v>
      </c>
      <c r="L751" s="4">
        <f t="shared" si="59"/>
        <v>0</v>
      </c>
    </row>
    <row r="752" spans="1:12" x14ac:dyDescent="0.35">
      <c r="A752" s="2" t="s">
        <v>651</v>
      </c>
      <c r="B752" s="2" t="s">
        <v>67</v>
      </c>
      <c r="C752" s="2">
        <v>20.780899999999999</v>
      </c>
      <c r="D752" s="2">
        <v>4000</v>
      </c>
      <c r="E752" s="2">
        <v>572</v>
      </c>
      <c r="F752" s="2">
        <v>42</v>
      </c>
      <c r="G752" s="2">
        <v>0</v>
      </c>
      <c r="H752" s="4">
        <f t="shared" si="55"/>
        <v>3.0340342956090347</v>
      </c>
      <c r="I752" s="4">
        <f t="shared" si="56"/>
        <v>8.2940496401020276</v>
      </c>
      <c r="J752" s="4">
        <f t="shared" si="57"/>
        <v>6.3491389913797978</v>
      </c>
      <c r="K752" s="4">
        <f t="shared" si="58"/>
        <v>42</v>
      </c>
      <c r="L752" s="4">
        <f t="shared" si="59"/>
        <v>0</v>
      </c>
    </row>
    <row r="753" spans="1:12" x14ac:dyDescent="0.35">
      <c r="A753" s="2" t="s">
        <v>652</v>
      </c>
      <c r="B753" s="2" t="s">
        <v>67</v>
      </c>
      <c r="C753" s="2">
        <v>21.349499999999999</v>
      </c>
      <c r="D753" s="2">
        <v>4000</v>
      </c>
      <c r="E753" s="2">
        <v>640</v>
      </c>
      <c r="F753" s="2">
        <v>42</v>
      </c>
      <c r="G753" s="2">
        <v>0</v>
      </c>
      <c r="H753" s="4">
        <f t="shared" si="55"/>
        <v>3.0610283201966526</v>
      </c>
      <c r="I753" s="4">
        <f t="shared" si="56"/>
        <v>8.2940496401020276</v>
      </c>
      <c r="J753" s="4">
        <f t="shared" si="57"/>
        <v>6.4614681763537174</v>
      </c>
      <c r="K753" s="4">
        <f t="shared" si="58"/>
        <v>42</v>
      </c>
      <c r="L753" s="4">
        <f t="shared" si="59"/>
        <v>0</v>
      </c>
    </row>
    <row r="754" spans="1:12" x14ac:dyDescent="0.35">
      <c r="A754" s="2" t="s">
        <v>653</v>
      </c>
      <c r="B754" s="2" t="s">
        <v>67</v>
      </c>
      <c r="C754" s="2">
        <v>21.113600000000002</v>
      </c>
      <c r="D754" s="2">
        <v>4000</v>
      </c>
      <c r="E754" s="2">
        <v>640</v>
      </c>
      <c r="F754" s="2">
        <v>42</v>
      </c>
      <c r="G754" s="2">
        <v>0</v>
      </c>
      <c r="H754" s="4">
        <f t="shared" si="55"/>
        <v>3.0499173826120707</v>
      </c>
      <c r="I754" s="4">
        <f t="shared" si="56"/>
        <v>8.2940496401020276</v>
      </c>
      <c r="J754" s="4">
        <f t="shared" si="57"/>
        <v>6.4614681763537174</v>
      </c>
      <c r="K754" s="4">
        <f t="shared" si="58"/>
        <v>42</v>
      </c>
      <c r="L754" s="4">
        <f t="shared" si="59"/>
        <v>0</v>
      </c>
    </row>
    <row r="755" spans="1:12" x14ac:dyDescent="0.35">
      <c r="A755" s="2" t="s">
        <v>654</v>
      </c>
      <c r="B755" s="2" t="s">
        <v>67</v>
      </c>
      <c r="C755" s="2">
        <v>26.0246</v>
      </c>
      <c r="D755" s="2">
        <v>4000</v>
      </c>
      <c r="E755" s="2">
        <v>473</v>
      </c>
      <c r="F755" s="2">
        <v>41.5</v>
      </c>
      <c r="G755" s="2">
        <v>0</v>
      </c>
      <c r="H755" s="4">
        <f t="shared" si="55"/>
        <v>3.2590422445462197</v>
      </c>
      <c r="I755" s="4">
        <f t="shared" si="56"/>
        <v>8.2940496401020276</v>
      </c>
      <c r="J755" s="4">
        <f t="shared" si="57"/>
        <v>6.1590953884919326</v>
      </c>
      <c r="K755" s="4">
        <f t="shared" si="58"/>
        <v>41.5</v>
      </c>
      <c r="L755" s="4">
        <f t="shared" si="59"/>
        <v>0</v>
      </c>
    </row>
    <row r="756" spans="1:12" x14ac:dyDescent="0.35">
      <c r="A756" s="2" t="s">
        <v>654</v>
      </c>
      <c r="B756" s="2" t="s">
        <v>67</v>
      </c>
      <c r="C756" s="2">
        <v>26.0747</v>
      </c>
      <c r="D756" s="2">
        <v>4000</v>
      </c>
      <c r="E756" s="2">
        <v>473</v>
      </c>
      <c r="F756" s="2">
        <v>41.5</v>
      </c>
      <c r="G756" s="2">
        <v>0</v>
      </c>
      <c r="H756" s="4">
        <f t="shared" si="55"/>
        <v>3.2609654955473997</v>
      </c>
      <c r="I756" s="4">
        <f t="shared" si="56"/>
        <v>8.2940496401020276</v>
      </c>
      <c r="J756" s="4">
        <f t="shared" si="57"/>
        <v>6.1590953884919326</v>
      </c>
      <c r="K756" s="4">
        <f t="shared" si="58"/>
        <v>41.5</v>
      </c>
      <c r="L756" s="4">
        <f t="shared" si="59"/>
        <v>0</v>
      </c>
    </row>
    <row r="757" spans="1:12" x14ac:dyDescent="0.35">
      <c r="A757" s="2" t="s">
        <v>655</v>
      </c>
      <c r="B757" s="2" t="s">
        <v>67</v>
      </c>
      <c r="C757" s="2">
        <v>26.316700000000001</v>
      </c>
      <c r="D757" s="2">
        <v>4000</v>
      </c>
      <c r="E757" s="2">
        <v>473</v>
      </c>
      <c r="F757" s="2">
        <v>41.5</v>
      </c>
      <c r="G757" s="2">
        <v>0</v>
      </c>
      <c r="H757" s="4">
        <f t="shared" si="55"/>
        <v>3.2702037186571853</v>
      </c>
      <c r="I757" s="4">
        <f t="shared" si="56"/>
        <v>8.2940496401020276</v>
      </c>
      <c r="J757" s="4">
        <f t="shared" si="57"/>
        <v>6.1590953884919326</v>
      </c>
      <c r="K757" s="4">
        <f t="shared" si="58"/>
        <v>41.5</v>
      </c>
      <c r="L757" s="4">
        <f t="shared" si="59"/>
        <v>0</v>
      </c>
    </row>
    <row r="758" spans="1:12" x14ac:dyDescent="0.35">
      <c r="A758" s="2" t="s">
        <v>655</v>
      </c>
      <c r="B758" s="2" t="s">
        <v>67</v>
      </c>
      <c r="C758" s="2">
        <v>26.311399999999999</v>
      </c>
      <c r="D758" s="2">
        <v>4000</v>
      </c>
      <c r="E758" s="2">
        <v>473</v>
      </c>
      <c r="F758" s="2">
        <v>41.5</v>
      </c>
      <c r="G758" s="2">
        <v>0</v>
      </c>
      <c r="H758" s="4">
        <f t="shared" si="55"/>
        <v>3.270002305343084</v>
      </c>
      <c r="I758" s="4">
        <f t="shared" si="56"/>
        <v>8.2940496401020276</v>
      </c>
      <c r="J758" s="4">
        <f t="shared" si="57"/>
        <v>6.1590953884919326</v>
      </c>
      <c r="K758" s="4">
        <f t="shared" si="58"/>
        <v>41.5</v>
      </c>
      <c r="L758" s="4">
        <f t="shared" si="59"/>
        <v>0</v>
      </c>
    </row>
    <row r="759" spans="1:12" x14ac:dyDescent="0.35">
      <c r="A759" s="2" t="s">
        <v>656</v>
      </c>
      <c r="B759" s="2" t="s">
        <v>67</v>
      </c>
      <c r="C759" s="2">
        <v>25.9496</v>
      </c>
      <c r="D759" s="2">
        <v>4000</v>
      </c>
      <c r="E759" s="2">
        <v>473</v>
      </c>
      <c r="F759" s="2">
        <v>41.5</v>
      </c>
      <c r="G759" s="2">
        <v>0</v>
      </c>
      <c r="H759" s="4">
        <f t="shared" si="55"/>
        <v>3.2561561952349081</v>
      </c>
      <c r="I759" s="4">
        <f t="shared" si="56"/>
        <v>8.2940496401020276</v>
      </c>
      <c r="J759" s="4">
        <f t="shared" si="57"/>
        <v>6.1590953884919326</v>
      </c>
      <c r="K759" s="4">
        <f t="shared" si="58"/>
        <v>41.5</v>
      </c>
      <c r="L759" s="4">
        <f t="shared" si="59"/>
        <v>0</v>
      </c>
    </row>
    <row r="760" spans="1:12" x14ac:dyDescent="0.35">
      <c r="A760" s="2" t="s">
        <v>656</v>
      </c>
      <c r="B760" s="2" t="s">
        <v>67</v>
      </c>
      <c r="C760" s="2">
        <v>25.421800000000001</v>
      </c>
      <c r="D760" s="2">
        <v>4000</v>
      </c>
      <c r="E760" s="2">
        <v>473</v>
      </c>
      <c r="F760" s="2">
        <v>41.5</v>
      </c>
      <c r="G760" s="2">
        <v>0</v>
      </c>
      <c r="H760" s="4">
        <f t="shared" si="55"/>
        <v>3.2356070736398941</v>
      </c>
      <c r="I760" s="4">
        <f t="shared" si="56"/>
        <v>8.2940496401020276</v>
      </c>
      <c r="J760" s="4">
        <f t="shared" si="57"/>
        <v>6.1590953884919326</v>
      </c>
      <c r="K760" s="4">
        <f t="shared" si="58"/>
        <v>41.5</v>
      </c>
      <c r="L760" s="4">
        <f t="shared" si="59"/>
        <v>0</v>
      </c>
    </row>
    <row r="761" spans="1:12" x14ac:dyDescent="0.35">
      <c r="A761" s="2" t="s">
        <v>657</v>
      </c>
      <c r="B761" s="2" t="s">
        <v>67</v>
      </c>
      <c r="C761" s="2">
        <v>25.168399999999998</v>
      </c>
      <c r="D761" s="2">
        <v>4000</v>
      </c>
      <c r="E761" s="2">
        <v>473</v>
      </c>
      <c r="F761" s="2">
        <v>41.5</v>
      </c>
      <c r="G761" s="2">
        <v>0</v>
      </c>
      <c r="H761" s="4">
        <f t="shared" si="55"/>
        <v>3.2255892393873378</v>
      </c>
      <c r="I761" s="4">
        <f t="shared" si="56"/>
        <v>8.2940496401020276</v>
      </c>
      <c r="J761" s="4">
        <f t="shared" si="57"/>
        <v>6.1590953884919326</v>
      </c>
      <c r="K761" s="4">
        <f t="shared" si="58"/>
        <v>41.5</v>
      </c>
      <c r="L761" s="4">
        <f t="shared" si="59"/>
        <v>0</v>
      </c>
    </row>
    <row r="762" spans="1:12" x14ac:dyDescent="0.35">
      <c r="A762" s="2" t="s">
        <v>657</v>
      </c>
      <c r="B762" s="2" t="s">
        <v>67</v>
      </c>
      <c r="C762" s="2">
        <v>25.122299999999999</v>
      </c>
      <c r="D762" s="2">
        <v>4000</v>
      </c>
      <c r="E762" s="2">
        <v>473</v>
      </c>
      <c r="F762" s="2">
        <v>41.5</v>
      </c>
      <c r="G762" s="2">
        <v>0</v>
      </c>
      <c r="H762" s="4">
        <f t="shared" si="55"/>
        <v>3.2237558979181444</v>
      </c>
      <c r="I762" s="4">
        <f t="shared" si="56"/>
        <v>8.2940496401020276</v>
      </c>
      <c r="J762" s="4">
        <f t="shared" si="57"/>
        <v>6.1590953884919326</v>
      </c>
      <c r="K762" s="4">
        <f t="shared" si="58"/>
        <v>41.5</v>
      </c>
      <c r="L762" s="4">
        <f t="shared" si="59"/>
        <v>0</v>
      </c>
    </row>
    <row r="763" spans="1:12" x14ac:dyDescent="0.35">
      <c r="A763" s="2" t="s">
        <v>658</v>
      </c>
      <c r="B763" s="2" t="s">
        <v>67</v>
      </c>
      <c r="C763" s="2">
        <v>25.186699999999998</v>
      </c>
      <c r="D763" s="2">
        <v>4000</v>
      </c>
      <c r="E763" s="2">
        <v>473</v>
      </c>
      <c r="F763" s="2">
        <v>41.5</v>
      </c>
      <c r="G763" s="2">
        <v>0</v>
      </c>
      <c r="H763" s="4">
        <f t="shared" si="55"/>
        <v>3.226316077415885</v>
      </c>
      <c r="I763" s="4">
        <f t="shared" si="56"/>
        <v>8.2940496401020276</v>
      </c>
      <c r="J763" s="4">
        <f t="shared" si="57"/>
        <v>6.1590953884919326</v>
      </c>
      <c r="K763" s="4">
        <f t="shared" si="58"/>
        <v>41.5</v>
      </c>
      <c r="L763" s="4">
        <f t="shared" si="59"/>
        <v>0</v>
      </c>
    </row>
    <row r="764" spans="1:12" x14ac:dyDescent="0.35">
      <c r="A764" s="2" t="s">
        <v>658</v>
      </c>
      <c r="B764" s="2" t="s">
        <v>67</v>
      </c>
      <c r="C764" s="2">
        <v>25.122299999999999</v>
      </c>
      <c r="D764" s="2">
        <v>4000</v>
      </c>
      <c r="E764" s="2">
        <v>473</v>
      </c>
      <c r="F764" s="2">
        <v>41.5</v>
      </c>
      <c r="G764" s="2">
        <v>0</v>
      </c>
      <c r="H764" s="4">
        <f t="shared" si="55"/>
        <v>3.2237558979181444</v>
      </c>
      <c r="I764" s="4">
        <f t="shared" si="56"/>
        <v>8.2940496401020276</v>
      </c>
      <c r="J764" s="4">
        <f t="shared" si="57"/>
        <v>6.1590953884919326</v>
      </c>
      <c r="K764" s="4">
        <f t="shared" si="58"/>
        <v>41.5</v>
      </c>
      <c r="L764" s="4">
        <f t="shared" si="59"/>
        <v>0</v>
      </c>
    </row>
    <row r="765" spans="1:12" x14ac:dyDescent="0.35">
      <c r="A765" s="2" t="s">
        <v>659</v>
      </c>
      <c r="B765" s="2" t="s">
        <v>67</v>
      </c>
      <c r="C765" s="2">
        <v>20.025200000000002</v>
      </c>
      <c r="D765" s="2">
        <v>3500</v>
      </c>
      <c r="E765" s="2">
        <v>502</v>
      </c>
      <c r="F765" s="2">
        <v>41.6</v>
      </c>
      <c r="G765" s="2">
        <v>0</v>
      </c>
      <c r="H765" s="4">
        <f t="shared" si="55"/>
        <v>2.9969914804201534</v>
      </c>
      <c r="I765" s="4">
        <f t="shared" si="56"/>
        <v>8.1605182474775049</v>
      </c>
      <c r="J765" s="4">
        <f t="shared" si="57"/>
        <v>6.2186001196917289</v>
      </c>
      <c r="K765" s="4">
        <f t="shared" si="58"/>
        <v>41.6</v>
      </c>
      <c r="L765" s="4">
        <f t="shared" si="59"/>
        <v>0</v>
      </c>
    </row>
    <row r="766" spans="1:12" x14ac:dyDescent="0.35">
      <c r="A766" s="2" t="s">
        <v>659</v>
      </c>
      <c r="B766" s="2" t="s">
        <v>67</v>
      </c>
      <c r="C766" s="2">
        <v>19.720800000000001</v>
      </c>
      <c r="D766" s="2">
        <v>3500</v>
      </c>
      <c r="E766" s="2">
        <v>502</v>
      </c>
      <c r="F766" s="2">
        <v>41.6</v>
      </c>
      <c r="G766" s="2">
        <v>0</v>
      </c>
      <c r="H766" s="4">
        <f t="shared" si="55"/>
        <v>2.9816739163029506</v>
      </c>
      <c r="I766" s="4">
        <f t="shared" si="56"/>
        <v>8.1605182474775049</v>
      </c>
      <c r="J766" s="4">
        <f t="shared" si="57"/>
        <v>6.2186001196917289</v>
      </c>
      <c r="K766" s="4">
        <f t="shared" si="58"/>
        <v>41.6</v>
      </c>
      <c r="L766" s="4">
        <f t="shared" si="59"/>
        <v>0</v>
      </c>
    </row>
    <row r="767" spans="1:12" x14ac:dyDescent="0.35">
      <c r="A767" s="2" t="s">
        <v>660</v>
      </c>
      <c r="B767" s="2" t="s">
        <v>67</v>
      </c>
      <c r="C767" s="2">
        <v>19.980399999999999</v>
      </c>
      <c r="D767" s="2">
        <v>3500</v>
      </c>
      <c r="E767" s="2">
        <v>518</v>
      </c>
      <c r="F767" s="2">
        <v>41.6</v>
      </c>
      <c r="G767" s="2">
        <v>0</v>
      </c>
      <c r="H767" s="4">
        <f t="shared" si="55"/>
        <v>2.9947517930400296</v>
      </c>
      <c r="I767" s="4">
        <f t="shared" si="56"/>
        <v>8.1605182474775049</v>
      </c>
      <c r="J767" s="4">
        <f t="shared" si="57"/>
        <v>6.2499752422594828</v>
      </c>
      <c r="K767" s="4">
        <f t="shared" si="58"/>
        <v>41.6</v>
      </c>
      <c r="L767" s="4">
        <f t="shared" si="59"/>
        <v>0</v>
      </c>
    </row>
    <row r="768" spans="1:12" x14ac:dyDescent="0.35">
      <c r="A768" s="2" t="s">
        <v>661</v>
      </c>
      <c r="B768" s="2" t="s">
        <v>67</v>
      </c>
      <c r="C768" s="2">
        <v>20.025200000000002</v>
      </c>
      <c r="D768" s="2">
        <v>3500</v>
      </c>
      <c r="E768" s="2">
        <v>502</v>
      </c>
      <c r="F768" s="2">
        <v>41.6</v>
      </c>
      <c r="G768" s="2">
        <v>0</v>
      </c>
      <c r="H768" s="4">
        <f t="shared" si="55"/>
        <v>2.9969914804201534</v>
      </c>
      <c r="I768" s="4">
        <f t="shared" si="56"/>
        <v>8.1605182474775049</v>
      </c>
      <c r="J768" s="4">
        <f t="shared" si="57"/>
        <v>6.2186001196917289</v>
      </c>
      <c r="K768" s="4">
        <f t="shared" si="58"/>
        <v>41.6</v>
      </c>
      <c r="L768" s="4">
        <f t="shared" si="59"/>
        <v>0</v>
      </c>
    </row>
    <row r="769" spans="1:12" x14ac:dyDescent="0.35">
      <c r="A769" s="2" t="s">
        <v>661</v>
      </c>
      <c r="B769" s="2" t="s">
        <v>67</v>
      </c>
      <c r="C769" s="2">
        <v>19.720800000000001</v>
      </c>
      <c r="D769" s="2">
        <v>3500</v>
      </c>
      <c r="E769" s="2">
        <v>502</v>
      </c>
      <c r="F769" s="2">
        <v>41.6</v>
      </c>
      <c r="G769" s="2">
        <v>0</v>
      </c>
      <c r="H769" s="4">
        <f t="shared" si="55"/>
        <v>2.9816739163029506</v>
      </c>
      <c r="I769" s="4">
        <f t="shared" si="56"/>
        <v>8.1605182474775049</v>
      </c>
      <c r="J769" s="4">
        <f t="shared" si="57"/>
        <v>6.2186001196917289</v>
      </c>
      <c r="K769" s="4">
        <f t="shared" si="58"/>
        <v>41.6</v>
      </c>
      <c r="L769" s="4">
        <f t="shared" si="59"/>
        <v>0</v>
      </c>
    </row>
    <row r="770" spans="1:12" x14ac:dyDescent="0.35">
      <c r="A770" s="2" t="s">
        <v>662</v>
      </c>
      <c r="B770" s="2" t="s">
        <v>67</v>
      </c>
      <c r="C770" s="2">
        <v>19.366099999999999</v>
      </c>
      <c r="D770" s="2">
        <v>3500</v>
      </c>
      <c r="E770" s="2">
        <v>518</v>
      </c>
      <c r="F770" s="2">
        <v>41.6</v>
      </c>
      <c r="G770" s="2">
        <v>0</v>
      </c>
      <c r="H770" s="4">
        <f t="shared" ref="H770:H833" si="60">LN(C770)</f>
        <v>2.9635241148649469</v>
      </c>
      <c r="I770" s="4">
        <f t="shared" ref="I770:I833" si="61">LN(D770)</f>
        <v>8.1605182474775049</v>
      </c>
      <c r="J770" s="4">
        <f t="shared" ref="J770:J833" si="62">LN(E770)</f>
        <v>6.2499752422594828</v>
      </c>
      <c r="K770" s="4">
        <f t="shared" ref="K770:K833" si="63">F770</f>
        <v>41.6</v>
      </c>
      <c r="L770" s="4">
        <f t="shared" ref="L770:L833" si="64">G770</f>
        <v>0</v>
      </c>
    </row>
    <row r="771" spans="1:12" x14ac:dyDescent="0.35">
      <c r="A771" s="2" t="s">
        <v>663</v>
      </c>
      <c r="B771" s="2" t="s">
        <v>67</v>
      </c>
      <c r="C771" s="2">
        <v>25.1859</v>
      </c>
      <c r="D771" s="2">
        <v>4000</v>
      </c>
      <c r="E771" s="2">
        <v>473</v>
      </c>
      <c r="F771" s="2">
        <v>41.5</v>
      </c>
      <c r="G771" s="2">
        <v>0</v>
      </c>
      <c r="H771" s="4">
        <f t="shared" si="60"/>
        <v>3.2262843141159929</v>
      </c>
      <c r="I771" s="4">
        <f t="shared" si="61"/>
        <v>8.2940496401020276</v>
      </c>
      <c r="J771" s="4">
        <f t="shared" si="62"/>
        <v>6.1590953884919326</v>
      </c>
      <c r="K771" s="4">
        <f t="shared" si="63"/>
        <v>41.5</v>
      </c>
      <c r="L771" s="4">
        <f t="shared" si="64"/>
        <v>0</v>
      </c>
    </row>
    <row r="772" spans="1:12" x14ac:dyDescent="0.35">
      <c r="A772" s="2" t="s">
        <v>664</v>
      </c>
      <c r="B772" s="2" t="s">
        <v>67</v>
      </c>
      <c r="C772" s="2">
        <v>27.932200000000002</v>
      </c>
      <c r="D772" s="2">
        <v>4500</v>
      </c>
      <c r="E772" s="2">
        <v>348</v>
      </c>
      <c r="F772" s="2">
        <v>52.4</v>
      </c>
      <c r="G772" s="2">
        <v>0</v>
      </c>
      <c r="H772" s="4">
        <f t="shared" si="60"/>
        <v>3.3297801452044671</v>
      </c>
      <c r="I772" s="4">
        <f t="shared" si="61"/>
        <v>8.4118326757584114</v>
      </c>
      <c r="J772" s="4">
        <f t="shared" si="62"/>
        <v>5.8522024797744745</v>
      </c>
      <c r="K772" s="4">
        <f t="shared" si="63"/>
        <v>52.4</v>
      </c>
      <c r="L772" s="4">
        <f t="shared" si="64"/>
        <v>0</v>
      </c>
    </row>
    <row r="773" spans="1:12" x14ac:dyDescent="0.35">
      <c r="A773" s="2" t="s">
        <v>665</v>
      </c>
      <c r="B773" s="2" t="s">
        <v>67</v>
      </c>
      <c r="C773" s="2">
        <v>28.194199999999999</v>
      </c>
      <c r="D773" s="2">
        <v>4500</v>
      </c>
      <c r="E773" s="2">
        <v>348</v>
      </c>
      <c r="F773" s="2">
        <v>52.4</v>
      </c>
      <c r="G773" s="2">
        <v>0</v>
      </c>
      <c r="H773" s="4">
        <f t="shared" si="60"/>
        <v>3.3391162830314545</v>
      </c>
      <c r="I773" s="4">
        <f t="shared" si="61"/>
        <v>8.4118326757584114</v>
      </c>
      <c r="J773" s="4">
        <f t="shared" si="62"/>
        <v>5.8522024797744745</v>
      </c>
      <c r="K773" s="4">
        <f t="shared" si="63"/>
        <v>52.4</v>
      </c>
      <c r="L773" s="4">
        <f t="shared" si="64"/>
        <v>0</v>
      </c>
    </row>
    <row r="774" spans="1:12" x14ac:dyDescent="0.35">
      <c r="A774" s="2" t="s">
        <v>666</v>
      </c>
      <c r="B774" s="2" t="s">
        <v>67</v>
      </c>
      <c r="C774" s="2">
        <v>28.452999999999999</v>
      </c>
      <c r="D774" s="2">
        <v>3500</v>
      </c>
      <c r="E774" s="2">
        <v>300</v>
      </c>
      <c r="F774" s="2">
        <v>40.700000000000003</v>
      </c>
      <c r="G774" s="2">
        <v>0</v>
      </c>
      <c r="H774" s="4">
        <f t="shared" si="60"/>
        <v>3.3482536031677315</v>
      </c>
      <c r="I774" s="4">
        <f t="shared" si="61"/>
        <v>8.1605182474775049</v>
      </c>
      <c r="J774" s="4">
        <f t="shared" si="62"/>
        <v>5.7037824746562009</v>
      </c>
      <c r="K774" s="4">
        <f t="shared" si="63"/>
        <v>40.700000000000003</v>
      </c>
      <c r="L774" s="4">
        <f t="shared" si="64"/>
        <v>0</v>
      </c>
    </row>
    <row r="775" spans="1:12" x14ac:dyDescent="0.35">
      <c r="A775" s="2" t="s">
        <v>666</v>
      </c>
      <c r="B775" s="2" t="s">
        <v>67</v>
      </c>
      <c r="C775" s="2">
        <v>31.279399999999999</v>
      </c>
      <c r="D775" s="2">
        <v>3500</v>
      </c>
      <c r="E775" s="2">
        <v>300</v>
      </c>
      <c r="F775" s="2">
        <v>40.700000000000003</v>
      </c>
      <c r="G775" s="2">
        <v>0</v>
      </c>
      <c r="H775" s="4">
        <f t="shared" si="60"/>
        <v>3.4429597339074638</v>
      </c>
      <c r="I775" s="4">
        <f t="shared" si="61"/>
        <v>8.1605182474775049</v>
      </c>
      <c r="J775" s="4">
        <f t="shared" si="62"/>
        <v>5.7037824746562009</v>
      </c>
      <c r="K775" s="4">
        <f t="shared" si="63"/>
        <v>40.700000000000003</v>
      </c>
      <c r="L775" s="4">
        <f t="shared" si="64"/>
        <v>0</v>
      </c>
    </row>
    <row r="776" spans="1:12" x14ac:dyDescent="0.35">
      <c r="A776" s="2" t="s">
        <v>667</v>
      </c>
      <c r="B776" s="2" t="s">
        <v>67</v>
      </c>
      <c r="C776" s="2">
        <v>28.452999999999999</v>
      </c>
      <c r="D776" s="2">
        <v>3500</v>
      </c>
      <c r="E776" s="2">
        <v>300</v>
      </c>
      <c r="F776" s="2">
        <v>40.700000000000003</v>
      </c>
      <c r="G776" s="2">
        <v>0</v>
      </c>
      <c r="H776" s="4">
        <f t="shared" si="60"/>
        <v>3.3482536031677315</v>
      </c>
      <c r="I776" s="4">
        <f t="shared" si="61"/>
        <v>8.1605182474775049</v>
      </c>
      <c r="J776" s="4">
        <f t="shared" si="62"/>
        <v>5.7037824746562009</v>
      </c>
      <c r="K776" s="4">
        <f t="shared" si="63"/>
        <v>40.700000000000003</v>
      </c>
      <c r="L776" s="4">
        <f t="shared" si="64"/>
        <v>0</v>
      </c>
    </row>
    <row r="777" spans="1:12" x14ac:dyDescent="0.35">
      <c r="A777" s="2" t="s">
        <v>667</v>
      </c>
      <c r="B777" s="2" t="s">
        <v>67</v>
      </c>
      <c r="C777" s="2">
        <v>31.279399999999999</v>
      </c>
      <c r="D777" s="2">
        <v>3500</v>
      </c>
      <c r="E777" s="2">
        <v>300</v>
      </c>
      <c r="F777" s="2">
        <v>40.700000000000003</v>
      </c>
      <c r="G777" s="2">
        <v>0</v>
      </c>
      <c r="H777" s="4">
        <f t="shared" si="60"/>
        <v>3.4429597339074638</v>
      </c>
      <c r="I777" s="4">
        <f t="shared" si="61"/>
        <v>8.1605182474775049</v>
      </c>
      <c r="J777" s="4">
        <f t="shared" si="62"/>
        <v>5.7037824746562009</v>
      </c>
      <c r="K777" s="4">
        <f t="shared" si="63"/>
        <v>40.700000000000003</v>
      </c>
      <c r="L777" s="4">
        <f t="shared" si="64"/>
        <v>0</v>
      </c>
    </row>
    <row r="778" spans="1:12" x14ac:dyDescent="0.35">
      <c r="A778" s="2" t="s">
        <v>668</v>
      </c>
      <c r="B778" s="2" t="s">
        <v>67</v>
      </c>
      <c r="C778" s="2">
        <v>27.454000000000001</v>
      </c>
      <c r="D778" s="2">
        <v>3500</v>
      </c>
      <c r="E778" s="2">
        <v>350</v>
      </c>
      <c r="F778" s="2">
        <v>40.700000000000003</v>
      </c>
      <c r="G778" s="2">
        <v>0</v>
      </c>
      <c r="H778" s="4">
        <f t="shared" si="60"/>
        <v>3.3125118768294679</v>
      </c>
      <c r="I778" s="4">
        <f t="shared" si="61"/>
        <v>8.1605182474775049</v>
      </c>
      <c r="J778" s="4">
        <f t="shared" si="62"/>
        <v>5.857933154483459</v>
      </c>
      <c r="K778" s="4">
        <f t="shared" si="63"/>
        <v>40.700000000000003</v>
      </c>
      <c r="L778" s="4">
        <f t="shared" si="64"/>
        <v>0</v>
      </c>
    </row>
    <row r="779" spans="1:12" x14ac:dyDescent="0.35">
      <c r="A779" s="2" t="s">
        <v>668</v>
      </c>
      <c r="B779" s="2" t="s">
        <v>67</v>
      </c>
      <c r="C779" s="2">
        <v>28.359100000000002</v>
      </c>
      <c r="D779" s="2">
        <v>3500</v>
      </c>
      <c r="E779" s="2">
        <v>350</v>
      </c>
      <c r="F779" s="2">
        <v>40.700000000000003</v>
      </c>
      <c r="G779" s="2">
        <v>0</v>
      </c>
      <c r="H779" s="4">
        <f t="shared" si="60"/>
        <v>3.3449479663225663</v>
      </c>
      <c r="I779" s="4">
        <f t="shared" si="61"/>
        <v>8.1605182474775049</v>
      </c>
      <c r="J779" s="4">
        <f t="shared" si="62"/>
        <v>5.857933154483459</v>
      </c>
      <c r="K779" s="4">
        <f t="shared" si="63"/>
        <v>40.700000000000003</v>
      </c>
      <c r="L779" s="4">
        <f t="shared" si="64"/>
        <v>0</v>
      </c>
    </row>
    <row r="780" spans="1:12" x14ac:dyDescent="0.35">
      <c r="A780" s="2" t="s">
        <v>669</v>
      </c>
      <c r="B780" s="2" t="s">
        <v>67</v>
      </c>
      <c r="C780" s="2">
        <v>27.454000000000001</v>
      </c>
      <c r="D780" s="2">
        <v>3500</v>
      </c>
      <c r="E780" s="2">
        <v>350</v>
      </c>
      <c r="F780" s="2">
        <v>40.700000000000003</v>
      </c>
      <c r="G780" s="2">
        <v>0</v>
      </c>
      <c r="H780" s="4">
        <f t="shared" si="60"/>
        <v>3.3125118768294679</v>
      </c>
      <c r="I780" s="4">
        <f t="shared" si="61"/>
        <v>8.1605182474775049</v>
      </c>
      <c r="J780" s="4">
        <f t="shared" si="62"/>
        <v>5.857933154483459</v>
      </c>
      <c r="K780" s="4">
        <f t="shared" si="63"/>
        <v>40.700000000000003</v>
      </c>
      <c r="L780" s="4">
        <f t="shared" si="64"/>
        <v>0</v>
      </c>
    </row>
    <row r="781" spans="1:12" x14ac:dyDescent="0.35">
      <c r="A781" s="2" t="s">
        <v>669</v>
      </c>
      <c r="B781" s="2" t="s">
        <v>67</v>
      </c>
      <c r="C781" s="2">
        <v>28.359100000000002</v>
      </c>
      <c r="D781" s="2">
        <v>3500</v>
      </c>
      <c r="E781" s="2">
        <v>350</v>
      </c>
      <c r="F781" s="2">
        <v>40.700000000000003</v>
      </c>
      <c r="G781" s="2">
        <v>0</v>
      </c>
      <c r="H781" s="4">
        <f t="shared" si="60"/>
        <v>3.3449479663225663</v>
      </c>
      <c r="I781" s="4">
        <f t="shared" si="61"/>
        <v>8.1605182474775049</v>
      </c>
      <c r="J781" s="4">
        <f t="shared" si="62"/>
        <v>5.857933154483459</v>
      </c>
      <c r="K781" s="4">
        <f t="shared" si="63"/>
        <v>40.700000000000003</v>
      </c>
      <c r="L781" s="4">
        <f t="shared" si="64"/>
        <v>0</v>
      </c>
    </row>
    <row r="782" spans="1:12" x14ac:dyDescent="0.35">
      <c r="A782" s="2" t="s">
        <v>670</v>
      </c>
      <c r="B782" s="2" t="s">
        <v>67</v>
      </c>
      <c r="C782" s="2">
        <v>25.082599999999999</v>
      </c>
      <c r="D782" s="2">
        <v>3500</v>
      </c>
      <c r="E782" s="2">
        <v>414</v>
      </c>
      <c r="F782" s="2">
        <v>40.700000000000003</v>
      </c>
      <c r="G782" s="2">
        <v>0</v>
      </c>
      <c r="H782" s="4">
        <f t="shared" si="60"/>
        <v>3.2221743786530999</v>
      </c>
      <c r="I782" s="4">
        <f t="shared" si="61"/>
        <v>8.1605182474775049</v>
      </c>
      <c r="J782" s="4">
        <f t="shared" si="62"/>
        <v>6.0258659738253142</v>
      </c>
      <c r="K782" s="4">
        <f t="shared" si="63"/>
        <v>40.700000000000003</v>
      </c>
      <c r="L782" s="4">
        <f t="shared" si="64"/>
        <v>0</v>
      </c>
    </row>
    <row r="783" spans="1:12" x14ac:dyDescent="0.35">
      <c r="A783" s="2" t="s">
        <v>670</v>
      </c>
      <c r="B783" s="2" t="s">
        <v>67</v>
      </c>
      <c r="C783" s="2">
        <v>27.6739</v>
      </c>
      <c r="D783" s="2">
        <v>3500</v>
      </c>
      <c r="E783" s="2">
        <v>414</v>
      </c>
      <c r="F783" s="2">
        <v>40.700000000000003</v>
      </c>
      <c r="G783" s="2">
        <v>0</v>
      </c>
      <c r="H783" s="4">
        <f t="shared" si="60"/>
        <v>3.3204897307406278</v>
      </c>
      <c r="I783" s="4">
        <f t="shared" si="61"/>
        <v>8.1605182474775049</v>
      </c>
      <c r="J783" s="4">
        <f t="shared" si="62"/>
        <v>6.0258659738253142</v>
      </c>
      <c r="K783" s="4">
        <f t="shared" si="63"/>
        <v>40.700000000000003</v>
      </c>
      <c r="L783" s="4">
        <f t="shared" si="64"/>
        <v>0</v>
      </c>
    </row>
    <row r="784" spans="1:12" x14ac:dyDescent="0.35">
      <c r="A784" s="2" t="s">
        <v>671</v>
      </c>
      <c r="B784" s="2" t="s">
        <v>67</v>
      </c>
      <c r="C784" s="2">
        <v>25.082599999999999</v>
      </c>
      <c r="D784" s="2">
        <v>3500</v>
      </c>
      <c r="E784" s="2">
        <v>414</v>
      </c>
      <c r="F784" s="2">
        <v>40.700000000000003</v>
      </c>
      <c r="G784" s="2">
        <v>0</v>
      </c>
      <c r="H784" s="4">
        <f t="shared" si="60"/>
        <v>3.2221743786530999</v>
      </c>
      <c r="I784" s="4">
        <f t="shared" si="61"/>
        <v>8.1605182474775049</v>
      </c>
      <c r="J784" s="4">
        <f t="shared" si="62"/>
        <v>6.0258659738253142</v>
      </c>
      <c r="K784" s="4">
        <f t="shared" si="63"/>
        <v>40.700000000000003</v>
      </c>
      <c r="L784" s="4">
        <f t="shared" si="64"/>
        <v>0</v>
      </c>
    </row>
    <row r="785" spans="1:12" x14ac:dyDescent="0.35">
      <c r="A785" s="2" t="s">
        <v>671</v>
      </c>
      <c r="B785" s="2" t="s">
        <v>67</v>
      </c>
      <c r="C785" s="2">
        <v>27.6739</v>
      </c>
      <c r="D785" s="2">
        <v>3500</v>
      </c>
      <c r="E785" s="2">
        <v>414</v>
      </c>
      <c r="F785" s="2">
        <v>40.700000000000003</v>
      </c>
      <c r="G785" s="2">
        <v>0</v>
      </c>
      <c r="H785" s="4">
        <f t="shared" si="60"/>
        <v>3.3204897307406278</v>
      </c>
      <c r="I785" s="4">
        <f t="shared" si="61"/>
        <v>8.1605182474775049</v>
      </c>
      <c r="J785" s="4">
        <f t="shared" si="62"/>
        <v>6.0258659738253142</v>
      </c>
      <c r="K785" s="4">
        <f t="shared" si="63"/>
        <v>40.700000000000003</v>
      </c>
      <c r="L785" s="4">
        <f t="shared" si="64"/>
        <v>0</v>
      </c>
    </row>
    <row r="786" spans="1:12" x14ac:dyDescent="0.35">
      <c r="A786" s="2" t="s">
        <v>672</v>
      </c>
      <c r="B786" s="2" t="s">
        <v>67</v>
      </c>
      <c r="C786" s="2">
        <v>20.966799999999999</v>
      </c>
      <c r="D786" s="2">
        <v>3500</v>
      </c>
      <c r="E786" s="2">
        <v>493</v>
      </c>
      <c r="F786" s="2">
        <v>41.3</v>
      </c>
      <c r="G786" s="2">
        <v>0</v>
      </c>
      <c r="H786" s="4">
        <f t="shared" si="60"/>
        <v>3.0429402343185417</v>
      </c>
      <c r="I786" s="4">
        <f t="shared" si="61"/>
        <v>8.1605182474775049</v>
      </c>
      <c r="J786" s="4">
        <f t="shared" si="62"/>
        <v>6.2005091740426899</v>
      </c>
      <c r="K786" s="4">
        <f t="shared" si="63"/>
        <v>41.3</v>
      </c>
      <c r="L786" s="4">
        <f t="shared" si="64"/>
        <v>0</v>
      </c>
    </row>
    <row r="787" spans="1:12" x14ac:dyDescent="0.35">
      <c r="A787" s="2" t="s">
        <v>673</v>
      </c>
      <c r="B787" s="2" t="s">
        <v>67</v>
      </c>
      <c r="C787" s="2">
        <v>20.650200000000002</v>
      </c>
      <c r="D787" s="2">
        <v>3500</v>
      </c>
      <c r="E787" s="2">
        <v>493</v>
      </c>
      <c r="F787" s="2">
        <v>41.1</v>
      </c>
      <c r="G787" s="2">
        <v>0</v>
      </c>
      <c r="H787" s="4">
        <f t="shared" si="60"/>
        <v>3.0277250045901645</v>
      </c>
      <c r="I787" s="4">
        <f t="shared" si="61"/>
        <v>8.1605182474775049</v>
      </c>
      <c r="J787" s="4">
        <f t="shared" si="62"/>
        <v>6.2005091740426899</v>
      </c>
      <c r="K787" s="4">
        <f t="shared" si="63"/>
        <v>41.1</v>
      </c>
      <c r="L787" s="4">
        <f t="shared" si="64"/>
        <v>0</v>
      </c>
    </row>
    <row r="788" spans="1:12" x14ac:dyDescent="0.35">
      <c r="A788" s="2" t="s">
        <v>674</v>
      </c>
      <c r="B788" s="2" t="s">
        <v>67</v>
      </c>
      <c r="C788" s="2">
        <v>17.558900000000001</v>
      </c>
      <c r="D788" s="2">
        <v>6500</v>
      </c>
      <c r="E788" s="2">
        <v>563</v>
      </c>
      <c r="F788" s="2">
        <v>64.2</v>
      </c>
      <c r="G788" s="2">
        <v>0</v>
      </c>
      <c r="H788" s="4">
        <f t="shared" si="60"/>
        <v>2.8655609438758352</v>
      </c>
      <c r="I788" s="4">
        <f t="shared" si="61"/>
        <v>8.7795574558837277</v>
      </c>
      <c r="J788" s="4">
        <f t="shared" si="62"/>
        <v>6.3332796281396906</v>
      </c>
      <c r="K788" s="4">
        <f t="shared" si="63"/>
        <v>64.2</v>
      </c>
      <c r="L788" s="4">
        <f t="shared" si="64"/>
        <v>0</v>
      </c>
    </row>
    <row r="789" spans="1:12" x14ac:dyDescent="0.35">
      <c r="A789" s="2" t="s">
        <v>676</v>
      </c>
      <c r="B789" s="2" t="s">
        <v>67</v>
      </c>
      <c r="C789" s="2">
        <v>17.8963</v>
      </c>
      <c r="D789" s="2">
        <v>6500</v>
      </c>
      <c r="E789" s="2">
        <v>563</v>
      </c>
      <c r="F789" s="2">
        <v>59.8</v>
      </c>
      <c r="G789" s="2">
        <v>0</v>
      </c>
      <c r="H789" s="4">
        <f t="shared" si="60"/>
        <v>2.8845939875698972</v>
      </c>
      <c r="I789" s="4">
        <f t="shared" si="61"/>
        <v>8.7795574558837277</v>
      </c>
      <c r="J789" s="4">
        <f t="shared" si="62"/>
        <v>6.3332796281396906</v>
      </c>
      <c r="K789" s="4">
        <f t="shared" si="63"/>
        <v>59.8</v>
      </c>
      <c r="L789" s="4">
        <f t="shared" si="64"/>
        <v>0</v>
      </c>
    </row>
    <row r="790" spans="1:12" x14ac:dyDescent="0.35">
      <c r="A790" s="2" t="s">
        <v>677</v>
      </c>
      <c r="B790" s="2" t="s">
        <v>67</v>
      </c>
      <c r="C790" s="2">
        <v>17.8963</v>
      </c>
      <c r="D790" s="2">
        <v>6500</v>
      </c>
      <c r="E790" s="2">
        <v>591</v>
      </c>
      <c r="F790" s="2">
        <v>59.8</v>
      </c>
      <c r="G790" s="2">
        <v>0</v>
      </c>
      <c r="H790" s="4">
        <f t="shared" si="60"/>
        <v>2.8845939875698972</v>
      </c>
      <c r="I790" s="4">
        <f t="shared" si="61"/>
        <v>8.7795574558837277</v>
      </c>
      <c r="J790" s="4">
        <f t="shared" si="62"/>
        <v>6.3818160174060985</v>
      </c>
      <c r="K790" s="4">
        <f t="shared" si="63"/>
        <v>59.8</v>
      </c>
      <c r="L790" s="4">
        <f t="shared" si="64"/>
        <v>0</v>
      </c>
    </row>
    <row r="791" spans="1:12" x14ac:dyDescent="0.35">
      <c r="A791" s="2" t="s">
        <v>678</v>
      </c>
      <c r="B791" s="2" t="s">
        <v>67</v>
      </c>
      <c r="C791" s="2">
        <v>17.920400000000001</v>
      </c>
      <c r="D791" s="2">
        <v>6000</v>
      </c>
      <c r="E791" s="2">
        <v>563</v>
      </c>
      <c r="F791" s="2">
        <v>59.8</v>
      </c>
      <c r="G791" s="2">
        <v>0</v>
      </c>
      <c r="H791" s="4">
        <f t="shared" si="60"/>
        <v>2.8859397287262367</v>
      </c>
      <c r="I791" s="4">
        <f t="shared" si="61"/>
        <v>8.6995147482101913</v>
      </c>
      <c r="J791" s="4">
        <f t="shared" si="62"/>
        <v>6.3332796281396906</v>
      </c>
      <c r="K791" s="4">
        <f t="shared" si="63"/>
        <v>59.8</v>
      </c>
      <c r="L791" s="4">
        <f t="shared" si="64"/>
        <v>0</v>
      </c>
    </row>
    <row r="792" spans="1:12" x14ac:dyDescent="0.35">
      <c r="A792" s="2" t="s">
        <v>679</v>
      </c>
      <c r="B792" s="2" t="s">
        <v>67</v>
      </c>
      <c r="C792" s="2">
        <v>17.558900000000001</v>
      </c>
      <c r="D792" s="2">
        <v>6500</v>
      </c>
      <c r="E792" s="2">
        <v>563</v>
      </c>
      <c r="F792" s="2">
        <v>68.2</v>
      </c>
      <c r="G792" s="2">
        <v>0</v>
      </c>
      <c r="H792" s="4">
        <f t="shared" si="60"/>
        <v>2.8655609438758352</v>
      </c>
      <c r="I792" s="4">
        <f t="shared" si="61"/>
        <v>8.7795574558837277</v>
      </c>
      <c r="J792" s="4">
        <f t="shared" si="62"/>
        <v>6.3332796281396906</v>
      </c>
      <c r="K792" s="4">
        <f t="shared" si="63"/>
        <v>68.2</v>
      </c>
      <c r="L792" s="4">
        <f t="shared" si="64"/>
        <v>0</v>
      </c>
    </row>
    <row r="793" spans="1:12" x14ac:dyDescent="0.35">
      <c r="A793" s="2" t="s">
        <v>680</v>
      </c>
      <c r="B793" s="2" t="s">
        <v>67</v>
      </c>
      <c r="C793" s="2">
        <v>17.920400000000001</v>
      </c>
      <c r="D793" s="2">
        <v>6000</v>
      </c>
      <c r="E793" s="2">
        <v>563</v>
      </c>
      <c r="F793" s="2">
        <v>62.9</v>
      </c>
      <c r="G793" s="2">
        <v>0</v>
      </c>
      <c r="H793" s="4">
        <f t="shared" si="60"/>
        <v>2.8859397287262367</v>
      </c>
      <c r="I793" s="4">
        <f t="shared" si="61"/>
        <v>8.6995147482101913</v>
      </c>
      <c r="J793" s="4">
        <f t="shared" si="62"/>
        <v>6.3332796281396906</v>
      </c>
      <c r="K793" s="4">
        <f t="shared" si="63"/>
        <v>62.9</v>
      </c>
      <c r="L793" s="4">
        <f t="shared" si="64"/>
        <v>0</v>
      </c>
    </row>
    <row r="794" spans="1:12" x14ac:dyDescent="0.35">
      <c r="A794" s="2" t="s">
        <v>681</v>
      </c>
      <c r="B794" s="2" t="s">
        <v>67</v>
      </c>
      <c r="C794" s="2">
        <v>17.920400000000001</v>
      </c>
      <c r="D794" s="2">
        <v>6000</v>
      </c>
      <c r="E794" s="2">
        <v>591</v>
      </c>
      <c r="F794" s="2">
        <v>59.4</v>
      </c>
      <c r="G794" s="2">
        <v>0</v>
      </c>
      <c r="H794" s="4">
        <f t="shared" si="60"/>
        <v>2.8859397287262367</v>
      </c>
      <c r="I794" s="4">
        <f t="shared" si="61"/>
        <v>8.6995147482101913</v>
      </c>
      <c r="J794" s="4">
        <f t="shared" si="62"/>
        <v>6.3818160174060985</v>
      </c>
      <c r="K794" s="4">
        <f t="shared" si="63"/>
        <v>59.4</v>
      </c>
      <c r="L794" s="4">
        <f t="shared" si="64"/>
        <v>0</v>
      </c>
    </row>
    <row r="795" spans="1:12" x14ac:dyDescent="0.35">
      <c r="A795" s="2" t="s">
        <v>682</v>
      </c>
      <c r="B795" s="2" t="s">
        <v>67</v>
      </c>
      <c r="C795" s="2">
        <v>42.1965</v>
      </c>
      <c r="D795" s="2">
        <v>3500</v>
      </c>
      <c r="E795" s="2">
        <v>191</v>
      </c>
      <c r="F795" s="2">
        <v>46.2</v>
      </c>
      <c r="G795" s="2">
        <v>0</v>
      </c>
      <c r="H795" s="4">
        <f t="shared" si="60"/>
        <v>3.7423372792137624</v>
      </c>
      <c r="I795" s="4">
        <f t="shared" si="61"/>
        <v>8.1605182474775049</v>
      </c>
      <c r="J795" s="4">
        <f t="shared" si="62"/>
        <v>5.2522734280466299</v>
      </c>
      <c r="K795" s="4">
        <f t="shared" si="63"/>
        <v>46.2</v>
      </c>
      <c r="L795" s="4">
        <f t="shared" si="64"/>
        <v>0</v>
      </c>
    </row>
    <row r="796" spans="1:12" x14ac:dyDescent="0.35">
      <c r="A796" s="2" t="s">
        <v>684</v>
      </c>
      <c r="B796" s="2" t="s">
        <v>67</v>
      </c>
      <c r="C796" s="2">
        <v>40.736199999999997</v>
      </c>
      <c r="D796" s="2">
        <v>3500</v>
      </c>
      <c r="E796" s="2">
        <v>191</v>
      </c>
      <c r="F796" s="2">
        <v>46.2</v>
      </c>
      <c r="G796" s="2">
        <v>0</v>
      </c>
      <c r="H796" s="4">
        <f t="shared" si="60"/>
        <v>3.707117132025159</v>
      </c>
      <c r="I796" s="4">
        <f t="shared" si="61"/>
        <v>8.1605182474775049</v>
      </c>
      <c r="J796" s="4">
        <f t="shared" si="62"/>
        <v>5.2522734280466299</v>
      </c>
      <c r="K796" s="4">
        <f t="shared" si="63"/>
        <v>46.2</v>
      </c>
      <c r="L796" s="4">
        <f t="shared" si="64"/>
        <v>0</v>
      </c>
    </row>
    <row r="797" spans="1:12" x14ac:dyDescent="0.35">
      <c r="A797" s="2" t="s">
        <v>684</v>
      </c>
      <c r="B797" s="2" t="s">
        <v>67</v>
      </c>
      <c r="C797" s="2">
        <v>40.976399999999998</v>
      </c>
      <c r="D797" s="2">
        <v>3500</v>
      </c>
      <c r="E797" s="2">
        <v>191</v>
      </c>
      <c r="F797" s="2">
        <v>46.2</v>
      </c>
      <c r="G797" s="2">
        <v>0</v>
      </c>
      <c r="H797" s="4">
        <f t="shared" si="60"/>
        <v>3.7129962912213155</v>
      </c>
      <c r="I797" s="4">
        <f t="shared" si="61"/>
        <v>8.1605182474775049</v>
      </c>
      <c r="J797" s="4">
        <f t="shared" si="62"/>
        <v>5.2522734280466299</v>
      </c>
      <c r="K797" s="4">
        <f t="shared" si="63"/>
        <v>46.2</v>
      </c>
      <c r="L797" s="4">
        <f t="shared" si="64"/>
        <v>0</v>
      </c>
    </row>
    <row r="798" spans="1:12" x14ac:dyDescent="0.35">
      <c r="A798" s="2" t="s">
        <v>685</v>
      </c>
      <c r="B798" s="2" t="s">
        <v>67</v>
      </c>
      <c r="C798" s="2">
        <v>40.124000000000002</v>
      </c>
      <c r="D798" s="2">
        <v>3500</v>
      </c>
      <c r="E798" s="2">
        <v>191</v>
      </c>
      <c r="F798" s="2">
        <v>46.2</v>
      </c>
      <c r="G798" s="2">
        <v>0</v>
      </c>
      <c r="H798" s="4">
        <f t="shared" si="60"/>
        <v>3.6919746590212386</v>
      </c>
      <c r="I798" s="4">
        <f t="shared" si="61"/>
        <v>8.1605182474775049</v>
      </c>
      <c r="J798" s="4">
        <f t="shared" si="62"/>
        <v>5.2522734280466299</v>
      </c>
      <c r="K798" s="4">
        <f t="shared" si="63"/>
        <v>46.2</v>
      </c>
      <c r="L798" s="4">
        <f t="shared" si="64"/>
        <v>0</v>
      </c>
    </row>
    <row r="799" spans="1:12" x14ac:dyDescent="0.35">
      <c r="A799" s="2" t="s">
        <v>685</v>
      </c>
      <c r="B799" s="2" t="s">
        <v>67</v>
      </c>
      <c r="C799" s="2">
        <v>35.622999999999998</v>
      </c>
      <c r="D799" s="2">
        <v>3500</v>
      </c>
      <c r="E799" s="2">
        <v>227</v>
      </c>
      <c r="F799" s="2">
        <v>46.2</v>
      </c>
      <c r="G799" s="2">
        <v>0</v>
      </c>
      <c r="H799" s="4">
        <f t="shared" si="60"/>
        <v>3.5729914966620089</v>
      </c>
      <c r="I799" s="4">
        <f t="shared" si="61"/>
        <v>8.1605182474775049</v>
      </c>
      <c r="J799" s="4">
        <f t="shared" si="62"/>
        <v>5.4249500174814029</v>
      </c>
      <c r="K799" s="4">
        <f t="shared" si="63"/>
        <v>46.2</v>
      </c>
      <c r="L799" s="4">
        <f t="shared" si="64"/>
        <v>0</v>
      </c>
    </row>
    <row r="800" spans="1:12" x14ac:dyDescent="0.35">
      <c r="A800" s="2" t="s">
        <v>686</v>
      </c>
      <c r="B800" s="2" t="s">
        <v>67</v>
      </c>
      <c r="C800" s="2">
        <v>38.5745</v>
      </c>
      <c r="D800" s="2">
        <v>3500</v>
      </c>
      <c r="E800" s="2">
        <v>191</v>
      </c>
      <c r="F800" s="2">
        <v>46.2</v>
      </c>
      <c r="G800" s="2">
        <v>0</v>
      </c>
      <c r="H800" s="4">
        <f t="shared" si="60"/>
        <v>3.6525914364024206</v>
      </c>
      <c r="I800" s="4">
        <f t="shared" si="61"/>
        <v>8.1605182474775049</v>
      </c>
      <c r="J800" s="4">
        <f t="shared" si="62"/>
        <v>5.2522734280466299</v>
      </c>
      <c r="K800" s="4">
        <f t="shared" si="63"/>
        <v>46.2</v>
      </c>
      <c r="L800" s="4">
        <f t="shared" si="64"/>
        <v>0</v>
      </c>
    </row>
    <row r="801" spans="1:12" x14ac:dyDescent="0.35">
      <c r="A801" s="2" t="s">
        <v>686</v>
      </c>
      <c r="B801" s="2" t="s">
        <v>67</v>
      </c>
      <c r="C801" s="2">
        <v>35.2941</v>
      </c>
      <c r="D801" s="2">
        <v>3500</v>
      </c>
      <c r="E801" s="2">
        <v>227</v>
      </c>
      <c r="F801" s="2">
        <v>46.2</v>
      </c>
      <c r="G801" s="2">
        <v>0</v>
      </c>
      <c r="H801" s="4">
        <f t="shared" si="60"/>
        <v>3.5637158111598053</v>
      </c>
      <c r="I801" s="4">
        <f t="shared" si="61"/>
        <v>8.1605182474775049</v>
      </c>
      <c r="J801" s="4">
        <f t="shared" si="62"/>
        <v>5.4249500174814029</v>
      </c>
      <c r="K801" s="4">
        <f t="shared" si="63"/>
        <v>46.2</v>
      </c>
      <c r="L801" s="4">
        <f t="shared" si="64"/>
        <v>0</v>
      </c>
    </row>
    <row r="802" spans="1:12" x14ac:dyDescent="0.35">
      <c r="A802" s="2" t="s">
        <v>687</v>
      </c>
      <c r="B802" s="2" t="s">
        <v>67</v>
      </c>
      <c r="C802" s="2">
        <v>39.314799999999998</v>
      </c>
      <c r="D802" s="2">
        <v>2750</v>
      </c>
      <c r="E802" s="2">
        <v>181</v>
      </c>
      <c r="F802" s="2">
        <v>37.200000000000003</v>
      </c>
      <c r="G802" s="2">
        <v>0</v>
      </c>
      <c r="H802" s="4">
        <f t="shared" si="60"/>
        <v>3.6716010383136632</v>
      </c>
      <c r="I802" s="4">
        <f t="shared" si="61"/>
        <v>7.9193561906606167</v>
      </c>
      <c r="J802" s="4">
        <f t="shared" si="62"/>
        <v>5.1984970312658261</v>
      </c>
      <c r="K802" s="4">
        <f t="shared" si="63"/>
        <v>37.200000000000003</v>
      </c>
      <c r="L802" s="4">
        <f t="shared" si="64"/>
        <v>0</v>
      </c>
    </row>
    <row r="803" spans="1:12" x14ac:dyDescent="0.35">
      <c r="A803" s="2" t="s">
        <v>687</v>
      </c>
      <c r="B803" s="2" t="s">
        <v>67</v>
      </c>
      <c r="C803" s="2">
        <v>39.8581</v>
      </c>
      <c r="D803" s="2">
        <v>2750</v>
      </c>
      <c r="E803" s="2">
        <v>181</v>
      </c>
      <c r="F803" s="2">
        <v>37.200000000000003</v>
      </c>
      <c r="G803" s="2">
        <v>0</v>
      </c>
      <c r="H803" s="4">
        <f t="shared" si="60"/>
        <v>3.6853256468146305</v>
      </c>
      <c r="I803" s="4">
        <f t="shared" si="61"/>
        <v>7.9193561906606167</v>
      </c>
      <c r="J803" s="4">
        <f t="shared" si="62"/>
        <v>5.1984970312658261</v>
      </c>
      <c r="K803" s="4">
        <f t="shared" si="63"/>
        <v>37.200000000000003</v>
      </c>
      <c r="L803" s="4">
        <f t="shared" si="64"/>
        <v>0</v>
      </c>
    </row>
    <row r="804" spans="1:12" x14ac:dyDescent="0.35">
      <c r="A804" s="2" t="s">
        <v>688</v>
      </c>
      <c r="B804" s="2" t="s">
        <v>67</v>
      </c>
      <c r="C804" s="2">
        <v>33.802599999999998</v>
      </c>
      <c r="D804" s="2">
        <v>4000</v>
      </c>
      <c r="E804" s="2">
        <v>187</v>
      </c>
      <c r="F804" s="2">
        <v>46.3</v>
      </c>
      <c r="G804" s="2">
        <v>0</v>
      </c>
      <c r="H804" s="4">
        <f t="shared" si="60"/>
        <v>3.5205377226074681</v>
      </c>
      <c r="I804" s="4">
        <f t="shared" si="61"/>
        <v>8.2940496401020276</v>
      </c>
      <c r="J804" s="4">
        <f t="shared" si="62"/>
        <v>5.2311086168545868</v>
      </c>
      <c r="K804" s="4">
        <f t="shared" si="63"/>
        <v>46.3</v>
      </c>
      <c r="L804" s="4">
        <f t="shared" si="64"/>
        <v>0</v>
      </c>
    </row>
    <row r="805" spans="1:12" x14ac:dyDescent="0.35">
      <c r="A805" s="2" t="s">
        <v>688</v>
      </c>
      <c r="B805" s="2" t="s">
        <v>67</v>
      </c>
      <c r="C805" s="2">
        <v>37.505600000000001</v>
      </c>
      <c r="D805" s="2">
        <v>4000</v>
      </c>
      <c r="E805" s="2">
        <v>187</v>
      </c>
      <c r="F805" s="2">
        <v>46.3</v>
      </c>
      <c r="G805" s="2">
        <v>0</v>
      </c>
      <c r="H805" s="4">
        <f t="shared" si="60"/>
        <v>3.6244902551605862</v>
      </c>
      <c r="I805" s="4">
        <f t="shared" si="61"/>
        <v>8.2940496401020276</v>
      </c>
      <c r="J805" s="4">
        <f t="shared" si="62"/>
        <v>5.2311086168545868</v>
      </c>
      <c r="K805" s="4">
        <f t="shared" si="63"/>
        <v>46.3</v>
      </c>
      <c r="L805" s="4">
        <f t="shared" si="64"/>
        <v>0</v>
      </c>
    </row>
    <row r="806" spans="1:12" x14ac:dyDescent="0.35">
      <c r="A806" s="2" t="s">
        <v>688</v>
      </c>
      <c r="B806" s="2" t="s">
        <v>67</v>
      </c>
      <c r="C806" s="2">
        <v>31.701799999999999</v>
      </c>
      <c r="D806" s="2">
        <v>4000</v>
      </c>
      <c r="E806" s="2">
        <v>227</v>
      </c>
      <c r="F806" s="2">
        <v>46.3</v>
      </c>
      <c r="G806" s="2">
        <v>0</v>
      </c>
      <c r="H806" s="4">
        <f t="shared" si="60"/>
        <v>3.4563734616055641</v>
      </c>
      <c r="I806" s="4">
        <f t="shared" si="61"/>
        <v>8.2940496401020276</v>
      </c>
      <c r="J806" s="4">
        <f t="shared" si="62"/>
        <v>5.4249500174814029</v>
      </c>
      <c r="K806" s="4">
        <f t="shared" si="63"/>
        <v>46.3</v>
      </c>
      <c r="L806" s="4">
        <f t="shared" si="64"/>
        <v>0</v>
      </c>
    </row>
    <row r="807" spans="1:12" x14ac:dyDescent="0.35">
      <c r="A807" s="2" t="s">
        <v>689</v>
      </c>
      <c r="B807" s="2" t="s">
        <v>67</v>
      </c>
      <c r="C807" s="2">
        <v>38.931100000000001</v>
      </c>
      <c r="D807" s="2">
        <v>3500</v>
      </c>
      <c r="E807" s="2">
        <v>191</v>
      </c>
      <c r="F807" s="2">
        <v>44.6</v>
      </c>
      <c r="G807" s="2">
        <v>0</v>
      </c>
      <c r="H807" s="4">
        <f t="shared" si="60"/>
        <v>3.6617934170669977</v>
      </c>
      <c r="I807" s="4">
        <f t="shared" si="61"/>
        <v>8.1605182474775049</v>
      </c>
      <c r="J807" s="4">
        <f t="shared" si="62"/>
        <v>5.2522734280466299</v>
      </c>
      <c r="K807" s="4">
        <f t="shared" si="63"/>
        <v>44.6</v>
      </c>
      <c r="L807" s="4">
        <f t="shared" si="64"/>
        <v>0</v>
      </c>
    </row>
    <row r="808" spans="1:12" x14ac:dyDescent="0.35">
      <c r="A808" s="2" t="s">
        <v>689</v>
      </c>
      <c r="B808" s="2" t="s">
        <v>67</v>
      </c>
      <c r="C808" s="2">
        <v>33.509300000000003</v>
      </c>
      <c r="D808" s="2">
        <v>4000</v>
      </c>
      <c r="E808" s="2">
        <v>227</v>
      </c>
      <c r="F808" s="2">
        <v>44.6</v>
      </c>
      <c r="G808" s="2">
        <v>0</v>
      </c>
      <c r="H808" s="4">
        <f t="shared" si="60"/>
        <v>3.5118230122442551</v>
      </c>
      <c r="I808" s="4">
        <f t="shared" si="61"/>
        <v>8.2940496401020276</v>
      </c>
      <c r="J808" s="4">
        <f t="shared" si="62"/>
        <v>5.4249500174814029</v>
      </c>
      <c r="K808" s="4">
        <f t="shared" si="63"/>
        <v>44.6</v>
      </c>
      <c r="L808" s="4">
        <f t="shared" si="64"/>
        <v>0</v>
      </c>
    </row>
    <row r="809" spans="1:12" x14ac:dyDescent="0.35">
      <c r="A809" s="2" t="s">
        <v>690</v>
      </c>
      <c r="B809" s="2" t="s">
        <v>67</v>
      </c>
      <c r="C809" s="2">
        <v>35.642600000000002</v>
      </c>
      <c r="D809" s="2">
        <v>4000</v>
      </c>
      <c r="E809" s="2">
        <v>187</v>
      </c>
      <c r="F809" s="2">
        <v>50.3</v>
      </c>
      <c r="G809" s="2">
        <v>0</v>
      </c>
      <c r="H809" s="4">
        <f t="shared" si="60"/>
        <v>3.5735415516813784</v>
      </c>
      <c r="I809" s="4">
        <f t="shared" si="61"/>
        <v>8.2940496401020276</v>
      </c>
      <c r="J809" s="4">
        <f t="shared" si="62"/>
        <v>5.2311086168545868</v>
      </c>
      <c r="K809" s="4">
        <f t="shared" si="63"/>
        <v>50.3</v>
      </c>
      <c r="L809" s="4">
        <f t="shared" si="64"/>
        <v>0</v>
      </c>
    </row>
    <row r="810" spans="1:12" x14ac:dyDescent="0.35">
      <c r="A810" s="2" t="s">
        <v>690</v>
      </c>
      <c r="B810" s="2" t="s">
        <v>67</v>
      </c>
      <c r="C810" s="2">
        <v>33.315800000000003</v>
      </c>
      <c r="D810" s="2">
        <v>4000</v>
      </c>
      <c r="E810" s="2">
        <v>227</v>
      </c>
      <c r="F810" s="2">
        <v>50.3</v>
      </c>
      <c r="G810" s="2">
        <v>0</v>
      </c>
      <c r="H810" s="4">
        <f t="shared" si="60"/>
        <v>3.5060317589334522</v>
      </c>
      <c r="I810" s="4">
        <f t="shared" si="61"/>
        <v>8.2940496401020276</v>
      </c>
      <c r="J810" s="4">
        <f t="shared" si="62"/>
        <v>5.4249500174814029</v>
      </c>
      <c r="K810" s="4">
        <f t="shared" si="63"/>
        <v>50.3</v>
      </c>
      <c r="L810" s="4">
        <f t="shared" si="64"/>
        <v>0</v>
      </c>
    </row>
    <row r="811" spans="1:12" x14ac:dyDescent="0.35">
      <c r="A811" s="2" t="s">
        <v>691</v>
      </c>
      <c r="B811" s="2" t="s">
        <v>33</v>
      </c>
      <c r="C811" s="2">
        <v>34.1357</v>
      </c>
      <c r="D811" s="2">
        <v>5000</v>
      </c>
      <c r="E811" s="2">
        <v>280</v>
      </c>
      <c r="F811" s="2">
        <v>57.3</v>
      </c>
      <c r="G811" s="2">
        <v>1</v>
      </c>
      <c r="H811" s="4">
        <f t="shared" si="60"/>
        <v>3.5303437574711727</v>
      </c>
      <c r="I811" s="4">
        <f t="shared" si="61"/>
        <v>8.5171931914162382</v>
      </c>
      <c r="J811" s="4">
        <f t="shared" si="62"/>
        <v>5.6347896031692493</v>
      </c>
      <c r="K811" s="4">
        <f t="shared" si="63"/>
        <v>57.3</v>
      </c>
      <c r="L811" s="4">
        <f t="shared" si="64"/>
        <v>1</v>
      </c>
    </row>
    <row r="812" spans="1:12" x14ac:dyDescent="0.35">
      <c r="A812" s="2" t="s">
        <v>691</v>
      </c>
      <c r="B812" s="2" t="s">
        <v>33</v>
      </c>
      <c r="C812" s="2">
        <v>33.081899999999997</v>
      </c>
      <c r="D812" s="2">
        <v>5000</v>
      </c>
      <c r="E812" s="2">
        <v>340</v>
      </c>
      <c r="F812" s="2">
        <v>57.3</v>
      </c>
      <c r="G812" s="2">
        <v>1</v>
      </c>
      <c r="H812" s="4">
        <f t="shared" si="60"/>
        <v>3.4989863050236103</v>
      </c>
      <c r="I812" s="4">
        <f t="shared" si="61"/>
        <v>8.5171931914162382</v>
      </c>
      <c r="J812" s="4">
        <f t="shared" si="62"/>
        <v>5.8289456176102075</v>
      </c>
      <c r="K812" s="4">
        <f t="shared" si="63"/>
        <v>57.3</v>
      </c>
      <c r="L812" s="4">
        <f t="shared" si="64"/>
        <v>1</v>
      </c>
    </row>
    <row r="813" spans="1:12" x14ac:dyDescent="0.35">
      <c r="A813" s="2" t="s">
        <v>691</v>
      </c>
      <c r="B813" s="2" t="s">
        <v>33</v>
      </c>
      <c r="C813" s="2">
        <v>33.579099999999997</v>
      </c>
      <c r="D813" s="2">
        <v>5500</v>
      </c>
      <c r="E813" s="2">
        <v>189</v>
      </c>
      <c r="F813" s="2">
        <v>57.3</v>
      </c>
      <c r="G813" s="2">
        <v>1</v>
      </c>
      <c r="H813" s="4">
        <f t="shared" si="60"/>
        <v>3.5139038496225643</v>
      </c>
      <c r="I813" s="4">
        <f t="shared" si="61"/>
        <v>8.6125033712205621</v>
      </c>
      <c r="J813" s="4">
        <f t="shared" si="62"/>
        <v>5.2417470150596426</v>
      </c>
      <c r="K813" s="4">
        <f t="shared" si="63"/>
        <v>57.3</v>
      </c>
      <c r="L813" s="4">
        <f t="shared" si="64"/>
        <v>1</v>
      </c>
    </row>
    <row r="814" spans="1:12" x14ac:dyDescent="0.35">
      <c r="A814" s="2" t="s">
        <v>692</v>
      </c>
      <c r="B814" s="2" t="s">
        <v>67</v>
      </c>
      <c r="C814" s="2">
        <v>50.452100000000002</v>
      </c>
      <c r="D814" s="2">
        <v>3000</v>
      </c>
      <c r="E814" s="2">
        <v>169</v>
      </c>
      <c r="F814" s="2">
        <v>44.3</v>
      </c>
      <c r="G814" s="2">
        <v>0</v>
      </c>
      <c r="H814" s="4">
        <f t="shared" si="60"/>
        <v>3.9210243713049615</v>
      </c>
      <c r="I814" s="4">
        <f t="shared" si="61"/>
        <v>8.0063675676502459</v>
      </c>
      <c r="J814" s="4">
        <f t="shared" si="62"/>
        <v>5.1298987149230735</v>
      </c>
      <c r="K814" s="4">
        <f t="shared" si="63"/>
        <v>44.3</v>
      </c>
      <c r="L814" s="4">
        <f t="shared" si="64"/>
        <v>0</v>
      </c>
    </row>
    <row r="815" spans="1:12" x14ac:dyDescent="0.35">
      <c r="A815" s="2" t="s">
        <v>692</v>
      </c>
      <c r="B815" s="2" t="s">
        <v>67</v>
      </c>
      <c r="C815" s="2">
        <v>46.505600000000001</v>
      </c>
      <c r="D815" s="2">
        <v>3500</v>
      </c>
      <c r="E815" s="2">
        <v>169</v>
      </c>
      <c r="F815" s="2">
        <v>44.3</v>
      </c>
      <c r="G815" s="2">
        <v>0</v>
      </c>
      <c r="H815" s="4">
        <f t="shared" si="60"/>
        <v>3.8395727354497144</v>
      </c>
      <c r="I815" s="4">
        <f t="shared" si="61"/>
        <v>8.1605182474775049</v>
      </c>
      <c r="J815" s="4">
        <f t="shared" si="62"/>
        <v>5.1298987149230735</v>
      </c>
      <c r="K815" s="4">
        <f t="shared" si="63"/>
        <v>44.3</v>
      </c>
      <c r="L815" s="4">
        <f t="shared" si="64"/>
        <v>0</v>
      </c>
    </row>
    <row r="816" spans="1:12" x14ac:dyDescent="0.35">
      <c r="A816" s="2" t="s">
        <v>692</v>
      </c>
      <c r="B816" s="2" t="s">
        <v>67</v>
      </c>
      <c r="C816" s="2">
        <v>47.436700000000002</v>
      </c>
      <c r="D816" s="2">
        <v>3500</v>
      </c>
      <c r="E816" s="2">
        <v>169</v>
      </c>
      <c r="F816" s="2">
        <v>44.3</v>
      </c>
      <c r="G816" s="2">
        <v>0</v>
      </c>
      <c r="H816" s="4">
        <f t="shared" si="60"/>
        <v>3.8593961907185199</v>
      </c>
      <c r="I816" s="4">
        <f t="shared" si="61"/>
        <v>8.1605182474775049</v>
      </c>
      <c r="J816" s="4">
        <f t="shared" si="62"/>
        <v>5.1298987149230735</v>
      </c>
      <c r="K816" s="4">
        <f t="shared" si="63"/>
        <v>44.3</v>
      </c>
      <c r="L816" s="4">
        <f t="shared" si="64"/>
        <v>0</v>
      </c>
    </row>
    <row r="817" spans="1:12" x14ac:dyDescent="0.35">
      <c r="A817" s="2" t="s">
        <v>694</v>
      </c>
      <c r="B817" s="2" t="s">
        <v>33</v>
      </c>
      <c r="C817" s="2">
        <v>71.781899999999993</v>
      </c>
      <c r="D817" s="2">
        <v>3500</v>
      </c>
      <c r="E817" s="2">
        <v>176</v>
      </c>
      <c r="F817" s="2">
        <v>48.7</v>
      </c>
      <c r="G817" s="2">
        <v>1</v>
      </c>
      <c r="H817" s="4">
        <f t="shared" si="60"/>
        <v>4.273632355137881</v>
      </c>
      <c r="I817" s="4">
        <f t="shared" si="61"/>
        <v>8.1605182474775049</v>
      </c>
      <c r="J817" s="4">
        <f t="shared" si="62"/>
        <v>5.1704839950381514</v>
      </c>
      <c r="K817" s="4">
        <f t="shared" si="63"/>
        <v>48.7</v>
      </c>
      <c r="L817" s="4">
        <f t="shared" si="64"/>
        <v>1</v>
      </c>
    </row>
    <row r="818" spans="1:12" x14ac:dyDescent="0.35">
      <c r="A818" s="2" t="s">
        <v>695</v>
      </c>
      <c r="B818" s="2" t="s">
        <v>67</v>
      </c>
      <c r="C818" s="2">
        <v>38.578600000000002</v>
      </c>
      <c r="D818" s="2">
        <v>3500</v>
      </c>
      <c r="E818" s="2">
        <v>202</v>
      </c>
      <c r="F818" s="2">
        <v>48.3</v>
      </c>
      <c r="G818" s="2">
        <v>0</v>
      </c>
      <c r="H818" s="4">
        <f t="shared" si="60"/>
        <v>3.6526977185869045</v>
      </c>
      <c r="I818" s="4">
        <f t="shared" si="61"/>
        <v>8.1605182474775049</v>
      </c>
      <c r="J818" s="4">
        <f t="shared" si="62"/>
        <v>5.3082676974012051</v>
      </c>
      <c r="K818" s="4">
        <f t="shared" si="63"/>
        <v>48.3</v>
      </c>
      <c r="L818" s="4">
        <f t="shared" si="64"/>
        <v>0</v>
      </c>
    </row>
    <row r="819" spans="1:12" x14ac:dyDescent="0.35">
      <c r="A819" s="2" t="s">
        <v>696</v>
      </c>
      <c r="B819" s="2" t="s">
        <v>33</v>
      </c>
      <c r="C819" s="2">
        <v>62.929299999999998</v>
      </c>
      <c r="D819" s="2">
        <v>4000</v>
      </c>
      <c r="E819" s="2">
        <v>176</v>
      </c>
      <c r="F819" s="2">
        <v>48.2</v>
      </c>
      <c r="G819" s="2">
        <v>1</v>
      </c>
      <c r="H819" s="4">
        <f t="shared" si="60"/>
        <v>4.1420118740064531</v>
      </c>
      <c r="I819" s="4">
        <f t="shared" si="61"/>
        <v>8.2940496401020276</v>
      </c>
      <c r="J819" s="4">
        <f t="shared" si="62"/>
        <v>5.1704839950381514</v>
      </c>
      <c r="K819" s="4">
        <f t="shared" si="63"/>
        <v>48.2</v>
      </c>
      <c r="L819" s="4">
        <f t="shared" si="64"/>
        <v>1</v>
      </c>
    </row>
    <row r="820" spans="1:12" x14ac:dyDescent="0.35">
      <c r="A820" s="2" t="s">
        <v>697</v>
      </c>
      <c r="B820" s="2" t="s">
        <v>67</v>
      </c>
      <c r="C820" s="2">
        <v>38.446899999999999</v>
      </c>
      <c r="D820" s="2">
        <v>4000</v>
      </c>
      <c r="E820" s="2">
        <v>202</v>
      </c>
      <c r="F820" s="2">
        <v>48.2</v>
      </c>
      <c r="G820" s="2">
        <v>0</v>
      </c>
      <c r="H820" s="4">
        <f t="shared" si="60"/>
        <v>3.6492780685140924</v>
      </c>
      <c r="I820" s="4">
        <f t="shared" si="61"/>
        <v>8.2940496401020276</v>
      </c>
      <c r="J820" s="4">
        <f t="shared" si="62"/>
        <v>5.3082676974012051</v>
      </c>
      <c r="K820" s="4">
        <f t="shared" si="63"/>
        <v>48.2</v>
      </c>
      <c r="L820" s="4">
        <f t="shared" si="64"/>
        <v>0</v>
      </c>
    </row>
    <row r="821" spans="1:12" x14ac:dyDescent="0.35">
      <c r="A821" s="2" t="s">
        <v>698</v>
      </c>
      <c r="B821" s="2" t="s">
        <v>67</v>
      </c>
      <c r="C821" s="2">
        <v>34.9101</v>
      </c>
      <c r="D821" s="2">
        <v>4000</v>
      </c>
      <c r="E821" s="2">
        <v>301</v>
      </c>
      <c r="F821" s="2">
        <v>48.1</v>
      </c>
      <c r="G821" s="2">
        <v>0</v>
      </c>
      <c r="H821" s="4">
        <f t="shared" si="60"/>
        <v>3.5527761856215787</v>
      </c>
      <c r="I821" s="4">
        <f t="shared" si="61"/>
        <v>8.2940496401020276</v>
      </c>
      <c r="J821" s="4">
        <f t="shared" si="62"/>
        <v>5.7071102647488754</v>
      </c>
      <c r="K821" s="4">
        <f t="shared" si="63"/>
        <v>48.1</v>
      </c>
      <c r="L821" s="4">
        <f t="shared" si="64"/>
        <v>0</v>
      </c>
    </row>
    <row r="822" spans="1:12" x14ac:dyDescent="0.35">
      <c r="A822" s="2" t="s">
        <v>699</v>
      </c>
      <c r="B822" s="2" t="s">
        <v>67</v>
      </c>
      <c r="C822" s="2">
        <v>33.369</v>
      </c>
      <c r="D822" s="2">
        <v>4000</v>
      </c>
      <c r="E822" s="2">
        <v>301</v>
      </c>
      <c r="F822" s="2">
        <v>48.6</v>
      </c>
      <c r="G822" s="2">
        <v>0</v>
      </c>
      <c r="H822" s="4">
        <f t="shared" si="60"/>
        <v>3.5076273252780021</v>
      </c>
      <c r="I822" s="4">
        <f t="shared" si="61"/>
        <v>8.2940496401020276</v>
      </c>
      <c r="J822" s="4">
        <f t="shared" si="62"/>
        <v>5.7071102647488754</v>
      </c>
      <c r="K822" s="4">
        <f t="shared" si="63"/>
        <v>48.6</v>
      </c>
      <c r="L822" s="4">
        <f t="shared" si="64"/>
        <v>0</v>
      </c>
    </row>
    <row r="823" spans="1:12" x14ac:dyDescent="0.35">
      <c r="A823" s="2" t="s">
        <v>700</v>
      </c>
      <c r="B823" s="2" t="s">
        <v>67</v>
      </c>
      <c r="C823" s="2">
        <v>43.389099999999999</v>
      </c>
      <c r="D823" s="2">
        <v>3500</v>
      </c>
      <c r="E823" s="2">
        <v>203</v>
      </c>
      <c r="F823" s="2">
        <v>48.1</v>
      </c>
      <c r="G823" s="2">
        <v>0</v>
      </c>
      <c r="H823" s="4">
        <f t="shared" si="60"/>
        <v>3.7702082574886626</v>
      </c>
      <c r="I823" s="4">
        <f t="shared" si="61"/>
        <v>8.1605182474775049</v>
      </c>
      <c r="J823" s="4">
        <f t="shared" si="62"/>
        <v>5.3132059790417872</v>
      </c>
      <c r="K823" s="4">
        <f t="shared" si="63"/>
        <v>48.1</v>
      </c>
      <c r="L823" s="4">
        <f t="shared" si="64"/>
        <v>0</v>
      </c>
    </row>
    <row r="824" spans="1:12" x14ac:dyDescent="0.35">
      <c r="A824" s="2" t="s">
        <v>700</v>
      </c>
      <c r="B824" s="2" t="s">
        <v>67</v>
      </c>
      <c r="C824" s="2">
        <v>43.743200000000002</v>
      </c>
      <c r="D824" s="2">
        <v>3500</v>
      </c>
      <c r="E824" s="2">
        <v>203</v>
      </c>
      <c r="F824" s="2">
        <v>48.1</v>
      </c>
      <c r="G824" s="2">
        <v>0</v>
      </c>
      <c r="H824" s="4">
        <f t="shared" si="60"/>
        <v>3.7783361721519229</v>
      </c>
      <c r="I824" s="4">
        <f t="shared" si="61"/>
        <v>8.1605182474775049</v>
      </c>
      <c r="J824" s="4">
        <f t="shared" si="62"/>
        <v>5.3132059790417872</v>
      </c>
      <c r="K824" s="4">
        <f t="shared" si="63"/>
        <v>48.1</v>
      </c>
      <c r="L824" s="4">
        <f t="shared" si="64"/>
        <v>0</v>
      </c>
    </row>
    <row r="825" spans="1:12" x14ac:dyDescent="0.35">
      <c r="A825" s="2" t="s">
        <v>701</v>
      </c>
      <c r="B825" s="2" t="s">
        <v>67</v>
      </c>
      <c r="C825" s="2">
        <v>34.105800000000002</v>
      </c>
      <c r="D825" s="2">
        <v>4000</v>
      </c>
      <c r="E825" s="2">
        <v>301</v>
      </c>
      <c r="F825" s="2">
        <v>48.2</v>
      </c>
      <c r="G825" s="2">
        <v>0</v>
      </c>
      <c r="H825" s="4">
        <f t="shared" si="60"/>
        <v>3.5294674578026908</v>
      </c>
      <c r="I825" s="4">
        <f t="shared" si="61"/>
        <v>8.2940496401020276</v>
      </c>
      <c r="J825" s="4">
        <f t="shared" si="62"/>
        <v>5.7071102647488754</v>
      </c>
      <c r="K825" s="4">
        <f t="shared" si="63"/>
        <v>48.2</v>
      </c>
      <c r="L825" s="4">
        <f t="shared" si="64"/>
        <v>0</v>
      </c>
    </row>
    <row r="826" spans="1:12" x14ac:dyDescent="0.35">
      <c r="A826" s="2" t="s">
        <v>702</v>
      </c>
      <c r="B826" s="2" t="s">
        <v>67</v>
      </c>
      <c r="C826" s="2">
        <v>43.389099999999999</v>
      </c>
      <c r="D826" s="2">
        <v>3500</v>
      </c>
      <c r="E826" s="2">
        <v>203</v>
      </c>
      <c r="F826" s="2">
        <v>48.2</v>
      </c>
      <c r="G826" s="2">
        <v>0</v>
      </c>
      <c r="H826" s="4">
        <f t="shared" si="60"/>
        <v>3.7702082574886626</v>
      </c>
      <c r="I826" s="4">
        <f t="shared" si="61"/>
        <v>8.1605182474775049</v>
      </c>
      <c r="J826" s="4">
        <f t="shared" si="62"/>
        <v>5.3132059790417872</v>
      </c>
      <c r="K826" s="4">
        <f t="shared" si="63"/>
        <v>48.2</v>
      </c>
      <c r="L826" s="4">
        <f t="shared" si="64"/>
        <v>0</v>
      </c>
    </row>
    <row r="827" spans="1:12" x14ac:dyDescent="0.35">
      <c r="A827" s="2" t="s">
        <v>703</v>
      </c>
      <c r="B827" s="2" t="s">
        <v>33</v>
      </c>
      <c r="C827" s="2">
        <v>80.472700000000003</v>
      </c>
      <c r="D827" s="2">
        <v>3500</v>
      </c>
      <c r="E827" s="2">
        <v>150</v>
      </c>
      <c r="F827" s="2">
        <v>46.4</v>
      </c>
      <c r="G827" s="2">
        <v>1</v>
      </c>
      <c r="H827" s="4">
        <f t="shared" si="60"/>
        <v>4.3879179964720052</v>
      </c>
      <c r="I827" s="4">
        <f t="shared" si="61"/>
        <v>8.1605182474775049</v>
      </c>
      <c r="J827" s="4">
        <f t="shared" si="62"/>
        <v>5.0106352940962555</v>
      </c>
      <c r="K827" s="4">
        <f t="shared" si="63"/>
        <v>46.4</v>
      </c>
      <c r="L827" s="4">
        <f t="shared" si="64"/>
        <v>1</v>
      </c>
    </row>
    <row r="828" spans="1:12" x14ac:dyDescent="0.35">
      <c r="A828" s="2" t="s">
        <v>704</v>
      </c>
      <c r="B828" s="2" t="s">
        <v>33</v>
      </c>
      <c r="C828" s="2">
        <v>76.379599999999996</v>
      </c>
      <c r="D828" s="2">
        <v>3500</v>
      </c>
      <c r="E828" s="2">
        <v>150</v>
      </c>
      <c r="F828" s="2">
        <v>46.4</v>
      </c>
      <c r="G828" s="2">
        <v>1</v>
      </c>
      <c r="H828" s="4">
        <f t="shared" si="60"/>
        <v>4.3357156448106275</v>
      </c>
      <c r="I828" s="4">
        <f t="shared" si="61"/>
        <v>8.1605182474775049</v>
      </c>
      <c r="J828" s="4">
        <f t="shared" si="62"/>
        <v>5.0106352940962555</v>
      </c>
      <c r="K828" s="4">
        <f t="shared" si="63"/>
        <v>46.4</v>
      </c>
      <c r="L828" s="4">
        <f t="shared" si="64"/>
        <v>1</v>
      </c>
    </row>
    <row r="829" spans="1:12" x14ac:dyDescent="0.35">
      <c r="A829" s="2" t="s">
        <v>705</v>
      </c>
      <c r="B829" s="2" t="s">
        <v>33</v>
      </c>
      <c r="C829" s="2">
        <v>74.554199999999994</v>
      </c>
      <c r="D829" s="2">
        <v>3500</v>
      </c>
      <c r="E829" s="2">
        <v>150</v>
      </c>
      <c r="F829" s="2">
        <v>46.4</v>
      </c>
      <c r="G829" s="2">
        <v>1</v>
      </c>
      <c r="H829" s="4">
        <f t="shared" si="60"/>
        <v>4.3115263776519894</v>
      </c>
      <c r="I829" s="4">
        <f t="shared" si="61"/>
        <v>8.1605182474775049</v>
      </c>
      <c r="J829" s="4">
        <f t="shared" si="62"/>
        <v>5.0106352940962555</v>
      </c>
      <c r="K829" s="4">
        <f t="shared" si="63"/>
        <v>46.4</v>
      </c>
      <c r="L829" s="4">
        <f t="shared" si="64"/>
        <v>1</v>
      </c>
    </row>
    <row r="830" spans="1:12" x14ac:dyDescent="0.35">
      <c r="A830" s="2" t="s">
        <v>706</v>
      </c>
      <c r="B830" s="2" t="s">
        <v>33</v>
      </c>
      <c r="C830" s="2">
        <v>70.224800000000002</v>
      </c>
      <c r="D830" s="2">
        <v>3500</v>
      </c>
      <c r="E830" s="2">
        <v>150</v>
      </c>
      <c r="F830" s="2">
        <v>46.4</v>
      </c>
      <c r="G830" s="2">
        <v>1</v>
      </c>
      <c r="H830" s="4">
        <f t="shared" si="60"/>
        <v>4.2517015249976442</v>
      </c>
      <c r="I830" s="4">
        <f t="shared" si="61"/>
        <v>8.1605182474775049</v>
      </c>
      <c r="J830" s="4">
        <f t="shared" si="62"/>
        <v>5.0106352940962555</v>
      </c>
      <c r="K830" s="4">
        <f t="shared" si="63"/>
        <v>46.4</v>
      </c>
      <c r="L830" s="4">
        <f t="shared" si="64"/>
        <v>1</v>
      </c>
    </row>
    <row r="831" spans="1:12" x14ac:dyDescent="0.35">
      <c r="A831" s="2" t="s">
        <v>707</v>
      </c>
      <c r="B831" s="2" t="s">
        <v>33</v>
      </c>
      <c r="C831" s="2">
        <v>75.367400000000004</v>
      </c>
      <c r="D831" s="2">
        <v>3500</v>
      </c>
      <c r="E831" s="2">
        <v>150</v>
      </c>
      <c r="F831" s="2">
        <v>46.4</v>
      </c>
      <c r="G831" s="2">
        <v>1</v>
      </c>
      <c r="H831" s="4">
        <f t="shared" si="60"/>
        <v>4.322374820776349</v>
      </c>
      <c r="I831" s="4">
        <f t="shared" si="61"/>
        <v>8.1605182474775049</v>
      </c>
      <c r="J831" s="4">
        <f t="shared" si="62"/>
        <v>5.0106352940962555</v>
      </c>
      <c r="K831" s="4">
        <f t="shared" si="63"/>
        <v>46.4</v>
      </c>
      <c r="L831" s="4">
        <f t="shared" si="64"/>
        <v>1</v>
      </c>
    </row>
    <row r="832" spans="1:12" x14ac:dyDescent="0.35">
      <c r="A832" s="2" t="s">
        <v>708</v>
      </c>
      <c r="B832" s="2" t="s">
        <v>33</v>
      </c>
      <c r="C832" s="2">
        <v>68.345799999999997</v>
      </c>
      <c r="D832" s="2">
        <v>4000</v>
      </c>
      <c r="E832" s="2">
        <v>150</v>
      </c>
      <c r="F832" s="2">
        <v>46.4</v>
      </c>
      <c r="G832" s="2">
        <v>1</v>
      </c>
      <c r="H832" s="4">
        <f t="shared" si="60"/>
        <v>4.2245801128547136</v>
      </c>
      <c r="I832" s="4">
        <f t="shared" si="61"/>
        <v>8.2940496401020276</v>
      </c>
      <c r="J832" s="4">
        <f t="shared" si="62"/>
        <v>5.0106352940962555</v>
      </c>
      <c r="K832" s="4">
        <f t="shared" si="63"/>
        <v>46.4</v>
      </c>
      <c r="L832" s="4">
        <f t="shared" si="64"/>
        <v>1</v>
      </c>
    </row>
    <row r="833" spans="1:12" x14ac:dyDescent="0.35">
      <c r="A833" s="2" t="s">
        <v>709</v>
      </c>
      <c r="B833" s="2" t="s">
        <v>33</v>
      </c>
      <c r="C833" s="2">
        <v>74.815100000000001</v>
      </c>
      <c r="D833" s="2">
        <v>3500</v>
      </c>
      <c r="E833" s="2">
        <v>97</v>
      </c>
      <c r="F833" s="2">
        <v>44.6</v>
      </c>
      <c r="G833" s="2">
        <v>1</v>
      </c>
      <c r="H833" s="4">
        <f t="shared" si="60"/>
        <v>4.3150197362648441</v>
      </c>
      <c r="I833" s="4">
        <f t="shared" si="61"/>
        <v>8.1605182474775049</v>
      </c>
      <c r="J833" s="4">
        <f t="shared" si="62"/>
        <v>4.5747109785033828</v>
      </c>
      <c r="K833" s="4">
        <f t="shared" si="63"/>
        <v>44.6</v>
      </c>
      <c r="L833" s="4">
        <f t="shared" si="64"/>
        <v>1</v>
      </c>
    </row>
    <row r="834" spans="1:12" x14ac:dyDescent="0.35">
      <c r="A834" s="2" t="s">
        <v>709</v>
      </c>
      <c r="B834" s="2" t="s">
        <v>33</v>
      </c>
      <c r="C834" s="2">
        <v>67.669499999999999</v>
      </c>
      <c r="D834" s="2">
        <v>3500</v>
      </c>
      <c r="E834" s="2">
        <v>97</v>
      </c>
      <c r="F834" s="2">
        <v>44.6</v>
      </c>
      <c r="G834" s="2">
        <v>1</v>
      </c>
      <c r="H834" s="4">
        <f t="shared" ref="H834:H897" si="65">LN(C834)</f>
        <v>4.2146355614182553</v>
      </c>
      <c r="I834" s="4">
        <f t="shared" ref="I834:I897" si="66">LN(D834)</f>
        <v>8.1605182474775049</v>
      </c>
      <c r="J834" s="4">
        <f t="shared" ref="J834:J897" si="67">LN(E834)</f>
        <v>4.5747109785033828</v>
      </c>
      <c r="K834" s="4">
        <f t="shared" ref="K834:K897" si="68">F834</f>
        <v>44.6</v>
      </c>
      <c r="L834" s="4">
        <f t="shared" ref="L834:L897" si="69">G834</f>
        <v>1</v>
      </c>
    </row>
    <row r="835" spans="1:12" x14ac:dyDescent="0.35">
      <c r="A835" s="2" t="s">
        <v>710</v>
      </c>
      <c r="B835" s="2" t="s">
        <v>33</v>
      </c>
      <c r="C835" s="2">
        <v>70.117500000000007</v>
      </c>
      <c r="D835" s="2">
        <v>3500</v>
      </c>
      <c r="E835" s="2">
        <v>97</v>
      </c>
      <c r="F835" s="2">
        <v>44.6</v>
      </c>
      <c r="G835" s="2">
        <v>1</v>
      </c>
      <c r="H835" s="4">
        <f t="shared" si="65"/>
        <v>4.2501724062514432</v>
      </c>
      <c r="I835" s="4">
        <f t="shared" si="66"/>
        <v>8.1605182474775049</v>
      </c>
      <c r="J835" s="4">
        <f t="shared" si="67"/>
        <v>4.5747109785033828</v>
      </c>
      <c r="K835" s="4">
        <f t="shared" si="68"/>
        <v>44.6</v>
      </c>
      <c r="L835" s="4">
        <f t="shared" si="69"/>
        <v>1</v>
      </c>
    </row>
    <row r="836" spans="1:12" x14ac:dyDescent="0.35">
      <c r="A836" s="2" t="s">
        <v>710</v>
      </c>
      <c r="B836" s="2" t="s">
        <v>33</v>
      </c>
      <c r="C836" s="2">
        <v>63.395499999999998</v>
      </c>
      <c r="D836" s="2">
        <v>3500</v>
      </c>
      <c r="E836" s="2">
        <v>97</v>
      </c>
      <c r="F836" s="2">
        <v>44.6</v>
      </c>
      <c r="G836" s="2">
        <v>1</v>
      </c>
      <c r="H836" s="4">
        <f t="shared" si="65"/>
        <v>4.1493928810061478</v>
      </c>
      <c r="I836" s="4">
        <f t="shared" si="66"/>
        <v>8.1605182474775049</v>
      </c>
      <c r="J836" s="4">
        <f t="shared" si="67"/>
        <v>4.5747109785033828</v>
      </c>
      <c r="K836" s="4">
        <f t="shared" si="68"/>
        <v>44.6</v>
      </c>
      <c r="L836" s="4">
        <f t="shared" si="69"/>
        <v>1</v>
      </c>
    </row>
    <row r="837" spans="1:12" x14ac:dyDescent="0.35">
      <c r="A837" s="2" t="s">
        <v>711</v>
      </c>
      <c r="B837" s="2" t="s">
        <v>67</v>
      </c>
      <c r="C837" s="2">
        <v>46.055999999999997</v>
      </c>
      <c r="D837" s="2">
        <v>3500</v>
      </c>
      <c r="E837" s="2">
        <v>169</v>
      </c>
      <c r="F837" s="2">
        <v>44.4</v>
      </c>
      <c r="G837" s="2">
        <v>0</v>
      </c>
      <c r="H837" s="4">
        <f t="shared" si="65"/>
        <v>3.8298580473735084</v>
      </c>
      <c r="I837" s="4">
        <f t="shared" si="66"/>
        <v>8.1605182474775049</v>
      </c>
      <c r="J837" s="4">
        <f t="shared" si="67"/>
        <v>5.1298987149230735</v>
      </c>
      <c r="K837" s="4">
        <f t="shared" si="68"/>
        <v>44.4</v>
      </c>
      <c r="L837" s="4">
        <f t="shared" si="69"/>
        <v>0</v>
      </c>
    </row>
    <row r="838" spans="1:12" x14ac:dyDescent="0.35">
      <c r="A838" s="2" t="s">
        <v>712</v>
      </c>
      <c r="B838" s="2" t="s">
        <v>67</v>
      </c>
      <c r="C838" s="2">
        <v>43.955800000000004</v>
      </c>
      <c r="D838" s="2">
        <v>3500</v>
      </c>
      <c r="E838" s="2">
        <v>169</v>
      </c>
      <c r="F838" s="2">
        <v>44.2</v>
      </c>
      <c r="G838" s="2">
        <v>0</v>
      </c>
      <c r="H838" s="4">
        <f t="shared" si="65"/>
        <v>3.7831845835697764</v>
      </c>
      <c r="I838" s="4">
        <f t="shared" si="66"/>
        <v>8.1605182474775049</v>
      </c>
      <c r="J838" s="4">
        <f t="shared" si="67"/>
        <v>5.1298987149230735</v>
      </c>
      <c r="K838" s="4">
        <f t="shared" si="68"/>
        <v>44.2</v>
      </c>
      <c r="L838" s="4">
        <f t="shared" si="69"/>
        <v>0</v>
      </c>
    </row>
    <row r="839" spans="1:12" x14ac:dyDescent="0.35">
      <c r="A839" s="2" t="s">
        <v>713</v>
      </c>
      <c r="B839" s="2" t="s">
        <v>33</v>
      </c>
      <c r="C839" s="2">
        <v>62.0916</v>
      </c>
      <c r="D839" s="2">
        <v>3500</v>
      </c>
      <c r="E839" s="2">
        <v>150</v>
      </c>
      <c r="F839" s="2">
        <v>44.2</v>
      </c>
      <c r="G839" s="2">
        <v>1</v>
      </c>
      <c r="H839" s="4">
        <f t="shared" si="65"/>
        <v>4.1286107140897199</v>
      </c>
      <c r="I839" s="4">
        <f t="shared" si="66"/>
        <v>8.1605182474775049</v>
      </c>
      <c r="J839" s="4">
        <f t="shared" si="67"/>
        <v>5.0106352940962555</v>
      </c>
      <c r="K839" s="4">
        <f t="shared" si="68"/>
        <v>44.2</v>
      </c>
      <c r="L839" s="4">
        <f t="shared" si="69"/>
        <v>1</v>
      </c>
    </row>
    <row r="840" spans="1:12" x14ac:dyDescent="0.35">
      <c r="A840" s="2" t="s">
        <v>714</v>
      </c>
      <c r="B840" s="2" t="s">
        <v>67</v>
      </c>
      <c r="C840" s="2">
        <v>23.452000000000002</v>
      </c>
      <c r="D840" s="2">
        <v>4500</v>
      </c>
      <c r="E840" s="2">
        <v>270</v>
      </c>
      <c r="F840" s="2">
        <v>48.2</v>
      </c>
      <c r="G840" s="2">
        <v>0</v>
      </c>
      <c r="H840" s="4">
        <f t="shared" si="65"/>
        <v>3.1549557791019689</v>
      </c>
      <c r="I840" s="4">
        <f t="shared" si="66"/>
        <v>8.4118326757584114</v>
      </c>
      <c r="J840" s="4">
        <f t="shared" si="67"/>
        <v>5.598421958998375</v>
      </c>
      <c r="K840" s="4">
        <f t="shared" si="68"/>
        <v>48.2</v>
      </c>
      <c r="L840" s="4">
        <f t="shared" si="69"/>
        <v>0</v>
      </c>
    </row>
    <row r="841" spans="1:12" x14ac:dyDescent="0.35">
      <c r="A841" s="2" t="s">
        <v>715</v>
      </c>
      <c r="B841" s="2" t="s">
        <v>67</v>
      </c>
      <c r="C841" s="2">
        <v>22.747900000000001</v>
      </c>
      <c r="D841" s="2">
        <v>5000</v>
      </c>
      <c r="E841" s="2">
        <v>270</v>
      </c>
      <c r="F841" s="2">
        <v>48.2</v>
      </c>
      <c r="G841" s="2">
        <v>0</v>
      </c>
      <c r="H841" s="4">
        <f t="shared" si="65"/>
        <v>3.1244728334440346</v>
      </c>
      <c r="I841" s="4">
        <f t="shared" si="66"/>
        <v>8.5171931914162382</v>
      </c>
      <c r="J841" s="4">
        <f t="shared" si="67"/>
        <v>5.598421958998375</v>
      </c>
      <c r="K841" s="4">
        <f t="shared" si="68"/>
        <v>48.2</v>
      </c>
      <c r="L841" s="4">
        <f t="shared" si="69"/>
        <v>0</v>
      </c>
    </row>
    <row r="842" spans="1:12" x14ac:dyDescent="0.35">
      <c r="A842" s="2" t="s">
        <v>715</v>
      </c>
      <c r="B842" s="2" t="s">
        <v>67</v>
      </c>
      <c r="C842" s="2">
        <v>22.569900000000001</v>
      </c>
      <c r="D842" s="2">
        <v>5000</v>
      </c>
      <c r="E842" s="2">
        <v>270</v>
      </c>
      <c r="F842" s="2">
        <v>48.2</v>
      </c>
      <c r="G842" s="2">
        <v>0</v>
      </c>
      <c r="H842" s="4">
        <f t="shared" si="65"/>
        <v>3.1166171601594606</v>
      </c>
      <c r="I842" s="4">
        <f t="shared" si="66"/>
        <v>8.5171931914162382</v>
      </c>
      <c r="J842" s="4">
        <f t="shared" si="67"/>
        <v>5.598421958998375</v>
      </c>
      <c r="K842" s="4">
        <f t="shared" si="68"/>
        <v>48.2</v>
      </c>
      <c r="L842" s="4">
        <f t="shared" si="69"/>
        <v>0</v>
      </c>
    </row>
    <row r="843" spans="1:12" x14ac:dyDescent="0.35">
      <c r="A843" s="2" t="s">
        <v>716</v>
      </c>
      <c r="B843" s="2" t="s">
        <v>67</v>
      </c>
      <c r="C843" s="2">
        <v>29.853300000000001</v>
      </c>
      <c r="D843" s="2">
        <v>4500</v>
      </c>
      <c r="E843" s="2">
        <v>228</v>
      </c>
      <c r="F843" s="2">
        <v>60.7</v>
      </c>
      <c r="G843" s="2">
        <v>0</v>
      </c>
      <c r="H843" s="4">
        <f t="shared" si="65"/>
        <v>3.3962953864919236</v>
      </c>
      <c r="I843" s="4">
        <f t="shared" si="66"/>
        <v>8.4118326757584114</v>
      </c>
      <c r="J843" s="4">
        <f t="shared" si="67"/>
        <v>5.4293456289544411</v>
      </c>
      <c r="K843" s="4">
        <f t="shared" si="68"/>
        <v>60.7</v>
      </c>
      <c r="L843" s="4">
        <f t="shared" si="69"/>
        <v>0</v>
      </c>
    </row>
    <row r="844" spans="1:12" x14ac:dyDescent="0.35">
      <c r="A844" s="2" t="s">
        <v>717</v>
      </c>
      <c r="B844" s="2" t="s">
        <v>67</v>
      </c>
      <c r="C844" s="2">
        <v>28.973500000000001</v>
      </c>
      <c r="D844" s="2">
        <v>4500</v>
      </c>
      <c r="E844" s="2">
        <v>278</v>
      </c>
      <c r="F844" s="2">
        <v>60.7</v>
      </c>
      <c r="G844" s="2">
        <v>0</v>
      </c>
      <c r="H844" s="4">
        <f t="shared" si="65"/>
        <v>3.366381619119589</v>
      </c>
      <c r="I844" s="4">
        <f t="shared" si="66"/>
        <v>8.4118326757584114</v>
      </c>
      <c r="J844" s="4">
        <f t="shared" si="67"/>
        <v>5.6276211136906369</v>
      </c>
      <c r="K844" s="4">
        <f t="shared" si="68"/>
        <v>60.7</v>
      </c>
      <c r="L844" s="4">
        <f t="shared" si="69"/>
        <v>0</v>
      </c>
    </row>
    <row r="845" spans="1:12" x14ac:dyDescent="0.35">
      <c r="A845" s="2" t="s">
        <v>717</v>
      </c>
      <c r="B845" s="2" t="s">
        <v>67</v>
      </c>
      <c r="C845" s="2">
        <v>29.9192</v>
      </c>
      <c r="D845" s="2">
        <v>4500</v>
      </c>
      <c r="E845" s="2">
        <v>278</v>
      </c>
      <c r="F845" s="2">
        <v>60.7</v>
      </c>
      <c r="G845" s="2">
        <v>0</v>
      </c>
      <c r="H845" s="4">
        <f t="shared" si="65"/>
        <v>3.3985004147808962</v>
      </c>
      <c r="I845" s="4">
        <f t="shared" si="66"/>
        <v>8.4118326757584114</v>
      </c>
      <c r="J845" s="4">
        <f t="shared" si="67"/>
        <v>5.6276211136906369</v>
      </c>
      <c r="K845" s="4">
        <f t="shared" si="68"/>
        <v>60.7</v>
      </c>
      <c r="L845" s="4">
        <f t="shared" si="69"/>
        <v>0</v>
      </c>
    </row>
    <row r="846" spans="1:12" x14ac:dyDescent="0.35">
      <c r="A846" s="2" t="s">
        <v>718</v>
      </c>
      <c r="B846" s="2" t="s">
        <v>67</v>
      </c>
      <c r="C846" s="2">
        <v>27.5318</v>
      </c>
      <c r="D846" s="2">
        <v>4500</v>
      </c>
      <c r="E846" s="2">
        <v>228</v>
      </c>
      <c r="F846" s="2">
        <v>60.7</v>
      </c>
      <c r="G846" s="2">
        <v>0</v>
      </c>
      <c r="H846" s="4">
        <f t="shared" si="65"/>
        <v>3.3153417002354337</v>
      </c>
      <c r="I846" s="4">
        <f t="shared" si="66"/>
        <v>8.4118326757584114</v>
      </c>
      <c r="J846" s="4">
        <f t="shared" si="67"/>
        <v>5.4293456289544411</v>
      </c>
      <c r="K846" s="4">
        <f t="shared" si="68"/>
        <v>60.7</v>
      </c>
      <c r="L846" s="4">
        <f t="shared" si="69"/>
        <v>0</v>
      </c>
    </row>
    <row r="847" spans="1:12" x14ac:dyDescent="0.35">
      <c r="A847" s="2" t="s">
        <v>719</v>
      </c>
      <c r="B847" s="2" t="s">
        <v>67</v>
      </c>
      <c r="C847" s="2">
        <v>25.7042</v>
      </c>
      <c r="D847" s="2">
        <v>5000</v>
      </c>
      <c r="E847" s="2">
        <v>270</v>
      </c>
      <c r="F847" s="2">
        <v>60.7</v>
      </c>
      <c r="G847" s="2">
        <v>0</v>
      </c>
      <c r="H847" s="4">
        <f t="shared" si="65"/>
        <v>3.2466544026734203</v>
      </c>
      <c r="I847" s="4">
        <f t="shared" si="66"/>
        <v>8.5171931914162382</v>
      </c>
      <c r="J847" s="4">
        <f t="shared" si="67"/>
        <v>5.598421958998375</v>
      </c>
      <c r="K847" s="4">
        <f t="shared" si="68"/>
        <v>60.7</v>
      </c>
      <c r="L847" s="4">
        <f t="shared" si="69"/>
        <v>0</v>
      </c>
    </row>
    <row r="848" spans="1:12" x14ac:dyDescent="0.35">
      <c r="A848" s="2" t="s">
        <v>720</v>
      </c>
      <c r="B848" s="2" t="s">
        <v>33</v>
      </c>
      <c r="C848" s="2">
        <v>31.281500000000001</v>
      </c>
      <c r="D848" s="2">
        <v>5500</v>
      </c>
      <c r="E848" s="2">
        <v>278</v>
      </c>
      <c r="F848" s="2">
        <v>61.1</v>
      </c>
      <c r="G848" s="2">
        <v>1</v>
      </c>
      <c r="H848" s="4">
        <f t="shared" si="65"/>
        <v>3.4430268684915504</v>
      </c>
      <c r="I848" s="4">
        <f t="shared" si="66"/>
        <v>8.6125033712205621</v>
      </c>
      <c r="J848" s="4">
        <f t="shared" si="67"/>
        <v>5.6276211136906369</v>
      </c>
      <c r="K848" s="4">
        <f t="shared" si="68"/>
        <v>61.1</v>
      </c>
      <c r="L848" s="4">
        <f t="shared" si="69"/>
        <v>1</v>
      </c>
    </row>
    <row r="849" spans="1:12" x14ac:dyDescent="0.35">
      <c r="A849" s="2" t="s">
        <v>720</v>
      </c>
      <c r="B849" s="2" t="s">
        <v>33</v>
      </c>
      <c r="C849" s="2">
        <v>30.463699999999999</v>
      </c>
      <c r="D849" s="2">
        <v>5500</v>
      </c>
      <c r="E849" s="2">
        <v>278</v>
      </c>
      <c r="F849" s="2">
        <v>61.1</v>
      </c>
      <c r="G849" s="2">
        <v>1</v>
      </c>
      <c r="H849" s="4">
        <f t="shared" si="65"/>
        <v>3.4165358108713901</v>
      </c>
      <c r="I849" s="4">
        <f t="shared" si="66"/>
        <v>8.6125033712205621</v>
      </c>
      <c r="J849" s="4">
        <f t="shared" si="67"/>
        <v>5.6276211136906369</v>
      </c>
      <c r="K849" s="4">
        <f t="shared" si="68"/>
        <v>61.1</v>
      </c>
      <c r="L849" s="4">
        <f t="shared" si="69"/>
        <v>1</v>
      </c>
    </row>
    <row r="850" spans="1:12" x14ac:dyDescent="0.35">
      <c r="A850" s="2" t="s">
        <v>721</v>
      </c>
      <c r="B850" s="2" t="s">
        <v>67</v>
      </c>
      <c r="C850" s="2">
        <v>26.986799999999999</v>
      </c>
      <c r="D850" s="2">
        <v>4500</v>
      </c>
      <c r="E850" s="2">
        <v>278</v>
      </c>
      <c r="F850" s="2">
        <v>60.7</v>
      </c>
      <c r="G850" s="2">
        <v>0</v>
      </c>
      <c r="H850" s="4">
        <f t="shared" si="65"/>
        <v>3.2953478575703028</v>
      </c>
      <c r="I850" s="4">
        <f t="shared" si="66"/>
        <v>8.4118326757584114</v>
      </c>
      <c r="J850" s="4">
        <f t="shared" si="67"/>
        <v>5.6276211136906369</v>
      </c>
      <c r="K850" s="4">
        <f t="shared" si="68"/>
        <v>60.7</v>
      </c>
      <c r="L850" s="4">
        <f t="shared" si="69"/>
        <v>0</v>
      </c>
    </row>
    <row r="851" spans="1:12" x14ac:dyDescent="0.35">
      <c r="A851" s="2" t="s">
        <v>721</v>
      </c>
      <c r="B851" s="2" t="s">
        <v>67</v>
      </c>
      <c r="C851" s="2">
        <v>27.864899999999999</v>
      </c>
      <c r="D851" s="2">
        <v>4500</v>
      </c>
      <c r="E851" s="2">
        <v>278</v>
      </c>
      <c r="F851" s="2">
        <v>60.7</v>
      </c>
      <c r="G851" s="2">
        <v>0</v>
      </c>
      <c r="H851" s="4">
        <f t="shared" si="65"/>
        <v>3.3273678322836768</v>
      </c>
      <c r="I851" s="4">
        <f t="shared" si="66"/>
        <v>8.4118326757584114</v>
      </c>
      <c r="J851" s="4">
        <f t="shared" si="67"/>
        <v>5.6276211136906369</v>
      </c>
      <c r="K851" s="4">
        <f t="shared" si="68"/>
        <v>60.7</v>
      </c>
      <c r="L851" s="4">
        <f t="shared" si="69"/>
        <v>0</v>
      </c>
    </row>
    <row r="852" spans="1:12" x14ac:dyDescent="0.35">
      <c r="A852" s="2" t="s">
        <v>721</v>
      </c>
      <c r="B852" s="2" t="s">
        <v>67</v>
      </c>
      <c r="C852" s="2">
        <v>27.528300000000002</v>
      </c>
      <c r="D852" s="2">
        <v>4500</v>
      </c>
      <c r="E852" s="2">
        <v>278</v>
      </c>
      <c r="F852" s="2">
        <v>60.7</v>
      </c>
      <c r="G852" s="2">
        <v>0</v>
      </c>
      <c r="H852" s="4">
        <f t="shared" si="65"/>
        <v>3.3152145664305657</v>
      </c>
      <c r="I852" s="4">
        <f t="shared" si="66"/>
        <v>8.4118326757584114</v>
      </c>
      <c r="J852" s="4">
        <f t="shared" si="67"/>
        <v>5.6276211136906369</v>
      </c>
      <c r="K852" s="4">
        <f t="shared" si="68"/>
        <v>60.7</v>
      </c>
      <c r="L852" s="4">
        <f t="shared" si="69"/>
        <v>0</v>
      </c>
    </row>
    <row r="853" spans="1:12" x14ac:dyDescent="0.35">
      <c r="A853" s="2" t="s">
        <v>722</v>
      </c>
      <c r="B853" s="2" t="s">
        <v>33</v>
      </c>
      <c r="C853" s="2">
        <v>30.7256</v>
      </c>
      <c r="D853" s="2">
        <v>5500</v>
      </c>
      <c r="E853" s="2">
        <v>278</v>
      </c>
      <c r="F853" s="2">
        <v>50.5</v>
      </c>
      <c r="G853" s="2">
        <v>1</v>
      </c>
      <c r="H853" s="4">
        <f t="shared" si="65"/>
        <v>3.4250961833330313</v>
      </c>
      <c r="I853" s="4">
        <f t="shared" si="66"/>
        <v>8.6125033712205621</v>
      </c>
      <c r="J853" s="4">
        <f t="shared" si="67"/>
        <v>5.6276211136906369</v>
      </c>
      <c r="K853" s="4">
        <f t="shared" si="68"/>
        <v>50.5</v>
      </c>
      <c r="L853" s="4">
        <f t="shared" si="69"/>
        <v>1</v>
      </c>
    </row>
    <row r="854" spans="1:12" x14ac:dyDescent="0.35">
      <c r="A854" s="2" t="s">
        <v>723</v>
      </c>
      <c r="B854" s="2" t="s">
        <v>67</v>
      </c>
      <c r="C854" s="2">
        <v>32.877099999999999</v>
      </c>
      <c r="D854" s="2">
        <v>4500</v>
      </c>
      <c r="E854" s="2">
        <v>265</v>
      </c>
      <c r="F854" s="2">
        <v>51</v>
      </c>
      <c r="G854" s="2">
        <v>0</v>
      </c>
      <c r="H854" s="4">
        <f t="shared" si="65"/>
        <v>3.4927763667847915</v>
      </c>
      <c r="I854" s="4">
        <f t="shared" si="66"/>
        <v>8.4118326757584114</v>
      </c>
      <c r="J854" s="4">
        <f t="shared" si="67"/>
        <v>5.579729825986222</v>
      </c>
      <c r="K854" s="4">
        <f t="shared" si="68"/>
        <v>51</v>
      </c>
      <c r="L854" s="4">
        <f t="shared" si="69"/>
        <v>0</v>
      </c>
    </row>
    <row r="855" spans="1:12" x14ac:dyDescent="0.35">
      <c r="A855" s="2" t="s">
        <v>723</v>
      </c>
      <c r="B855" s="2" t="s">
        <v>67</v>
      </c>
      <c r="C855" s="2">
        <v>31.4314</v>
      </c>
      <c r="D855" s="2">
        <v>4500</v>
      </c>
      <c r="E855" s="2">
        <v>265</v>
      </c>
      <c r="F855" s="2">
        <v>51</v>
      </c>
      <c r="G855" s="2">
        <v>0</v>
      </c>
      <c r="H855" s="4">
        <f t="shared" si="65"/>
        <v>3.4478073932472912</v>
      </c>
      <c r="I855" s="4">
        <f t="shared" si="66"/>
        <v>8.4118326757584114</v>
      </c>
      <c r="J855" s="4">
        <f t="shared" si="67"/>
        <v>5.579729825986222</v>
      </c>
      <c r="K855" s="4">
        <f t="shared" si="68"/>
        <v>51</v>
      </c>
      <c r="L855" s="4">
        <f t="shared" si="69"/>
        <v>0</v>
      </c>
    </row>
    <row r="856" spans="1:12" x14ac:dyDescent="0.35">
      <c r="A856" s="2" t="s">
        <v>724</v>
      </c>
      <c r="B856" s="2" t="s">
        <v>67</v>
      </c>
      <c r="C856" s="2">
        <v>31.425999999999998</v>
      </c>
      <c r="D856" s="2">
        <v>4500</v>
      </c>
      <c r="E856" s="2">
        <v>265</v>
      </c>
      <c r="F856" s="2">
        <v>51</v>
      </c>
      <c r="G856" s="2">
        <v>0</v>
      </c>
      <c r="H856" s="4">
        <f t="shared" si="65"/>
        <v>3.44763557576794</v>
      </c>
      <c r="I856" s="4">
        <f t="shared" si="66"/>
        <v>8.4118326757584114</v>
      </c>
      <c r="J856" s="4">
        <f t="shared" si="67"/>
        <v>5.579729825986222</v>
      </c>
      <c r="K856" s="4">
        <f t="shared" si="68"/>
        <v>51</v>
      </c>
      <c r="L856" s="4">
        <f t="shared" si="69"/>
        <v>0</v>
      </c>
    </row>
    <row r="857" spans="1:12" x14ac:dyDescent="0.35">
      <c r="A857" s="2" t="s">
        <v>725</v>
      </c>
      <c r="B857" s="2" t="s">
        <v>33</v>
      </c>
      <c r="C857" s="2">
        <v>47.052399999999999</v>
      </c>
      <c r="D857" s="2">
        <v>4500</v>
      </c>
      <c r="E857" s="2">
        <v>186</v>
      </c>
      <c r="F857" s="2">
        <v>51</v>
      </c>
      <c r="G857" s="2">
        <v>1</v>
      </c>
      <c r="H857" s="4">
        <f t="shared" si="65"/>
        <v>3.8512618742947384</v>
      </c>
      <c r="I857" s="4">
        <f t="shared" si="66"/>
        <v>8.4118326757584114</v>
      </c>
      <c r="J857" s="4">
        <f t="shared" si="67"/>
        <v>5.2257466737132017</v>
      </c>
      <c r="K857" s="4">
        <f t="shared" si="68"/>
        <v>51</v>
      </c>
      <c r="L857" s="4">
        <f t="shared" si="69"/>
        <v>1</v>
      </c>
    </row>
    <row r="858" spans="1:12" x14ac:dyDescent="0.35">
      <c r="A858" s="2" t="s">
        <v>726</v>
      </c>
      <c r="B858" s="2" t="s">
        <v>33</v>
      </c>
      <c r="C858" s="2">
        <v>47.652500000000003</v>
      </c>
      <c r="D858" s="2">
        <v>5000</v>
      </c>
      <c r="E858" s="2">
        <v>186</v>
      </c>
      <c r="F858" s="2">
        <v>51</v>
      </c>
      <c r="G858" s="2">
        <v>1</v>
      </c>
      <c r="H858" s="4">
        <f t="shared" si="65"/>
        <v>3.8639350946210911</v>
      </c>
      <c r="I858" s="4">
        <f t="shared" si="66"/>
        <v>8.5171931914162382</v>
      </c>
      <c r="J858" s="4">
        <f t="shared" si="67"/>
        <v>5.2257466737132017</v>
      </c>
      <c r="K858" s="4">
        <f t="shared" si="68"/>
        <v>51</v>
      </c>
      <c r="L858" s="4">
        <f t="shared" si="69"/>
        <v>1</v>
      </c>
    </row>
    <row r="859" spans="1:12" x14ac:dyDescent="0.35">
      <c r="A859" s="2" t="s">
        <v>727</v>
      </c>
      <c r="B859" s="2" t="s">
        <v>33</v>
      </c>
      <c r="C859" s="2">
        <v>48.7988</v>
      </c>
      <c r="D859" s="2">
        <v>4500</v>
      </c>
      <c r="E859" s="2">
        <v>186</v>
      </c>
      <c r="F859" s="2">
        <v>51</v>
      </c>
      <c r="G859" s="2">
        <v>1</v>
      </c>
      <c r="H859" s="4">
        <f t="shared" si="65"/>
        <v>3.8877057223928242</v>
      </c>
      <c r="I859" s="4">
        <f t="shared" si="66"/>
        <v>8.4118326757584114</v>
      </c>
      <c r="J859" s="4">
        <f t="shared" si="67"/>
        <v>5.2257466737132017</v>
      </c>
      <c r="K859" s="4">
        <f t="shared" si="68"/>
        <v>51</v>
      </c>
      <c r="L859" s="4">
        <f t="shared" si="69"/>
        <v>1</v>
      </c>
    </row>
    <row r="860" spans="1:12" x14ac:dyDescent="0.35">
      <c r="A860" s="2" t="s">
        <v>728</v>
      </c>
      <c r="B860" s="2" t="s">
        <v>67</v>
      </c>
      <c r="C860" s="2">
        <v>25.7271</v>
      </c>
      <c r="D860" s="2">
        <v>5500</v>
      </c>
      <c r="E860" s="2">
        <v>358</v>
      </c>
      <c r="F860" s="2">
        <v>69.5</v>
      </c>
      <c r="G860" s="2">
        <v>0</v>
      </c>
      <c r="H860" s="4">
        <f t="shared" si="65"/>
        <v>3.2475449110414107</v>
      </c>
      <c r="I860" s="4">
        <f t="shared" si="66"/>
        <v>8.6125033712205621</v>
      </c>
      <c r="J860" s="4">
        <f t="shared" si="67"/>
        <v>5.8805329864007003</v>
      </c>
      <c r="K860" s="4">
        <f t="shared" si="68"/>
        <v>69.5</v>
      </c>
      <c r="L860" s="4">
        <f t="shared" si="69"/>
        <v>0</v>
      </c>
    </row>
    <row r="861" spans="1:12" x14ac:dyDescent="0.35">
      <c r="A861" s="2" t="s">
        <v>728</v>
      </c>
      <c r="B861" s="2" t="s">
        <v>67</v>
      </c>
      <c r="C861" s="2">
        <v>26.2715</v>
      </c>
      <c r="D861" s="2">
        <v>5500</v>
      </c>
      <c r="E861" s="2">
        <v>389</v>
      </c>
      <c r="F861" s="2">
        <v>69.5</v>
      </c>
      <c r="G861" s="2">
        <v>0</v>
      </c>
      <c r="H861" s="4">
        <f t="shared" si="65"/>
        <v>3.2684847014202165</v>
      </c>
      <c r="I861" s="4">
        <f t="shared" si="66"/>
        <v>8.6125033712205621</v>
      </c>
      <c r="J861" s="4">
        <f t="shared" si="67"/>
        <v>5.9635793436184459</v>
      </c>
      <c r="K861" s="4">
        <f t="shared" si="68"/>
        <v>69.5</v>
      </c>
      <c r="L861" s="4">
        <f t="shared" si="69"/>
        <v>0</v>
      </c>
    </row>
    <row r="862" spans="1:12" x14ac:dyDescent="0.35">
      <c r="A862" s="2" t="s">
        <v>728</v>
      </c>
      <c r="B862" s="2" t="s">
        <v>33</v>
      </c>
      <c r="C862" s="2">
        <v>29.486599999999999</v>
      </c>
      <c r="D862" s="2">
        <v>6000</v>
      </c>
      <c r="E862" s="2">
        <v>389</v>
      </c>
      <c r="F862" s="2">
        <v>69.5</v>
      </c>
      <c r="G862" s="2">
        <v>1</v>
      </c>
      <c r="H862" s="4">
        <f t="shared" si="65"/>
        <v>3.3839359228606298</v>
      </c>
      <c r="I862" s="4">
        <f t="shared" si="66"/>
        <v>8.6995147482101913</v>
      </c>
      <c r="J862" s="4">
        <f t="shared" si="67"/>
        <v>5.9635793436184459</v>
      </c>
      <c r="K862" s="4">
        <f t="shared" si="68"/>
        <v>69.5</v>
      </c>
      <c r="L862" s="4">
        <f t="shared" si="69"/>
        <v>1</v>
      </c>
    </row>
    <row r="863" spans="1:12" x14ac:dyDescent="0.35">
      <c r="A863" s="2" t="s">
        <v>729</v>
      </c>
      <c r="B863" s="2" t="s">
        <v>67</v>
      </c>
      <c r="C863" s="2">
        <v>24.659400000000002</v>
      </c>
      <c r="D863" s="2">
        <v>6000</v>
      </c>
      <c r="E863" s="2">
        <v>358</v>
      </c>
      <c r="F863" s="2">
        <v>69.5</v>
      </c>
      <c r="G863" s="2">
        <v>0</v>
      </c>
      <c r="H863" s="4">
        <f t="shared" si="65"/>
        <v>3.2051581665399538</v>
      </c>
      <c r="I863" s="4">
        <f t="shared" si="66"/>
        <v>8.6995147482101913</v>
      </c>
      <c r="J863" s="4">
        <f t="shared" si="67"/>
        <v>5.8805329864007003</v>
      </c>
      <c r="K863" s="4">
        <f t="shared" si="68"/>
        <v>69.5</v>
      </c>
      <c r="L863" s="4">
        <f t="shared" si="69"/>
        <v>0</v>
      </c>
    </row>
    <row r="864" spans="1:12" x14ac:dyDescent="0.35">
      <c r="A864" s="2" t="s">
        <v>729</v>
      </c>
      <c r="B864" s="2" t="s">
        <v>67</v>
      </c>
      <c r="C864" s="2">
        <v>25.1706</v>
      </c>
      <c r="D864" s="2">
        <v>6000</v>
      </c>
      <c r="E864" s="2">
        <v>389</v>
      </c>
      <c r="F864" s="2">
        <v>69.5</v>
      </c>
      <c r="G864" s="2">
        <v>0</v>
      </c>
      <c r="H864" s="4">
        <f t="shared" si="65"/>
        <v>3.225676646765371</v>
      </c>
      <c r="I864" s="4">
        <f t="shared" si="66"/>
        <v>8.6995147482101913</v>
      </c>
      <c r="J864" s="4">
        <f t="shared" si="67"/>
        <v>5.9635793436184459</v>
      </c>
      <c r="K864" s="4">
        <f t="shared" si="68"/>
        <v>69.5</v>
      </c>
      <c r="L864" s="4">
        <f t="shared" si="69"/>
        <v>0</v>
      </c>
    </row>
    <row r="865" spans="1:12" x14ac:dyDescent="0.35">
      <c r="A865" s="2" t="s">
        <v>729</v>
      </c>
      <c r="B865" s="2" t="s">
        <v>33</v>
      </c>
      <c r="C865" s="2">
        <v>26.407399999999999</v>
      </c>
      <c r="D865" s="2">
        <v>6500</v>
      </c>
      <c r="E865" s="2">
        <v>389</v>
      </c>
      <c r="F865" s="2">
        <v>69.5</v>
      </c>
      <c r="G865" s="2">
        <v>1</v>
      </c>
      <c r="H865" s="4">
        <f t="shared" si="65"/>
        <v>3.2736442739050187</v>
      </c>
      <c r="I865" s="4">
        <f t="shared" si="66"/>
        <v>8.7795574558837277</v>
      </c>
      <c r="J865" s="4">
        <f t="shared" si="67"/>
        <v>5.9635793436184459</v>
      </c>
      <c r="K865" s="4">
        <f t="shared" si="68"/>
        <v>69.5</v>
      </c>
      <c r="L865" s="4">
        <f t="shared" si="69"/>
        <v>1</v>
      </c>
    </row>
    <row r="866" spans="1:12" x14ac:dyDescent="0.35">
      <c r="A866" s="2" t="s">
        <v>730</v>
      </c>
      <c r="B866" s="2" t="s">
        <v>33</v>
      </c>
      <c r="C866" s="2">
        <v>24.9802</v>
      </c>
      <c r="D866" s="2">
        <v>6500</v>
      </c>
      <c r="E866" s="2">
        <v>389</v>
      </c>
      <c r="F866" s="2">
        <v>69.8</v>
      </c>
      <c r="G866" s="2">
        <v>1</v>
      </c>
      <c r="H866" s="4">
        <f t="shared" si="65"/>
        <v>3.2180835110705046</v>
      </c>
      <c r="I866" s="4">
        <f t="shared" si="66"/>
        <v>8.7795574558837277</v>
      </c>
      <c r="J866" s="4">
        <f t="shared" si="67"/>
        <v>5.9635793436184459</v>
      </c>
      <c r="K866" s="4">
        <f t="shared" si="68"/>
        <v>69.8</v>
      </c>
      <c r="L866" s="4">
        <f t="shared" si="69"/>
        <v>1</v>
      </c>
    </row>
    <row r="867" spans="1:12" x14ac:dyDescent="0.35">
      <c r="A867" s="2" t="s">
        <v>731</v>
      </c>
      <c r="B867" s="2" t="s">
        <v>33</v>
      </c>
      <c r="C867" s="2">
        <v>53.746899999999997</v>
      </c>
      <c r="D867" s="2">
        <v>4500</v>
      </c>
      <c r="E867" s="2">
        <v>177</v>
      </c>
      <c r="F867" s="2">
        <v>46.3</v>
      </c>
      <c r="G867" s="2">
        <v>1</v>
      </c>
      <c r="H867" s="4">
        <f t="shared" si="65"/>
        <v>3.9842859909259341</v>
      </c>
      <c r="I867" s="4">
        <f t="shared" si="66"/>
        <v>8.4118326757584114</v>
      </c>
      <c r="J867" s="4">
        <f t="shared" si="67"/>
        <v>5.1761497325738288</v>
      </c>
      <c r="K867" s="4">
        <f t="shared" si="68"/>
        <v>46.3</v>
      </c>
      <c r="L867" s="4">
        <f t="shared" si="69"/>
        <v>1</v>
      </c>
    </row>
    <row r="868" spans="1:12" x14ac:dyDescent="0.35">
      <c r="A868" s="2" t="s">
        <v>732</v>
      </c>
      <c r="B868" s="2" t="s">
        <v>67</v>
      </c>
      <c r="C868" s="2">
        <v>41.232100000000003</v>
      </c>
      <c r="D868" s="2">
        <v>3500</v>
      </c>
      <c r="E868" s="2">
        <v>203</v>
      </c>
      <c r="F868" s="2">
        <v>46.3</v>
      </c>
      <c r="G868" s="2">
        <v>0</v>
      </c>
      <c r="H868" s="4">
        <f t="shared" si="65"/>
        <v>3.7192170792078056</v>
      </c>
      <c r="I868" s="4">
        <f t="shared" si="66"/>
        <v>8.1605182474775049</v>
      </c>
      <c r="J868" s="4">
        <f t="shared" si="67"/>
        <v>5.3132059790417872</v>
      </c>
      <c r="K868" s="4">
        <f t="shared" si="68"/>
        <v>46.3</v>
      </c>
      <c r="L868" s="4">
        <f t="shared" si="69"/>
        <v>0</v>
      </c>
    </row>
    <row r="869" spans="1:12" x14ac:dyDescent="0.35">
      <c r="A869" s="2" t="s">
        <v>733</v>
      </c>
      <c r="B869" s="2" t="s">
        <v>33</v>
      </c>
      <c r="C869" s="2">
        <v>50.809899999999999</v>
      </c>
      <c r="D869" s="2">
        <v>4000</v>
      </c>
      <c r="E869" s="2">
        <v>176</v>
      </c>
      <c r="F869" s="2">
        <v>46.6</v>
      </c>
      <c r="G869" s="2">
        <v>1</v>
      </c>
      <c r="H869" s="4">
        <f t="shared" si="65"/>
        <v>3.9280912174871911</v>
      </c>
      <c r="I869" s="4">
        <f t="shared" si="66"/>
        <v>8.2940496401020276</v>
      </c>
      <c r="J869" s="4">
        <f t="shared" si="67"/>
        <v>5.1704839950381514</v>
      </c>
      <c r="K869" s="4">
        <f t="shared" si="68"/>
        <v>46.6</v>
      </c>
      <c r="L869" s="4">
        <f t="shared" si="69"/>
        <v>1</v>
      </c>
    </row>
    <row r="870" spans="1:12" x14ac:dyDescent="0.35">
      <c r="A870" s="2" t="s">
        <v>734</v>
      </c>
      <c r="B870" s="2" t="s">
        <v>67</v>
      </c>
      <c r="C870" s="2">
        <v>39.714700000000001</v>
      </c>
      <c r="D870" s="2">
        <v>4000</v>
      </c>
      <c r="E870" s="2">
        <v>203</v>
      </c>
      <c r="F870" s="2">
        <v>46.3</v>
      </c>
      <c r="G870" s="2">
        <v>0</v>
      </c>
      <c r="H870" s="4">
        <f t="shared" si="65"/>
        <v>3.6817213962355906</v>
      </c>
      <c r="I870" s="4">
        <f t="shared" si="66"/>
        <v>8.2940496401020276</v>
      </c>
      <c r="J870" s="4">
        <f t="shared" si="67"/>
        <v>5.3132059790417872</v>
      </c>
      <c r="K870" s="4">
        <f t="shared" si="68"/>
        <v>46.3</v>
      </c>
      <c r="L870" s="4">
        <f t="shared" si="69"/>
        <v>0</v>
      </c>
    </row>
    <row r="871" spans="1:12" x14ac:dyDescent="0.35">
      <c r="A871" s="2" t="s">
        <v>734</v>
      </c>
      <c r="B871" s="2" t="s">
        <v>67</v>
      </c>
      <c r="C871" s="2">
        <v>37.4878</v>
      </c>
      <c r="D871" s="2">
        <v>4000</v>
      </c>
      <c r="E871" s="2">
        <v>203</v>
      </c>
      <c r="F871" s="2">
        <v>46.3</v>
      </c>
      <c r="G871" s="2">
        <v>0</v>
      </c>
      <c r="H871" s="4">
        <f t="shared" si="65"/>
        <v>3.6240155467106621</v>
      </c>
      <c r="I871" s="4">
        <f t="shared" si="66"/>
        <v>8.2940496401020276</v>
      </c>
      <c r="J871" s="4">
        <f t="shared" si="67"/>
        <v>5.3132059790417872</v>
      </c>
      <c r="K871" s="4">
        <f t="shared" si="68"/>
        <v>46.3</v>
      </c>
      <c r="L871" s="4">
        <f t="shared" si="69"/>
        <v>0</v>
      </c>
    </row>
    <row r="872" spans="1:12" x14ac:dyDescent="0.35">
      <c r="A872" s="2" t="s">
        <v>735</v>
      </c>
      <c r="B872" s="2" t="s">
        <v>67</v>
      </c>
      <c r="C872" s="2">
        <v>37.063400000000001</v>
      </c>
      <c r="D872" s="2">
        <v>4000</v>
      </c>
      <c r="E872" s="2">
        <v>203</v>
      </c>
      <c r="F872" s="2">
        <v>46.6</v>
      </c>
      <c r="G872" s="2">
        <v>0</v>
      </c>
      <c r="H872" s="4">
        <f t="shared" si="65"/>
        <v>3.6126299597683373</v>
      </c>
      <c r="I872" s="4">
        <f t="shared" si="66"/>
        <v>8.2940496401020276</v>
      </c>
      <c r="J872" s="4">
        <f t="shared" si="67"/>
        <v>5.3132059790417872</v>
      </c>
      <c r="K872" s="4">
        <f t="shared" si="68"/>
        <v>46.6</v>
      </c>
      <c r="L872" s="4">
        <f t="shared" si="69"/>
        <v>0</v>
      </c>
    </row>
    <row r="873" spans="1:12" x14ac:dyDescent="0.35">
      <c r="A873" s="2" t="s">
        <v>736</v>
      </c>
      <c r="B873" s="2" t="s">
        <v>67</v>
      </c>
      <c r="C873" s="2">
        <v>40.539700000000003</v>
      </c>
      <c r="D873" s="2">
        <v>3500</v>
      </c>
      <c r="E873" s="2">
        <v>203</v>
      </c>
      <c r="F873" s="2">
        <v>46.6</v>
      </c>
      <c r="G873" s="2">
        <v>0</v>
      </c>
      <c r="H873" s="4">
        <f t="shared" si="65"/>
        <v>3.702281740897805</v>
      </c>
      <c r="I873" s="4">
        <f t="shared" si="66"/>
        <v>8.1605182474775049</v>
      </c>
      <c r="J873" s="4">
        <f t="shared" si="67"/>
        <v>5.3132059790417872</v>
      </c>
      <c r="K873" s="4">
        <f t="shared" si="68"/>
        <v>46.6</v>
      </c>
      <c r="L873" s="4">
        <f t="shared" si="69"/>
        <v>0</v>
      </c>
    </row>
    <row r="874" spans="1:12" x14ac:dyDescent="0.35">
      <c r="A874" s="2" t="s">
        <v>737</v>
      </c>
      <c r="B874" s="2" t="s">
        <v>33</v>
      </c>
      <c r="C874" s="2">
        <v>54.289499999999997</v>
      </c>
      <c r="D874" s="2">
        <v>4000</v>
      </c>
      <c r="E874" s="2">
        <v>176</v>
      </c>
      <c r="F874" s="2">
        <v>46.6</v>
      </c>
      <c r="G874" s="2">
        <v>1</v>
      </c>
      <c r="H874" s="4">
        <f t="shared" si="65"/>
        <v>3.9943308380757228</v>
      </c>
      <c r="I874" s="4">
        <f t="shared" si="66"/>
        <v>8.2940496401020276</v>
      </c>
      <c r="J874" s="4">
        <f t="shared" si="67"/>
        <v>5.1704839950381514</v>
      </c>
      <c r="K874" s="4">
        <f t="shared" si="68"/>
        <v>46.6</v>
      </c>
      <c r="L874" s="4">
        <f t="shared" si="69"/>
        <v>1</v>
      </c>
    </row>
    <row r="875" spans="1:12" x14ac:dyDescent="0.35">
      <c r="A875" s="2" t="s">
        <v>738</v>
      </c>
      <c r="B875" s="2" t="s">
        <v>33</v>
      </c>
      <c r="C875" s="2">
        <v>49.081099999999999</v>
      </c>
      <c r="D875" s="2">
        <v>5000</v>
      </c>
      <c r="E875" s="2">
        <v>189</v>
      </c>
      <c r="F875" s="2">
        <v>56.9</v>
      </c>
      <c r="G875" s="2">
        <v>1</v>
      </c>
      <c r="H875" s="4">
        <f t="shared" si="65"/>
        <v>3.8934740319794949</v>
      </c>
      <c r="I875" s="4">
        <f t="shared" si="66"/>
        <v>8.5171931914162382</v>
      </c>
      <c r="J875" s="4">
        <f t="shared" si="67"/>
        <v>5.2417470150596426</v>
      </c>
      <c r="K875" s="4">
        <f t="shared" si="68"/>
        <v>56.9</v>
      </c>
      <c r="L875" s="4">
        <f t="shared" si="69"/>
        <v>1</v>
      </c>
    </row>
    <row r="876" spans="1:12" x14ac:dyDescent="0.35">
      <c r="A876" s="2" t="s">
        <v>739</v>
      </c>
      <c r="B876" s="2" t="s">
        <v>33</v>
      </c>
      <c r="C876" s="2">
        <v>47.673699999999997</v>
      </c>
      <c r="D876" s="2">
        <v>5000</v>
      </c>
      <c r="E876" s="2">
        <v>189</v>
      </c>
      <c r="F876" s="2">
        <v>57.1</v>
      </c>
      <c r="G876" s="2">
        <v>1</v>
      </c>
      <c r="H876" s="4">
        <f t="shared" si="65"/>
        <v>3.8643798831545584</v>
      </c>
      <c r="I876" s="4">
        <f t="shared" si="66"/>
        <v>8.5171931914162382</v>
      </c>
      <c r="J876" s="4">
        <f t="shared" si="67"/>
        <v>5.2417470150596426</v>
      </c>
      <c r="K876" s="4">
        <f t="shared" si="68"/>
        <v>57.1</v>
      </c>
      <c r="L876" s="4">
        <f t="shared" si="69"/>
        <v>1</v>
      </c>
    </row>
    <row r="877" spans="1:12" x14ac:dyDescent="0.35">
      <c r="A877" s="2" t="s">
        <v>740</v>
      </c>
      <c r="B877" s="2" t="s">
        <v>33</v>
      </c>
      <c r="C877" s="2">
        <v>29.554300000000001</v>
      </c>
      <c r="D877" s="2">
        <v>6000</v>
      </c>
      <c r="E877" s="2">
        <v>389</v>
      </c>
      <c r="F877" s="2">
        <v>58.2</v>
      </c>
      <c r="G877" s="2">
        <v>1</v>
      </c>
      <c r="H877" s="4">
        <f t="shared" si="65"/>
        <v>3.3862292493401203</v>
      </c>
      <c r="I877" s="4">
        <f t="shared" si="66"/>
        <v>8.6995147482101913</v>
      </c>
      <c r="J877" s="4">
        <f t="shared" si="67"/>
        <v>5.9635793436184459</v>
      </c>
      <c r="K877" s="4">
        <f t="shared" si="68"/>
        <v>58.2</v>
      </c>
      <c r="L877" s="4">
        <f t="shared" si="69"/>
        <v>1</v>
      </c>
    </row>
    <row r="878" spans="1:12" x14ac:dyDescent="0.35">
      <c r="A878" s="2" t="s">
        <v>741</v>
      </c>
      <c r="B878" s="2" t="s">
        <v>33</v>
      </c>
      <c r="C878" s="2">
        <v>26.407399999999999</v>
      </c>
      <c r="D878" s="2">
        <v>6500</v>
      </c>
      <c r="E878" s="2">
        <v>389</v>
      </c>
      <c r="F878" s="2">
        <v>58.2</v>
      </c>
      <c r="G878" s="2">
        <v>1</v>
      </c>
      <c r="H878" s="4">
        <f t="shared" si="65"/>
        <v>3.2736442739050187</v>
      </c>
      <c r="I878" s="4">
        <f t="shared" si="66"/>
        <v>8.7795574558837277</v>
      </c>
      <c r="J878" s="4">
        <f t="shared" si="67"/>
        <v>5.9635793436184459</v>
      </c>
      <c r="K878" s="4">
        <f t="shared" si="68"/>
        <v>58.2</v>
      </c>
      <c r="L878" s="4">
        <f t="shared" si="69"/>
        <v>1</v>
      </c>
    </row>
    <row r="879" spans="1:12" x14ac:dyDescent="0.35">
      <c r="A879" s="2" t="s">
        <v>742</v>
      </c>
      <c r="B879" s="2" t="s">
        <v>33</v>
      </c>
      <c r="C879" s="2">
        <v>53.340899999999998</v>
      </c>
      <c r="D879" s="2">
        <v>4000</v>
      </c>
      <c r="E879" s="2">
        <v>176</v>
      </c>
      <c r="F879" s="2">
        <v>46.6</v>
      </c>
      <c r="G879" s="2">
        <v>1</v>
      </c>
      <c r="H879" s="4">
        <f t="shared" si="65"/>
        <v>3.976703391502411</v>
      </c>
      <c r="I879" s="4">
        <f t="shared" si="66"/>
        <v>8.2940496401020276</v>
      </c>
      <c r="J879" s="4">
        <f t="shared" si="67"/>
        <v>5.1704839950381514</v>
      </c>
      <c r="K879" s="4">
        <f t="shared" si="68"/>
        <v>46.6</v>
      </c>
      <c r="L879" s="4">
        <f t="shared" si="69"/>
        <v>1</v>
      </c>
    </row>
    <row r="880" spans="1:12" x14ac:dyDescent="0.35">
      <c r="A880" s="2" t="s">
        <v>743</v>
      </c>
      <c r="B880" s="2" t="s">
        <v>67</v>
      </c>
      <c r="C880" s="2">
        <v>31.9254</v>
      </c>
      <c r="D880" s="2">
        <v>4500</v>
      </c>
      <c r="E880" s="2">
        <v>265</v>
      </c>
      <c r="F880" s="2">
        <v>54.6</v>
      </c>
      <c r="G880" s="2">
        <v>0</v>
      </c>
      <c r="H880" s="4">
        <f t="shared" si="65"/>
        <v>3.4634019312058122</v>
      </c>
      <c r="I880" s="4">
        <f t="shared" si="66"/>
        <v>8.4118326757584114</v>
      </c>
      <c r="J880" s="4">
        <f t="shared" si="67"/>
        <v>5.579729825986222</v>
      </c>
      <c r="K880" s="4">
        <f t="shared" si="68"/>
        <v>54.6</v>
      </c>
      <c r="L880" s="4">
        <f t="shared" si="69"/>
        <v>0</v>
      </c>
    </row>
    <row r="881" spans="1:12" x14ac:dyDescent="0.35">
      <c r="A881" s="2" t="s">
        <v>744</v>
      </c>
      <c r="B881" s="2" t="s">
        <v>67</v>
      </c>
      <c r="C881" s="2">
        <v>31.907499999999999</v>
      </c>
      <c r="D881" s="2">
        <v>4500</v>
      </c>
      <c r="E881" s="2">
        <v>265</v>
      </c>
      <c r="F881" s="2">
        <v>54.3</v>
      </c>
      <c r="G881" s="2">
        <v>0</v>
      </c>
      <c r="H881" s="4">
        <f t="shared" si="65"/>
        <v>3.4628410918747088</v>
      </c>
      <c r="I881" s="4">
        <f t="shared" si="66"/>
        <v>8.4118326757584114</v>
      </c>
      <c r="J881" s="4">
        <f t="shared" si="67"/>
        <v>5.579729825986222</v>
      </c>
      <c r="K881" s="4">
        <f t="shared" si="68"/>
        <v>54.3</v>
      </c>
      <c r="L881" s="4">
        <f t="shared" si="69"/>
        <v>0</v>
      </c>
    </row>
    <row r="882" spans="1:12" x14ac:dyDescent="0.35">
      <c r="A882" s="2" t="s">
        <v>745</v>
      </c>
      <c r="B882" s="2" t="s">
        <v>67</v>
      </c>
      <c r="C882" s="2">
        <v>30.955300000000001</v>
      </c>
      <c r="D882" s="2">
        <v>4500</v>
      </c>
      <c r="E882" s="2">
        <v>265</v>
      </c>
      <c r="F882" s="2">
        <v>54.6</v>
      </c>
      <c r="G882" s="2">
        <v>0</v>
      </c>
      <c r="H882" s="4">
        <f t="shared" si="65"/>
        <v>3.4325442284118766</v>
      </c>
      <c r="I882" s="4">
        <f t="shared" si="66"/>
        <v>8.4118326757584114</v>
      </c>
      <c r="J882" s="4">
        <f t="shared" si="67"/>
        <v>5.579729825986222</v>
      </c>
      <c r="K882" s="4">
        <f t="shared" si="68"/>
        <v>54.6</v>
      </c>
      <c r="L882" s="4">
        <f t="shared" si="69"/>
        <v>0</v>
      </c>
    </row>
    <row r="883" spans="1:12" x14ac:dyDescent="0.35">
      <c r="A883" s="2" t="s">
        <v>746</v>
      </c>
      <c r="B883" s="2" t="s">
        <v>67</v>
      </c>
      <c r="C883" s="2">
        <v>29.7362</v>
      </c>
      <c r="D883" s="2">
        <v>5000</v>
      </c>
      <c r="E883" s="2">
        <v>265</v>
      </c>
      <c r="F883" s="2">
        <v>54.3</v>
      </c>
      <c r="G883" s="2">
        <v>0</v>
      </c>
      <c r="H883" s="4">
        <f t="shared" si="65"/>
        <v>3.3923651588265162</v>
      </c>
      <c r="I883" s="4">
        <f t="shared" si="66"/>
        <v>8.5171931914162382</v>
      </c>
      <c r="J883" s="4">
        <f t="shared" si="67"/>
        <v>5.579729825986222</v>
      </c>
      <c r="K883" s="4">
        <f t="shared" si="68"/>
        <v>54.3</v>
      </c>
      <c r="L883" s="4">
        <f t="shared" si="69"/>
        <v>0</v>
      </c>
    </row>
    <row r="884" spans="1:12" x14ac:dyDescent="0.35">
      <c r="A884" s="2" t="s">
        <v>747</v>
      </c>
      <c r="B884" s="2" t="s">
        <v>33</v>
      </c>
      <c r="C884" s="2">
        <v>50.566699999999997</v>
      </c>
      <c r="D884" s="2">
        <v>4500</v>
      </c>
      <c r="E884" s="2">
        <v>187</v>
      </c>
      <c r="F884" s="2">
        <v>54.6</v>
      </c>
      <c r="G884" s="2">
        <v>1</v>
      </c>
      <c r="H884" s="4">
        <f t="shared" si="65"/>
        <v>3.9232932568819407</v>
      </c>
      <c r="I884" s="4">
        <f t="shared" si="66"/>
        <v>8.4118326757584114</v>
      </c>
      <c r="J884" s="4">
        <f t="shared" si="67"/>
        <v>5.2311086168545868</v>
      </c>
      <c r="K884" s="4">
        <f t="shared" si="68"/>
        <v>54.6</v>
      </c>
      <c r="L884" s="4">
        <f t="shared" si="69"/>
        <v>1</v>
      </c>
    </row>
    <row r="885" spans="1:12" x14ac:dyDescent="0.35">
      <c r="A885" s="2" t="s">
        <v>748</v>
      </c>
      <c r="B885" s="2" t="s">
        <v>33</v>
      </c>
      <c r="C885" s="2">
        <v>47.7181</v>
      </c>
      <c r="D885" s="2">
        <v>5000</v>
      </c>
      <c r="E885" s="2">
        <v>187</v>
      </c>
      <c r="F885" s="2">
        <v>54.3</v>
      </c>
      <c r="G885" s="2">
        <v>1</v>
      </c>
      <c r="H885" s="4">
        <f t="shared" si="65"/>
        <v>3.8653107808461065</v>
      </c>
      <c r="I885" s="4">
        <f t="shared" si="66"/>
        <v>8.5171931914162382</v>
      </c>
      <c r="J885" s="4">
        <f t="shared" si="67"/>
        <v>5.2311086168545868</v>
      </c>
      <c r="K885" s="4">
        <f t="shared" si="68"/>
        <v>54.3</v>
      </c>
      <c r="L885" s="4">
        <f t="shared" si="69"/>
        <v>1</v>
      </c>
    </row>
    <row r="886" spans="1:12" x14ac:dyDescent="0.35">
      <c r="A886" s="2" t="s">
        <v>748</v>
      </c>
      <c r="B886" s="2" t="s">
        <v>33</v>
      </c>
      <c r="C886" s="2">
        <v>36.027000000000001</v>
      </c>
      <c r="D886" s="2">
        <v>5000</v>
      </c>
      <c r="E886" s="2">
        <v>265</v>
      </c>
      <c r="F886" s="2">
        <v>54.3</v>
      </c>
      <c r="G886" s="2">
        <v>1</v>
      </c>
      <c r="H886" s="4">
        <f t="shared" si="65"/>
        <v>3.584268657346656</v>
      </c>
      <c r="I886" s="4">
        <f t="shared" si="66"/>
        <v>8.5171931914162382</v>
      </c>
      <c r="J886" s="4">
        <f t="shared" si="67"/>
        <v>5.579729825986222</v>
      </c>
      <c r="K886" s="4">
        <f t="shared" si="68"/>
        <v>54.3</v>
      </c>
      <c r="L886" s="4">
        <f t="shared" si="69"/>
        <v>1</v>
      </c>
    </row>
    <row r="887" spans="1:12" x14ac:dyDescent="0.35">
      <c r="A887" s="2" t="s">
        <v>749</v>
      </c>
      <c r="B887" s="2" t="s">
        <v>67</v>
      </c>
      <c r="C887" s="2">
        <v>49.785200000000003</v>
      </c>
      <c r="D887" s="2">
        <v>3500</v>
      </c>
      <c r="E887" s="2">
        <v>169</v>
      </c>
      <c r="F887" s="2">
        <v>43.7</v>
      </c>
      <c r="G887" s="2">
        <v>0</v>
      </c>
      <c r="H887" s="4">
        <f t="shared" si="65"/>
        <v>3.907717751106258</v>
      </c>
      <c r="I887" s="4">
        <f t="shared" si="66"/>
        <v>8.1605182474775049</v>
      </c>
      <c r="J887" s="4">
        <f t="shared" si="67"/>
        <v>5.1298987149230735</v>
      </c>
      <c r="K887" s="4">
        <f t="shared" si="68"/>
        <v>43.7</v>
      </c>
      <c r="L887" s="4">
        <f t="shared" si="69"/>
        <v>0</v>
      </c>
    </row>
    <row r="888" spans="1:12" x14ac:dyDescent="0.35">
      <c r="A888" s="2" t="s">
        <v>750</v>
      </c>
      <c r="B888" s="2" t="s">
        <v>67</v>
      </c>
      <c r="C888" s="2">
        <v>45.6858</v>
      </c>
      <c r="D888" s="2">
        <v>3500</v>
      </c>
      <c r="E888" s="2">
        <v>169</v>
      </c>
      <c r="F888" s="2">
        <v>43.7</v>
      </c>
      <c r="G888" s="2">
        <v>0</v>
      </c>
      <c r="H888" s="4">
        <f t="shared" si="65"/>
        <v>3.8217875275153883</v>
      </c>
      <c r="I888" s="4">
        <f t="shared" si="66"/>
        <v>8.1605182474775049</v>
      </c>
      <c r="J888" s="4">
        <f t="shared" si="67"/>
        <v>5.1298987149230735</v>
      </c>
      <c r="K888" s="4">
        <f t="shared" si="68"/>
        <v>43.7</v>
      </c>
      <c r="L888" s="4">
        <f t="shared" si="69"/>
        <v>0</v>
      </c>
    </row>
    <row r="889" spans="1:12" x14ac:dyDescent="0.35">
      <c r="A889" s="2" t="s">
        <v>751</v>
      </c>
      <c r="B889" s="2" t="s">
        <v>67</v>
      </c>
      <c r="C889" s="2">
        <v>31.633199999999999</v>
      </c>
      <c r="D889" s="2">
        <v>3500</v>
      </c>
      <c r="E889" s="2">
        <v>300</v>
      </c>
      <c r="F889" s="2">
        <v>45.6</v>
      </c>
      <c r="G889" s="2">
        <v>0</v>
      </c>
      <c r="H889" s="4">
        <f t="shared" si="65"/>
        <v>3.4542072019757706</v>
      </c>
      <c r="I889" s="4">
        <f t="shared" si="66"/>
        <v>8.1605182474775049</v>
      </c>
      <c r="J889" s="4">
        <f t="shared" si="67"/>
        <v>5.7037824746562009</v>
      </c>
      <c r="K889" s="4">
        <f t="shared" si="68"/>
        <v>45.6</v>
      </c>
      <c r="L889" s="4">
        <f t="shared" si="69"/>
        <v>0</v>
      </c>
    </row>
    <row r="890" spans="1:12" x14ac:dyDescent="0.35">
      <c r="A890" s="2" t="s">
        <v>752</v>
      </c>
      <c r="B890" s="2" t="s">
        <v>67</v>
      </c>
      <c r="C890" s="2">
        <v>29.155100000000001</v>
      </c>
      <c r="D890" s="2">
        <v>3000</v>
      </c>
      <c r="E890" s="2">
        <v>228</v>
      </c>
      <c r="F890" s="2">
        <v>42.5</v>
      </c>
      <c r="G890" s="2">
        <v>0</v>
      </c>
      <c r="H890" s="4">
        <f t="shared" si="65"/>
        <v>3.3726298546116431</v>
      </c>
      <c r="I890" s="4">
        <f t="shared" si="66"/>
        <v>8.0063675676502459</v>
      </c>
      <c r="J890" s="4">
        <f t="shared" si="67"/>
        <v>5.4293456289544411</v>
      </c>
      <c r="K890" s="4">
        <f t="shared" si="68"/>
        <v>42.5</v>
      </c>
      <c r="L890" s="4">
        <f t="shared" si="69"/>
        <v>0</v>
      </c>
    </row>
    <row r="891" spans="1:12" x14ac:dyDescent="0.35">
      <c r="A891" s="2" t="s">
        <v>752</v>
      </c>
      <c r="B891" s="2" t="s">
        <v>67</v>
      </c>
      <c r="C891" s="2">
        <v>32.161900000000003</v>
      </c>
      <c r="D891" s="2">
        <v>3000</v>
      </c>
      <c r="E891" s="2">
        <v>228</v>
      </c>
      <c r="F891" s="2">
        <v>42.5</v>
      </c>
      <c r="G891" s="2">
        <v>0</v>
      </c>
      <c r="H891" s="4">
        <f t="shared" si="65"/>
        <v>3.470782522167625</v>
      </c>
      <c r="I891" s="4">
        <f t="shared" si="66"/>
        <v>8.0063675676502459</v>
      </c>
      <c r="J891" s="4">
        <f t="shared" si="67"/>
        <v>5.4293456289544411</v>
      </c>
      <c r="K891" s="4">
        <f t="shared" si="68"/>
        <v>42.5</v>
      </c>
      <c r="L891" s="4">
        <f t="shared" si="69"/>
        <v>0</v>
      </c>
    </row>
    <row r="892" spans="1:12" x14ac:dyDescent="0.35">
      <c r="A892" s="2" t="s">
        <v>753</v>
      </c>
      <c r="B892" s="2" t="s">
        <v>33</v>
      </c>
      <c r="C892" s="2">
        <v>58.436</v>
      </c>
      <c r="D892" s="2">
        <v>4000</v>
      </c>
      <c r="E892" s="2">
        <v>184</v>
      </c>
      <c r="F892" s="2">
        <v>49.2</v>
      </c>
      <c r="G892" s="2">
        <v>1</v>
      </c>
      <c r="H892" s="4">
        <f t="shared" si="65"/>
        <v>4.067932138270268</v>
      </c>
      <c r="I892" s="4">
        <f t="shared" si="66"/>
        <v>8.2940496401020276</v>
      </c>
      <c r="J892" s="4">
        <f t="shared" si="67"/>
        <v>5.2149357576089859</v>
      </c>
      <c r="K892" s="4">
        <f t="shared" si="68"/>
        <v>49.2</v>
      </c>
      <c r="L892" s="4">
        <f t="shared" si="69"/>
        <v>1</v>
      </c>
    </row>
    <row r="893" spans="1:12" x14ac:dyDescent="0.35">
      <c r="A893" s="2" t="s">
        <v>753</v>
      </c>
      <c r="B893" s="2" t="s">
        <v>33</v>
      </c>
      <c r="C893" s="2">
        <v>42.290500000000002</v>
      </c>
      <c r="D893" s="2">
        <v>4500</v>
      </c>
      <c r="E893" s="2">
        <v>264</v>
      </c>
      <c r="F893" s="2">
        <v>49.2</v>
      </c>
      <c r="G893" s="2">
        <v>1</v>
      </c>
      <c r="H893" s="4">
        <f t="shared" si="65"/>
        <v>3.744562474540539</v>
      </c>
      <c r="I893" s="4">
        <f t="shared" si="66"/>
        <v>8.4118326757584114</v>
      </c>
      <c r="J893" s="4">
        <f t="shared" si="67"/>
        <v>5.575949103146316</v>
      </c>
      <c r="K893" s="4">
        <f t="shared" si="68"/>
        <v>49.2</v>
      </c>
      <c r="L893" s="4">
        <f t="shared" si="69"/>
        <v>1</v>
      </c>
    </row>
    <row r="894" spans="1:12" x14ac:dyDescent="0.35">
      <c r="A894" s="2" t="s">
        <v>754</v>
      </c>
      <c r="B894" s="2" t="s">
        <v>67</v>
      </c>
      <c r="C894" s="2">
        <v>28.765899999999998</v>
      </c>
      <c r="D894" s="2">
        <v>5000</v>
      </c>
      <c r="E894" s="2">
        <v>416</v>
      </c>
      <c r="F894" s="2">
        <v>54.8</v>
      </c>
      <c r="G894" s="2">
        <v>0</v>
      </c>
      <c r="H894" s="4">
        <f t="shared" si="65"/>
        <v>3.3591906578494366</v>
      </c>
      <c r="I894" s="4">
        <f t="shared" si="66"/>
        <v>8.5171931914162382</v>
      </c>
      <c r="J894" s="4">
        <f t="shared" si="67"/>
        <v>6.0306852602612633</v>
      </c>
      <c r="K894" s="4">
        <f t="shared" si="68"/>
        <v>54.8</v>
      </c>
      <c r="L894" s="4">
        <f t="shared" si="69"/>
        <v>0</v>
      </c>
    </row>
    <row r="895" spans="1:12" x14ac:dyDescent="0.35">
      <c r="A895" s="2" t="s">
        <v>755</v>
      </c>
      <c r="B895" s="2" t="s">
        <v>67</v>
      </c>
      <c r="C895" s="2">
        <v>27.535399999999999</v>
      </c>
      <c r="D895" s="2">
        <v>5000</v>
      </c>
      <c r="E895" s="2">
        <v>416</v>
      </c>
      <c r="F895" s="2">
        <v>54.8</v>
      </c>
      <c r="G895" s="2">
        <v>0</v>
      </c>
      <c r="H895" s="4">
        <f t="shared" si="65"/>
        <v>3.3154724495746093</v>
      </c>
      <c r="I895" s="4">
        <f t="shared" si="66"/>
        <v>8.5171931914162382</v>
      </c>
      <c r="J895" s="4">
        <f t="shared" si="67"/>
        <v>6.0306852602612633</v>
      </c>
      <c r="K895" s="4">
        <f t="shared" si="68"/>
        <v>54.8</v>
      </c>
      <c r="L895" s="4">
        <f t="shared" si="69"/>
        <v>0</v>
      </c>
    </row>
    <row r="896" spans="1:12" x14ac:dyDescent="0.35">
      <c r="A896" s="2" t="s">
        <v>756</v>
      </c>
      <c r="B896" s="2" t="s">
        <v>33</v>
      </c>
      <c r="C896" s="2">
        <v>32.922800000000002</v>
      </c>
      <c r="D896" s="2">
        <v>5500</v>
      </c>
      <c r="E896" s="2">
        <v>295</v>
      </c>
      <c r="F896" s="2">
        <v>54.8</v>
      </c>
      <c r="G896" s="2">
        <v>1</v>
      </c>
      <c r="H896" s="4">
        <f t="shared" si="65"/>
        <v>3.4941654268699325</v>
      </c>
      <c r="I896" s="4">
        <f t="shared" si="66"/>
        <v>8.6125033712205621</v>
      </c>
      <c r="J896" s="4">
        <f t="shared" si="67"/>
        <v>5.6869753563398202</v>
      </c>
      <c r="K896" s="4">
        <f t="shared" si="68"/>
        <v>54.8</v>
      </c>
      <c r="L896" s="4">
        <f t="shared" si="69"/>
        <v>1</v>
      </c>
    </row>
    <row r="897" spans="1:12" x14ac:dyDescent="0.35">
      <c r="A897" s="2" t="s">
        <v>756</v>
      </c>
      <c r="B897" s="2" t="s">
        <v>33</v>
      </c>
      <c r="C897" s="2">
        <v>32.922800000000002</v>
      </c>
      <c r="D897" s="2">
        <v>5500</v>
      </c>
      <c r="E897" s="2">
        <v>295</v>
      </c>
      <c r="F897" s="2">
        <v>54.8</v>
      </c>
      <c r="G897" s="2">
        <v>1</v>
      </c>
      <c r="H897" s="4">
        <f t="shared" si="65"/>
        <v>3.4941654268699325</v>
      </c>
      <c r="I897" s="4">
        <f t="shared" si="66"/>
        <v>8.6125033712205621</v>
      </c>
      <c r="J897" s="4">
        <f t="shared" si="67"/>
        <v>5.6869753563398202</v>
      </c>
      <c r="K897" s="4">
        <f t="shared" si="68"/>
        <v>54.8</v>
      </c>
      <c r="L897" s="4">
        <f t="shared" si="69"/>
        <v>1</v>
      </c>
    </row>
    <row r="898" spans="1:12" x14ac:dyDescent="0.35">
      <c r="A898" s="2" t="s">
        <v>757</v>
      </c>
      <c r="B898" s="2" t="s">
        <v>33</v>
      </c>
      <c r="C898" s="2">
        <v>58.884599999999999</v>
      </c>
      <c r="D898" s="2">
        <v>4000</v>
      </c>
      <c r="E898" s="2">
        <v>143</v>
      </c>
      <c r="F898" s="2">
        <v>44</v>
      </c>
      <c r="G898" s="2">
        <v>1</v>
      </c>
      <c r="H898" s="4">
        <f t="shared" ref="H898:H961" si="70">LN(C898)</f>
        <v>4.075579596369022</v>
      </c>
      <c r="I898" s="4">
        <f t="shared" ref="I898:I961" si="71">LN(D898)</f>
        <v>8.2940496401020276</v>
      </c>
      <c r="J898" s="4">
        <f t="shared" ref="J898:J961" si="72">LN(E898)</f>
        <v>4.962844630259907</v>
      </c>
      <c r="K898" s="4">
        <f t="shared" ref="K898:K961" si="73">F898</f>
        <v>44</v>
      </c>
      <c r="L898" s="4">
        <f t="shared" ref="L898:L961" si="74">G898</f>
        <v>1</v>
      </c>
    </row>
    <row r="899" spans="1:12" x14ac:dyDescent="0.35">
      <c r="A899" s="2" t="s">
        <v>758</v>
      </c>
      <c r="B899" s="2" t="s">
        <v>33</v>
      </c>
      <c r="C899" s="2">
        <v>55.472000000000001</v>
      </c>
      <c r="D899" s="2">
        <v>4000</v>
      </c>
      <c r="E899" s="2">
        <v>143</v>
      </c>
      <c r="F899" s="2">
        <v>44</v>
      </c>
      <c r="G899" s="2">
        <v>1</v>
      </c>
      <c r="H899" s="4">
        <f t="shared" si="70"/>
        <v>4.0158783889426672</v>
      </c>
      <c r="I899" s="4">
        <f t="shared" si="71"/>
        <v>8.2940496401020276</v>
      </c>
      <c r="J899" s="4">
        <f t="shared" si="72"/>
        <v>4.962844630259907</v>
      </c>
      <c r="K899" s="4">
        <f t="shared" si="73"/>
        <v>44</v>
      </c>
      <c r="L899" s="4">
        <f t="shared" si="74"/>
        <v>1</v>
      </c>
    </row>
    <row r="900" spans="1:12" x14ac:dyDescent="0.35">
      <c r="A900" s="2" t="s">
        <v>759</v>
      </c>
      <c r="B900" s="2" t="s">
        <v>67</v>
      </c>
      <c r="C900" s="2">
        <v>33.900799999999997</v>
      </c>
      <c r="D900" s="2">
        <v>4000</v>
      </c>
      <c r="E900" s="2">
        <v>301</v>
      </c>
      <c r="F900" s="2">
        <v>49.6</v>
      </c>
      <c r="G900" s="2">
        <v>0</v>
      </c>
      <c r="H900" s="4">
        <f t="shared" si="70"/>
        <v>3.5234386129280155</v>
      </c>
      <c r="I900" s="4">
        <f t="shared" si="71"/>
        <v>8.2940496401020276</v>
      </c>
      <c r="J900" s="4">
        <f t="shared" si="72"/>
        <v>5.7071102647488754</v>
      </c>
      <c r="K900" s="4">
        <f t="shared" si="73"/>
        <v>49.6</v>
      </c>
      <c r="L900" s="4">
        <f t="shared" si="74"/>
        <v>0</v>
      </c>
    </row>
    <row r="901" spans="1:12" x14ac:dyDescent="0.35">
      <c r="A901" s="2" t="s">
        <v>760</v>
      </c>
      <c r="B901" s="2" t="s">
        <v>33</v>
      </c>
      <c r="C901" s="2">
        <v>59.901699999999998</v>
      </c>
      <c r="D901" s="2">
        <v>4000</v>
      </c>
      <c r="E901" s="2">
        <v>176</v>
      </c>
      <c r="F901" s="2">
        <v>49.6</v>
      </c>
      <c r="G901" s="2">
        <v>1</v>
      </c>
      <c r="H901" s="4">
        <f t="shared" si="70"/>
        <v>4.0927048853530721</v>
      </c>
      <c r="I901" s="4">
        <f t="shared" si="71"/>
        <v>8.2940496401020276</v>
      </c>
      <c r="J901" s="4">
        <f t="shared" si="72"/>
        <v>5.1704839950381514</v>
      </c>
      <c r="K901" s="4">
        <f t="shared" si="73"/>
        <v>49.6</v>
      </c>
      <c r="L901" s="4">
        <f t="shared" si="74"/>
        <v>1</v>
      </c>
    </row>
    <row r="902" spans="1:12" x14ac:dyDescent="0.35">
      <c r="A902" s="2" t="s">
        <v>761</v>
      </c>
      <c r="B902" s="2" t="s">
        <v>67</v>
      </c>
      <c r="C902" s="2">
        <v>38.446899999999999</v>
      </c>
      <c r="D902" s="2">
        <v>4000</v>
      </c>
      <c r="E902" s="2">
        <v>202</v>
      </c>
      <c r="F902" s="2">
        <v>49.6</v>
      </c>
      <c r="G902" s="2">
        <v>0</v>
      </c>
      <c r="H902" s="4">
        <f t="shared" si="70"/>
        <v>3.6492780685140924</v>
      </c>
      <c r="I902" s="4">
        <f t="shared" si="71"/>
        <v>8.2940496401020276</v>
      </c>
      <c r="J902" s="4">
        <f t="shared" si="72"/>
        <v>5.3082676974012051</v>
      </c>
      <c r="K902" s="4">
        <f t="shared" si="73"/>
        <v>49.6</v>
      </c>
      <c r="L902" s="4">
        <f t="shared" si="74"/>
        <v>0</v>
      </c>
    </row>
    <row r="903" spans="1:12" x14ac:dyDescent="0.35">
      <c r="A903" s="2" t="s">
        <v>762</v>
      </c>
      <c r="B903" s="2" t="s">
        <v>67</v>
      </c>
      <c r="C903" s="2">
        <v>33.283799999999999</v>
      </c>
      <c r="D903" s="2">
        <v>4000</v>
      </c>
      <c r="E903" s="2">
        <v>301</v>
      </c>
      <c r="F903" s="2">
        <v>49.3</v>
      </c>
      <c r="G903" s="2">
        <v>0</v>
      </c>
      <c r="H903" s="4">
        <f t="shared" si="70"/>
        <v>3.5050707921269679</v>
      </c>
      <c r="I903" s="4">
        <f t="shared" si="71"/>
        <v>8.2940496401020276</v>
      </c>
      <c r="J903" s="4">
        <f t="shared" si="72"/>
        <v>5.7071102647488754</v>
      </c>
      <c r="K903" s="4">
        <f t="shared" si="73"/>
        <v>49.3</v>
      </c>
      <c r="L903" s="4">
        <f t="shared" si="74"/>
        <v>0</v>
      </c>
    </row>
    <row r="904" spans="1:12" x14ac:dyDescent="0.35">
      <c r="A904" s="2" t="s">
        <v>763</v>
      </c>
      <c r="B904" s="2" t="s">
        <v>67</v>
      </c>
      <c r="C904" s="2">
        <v>23.854900000000001</v>
      </c>
      <c r="D904" s="2">
        <v>4500</v>
      </c>
      <c r="E904" s="2">
        <v>471</v>
      </c>
      <c r="F904" s="2">
        <v>50.5</v>
      </c>
      <c r="G904" s="2">
        <v>0</v>
      </c>
      <c r="H904" s="4">
        <f t="shared" si="70"/>
        <v>3.1719896469659909</v>
      </c>
      <c r="I904" s="4">
        <f t="shared" si="71"/>
        <v>8.4118326757584114</v>
      </c>
      <c r="J904" s="4">
        <f t="shared" si="72"/>
        <v>6.1548580940164177</v>
      </c>
      <c r="K904" s="4">
        <f t="shared" si="73"/>
        <v>50.5</v>
      </c>
      <c r="L904" s="4">
        <f t="shared" si="74"/>
        <v>0</v>
      </c>
    </row>
    <row r="905" spans="1:12" x14ac:dyDescent="0.35">
      <c r="A905" s="2" t="s">
        <v>764</v>
      </c>
      <c r="B905" s="2" t="s">
        <v>67</v>
      </c>
      <c r="C905" s="2">
        <v>23.194400000000002</v>
      </c>
      <c r="D905" s="2">
        <v>4500</v>
      </c>
      <c r="E905" s="2">
        <v>471</v>
      </c>
      <c r="F905" s="2">
        <v>50.5</v>
      </c>
      <c r="G905" s="2">
        <v>0</v>
      </c>
      <c r="H905" s="4">
        <f t="shared" si="70"/>
        <v>3.1439108702252452</v>
      </c>
      <c r="I905" s="4">
        <f t="shared" si="71"/>
        <v>8.4118326757584114</v>
      </c>
      <c r="J905" s="4">
        <f t="shared" si="72"/>
        <v>6.1548580940164177</v>
      </c>
      <c r="K905" s="4">
        <f t="shared" si="73"/>
        <v>50.5</v>
      </c>
      <c r="L905" s="4">
        <f t="shared" si="74"/>
        <v>0</v>
      </c>
    </row>
    <row r="906" spans="1:12" x14ac:dyDescent="0.35">
      <c r="A906" s="2" t="s">
        <v>765</v>
      </c>
      <c r="B906" s="2" t="s">
        <v>33</v>
      </c>
      <c r="C906" s="2">
        <v>39.531500000000001</v>
      </c>
      <c r="D906" s="2">
        <v>4500</v>
      </c>
      <c r="E906" s="2">
        <v>295</v>
      </c>
      <c r="F906" s="2">
        <v>50.5</v>
      </c>
      <c r="G906" s="2">
        <v>1</v>
      </c>
      <c r="H906" s="4">
        <f t="shared" si="70"/>
        <v>3.677097822452569</v>
      </c>
      <c r="I906" s="4">
        <f t="shared" si="71"/>
        <v>8.4118326757584114</v>
      </c>
      <c r="J906" s="4">
        <f t="shared" si="72"/>
        <v>5.6869753563398202</v>
      </c>
      <c r="K906" s="4">
        <f t="shared" si="73"/>
        <v>50.5</v>
      </c>
      <c r="L906" s="4">
        <f t="shared" si="74"/>
        <v>1</v>
      </c>
    </row>
    <row r="907" spans="1:12" x14ac:dyDescent="0.35">
      <c r="A907" s="2" t="s">
        <v>766</v>
      </c>
      <c r="B907" s="2" t="s">
        <v>67</v>
      </c>
      <c r="C907" s="2">
        <v>30.209</v>
      </c>
      <c r="D907" s="2">
        <v>4000</v>
      </c>
      <c r="E907" s="2">
        <v>311</v>
      </c>
      <c r="F907" s="2">
        <v>46.7</v>
      </c>
      <c r="G907" s="2">
        <v>0</v>
      </c>
      <c r="H907" s="4">
        <f t="shared" si="70"/>
        <v>3.4081398932287303</v>
      </c>
      <c r="I907" s="4">
        <f t="shared" si="71"/>
        <v>8.2940496401020276</v>
      </c>
      <c r="J907" s="4">
        <f t="shared" si="72"/>
        <v>5.7397929121792339</v>
      </c>
      <c r="K907" s="4">
        <f t="shared" si="73"/>
        <v>46.7</v>
      </c>
      <c r="L907" s="4">
        <f t="shared" si="74"/>
        <v>0</v>
      </c>
    </row>
    <row r="908" spans="1:12" x14ac:dyDescent="0.35">
      <c r="A908" s="2" t="s">
        <v>767</v>
      </c>
      <c r="B908" s="2" t="s">
        <v>67</v>
      </c>
      <c r="C908" s="2">
        <v>32.896500000000003</v>
      </c>
      <c r="D908" s="2">
        <v>4000</v>
      </c>
      <c r="E908" s="2">
        <v>241</v>
      </c>
      <c r="F908" s="2">
        <v>46.7</v>
      </c>
      <c r="G908" s="2">
        <v>0</v>
      </c>
      <c r="H908" s="4">
        <f t="shared" si="70"/>
        <v>3.4933662691335323</v>
      </c>
      <c r="I908" s="4">
        <f t="shared" si="71"/>
        <v>8.2940496401020276</v>
      </c>
      <c r="J908" s="4">
        <f t="shared" si="72"/>
        <v>5.4847969334906548</v>
      </c>
      <c r="K908" s="4">
        <f t="shared" si="73"/>
        <v>46.7</v>
      </c>
      <c r="L908" s="4">
        <f t="shared" si="74"/>
        <v>0</v>
      </c>
    </row>
    <row r="909" spans="1:12" x14ac:dyDescent="0.35">
      <c r="A909" s="2" t="s">
        <v>768</v>
      </c>
      <c r="B909" s="2" t="s">
        <v>67</v>
      </c>
      <c r="C909" s="2">
        <v>28.580500000000001</v>
      </c>
      <c r="D909" s="2">
        <v>4000</v>
      </c>
      <c r="E909" s="2">
        <v>311</v>
      </c>
      <c r="F909" s="2">
        <v>46.8</v>
      </c>
      <c r="G909" s="2">
        <v>0</v>
      </c>
      <c r="H909" s="4">
        <f t="shared" si="70"/>
        <v>3.3527246671002646</v>
      </c>
      <c r="I909" s="4">
        <f t="shared" si="71"/>
        <v>8.2940496401020276</v>
      </c>
      <c r="J909" s="4">
        <f t="shared" si="72"/>
        <v>5.7397929121792339</v>
      </c>
      <c r="K909" s="4">
        <f t="shared" si="73"/>
        <v>46.8</v>
      </c>
      <c r="L909" s="4">
        <f t="shared" si="74"/>
        <v>0</v>
      </c>
    </row>
    <row r="910" spans="1:12" x14ac:dyDescent="0.35">
      <c r="A910" s="2" t="s">
        <v>769</v>
      </c>
      <c r="B910" s="2" t="s">
        <v>67</v>
      </c>
      <c r="C910" s="2">
        <v>28.580500000000001</v>
      </c>
      <c r="D910" s="2">
        <v>4000</v>
      </c>
      <c r="E910" s="2">
        <v>260</v>
      </c>
      <c r="F910" s="2">
        <v>46.8</v>
      </c>
      <c r="G910" s="2">
        <v>0</v>
      </c>
      <c r="H910" s="4">
        <f t="shared" si="70"/>
        <v>3.3527246671002646</v>
      </c>
      <c r="I910" s="4">
        <f t="shared" si="71"/>
        <v>8.2940496401020276</v>
      </c>
      <c r="J910" s="4">
        <f t="shared" si="72"/>
        <v>5.5606816310155276</v>
      </c>
      <c r="K910" s="4">
        <f t="shared" si="73"/>
        <v>46.8</v>
      </c>
      <c r="L910" s="4">
        <f t="shared" si="74"/>
        <v>0</v>
      </c>
    </row>
    <row r="911" spans="1:12" x14ac:dyDescent="0.35">
      <c r="A911" s="2" t="s">
        <v>770</v>
      </c>
      <c r="B911" s="2" t="s">
        <v>67</v>
      </c>
      <c r="C911" s="2">
        <v>32.896500000000003</v>
      </c>
      <c r="D911" s="2">
        <v>4000</v>
      </c>
      <c r="E911" s="2">
        <v>241</v>
      </c>
      <c r="F911" s="2">
        <v>47.8</v>
      </c>
      <c r="G911" s="2">
        <v>0</v>
      </c>
      <c r="H911" s="4">
        <f t="shared" si="70"/>
        <v>3.4933662691335323</v>
      </c>
      <c r="I911" s="4">
        <f t="shared" si="71"/>
        <v>8.2940496401020276</v>
      </c>
      <c r="J911" s="4">
        <f t="shared" si="72"/>
        <v>5.4847969334906548</v>
      </c>
      <c r="K911" s="4">
        <f t="shared" si="73"/>
        <v>47.8</v>
      </c>
      <c r="L911" s="4">
        <f t="shared" si="74"/>
        <v>0</v>
      </c>
    </row>
    <row r="912" spans="1:12" x14ac:dyDescent="0.35">
      <c r="A912" s="2" t="s">
        <v>771</v>
      </c>
      <c r="B912" s="2" t="s">
        <v>67</v>
      </c>
      <c r="C912" s="2">
        <v>30.209</v>
      </c>
      <c r="D912" s="2">
        <v>4000</v>
      </c>
      <c r="E912" s="2">
        <v>311</v>
      </c>
      <c r="F912" s="2">
        <v>47.3</v>
      </c>
      <c r="G912" s="2">
        <v>0</v>
      </c>
      <c r="H912" s="4">
        <f t="shared" si="70"/>
        <v>3.4081398932287303</v>
      </c>
      <c r="I912" s="4">
        <f t="shared" si="71"/>
        <v>8.2940496401020276</v>
      </c>
      <c r="J912" s="4">
        <f t="shared" si="72"/>
        <v>5.7397929121792339</v>
      </c>
      <c r="K912" s="4">
        <f t="shared" si="73"/>
        <v>47.3</v>
      </c>
      <c r="L912" s="4">
        <f t="shared" si="74"/>
        <v>0</v>
      </c>
    </row>
    <row r="913" spans="1:12" x14ac:dyDescent="0.35">
      <c r="A913" s="2" t="s">
        <v>772</v>
      </c>
      <c r="B913" s="2" t="s">
        <v>67</v>
      </c>
      <c r="C913" s="2">
        <v>28.580500000000001</v>
      </c>
      <c r="D913" s="2">
        <v>4000</v>
      </c>
      <c r="E913" s="2">
        <v>311</v>
      </c>
      <c r="F913" s="2">
        <v>47.4</v>
      </c>
      <c r="G913" s="2">
        <v>0</v>
      </c>
      <c r="H913" s="4">
        <f t="shared" si="70"/>
        <v>3.3527246671002646</v>
      </c>
      <c r="I913" s="4">
        <f t="shared" si="71"/>
        <v>8.2940496401020276</v>
      </c>
      <c r="J913" s="4">
        <f t="shared" si="72"/>
        <v>5.7397929121792339</v>
      </c>
      <c r="K913" s="4">
        <f t="shared" si="73"/>
        <v>47.4</v>
      </c>
      <c r="L913" s="4">
        <f t="shared" si="74"/>
        <v>0</v>
      </c>
    </row>
    <row r="914" spans="1:12" x14ac:dyDescent="0.35">
      <c r="A914" s="2" t="s">
        <v>773</v>
      </c>
      <c r="B914" s="2" t="s">
        <v>67</v>
      </c>
      <c r="C914" s="2">
        <v>28.580500000000001</v>
      </c>
      <c r="D914" s="2">
        <v>4000</v>
      </c>
      <c r="E914" s="2">
        <v>260</v>
      </c>
      <c r="F914" s="2">
        <v>47.8</v>
      </c>
      <c r="G914" s="2">
        <v>0</v>
      </c>
      <c r="H914" s="4">
        <f t="shared" si="70"/>
        <v>3.3527246671002646</v>
      </c>
      <c r="I914" s="4">
        <f t="shared" si="71"/>
        <v>8.2940496401020276</v>
      </c>
      <c r="J914" s="4">
        <f t="shared" si="72"/>
        <v>5.5606816310155276</v>
      </c>
      <c r="K914" s="4">
        <f t="shared" si="73"/>
        <v>47.8</v>
      </c>
      <c r="L914" s="4">
        <f t="shared" si="74"/>
        <v>0</v>
      </c>
    </row>
    <row r="915" spans="1:12" x14ac:dyDescent="0.35">
      <c r="A915" s="2" t="s">
        <v>774</v>
      </c>
      <c r="B915" s="2" t="s">
        <v>67</v>
      </c>
      <c r="C915" s="2">
        <v>25.267900000000001</v>
      </c>
      <c r="D915" s="2">
        <v>4000</v>
      </c>
      <c r="E915" s="2">
        <v>472</v>
      </c>
      <c r="F915" s="2">
        <v>47.4</v>
      </c>
      <c r="G915" s="2">
        <v>0</v>
      </c>
      <c r="H915" s="4">
        <f t="shared" si="70"/>
        <v>3.2295348154538246</v>
      </c>
      <c r="I915" s="4">
        <f t="shared" si="71"/>
        <v>8.2940496401020276</v>
      </c>
      <c r="J915" s="4">
        <f t="shared" si="72"/>
        <v>6.156978985585555</v>
      </c>
      <c r="K915" s="4">
        <f t="shared" si="73"/>
        <v>47.4</v>
      </c>
      <c r="L915" s="4">
        <f t="shared" si="74"/>
        <v>0</v>
      </c>
    </row>
    <row r="916" spans="1:12" x14ac:dyDescent="0.35">
      <c r="A916" s="2" t="s">
        <v>775</v>
      </c>
      <c r="B916" s="2" t="s">
        <v>67</v>
      </c>
      <c r="C916" s="2">
        <v>24.707000000000001</v>
      </c>
      <c r="D916" s="2">
        <v>4000</v>
      </c>
      <c r="E916" s="2">
        <v>472</v>
      </c>
      <c r="F916" s="2">
        <v>45.8</v>
      </c>
      <c r="G916" s="2">
        <v>0</v>
      </c>
      <c r="H916" s="4">
        <f t="shared" si="70"/>
        <v>3.2070866042932242</v>
      </c>
      <c r="I916" s="4">
        <f t="shared" si="71"/>
        <v>8.2940496401020276</v>
      </c>
      <c r="J916" s="4">
        <f t="shared" si="72"/>
        <v>6.156978985585555</v>
      </c>
      <c r="K916" s="4">
        <f t="shared" si="73"/>
        <v>45.8</v>
      </c>
      <c r="L916" s="4">
        <f t="shared" si="74"/>
        <v>0</v>
      </c>
    </row>
    <row r="917" spans="1:12" x14ac:dyDescent="0.35">
      <c r="A917" s="2" t="s">
        <v>776</v>
      </c>
      <c r="B917" s="2" t="s">
        <v>67</v>
      </c>
      <c r="C917" s="2">
        <v>30.980699999999999</v>
      </c>
      <c r="D917" s="2">
        <v>4500</v>
      </c>
      <c r="E917" s="2">
        <v>275</v>
      </c>
      <c r="F917" s="2">
        <v>54.2</v>
      </c>
      <c r="G917" s="2">
        <v>0</v>
      </c>
      <c r="H917" s="4">
        <f t="shared" si="70"/>
        <v>3.4333644299561787</v>
      </c>
      <c r="I917" s="4">
        <f t="shared" si="71"/>
        <v>8.4118326757584114</v>
      </c>
      <c r="J917" s="4">
        <f t="shared" si="72"/>
        <v>5.6167710976665717</v>
      </c>
      <c r="K917" s="4">
        <f t="shared" si="73"/>
        <v>54.2</v>
      </c>
      <c r="L917" s="4">
        <f t="shared" si="74"/>
        <v>0</v>
      </c>
    </row>
    <row r="918" spans="1:12" x14ac:dyDescent="0.35">
      <c r="A918" s="2" t="s">
        <v>777</v>
      </c>
      <c r="B918" s="2" t="s">
        <v>67</v>
      </c>
      <c r="C918" s="2">
        <v>29.996300000000002</v>
      </c>
      <c r="D918" s="2">
        <v>5000</v>
      </c>
      <c r="E918" s="2">
        <v>275</v>
      </c>
      <c r="F918" s="2">
        <v>54.2</v>
      </c>
      <c r="G918" s="2">
        <v>0</v>
      </c>
      <c r="H918" s="4">
        <f t="shared" si="70"/>
        <v>3.4010740407226412</v>
      </c>
      <c r="I918" s="4">
        <f t="shared" si="71"/>
        <v>8.5171931914162382</v>
      </c>
      <c r="J918" s="4">
        <f t="shared" si="72"/>
        <v>5.6167710976665717</v>
      </c>
      <c r="K918" s="4">
        <f t="shared" si="73"/>
        <v>54.2</v>
      </c>
      <c r="L918" s="4">
        <f t="shared" si="74"/>
        <v>0</v>
      </c>
    </row>
    <row r="919" spans="1:12" x14ac:dyDescent="0.35">
      <c r="A919" s="2" t="s">
        <v>778</v>
      </c>
      <c r="B919" s="2" t="s">
        <v>33</v>
      </c>
      <c r="C919" s="2">
        <v>36.991599999999998</v>
      </c>
      <c r="D919" s="2">
        <v>5000</v>
      </c>
      <c r="E919" s="2">
        <v>271</v>
      </c>
      <c r="F919" s="2">
        <v>54.5</v>
      </c>
      <c r="G919" s="2">
        <v>1</v>
      </c>
      <c r="H919" s="4">
        <f t="shared" si="70"/>
        <v>3.6106908598426606</v>
      </c>
      <c r="I919" s="4">
        <f t="shared" si="71"/>
        <v>8.5171931914162382</v>
      </c>
      <c r="J919" s="4">
        <f t="shared" si="72"/>
        <v>5.602118820879701</v>
      </c>
      <c r="K919" s="4">
        <f t="shared" si="73"/>
        <v>54.5</v>
      </c>
      <c r="L919" s="4">
        <f t="shared" si="74"/>
        <v>1</v>
      </c>
    </row>
    <row r="920" spans="1:12" x14ac:dyDescent="0.35">
      <c r="A920" s="2" t="s">
        <v>779</v>
      </c>
      <c r="B920" s="2" t="s">
        <v>33</v>
      </c>
      <c r="C920" s="2">
        <v>39.489699999999999</v>
      </c>
      <c r="D920" s="2">
        <v>5500</v>
      </c>
      <c r="E920" s="2">
        <v>259</v>
      </c>
      <c r="F920" s="2">
        <v>54.5</v>
      </c>
      <c r="G920" s="2">
        <v>1</v>
      </c>
      <c r="H920" s="4">
        <f t="shared" si="70"/>
        <v>3.6760398784097372</v>
      </c>
      <c r="I920" s="4">
        <f t="shared" si="71"/>
        <v>8.6125033712205621</v>
      </c>
      <c r="J920" s="4">
        <f t="shared" si="72"/>
        <v>5.5568280616995374</v>
      </c>
      <c r="K920" s="4">
        <f t="shared" si="73"/>
        <v>54.5</v>
      </c>
      <c r="L920" s="4">
        <f t="shared" si="74"/>
        <v>1</v>
      </c>
    </row>
    <row r="921" spans="1:12" x14ac:dyDescent="0.35">
      <c r="A921" s="2" t="s">
        <v>780</v>
      </c>
      <c r="B921" s="2" t="s">
        <v>67</v>
      </c>
      <c r="C921" s="2">
        <v>24.033300000000001</v>
      </c>
      <c r="D921" s="2">
        <v>6000</v>
      </c>
      <c r="E921" s="2">
        <v>409</v>
      </c>
      <c r="F921" s="2">
        <v>51.4</v>
      </c>
      <c r="G921" s="2">
        <v>0</v>
      </c>
      <c r="H921" s="4">
        <f t="shared" si="70"/>
        <v>3.17944036865928</v>
      </c>
      <c r="I921" s="4">
        <f t="shared" si="71"/>
        <v>8.6995147482101913</v>
      </c>
      <c r="J921" s="4">
        <f t="shared" si="72"/>
        <v>6.0137151560428022</v>
      </c>
      <c r="K921" s="4">
        <f t="shared" si="73"/>
        <v>51.4</v>
      </c>
      <c r="L921" s="4">
        <f t="shared" si="74"/>
        <v>0</v>
      </c>
    </row>
    <row r="922" spans="1:12" x14ac:dyDescent="0.35">
      <c r="A922" s="2" t="s">
        <v>781</v>
      </c>
      <c r="B922" s="2" t="s">
        <v>67</v>
      </c>
      <c r="C922" s="2">
        <v>22.541499999999999</v>
      </c>
      <c r="D922" s="2">
        <v>6000</v>
      </c>
      <c r="E922" s="2">
        <v>349</v>
      </c>
      <c r="F922" s="2">
        <v>51.1</v>
      </c>
      <c r="G922" s="2">
        <v>0</v>
      </c>
      <c r="H922" s="4">
        <f t="shared" si="70"/>
        <v>3.1153580547558604</v>
      </c>
      <c r="I922" s="4">
        <f t="shared" si="71"/>
        <v>8.6995147482101913</v>
      </c>
      <c r="J922" s="4">
        <f t="shared" si="72"/>
        <v>5.855071922202427</v>
      </c>
      <c r="K922" s="4">
        <f t="shared" si="73"/>
        <v>51.1</v>
      </c>
      <c r="L922" s="4">
        <f t="shared" si="74"/>
        <v>0</v>
      </c>
    </row>
    <row r="923" spans="1:12" x14ac:dyDescent="0.35">
      <c r="A923" s="2" t="s">
        <v>782</v>
      </c>
      <c r="B923" s="2" t="s">
        <v>67</v>
      </c>
      <c r="C923" s="2">
        <v>33.060499999999998</v>
      </c>
      <c r="D923" s="2">
        <v>4500</v>
      </c>
      <c r="E923" s="2">
        <v>275</v>
      </c>
      <c r="F923" s="2">
        <v>50.9</v>
      </c>
      <c r="G923" s="2">
        <v>0</v>
      </c>
      <c r="H923" s="4">
        <f t="shared" si="70"/>
        <v>3.4983392162954501</v>
      </c>
      <c r="I923" s="4">
        <f t="shared" si="71"/>
        <v>8.4118326757584114</v>
      </c>
      <c r="J923" s="4">
        <f t="shared" si="72"/>
        <v>5.6167710976665717</v>
      </c>
      <c r="K923" s="4">
        <f t="shared" si="73"/>
        <v>50.9</v>
      </c>
      <c r="L923" s="4">
        <f t="shared" si="74"/>
        <v>0</v>
      </c>
    </row>
    <row r="924" spans="1:12" x14ac:dyDescent="0.35">
      <c r="A924" s="2" t="s">
        <v>783</v>
      </c>
      <c r="B924" s="2" t="s">
        <v>67</v>
      </c>
      <c r="C924" s="2">
        <v>31.370899999999999</v>
      </c>
      <c r="D924" s="2">
        <v>4500</v>
      </c>
      <c r="E924" s="2">
        <v>275</v>
      </c>
      <c r="F924" s="2">
        <v>50.9</v>
      </c>
      <c r="G924" s="2">
        <v>0</v>
      </c>
      <c r="H924" s="4">
        <f t="shared" si="70"/>
        <v>3.44588071162209</v>
      </c>
      <c r="I924" s="4">
        <f t="shared" si="71"/>
        <v>8.4118326757584114</v>
      </c>
      <c r="J924" s="4">
        <f t="shared" si="72"/>
        <v>5.6167710976665717</v>
      </c>
      <c r="K924" s="4">
        <f t="shared" si="73"/>
        <v>50.9</v>
      </c>
      <c r="L924" s="4">
        <f t="shared" si="74"/>
        <v>0</v>
      </c>
    </row>
    <row r="925" spans="1:12" x14ac:dyDescent="0.35">
      <c r="A925" s="2" t="s">
        <v>784</v>
      </c>
      <c r="B925" s="2" t="s">
        <v>33</v>
      </c>
      <c r="C925" s="2">
        <v>48.675800000000002</v>
      </c>
      <c r="D925" s="2">
        <v>5000</v>
      </c>
      <c r="E925" s="2">
        <v>180</v>
      </c>
      <c r="F925" s="2">
        <v>50.9</v>
      </c>
      <c r="G925" s="2">
        <v>1</v>
      </c>
      <c r="H925" s="4">
        <f t="shared" si="70"/>
        <v>3.8851819866650605</v>
      </c>
      <c r="I925" s="4">
        <f t="shared" si="71"/>
        <v>8.5171931914162382</v>
      </c>
      <c r="J925" s="4">
        <f t="shared" si="72"/>
        <v>5.1929568508902104</v>
      </c>
      <c r="K925" s="4">
        <f t="shared" si="73"/>
        <v>50.9</v>
      </c>
      <c r="L925" s="4">
        <f t="shared" si="74"/>
        <v>1</v>
      </c>
    </row>
    <row r="926" spans="1:12" x14ac:dyDescent="0.35">
      <c r="A926" s="2" t="s">
        <v>785</v>
      </c>
      <c r="B926" s="2" t="s">
        <v>33</v>
      </c>
      <c r="C926" s="2">
        <v>49.226900000000001</v>
      </c>
      <c r="D926" s="2">
        <v>4500</v>
      </c>
      <c r="E926" s="2">
        <v>187</v>
      </c>
      <c r="F926" s="2">
        <v>50.9</v>
      </c>
      <c r="G926" s="2">
        <v>1</v>
      </c>
      <c r="H926" s="4">
        <f t="shared" si="70"/>
        <v>3.8964402220535304</v>
      </c>
      <c r="I926" s="4">
        <f t="shared" si="71"/>
        <v>8.4118326757584114</v>
      </c>
      <c r="J926" s="4">
        <f t="shared" si="72"/>
        <v>5.2311086168545868</v>
      </c>
      <c r="K926" s="4">
        <f t="shared" si="73"/>
        <v>50.9</v>
      </c>
      <c r="L926" s="4">
        <f t="shared" si="74"/>
        <v>1</v>
      </c>
    </row>
    <row r="927" spans="1:12" x14ac:dyDescent="0.35">
      <c r="A927" s="2" t="s">
        <v>786</v>
      </c>
      <c r="B927" s="2" t="s">
        <v>33</v>
      </c>
      <c r="C927" s="2">
        <v>37.1586</v>
      </c>
      <c r="D927" s="2">
        <v>5000</v>
      </c>
      <c r="E927" s="2">
        <v>271</v>
      </c>
      <c r="F927" s="2">
        <v>51</v>
      </c>
      <c r="G927" s="2">
        <v>1</v>
      </c>
      <c r="H927" s="4">
        <f t="shared" si="70"/>
        <v>3.6151952383166521</v>
      </c>
      <c r="I927" s="4">
        <f t="shared" si="71"/>
        <v>8.5171931914162382</v>
      </c>
      <c r="J927" s="4">
        <f t="shared" si="72"/>
        <v>5.602118820879701</v>
      </c>
      <c r="K927" s="4">
        <f t="shared" si="73"/>
        <v>51</v>
      </c>
      <c r="L927" s="4">
        <f t="shared" si="74"/>
        <v>1</v>
      </c>
    </row>
    <row r="928" spans="1:12" x14ac:dyDescent="0.35">
      <c r="A928" s="2" t="s">
        <v>787</v>
      </c>
      <c r="B928" s="2" t="s">
        <v>67</v>
      </c>
      <c r="C928" s="2">
        <v>38.270099999999999</v>
      </c>
      <c r="D928" s="2">
        <v>4000</v>
      </c>
      <c r="E928" s="2">
        <v>203</v>
      </c>
      <c r="F928" s="2">
        <v>46.8</v>
      </c>
      <c r="G928" s="2">
        <v>0</v>
      </c>
      <c r="H928" s="4">
        <f t="shared" si="70"/>
        <v>3.6446689124470009</v>
      </c>
      <c r="I928" s="4">
        <f t="shared" si="71"/>
        <v>8.2940496401020276</v>
      </c>
      <c r="J928" s="4">
        <f t="shared" si="72"/>
        <v>5.3132059790417872</v>
      </c>
      <c r="K928" s="4">
        <f t="shared" si="73"/>
        <v>46.8</v>
      </c>
      <c r="L928" s="4">
        <f t="shared" si="74"/>
        <v>0</v>
      </c>
    </row>
    <row r="929" spans="1:12" x14ac:dyDescent="0.35">
      <c r="A929" s="2" t="s">
        <v>788</v>
      </c>
      <c r="B929" s="2" t="s">
        <v>67</v>
      </c>
      <c r="C929" s="2">
        <v>37.910800000000002</v>
      </c>
      <c r="D929" s="2">
        <v>4000</v>
      </c>
      <c r="E929" s="2">
        <v>203</v>
      </c>
      <c r="F929" s="2">
        <v>46.8</v>
      </c>
      <c r="G929" s="2">
        <v>0</v>
      </c>
      <c r="H929" s="4">
        <f t="shared" si="70"/>
        <v>3.6352360319170347</v>
      </c>
      <c r="I929" s="4">
        <f t="shared" si="71"/>
        <v>8.2940496401020276</v>
      </c>
      <c r="J929" s="4">
        <f t="shared" si="72"/>
        <v>5.3132059790417872</v>
      </c>
      <c r="K929" s="4">
        <f t="shared" si="73"/>
        <v>46.8</v>
      </c>
      <c r="L929" s="4">
        <f t="shared" si="74"/>
        <v>0</v>
      </c>
    </row>
    <row r="930" spans="1:12" x14ac:dyDescent="0.35">
      <c r="A930" s="2" t="s">
        <v>789</v>
      </c>
      <c r="B930" s="2" t="s">
        <v>67</v>
      </c>
      <c r="C930" s="2">
        <v>31.700099999999999</v>
      </c>
      <c r="D930" s="2">
        <v>4000</v>
      </c>
      <c r="E930" s="2">
        <v>275</v>
      </c>
      <c r="F930" s="2">
        <v>46.8</v>
      </c>
      <c r="G930" s="2">
        <v>0</v>
      </c>
      <c r="H930" s="4">
        <f t="shared" si="70"/>
        <v>3.4563198354523919</v>
      </c>
      <c r="I930" s="4">
        <f t="shared" si="71"/>
        <v>8.2940496401020276</v>
      </c>
      <c r="J930" s="4">
        <f t="shared" si="72"/>
        <v>5.6167710976665717</v>
      </c>
      <c r="K930" s="4">
        <f t="shared" si="73"/>
        <v>46.8</v>
      </c>
      <c r="L930" s="4">
        <f t="shared" si="74"/>
        <v>0</v>
      </c>
    </row>
    <row r="931" spans="1:12" x14ac:dyDescent="0.35">
      <c r="A931" s="2" t="s">
        <v>790</v>
      </c>
      <c r="B931" s="2" t="s">
        <v>67</v>
      </c>
      <c r="C931" s="2">
        <v>32.2179</v>
      </c>
      <c r="D931" s="2">
        <v>4000</v>
      </c>
      <c r="E931" s="2">
        <v>275</v>
      </c>
      <c r="F931" s="2">
        <v>46.8</v>
      </c>
      <c r="G931" s="2">
        <v>0</v>
      </c>
      <c r="H931" s="4">
        <f t="shared" si="70"/>
        <v>3.4725221987159691</v>
      </c>
      <c r="I931" s="4">
        <f t="shared" si="71"/>
        <v>8.2940496401020276</v>
      </c>
      <c r="J931" s="4">
        <f t="shared" si="72"/>
        <v>5.6167710976665717</v>
      </c>
      <c r="K931" s="4">
        <f t="shared" si="73"/>
        <v>46.8</v>
      </c>
      <c r="L931" s="4">
        <f t="shared" si="74"/>
        <v>0</v>
      </c>
    </row>
    <row r="932" spans="1:12" x14ac:dyDescent="0.35">
      <c r="A932" s="2" t="s">
        <v>791</v>
      </c>
      <c r="B932" s="2" t="s">
        <v>33</v>
      </c>
      <c r="C932" s="2">
        <v>48.682400000000001</v>
      </c>
      <c r="D932" s="2">
        <v>4500</v>
      </c>
      <c r="E932" s="2">
        <v>181</v>
      </c>
      <c r="F932" s="2">
        <v>46.8</v>
      </c>
      <c r="G932" s="2">
        <v>1</v>
      </c>
      <c r="H932" s="4">
        <f t="shared" si="70"/>
        <v>3.8853175684652603</v>
      </c>
      <c r="I932" s="4">
        <f t="shared" si="71"/>
        <v>8.4118326757584114</v>
      </c>
      <c r="J932" s="4">
        <f t="shared" si="72"/>
        <v>5.1984970312658261</v>
      </c>
      <c r="K932" s="4">
        <f t="shared" si="73"/>
        <v>46.8</v>
      </c>
      <c r="L932" s="4">
        <f t="shared" si="74"/>
        <v>1</v>
      </c>
    </row>
    <row r="933" spans="1:12" x14ac:dyDescent="0.35">
      <c r="A933" s="2" t="s">
        <v>792</v>
      </c>
      <c r="B933" s="2" t="s">
        <v>33</v>
      </c>
      <c r="C933" s="2">
        <v>54.102899999999998</v>
      </c>
      <c r="D933" s="2">
        <v>4500</v>
      </c>
      <c r="E933" s="2">
        <v>189</v>
      </c>
      <c r="F933" s="2">
        <v>46.8</v>
      </c>
      <c r="G933" s="2">
        <v>1</v>
      </c>
      <c r="H933" s="4">
        <f t="shared" si="70"/>
        <v>3.9908877888519987</v>
      </c>
      <c r="I933" s="4">
        <f t="shared" si="71"/>
        <v>8.4118326757584114</v>
      </c>
      <c r="J933" s="4">
        <f t="shared" si="72"/>
        <v>5.2417470150596426</v>
      </c>
      <c r="K933" s="4">
        <f t="shared" si="73"/>
        <v>46.8</v>
      </c>
      <c r="L933" s="4">
        <f t="shared" si="74"/>
        <v>1</v>
      </c>
    </row>
    <row r="934" spans="1:12" x14ac:dyDescent="0.35">
      <c r="A934" s="2" t="s">
        <v>793</v>
      </c>
      <c r="B934" s="2" t="s">
        <v>67</v>
      </c>
      <c r="C934" s="2">
        <v>42.636099999999999</v>
      </c>
      <c r="D934" s="2">
        <v>3500</v>
      </c>
      <c r="E934" s="2">
        <v>158</v>
      </c>
      <c r="F934" s="2">
        <v>44.8</v>
      </c>
      <c r="G934" s="2">
        <v>0</v>
      </c>
      <c r="H934" s="4">
        <f t="shared" si="70"/>
        <v>3.7527013122599215</v>
      </c>
      <c r="I934" s="4">
        <f t="shared" si="71"/>
        <v>8.1605182474775049</v>
      </c>
      <c r="J934" s="4">
        <f t="shared" si="72"/>
        <v>5.0625950330269669</v>
      </c>
      <c r="K934" s="4">
        <f t="shared" si="73"/>
        <v>44.8</v>
      </c>
      <c r="L934" s="4">
        <f t="shared" si="74"/>
        <v>0</v>
      </c>
    </row>
    <row r="935" spans="1:12" x14ac:dyDescent="0.35">
      <c r="A935" s="2" t="s">
        <v>795</v>
      </c>
      <c r="B935" s="2" t="s">
        <v>67</v>
      </c>
      <c r="C935" s="2">
        <v>36.339399999999998</v>
      </c>
      <c r="D935" s="2">
        <v>3500</v>
      </c>
      <c r="E935" s="2">
        <v>158</v>
      </c>
      <c r="F935" s="2">
        <v>44.9</v>
      </c>
      <c r="G935" s="2">
        <v>0</v>
      </c>
      <c r="H935" s="4">
        <f t="shared" si="70"/>
        <v>3.5929025520997455</v>
      </c>
      <c r="I935" s="4">
        <f t="shared" si="71"/>
        <v>8.1605182474775049</v>
      </c>
      <c r="J935" s="4">
        <f t="shared" si="72"/>
        <v>5.0625950330269669</v>
      </c>
      <c r="K935" s="4">
        <f t="shared" si="73"/>
        <v>44.9</v>
      </c>
      <c r="L935" s="4">
        <f t="shared" si="74"/>
        <v>0</v>
      </c>
    </row>
    <row r="936" spans="1:12" x14ac:dyDescent="0.35">
      <c r="A936" s="2" t="s">
        <v>796</v>
      </c>
      <c r="B936" s="2" t="s">
        <v>67</v>
      </c>
      <c r="C936" s="2">
        <v>36.091799999999999</v>
      </c>
      <c r="D936" s="2">
        <v>4000</v>
      </c>
      <c r="E936" s="2">
        <v>184</v>
      </c>
      <c r="F936" s="2">
        <v>47.3</v>
      </c>
      <c r="G936" s="2">
        <v>0</v>
      </c>
      <c r="H936" s="4">
        <f t="shared" si="70"/>
        <v>3.5860656927226859</v>
      </c>
      <c r="I936" s="4">
        <f t="shared" si="71"/>
        <v>8.2940496401020276</v>
      </c>
      <c r="J936" s="4">
        <f t="shared" si="72"/>
        <v>5.2149357576089859</v>
      </c>
      <c r="K936" s="4">
        <f t="shared" si="73"/>
        <v>47.3</v>
      </c>
      <c r="L936" s="4">
        <f t="shared" si="74"/>
        <v>0</v>
      </c>
    </row>
    <row r="937" spans="1:12" x14ac:dyDescent="0.35">
      <c r="A937" s="2" t="s">
        <v>797</v>
      </c>
      <c r="B937" s="2" t="s">
        <v>67</v>
      </c>
      <c r="C937" s="2">
        <v>34.514099999999999</v>
      </c>
      <c r="D937" s="2">
        <v>4000</v>
      </c>
      <c r="E937" s="2">
        <v>184</v>
      </c>
      <c r="F937" s="2">
        <v>47.3</v>
      </c>
      <c r="G937" s="2">
        <v>0</v>
      </c>
      <c r="H937" s="4">
        <f t="shared" si="70"/>
        <v>3.5413679361961679</v>
      </c>
      <c r="I937" s="4">
        <f t="shared" si="71"/>
        <v>8.2940496401020276</v>
      </c>
      <c r="J937" s="4">
        <f t="shared" si="72"/>
        <v>5.2149357576089859</v>
      </c>
      <c r="K937" s="4">
        <f t="shared" si="73"/>
        <v>47.3</v>
      </c>
      <c r="L937" s="4">
        <f t="shared" si="74"/>
        <v>0</v>
      </c>
    </row>
    <row r="938" spans="1:12" x14ac:dyDescent="0.35">
      <c r="A938" s="2" t="s">
        <v>798</v>
      </c>
      <c r="B938" s="2" t="s">
        <v>67</v>
      </c>
      <c r="C938" s="2">
        <v>33.168700000000001</v>
      </c>
      <c r="D938" s="2">
        <v>4000</v>
      </c>
      <c r="E938" s="2">
        <v>184</v>
      </c>
      <c r="F938" s="2">
        <v>47.1</v>
      </c>
      <c r="G938" s="2">
        <v>0</v>
      </c>
      <c r="H938" s="4">
        <f t="shared" si="70"/>
        <v>3.5016066601499323</v>
      </c>
      <c r="I938" s="4">
        <f t="shared" si="71"/>
        <v>8.2940496401020276</v>
      </c>
      <c r="J938" s="4">
        <f t="shared" si="72"/>
        <v>5.2149357576089859</v>
      </c>
      <c r="K938" s="4">
        <f t="shared" si="73"/>
        <v>47.1</v>
      </c>
      <c r="L938" s="4">
        <f t="shared" si="74"/>
        <v>0</v>
      </c>
    </row>
    <row r="939" spans="1:12" x14ac:dyDescent="0.35">
      <c r="A939" s="2" t="s">
        <v>799</v>
      </c>
      <c r="B939" s="2" t="s">
        <v>67</v>
      </c>
      <c r="C939" s="2">
        <v>32.290500000000002</v>
      </c>
      <c r="D939" s="2">
        <v>4000</v>
      </c>
      <c r="E939" s="2">
        <v>184</v>
      </c>
      <c r="F939" s="2">
        <v>47.4</v>
      </c>
      <c r="G939" s="2">
        <v>0</v>
      </c>
      <c r="H939" s="4">
        <f t="shared" si="70"/>
        <v>3.4747730693204741</v>
      </c>
      <c r="I939" s="4">
        <f t="shared" si="71"/>
        <v>8.2940496401020276</v>
      </c>
      <c r="J939" s="4">
        <f t="shared" si="72"/>
        <v>5.2149357576089859</v>
      </c>
      <c r="K939" s="4">
        <f t="shared" si="73"/>
        <v>47.4</v>
      </c>
      <c r="L939" s="4">
        <f t="shared" si="74"/>
        <v>0</v>
      </c>
    </row>
    <row r="940" spans="1:12" x14ac:dyDescent="0.35">
      <c r="A940" s="2" t="s">
        <v>800</v>
      </c>
      <c r="B940" s="2" t="s">
        <v>67</v>
      </c>
      <c r="C940" s="2">
        <v>29.656199999999998</v>
      </c>
      <c r="D940" s="2">
        <v>4500</v>
      </c>
      <c r="E940" s="2">
        <v>269</v>
      </c>
      <c r="F940" s="2">
        <v>54.8</v>
      </c>
      <c r="G940" s="2">
        <v>0</v>
      </c>
      <c r="H940" s="4">
        <f t="shared" si="70"/>
        <v>3.3896712098235322</v>
      </c>
      <c r="I940" s="4">
        <f t="shared" si="71"/>
        <v>8.4118326757584114</v>
      </c>
      <c r="J940" s="4">
        <f t="shared" si="72"/>
        <v>5.5947113796018391</v>
      </c>
      <c r="K940" s="4">
        <f t="shared" si="73"/>
        <v>54.8</v>
      </c>
      <c r="L940" s="4">
        <f t="shared" si="74"/>
        <v>0</v>
      </c>
    </row>
    <row r="941" spans="1:12" x14ac:dyDescent="0.35">
      <c r="A941" s="2" t="s">
        <v>801</v>
      </c>
      <c r="B941" s="2" t="s">
        <v>67</v>
      </c>
      <c r="C941" s="2">
        <v>28.4969</v>
      </c>
      <c r="D941" s="2">
        <v>4500</v>
      </c>
      <c r="E941" s="2">
        <v>269</v>
      </c>
      <c r="F941" s="2">
        <v>54.8</v>
      </c>
      <c r="G941" s="2">
        <v>0</v>
      </c>
      <c r="H941" s="4">
        <f t="shared" si="70"/>
        <v>3.3497953094286848</v>
      </c>
      <c r="I941" s="4">
        <f t="shared" si="71"/>
        <v>8.4118326757584114</v>
      </c>
      <c r="J941" s="4">
        <f t="shared" si="72"/>
        <v>5.5947113796018391</v>
      </c>
      <c r="K941" s="4">
        <f t="shared" si="73"/>
        <v>54.8</v>
      </c>
      <c r="L941" s="4">
        <f t="shared" si="74"/>
        <v>0</v>
      </c>
    </row>
    <row r="942" spans="1:12" x14ac:dyDescent="0.35">
      <c r="A942" s="2" t="s">
        <v>802</v>
      </c>
      <c r="B942" s="2" t="s">
        <v>67</v>
      </c>
      <c r="C942" s="2">
        <v>27.5017</v>
      </c>
      <c r="D942" s="2">
        <v>5000</v>
      </c>
      <c r="E942" s="2">
        <v>269</v>
      </c>
      <c r="F942" s="2">
        <v>54.8</v>
      </c>
      <c r="G942" s="2">
        <v>0</v>
      </c>
      <c r="H942" s="4">
        <f t="shared" si="70"/>
        <v>3.3142478209436788</v>
      </c>
      <c r="I942" s="4">
        <f t="shared" si="71"/>
        <v>8.5171931914162382</v>
      </c>
      <c r="J942" s="4">
        <f t="shared" si="72"/>
        <v>5.5947113796018391</v>
      </c>
      <c r="K942" s="4">
        <f t="shared" si="73"/>
        <v>54.8</v>
      </c>
      <c r="L942" s="4">
        <f t="shared" si="74"/>
        <v>0</v>
      </c>
    </row>
    <row r="943" spans="1:12" x14ac:dyDescent="0.35">
      <c r="A943" s="2" t="s">
        <v>803</v>
      </c>
      <c r="B943" s="2" t="s">
        <v>67</v>
      </c>
      <c r="C943" s="2">
        <v>26.588200000000001</v>
      </c>
      <c r="D943" s="2">
        <v>5000</v>
      </c>
      <c r="E943" s="2">
        <v>269</v>
      </c>
      <c r="F943" s="2">
        <v>54.8</v>
      </c>
      <c r="G943" s="2">
        <v>0</v>
      </c>
      <c r="H943" s="4">
        <f t="shared" si="70"/>
        <v>3.2804675083415056</v>
      </c>
      <c r="I943" s="4">
        <f t="shared" si="71"/>
        <v>8.5171931914162382</v>
      </c>
      <c r="J943" s="4">
        <f t="shared" si="72"/>
        <v>5.5947113796018391</v>
      </c>
      <c r="K943" s="4">
        <f t="shared" si="73"/>
        <v>54.8</v>
      </c>
      <c r="L943" s="4">
        <f t="shared" si="74"/>
        <v>0</v>
      </c>
    </row>
    <row r="944" spans="1:12" x14ac:dyDescent="0.35">
      <c r="A944" s="2" t="s">
        <v>804</v>
      </c>
      <c r="B944" s="2" t="s">
        <v>67</v>
      </c>
      <c r="C944" s="2">
        <v>29.656199999999998</v>
      </c>
      <c r="D944" s="2">
        <v>4500</v>
      </c>
      <c r="E944" s="2">
        <v>269</v>
      </c>
      <c r="F944" s="2">
        <v>54.8</v>
      </c>
      <c r="G944" s="2">
        <v>0</v>
      </c>
      <c r="H944" s="4">
        <f t="shared" si="70"/>
        <v>3.3896712098235322</v>
      </c>
      <c r="I944" s="4">
        <f t="shared" si="71"/>
        <v>8.4118326757584114</v>
      </c>
      <c r="J944" s="4">
        <f t="shared" si="72"/>
        <v>5.5947113796018391</v>
      </c>
      <c r="K944" s="4">
        <f t="shared" si="73"/>
        <v>54.8</v>
      </c>
      <c r="L944" s="4">
        <f t="shared" si="74"/>
        <v>0</v>
      </c>
    </row>
    <row r="945" spans="1:12" x14ac:dyDescent="0.35">
      <c r="A945" s="2" t="s">
        <v>805</v>
      </c>
      <c r="B945" s="2" t="s">
        <v>67</v>
      </c>
      <c r="C945" s="2">
        <v>28.4969</v>
      </c>
      <c r="D945" s="2">
        <v>4500</v>
      </c>
      <c r="E945" s="2">
        <v>269</v>
      </c>
      <c r="F945" s="2">
        <v>54.8</v>
      </c>
      <c r="G945" s="2">
        <v>0</v>
      </c>
      <c r="H945" s="4">
        <f t="shared" si="70"/>
        <v>3.3497953094286848</v>
      </c>
      <c r="I945" s="4">
        <f t="shared" si="71"/>
        <v>8.4118326757584114</v>
      </c>
      <c r="J945" s="4">
        <f t="shared" si="72"/>
        <v>5.5947113796018391</v>
      </c>
      <c r="K945" s="4">
        <f t="shared" si="73"/>
        <v>54.8</v>
      </c>
      <c r="L945" s="4">
        <f t="shared" si="74"/>
        <v>0</v>
      </c>
    </row>
    <row r="946" spans="1:12" x14ac:dyDescent="0.35">
      <c r="A946" s="2" t="s">
        <v>806</v>
      </c>
      <c r="B946" s="2" t="s">
        <v>67</v>
      </c>
      <c r="C946" s="2">
        <v>36.143099999999997</v>
      </c>
      <c r="D946" s="2">
        <v>3500</v>
      </c>
      <c r="E946" s="2">
        <v>241</v>
      </c>
      <c r="F946" s="2">
        <v>43.1</v>
      </c>
      <c r="G946" s="2">
        <v>0</v>
      </c>
      <c r="H946" s="4">
        <f t="shared" si="70"/>
        <v>3.5874860590172211</v>
      </c>
      <c r="I946" s="4">
        <f t="shared" si="71"/>
        <v>8.1605182474775049</v>
      </c>
      <c r="J946" s="4">
        <f t="shared" si="72"/>
        <v>5.4847969334906548</v>
      </c>
      <c r="K946" s="4">
        <f t="shared" si="73"/>
        <v>43.1</v>
      </c>
      <c r="L946" s="4">
        <f t="shared" si="74"/>
        <v>0</v>
      </c>
    </row>
    <row r="947" spans="1:12" x14ac:dyDescent="0.35">
      <c r="A947" s="2" t="s">
        <v>806</v>
      </c>
      <c r="B947" s="2" t="s">
        <v>67</v>
      </c>
      <c r="C947" s="2">
        <v>34.651699999999998</v>
      </c>
      <c r="D947" s="2">
        <v>3500</v>
      </c>
      <c r="E947" s="2">
        <v>241</v>
      </c>
      <c r="F947" s="2">
        <v>43.1</v>
      </c>
      <c r="G947" s="2">
        <v>0</v>
      </c>
      <c r="H947" s="4">
        <f t="shared" si="70"/>
        <v>3.5453467864814714</v>
      </c>
      <c r="I947" s="4">
        <f t="shared" si="71"/>
        <v>8.1605182474775049</v>
      </c>
      <c r="J947" s="4">
        <f t="shared" si="72"/>
        <v>5.4847969334906548</v>
      </c>
      <c r="K947" s="4">
        <f t="shared" si="73"/>
        <v>43.1</v>
      </c>
      <c r="L947" s="4">
        <f t="shared" si="74"/>
        <v>0</v>
      </c>
    </row>
    <row r="948" spans="1:12" x14ac:dyDescent="0.35">
      <c r="A948" s="2" t="s">
        <v>807</v>
      </c>
      <c r="B948" s="2" t="s">
        <v>67</v>
      </c>
      <c r="C948" s="2">
        <v>32.996400000000001</v>
      </c>
      <c r="D948" s="2">
        <v>3500</v>
      </c>
      <c r="E948" s="2">
        <v>315</v>
      </c>
      <c r="F948" s="2">
        <v>43.3</v>
      </c>
      <c r="G948" s="2">
        <v>0</v>
      </c>
      <c r="H948" s="4">
        <f t="shared" si="70"/>
        <v>3.4963984646065431</v>
      </c>
      <c r="I948" s="4">
        <f t="shared" si="71"/>
        <v>8.1605182474775049</v>
      </c>
      <c r="J948" s="4">
        <f t="shared" si="72"/>
        <v>5.7525726388256331</v>
      </c>
      <c r="K948" s="4">
        <f t="shared" si="73"/>
        <v>43.3</v>
      </c>
      <c r="L948" s="4">
        <f t="shared" si="74"/>
        <v>0</v>
      </c>
    </row>
    <row r="949" spans="1:12" x14ac:dyDescent="0.35">
      <c r="A949" s="2" t="s">
        <v>807</v>
      </c>
      <c r="B949" s="2" t="s">
        <v>67</v>
      </c>
      <c r="C949" s="2">
        <v>28.893000000000001</v>
      </c>
      <c r="D949" s="2">
        <v>3500</v>
      </c>
      <c r="E949" s="2">
        <v>315</v>
      </c>
      <c r="F949" s="2">
        <v>43.3</v>
      </c>
      <c r="G949" s="2">
        <v>0</v>
      </c>
      <c r="H949" s="4">
        <f t="shared" si="70"/>
        <v>3.3635993512468372</v>
      </c>
      <c r="I949" s="4">
        <f t="shared" si="71"/>
        <v>8.1605182474775049</v>
      </c>
      <c r="J949" s="4">
        <f t="shared" si="72"/>
        <v>5.7525726388256331</v>
      </c>
      <c r="K949" s="4">
        <f t="shared" si="73"/>
        <v>43.3</v>
      </c>
      <c r="L949" s="4">
        <f t="shared" si="74"/>
        <v>0</v>
      </c>
    </row>
    <row r="950" spans="1:12" x14ac:dyDescent="0.35">
      <c r="A950" s="2" t="s">
        <v>808</v>
      </c>
      <c r="B950" s="2" t="s">
        <v>67</v>
      </c>
      <c r="C950" s="2">
        <v>39.463200000000001</v>
      </c>
      <c r="D950" s="2">
        <v>3500</v>
      </c>
      <c r="E950" s="2">
        <v>228</v>
      </c>
      <c r="F950" s="2">
        <v>44.5</v>
      </c>
      <c r="G950" s="2">
        <v>0</v>
      </c>
      <c r="H950" s="4">
        <f t="shared" si="70"/>
        <v>3.6753685920859889</v>
      </c>
      <c r="I950" s="4">
        <f t="shared" si="71"/>
        <v>8.1605182474775049</v>
      </c>
      <c r="J950" s="4">
        <f t="shared" si="72"/>
        <v>5.4293456289544411</v>
      </c>
      <c r="K950" s="4">
        <f t="shared" si="73"/>
        <v>44.5</v>
      </c>
      <c r="L950" s="4">
        <f t="shared" si="74"/>
        <v>0</v>
      </c>
    </row>
    <row r="951" spans="1:12" x14ac:dyDescent="0.35">
      <c r="A951" s="2" t="s">
        <v>808</v>
      </c>
      <c r="B951" s="2" t="s">
        <v>67</v>
      </c>
      <c r="C951" s="2">
        <v>37.552900000000001</v>
      </c>
      <c r="D951" s="2">
        <v>3500</v>
      </c>
      <c r="E951" s="2">
        <v>228</v>
      </c>
      <c r="F951" s="2">
        <v>44.5</v>
      </c>
      <c r="G951" s="2">
        <v>0</v>
      </c>
      <c r="H951" s="4">
        <f t="shared" si="70"/>
        <v>3.6257506055875539</v>
      </c>
      <c r="I951" s="4">
        <f t="shared" si="71"/>
        <v>8.1605182474775049</v>
      </c>
      <c r="J951" s="4">
        <f t="shared" si="72"/>
        <v>5.4293456289544411</v>
      </c>
      <c r="K951" s="4">
        <f t="shared" si="73"/>
        <v>44.5</v>
      </c>
      <c r="L951" s="4">
        <f t="shared" si="74"/>
        <v>0</v>
      </c>
    </row>
    <row r="952" spans="1:12" x14ac:dyDescent="0.35">
      <c r="A952" s="2" t="s">
        <v>809</v>
      </c>
      <c r="B952" s="2" t="s">
        <v>67</v>
      </c>
      <c r="C952" s="2">
        <v>46.130800000000001</v>
      </c>
      <c r="D952" s="2">
        <v>3000</v>
      </c>
      <c r="E952" s="2">
        <v>158</v>
      </c>
      <c r="F952" s="2">
        <v>44.4</v>
      </c>
      <c r="G952" s="2">
        <v>0</v>
      </c>
      <c r="H952" s="4">
        <f t="shared" si="70"/>
        <v>3.8314808397128717</v>
      </c>
      <c r="I952" s="4">
        <f t="shared" si="71"/>
        <v>8.0063675676502459</v>
      </c>
      <c r="J952" s="4">
        <f t="shared" si="72"/>
        <v>5.0625950330269669</v>
      </c>
      <c r="K952" s="4">
        <f t="shared" si="73"/>
        <v>44.4</v>
      </c>
      <c r="L952" s="4">
        <f t="shared" si="74"/>
        <v>0</v>
      </c>
    </row>
    <row r="953" spans="1:12" x14ac:dyDescent="0.35">
      <c r="A953" s="2" t="s">
        <v>809</v>
      </c>
      <c r="B953" s="2" t="s">
        <v>67</v>
      </c>
      <c r="C953" s="2">
        <v>46.643999999999998</v>
      </c>
      <c r="D953" s="2">
        <v>3000</v>
      </c>
      <c r="E953" s="2">
        <v>158</v>
      </c>
      <c r="F953" s="2">
        <v>44.4</v>
      </c>
      <c r="G953" s="2">
        <v>0</v>
      </c>
      <c r="H953" s="4">
        <f t="shared" si="70"/>
        <v>3.8425443016580862</v>
      </c>
      <c r="I953" s="4">
        <f t="shared" si="71"/>
        <v>8.0063675676502459</v>
      </c>
      <c r="J953" s="4">
        <f t="shared" si="72"/>
        <v>5.0625950330269669</v>
      </c>
      <c r="K953" s="4">
        <f t="shared" si="73"/>
        <v>44.4</v>
      </c>
      <c r="L953" s="4">
        <f t="shared" si="74"/>
        <v>0</v>
      </c>
    </row>
    <row r="954" spans="1:12" x14ac:dyDescent="0.35">
      <c r="A954" s="2" t="s">
        <v>810</v>
      </c>
      <c r="B954" s="2" t="s">
        <v>67</v>
      </c>
      <c r="C954" s="2">
        <v>45.041699999999999</v>
      </c>
      <c r="D954" s="2">
        <v>3500</v>
      </c>
      <c r="E954" s="2">
        <v>158</v>
      </c>
      <c r="F954" s="2">
        <v>44.4</v>
      </c>
      <c r="G954" s="2">
        <v>0</v>
      </c>
      <c r="H954" s="4">
        <f t="shared" si="70"/>
        <v>3.8075887273464928</v>
      </c>
      <c r="I954" s="4">
        <f t="shared" si="71"/>
        <v>8.1605182474775049</v>
      </c>
      <c r="J954" s="4">
        <f t="shared" si="72"/>
        <v>5.0625950330269669</v>
      </c>
      <c r="K954" s="4">
        <f t="shared" si="73"/>
        <v>44.4</v>
      </c>
      <c r="L954" s="4">
        <f t="shared" si="74"/>
        <v>0</v>
      </c>
    </row>
    <row r="955" spans="1:12" x14ac:dyDescent="0.35">
      <c r="A955" s="2" t="s">
        <v>811</v>
      </c>
      <c r="B955" s="2" t="s">
        <v>67</v>
      </c>
      <c r="C955" s="2">
        <v>28.545200000000001</v>
      </c>
      <c r="D955" s="2">
        <v>4000</v>
      </c>
      <c r="E955" s="2">
        <v>401</v>
      </c>
      <c r="F955" s="2">
        <v>44.2</v>
      </c>
      <c r="G955" s="2">
        <v>0</v>
      </c>
      <c r="H955" s="4">
        <f t="shared" si="70"/>
        <v>3.351488795872672</v>
      </c>
      <c r="I955" s="4">
        <f t="shared" si="71"/>
        <v>8.2940496401020276</v>
      </c>
      <c r="J955" s="4">
        <f t="shared" si="72"/>
        <v>5.9939614273065693</v>
      </c>
      <c r="K955" s="4">
        <f t="shared" si="73"/>
        <v>44.2</v>
      </c>
      <c r="L955" s="4">
        <f t="shared" si="74"/>
        <v>0</v>
      </c>
    </row>
    <row r="956" spans="1:12" x14ac:dyDescent="0.35">
      <c r="A956" s="2" t="s">
        <v>812</v>
      </c>
      <c r="B956" s="2" t="s">
        <v>33</v>
      </c>
      <c r="C956" s="2">
        <v>38.481900000000003</v>
      </c>
      <c r="D956" s="2">
        <v>4000</v>
      </c>
      <c r="E956" s="2">
        <v>201</v>
      </c>
      <c r="F956" s="2">
        <v>47.4</v>
      </c>
      <c r="G956" s="2">
        <v>1</v>
      </c>
      <c r="H956" s="4">
        <f t="shared" si="70"/>
        <v>3.6501880008779128</v>
      </c>
      <c r="I956" s="4">
        <f t="shared" si="71"/>
        <v>8.2940496401020276</v>
      </c>
      <c r="J956" s="4">
        <f t="shared" si="72"/>
        <v>5.3033049080590757</v>
      </c>
      <c r="K956" s="4">
        <f t="shared" si="73"/>
        <v>47.4</v>
      </c>
      <c r="L956" s="4">
        <f t="shared" si="74"/>
        <v>1</v>
      </c>
    </row>
    <row r="957" spans="1:12" x14ac:dyDescent="0.35">
      <c r="A957" s="2" t="s">
        <v>813</v>
      </c>
      <c r="B957" s="2" t="s">
        <v>33</v>
      </c>
      <c r="C957" s="2">
        <v>33.647399999999998</v>
      </c>
      <c r="D957" s="2">
        <v>4000</v>
      </c>
      <c r="E957" s="2">
        <v>261</v>
      </c>
      <c r="F957" s="2">
        <v>47.7</v>
      </c>
      <c r="G957" s="2">
        <v>1</v>
      </c>
      <c r="H957" s="4">
        <f t="shared" si="70"/>
        <v>3.5159357871323134</v>
      </c>
      <c r="I957" s="4">
        <f t="shared" si="71"/>
        <v>8.2940496401020276</v>
      </c>
      <c r="J957" s="4">
        <f t="shared" si="72"/>
        <v>5.5645204073226937</v>
      </c>
      <c r="K957" s="4">
        <f t="shared" si="73"/>
        <v>47.7</v>
      </c>
      <c r="L957" s="4">
        <f t="shared" si="74"/>
        <v>1</v>
      </c>
    </row>
    <row r="958" spans="1:12" x14ac:dyDescent="0.35">
      <c r="A958" s="2" t="s">
        <v>814</v>
      </c>
      <c r="B958" s="2" t="s">
        <v>33</v>
      </c>
      <c r="C958" s="2">
        <v>35.448999999999998</v>
      </c>
      <c r="D958" s="2">
        <v>4000</v>
      </c>
      <c r="E958" s="2">
        <v>261</v>
      </c>
      <c r="F958" s="2">
        <v>47.3</v>
      </c>
      <c r="G958" s="2">
        <v>1</v>
      </c>
      <c r="H958" s="4">
        <f t="shared" si="70"/>
        <v>3.5680950438355516</v>
      </c>
      <c r="I958" s="4">
        <f t="shared" si="71"/>
        <v>8.2940496401020276</v>
      </c>
      <c r="J958" s="4">
        <f t="shared" si="72"/>
        <v>5.5645204073226937</v>
      </c>
      <c r="K958" s="4">
        <f t="shared" si="73"/>
        <v>47.3</v>
      </c>
      <c r="L958" s="4">
        <f t="shared" si="74"/>
        <v>1</v>
      </c>
    </row>
    <row r="959" spans="1:12" x14ac:dyDescent="0.35">
      <c r="A959" s="2" t="s">
        <v>815</v>
      </c>
      <c r="B959" s="2" t="s">
        <v>67</v>
      </c>
      <c r="C959" s="2">
        <v>31.174499999999998</v>
      </c>
      <c r="D959" s="2">
        <v>4000</v>
      </c>
      <c r="E959" s="2">
        <v>349</v>
      </c>
      <c r="F959" s="2">
        <v>47.3</v>
      </c>
      <c r="G959" s="2">
        <v>0</v>
      </c>
      <c r="H959" s="4">
        <f t="shared" si="70"/>
        <v>3.4396004529451005</v>
      </c>
      <c r="I959" s="4">
        <f t="shared" si="71"/>
        <v>8.2940496401020276</v>
      </c>
      <c r="J959" s="4">
        <f t="shared" si="72"/>
        <v>5.855071922202427</v>
      </c>
      <c r="K959" s="4">
        <f t="shared" si="73"/>
        <v>47.3</v>
      </c>
      <c r="L959" s="4">
        <f t="shared" si="74"/>
        <v>0</v>
      </c>
    </row>
    <row r="960" spans="1:12" x14ac:dyDescent="0.35">
      <c r="A960" s="2" t="s">
        <v>816</v>
      </c>
      <c r="B960" s="2" t="s">
        <v>33</v>
      </c>
      <c r="C960" s="2">
        <v>38.481900000000003</v>
      </c>
      <c r="D960" s="2">
        <v>4000</v>
      </c>
      <c r="E960" s="2">
        <v>201</v>
      </c>
      <c r="F960" s="2">
        <v>48</v>
      </c>
      <c r="G960" s="2">
        <v>1</v>
      </c>
      <c r="H960" s="4">
        <f t="shared" si="70"/>
        <v>3.6501880008779128</v>
      </c>
      <c r="I960" s="4">
        <f t="shared" si="71"/>
        <v>8.2940496401020276</v>
      </c>
      <c r="J960" s="4">
        <f t="shared" si="72"/>
        <v>5.3033049080590757</v>
      </c>
      <c r="K960" s="4">
        <f t="shared" si="73"/>
        <v>48</v>
      </c>
      <c r="L960" s="4">
        <f t="shared" si="74"/>
        <v>1</v>
      </c>
    </row>
    <row r="961" spans="1:12" x14ac:dyDescent="0.35">
      <c r="A961" s="2" t="s">
        <v>817</v>
      </c>
      <c r="B961" s="2" t="s">
        <v>67</v>
      </c>
      <c r="C961" s="2">
        <v>31.174499999999998</v>
      </c>
      <c r="D961" s="2">
        <v>4000</v>
      </c>
      <c r="E961" s="2">
        <v>349</v>
      </c>
      <c r="F961" s="2">
        <v>46.7</v>
      </c>
      <c r="G961" s="2">
        <v>0</v>
      </c>
      <c r="H961" s="4">
        <f t="shared" si="70"/>
        <v>3.4396004529451005</v>
      </c>
      <c r="I961" s="4">
        <f t="shared" si="71"/>
        <v>8.2940496401020276</v>
      </c>
      <c r="J961" s="4">
        <f t="shared" si="72"/>
        <v>5.855071922202427</v>
      </c>
      <c r="K961" s="4">
        <f t="shared" si="73"/>
        <v>46.7</v>
      </c>
      <c r="L961" s="4">
        <f t="shared" si="74"/>
        <v>0</v>
      </c>
    </row>
    <row r="962" spans="1:12" x14ac:dyDescent="0.35">
      <c r="A962" s="2" t="s">
        <v>818</v>
      </c>
      <c r="B962" s="2" t="s">
        <v>67</v>
      </c>
      <c r="C962" s="2">
        <v>26.760899999999999</v>
      </c>
      <c r="D962" s="2">
        <v>4000</v>
      </c>
      <c r="E962" s="2">
        <v>444</v>
      </c>
      <c r="F962" s="2">
        <v>47.4</v>
      </c>
      <c r="G962" s="2">
        <v>0</v>
      </c>
      <c r="H962" s="4">
        <f t="shared" ref="H962:H1026" si="75">LN(C962)</f>
        <v>3.2869418669814707</v>
      </c>
      <c r="I962" s="4">
        <f t="shared" ref="I962:I1026" si="76">LN(D962)</f>
        <v>8.2940496401020276</v>
      </c>
      <c r="J962" s="4">
        <f t="shared" ref="J962:J1026" si="77">LN(E962)</f>
        <v>6.0958245624322247</v>
      </c>
      <c r="K962" s="4">
        <f t="shared" ref="K962:K1026" si="78">F962</f>
        <v>47.4</v>
      </c>
      <c r="L962" s="4">
        <f t="shared" ref="L962:L1026" si="79">G962</f>
        <v>0</v>
      </c>
    </row>
    <row r="963" spans="1:12" x14ac:dyDescent="0.35">
      <c r="A963" s="2" t="s">
        <v>819</v>
      </c>
      <c r="B963" s="2" t="s">
        <v>67</v>
      </c>
      <c r="C963" s="2">
        <v>30.436900000000001</v>
      </c>
      <c r="D963" s="2">
        <v>4000</v>
      </c>
      <c r="E963" s="2">
        <v>349</v>
      </c>
      <c r="F963" s="2">
        <v>47.7</v>
      </c>
      <c r="G963" s="2">
        <v>0</v>
      </c>
      <c r="H963" s="4">
        <f t="shared" si="75"/>
        <v>3.4156556881228468</v>
      </c>
      <c r="I963" s="4">
        <f t="shared" si="76"/>
        <v>8.2940496401020276</v>
      </c>
      <c r="J963" s="4">
        <f t="shared" si="77"/>
        <v>5.855071922202427</v>
      </c>
      <c r="K963" s="4">
        <f t="shared" si="78"/>
        <v>47.7</v>
      </c>
      <c r="L963" s="4">
        <f t="shared" si="79"/>
        <v>0</v>
      </c>
    </row>
    <row r="964" spans="1:12" x14ac:dyDescent="0.35">
      <c r="A964" s="2" t="s">
        <v>820</v>
      </c>
      <c r="B964" s="2" t="s">
        <v>33</v>
      </c>
      <c r="C964" s="2">
        <v>35.448999999999998</v>
      </c>
      <c r="D964" s="2">
        <v>4000</v>
      </c>
      <c r="E964" s="2">
        <v>261</v>
      </c>
      <c r="F964" s="2">
        <v>48</v>
      </c>
      <c r="G964" s="2">
        <v>1</v>
      </c>
      <c r="H964" s="4">
        <f t="shared" si="75"/>
        <v>3.5680950438355516</v>
      </c>
      <c r="I964" s="4">
        <f t="shared" si="76"/>
        <v>8.2940496401020276</v>
      </c>
      <c r="J964" s="4">
        <f t="shared" si="77"/>
        <v>5.5645204073226937</v>
      </c>
      <c r="K964" s="4">
        <f t="shared" si="78"/>
        <v>48</v>
      </c>
      <c r="L964" s="4">
        <f t="shared" si="79"/>
        <v>1</v>
      </c>
    </row>
    <row r="965" spans="1:12" x14ac:dyDescent="0.35">
      <c r="A965" s="2" t="s">
        <v>821</v>
      </c>
      <c r="B965" s="2" t="s">
        <v>67</v>
      </c>
      <c r="C965" s="2">
        <v>26.029599999999999</v>
      </c>
      <c r="D965" s="2">
        <v>4000</v>
      </c>
      <c r="E965" s="2">
        <v>444</v>
      </c>
      <c r="F965" s="2">
        <v>48.5</v>
      </c>
      <c r="G965" s="2">
        <v>0</v>
      </c>
      <c r="H965" s="4">
        <f t="shared" si="75"/>
        <v>3.2592343520040381</v>
      </c>
      <c r="I965" s="4">
        <f t="shared" si="76"/>
        <v>8.2940496401020276</v>
      </c>
      <c r="J965" s="4">
        <f t="shared" si="77"/>
        <v>6.0958245624322247</v>
      </c>
      <c r="K965" s="4">
        <f t="shared" si="78"/>
        <v>48.5</v>
      </c>
      <c r="L965" s="4">
        <f t="shared" si="79"/>
        <v>0</v>
      </c>
    </row>
    <row r="966" spans="1:12" x14ac:dyDescent="0.35">
      <c r="A966" s="2" t="s">
        <v>822</v>
      </c>
      <c r="B966" s="2" t="s">
        <v>33</v>
      </c>
      <c r="C966" s="2">
        <v>34.146799999999999</v>
      </c>
      <c r="D966" s="2">
        <v>4000</v>
      </c>
      <c r="E966" s="2">
        <v>261</v>
      </c>
      <c r="F966" s="2">
        <v>46.9</v>
      </c>
      <c r="G966" s="2">
        <v>1</v>
      </c>
      <c r="H966" s="4">
        <f t="shared" si="75"/>
        <v>3.5306688773803083</v>
      </c>
      <c r="I966" s="4">
        <f t="shared" si="76"/>
        <v>8.2940496401020276</v>
      </c>
      <c r="J966" s="4">
        <f t="shared" si="77"/>
        <v>5.5645204073226937</v>
      </c>
      <c r="K966" s="4">
        <f t="shared" si="78"/>
        <v>46.9</v>
      </c>
      <c r="L966" s="4">
        <f t="shared" si="79"/>
        <v>1</v>
      </c>
    </row>
    <row r="967" spans="1:12" x14ac:dyDescent="0.35">
      <c r="A967" s="2" t="s">
        <v>823</v>
      </c>
      <c r="B967" s="2" t="s">
        <v>33</v>
      </c>
      <c r="C967" s="2">
        <v>35.448999999999998</v>
      </c>
      <c r="D967" s="2">
        <v>4000</v>
      </c>
      <c r="E967" s="2">
        <v>261</v>
      </c>
      <c r="F967" s="2">
        <v>46.9</v>
      </c>
      <c r="G967" s="2">
        <v>1</v>
      </c>
      <c r="H967" s="4">
        <f t="shared" si="75"/>
        <v>3.5680950438355516</v>
      </c>
      <c r="I967" s="4">
        <f t="shared" si="76"/>
        <v>8.2940496401020276</v>
      </c>
      <c r="J967" s="4">
        <f t="shared" si="77"/>
        <v>5.5645204073226937</v>
      </c>
      <c r="K967" s="4">
        <f t="shared" si="78"/>
        <v>46.9</v>
      </c>
      <c r="L967" s="4">
        <f t="shared" si="79"/>
        <v>1</v>
      </c>
    </row>
    <row r="968" spans="1:12" x14ac:dyDescent="0.35">
      <c r="A968" s="2" t="s">
        <v>824</v>
      </c>
      <c r="B968" s="2" t="s">
        <v>67</v>
      </c>
      <c r="C968" s="2">
        <v>29.3904</v>
      </c>
      <c r="D968" s="2">
        <v>4500</v>
      </c>
      <c r="E968" s="2">
        <v>349</v>
      </c>
      <c r="F968" s="2">
        <v>46.7</v>
      </c>
      <c r="G968" s="2">
        <v>0</v>
      </c>
      <c r="H968" s="4">
        <f t="shared" si="75"/>
        <v>3.3806680904096629</v>
      </c>
      <c r="I968" s="4">
        <f t="shared" si="76"/>
        <v>8.4118326757584114</v>
      </c>
      <c r="J968" s="4">
        <f t="shared" si="77"/>
        <v>5.855071922202427</v>
      </c>
      <c r="K968" s="4">
        <f t="shared" si="78"/>
        <v>46.7</v>
      </c>
      <c r="L968" s="4">
        <f t="shared" si="79"/>
        <v>0</v>
      </c>
    </row>
    <row r="969" spans="1:12" x14ac:dyDescent="0.35">
      <c r="A969" s="2" t="s">
        <v>825</v>
      </c>
      <c r="B969" s="2" t="s">
        <v>67</v>
      </c>
      <c r="C969" s="2">
        <v>32.905299999999997</v>
      </c>
      <c r="D969" s="2">
        <v>4000</v>
      </c>
      <c r="E969" s="2">
        <v>184</v>
      </c>
      <c r="F969" s="2">
        <v>45.3</v>
      </c>
      <c r="G969" s="2">
        <v>0</v>
      </c>
      <c r="H969" s="4">
        <f t="shared" si="75"/>
        <v>3.4936337390219689</v>
      </c>
      <c r="I969" s="4">
        <f t="shared" si="76"/>
        <v>8.2940496401020276</v>
      </c>
      <c r="J969" s="4">
        <f t="shared" si="77"/>
        <v>5.2149357576089859</v>
      </c>
      <c r="K969" s="4">
        <f t="shared" si="78"/>
        <v>45.3</v>
      </c>
      <c r="L969" s="4">
        <f t="shared" si="79"/>
        <v>0</v>
      </c>
    </row>
    <row r="970" spans="1:12" x14ac:dyDescent="0.35">
      <c r="A970" s="2" t="s">
        <v>826</v>
      </c>
      <c r="B970" s="2" t="s">
        <v>67</v>
      </c>
      <c r="C970" s="2">
        <v>30.5669</v>
      </c>
      <c r="D970" s="2">
        <v>4000</v>
      </c>
      <c r="E970" s="2">
        <v>228</v>
      </c>
      <c r="F970" s="2">
        <v>45.3</v>
      </c>
      <c r="G970" s="2">
        <v>0</v>
      </c>
      <c r="H970" s="4">
        <f t="shared" si="75"/>
        <v>3.4199177241529601</v>
      </c>
      <c r="I970" s="4">
        <f t="shared" si="76"/>
        <v>8.2940496401020276</v>
      </c>
      <c r="J970" s="4">
        <f t="shared" si="77"/>
        <v>5.4293456289544411</v>
      </c>
      <c r="K970" s="4">
        <f t="shared" si="78"/>
        <v>45.3</v>
      </c>
      <c r="L970" s="4">
        <f t="shared" si="79"/>
        <v>0</v>
      </c>
    </row>
    <row r="971" spans="1:12" x14ac:dyDescent="0.35">
      <c r="A971" s="2" t="s">
        <v>827</v>
      </c>
      <c r="B971" s="2" t="s">
        <v>33</v>
      </c>
      <c r="C971" s="2">
        <v>34.747300000000003</v>
      </c>
      <c r="D971" s="2">
        <v>3500</v>
      </c>
      <c r="E971" s="2">
        <v>201</v>
      </c>
      <c r="F971" s="2">
        <v>43.5</v>
      </c>
      <c r="G971" s="2">
        <v>1</v>
      </c>
      <c r="H971" s="4">
        <f t="shared" si="75"/>
        <v>3.5481018711504411</v>
      </c>
      <c r="I971" s="4">
        <f t="shared" si="76"/>
        <v>8.1605182474775049</v>
      </c>
      <c r="J971" s="4">
        <f t="shared" si="77"/>
        <v>5.3033049080590757</v>
      </c>
      <c r="K971" s="4">
        <f t="shared" si="78"/>
        <v>43.5</v>
      </c>
      <c r="L971" s="4">
        <f t="shared" si="79"/>
        <v>1</v>
      </c>
    </row>
    <row r="972" spans="1:12" x14ac:dyDescent="0.35">
      <c r="A972" s="2" t="s">
        <v>828</v>
      </c>
      <c r="B972" s="2" t="s">
        <v>33</v>
      </c>
      <c r="C972" s="2">
        <v>43.638100000000001</v>
      </c>
      <c r="D972" s="2">
        <v>3500</v>
      </c>
      <c r="E972" s="2">
        <v>201</v>
      </c>
      <c r="F972" s="2">
        <v>43.3</v>
      </c>
      <c r="G972" s="2">
        <v>1</v>
      </c>
      <c r="H972" s="4">
        <f t="shared" si="75"/>
        <v>3.7759306219785653</v>
      </c>
      <c r="I972" s="4">
        <f t="shared" si="76"/>
        <v>8.1605182474775049</v>
      </c>
      <c r="J972" s="4">
        <f t="shared" si="77"/>
        <v>5.3033049080590757</v>
      </c>
      <c r="K972" s="4">
        <f t="shared" si="78"/>
        <v>43.3</v>
      </c>
      <c r="L972" s="4">
        <f t="shared" si="79"/>
        <v>1</v>
      </c>
    </row>
    <row r="973" spans="1:12" x14ac:dyDescent="0.35">
      <c r="A973" s="2" t="s">
        <v>829</v>
      </c>
      <c r="B973" s="2" t="s">
        <v>33</v>
      </c>
      <c r="C973" s="2">
        <v>40.427700000000002</v>
      </c>
      <c r="D973" s="2">
        <v>3500</v>
      </c>
      <c r="E973" s="2">
        <v>201</v>
      </c>
      <c r="F973" s="2">
        <v>43.3</v>
      </c>
      <c r="G973" s="2">
        <v>1</v>
      </c>
      <c r="H973" s="4">
        <f t="shared" si="75"/>
        <v>3.6995151935852988</v>
      </c>
      <c r="I973" s="4">
        <f t="shared" si="76"/>
        <v>8.1605182474775049</v>
      </c>
      <c r="J973" s="4">
        <f t="shared" si="77"/>
        <v>5.3033049080590757</v>
      </c>
      <c r="K973" s="4">
        <f t="shared" si="78"/>
        <v>43.3</v>
      </c>
      <c r="L973" s="4">
        <f t="shared" si="79"/>
        <v>1</v>
      </c>
    </row>
    <row r="974" spans="1:12" x14ac:dyDescent="0.35">
      <c r="A974" s="2" t="s">
        <v>830</v>
      </c>
      <c r="B974" s="2" t="s">
        <v>33</v>
      </c>
      <c r="C974" s="2">
        <v>28.4405</v>
      </c>
      <c r="D974" s="2">
        <v>5000</v>
      </c>
      <c r="E974" s="2">
        <v>444</v>
      </c>
      <c r="F974" s="2">
        <v>51.6</v>
      </c>
      <c r="G974" s="2">
        <v>1</v>
      </c>
      <c r="H974" s="4">
        <f t="shared" si="75"/>
        <v>3.3478141856525099</v>
      </c>
      <c r="I974" s="4">
        <f t="shared" si="76"/>
        <v>8.5171931914162382</v>
      </c>
      <c r="J974" s="4">
        <f t="shared" si="77"/>
        <v>6.0958245624322247</v>
      </c>
      <c r="K974" s="4">
        <f t="shared" si="78"/>
        <v>51.6</v>
      </c>
      <c r="L974" s="4">
        <f t="shared" si="79"/>
        <v>1</v>
      </c>
    </row>
    <row r="975" spans="1:12" x14ac:dyDescent="0.35">
      <c r="A975" s="2" t="s">
        <v>831</v>
      </c>
      <c r="B975" s="2" t="s">
        <v>33</v>
      </c>
      <c r="C975" s="2">
        <v>32.855400000000003</v>
      </c>
      <c r="D975" s="2">
        <v>4500</v>
      </c>
      <c r="E975" s="2">
        <v>335</v>
      </c>
      <c r="F975" s="2">
        <v>51.5</v>
      </c>
      <c r="G975" s="2">
        <v>1</v>
      </c>
      <c r="H975" s="4">
        <f t="shared" si="75"/>
        <v>3.4921161149827662</v>
      </c>
      <c r="I975" s="4">
        <f t="shared" si="76"/>
        <v>8.4118326757584114</v>
      </c>
      <c r="J975" s="4">
        <f t="shared" si="77"/>
        <v>5.8141305318250662</v>
      </c>
      <c r="K975" s="4">
        <f t="shared" si="78"/>
        <v>51.5</v>
      </c>
      <c r="L975" s="4">
        <f t="shared" si="79"/>
        <v>1</v>
      </c>
    </row>
    <row r="976" spans="1:12" x14ac:dyDescent="0.35">
      <c r="A976" s="2" t="s">
        <v>832</v>
      </c>
      <c r="B976" s="2" t="s">
        <v>33</v>
      </c>
      <c r="C976" s="2">
        <v>20.887699999999999</v>
      </c>
      <c r="D976" s="2">
        <v>5500</v>
      </c>
      <c r="E976" s="2">
        <v>621</v>
      </c>
      <c r="F976" s="2">
        <v>52.4</v>
      </c>
      <c r="G976" s="2">
        <v>1</v>
      </c>
      <c r="H976" s="4">
        <f t="shared" si="75"/>
        <v>3.0391604689803988</v>
      </c>
      <c r="I976" s="4">
        <f t="shared" si="76"/>
        <v>8.6125033712205621</v>
      </c>
      <c r="J976" s="4">
        <f t="shared" si="77"/>
        <v>6.4313310819334788</v>
      </c>
      <c r="K976" s="4">
        <f t="shared" si="78"/>
        <v>52.4</v>
      </c>
      <c r="L976" s="4">
        <f t="shared" si="79"/>
        <v>1</v>
      </c>
    </row>
    <row r="977" spans="1:12" x14ac:dyDescent="0.35">
      <c r="A977" s="2" t="s">
        <v>833</v>
      </c>
      <c r="B977" s="2" t="s">
        <v>33</v>
      </c>
      <c r="C977" s="2">
        <v>34.572000000000003</v>
      </c>
      <c r="D977" s="2">
        <v>4000</v>
      </c>
      <c r="E977" s="2">
        <v>261</v>
      </c>
      <c r="F977" s="2">
        <v>50.9</v>
      </c>
      <c r="G977" s="2">
        <v>1</v>
      </c>
      <c r="H977" s="4">
        <f t="shared" si="75"/>
        <v>3.5430441058903916</v>
      </c>
      <c r="I977" s="4">
        <f t="shared" si="76"/>
        <v>8.2940496401020276</v>
      </c>
      <c r="J977" s="4">
        <f t="shared" si="77"/>
        <v>5.5645204073226937</v>
      </c>
      <c r="K977" s="4">
        <f t="shared" si="78"/>
        <v>50.9</v>
      </c>
      <c r="L977" s="4">
        <f t="shared" si="79"/>
        <v>1</v>
      </c>
    </row>
    <row r="978" spans="1:12" x14ac:dyDescent="0.35">
      <c r="A978" s="2" t="s">
        <v>833</v>
      </c>
      <c r="B978" s="2" t="s">
        <v>33</v>
      </c>
      <c r="C978" s="2">
        <v>32.855400000000003</v>
      </c>
      <c r="D978" s="2">
        <v>4500</v>
      </c>
      <c r="E978" s="2">
        <v>335</v>
      </c>
      <c r="F978" s="2">
        <v>50.9</v>
      </c>
      <c r="G978" s="2">
        <v>1</v>
      </c>
      <c r="H978" s="4">
        <f t="shared" si="75"/>
        <v>3.4921161149827662</v>
      </c>
      <c r="I978" s="4">
        <f t="shared" si="76"/>
        <v>8.4118326757584114</v>
      </c>
      <c r="J978" s="4">
        <f t="shared" si="77"/>
        <v>5.8141305318250662</v>
      </c>
      <c r="K978" s="4">
        <f t="shared" si="78"/>
        <v>50.9</v>
      </c>
      <c r="L978" s="4">
        <f t="shared" si="79"/>
        <v>1</v>
      </c>
    </row>
    <row r="979" spans="1:12" x14ac:dyDescent="0.35">
      <c r="A979" s="2" t="s">
        <v>834</v>
      </c>
      <c r="B979" s="2" t="s">
        <v>33</v>
      </c>
      <c r="C979" s="2">
        <v>28.4405</v>
      </c>
      <c r="D979" s="2">
        <v>4500</v>
      </c>
      <c r="E979" s="2">
        <v>444</v>
      </c>
      <c r="F979" s="2">
        <v>50.8</v>
      </c>
      <c r="G979" s="2">
        <v>1</v>
      </c>
      <c r="H979" s="4">
        <f t="shared" si="75"/>
        <v>3.3478141856525099</v>
      </c>
      <c r="I979" s="4">
        <f t="shared" si="76"/>
        <v>8.4118326757584114</v>
      </c>
      <c r="J979" s="4">
        <f t="shared" si="77"/>
        <v>6.0958245624322247</v>
      </c>
      <c r="K979" s="4">
        <f t="shared" si="78"/>
        <v>50.8</v>
      </c>
      <c r="L979" s="4">
        <f t="shared" si="79"/>
        <v>1</v>
      </c>
    </row>
    <row r="980" spans="1:12" x14ac:dyDescent="0.35">
      <c r="A980" s="2" t="s">
        <v>835</v>
      </c>
      <c r="B980" s="2" t="s">
        <v>33</v>
      </c>
      <c r="C980" s="2">
        <v>20.887699999999999</v>
      </c>
      <c r="D980" s="2">
        <v>5000</v>
      </c>
      <c r="E980" s="2">
        <v>621</v>
      </c>
      <c r="F980" s="2">
        <v>52.4</v>
      </c>
      <c r="G980" s="2">
        <v>1</v>
      </c>
      <c r="H980" s="4">
        <f t="shared" si="75"/>
        <v>3.0391604689803988</v>
      </c>
      <c r="I980" s="4">
        <f t="shared" si="76"/>
        <v>8.5171931914162382</v>
      </c>
      <c r="J980" s="4">
        <f t="shared" si="77"/>
        <v>6.4313310819334788</v>
      </c>
      <c r="K980" s="4">
        <f t="shared" si="78"/>
        <v>52.4</v>
      </c>
      <c r="L980" s="4">
        <f t="shared" si="79"/>
        <v>1</v>
      </c>
    </row>
    <row r="981" spans="1:12" x14ac:dyDescent="0.35">
      <c r="A981" s="2" t="s">
        <v>836</v>
      </c>
      <c r="B981" s="2" t="s">
        <v>33</v>
      </c>
      <c r="C981" s="2">
        <v>32.855400000000003</v>
      </c>
      <c r="D981" s="2">
        <v>4500</v>
      </c>
      <c r="E981" s="2">
        <v>335</v>
      </c>
      <c r="F981" s="2">
        <v>51</v>
      </c>
      <c r="G981" s="2">
        <v>1</v>
      </c>
      <c r="H981" s="4">
        <f t="shared" si="75"/>
        <v>3.4921161149827662</v>
      </c>
      <c r="I981" s="4">
        <f t="shared" si="76"/>
        <v>8.4118326757584114</v>
      </c>
      <c r="J981" s="4">
        <f t="shared" si="77"/>
        <v>5.8141305318250662</v>
      </c>
      <c r="K981" s="4">
        <f t="shared" si="78"/>
        <v>51</v>
      </c>
      <c r="L981" s="4">
        <f t="shared" si="79"/>
        <v>1</v>
      </c>
    </row>
    <row r="982" spans="1:12" x14ac:dyDescent="0.35">
      <c r="A982" s="2" t="s">
        <v>837</v>
      </c>
      <c r="B982" s="2" t="s">
        <v>33</v>
      </c>
      <c r="C982" s="2">
        <v>28.6112</v>
      </c>
      <c r="D982" s="2">
        <v>5000</v>
      </c>
      <c r="E982" s="2">
        <v>335</v>
      </c>
      <c r="F982" s="2">
        <v>54.5</v>
      </c>
      <c r="G982" s="2">
        <v>1</v>
      </c>
      <c r="H982" s="4">
        <f t="shared" si="75"/>
        <v>3.3537982495588619</v>
      </c>
      <c r="I982" s="4">
        <f t="shared" si="76"/>
        <v>8.5171931914162382</v>
      </c>
      <c r="J982" s="4">
        <f t="shared" si="77"/>
        <v>5.8141305318250662</v>
      </c>
      <c r="K982" s="4">
        <f t="shared" si="78"/>
        <v>54.5</v>
      </c>
      <c r="L982" s="4">
        <f t="shared" si="79"/>
        <v>1</v>
      </c>
    </row>
    <row r="983" spans="1:12" x14ac:dyDescent="0.35">
      <c r="A983" s="2" t="s">
        <v>838</v>
      </c>
      <c r="B983" s="2" t="s">
        <v>33</v>
      </c>
      <c r="C983" s="2">
        <v>23.559899999999999</v>
      </c>
      <c r="D983" s="2">
        <v>5500</v>
      </c>
      <c r="E983" s="2">
        <v>563</v>
      </c>
      <c r="F983" s="2">
        <v>52.4</v>
      </c>
      <c r="G983" s="2">
        <v>1</v>
      </c>
      <c r="H983" s="4">
        <f t="shared" si="75"/>
        <v>3.1595461142922048</v>
      </c>
      <c r="I983" s="4">
        <f t="shared" si="76"/>
        <v>8.6125033712205621</v>
      </c>
      <c r="J983" s="4">
        <f t="shared" si="77"/>
        <v>6.3332796281396906</v>
      </c>
      <c r="K983" s="4">
        <f t="shared" si="78"/>
        <v>52.4</v>
      </c>
      <c r="L983" s="4">
        <f t="shared" si="79"/>
        <v>1</v>
      </c>
    </row>
    <row r="984" spans="1:12" x14ac:dyDescent="0.35">
      <c r="A984" s="2" t="s">
        <v>839</v>
      </c>
      <c r="B984" s="2" t="s">
        <v>33</v>
      </c>
      <c r="C984" s="2">
        <v>26.999300000000002</v>
      </c>
      <c r="D984" s="2">
        <v>5000</v>
      </c>
      <c r="E984" s="2">
        <v>335</v>
      </c>
      <c r="F984" s="2">
        <v>54.3</v>
      </c>
      <c r="G984" s="2">
        <v>1</v>
      </c>
      <c r="H984" s="4">
        <f t="shared" si="75"/>
        <v>3.2958109397423208</v>
      </c>
      <c r="I984" s="4">
        <f t="shared" si="76"/>
        <v>8.5171931914162382</v>
      </c>
      <c r="J984" s="4">
        <f t="shared" si="77"/>
        <v>5.8141305318250662</v>
      </c>
      <c r="K984" s="4">
        <f t="shared" si="78"/>
        <v>54.3</v>
      </c>
      <c r="L984" s="4">
        <f t="shared" si="79"/>
        <v>1</v>
      </c>
    </row>
    <row r="985" spans="1:12" x14ac:dyDescent="0.35">
      <c r="A985" s="2" t="s">
        <v>839</v>
      </c>
      <c r="B985" s="2" t="s">
        <v>67</v>
      </c>
      <c r="C985" s="2">
        <v>28.0854</v>
      </c>
      <c r="D985" s="2">
        <v>5000</v>
      </c>
      <c r="E985" s="2">
        <v>261</v>
      </c>
      <c r="F985" s="2">
        <v>54.3</v>
      </c>
      <c r="G985" s="2">
        <v>0</v>
      </c>
      <c r="H985" s="4">
        <f t="shared" si="75"/>
        <v>3.335249868361164</v>
      </c>
      <c r="I985" s="4">
        <f t="shared" si="76"/>
        <v>8.5171931914162382</v>
      </c>
      <c r="J985" s="4">
        <f t="shared" si="77"/>
        <v>5.5645204073226937</v>
      </c>
      <c r="K985" s="4">
        <f t="shared" si="78"/>
        <v>54.3</v>
      </c>
      <c r="L985" s="4">
        <f t="shared" si="79"/>
        <v>0</v>
      </c>
    </row>
    <row r="986" spans="1:12" x14ac:dyDescent="0.35">
      <c r="A986" s="2" t="s">
        <v>840</v>
      </c>
      <c r="B986" s="2" t="s">
        <v>67</v>
      </c>
      <c r="C986" s="2">
        <v>21.708500000000001</v>
      </c>
      <c r="D986" s="2">
        <v>5500</v>
      </c>
      <c r="E986" s="2">
        <v>500</v>
      </c>
      <c r="F986" s="2">
        <v>53.8</v>
      </c>
      <c r="G986" s="2">
        <v>0</v>
      </c>
      <c r="H986" s="4">
        <f t="shared" si="75"/>
        <v>3.0777038889191353</v>
      </c>
      <c r="I986" s="4">
        <f t="shared" si="76"/>
        <v>8.6125033712205621</v>
      </c>
      <c r="J986" s="4">
        <f t="shared" si="77"/>
        <v>6.2146080984221914</v>
      </c>
      <c r="K986" s="4">
        <f t="shared" si="78"/>
        <v>53.8</v>
      </c>
      <c r="L986" s="4">
        <f t="shared" si="79"/>
        <v>0</v>
      </c>
    </row>
    <row r="987" spans="1:12" x14ac:dyDescent="0.35">
      <c r="A987" s="2" t="s">
        <v>841</v>
      </c>
      <c r="B987" s="2" t="s">
        <v>33</v>
      </c>
      <c r="C987" s="2">
        <v>34.310699999999997</v>
      </c>
      <c r="D987" s="2">
        <v>4000</v>
      </c>
      <c r="E987" s="2">
        <v>201</v>
      </c>
      <c r="F987" s="2">
        <v>49.1</v>
      </c>
      <c r="G987" s="2">
        <v>1</v>
      </c>
      <c r="H987" s="4">
        <f t="shared" si="75"/>
        <v>3.5354572588773334</v>
      </c>
      <c r="I987" s="4">
        <f t="shared" si="76"/>
        <v>8.2940496401020276</v>
      </c>
      <c r="J987" s="4">
        <f t="shared" si="77"/>
        <v>5.3033049080590757</v>
      </c>
      <c r="K987" s="4">
        <f t="shared" si="78"/>
        <v>49.1</v>
      </c>
      <c r="L987" s="4">
        <f t="shared" si="79"/>
        <v>1</v>
      </c>
    </row>
    <row r="988" spans="1:12" x14ac:dyDescent="0.35">
      <c r="A988" s="2" t="s">
        <v>842</v>
      </c>
      <c r="B988" s="2" t="s">
        <v>33</v>
      </c>
      <c r="C988" s="2">
        <v>31.5181</v>
      </c>
      <c r="D988" s="2">
        <v>4000</v>
      </c>
      <c r="E988" s="2">
        <v>261</v>
      </c>
      <c r="F988" s="2">
        <v>48.9</v>
      </c>
      <c r="G988" s="2">
        <v>1</v>
      </c>
      <c r="H988" s="4">
        <f t="shared" si="75"/>
        <v>3.4505619839849979</v>
      </c>
      <c r="I988" s="4">
        <f t="shared" si="76"/>
        <v>8.2940496401020276</v>
      </c>
      <c r="J988" s="4">
        <f t="shared" si="77"/>
        <v>5.5645204073226937</v>
      </c>
      <c r="K988" s="4">
        <f t="shared" si="78"/>
        <v>48.9</v>
      </c>
      <c r="L988" s="4">
        <f t="shared" si="79"/>
        <v>1</v>
      </c>
    </row>
    <row r="989" spans="1:12" x14ac:dyDescent="0.35">
      <c r="A989" s="2" t="s">
        <v>843</v>
      </c>
      <c r="B989" s="2" t="s">
        <v>33</v>
      </c>
      <c r="C989" s="2">
        <v>31.5181</v>
      </c>
      <c r="D989" s="2">
        <v>4500</v>
      </c>
      <c r="E989" s="2">
        <v>261</v>
      </c>
      <c r="F989" s="2">
        <v>48.9</v>
      </c>
      <c r="G989" s="2">
        <v>1</v>
      </c>
      <c r="H989" s="4">
        <f t="shared" si="75"/>
        <v>3.4505619839849979</v>
      </c>
      <c r="I989" s="4">
        <f t="shared" si="76"/>
        <v>8.4118326757584114</v>
      </c>
      <c r="J989" s="4">
        <f t="shared" si="77"/>
        <v>5.5645204073226937</v>
      </c>
      <c r="K989" s="4">
        <f t="shared" si="78"/>
        <v>48.9</v>
      </c>
      <c r="L989" s="4">
        <f t="shared" si="79"/>
        <v>1</v>
      </c>
    </row>
    <row r="990" spans="1:12" x14ac:dyDescent="0.35">
      <c r="A990" s="2" t="s">
        <v>844</v>
      </c>
      <c r="B990" s="2" t="s">
        <v>33</v>
      </c>
      <c r="C990" s="2">
        <v>34.7761</v>
      </c>
      <c r="D990" s="2">
        <v>5000</v>
      </c>
      <c r="E990" s="2">
        <v>248</v>
      </c>
      <c r="F990" s="2">
        <v>49</v>
      </c>
      <c r="G990" s="2">
        <v>1</v>
      </c>
      <c r="H990" s="4">
        <f t="shared" si="75"/>
        <v>3.5489303692287102</v>
      </c>
      <c r="I990" s="4">
        <f t="shared" si="76"/>
        <v>8.5171931914162382</v>
      </c>
      <c r="J990" s="4">
        <f t="shared" si="77"/>
        <v>5.5134287461649825</v>
      </c>
      <c r="K990" s="4">
        <f t="shared" si="78"/>
        <v>49</v>
      </c>
      <c r="L990" s="4">
        <f t="shared" si="79"/>
        <v>1</v>
      </c>
    </row>
    <row r="991" spans="1:12" x14ac:dyDescent="0.35">
      <c r="A991" s="2" t="s">
        <v>845</v>
      </c>
      <c r="B991" s="2" t="s">
        <v>67</v>
      </c>
      <c r="C991" s="2">
        <v>27.1812</v>
      </c>
      <c r="D991" s="2">
        <v>4500</v>
      </c>
      <c r="E991" s="2">
        <v>349</v>
      </c>
      <c r="F991" s="2">
        <v>49.1</v>
      </c>
      <c r="G991" s="2">
        <v>0</v>
      </c>
      <c r="H991" s="4">
        <f t="shared" si="75"/>
        <v>3.3025255578587855</v>
      </c>
      <c r="I991" s="4">
        <f t="shared" si="76"/>
        <v>8.4118326757584114</v>
      </c>
      <c r="J991" s="4">
        <f t="shared" si="77"/>
        <v>5.855071922202427</v>
      </c>
      <c r="K991" s="4">
        <f t="shared" si="78"/>
        <v>49.1</v>
      </c>
      <c r="L991" s="4">
        <f t="shared" si="79"/>
        <v>0</v>
      </c>
    </row>
    <row r="992" spans="1:12" x14ac:dyDescent="0.35">
      <c r="A992" s="2" t="s">
        <v>846</v>
      </c>
      <c r="B992" s="2" t="s">
        <v>67</v>
      </c>
      <c r="C992" s="2">
        <v>27.1812</v>
      </c>
      <c r="D992" s="2">
        <v>4500</v>
      </c>
      <c r="E992" s="2">
        <v>349</v>
      </c>
      <c r="F992" s="2">
        <v>49.1</v>
      </c>
      <c r="G992" s="2">
        <v>0</v>
      </c>
      <c r="H992" s="4">
        <f t="shared" si="75"/>
        <v>3.3025255578587855</v>
      </c>
      <c r="I992" s="4">
        <f t="shared" si="76"/>
        <v>8.4118326757584114</v>
      </c>
      <c r="J992" s="4">
        <f t="shared" si="77"/>
        <v>5.855071922202427</v>
      </c>
      <c r="K992" s="4">
        <f t="shared" si="78"/>
        <v>49.1</v>
      </c>
      <c r="L992" s="4">
        <f t="shared" si="79"/>
        <v>0</v>
      </c>
    </row>
    <row r="993" spans="1:12" x14ac:dyDescent="0.35">
      <c r="A993" s="2" t="s">
        <v>847</v>
      </c>
      <c r="B993" s="2" t="s">
        <v>33</v>
      </c>
      <c r="C993" s="2">
        <v>25.2121</v>
      </c>
      <c r="D993" s="2">
        <v>5000</v>
      </c>
      <c r="E993" s="2">
        <v>335</v>
      </c>
      <c r="F993" s="2">
        <v>54.4</v>
      </c>
      <c r="G993" s="2">
        <v>1</v>
      </c>
      <c r="H993" s="4">
        <f t="shared" si="75"/>
        <v>3.2273240380082204</v>
      </c>
      <c r="I993" s="4">
        <f t="shared" si="76"/>
        <v>8.5171931914162382</v>
      </c>
      <c r="J993" s="4">
        <f t="shared" si="77"/>
        <v>5.8141305318250662</v>
      </c>
      <c r="K993" s="4">
        <f t="shared" si="78"/>
        <v>54.4</v>
      </c>
      <c r="L993" s="4">
        <f t="shared" si="79"/>
        <v>1</v>
      </c>
    </row>
    <row r="994" spans="1:12" x14ac:dyDescent="0.35">
      <c r="A994" s="2" t="s">
        <v>848</v>
      </c>
      <c r="B994" s="2" t="s">
        <v>67</v>
      </c>
      <c r="C994" s="2">
        <v>22.019200000000001</v>
      </c>
      <c r="D994" s="2">
        <v>5500</v>
      </c>
      <c r="E994" s="2">
        <v>500</v>
      </c>
      <c r="F994" s="2">
        <v>54.4</v>
      </c>
      <c r="G994" s="2">
        <v>0</v>
      </c>
      <c r="H994" s="4">
        <f t="shared" si="75"/>
        <v>3.0919148000260237</v>
      </c>
      <c r="I994" s="4">
        <f t="shared" si="76"/>
        <v>8.6125033712205621</v>
      </c>
      <c r="J994" s="4">
        <f t="shared" si="77"/>
        <v>6.2146080984221914</v>
      </c>
      <c r="K994" s="4">
        <f t="shared" si="78"/>
        <v>54.4</v>
      </c>
      <c r="L994" s="4">
        <f t="shared" si="79"/>
        <v>0</v>
      </c>
    </row>
    <row r="995" spans="1:12" x14ac:dyDescent="0.35">
      <c r="A995" s="2" t="s">
        <v>849</v>
      </c>
      <c r="B995" s="2" t="s">
        <v>33</v>
      </c>
      <c r="C995" s="2">
        <v>19.639500000000002</v>
      </c>
      <c r="D995" s="2">
        <v>6000</v>
      </c>
      <c r="E995" s="2">
        <v>591</v>
      </c>
      <c r="F995" s="2">
        <v>54.7</v>
      </c>
      <c r="G995" s="2">
        <v>1</v>
      </c>
      <c r="H995" s="4">
        <f t="shared" si="75"/>
        <v>2.9775428443537808</v>
      </c>
      <c r="I995" s="4">
        <f t="shared" si="76"/>
        <v>8.6995147482101913</v>
      </c>
      <c r="J995" s="4">
        <f t="shared" si="77"/>
        <v>6.3818160174060985</v>
      </c>
      <c r="K995" s="4">
        <f t="shared" si="78"/>
        <v>54.7</v>
      </c>
      <c r="L995" s="4">
        <f t="shared" si="79"/>
        <v>1</v>
      </c>
    </row>
    <row r="996" spans="1:12" x14ac:dyDescent="0.35">
      <c r="A996" s="2" t="s">
        <v>850</v>
      </c>
      <c r="B996" s="2" t="s">
        <v>33</v>
      </c>
      <c r="C996" s="2">
        <v>27.232900000000001</v>
      </c>
      <c r="D996" s="2">
        <v>6000</v>
      </c>
      <c r="E996" s="2">
        <v>456</v>
      </c>
      <c r="F996" s="2">
        <v>54.7</v>
      </c>
      <c r="G996" s="2">
        <v>1</v>
      </c>
      <c r="H996" s="4">
        <f t="shared" si="75"/>
        <v>3.3044258011985472</v>
      </c>
      <c r="I996" s="4">
        <f t="shared" si="76"/>
        <v>8.6995147482101913</v>
      </c>
      <c r="J996" s="4">
        <f t="shared" si="77"/>
        <v>6.1224928095143865</v>
      </c>
      <c r="K996" s="4">
        <f t="shared" si="78"/>
        <v>54.7</v>
      </c>
      <c r="L996" s="4">
        <f t="shared" si="79"/>
        <v>1</v>
      </c>
    </row>
    <row r="997" spans="1:12" x14ac:dyDescent="0.35">
      <c r="A997" s="2" t="s">
        <v>851</v>
      </c>
      <c r="B997" s="2" t="s">
        <v>67</v>
      </c>
      <c r="C997" s="2">
        <v>20.886500000000002</v>
      </c>
      <c r="D997" s="2">
        <v>6000</v>
      </c>
      <c r="E997" s="2">
        <v>542</v>
      </c>
      <c r="F997" s="2">
        <v>54.7</v>
      </c>
      <c r="G997" s="2">
        <v>0</v>
      </c>
      <c r="H997" s="4">
        <f t="shared" si="75"/>
        <v>3.0391030172518043</v>
      </c>
      <c r="I997" s="4">
        <f t="shared" si="76"/>
        <v>8.6995147482101913</v>
      </c>
      <c r="J997" s="4">
        <f t="shared" si="77"/>
        <v>6.2952660014396464</v>
      </c>
      <c r="K997" s="4">
        <f t="shared" si="78"/>
        <v>54.7</v>
      </c>
      <c r="L997" s="4">
        <f t="shared" si="79"/>
        <v>0</v>
      </c>
    </row>
    <row r="998" spans="1:12" x14ac:dyDescent="0.35">
      <c r="A998" s="2" t="s">
        <v>852</v>
      </c>
      <c r="B998" s="2" t="s">
        <v>67</v>
      </c>
      <c r="C998" s="2">
        <v>18.661799999999999</v>
      </c>
      <c r="D998" s="2">
        <v>5500</v>
      </c>
      <c r="E998" s="2">
        <v>650</v>
      </c>
      <c r="F998" s="2">
        <v>51.1</v>
      </c>
      <c r="G998" s="2">
        <v>0</v>
      </c>
      <c r="H998" s="4">
        <f t="shared" si="75"/>
        <v>2.9264786537894474</v>
      </c>
      <c r="I998" s="4">
        <f t="shared" si="76"/>
        <v>8.6125033712205621</v>
      </c>
      <c r="J998" s="4">
        <f t="shared" si="77"/>
        <v>6.4769723628896827</v>
      </c>
      <c r="K998" s="4">
        <f t="shared" si="78"/>
        <v>51.1</v>
      </c>
      <c r="L998" s="4">
        <f t="shared" si="79"/>
        <v>0</v>
      </c>
    </row>
    <row r="999" spans="1:12" x14ac:dyDescent="0.35">
      <c r="A999" s="2" t="s">
        <v>852</v>
      </c>
      <c r="B999" s="2" t="s">
        <v>67</v>
      </c>
      <c r="C999" s="2">
        <v>21.959599999999998</v>
      </c>
      <c r="D999" s="2">
        <v>5000</v>
      </c>
      <c r="E999" s="2">
        <v>542</v>
      </c>
      <c r="F999" s="2">
        <v>51.1</v>
      </c>
      <c r="G999" s="2">
        <v>0</v>
      </c>
      <c r="H999" s="4">
        <f t="shared" si="75"/>
        <v>3.0892044015391882</v>
      </c>
      <c r="I999" s="4">
        <f t="shared" si="76"/>
        <v>8.5171931914162382</v>
      </c>
      <c r="J999" s="4">
        <f t="shared" si="77"/>
        <v>6.2952660014396464</v>
      </c>
      <c r="K999" s="4">
        <f t="shared" si="78"/>
        <v>51.1</v>
      </c>
      <c r="L999" s="4">
        <f t="shared" si="79"/>
        <v>0</v>
      </c>
    </row>
    <row r="1000" spans="1:12" x14ac:dyDescent="0.35">
      <c r="A1000" s="2" t="s">
        <v>853</v>
      </c>
      <c r="B1000" s="2" t="s">
        <v>67</v>
      </c>
      <c r="C1000" s="2">
        <v>18.488299999999999</v>
      </c>
      <c r="D1000" s="2">
        <v>6000</v>
      </c>
      <c r="E1000" s="2">
        <v>626</v>
      </c>
      <c r="F1000" s="2">
        <v>57.3</v>
      </c>
      <c r="G1000" s="2">
        <v>0</v>
      </c>
      <c r="H1000" s="4">
        <f t="shared" si="75"/>
        <v>2.9171380995820977</v>
      </c>
      <c r="I1000" s="4">
        <f t="shared" si="76"/>
        <v>8.6995147482101913</v>
      </c>
      <c r="J1000" s="4">
        <f t="shared" si="77"/>
        <v>6.4393503711000983</v>
      </c>
      <c r="K1000" s="4">
        <f t="shared" si="78"/>
        <v>57.3</v>
      </c>
      <c r="L1000" s="4">
        <f t="shared" si="79"/>
        <v>0</v>
      </c>
    </row>
    <row r="1001" spans="1:12" x14ac:dyDescent="0.35">
      <c r="A1001" s="2" t="s">
        <v>853</v>
      </c>
      <c r="B1001" s="2" t="s">
        <v>67</v>
      </c>
      <c r="C1001" s="2">
        <v>21.258900000000001</v>
      </c>
      <c r="D1001" s="2">
        <v>5500</v>
      </c>
      <c r="E1001" s="2">
        <v>542</v>
      </c>
      <c r="F1001" s="2">
        <v>57.3</v>
      </c>
      <c r="G1001" s="2">
        <v>0</v>
      </c>
      <c r="H1001" s="4">
        <f t="shared" si="75"/>
        <v>3.0567756312177448</v>
      </c>
      <c r="I1001" s="4">
        <f t="shared" si="76"/>
        <v>8.6125033712205621</v>
      </c>
      <c r="J1001" s="4">
        <f t="shared" si="77"/>
        <v>6.2952660014396464</v>
      </c>
      <c r="K1001" s="4">
        <f t="shared" si="78"/>
        <v>57.3</v>
      </c>
      <c r="L1001" s="4">
        <f t="shared" si="79"/>
        <v>0</v>
      </c>
    </row>
    <row r="1002" spans="1:12" x14ac:dyDescent="0.35">
      <c r="A1002" s="2" t="s">
        <v>854</v>
      </c>
      <c r="B1002" s="2" t="s">
        <v>67</v>
      </c>
      <c r="C1002" s="2">
        <v>17.992699999999999</v>
      </c>
      <c r="D1002" s="2">
        <v>6000</v>
      </c>
      <c r="E1002" s="2">
        <v>650</v>
      </c>
      <c r="F1002" s="2">
        <v>51.1</v>
      </c>
      <c r="G1002" s="2">
        <v>0</v>
      </c>
      <c r="H1002" s="4">
        <f t="shared" si="75"/>
        <v>2.8899661200807132</v>
      </c>
      <c r="I1002" s="4">
        <f t="shared" si="76"/>
        <v>8.6995147482101913</v>
      </c>
      <c r="J1002" s="4">
        <f t="shared" si="77"/>
        <v>6.4769723628896827</v>
      </c>
      <c r="K1002" s="4">
        <f t="shared" si="78"/>
        <v>51.1</v>
      </c>
      <c r="L1002" s="4">
        <f t="shared" si="79"/>
        <v>0</v>
      </c>
    </row>
    <row r="1003" spans="1:12" x14ac:dyDescent="0.35">
      <c r="A1003" s="2" t="s">
        <v>854</v>
      </c>
      <c r="B1003" s="2" t="s">
        <v>67</v>
      </c>
      <c r="C1003" s="2">
        <v>21.077999999999999</v>
      </c>
      <c r="D1003" s="2">
        <v>5500</v>
      </c>
      <c r="E1003" s="2">
        <v>542</v>
      </c>
      <c r="F1003" s="2">
        <v>51.1</v>
      </c>
      <c r="G1003" s="2">
        <v>0</v>
      </c>
      <c r="H1003" s="4">
        <f t="shared" si="75"/>
        <v>3.0482298425117449</v>
      </c>
      <c r="I1003" s="4">
        <f t="shared" si="76"/>
        <v>8.6125033712205621</v>
      </c>
      <c r="J1003" s="4">
        <f t="shared" si="77"/>
        <v>6.2952660014396464</v>
      </c>
      <c r="K1003" s="4">
        <f t="shared" si="78"/>
        <v>51.1</v>
      </c>
      <c r="L1003" s="4">
        <f t="shared" si="79"/>
        <v>0</v>
      </c>
    </row>
    <row r="1004" spans="1:12" x14ac:dyDescent="0.35">
      <c r="A1004" s="2" t="s">
        <v>855</v>
      </c>
      <c r="B1004" s="2" t="s">
        <v>33</v>
      </c>
      <c r="C1004" s="2">
        <v>24.792100000000001</v>
      </c>
      <c r="D1004" s="2">
        <v>6000</v>
      </c>
      <c r="E1004" s="2">
        <v>537</v>
      </c>
      <c r="F1004" s="2">
        <v>57.3</v>
      </c>
      <c r="G1004" s="2">
        <v>1</v>
      </c>
      <c r="H1004" s="4">
        <f t="shared" si="75"/>
        <v>3.2105250540365251</v>
      </c>
      <c r="I1004" s="4">
        <f t="shared" si="76"/>
        <v>8.6995147482101913</v>
      </c>
      <c r="J1004" s="4">
        <f t="shared" si="77"/>
        <v>6.2859980945088649</v>
      </c>
      <c r="K1004" s="4">
        <f t="shared" si="78"/>
        <v>57.3</v>
      </c>
      <c r="L1004" s="4">
        <f t="shared" si="79"/>
        <v>1</v>
      </c>
    </row>
    <row r="1005" spans="1:12" x14ac:dyDescent="0.35">
      <c r="A1005" s="2" t="s">
        <v>856</v>
      </c>
      <c r="B1005" s="2" t="s">
        <v>67</v>
      </c>
      <c r="C1005" s="2">
        <v>20.886500000000002</v>
      </c>
      <c r="D1005" s="2">
        <v>6000</v>
      </c>
      <c r="E1005" s="2">
        <v>542</v>
      </c>
      <c r="F1005" s="2">
        <v>58</v>
      </c>
      <c r="G1005" s="2">
        <v>0</v>
      </c>
      <c r="H1005" s="4">
        <f t="shared" si="75"/>
        <v>3.0391030172518043</v>
      </c>
      <c r="I1005" s="4">
        <f t="shared" si="76"/>
        <v>8.6995147482101913</v>
      </c>
      <c r="J1005" s="4">
        <f t="shared" si="77"/>
        <v>6.2952660014396464</v>
      </c>
      <c r="K1005" s="4">
        <f t="shared" si="78"/>
        <v>58</v>
      </c>
      <c r="L1005" s="4">
        <f t="shared" si="79"/>
        <v>0</v>
      </c>
    </row>
    <row r="1006" spans="1:12" x14ac:dyDescent="0.35">
      <c r="A1006" s="2" t="s">
        <v>857</v>
      </c>
      <c r="B1006" s="2" t="s">
        <v>67</v>
      </c>
      <c r="C1006" s="2">
        <v>18.4649</v>
      </c>
      <c r="D1006" s="2">
        <v>3500</v>
      </c>
      <c r="E1006" s="2">
        <v>630</v>
      </c>
      <c r="F1006" s="2">
        <v>46.4</v>
      </c>
      <c r="G1006" s="2">
        <v>0</v>
      </c>
      <c r="H1006" s="4">
        <f t="shared" si="75"/>
        <v>2.9158716326386296</v>
      </c>
      <c r="I1006" s="4">
        <f t="shared" si="76"/>
        <v>8.1605182474775049</v>
      </c>
      <c r="J1006" s="4">
        <f t="shared" si="77"/>
        <v>6.4457198193855785</v>
      </c>
      <c r="K1006" s="4">
        <f t="shared" si="78"/>
        <v>46.4</v>
      </c>
      <c r="L1006" s="4">
        <f t="shared" si="79"/>
        <v>0</v>
      </c>
    </row>
    <row r="1007" spans="1:12" x14ac:dyDescent="0.35">
      <c r="A1007" s="2" t="s">
        <v>858</v>
      </c>
      <c r="B1007" s="2" t="s">
        <v>67</v>
      </c>
      <c r="C1007" s="2">
        <v>20.442799999999998</v>
      </c>
      <c r="D1007" s="2">
        <v>5500</v>
      </c>
      <c r="E1007" s="2">
        <v>591</v>
      </c>
      <c r="F1007" s="2">
        <v>55</v>
      </c>
      <c r="G1007" s="2">
        <v>0</v>
      </c>
      <c r="H1007" s="4">
        <f t="shared" si="75"/>
        <v>3.0176307422551067</v>
      </c>
      <c r="I1007" s="4">
        <f t="shared" si="76"/>
        <v>8.6125033712205621</v>
      </c>
      <c r="J1007" s="4">
        <f t="shared" si="77"/>
        <v>6.3818160174060985</v>
      </c>
      <c r="K1007" s="4">
        <f t="shared" si="78"/>
        <v>55</v>
      </c>
      <c r="L1007" s="4">
        <f t="shared" si="79"/>
        <v>0</v>
      </c>
    </row>
    <row r="1008" spans="1:12" x14ac:dyDescent="0.35">
      <c r="A1008" s="2" t="s">
        <v>859</v>
      </c>
      <c r="B1008" s="2" t="s">
        <v>67</v>
      </c>
      <c r="C1008" s="2">
        <v>20.442799999999998</v>
      </c>
      <c r="D1008" s="2">
        <v>5500</v>
      </c>
      <c r="E1008" s="2">
        <v>591</v>
      </c>
      <c r="F1008" s="2">
        <v>55.5</v>
      </c>
      <c r="G1008" s="2">
        <v>0</v>
      </c>
      <c r="H1008" s="4">
        <f t="shared" si="75"/>
        <v>3.0176307422551067</v>
      </c>
      <c r="I1008" s="4">
        <f t="shared" si="76"/>
        <v>8.6125033712205621</v>
      </c>
      <c r="J1008" s="4">
        <f t="shared" si="77"/>
        <v>6.3818160174060985</v>
      </c>
      <c r="K1008" s="4">
        <f t="shared" si="78"/>
        <v>55.5</v>
      </c>
      <c r="L1008" s="4">
        <f t="shared" si="79"/>
        <v>0</v>
      </c>
    </row>
    <row r="1009" spans="1:12" x14ac:dyDescent="0.35">
      <c r="A1009" s="2" t="s">
        <v>860</v>
      </c>
      <c r="B1009" s="2" t="s">
        <v>67</v>
      </c>
      <c r="C1009" s="2">
        <v>18.4617</v>
      </c>
      <c r="D1009" s="2">
        <v>4000</v>
      </c>
      <c r="E1009" s="2">
        <v>630</v>
      </c>
      <c r="F1009" s="2">
        <v>46.4</v>
      </c>
      <c r="G1009" s="2">
        <v>0</v>
      </c>
      <c r="H1009" s="4">
        <f t="shared" si="75"/>
        <v>2.9156983158421736</v>
      </c>
      <c r="I1009" s="4">
        <f t="shared" si="76"/>
        <v>8.2940496401020276</v>
      </c>
      <c r="J1009" s="4">
        <f t="shared" si="77"/>
        <v>6.4457198193855785</v>
      </c>
      <c r="K1009" s="4">
        <f t="shared" si="78"/>
        <v>46.4</v>
      </c>
      <c r="L1009" s="4">
        <f t="shared" si="79"/>
        <v>0</v>
      </c>
    </row>
    <row r="1010" spans="1:12" x14ac:dyDescent="0.35">
      <c r="A1010" s="2" t="s">
        <v>861</v>
      </c>
      <c r="B1010" s="2" t="s">
        <v>67</v>
      </c>
      <c r="C1010" s="2">
        <v>18.4617</v>
      </c>
      <c r="D1010" s="2">
        <v>4000</v>
      </c>
      <c r="E1010" s="2">
        <v>602</v>
      </c>
      <c r="F1010" s="2">
        <v>47.4</v>
      </c>
      <c r="G1010" s="2">
        <v>0</v>
      </c>
      <c r="H1010" s="4">
        <f t="shared" si="75"/>
        <v>2.9156983158421736</v>
      </c>
      <c r="I1010" s="4">
        <f t="shared" si="76"/>
        <v>8.2940496401020276</v>
      </c>
      <c r="J1010" s="4">
        <f t="shared" si="77"/>
        <v>6.4002574453088208</v>
      </c>
      <c r="K1010" s="4">
        <f t="shared" si="78"/>
        <v>47.4</v>
      </c>
      <c r="L1010" s="4">
        <f t="shared" si="79"/>
        <v>0</v>
      </c>
    </row>
    <row r="1011" spans="1:12" x14ac:dyDescent="0.35">
      <c r="A1011" s="2" t="s">
        <v>862</v>
      </c>
      <c r="B1011" s="2" t="s">
        <v>33</v>
      </c>
      <c r="C1011" s="2">
        <v>14.853300000000001</v>
      </c>
      <c r="D1011" s="2">
        <v>4500</v>
      </c>
      <c r="E1011" s="2">
        <v>1001</v>
      </c>
      <c r="F1011" s="2">
        <v>51.2</v>
      </c>
      <c r="G1011" s="2">
        <v>1</v>
      </c>
      <c r="H1011" s="4">
        <f t="shared" si="75"/>
        <v>2.6982220627832301</v>
      </c>
      <c r="I1011" s="4">
        <f t="shared" si="76"/>
        <v>8.4118326757584114</v>
      </c>
      <c r="J1011" s="4">
        <f t="shared" si="77"/>
        <v>6.9087547793152204</v>
      </c>
      <c r="K1011" s="4">
        <f t="shared" si="78"/>
        <v>51.2</v>
      </c>
      <c r="L1011" s="4">
        <f t="shared" si="79"/>
        <v>1</v>
      </c>
    </row>
    <row r="1012" spans="1:12" x14ac:dyDescent="0.35">
      <c r="A1012" s="2" t="s">
        <v>863</v>
      </c>
      <c r="B1012" s="2" t="s">
        <v>67</v>
      </c>
      <c r="C1012" s="2">
        <v>11.243399999999999</v>
      </c>
      <c r="D1012" s="2">
        <v>4500</v>
      </c>
      <c r="E1012" s="2">
        <v>1600</v>
      </c>
      <c r="F1012" s="2">
        <v>49.8</v>
      </c>
      <c r="G1012" s="2">
        <v>0</v>
      </c>
      <c r="H1012" s="4">
        <f t="shared" si="75"/>
        <v>2.4197812898275379</v>
      </c>
      <c r="I1012" s="4">
        <f t="shared" si="76"/>
        <v>8.4118326757584114</v>
      </c>
      <c r="J1012" s="4">
        <f t="shared" si="77"/>
        <v>7.3777589082278725</v>
      </c>
      <c r="K1012" s="4">
        <f t="shared" si="78"/>
        <v>49.8</v>
      </c>
      <c r="L1012" s="4">
        <f t="shared" si="79"/>
        <v>0</v>
      </c>
    </row>
    <row r="1013" spans="1:12" x14ac:dyDescent="0.35">
      <c r="A1013" s="2" t="s">
        <v>864</v>
      </c>
      <c r="B1013" s="2" t="s">
        <v>33</v>
      </c>
      <c r="C1013" s="2">
        <v>40.449399999999997</v>
      </c>
      <c r="D1013" s="2">
        <v>4000</v>
      </c>
      <c r="E1013" s="2">
        <v>247</v>
      </c>
      <c r="F1013" s="2">
        <v>49.4</v>
      </c>
      <c r="G1013" s="2">
        <v>1</v>
      </c>
      <c r="H1013" s="4">
        <f t="shared" si="75"/>
        <v>3.7000518102671709</v>
      </c>
      <c r="I1013" s="4">
        <f t="shared" si="76"/>
        <v>8.2940496401020276</v>
      </c>
      <c r="J1013" s="4">
        <f t="shared" si="77"/>
        <v>5.5093883366279774</v>
      </c>
      <c r="K1013" s="4">
        <f t="shared" si="78"/>
        <v>49.4</v>
      </c>
      <c r="L1013" s="4">
        <f t="shared" si="79"/>
        <v>1</v>
      </c>
    </row>
    <row r="1014" spans="1:12" x14ac:dyDescent="0.35">
      <c r="A1014" s="2" t="s">
        <v>866</v>
      </c>
      <c r="B1014" s="2" t="s">
        <v>33</v>
      </c>
      <c r="C1014" s="2">
        <v>37.750900000000001</v>
      </c>
      <c r="D1014" s="2">
        <v>4000</v>
      </c>
      <c r="E1014" s="2">
        <v>247</v>
      </c>
      <c r="F1014" s="2">
        <v>49.4</v>
      </c>
      <c r="G1014" s="2">
        <v>1</v>
      </c>
      <c r="H1014" s="4">
        <f t="shared" si="75"/>
        <v>3.6310093164704429</v>
      </c>
      <c r="I1014" s="4">
        <f t="shared" si="76"/>
        <v>8.2940496401020276</v>
      </c>
      <c r="J1014" s="4">
        <f t="shared" si="77"/>
        <v>5.5093883366279774</v>
      </c>
      <c r="K1014" s="4">
        <f t="shared" si="78"/>
        <v>49.4</v>
      </c>
      <c r="L1014" s="4">
        <f t="shared" si="79"/>
        <v>1</v>
      </c>
    </row>
    <row r="1015" spans="1:12" x14ac:dyDescent="0.35">
      <c r="A1015" s="2" t="s">
        <v>867</v>
      </c>
      <c r="B1015" s="2" t="s">
        <v>33</v>
      </c>
      <c r="C1015" s="2">
        <v>42.271299999999997</v>
      </c>
      <c r="D1015" s="2">
        <v>4500</v>
      </c>
      <c r="E1015" s="2">
        <v>312</v>
      </c>
      <c r="F1015" s="2">
        <v>49.4</v>
      </c>
      <c r="G1015" s="2">
        <v>1</v>
      </c>
      <c r="H1015" s="4">
        <f t="shared" si="75"/>
        <v>3.7441083687781278</v>
      </c>
      <c r="I1015" s="4">
        <f t="shared" si="76"/>
        <v>8.4118326757584114</v>
      </c>
      <c r="J1015" s="4">
        <f t="shared" si="77"/>
        <v>5.7430031878094825</v>
      </c>
      <c r="K1015" s="4">
        <f t="shared" si="78"/>
        <v>49.4</v>
      </c>
      <c r="L1015" s="4">
        <f t="shared" si="79"/>
        <v>1</v>
      </c>
    </row>
    <row r="1016" spans="1:12" x14ac:dyDescent="0.35">
      <c r="A1016" s="2" t="s">
        <v>868</v>
      </c>
      <c r="B1016" s="2" t="s">
        <v>33</v>
      </c>
      <c r="C1016" s="2">
        <v>42.271299999999997</v>
      </c>
      <c r="D1016" s="2">
        <v>4500</v>
      </c>
      <c r="E1016" s="2">
        <v>312</v>
      </c>
      <c r="F1016" s="2">
        <v>49.4</v>
      </c>
      <c r="G1016" s="2">
        <v>1</v>
      </c>
      <c r="H1016" s="4">
        <f t="shared" si="75"/>
        <v>3.7441083687781278</v>
      </c>
      <c r="I1016" s="4">
        <f t="shared" si="76"/>
        <v>8.4118326757584114</v>
      </c>
      <c r="J1016" s="4">
        <f t="shared" si="77"/>
        <v>5.7430031878094825</v>
      </c>
      <c r="K1016" s="4">
        <f t="shared" si="78"/>
        <v>49.4</v>
      </c>
      <c r="L1016" s="4">
        <f t="shared" si="79"/>
        <v>1</v>
      </c>
    </row>
    <row r="1017" spans="1:12" x14ac:dyDescent="0.35">
      <c r="A1017" s="2" t="s">
        <v>869</v>
      </c>
      <c r="B1017" s="2" t="s">
        <v>33</v>
      </c>
      <c r="C1017" s="2">
        <v>33.896299999999997</v>
      </c>
      <c r="D1017" s="2">
        <v>4500</v>
      </c>
      <c r="E1017" s="2">
        <v>295</v>
      </c>
      <c r="F1017" s="2">
        <v>53.2</v>
      </c>
      <c r="G1017" s="2">
        <v>1</v>
      </c>
      <c r="H1017" s="4">
        <f t="shared" si="75"/>
        <v>3.5233058638869328</v>
      </c>
      <c r="I1017" s="4">
        <f t="shared" si="76"/>
        <v>8.4118326757584114</v>
      </c>
      <c r="J1017" s="4">
        <f t="shared" si="77"/>
        <v>5.6869753563398202</v>
      </c>
      <c r="K1017" s="4">
        <f t="shared" si="78"/>
        <v>53.2</v>
      </c>
      <c r="L1017" s="4">
        <f t="shared" si="79"/>
        <v>1</v>
      </c>
    </row>
    <row r="1018" spans="1:12" x14ac:dyDescent="0.35">
      <c r="A1018" s="2" t="s">
        <v>870</v>
      </c>
      <c r="B1018" s="2" t="s">
        <v>33</v>
      </c>
      <c r="C1018" s="2">
        <v>39.647500000000001</v>
      </c>
      <c r="D1018" s="2">
        <v>5000</v>
      </c>
      <c r="E1018" s="2">
        <v>312</v>
      </c>
      <c r="F1018" s="2">
        <v>53.2</v>
      </c>
      <c r="G1018" s="2">
        <v>1</v>
      </c>
      <c r="H1018" s="4">
        <f t="shared" si="75"/>
        <v>3.6800278943906188</v>
      </c>
      <c r="I1018" s="4">
        <f t="shared" si="76"/>
        <v>8.5171931914162382</v>
      </c>
      <c r="J1018" s="4">
        <f t="shared" si="77"/>
        <v>5.7430031878094825</v>
      </c>
      <c r="K1018" s="4">
        <f t="shared" si="78"/>
        <v>53.2</v>
      </c>
      <c r="L1018" s="4">
        <f t="shared" si="79"/>
        <v>1</v>
      </c>
    </row>
    <row r="1019" spans="1:12" x14ac:dyDescent="0.35">
      <c r="A1019" s="2" t="s">
        <v>871</v>
      </c>
      <c r="B1019" s="2" t="s">
        <v>33</v>
      </c>
      <c r="C1019" s="2">
        <v>32.829799999999999</v>
      </c>
      <c r="D1019" s="2">
        <v>4500</v>
      </c>
      <c r="E1019" s="2">
        <v>295</v>
      </c>
      <c r="F1019" s="2">
        <v>52.1</v>
      </c>
      <c r="G1019" s="2">
        <v>1</v>
      </c>
      <c r="H1019" s="4">
        <f t="shared" si="75"/>
        <v>3.4913366395059104</v>
      </c>
      <c r="I1019" s="4">
        <f t="shared" si="76"/>
        <v>8.4118326757584114</v>
      </c>
      <c r="J1019" s="4">
        <f t="shared" si="77"/>
        <v>5.6869753563398202</v>
      </c>
      <c r="K1019" s="4">
        <f t="shared" si="78"/>
        <v>52.1</v>
      </c>
      <c r="L1019" s="4">
        <f t="shared" si="79"/>
        <v>1</v>
      </c>
    </row>
    <row r="1020" spans="1:12" x14ac:dyDescent="0.35">
      <c r="A1020" s="2" t="s">
        <v>872</v>
      </c>
      <c r="B1020" s="2" t="s">
        <v>33</v>
      </c>
      <c r="C1020" s="2">
        <v>32.619399999999999</v>
      </c>
      <c r="D1020" s="2">
        <v>4500</v>
      </c>
      <c r="E1020" s="2">
        <v>247</v>
      </c>
      <c r="F1020" s="2">
        <v>50.9</v>
      </c>
      <c r="G1020" s="2">
        <v>1</v>
      </c>
      <c r="H1020" s="4">
        <f t="shared" si="75"/>
        <v>3.4849072034001591</v>
      </c>
      <c r="I1020" s="4">
        <f t="shared" si="76"/>
        <v>8.4118326757584114</v>
      </c>
      <c r="J1020" s="4">
        <f t="shared" si="77"/>
        <v>5.5093883366279774</v>
      </c>
      <c r="K1020" s="4">
        <f t="shared" si="78"/>
        <v>50.9</v>
      </c>
      <c r="L1020" s="4">
        <f t="shared" si="79"/>
        <v>1</v>
      </c>
    </row>
    <row r="1021" spans="1:12" x14ac:dyDescent="0.35">
      <c r="A1021" s="2" t="s">
        <v>873</v>
      </c>
      <c r="B1021" s="2" t="s">
        <v>33</v>
      </c>
      <c r="C1021" s="2">
        <v>37.554600000000001</v>
      </c>
      <c r="D1021" s="2">
        <v>5000</v>
      </c>
      <c r="E1021" s="2">
        <v>312</v>
      </c>
      <c r="F1021" s="2">
        <v>50.9</v>
      </c>
      <c r="G1021" s="2">
        <v>1</v>
      </c>
      <c r="H1021" s="4">
        <f t="shared" si="75"/>
        <v>3.6257958740361187</v>
      </c>
      <c r="I1021" s="4">
        <f t="shared" si="76"/>
        <v>8.5171931914162382</v>
      </c>
      <c r="J1021" s="4">
        <f t="shared" si="77"/>
        <v>5.7430031878094825</v>
      </c>
      <c r="K1021" s="4">
        <f t="shared" si="78"/>
        <v>50.9</v>
      </c>
      <c r="L1021" s="4">
        <f t="shared" si="79"/>
        <v>1</v>
      </c>
    </row>
    <row r="1022" spans="1:12" x14ac:dyDescent="0.35">
      <c r="A1022" s="2" t="s">
        <v>874</v>
      </c>
      <c r="B1022" s="2" t="s">
        <v>33</v>
      </c>
      <c r="C1022" s="2">
        <v>35.780200000000001</v>
      </c>
      <c r="D1022" s="2">
        <v>5500</v>
      </c>
      <c r="E1022" s="2">
        <v>312</v>
      </c>
      <c r="F1022" s="2">
        <v>53.7</v>
      </c>
      <c r="G1022" s="2">
        <v>1</v>
      </c>
      <c r="H1022" s="4">
        <f t="shared" si="75"/>
        <v>3.5773946677798754</v>
      </c>
      <c r="I1022" s="4">
        <f t="shared" si="76"/>
        <v>8.6125033712205621</v>
      </c>
      <c r="J1022" s="4">
        <f t="shared" si="77"/>
        <v>5.7430031878094825</v>
      </c>
      <c r="K1022" s="4">
        <f t="shared" si="78"/>
        <v>53.7</v>
      </c>
      <c r="L1022" s="4">
        <f t="shared" si="79"/>
        <v>1</v>
      </c>
    </row>
    <row r="1023" spans="1:12" x14ac:dyDescent="0.35">
      <c r="A1023" s="2" t="s">
        <v>875</v>
      </c>
      <c r="B1023" s="2" t="s">
        <v>33</v>
      </c>
      <c r="C1023" s="2">
        <v>35.090299999999999</v>
      </c>
      <c r="D1023" s="2">
        <v>4000</v>
      </c>
      <c r="E1023" s="2">
        <v>247</v>
      </c>
      <c r="F1023" s="2">
        <v>46.8</v>
      </c>
      <c r="G1023" s="2">
        <v>1</v>
      </c>
      <c r="H1023" s="4">
        <f t="shared" si="75"/>
        <v>3.5579247390028637</v>
      </c>
      <c r="I1023" s="4">
        <f t="shared" si="76"/>
        <v>8.2940496401020276</v>
      </c>
      <c r="J1023" s="4">
        <f t="shared" si="77"/>
        <v>5.5093883366279774</v>
      </c>
      <c r="K1023" s="4">
        <f t="shared" si="78"/>
        <v>46.8</v>
      </c>
      <c r="L1023" s="4">
        <f t="shared" si="79"/>
        <v>1</v>
      </c>
    </row>
    <row r="1024" spans="1:12" x14ac:dyDescent="0.35">
      <c r="A1024" s="2" t="s">
        <v>876</v>
      </c>
      <c r="B1024" s="2" t="s">
        <v>33</v>
      </c>
      <c r="C1024" s="2">
        <v>35.5</v>
      </c>
      <c r="D1024" s="2">
        <v>4500</v>
      </c>
      <c r="E1024" s="2">
        <v>247</v>
      </c>
      <c r="F1024" s="2">
        <v>50.8</v>
      </c>
      <c r="G1024" s="2">
        <v>1</v>
      </c>
      <c r="H1024" s="4">
        <f t="shared" si="75"/>
        <v>3.5695326964813701</v>
      </c>
      <c r="I1024" s="4">
        <f t="shared" si="76"/>
        <v>8.4118326757584114</v>
      </c>
      <c r="J1024" s="4">
        <f t="shared" si="77"/>
        <v>5.5093883366279774</v>
      </c>
      <c r="K1024" s="4">
        <f t="shared" si="78"/>
        <v>50.8</v>
      </c>
      <c r="L1024" s="4">
        <f t="shared" si="79"/>
        <v>1</v>
      </c>
    </row>
    <row r="1025" spans="1:12" x14ac:dyDescent="0.35">
      <c r="A1025" s="2" t="s">
        <v>877</v>
      </c>
      <c r="B1025" s="2" t="s">
        <v>33</v>
      </c>
      <c r="C1025" s="2">
        <v>31.859400000000001</v>
      </c>
      <c r="D1025" s="2">
        <v>5000</v>
      </c>
      <c r="E1025" s="2">
        <v>247</v>
      </c>
      <c r="F1025" s="2">
        <v>53.5</v>
      </c>
      <c r="G1025" s="2">
        <v>1</v>
      </c>
      <c r="H1025" s="4">
        <f t="shared" si="75"/>
        <v>3.4613324719128569</v>
      </c>
      <c r="I1025" s="4">
        <f t="shared" si="76"/>
        <v>8.5171931914162382</v>
      </c>
      <c r="J1025" s="4">
        <f t="shared" si="77"/>
        <v>5.5093883366279774</v>
      </c>
      <c r="K1025" s="4">
        <f t="shared" si="78"/>
        <v>53.5</v>
      </c>
      <c r="L1025" s="4">
        <f t="shared" si="79"/>
        <v>1</v>
      </c>
    </row>
    <row r="1026" spans="1:12" x14ac:dyDescent="0.35">
      <c r="A1026" s="2" t="s">
        <v>878</v>
      </c>
      <c r="B1026" s="2" t="s">
        <v>33</v>
      </c>
      <c r="C1026" s="2">
        <v>29.883099999999999</v>
      </c>
      <c r="D1026" s="2">
        <v>5000</v>
      </c>
      <c r="E1026" s="2">
        <v>295</v>
      </c>
      <c r="F1026" s="2">
        <v>53.5</v>
      </c>
      <c r="G1026" s="2">
        <v>1</v>
      </c>
      <c r="H1026" s="4">
        <f t="shared" si="75"/>
        <v>3.3972931032097708</v>
      </c>
      <c r="I1026" s="4">
        <f t="shared" si="76"/>
        <v>8.5171931914162382</v>
      </c>
      <c r="J1026" s="4">
        <f t="shared" si="77"/>
        <v>5.6869753563398202</v>
      </c>
      <c r="K1026" s="4">
        <f t="shared" si="78"/>
        <v>53.5</v>
      </c>
      <c r="L1026" s="4">
        <f t="shared" si="79"/>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1"/>
  <sheetViews>
    <sheetView workbookViewId="0"/>
  </sheetViews>
  <sheetFormatPr defaultRowHeight="14.5" x14ac:dyDescent="0.35"/>
  <cols>
    <col min="1" max="1" width="58" customWidth="1"/>
    <col min="2" max="3" width="14" customWidth="1"/>
    <col min="4" max="4" width="20" customWidth="1"/>
    <col min="5" max="5" width="13" customWidth="1"/>
    <col min="6" max="6" width="14" customWidth="1"/>
    <col min="7" max="7" width="36" customWidth="1"/>
    <col min="8" max="8" width="18" customWidth="1"/>
    <col min="9" max="9" width="13" customWidth="1"/>
  </cols>
  <sheetData>
    <row r="1" spans="1:9" ht="17" x14ac:dyDescent="0.4">
      <c r="A1" s="1" t="s">
        <v>1144</v>
      </c>
    </row>
    <row r="2" spans="1:9" ht="32" customHeight="1" x14ac:dyDescent="0.35">
      <c r="A2" s="30" t="s">
        <v>1145</v>
      </c>
      <c r="B2" s="31"/>
      <c r="C2" s="31"/>
      <c r="D2" s="31"/>
      <c r="E2" s="31"/>
      <c r="F2" s="31"/>
      <c r="G2" s="31"/>
      <c r="H2" s="31"/>
      <c r="I2" s="31"/>
    </row>
    <row r="3" spans="1:9" x14ac:dyDescent="0.35">
      <c r="A3" s="3" t="s">
        <v>1146</v>
      </c>
      <c r="C3" s="5">
        <f>COUNT(Data!$I$2:$I$1286)</f>
        <v>1285</v>
      </c>
    </row>
    <row r="4" spans="1:9" x14ac:dyDescent="0.35">
      <c r="A4" s="3" t="s">
        <v>1147</v>
      </c>
      <c r="C4" s="2">
        <v>4</v>
      </c>
    </row>
    <row r="6" spans="1:9" x14ac:dyDescent="0.35">
      <c r="A6" s="3" t="s">
        <v>1148</v>
      </c>
      <c r="B6" s="3" t="s">
        <v>1149</v>
      </c>
      <c r="C6" s="3" t="s">
        <v>1150</v>
      </c>
      <c r="D6" s="3" t="s">
        <v>1151</v>
      </c>
      <c r="E6" s="3" t="s">
        <v>1152</v>
      </c>
      <c r="F6" s="3" t="s">
        <v>1153</v>
      </c>
      <c r="G6" s="3" t="s">
        <v>1154</v>
      </c>
      <c r="H6" s="3" t="s">
        <v>1155</v>
      </c>
      <c r="I6" s="3" t="s">
        <v>1156</v>
      </c>
    </row>
    <row r="7" spans="1:9" x14ac:dyDescent="0.35">
      <c r="A7" s="2" t="s">
        <v>1157</v>
      </c>
      <c r="B7" s="2">
        <v>5</v>
      </c>
      <c r="C7" s="6">
        <f>INDEX(LINEST(Data!$I$2:$I$1286,Data!$J$2:$M$1286,TRUE,TRUE),1,5)</f>
        <v>9.2577891093594626</v>
      </c>
      <c r="D7" s="4">
        <f>INDEX(LINEST(Data!$I$2:$I$1286,Data!$J$2:$M$1286,TRUE,TRUE),2,5)</f>
        <v>0.16906958510934092</v>
      </c>
      <c r="E7" s="7">
        <f>C7/D7</f>
        <v>54.757271116340959</v>
      </c>
      <c r="F7" s="8">
        <f>_xlfn.T.DIST.2T(ABS(E7),$C$17)</f>
        <v>0</v>
      </c>
      <c r="G7" s="2" t="str">
        <f>IF(F7&lt;0.05,"reject H0: coefficient differs from zero","fail to reject H0")</f>
        <v>reject H0: coefficient differs from zero</v>
      </c>
      <c r="H7" s="4">
        <v>0.2014</v>
      </c>
      <c r="I7" s="7">
        <f>C7/H7</f>
        <v>45.96717531956039</v>
      </c>
    </row>
    <row r="8" spans="1:9" x14ac:dyDescent="0.35">
      <c r="A8" s="2" t="s">
        <v>1158</v>
      </c>
      <c r="B8" s="2">
        <v>4</v>
      </c>
      <c r="C8" s="6">
        <f>INDEX(LINEST(Data!$I$2:$I$1286,Data!$J$2:$M$1286,TRUE,TRUE),1,4)</f>
        <v>-0.4527091196253209</v>
      </c>
      <c r="D8" s="4">
        <f>INDEX(LINEST(Data!$I$2:$I$1286,Data!$J$2:$M$1286,TRUE,TRUE),2,4)</f>
        <v>2.3394080671609783E-2</v>
      </c>
      <c r="E8" s="7">
        <f>C8/D8</f>
        <v>-19.35143876693186</v>
      </c>
      <c r="F8" s="8">
        <f>_xlfn.T.DIST.2T(ABS(E8),$C$17)</f>
        <v>2.1929529021486217E-73</v>
      </c>
      <c r="G8" s="2" t="str">
        <f>IF(F8&lt;0.05,"reject H0: coefficient differs from zero","fail to reject H0")</f>
        <v>reject H0: coefficient differs from zero</v>
      </c>
      <c r="H8" s="4">
        <v>2.93E-2</v>
      </c>
      <c r="I8" s="7">
        <f>C8/H8</f>
        <v>-15.450823195403444</v>
      </c>
    </row>
    <row r="9" spans="1:9" x14ac:dyDescent="0.35">
      <c r="A9" s="2" t="s">
        <v>1159</v>
      </c>
      <c r="B9" s="2">
        <v>3</v>
      </c>
      <c r="C9" s="6">
        <f>INDEX(LINEST(Data!$I$2:$I$1286,Data!$J$2:$M$1286,TRUE,TRUE),1,3)</f>
        <v>-0.36894371386739439</v>
      </c>
      <c r="D9" s="4">
        <f>INDEX(LINEST(Data!$I$2:$I$1286,Data!$J$2:$M$1286,TRUE,TRUE),2,3)</f>
        <v>1.0334543028304964E-2</v>
      </c>
      <c r="E9" s="7">
        <f>C9/D9</f>
        <v>-35.700051067270778</v>
      </c>
      <c r="F9" s="8">
        <f>_xlfn.T.DIST.2T(ABS(E9),$C$17)</f>
        <v>2.7427466217844552E-194</v>
      </c>
      <c r="G9" s="2" t="str">
        <f>IF(F9&lt;0.05,"reject H0: coefficient differs from zero","fail to reject H0")</f>
        <v>reject H0: coefficient differs from zero</v>
      </c>
      <c r="H9" s="4">
        <v>1.4999999999999999E-2</v>
      </c>
      <c r="I9" s="7">
        <f>C9/H9</f>
        <v>-24.596247591159628</v>
      </c>
    </row>
    <row r="10" spans="1:9" x14ac:dyDescent="0.35">
      <c r="A10" s="2" t="s">
        <v>33</v>
      </c>
      <c r="B10" s="2">
        <v>2</v>
      </c>
      <c r="C10" s="6">
        <f>INDEX(LINEST(Data!$I$2:$I$1286,Data!$J$2:$M$1286,TRUE,TRUE),1,2)</f>
        <v>0.22375356996922588</v>
      </c>
      <c r="D10" s="4">
        <f>INDEX(LINEST(Data!$I$2:$I$1286,Data!$J$2:$M$1286,TRUE,TRUE),2,2)</f>
        <v>1.0114394086819606E-2</v>
      </c>
      <c r="E10" s="7">
        <f>C10/D10</f>
        <v>22.122291068409762</v>
      </c>
      <c r="F10" s="8">
        <f>_xlfn.T.DIST.2T(ABS(E10),$C$17)</f>
        <v>4.2938087225782953E-92</v>
      </c>
      <c r="G10" s="2" t="str">
        <f>IF(F10&lt;0.05,"reject H0: coefficient differs from zero","fail to reject H0")</f>
        <v>reject H0: coefficient differs from zero</v>
      </c>
      <c r="H10" s="4">
        <v>1.0699999999999999E-2</v>
      </c>
      <c r="I10" s="7">
        <f>C10/H10</f>
        <v>20.911548595254757</v>
      </c>
    </row>
    <row r="11" spans="1:9" x14ac:dyDescent="0.35">
      <c r="A11" s="2" t="s">
        <v>1160</v>
      </c>
      <c r="B11" s="2">
        <v>1</v>
      </c>
      <c r="C11" s="6">
        <f>INDEX(LINEST(Data!$I$2:$I$1286,Data!$J$2:$M$1286,TRUE,TRUE),1,1)</f>
        <v>1.7079701374165039</v>
      </c>
      <c r="D11" s="4">
        <f>INDEX(LINEST(Data!$I$2:$I$1286,Data!$J$2:$M$1286,TRUE,TRUE),2,1)</f>
        <v>1.0927902619013162E-2</v>
      </c>
      <c r="E11" s="7">
        <f>C11/D11</f>
        <v>156.29441412159485</v>
      </c>
      <c r="F11" s="8">
        <f>_xlfn.T.DIST.2T(ABS(E11),$C$17)</f>
        <v>0</v>
      </c>
      <c r="G11" s="2" t="str">
        <f>IF(F11&lt;0.05,"reject H0: coefficient differs from zero","fail to reject H0")</f>
        <v>reject H0: coefficient differs from zero</v>
      </c>
      <c r="H11" s="4">
        <v>1.4500000000000001E-2</v>
      </c>
      <c r="I11" s="7">
        <f>C11/H11</f>
        <v>117.79104395975888</v>
      </c>
    </row>
    <row r="12" spans="1:9" x14ac:dyDescent="0.35">
      <c r="A12" s="30" t="s">
        <v>1161</v>
      </c>
      <c r="B12" s="31"/>
      <c r="C12" s="31"/>
      <c r="D12" s="31"/>
      <c r="E12" s="31"/>
      <c r="F12" s="31"/>
      <c r="G12" s="31"/>
      <c r="H12" s="31"/>
      <c r="I12" s="31"/>
    </row>
    <row r="14" spans="1:9" x14ac:dyDescent="0.35">
      <c r="A14" s="3" t="s">
        <v>1162</v>
      </c>
    </row>
    <row r="15" spans="1:9" x14ac:dyDescent="0.35">
      <c r="A15" s="2" t="s">
        <v>1163</v>
      </c>
      <c r="C15" s="6">
        <f>INDEX(LINEST(Data!$I$2:$I$1286,Data!$J$2:$M$1286,TRUE,TRUE),3,1)</f>
        <v>0.95462199511569767</v>
      </c>
    </row>
    <row r="16" spans="1:9" x14ac:dyDescent="0.35">
      <c r="A16" s="2" t="s">
        <v>1164</v>
      </c>
      <c r="C16" s="4">
        <f>1-(1-C15)*(C3-1)/(C3-C4-1)</f>
        <v>0.95448018885043417</v>
      </c>
    </row>
    <row r="17" spans="1:3" x14ac:dyDescent="0.35">
      <c r="A17" s="2" t="s">
        <v>1165</v>
      </c>
      <c r="C17" s="5">
        <f>INDEX(LINEST(Data!$I$2:$I$1286,Data!$J$2:$M$1286,TRUE,TRUE),4,2)</f>
        <v>1280</v>
      </c>
    </row>
    <row r="18" spans="1:3" x14ac:dyDescent="0.35">
      <c r="A18" s="2" t="s">
        <v>1166</v>
      </c>
      <c r="C18" s="9">
        <f>INDEX(LINEST(Data!$I$2:$I$1286,Data!$J$2:$M$1286,TRUE,TRUE),4,1)</f>
        <v>6731.8745990681136</v>
      </c>
    </row>
    <row r="19" spans="1:3" x14ac:dyDescent="0.35">
      <c r="A19" s="2" t="s">
        <v>1167</v>
      </c>
      <c r="C19" s="10">
        <f>_xlfn.F.DIST.RT(C18,C4,C17)</f>
        <v>0</v>
      </c>
    </row>
    <row r="20" spans="1:3" x14ac:dyDescent="0.35">
      <c r="A20" s="2" t="s">
        <v>1168</v>
      </c>
      <c r="C20" s="11">
        <f>(C15/C4)/((1-C15)/C17)</f>
        <v>6731.8745990681055</v>
      </c>
    </row>
    <row r="21" spans="1:3" x14ac:dyDescent="0.35">
      <c r="A21" s="2" t="s">
        <v>1169</v>
      </c>
      <c r="C21" s="12">
        <f>INDEX(LINEST(Data!$I$2:$I$1286,Data!$J$2:$M$1286,TRUE,TRUE),5,1)</f>
        <v>493.78259251813381</v>
      </c>
    </row>
    <row r="22" spans="1:3" x14ac:dyDescent="0.35">
      <c r="A22" s="2" t="s">
        <v>1170</v>
      </c>
      <c r="C22" s="12">
        <f>INDEX(LINEST(Data!$I$2:$I$1286,Data!$J$2:$M$1286,TRUE,TRUE),5,2)</f>
        <v>23.47198054278611</v>
      </c>
    </row>
    <row r="23" spans="1:3" x14ac:dyDescent="0.35">
      <c r="A23" s="2" t="s">
        <v>1171</v>
      </c>
      <c r="C23" s="4">
        <f>INDEX(LINEST(Data!$I$2:$I$1286,Data!$J$2:$M$1286,TRUE,TRUE),3,2)</f>
        <v>0.13541596951265256</v>
      </c>
    </row>
    <row r="25" spans="1:3" x14ac:dyDescent="0.35">
      <c r="A25" s="3" t="s">
        <v>1172</v>
      </c>
    </row>
    <row r="26" spans="1:3" x14ac:dyDescent="0.35">
      <c r="A26" s="2" t="s">
        <v>1173</v>
      </c>
      <c r="C26" s="13">
        <f>C8*0.1</f>
        <v>-4.5270911962532093E-2</v>
      </c>
    </row>
    <row r="27" spans="1:3" x14ac:dyDescent="0.35">
      <c r="A27" s="2" t="s">
        <v>1174</v>
      </c>
      <c r="C27" s="13">
        <f>C9*0.1</f>
        <v>-3.6894371386739441E-2</v>
      </c>
    </row>
    <row r="28" spans="1:3" x14ac:dyDescent="0.35">
      <c r="A28" s="2" t="s">
        <v>1175</v>
      </c>
      <c r="C28" s="14">
        <f>EXP(C10)-1</f>
        <v>0.25076275594279407</v>
      </c>
    </row>
    <row r="29" spans="1:3" x14ac:dyDescent="0.35">
      <c r="A29" s="2" t="s">
        <v>1176</v>
      </c>
      <c r="C29" s="14">
        <f>EXP(C11)-1</f>
        <v>4.5177498284981663</v>
      </c>
    </row>
    <row r="30" spans="1:3" x14ac:dyDescent="0.35">
      <c r="A30" s="2" t="s">
        <v>1177</v>
      </c>
      <c r="C30" s="15">
        <f>1.1^C8-1</f>
        <v>-4.2230166888826526E-2</v>
      </c>
    </row>
    <row r="31" spans="1:3" x14ac:dyDescent="0.35">
      <c r="A31" s="2" t="s">
        <v>1178</v>
      </c>
      <c r="C31" s="15">
        <f>1.1^C9-1</f>
        <v>-3.4553018583596606E-2</v>
      </c>
    </row>
    <row r="33" spans="1:6" x14ac:dyDescent="0.35">
      <c r="A33" s="3" t="s">
        <v>1179</v>
      </c>
    </row>
    <row r="34" spans="1:6" x14ac:dyDescent="0.35">
      <c r="A34" s="2" t="s">
        <v>1158</v>
      </c>
      <c r="C34" s="16">
        <f>1/(1-INDEX(LINEST(Data!$J$2:$J$1286,Data!$K$2:$M$1286,TRUE,TRUE),3,1))</f>
        <v>1.8961715028231632</v>
      </c>
    </row>
    <row r="35" spans="1:6" x14ac:dyDescent="0.35">
      <c r="A35" s="2" t="s">
        <v>1159</v>
      </c>
      <c r="C35" s="16">
        <f>1/(1-INDEX(LINEST(Data!$K$2:$K$1286,Data!$AG$2:$AI$1286,TRUE,TRUE),3,1))</f>
        <v>1.628216975282202</v>
      </c>
    </row>
    <row r="36" spans="1:6" x14ac:dyDescent="0.35">
      <c r="A36" s="2" t="s">
        <v>33</v>
      </c>
      <c r="C36" s="16">
        <f>1/(1-INDEX(LINEST(Data!$L$2:$L$1286,Data!$AJ$2:$AL$1286,TRUE,TRUE),3,1))</f>
        <v>1.1233554742387506</v>
      </c>
    </row>
    <row r="37" spans="1:6" x14ac:dyDescent="0.35">
      <c r="A37" s="2" t="s">
        <v>1160</v>
      </c>
      <c r="C37" s="16">
        <f>1/(1-INDEX(LINEST(Data!$M$2:$M$1286,Data!$J$2:$L$1286,TRUE,TRUE),3,1))</f>
        <v>1.3506037504754866</v>
      </c>
    </row>
    <row r="39" spans="1:6" x14ac:dyDescent="0.35">
      <c r="A39" s="3" t="s">
        <v>1180</v>
      </c>
    </row>
    <row r="40" spans="1:6" x14ac:dyDescent="0.35">
      <c r="A40" s="2" t="s">
        <v>1181</v>
      </c>
      <c r="C40" s="13">
        <f>EXP(C23)-1</f>
        <v>0.14501297579340866</v>
      </c>
    </row>
    <row r="41" spans="1:6" x14ac:dyDescent="0.35">
      <c r="A41" s="2" t="s">
        <v>1182</v>
      </c>
      <c r="C41" s="17">
        <f>EXP(1.96*C23)</f>
        <v>1.3039724034014184</v>
      </c>
    </row>
    <row r="42" spans="1:6" x14ac:dyDescent="0.35">
      <c r="A42" s="2" t="s">
        <v>1183</v>
      </c>
      <c r="C42" s="13">
        <f>SUMPRODUCT(--(ABS(Data!$AO$2:$AO$1286)&lt;=1.96*C23))/C3</f>
        <v>0.93852140077821011</v>
      </c>
    </row>
    <row r="45" spans="1:6" x14ac:dyDescent="0.35">
      <c r="A45" s="3" t="s">
        <v>1184</v>
      </c>
    </row>
    <row r="46" spans="1:6" x14ac:dyDescent="0.35">
      <c r="A46" s="3" t="s">
        <v>22</v>
      </c>
      <c r="B46" s="3" t="s">
        <v>24</v>
      </c>
      <c r="C46" s="3" t="s">
        <v>1185</v>
      </c>
      <c r="D46" s="3" t="s">
        <v>1186</v>
      </c>
      <c r="E46" s="3" t="s">
        <v>1187</v>
      </c>
      <c r="F46" s="3" t="s">
        <v>1188</v>
      </c>
    </row>
    <row r="47" spans="1:6" x14ac:dyDescent="0.35">
      <c r="A47" s="2" t="s">
        <v>1129</v>
      </c>
      <c r="B47" s="2" t="str">
        <f>INDEX(Data!$C$2:$C$1286,MATCH(A47,Data!$A$2:$A$1286,0))</f>
        <v>bev</v>
      </c>
      <c r="C47" s="16">
        <f>INDEX(Data!$D$2:$D$1286,MATCH(A47,Data!$A$2:$A$1286,0))</f>
        <v>62.306100000000001</v>
      </c>
      <c r="D47" s="16">
        <f>INDEX(Data!$AN$2:$AN$1286,MATCH(A47,Data!$A$2:$A$1286,0))</f>
        <v>123.35375450646571</v>
      </c>
      <c r="E47" s="7">
        <f>C47/D47</f>
        <v>0.50510096145256911</v>
      </c>
      <c r="F47" s="7">
        <f>INDEX(Data!$AO$2:$AO$1286,MATCH(A47,Data!$A$2:$A$1286,0))/$C$23</f>
        <v>-5.0436957212537745</v>
      </c>
    </row>
    <row r="48" spans="1:6" x14ac:dyDescent="0.35">
      <c r="A48" s="2" t="s">
        <v>919</v>
      </c>
      <c r="B48" s="2" t="str">
        <f>INDEX(Data!$C$2:$C$1286,MATCH(A48,Data!$A$2:$A$1286,0))</f>
        <v>bev</v>
      </c>
      <c r="C48" s="16">
        <f>INDEX(Data!$D$2:$D$1286,MATCH(A48,Data!$A$2:$A$1286,0))</f>
        <v>165.0059</v>
      </c>
      <c r="D48" s="16">
        <f>INDEX(Data!$AN$2:$AN$1286,MATCH(A48,Data!$A$2:$A$1286,0))</f>
        <v>296.94142785411577</v>
      </c>
      <c r="E48" s="7">
        <f>C48/D48</f>
        <v>0.55568500896771356</v>
      </c>
      <c r="F48" s="7">
        <f>INDEX(Data!$AO$2:$AO$1286,MATCH(A48,Data!$A$2:$A$1286,0))/$C$23</f>
        <v>-4.3388802518552367</v>
      </c>
    </row>
    <row r="49" spans="1:6" x14ac:dyDescent="0.35">
      <c r="A49" s="2" t="s">
        <v>989</v>
      </c>
      <c r="B49" s="2" t="str">
        <f>INDEX(Data!$C$2:$C$1286,MATCH(A49,Data!$A$2:$A$1286,0))</f>
        <v>bev</v>
      </c>
      <c r="C49" s="16">
        <f>INDEX(Data!$D$2:$D$1286,MATCH(A49,Data!$A$2:$A$1286,0))</f>
        <v>174.7996</v>
      </c>
      <c r="D49" s="16">
        <f>INDEX(Data!$AN$2:$AN$1286,MATCH(A49,Data!$A$2:$A$1286,0))</f>
        <v>98.681251401375064</v>
      </c>
      <c r="E49" s="7">
        <f>C49/D49</f>
        <v>1.7713557288508834</v>
      </c>
      <c r="F49" s="7">
        <f>INDEX(Data!$AO$2:$AO$1286,MATCH(A49,Data!$A$2:$A$1286,0))/$C$23</f>
        <v>4.2221401505144378</v>
      </c>
    </row>
    <row r="50" spans="1:6" x14ac:dyDescent="0.35">
      <c r="A50" s="2" t="s">
        <v>980</v>
      </c>
      <c r="B50" s="2" t="str">
        <f>INDEX(Data!$C$2:$C$1286,MATCH(A50,Data!$A$2:$A$1286,0))</f>
        <v>bev</v>
      </c>
      <c r="C50" s="16">
        <f>INDEX(Data!$D$2:$D$1286,MATCH(A50,Data!$A$2:$A$1286,0))</f>
        <v>144.96289999999999</v>
      </c>
      <c r="D50" s="16">
        <f>INDEX(Data!$AN$2:$AN$1286,MATCH(A50,Data!$A$2:$A$1286,0))</f>
        <v>84.830325761162413</v>
      </c>
      <c r="E50" s="7">
        <f>C50/D50</f>
        <v>1.708857047279758</v>
      </c>
      <c r="F50" s="7">
        <f>INDEX(Data!$AO$2:$AO$1286,MATCH(A50,Data!$A$2:$A$1286,0))/$C$23</f>
        <v>3.9568800900280654</v>
      </c>
    </row>
    <row r="51" spans="1:6" x14ac:dyDescent="0.35">
      <c r="A51" s="2" t="s">
        <v>920</v>
      </c>
      <c r="B51" s="2" t="str">
        <f>INDEX(Data!$C$2:$C$1286,MATCH(A51,Data!$A$2:$A$1286,0))</f>
        <v>bev</v>
      </c>
      <c r="C51" s="16">
        <f>INDEX(Data!$D$2:$D$1286,MATCH(A51,Data!$A$2:$A$1286,0))</f>
        <v>157.69980000000001</v>
      </c>
      <c r="D51" s="16">
        <f>INDEX(Data!$AN$2:$AN$1286,MATCH(A51,Data!$A$2:$A$1286,0))</f>
        <v>266.19509937777957</v>
      </c>
      <c r="E51" s="7">
        <f>C51/D51</f>
        <v>0.59242187541625302</v>
      </c>
      <c r="F51" s="7">
        <f>INDEX(Data!$AO$2:$AO$1286,MATCH(A51,Data!$A$2:$A$1286,0))/$C$23</f>
        <v>-3.866133901254734</v>
      </c>
    </row>
  </sheetData>
  <mergeCells count="2">
    <mergeCell ref="A12:I12"/>
    <mergeCell ref="A2:I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7"/>
  <sheetViews>
    <sheetView workbookViewId="0"/>
  </sheetViews>
  <sheetFormatPr defaultRowHeight="14.5" x14ac:dyDescent="0.35"/>
  <cols>
    <col min="1" max="1" width="70" customWidth="1"/>
    <col min="2" max="2" width="16" customWidth="1"/>
    <col min="3" max="3" width="14" customWidth="1"/>
    <col min="4" max="4" width="8" customWidth="1"/>
    <col min="5" max="5" width="10" customWidth="1"/>
    <col min="6" max="6" width="22" customWidth="1"/>
    <col min="7" max="7" width="12" customWidth="1"/>
    <col min="8" max="8" width="10" customWidth="1"/>
  </cols>
  <sheetData>
    <row r="1" spans="1:8" ht="17" x14ac:dyDescent="0.4">
      <c r="A1" s="1" t="s">
        <v>1189</v>
      </c>
    </row>
    <row r="2" spans="1:8" x14ac:dyDescent="0.35">
      <c r="A2" s="30" t="s">
        <v>1190</v>
      </c>
      <c r="B2" s="31"/>
      <c r="C2" s="31"/>
      <c r="D2" s="31"/>
      <c r="E2" s="31"/>
      <c r="F2" s="31"/>
      <c r="G2" s="31"/>
      <c r="H2" s="31"/>
    </row>
    <row r="4" spans="1:8" x14ac:dyDescent="0.35">
      <c r="A4" s="3" t="s">
        <v>1191</v>
      </c>
    </row>
    <row r="5" spans="1:8" x14ac:dyDescent="0.35">
      <c r="A5" s="2" t="s">
        <v>1192</v>
      </c>
      <c r="C5" s="5">
        <f>COUNT(Data_Combustion!$H$2:$H$1026)</f>
        <v>1025</v>
      </c>
      <c r="E5" s="3" t="s">
        <v>1148</v>
      </c>
      <c r="F5" s="3" t="s">
        <v>1150</v>
      </c>
      <c r="G5" s="3" t="s">
        <v>1193</v>
      </c>
      <c r="H5" s="3" t="s">
        <v>1194</v>
      </c>
    </row>
    <row r="6" spans="1:8" x14ac:dyDescent="0.35">
      <c r="A6" s="2" t="s">
        <v>1163</v>
      </c>
      <c r="C6" s="6">
        <f>INDEX(LINEST(Data_Combustion!$H$2:$H$1026,Data_Combustion!$I$2:$L$1026,TRUE,TRUE),3,1)</f>
        <v>0.8460374814042213</v>
      </c>
      <c r="E6" s="2" t="s">
        <v>1157</v>
      </c>
      <c r="F6" s="4">
        <f>INDEX(LINEST(Data_Combustion!$H$2:$H$1026,Data_Combustion!$I$2:$L$1026,TRUE,TRUE),1,5)</f>
        <v>8.7774825795810703</v>
      </c>
      <c r="G6" s="4">
        <f>INDEX(LINEST(Data_Combustion!$H$2:$H$1026,Data_Combustion!$I$2:$L$1026,TRUE,TRUE),2,5)</f>
        <v>0.22042489431793663</v>
      </c>
      <c r="H6" s="7">
        <f>F6/G6</f>
        <v>39.820740786748878</v>
      </c>
    </row>
    <row r="7" spans="1:8" x14ac:dyDescent="0.35">
      <c r="A7" s="2" t="s">
        <v>1164</v>
      </c>
      <c r="C7" s="4">
        <f>1-(1-C6)*(C5-1)/(C5-4-1)</f>
        <v>0.84543370682149277</v>
      </c>
      <c r="E7" s="2" t="s">
        <v>1158</v>
      </c>
      <c r="F7" s="4">
        <f>INDEX(LINEST(Data_Combustion!$H$2:$H$1026,Data_Combustion!$I$2:$L$1026,TRUE,TRUE),1,4)</f>
        <v>-0.30375763566221026</v>
      </c>
      <c r="G7" s="4">
        <f>INDEX(LINEST(Data_Combustion!$H$2:$H$1026,Data_Combustion!$I$2:$L$1026,TRUE,TRUE),2,4)</f>
        <v>3.2739555727109446E-2</v>
      </c>
      <c r="H7" s="7">
        <f>F7/G7</f>
        <v>-9.2780011492547168</v>
      </c>
    </row>
    <row r="8" spans="1:8" x14ac:dyDescent="0.35">
      <c r="A8" s="2" t="s">
        <v>1195</v>
      </c>
      <c r="C8" s="11">
        <f>INDEX(LINEST(Data_Combustion!$H$2:$H$1026,Data_Combustion!$I$2:$L$1026,TRUE,TRUE),4,1)</f>
        <v>1401.2472628126488</v>
      </c>
      <c r="E8" s="2" t="s">
        <v>1159</v>
      </c>
      <c r="F8" s="4">
        <f>INDEX(LINEST(Data_Combustion!$H$2:$H$1026,Data_Combustion!$I$2:$L$1026,TRUE,TRUE),1,3)</f>
        <v>-0.48301415977877821</v>
      </c>
      <c r="G8" s="4">
        <f>INDEX(LINEST(Data_Combustion!$H$2:$H$1026,Data_Combustion!$I$2:$L$1026,TRUE,TRUE),2,3)</f>
        <v>1.0100108627226705E-2</v>
      </c>
      <c r="H8" s="7">
        <f>F8/G8</f>
        <v>-47.82266979552324</v>
      </c>
    </row>
    <row r="9" spans="1:8" x14ac:dyDescent="0.35">
      <c r="A9" s="2" t="s">
        <v>1196</v>
      </c>
      <c r="C9" s="5">
        <f>INDEX(LINEST(Data_Combustion!$H$2:$H$1026,Data_Combustion!$I$2:$L$1026,TRUE,TRUE),4,2)</f>
        <v>1020</v>
      </c>
      <c r="E9" s="2" t="s">
        <v>1142</v>
      </c>
      <c r="F9" s="4">
        <f>INDEX(LINEST(Data_Combustion!$H$2:$H$1026,Data_Combustion!$I$2:$L$1026,TRUE,TRUE),1,2)</f>
        <v>-2.2273381991631445E-3</v>
      </c>
      <c r="G9" s="4">
        <f>INDEX(LINEST(Data_Combustion!$H$2:$H$1026,Data_Combustion!$I$2:$L$1026,TRUE,TRUE),2,2)</f>
        <v>7.7527424992056163E-4</v>
      </c>
      <c r="H9" s="7">
        <f>F9/G9</f>
        <v>-2.8729681134016363</v>
      </c>
    </row>
    <row r="10" spans="1:8" x14ac:dyDescent="0.35">
      <c r="A10" s="2" t="s">
        <v>1197</v>
      </c>
      <c r="C10" s="12">
        <f>INDEX(LINEST(Data_Combustion!$H$2:$H$1026,Data_Combustion!$I$2:$L$1026,TRUE,TRUE),5,2)</f>
        <v>13.153763486352727</v>
      </c>
      <c r="E10" s="2" t="s">
        <v>33</v>
      </c>
      <c r="F10" s="4">
        <f>INDEX(LINEST(Data_Combustion!$H$2:$H$1026,Data_Combustion!$I$2:$L$1026,TRUE,TRUE),1,1)</f>
        <v>0.20740283958767011</v>
      </c>
      <c r="G10" s="4">
        <f>INDEX(LINEST(Data_Combustion!$H$2:$H$1026,Data_Combustion!$I$2:$L$1026,TRUE,TRUE),2,1)</f>
        <v>8.7264189111741341E-3</v>
      </c>
      <c r="H10" s="7">
        <f>F10/G10</f>
        <v>23.767233924799537</v>
      </c>
    </row>
    <row r="13" spans="1:8" x14ac:dyDescent="0.35">
      <c r="A13" s="3" t="s">
        <v>1198</v>
      </c>
    </row>
    <row r="14" spans="1:8" x14ac:dyDescent="0.35">
      <c r="A14" s="2" t="s">
        <v>1192</v>
      </c>
      <c r="C14" s="5">
        <f>COUNT(Data!$I$2:$I$1286)</f>
        <v>1285</v>
      </c>
      <c r="E14" s="3" t="s">
        <v>1148</v>
      </c>
      <c r="F14" s="3" t="s">
        <v>1150</v>
      </c>
      <c r="G14" s="3" t="s">
        <v>1193</v>
      </c>
      <c r="H14" s="3" t="s">
        <v>1194</v>
      </c>
    </row>
    <row r="15" spans="1:8" x14ac:dyDescent="0.35">
      <c r="A15" s="2" t="s">
        <v>1163</v>
      </c>
      <c r="C15" s="6">
        <f>INDEX(LINEST(Data!$I$2:$I$1286,Data!$J$2:$N$1286,TRUE,TRUE),3,1)</f>
        <v>0.95462292350754385</v>
      </c>
      <c r="E15" s="2" t="s">
        <v>1157</v>
      </c>
      <c r="F15" s="4">
        <f>INDEX(LINEST(Data!$I$2:$I$1286,Data!$J$2:$N$1286,TRUE,TRUE),1,6)</f>
        <v>9.230549262754943</v>
      </c>
      <c r="G15" s="4">
        <f>INDEX(LINEST(Data!$I$2:$I$1286,Data!$J$2:$N$1286,TRUE,TRUE),2,6)</f>
        <v>0.23866759943266566</v>
      </c>
      <c r="H15" s="7">
        <f t="shared" ref="H15:H20" si="0">F15/G15</f>
        <v>38.675334585409949</v>
      </c>
    </row>
    <row r="16" spans="1:8" x14ac:dyDescent="0.35">
      <c r="A16" s="2" t="s">
        <v>1164</v>
      </c>
      <c r="C16" s="4">
        <f>1-(1-C15)*(C14-1)/(C14-5-1)</f>
        <v>0.95444553071437555</v>
      </c>
      <c r="E16" s="2" t="s">
        <v>1158</v>
      </c>
      <c r="F16" s="4">
        <f>INDEX(LINEST(Data!$I$2:$I$1286,Data!$J$2:$N$1286,TRUE,TRUE),1,5)</f>
        <v>-0.44837274917997172</v>
      </c>
      <c r="G16" s="4">
        <f>INDEX(LINEST(Data!$I$2:$I$1286,Data!$J$2:$N$1286,TRUE,TRUE),2,5)</f>
        <v>3.5585109478639146E-2</v>
      </c>
      <c r="H16" s="7">
        <f t="shared" si="0"/>
        <v>-12.600010390557284</v>
      </c>
    </row>
    <row r="17" spans="1:8" x14ac:dyDescent="0.35">
      <c r="A17" s="2" t="s">
        <v>1195</v>
      </c>
      <c r="C17" s="11">
        <f>INDEX(LINEST(Data!$I$2:$I$1286,Data!$J$2:$N$1286,TRUE,TRUE),4,1)</f>
        <v>5381.4075896631757</v>
      </c>
      <c r="E17" s="2" t="s">
        <v>1159</v>
      </c>
      <c r="F17" s="4">
        <f>INDEX(LINEST(Data!$I$2:$I$1286,Data!$J$2:$N$1286,TRUE,TRUE),1,4)</f>
        <v>-0.36926557131137822</v>
      </c>
      <c r="G17" s="4">
        <f>INDEX(LINEST(Data!$I$2:$I$1286,Data!$J$2:$N$1286,TRUE,TRUE),2,4)</f>
        <v>1.0528194591392514E-2</v>
      </c>
      <c r="H17" s="7">
        <f t="shared" si="0"/>
        <v>-35.073969055746453</v>
      </c>
    </row>
    <row r="18" spans="1:8" x14ac:dyDescent="0.35">
      <c r="A18" s="2" t="s">
        <v>1196</v>
      </c>
      <c r="C18" s="5">
        <f>INDEX(LINEST(Data!$I$2:$I$1286,Data!$J$2:$N$1286,TRUE,TRUE),4,2)</f>
        <v>1279</v>
      </c>
      <c r="E18" s="2" t="s">
        <v>33</v>
      </c>
      <c r="F18" s="4">
        <f>INDEX(LINEST(Data!$I$2:$I$1286,Data!$J$2:$N$1286,TRUE,TRUE),1,3)</f>
        <v>0.22343156200383174</v>
      </c>
      <c r="G18" s="4">
        <f>INDEX(LINEST(Data!$I$2:$I$1286,Data!$J$2:$N$1286,TRUE,TRUE),2,3)</f>
        <v>1.0312194020288186E-2</v>
      </c>
      <c r="H18" s="7">
        <f t="shared" si="0"/>
        <v>21.66673372943265</v>
      </c>
    </row>
    <row r="19" spans="1:8" x14ac:dyDescent="0.35">
      <c r="A19" s="2" t="s">
        <v>1197</v>
      </c>
      <c r="C19" s="12">
        <f>INDEX(LINEST(Data!$I$2:$I$1286,Data!$J$2:$N$1286,TRUE,TRUE),5,2)</f>
        <v>23.471500327858084</v>
      </c>
      <c r="E19" s="2" t="s">
        <v>1160</v>
      </c>
      <c r="F19" s="4">
        <f>INDEX(LINEST(Data!$I$2:$I$1286,Data!$J$2:$N$1286,TRUE,TRUE),1,2)</f>
        <v>1.7073916740687676</v>
      </c>
      <c r="G19" s="4">
        <f>INDEX(LINEST(Data!$I$2:$I$1286,Data!$J$2:$N$1286,TRUE,TRUE),2,2)</f>
        <v>1.1502065037842162E-2</v>
      </c>
      <c r="H19" s="7">
        <f t="shared" si="0"/>
        <v>148.44218568156191</v>
      </c>
    </row>
    <row r="20" spans="1:8" x14ac:dyDescent="0.35">
      <c r="E20" s="2" t="s">
        <v>1142</v>
      </c>
      <c r="F20" s="4">
        <f>INDEX(LINEST(Data!$I$2:$I$1286,Data!$J$2:$N$1286,TRUE,TRUE),1,1)</f>
        <v>-1.4119074264110291E-4</v>
      </c>
      <c r="G20" s="4">
        <f>INDEX(LINEST(Data!$I$2:$I$1286,Data!$J$2:$N$1286,TRUE,TRUE),2,1)</f>
        <v>8.7281770574371652E-4</v>
      </c>
      <c r="H20" s="7">
        <f t="shared" si="0"/>
        <v>-0.16176429707139833</v>
      </c>
    </row>
    <row r="23" spans="1:8" x14ac:dyDescent="0.35">
      <c r="A23" s="3" t="s">
        <v>1199</v>
      </c>
    </row>
    <row r="24" spans="1:8" x14ac:dyDescent="0.35">
      <c r="A24" s="2" t="s">
        <v>1192</v>
      </c>
      <c r="C24" s="5">
        <f>COUNT(Data!$I$2:$I$1286)</f>
        <v>1285</v>
      </c>
      <c r="E24" s="3" t="s">
        <v>1148</v>
      </c>
      <c r="F24" s="3" t="s">
        <v>1150</v>
      </c>
      <c r="G24" s="3" t="s">
        <v>1193</v>
      </c>
      <c r="H24" s="3" t="s">
        <v>1194</v>
      </c>
    </row>
    <row r="25" spans="1:8" x14ac:dyDescent="0.35">
      <c r="A25" s="2" t="s">
        <v>1163</v>
      </c>
      <c r="C25" s="6">
        <f>INDEX(LINEST(Data!$I$2:$I$1286,Data!$Q$2:$T$1286,TRUE,TRUE),3,1)</f>
        <v>0.46508850691349218</v>
      </c>
      <c r="E25" s="2" t="s">
        <v>1157</v>
      </c>
      <c r="F25" s="4">
        <f>INDEX(LINEST(Data!$I$2:$I$1286,Data!$Q$2:$T$1286,TRUE,TRUE),1,5)</f>
        <v>2.4444029244807322</v>
      </c>
      <c r="G25" s="4">
        <f>INDEX(LINEST(Data!$I$2:$I$1286,Data!$Q$2:$T$1286,TRUE,TRUE),2,5)</f>
        <v>0.79475868214959811</v>
      </c>
      <c r="H25" s="7">
        <f>F25/G25</f>
        <v>3.0756542575531376</v>
      </c>
    </row>
    <row r="26" spans="1:8" x14ac:dyDescent="0.35">
      <c r="A26" s="2" t="s">
        <v>1164</v>
      </c>
      <c r="C26" s="4">
        <f>1-(1-C25)*(C24-1)/(C24-4-1)</f>
        <v>0.46341690849759698</v>
      </c>
      <c r="E26" s="2" t="s">
        <v>1158</v>
      </c>
      <c r="F26" s="4">
        <f>INDEX(LINEST(Data!$I$2:$I$1286,Data!$Q$2:$T$1286,TRUE,TRUE),1,4)</f>
        <v>0.37008597809415533</v>
      </c>
      <c r="G26" s="4">
        <f>INDEX(LINEST(Data!$I$2:$I$1286,Data!$Q$2:$T$1286,TRUE,TRUE),2,4)</f>
        <v>0.11976566375750131</v>
      </c>
      <c r="H26" s="7">
        <f>F26/G26</f>
        <v>3.0900841400044063</v>
      </c>
    </row>
    <row r="27" spans="1:8" x14ac:dyDescent="0.35">
      <c r="A27" s="2" t="s">
        <v>1195</v>
      </c>
      <c r="C27" s="11">
        <f>INDEX(LINEST(Data!$I$2:$I$1286,Data!$Q$2:$T$1286,TRUE,TRUE),4,1)</f>
        <v>278.22980836242459</v>
      </c>
      <c r="E27" s="2" t="s">
        <v>1159</v>
      </c>
      <c r="F27" s="4">
        <f>INDEX(LINEST(Data!$I$2:$I$1286,Data!$Q$2:$T$1286,TRUE,TRUE),1,3)</f>
        <v>-0.26610996790974334</v>
      </c>
      <c r="G27" s="4">
        <f>INDEX(LINEST(Data!$I$2:$I$1286,Data!$Q$2:$T$1286,TRUE,TRUE),2,3)</f>
        <v>3.6007319422508663E-2</v>
      </c>
      <c r="H27" s="7">
        <f>F27/G27</f>
        <v>-7.3904409486087541</v>
      </c>
    </row>
    <row r="28" spans="1:8" x14ac:dyDescent="0.35">
      <c r="A28" s="2" t="s">
        <v>1196</v>
      </c>
      <c r="C28" s="5">
        <f>INDEX(LINEST(Data!$I$2:$I$1286,Data!$Q$2:$T$1286,TRUE,TRUE),4,2)</f>
        <v>1280</v>
      </c>
      <c r="E28" s="2" t="s">
        <v>1142</v>
      </c>
      <c r="F28" s="4">
        <f>INDEX(LINEST(Data!$I$2:$I$1286,Data!$Q$2:$T$1286,TRUE,TRUE),1,2)</f>
        <v>-1.3007314542228266E-2</v>
      </c>
      <c r="G28" s="4">
        <f>INDEX(LINEST(Data!$I$2:$I$1286,Data!$Q$2:$T$1286,TRUE,TRUE),2,2)</f>
        <v>2.9718689264842989E-3</v>
      </c>
      <c r="H28" s="7">
        <f>F28/G28</f>
        <v>-4.3768129968019256</v>
      </c>
    </row>
    <row r="29" spans="1:8" x14ac:dyDescent="0.35">
      <c r="A29" s="2" t="s">
        <v>1197</v>
      </c>
      <c r="C29" s="12">
        <f>INDEX(LINEST(Data!$I$2:$I$1286,Data!$Q$2:$T$1286,TRUE,TRUE),5,2)</f>
        <v>276.68541598184083</v>
      </c>
      <c r="E29" s="2" t="s">
        <v>36</v>
      </c>
      <c r="F29" s="4">
        <f>INDEX(LINEST(Data!$I$2:$I$1286,Data!$Q$2:$T$1286,TRUE,TRUE),1,1)</f>
        <v>0.84473992890849603</v>
      </c>
      <c r="G29" s="4">
        <f>INDEX(LINEST(Data!$I$2:$I$1286,Data!$Q$2:$T$1286,TRUE,TRUE),2,1)</f>
        <v>3.0381762576627822E-2</v>
      </c>
      <c r="H29" s="7">
        <f>F29/G29</f>
        <v>27.804177811538171</v>
      </c>
    </row>
    <row r="32" spans="1:8" x14ac:dyDescent="0.35">
      <c r="A32" s="3" t="s">
        <v>1200</v>
      </c>
    </row>
    <row r="33" spans="1:8" x14ac:dyDescent="0.35">
      <c r="A33" s="2" t="s">
        <v>1192</v>
      </c>
      <c r="C33" s="5">
        <f>COUNT(Data!$I$2:$I$1286)</f>
        <v>1285</v>
      </c>
      <c r="E33" s="3" t="s">
        <v>1148</v>
      </c>
      <c r="F33" s="3" t="s">
        <v>1150</v>
      </c>
      <c r="G33" s="3" t="s">
        <v>1193</v>
      </c>
      <c r="H33" s="3" t="s">
        <v>1194</v>
      </c>
    </row>
    <row r="34" spans="1:8" x14ac:dyDescent="0.35">
      <c r="A34" s="2" t="s">
        <v>1163</v>
      </c>
      <c r="C34" s="6">
        <f>INDEX(LINEST(Data!$I$2:$I$1286,Data!$U$2:$X$1286,TRUE,TRUE),3,1)</f>
        <v>0.81354258100097143</v>
      </c>
      <c r="E34" s="2" t="s">
        <v>1157</v>
      </c>
      <c r="F34" s="4">
        <f>INDEX(LINEST(Data!$I$2:$I$1286,Data!$U$2:$X$1286,TRUE,TRUE),1,5)</f>
        <v>9.0244752294328983</v>
      </c>
      <c r="G34" s="4">
        <f>INDEX(LINEST(Data!$I$2:$I$1286,Data!$U$2:$X$1286,TRUE,TRUE),2,5)</f>
        <v>0.48356472824424646</v>
      </c>
      <c r="H34" s="7">
        <f>F34/G34</f>
        <v>18.66239347563554</v>
      </c>
    </row>
    <row r="35" spans="1:8" x14ac:dyDescent="0.35">
      <c r="A35" s="2" t="s">
        <v>1164</v>
      </c>
      <c r="C35" s="4">
        <f>1-(1-C34)*(C33-1)/(C33-4-1)</f>
        <v>0.81295990156659947</v>
      </c>
      <c r="E35" s="2" t="s">
        <v>1158</v>
      </c>
      <c r="F35" s="4">
        <f>INDEX(LINEST(Data!$I$2:$I$1286,Data!$U$2:$X$1286,TRUE,TRUE),1,4)</f>
        <v>-0.5071542061722909</v>
      </c>
      <c r="G35" s="4">
        <f>INDEX(LINEST(Data!$I$2:$I$1286,Data!$U$2:$X$1286,TRUE,TRUE),2,4)</f>
        <v>7.2081052037996751E-2</v>
      </c>
      <c r="H35" s="7">
        <f>F35/G35</f>
        <v>-7.0358879599169839</v>
      </c>
    </row>
    <row r="36" spans="1:8" x14ac:dyDescent="0.35">
      <c r="A36" s="2" t="s">
        <v>1195</v>
      </c>
      <c r="C36" s="11">
        <f>INDEX(LINEST(Data!$I$2:$I$1286,Data!$U$2:$X$1286,TRUE,TRUE),4,1)</f>
        <v>1396.2095330820123</v>
      </c>
      <c r="E36" s="2" t="s">
        <v>1159</v>
      </c>
      <c r="F36" s="4">
        <f>INDEX(LINEST(Data!$I$2:$I$1286,Data!$U$2:$X$1286,TRUE,TRUE),1,3)</f>
        <v>-0.27031534839698024</v>
      </c>
      <c r="G36" s="4">
        <f>INDEX(LINEST(Data!$I$2:$I$1286,Data!$U$2:$X$1286,TRUE,TRUE),2,3)</f>
        <v>2.1094910828404662E-2</v>
      </c>
      <c r="H36" s="7">
        <f>F36/G36</f>
        <v>-12.814244658147402</v>
      </c>
    </row>
    <row r="37" spans="1:8" x14ac:dyDescent="0.35">
      <c r="A37" s="2" t="s">
        <v>1196</v>
      </c>
      <c r="C37" s="5">
        <f>INDEX(LINEST(Data!$I$2:$I$1286,Data!$U$2:$X$1286,TRUE,TRUE),4,2)</f>
        <v>1280</v>
      </c>
      <c r="E37" s="2" t="s">
        <v>1142</v>
      </c>
      <c r="F37" s="4">
        <f>INDEX(LINEST(Data!$I$2:$I$1286,Data!$U$2:$X$1286,TRUE,TRUE),1,2)</f>
        <v>9.7458915639596355E-4</v>
      </c>
      <c r="G37" s="4">
        <f>INDEX(LINEST(Data!$I$2:$I$1286,Data!$U$2:$X$1286,TRUE,TRUE),2,2)</f>
        <v>1.7682194114133031E-3</v>
      </c>
      <c r="H37" s="7">
        <f>F37/G37</f>
        <v>0.55116980964313333</v>
      </c>
    </row>
    <row r="38" spans="1:8" x14ac:dyDescent="0.35">
      <c r="A38" s="2" t="s">
        <v>1197</v>
      </c>
      <c r="C38" s="12">
        <f>INDEX(LINEST(Data!$I$2:$I$1286,Data!$U$2:$X$1286,TRUE,TRUE),5,2)</f>
        <v>96.445952658383604</v>
      </c>
      <c r="E38" s="2" t="s">
        <v>1201</v>
      </c>
      <c r="F38" s="4">
        <f>INDEX(LINEST(Data!$I$2:$I$1286,Data!$U$2:$X$1286,TRUE,TRUE),1,1)</f>
        <v>0.76969357499384294</v>
      </c>
      <c r="G38" s="4">
        <f>INDEX(LINEST(Data!$I$2:$I$1286,Data!$U$2:$X$1286,TRUE,TRUE),2,1)</f>
        <v>1.1336343936364238E-2</v>
      </c>
      <c r="H38" s="7">
        <f>F38/G38</f>
        <v>67.896102951221593</v>
      </c>
    </row>
    <row r="41" spans="1:8" x14ac:dyDescent="0.35">
      <c r="A41" s="3" t="s">
        <v>1202</v>
      </c>
    </row>
    <row r="42" spans="1:8" x14ac:dyDescent="0.35">
      <c r="A42" s="2" t="s">
        <v>1192</v>
      </c>
      <c r="C42" s="5">
        <f>COUNT(Data!$I$2:$I$1286)</f>
        <v>1285</v>
      </c>
      <c r="E42" s="3" t="s">
        <v>1148</v>
      </c>
      <c r="F42" s="3" t="s">
        <v>1150</v>
      </c>
      <c r="G42" s="3" t="s">
        <v>1193</v>
      </c>
      <c r="H42" s="3" t="s">
        <v>1194</v>
      </c>
    </row>
    <row r="43" spans="1:8" x14ac:dyDescent="0.35">
      <c r="A43" s="2" t="s">
        <v>1163</v>
      </c>
      <c r="C43" s="6">
        <f>INDEX(LINEST(Data!$I$2:$I$1286,Data!$Y$2:$AF$1286,TRUE,TRUE),3,1)</f>
        <v>0.96804523408135212</v>
      </c>
      <c r="E43" s="2" t="s">
        <v>1157</v>
      </c>
      <c r="F43" s="4">
        <f>INDEX(LINEST(Data!$I$2:$I$1286,Data!$Y$2:$AF$1286,TRUE,TRUE),1,9)</f>
        <v>8.7774825795810951</v>
      </c>
      <c r="G43" s="4">
        <f>INDEX(LINEST(Data!$I$2:$I$1286,Data!$Y$2:$AF$1286,TRUE,TRUE),2,9)</f>
        <v>0.22091762484019914</v>
      </c>
      <c r="H43" s="7">
        <f t="shared" ref="H43:H51" si="1">F43/G43</f>
        <v>39.731925354214226</v>
      </c>
    </row>
    <row r="44" spans="1:8" x14ac:dyDescent="0.35">
      <c r="A44" s="2" t="s">
        <v>1164</v>
      </c>
      <c r="C44" s="4">
        <f>1-(1-C43)*(C42-1)/(C42-8-1)</f>
        <v>0.9678448907213606</v>
      </c>
      <c r="E44" s="2" t="s">
        <v>1158</v>
      </c>
      <c r="F44" s="4">
        <f>INDEX(LINEST(Data!$I$2:$I$1286,Data!$Y$2:$AF$1286,TRUE,TRUE),1,8)</f>
        <v>-0.30375763566221242</v>
      </c>
      <c r="G44" s="4">
        <f>INDEX(LINEST(Data!$I$2:$I$1286,Data!$Y$2:$AF$1286,TRUE,TRUE),2,8)</f>
        <v>3.2812740647723694E-2</v>
      </c>
      <c r="H44" s="7">
        <f t="shared" si="1"/>
        <v>-9.2573076697049661</v>
      </c>
    </row>
    <row r="45" spans="1:8" x14ac:dyDescent="0.35">
      <c r="A45" s="2" t="s">
        <v>1195</v>
      </c>
      <c r="C45" s="11">
        <f>INDEX(LINEST(Data!$I$2:$I$1286,Data!$Y$2:$AF$1286,TRUE,TRUE),4,1)</f>
        <v>4831.9307119652703</v>
      </c>
      <c r="E45" s="2" t="s">
        <v>1159</v>
      </c>
      <c r="F45" s="4">
        <f>INDEX(LINEST(Data!$I$2:$I$1286,Data!$Y$2:$AF$1286,TRUE,TRUE),1,7)</f>
        <v>-0.48301415977877898</v>
      </c>
      <c r="G45" s="4">
        <f>INDEX(LINEST(Data!$I$2:$I$1286,Data!$Y$2:$AF$1286,TRUE,TRUE),2,7)</f>
        <v>1.0122686076176887E-2</v>
      </c>
      <c r="H45" s="7">
        <f t="shared" si="1"/>
        <v>-47.716007010779762</v>
      </c>
    </row>
    <row r="46" spans="1:8" x14ac:dyDescent="0.35">
      <c r="A46" s="2" t="s">
        <v>1196</v>
      </c>
      <c r="C46" s="5">
        <f>INDEX(LINEST(Data!$I$2:$I$1286,Data!$Y$2:$AF$1286,TRUE,TRUE),4,2)</f>
        <v>1276</v>
      </c>
      <c r="E46" s="2" t="s">
        <v>1142</v>
      </c>
      <c r="F46" s="4">
        <f>INDEX(LINEST(Data!$I$2:$I$1286,Data!$Y$2:$AF$1286,TRUE,TRUE),1,6)</f>
        <v>-2.2273381991631696E-3</v>
      </c>
      <c r="G46" s="4">
        <f>INDEX(LINEST(Data!$I$2:$I$1286,Data!$Y$2:$AF$1286,TRUE,TRUE),2,6)</f>
        <v>7.7700727235091344E-4</v>
      </c>
      <c r="H46" s="7">
        <f t="shared" si="1"/>
        <v>-2.8665602992673858</v>
      </c>
    </row>
    <row r="47" spans="1:8" x14ac:dyDescent="0.35">
      <c r="A47" s="2" t="s">
        <v>1197</v>
      </c>
      <c r="C47" s="12">
        <f>INDEX(LINEST(Data!$I$2:$I$1286,Data!$Y$2:$AF$1286,TRUE,TRUE),5,2)</f>
        <v>16.528748802511831</v>
      </c>
      <c r="E47" s="2" t="s">
        <v>33</v>
      </c>
      <c r="F47" s="4">
        <f>INDEX(LINEST(Data!$I$2:$I$1286,Data!$Y$2:$AF$1286,TRUE,TRUE),1,5)</f>
        <v>0.20740283958767045</v>
      </c>
      <c r="G47" s="4">
        <f>INDEX(LINEST(Data!$I$2:$I$1286,Data!$Y$2:$AF$1286,TRUE,TRUE),2,5)</f>
        <v>8.7459256595425212E-3</v>
      </c>
      <c r="H47" s="7">
        <f t="shared" si="1"/>
        <v>23.714223932532168</v>
      </c>
    </row>
    <row r="48" spans="1:8" x14ac:dyDescent="0.35">
      <c r="E48" s="2" t="s">
        <v>1160</v>
      </c>
      <c r="F48" s="4">
        <f>INDEX(LINEST(Data!$I$2:$I$1286,Data!$Y$2:$AF$1286,TRUE,TRUE),1,4)</f>
        <v>4.8478823635480621</v>
      </c>
      <c r="G48" s="4">
        <f>INDEX(LINEST(Data!$I$2:$I$1286,Data!$Y$2:$AF$1286,TRUE,TRUE),2,4)</f>
        <v>0.5573818367835387</v>
      </c>
      <c r="H48" s="7">
        <f t="shared" si="1"/>
        <v>8.697596591097307</v>
      </c>
    </row>
    <row r="49" spans="1:8" x14ac:dyDescent="0.35">
      <c r="E49" s="2" t="s">
        <v>1203</v>
      </c>
      <c r="F49" s="4">
        <f>INDEX(LINEST(Data!$I$2:$I$1286,Data!$Y$2:$AF$1286,TRUE,TRUE),1,3)</f>
        <v>-0.74934660379649298</v>
      </c>
      <c r="G49" s="4">
        <f>INDEX(LINEST(Data!$I$2:$I$1286,Data!$Y$2:$AF$1286,TRUE,TRUE),2,3)</f>
        <v>8.2563012910209593E-2</v>
      </c>
      <c r="H49" s="7">
        <f t="shared" si="1"/>
        <v>-9.0760569095441781</v>
      </c>
    </row>
    <row r="50" spans="1:8" x14ac:dyDescent="0.35">
      <c r="E50" s="2" t="s">
        <v>1204</v>
      </c>
      <c r="F50" s="4">
        <f>INDEX(LINEST(Data!$I$2:$I$1286,Data!$Y$2:$AF$1286,TRUE,TRUE),1,2)</f>
        <v>0.47474938827349411</v>
      </c>
      <c r="G50" s="4">
        <f>INDEX(LINEST(Data!$I$2:$I$1286,Data!$Y$2:$AF$1286,TRUE,TRUE),2,2)</f>
        <v>2.1309925856597658E-2</v>
      </c>
      <c r="H50" s="7">
        <f t="shared" si="1"/>
        <v>22.278321917601104</v>
      </c>
    </row>
    <row r="51" spans="1:8" x14ac:dyDescent="0.35">
      <c r="E51" s="2" t="s">
        <v>1205</v>
      </c>
      <c r="F51" s="4">
        <f>INDEX(LINEST(Data!$I$2:$I$1286,Data!$Y$2:$AF$1286,TRUE,TRUE),1,1)</f>
        <v>8.5667323595182143E-3</v>
      </c>
      <c r="G51" s="4">
        <f>INDEX(LINEST(Data!$I$2:$I$1286,Data!$Y$2:$AF$1286,TRUE,TRUE),2,1)</f>
        <v>2.4429632909214391E-3</v>
      </c>
      <c r="H51" s="7">
        <f t="shared" si="1"/>
        <v>3.5066971294059055</v>
      </c>
    </row>
    <row r="54" spans="1:8" x14ac:dyDescent="0.35">
      <c r="A54" s="3" t="s">
        <v>1206</v>
      </c>
    </row>
    <row r="55" spans="1:8" x14ac:dyDescent="0.35">
      <c r="A55" s="2" t="s">
        <v>67</v>
      </c>
      <c r="C55" s="18">
        <f>EXP(AVERAGEIF(Data!$C$2:$C$1286,"gas_diesel",Data!$AQ$2:$AQ$1286))-1</f>
        <v>2.6645352591003757E-14</v>
      </c>
    </row>
    <row r="56" spans="1:8" x14ac:dyDescent="0.35">
      <c r="A56" s="2" t="s">
        <v>33</v>
      </c>
      <c r="C56" s="18">
        <f>EXP(AVERAGEIF(Data!$C$2:$C$1286,"hybrid",Data!$AQ$2:$AQ$1286))-1</f>
        <v>-0.49466597792968514</v>
      </c>
    </row>
    <row r="57" spans="1:8" x14ac:dyDescent="0.35">
      <c r="A57" s="2" t="s">
        <v>34</v>
      </c>
      <c r="C57" s="18">
        <f>EXP(AVERAGEIF(Data!$C$2:$C$1286,"bev",Data!$AQ$2:$AQ$1286))-1</f>
        <v>0.92761650421436914</v>
      </c>
    </row>
    <row r="59" spans="1:8" x14ac:dyDescent="0.35">
      <c r="A59" s="3" t="s">
        <v>1207</v>
      </c>
    </row>
    <row r="60" spans="1:8" x14ac:dyDescent="0.35">
      <c r="A60" s="3" t="s">
        <v>1208</v>
      </c>
      <c r="B60" s="3" t="s">
        <v>1209</v>
      </c>
      <c r="C60" s="3" t="s">
        <v>1210</v>
      </c>
      <c r="D60" s="3" t="s">
        <v>1211</v>
      </c>
      <c r="E60" s="3" t="s">
        <v>1212</v>
      </c>
      <c r="F60" s="3" t="s">
        <v>1213</v>
      </c>
      <c r="G60" s="3" t="s">
        <v>1214</v>
      </c>
    </row>
    <row r="61" spans="1:8" x14ac:dyDescent="0.35">
      <c r="A61" s="2" t="s">
        <v>1215</v>
      </c>
      <c r="B61" s="12">
        <f>CER!$C$22</f>
        <v>23.47198054278611</v>
      </c>
      <c r="C61" s="12">
        <f>C19</f>
        <v>23.471500327858084</v>
      </c>
      <c r="D61" s="2">
        <v>1</v>
      </c>
      <c r="E61" s="5">
        <f>C18</f>
        <v>1279</v>
      </c>
      <c r="F61" s="19">
        <f>((B61-C61)/D61)/(C61/E61)</f>
        <v>2.6167687807124869E-2</v>
      </c>
      <c r="G61" s="10">
        <f>_xlfn.F.DIST.RT(F61,D61,E61)</f>
        <v>0.87151701914124469</v>
      </c>
    </row>
    <row r="62" spans="1:8" x14ac:dyDescent="0.35">
      <c r="A62" s="2" t="s">
        <v>1216</v>
      </c>
      <c r="B62" s="12">
        <f>C29</f>
        <v>276.68541598184083</v>
      </c>
      <c r="C62" s="12">
        <f>C19</f>
        <v>23.471500327858084</v>
      </c>
      <c r="D62" s="2">
        <v>1</v>
      </c>
      <c r="E62" s="5">
        <f>C18</f>
        <v>1279</v>
      </c>
      <c r="F62" s="19">
        <f>((B62-C62)/D62)/(C62/E62)</f>
        <v>13798.035643126617</v>
      </c>
      <c r="G62" s="10">
        <f>_xlfn.F.DIST.RT(F62,D62,E62)</f>
        <v>0</v>
      </c>
    </row>
    <row r="63" spans="1:8" x14ac:dyDescent="0.35">
      <c r="A63" s="2" t="s">
        <v>1217</v>
      </c>
      <c r="B63" s="12">
        <f>C19</f>
        <v>23.471500327858084</v>
      </c>
      <c r="C63" s="12">
        <f>C47</f>
        <v>16.528748802511831</v>
      </c>
      <c r="D63" s="2">
        <v>3</v>
      </c>
      <c r="E63" s="5">
        <f>C46</f>
        <v>1276</v>
      </c>
      <c r="F63" s="19">
        <f>((B63-C63)/D63)/(C63/E63)</f>
        <v>178.65742192971371</v>
      </c>
      <c r="G63" s="10">
        <f>_xlfn.F.DIST.RT(F63,D63,E63)</f>
        <v>1.0555202757071632E-96</v>
      </c>
    </row>
    <row r="65" spans="1:3" x14ac:dyDescent="0.35">
      <c r="A65" s="3" t="s">
        <v>1218</v>
      </c>
    </row>
    <row r="66" spans="1:3" x14ac:dyDescent="0.35">
      <c r="A66" s="2" t="s">
        <v>1219</v>
      </c>
      <c r="C66" s="17">
        <f>F44+F49</f>
        <v>-1.0531042394587053</v>
      </c>
    </row>
    <row r="67" spans="1:3" x14ac:dyDescent="0.35">
      <c r="A67" s="2" t="s">
        <v>1220</v>
      </c>
      <c r="C67" s="17">
        <f>F45+F50</f>
        <v>-8.2647715052848736E-3</v>
      </c>
    </row>
  </sheetData>
  <mergeCells count="1">
    <mergeCell ref="A2:H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8"/>
  <sheetViews>
    <sheetView workbookViewId="0"/>
  </sheetViews>
  <sheetFormatPr defaultRowHeight="14.5" x14ac:dyDescent="0.35"/>
  <cols>
    <col min="1" max="1" width="12" customWidth="1"/>
    <col min="2" max="2" width="14" customWidth="1"/>
    <col min="3" max="3" width="16" customWidth="1"/>
    <col min="4" max="4" width="10" customWidth="1"/>
    <col min="5" max="5" width="12" customWidth="1"/>
    <col min="6" max="6" width="10" customWidth="1"/>
    <col min="7" max="7" width="26" customWidth="1"/>
    <col min="8" max="8" width="14" customWidth="1"/>
    <col min="9" max="9" width="2" customWidth="1"/>
    <col min="10" max="10" width="44" customWidth="1"/>
    <col min="11" max="12" width="14" customWidth="1"/>
  </cols>
  <sheetData>
    <row r="1" spans="1:12" ht="17" x14ac:dyDescent="0.4">
      <c r="A1" s="1" t="s">
        <v>1221</v>
      </c>
    </row>
    <row r="2" spans="1:12" ht="32" customHeight="1" x14ac:dyDescent="0.35">
      <c r="A2" s="30" t="s">
        <v>1222</v>
      </c>
      <c r="B2" s="31"/>
      <c r="C2" s="31"/>
      <c r="D2" s="31"/>
      <c r="E2" s="31"/>
      <c r="F2" s="31"/>
      <c r="G2" s="31"/>
      <c r="H2" s="31"/>
    </row>
    <row r="3" spans="1:12" x14ac:dyDescent="0.35">
      <c r="A3" s="3" t="s">
        <v>1223</v>
      </c>
      <c r="C3" s="4">
        <f>ABS(CER!C8)</f>
        <v>0.4527091196253209</v>
      </c>
    </row>
    <row r="4" spans="1:12" x14ac:dyDescent="0.35">
      <c r="A4" s="3" t="s">
        <v>1224</v>
      </c>
      <c r="C4" s="4">
        <f>ABS(CER!C9)</f>
        <v>0.36894371386739439</v>
      </c>
    </row>
    <row r="5" spans="1:12" x14ac:dyDescent="0.35">
      <c r="A5" s="3" t="s">
        <v>1225</v>
      </c>
      <c r="C5" s="5">
        <f>INDEX(C9:C58,MATCH(2024,A9:A58,0))</f>
        <v>4353.7479999999996</v>
      </c>
    </row>
    <row r="6" spans="1:12" x14ac:dyDescent="0.35">
      <c r="A6" s="3" t="s">
        <v>1226</v>
      </c>
      <c r="C6" s="5">
        <f>INDEX(D9:D58,MATCH(2024,A9:A58,0))</f>
        <v>258.01139999999998</v>
      </c>
    </row>
    <row r="8" spans="1:12" x14ac:dyDescent="0.35">
      <c r="A8" s="3" t="s">
        <v>1227</v>
      </c>
      <c r="B8" s="3" t="s">
        <v>1228</v>
      </c>
      <c r="C8" s="3" t="s">
        <v>1229</v>
      </c>
      <c r="D8" s="3" t="s">
        <v>1230</v>
      </c>
      <c r="E8" s="3" t="s">
        <v>1231</v>
      </c>
      <c r="F8" s="3" t="s">
        <v>1232</v>
      </c>
      <c r="G8" s="3" t="s">
        <v>1233</v>
      </c>
      <c r="H8" s="3" t="s">
        <v>1234</v>
      </c>
      <c r="J8" s="3" t="s">
        <v>1235</v>
      </c>
    </row>
    <row r="9" spans="1:12" x14ac:dyDescent="0.35">
      <c r="A9" s="2">
        <v>1975</v>
      </c>
      <c r="B9" s="7">
        <v>13.059699999999999</v>
      </c>
      <c r="C9" s="5">
        <v>4060.3989999999999</v>
      </c>
      <c r="D9" s="16">
        <v>137.33459999999999</v>
      </c>
      <c r="E9" s="12">
        <f t="shared" ref="E9:E40" si="0">(C9/$C$5)^$C$3</f>
        <v>0.96891430811842039</v>
      </c>
      <c r="F9" s="12">
        <f t="shared" ref="F9:F40" si="1">(D9/$C$6)^$C$4</f>
        <v>0.79243102378856756</v>
      </c>
      <c r="G9" s="7">
        <f t="shared" ref="G9:G40" si="2">B9*E9*F9</f>
        <v>10.027208368995325</v>
      </c>
      <c r="H9" s="4">
        <f t="shared" ref="H9:H40" si="3">LN(G9)</f>
        <v>2.3053022351172663</v>
      </c>
      <c r="J9" s="2" t="s">
        <v>1236</v>
      </c>
      <c r="K9" s="3" t="s">
        <v>1237</v>
      </c>
      <c r="L9" s="3" t="s">
        <v>1238</v>
      </c>
    </row>
    <row r="10" spans="1:12" x14ac:dyDescent="0.35">
      <c r="A10" s="2">
        <v>1976</v>
      </c>
      <c r="B10" s="7">
        <v>14.221360000000001</v>
      </c>
      <c r="C10" s="5">
        <v>4079.1979999999999</v>
      </c>
      <c r="D10" s="16">
        <v>135.0839</v>
      </c>
      <c r="E10" s="12">
        <f t="shared" si="0"/>
        <v>0.97094255766844539</v>
      </c>
      <c r="F10" s="12">
        <f t="shared" si="1"/>
        <v>0.78761465970289335</v>
      </c>
      <c r="G10" s="7">
        <f t="shared" si="2"/>
        <v>10.875480611245377</v>
      </c>
      <c r="H10" s="4">
        <f t="shared" si="3"/>
        <v>2.3865107701357218</v>
      </c>
      <c r="J10" s="2" t="s">
        <v>1239</v>
      </c>
      <c r="K10" s="20">
        <f>INDEX(LINEST(H9:H58,A9:A58,TRUE,TRUE),1,1)</f>
        <v>1.7738874161770671E-2</v>
      </c>
      <c r="L10" s="20">
        <f>INDEX(LINEST(H39:H58,A39:A58,TRUE,TRUE),1,1)</f>
        <v>2.1662592261931974E-2</v>
      </c>
    </row>
    <row r="11" spans="1:12" x14ac:dyDescent="0.35">
      <c r="A11" s="2">
        <v>1977</v>
      </c>
      <c r="B11" s="7">
        <v>15.06743</v>
      </c>
      <c r="C11" s="5">
        <v>3981.8180000000002</v>
      </c>
      <c r="D11" s="16">
        <v>135.9847</v>
      </c>
      <c r="E11" s="12">
        <f t="shared" si="0"/>
        <v>0.96037995772395801</v>
      </c>
      <c r="F11" s="12">
        <f t="shared" si="1"/>
        <v>0.78954835145176838</v>
      </c>
      <c r="G11" s="7">
        <f t="shared" si="2"/>
        <v>11.425126090011391</v>
      </c>
      <c r="H11" s="4">
        <f t="shared" si="3"/>
        <v>2.4358149730442169</v>
      </c>
      <c r="J11" s="2" t="s">
        <v>1157</v>
      </c>
      <c r="K11" s="12">
        <f>INDEX(LINEST(H9:H58,A9:A58,TRUE,TRUE),1,2)</f>
        <v>-32.634981374279434</v>
      </c>
      <c r="L11" s="12">
        <f>INDEX(LINEST(H39:H58,A39:A58,TRUE,TRUE),1,2)</f>
        <v>-40.538340561637689</v>
      </c>
    </row>
    <row r="12" spans="1:12" x14ac:dyDescent="0.35">
      <c r="A12" s="2">
        <v>1978</v>
      </c>
      <c r="B12" s="7">
        <v>15.837770000000001</v>
      </c>
      <c r="C12" s="5">
        <v>3715.2379999999998</v>
      </c>
      <c r="D12" s="16">
        <v>129.0248</v>
      </c>
      <c r="E12" s="12">
        <f t="shared" si="0"/>
        <v>0.93071971482950222</v>
      </c>
      <c r="F12" s="12">
        <f t="shared" si="1"/>
        <v>0.77439153435211217</v>
      </c>
      <c r="G12" s="7">
        <f t="shared" si="2"/>
        <v>11.414937599940602</v>
      </c>
      <c r="H12" s="4">
        <f t="shared" si="3"/>
        <v>2.4349228134701555</v>
      </c>
      <c r="J12" s="2" t="s">
        <v>1240</v>
      </c>
      <c r="K12" s="17">
        <f>INDEX(LINEST(H9:H58,A9:A58,TRUE,TRUE),3,1)</f>
        <v>0.97954874315910934</v>
      </c>
      <c r="L12" s="17">
        <f>INDEX(LINEST(H39:H58,A39:A58,TRUE,TRUE),3,1)</f>
        <v>0.98473021566451691</v>
      </c>
    </row>
    <row r="13" spans="1:12" x14ac:dyDescent="0.35">
      <c r="A13" s="2">
        <v>1979</v>
      </c>
      <c r="B13" s="7">
        <v>15.912710000000001</v>
      </c>
      <c r="C13" s="5">
        <v>3655.4650000000001</v>
      </c>
      <c r="D13" s="16">
        <v>123.59220000000001</v>
      </c>
      <c r="E13" s="12">
        <f t="shared" si="0"/>
        <v>0.92391076166997155</v>
      </c>
      <c r="F13" s="12">
        <f t="shared" si="1"/>
        <v>0.76219824000559233</v>
      </c>
      <c r="G13" s="7">
        <f t="shared" si="2"/>
        <v>11.205780609945247</v>
      </c>
      <c r="H13" s="4">
        <f t="shared" si="3"/>
        <v>2.4164297710418632</v>
      </c>
      <c r="J13" s="2" t="s">
        <v>1241</v>
      </c>
      <c r="K13" s="21">
        <f>EXP(K10)-1</f>
        <v>1.7897142438697111E-2</v>
      </c>
      <c r="L13" s="21">
        <f>EXP(L10)-1</f>
        <v>2.1898929688973556E-2</v>
      </c>
    </row>
    <row r="14" spans="1:12" x14ac:dyDescent="0.35">
      <c r="A14" s="2">
        <v>1980</v>
      </c>
      <c r="B14" s="7">
        <v>19.164929999999998</v>
      </c>
      <c r="C14" s="5">
        <v>3227.8760000000002</v>
      </c>
      <c r="D14" s="16">
        <v>103.8276</v>
      </c>
      <c r="E14" s="12">
        <f t="shared" si="0"/>
        <v>0.87331729155163074</v>
      </c>
      <c r="F14" s="12">
        <f t="shared" si="1"/>
        <v>0.71473809100957453</v>
      </c>
      <c r="G14" s="7">
        <f t="shared" si="2"/>
        <v>11.962617715935188</v>
      </c>
      <c r="H14" s="4">
        <f t="shared" si="3"/>
        <v>2.4817865971432109</v>
      </c>
      <c r="J14" s="2" t="s">
        <v>1242</v>
      </c>
      <c r="K14" s="16">
        <f>EXP(K11+K10*2035)</f>
        <v>31.932603620782114</v>
      </c>
      <c r="L14" s="16">
        <f>EXP(L11+L10*2035)</f>
        <v>34.640887062073489</v>
      </c>
    </row>
    <row r="15" spans="1:12" x14ac:dyDescent="0.35">
      <c r="A15" s="2">
        <v>1981</v>
      </c>
      <c r="B15" s="7">
        <v>20.520569999999999</v>
      </c>
      <c r="C15" s="5">
        <v>3201.759</v>
      </c>
      <c r="D15" s="16">
        <v>102.1236</v>
      </c>
      <c r="E15" s="12">
        <f t="shared" si="0"/>
        <v>0.87011130071970744</v>
      </c>
      <c r="F15" s="12">
        <f t="shared" si="1"/>
        <v>0.71038771151363522</v>
      </c>
      <c r="G15" s="7">
        <f t="shared" si="2"/>
        <v>12.684100355296467</v>
      </c>
      <c r="H15" s="4">
        <f t="shared" si="3"/>
        <v>2.5403492686044724</v>
      </c>
      <c r="J15" s="2" t="s">
        <v>1243</v>
      </c>
      <c r="K15" s="22">
        <f>EXP(K11+K10*2045)</f>
        <v>38.130568624427795</v>
      </c>
      <c r="L15" s="22">
        <f>EXP(L11+L10*2045)</f>
        <v>43.019805987706228</v>
      </c>
    </row>
    <row r="16" spans="1:12" x14ac:dyDescent="0.35">
      <c r="A16" s="2">
        <v>1982</v>
      </c>
      <c r="B16" s="7">
        <v>21.072050000000001</v>
      </c>
      <c r="C16" s="5">
        <v>3201.8429999999998</v>
      </c>
      <c r="D16" s="16">
        <v>102.9528</v>
      </c>
      <c r="E16" s="12">
        <f t="shared" si="0"/>
        <v>0.87012163503200657</v>
      </c>
      <c r="F16" s="12">
        <f t="shared" si="1"/>
        <v>0.71251036723737382</v>
      </c>
      <c r="G16" s="7">
        <f t="shared" si="2"/>
        <v>13.064053287980594</v>
      </c>
      <c r="H16" s="4">
        <f t="shared" si="3"/>
        <v>2.5698644346540727</v>
      </c>
    </row>
    <row r="17" spans="1:12" x14ac:dyDescent="0.35">
      <c r="A17" s="2">
        <v>1983</v>
      </c>
      <c r="B17" s="7">
        <v>20.952390000000001</v>
      </c>
      <c r="C17" s="5">
        <v>3257.34</v>
      </c>
      <c r="D17" s="16">
        <v>106.9483</v>
      </c>
      <c r="E17" s="12">
        <f t="shared" si="0"/>
        <v>0.87691714735088866</v>
      </c>
      <c r="F17" s="12">
        <f t="shared" si="1"/>
        <v>0.72258998649044692</v>
      </c>
      <c r="G17" s="7">
        <f t="shared" si="2"/>
        <v>13.276514392528723</v>
      </c>
      <c r="H17" s="4">
        <f t="shared" si="3"/>
        <v>2.5859966391547786</v>
      </c>
      <c r="J17" s="3" t="s">
        <v>1244</v>
      </c>
      <c r="K17" s="3" t="s">
        <v>1245</v>
      </c>
      <c r="L17" s="3" t="s">
        <v>1246</v>
      </c>
    </row>
    <row r="18" spans="1:12" x14ac:dyDescent="0.35">
      <c r="A18" s="2">
        <v>1984</v>
      </c>
      <c r="B18" s="7">
        <v>21.000229999999998</v>
      </c>
      <c r="C18" s="5">
        <v>3261.576</v>
      </c>
      <c r="D18" s="16">
        <v>108.5963</v>
      </c>
      <c r="E18" s="12">
        <f t="shared" si="0"/>
        <v>0.87743322635647236</v>
      </c>
      <c r="F18" s="12">
        <f t="shared" si="1"/>
        <v>0.72667822526389236</v>
      </c>
      <c r="G18" s="7">
        <f t="shared" si="2"/>
        <v>13.389990664714675</v>
      </c>
      <c r="H18" s="4">
        <f t="shared" si="3"/>
        <v>2.5945074625194682</v>
      </c>
      <c r="J18" s="2">
        <v>1975</v>
      </c>
      <c r="K18" s="16">
        <f>INDEX(B9:B58,MATCH(J18,A9:A58,0))</f>
        <v>13.059699999999999</v>
      </c>
      <c r="L18" s="22">
        <f>INDEX(G9:G58,MATCH(J18,A9:A58,0))</f>
        <v>10.027208368995325</v>
      </c>
    </row>
    <row r="19" spans="1:12" x14ac:dyDescent="0.35">
      <c r="A19" s="2">
        <v>1985</v>
      </c>
      <c r="B19" s="7">
        <v>21.319420000000001</v>
      </c>
      <c r="C19" s="5">
        <v>3271.127</v>
      </c>
      <c r="D19" s="16">
        <v>114.1306</v>
      </c>
      <c r="E19" s="12">
        <f t="shared" si="0"/>
        <v>0.87859549637621015</v>
      </c>
      <c r="F19" s="12">
        <f t="shared" si="1"/>
        <v>0.74012753452407276</v>
      </c>
      <c r="G19" s="7">
        <f t="shared" si="2"/>
        <v>13.86343720188227</v>
      </c>
      <c r="H19" s="4">
        <f t="shared" si="3"/>
        <v>2.6292549573800383</v>
      </c>
      <c r="J19" s="2">
        <v>1987</v>
      </c>
      <c r="K19" s="16">
        <f>INDEX(B9:B58,MATCH(J19,A9:A58,0))</f>
        <v>21.971969999999999</v>
      </c>
      <c r="L19" s="22">
        <f>INDEX(G9:G58,MATCH(J19,A9:A58,0))</f>
        <v>14.346651135410283</v>
      </c>
    </row>
    <row r="20" spans="1:12" x14ac:dyDescent="0.35">
      <c r="A20" s="2">
        <v>1986</v>
      </c>
      <c r="B20" s="7">
        <v>21.844329999999999</v>
      </c>
      <c r="C20" s="5">
        <v>3237.9740000000002</v>
      </c>
      <c r="D20" s="16">
        <v>114.3758</v>
      </c>
      <c r="E20" s="12">
        <f t="shared" si="0"/>
        <v>0.87455306392411414</v>
      </c>
      <c r="F20" s="12">
        <f t="shared" si="1"/>
        <v>0.74071379536102633</v>
      </c>
      <c r="G20" s="7">
        <f t="shared" si="2"/>
        <v>14.150615405787011</v>
      </c>
      <c r="H20" s="4">
        <f t="shared" si="3"/>
        <v>2.6497581147185691</v>
      </c>
      <c r="J20" s="2">
        <v>2004</v>
      </c>
      <c r="K20" s="16">
        <f>INDEX(B9:B58,MATCH(J20,A9:A58,0))</f>
        <v>19.2986</v>
      </c>
      <c r="L20" s="22">
        <f>INDEX(G9:G58,MATCH(J20,A9:A58,0))</f>
        <v>17.444399217705261</v>
      </c>
    </row>
    <row r="21" spans="1:12" x14ac:dyDescent="0.35">
      <c r="A21" s="2">
        <v>1987</v>
      </c>
      <c r="B21" s="7">
        <v>21.971969999999999</v>
      </c>
      <c r="C21" s="5">
        <v>3220.5070000000001</v>
      </c>
      <c r="D21" s="16">
        <v>117.6397</v>
      </c>
      <c r="E21" s="12">
        <f t="shared" si="0"/>
        <v>0.87241415262748212</v>
      </c>
      <c r="F21" s="12">
        <f t="shared" si="1"/>
        <v>0.74844318485627714</v>
      </c>
      <c r="G21" s="7">
        <f t="shared" si="2"/>
        <v>14.346651135410283</v>
      </c>
      <c r="H21" s="4">
        <f t="shared" si="3"/>
        <v>2.6635165446158475</v>
      </c>
      <c r="J21" s="2">
        <v>2024</v>
      </c>
      <c r="K21" s="16">
        <f>INDEX(B9:B58,MATCH(J21,A9:A58,0))</f>
        <v>27.24521</v>
      </c>
      <c r="L21" s="22">
        <f>INDEX(G9:G58,MATCH(J21,A9:A58,0))</f>
        <v>27.24521</v>
      </c>
    </row>
    <row r="22" spans="1:12" x14ac:dyDescent="0.35">
      <c r="A22" s="2">
        <v>1988</v>
      </c>
      <c r="B22" s="7">
        <v>21.863530000000001</v>
      </c>
      <c r="C22" s="5">
        <v>3283.4650000000001</v>
      </c>
      <c r="D22" s="16">
        <v>123.46899999999999</v>
      </c>
      <c r="E22" s="12">
        <f t="shared" si="0"/>
        <v>0.88009417311272842</v>
      </c>
      <c r="F22" s="12">
        <f t="shared" si="1"/>
        <v>0.76191783591075446</v>
      </c>
      <c r="G22" s="7">
        <f t="shared" si="2"/>
        <v>14.660796603227778</v>
      </c>
      <c r="H22" s="4">
        <f t="shared" si="3"/>
        <v>2.6851770335380025</v>
      </c>
    </row>
    <row r="23" spans="1:12" x14ac:dyDescent="0.35">
      <c r="A23" s="2">
        <v>1989</v>
      </c>
      <c r="B23" s="7">
        <v>21.420490000000001</v>
      </c>
      <c r="C23" s="5">
        <v>3351.4569999999999</v>
      </c>
      <c r="D23" s="16">
        <v>128.74799999999999</v>
      </c>
      <c r="E23" s="12">
        <f t="shared" si="0"/>
        <v>0.88829829267345439</v>
      </c>
      <c r="F23" s="12">
        <f t="shared" si="1"/>
        <v>0.7737781851212322</v>
      </c>
      <c r="G23" s="7">
        <f t="shared" si="2"/>
        <v>14.723284708351702</v>
      </c>
      <c r="H23" s="4">
        <f t="shared" si="3"/>
        <v>2.6894302343551821</v>
      </c>
      <c r="J23" s="3" t="s">
        <v>1247</v>
      </c>
    </row>
    <row r="24" spans="1:12" x14ac:dyDescent="0.35">
      <c r="A24" s="2">
        <v>1990</v>
      </c>
      <c r="B24" s="7">
        <v>21.157520000000002</v>
      </c>
      <c r="C24" s="5">
        <v>3426.038</v>
      </c>
      <c r="D24" s="16">
        <v>135.34219999999999</v>
      </c>
      <c r="E24" s="12">
        <f t="shared" si="0"/>
        <v>0.89719337568693258</v>
      </c>
      <c r="F24" s="12">
        <f t="shared" si="1"/>
        <v>0.78816996637228931</v>
      </c>
      <c r="G24" s="7">
        <f t="shared" si="2"/>
        <v>14.961347157911549</v>
      </c>
      <c r="H24" s="4">
        <f t="shared" si="3"/>
        <v>2.7054700191545504</v>
      </c>
      <c r="J24" s="2" t="s">
        <v>1248</v>
      </c>
      <c r="K24" s="16">
        <f>B21</f>
        <v>21.971969999999999</v>
      </c>
    </row>
    <row r="25" spans="1:12" x14ac:dyDescent="0.35">
      <c r="A25" s="2">
        <v>1991</v>
      </c>
      <c r="B25" s="7">
        <v>21.256419999999999</v>
      </c>
      <c r="C25" s="5">
        <v>3409.5549999999998</v>
      </c>
      <c r="D25" s="16">
        <v>137.9169</v>
      </c>
      <c r="E25" s="12">
        <f t="shared" si="0"/>
        <v>0.89523668492967434</v>
      </c>
      <c r="F25" s="12">
        <f t="shared" si="1"/>
        <v>0.79366898871087233</v>
      </c>
      <c r="G25" s="7">
        <f t="shared" si="2"/>
        <v>15.103145429317381</v>
      </c>
      <c r="H25" s="4">
        <f t="shared" si="3"/>
        <v>2.7149030287053861</v>
      </c>
      <c r="J25" s="2" t="s">
        <v>1249</v>
      </c>
      <c r="K25" s="12">
        <f>E21</f>
        <v>0.87241415262748212</v>
      </c>
    </row>
    <row r="26" spans="1:12" x14ac:dyDescent="0.35">
      <c r="A26" s="2">
        <v>1992</v>
      </c>
      <c r="B26" s="7">
        <v>20.79365</v>
      </c>
      <c r="C26" s="5">
        <v>3512.3049999999998</v>
      </c>
      <c r="D26" s="16">
        <v>145.25720000000001</v>
      </c>
      <c r="E26" s="12">
        <f t="shared" si="0"/>
        <v>0.90735103262046068</v>
      </c>
      <c r="F26" s="12">
        <f t="shared" si="1"/>
        <v>0.8089991973511359</v>
      </c>
      <c r="G26" s="7">
        <f t="shared" si="2"/>
        <v>15.26350095406546</v>
      </c>
      <c r="H26" s="4">
        <f t="shared" si="3"/>
        <v>2.7254644198623317</v>
      </c>
      <c r="J26" s="2" t="s">
        <v>1250</v>
      </c>
      <c r="K26" s="12">
        <f>F21</f>
        <v>0.74844318485627714</v>
      </c>
    </row>
    <row r="27" spans="1:12" x14ac:dyDescent="0.35">
      <c r="A27" s="2">
        <v>1993</v>
      </c>
      <c r="B27" s="7">
        <v>20.8794</v>
      </c>
      <c r="C27" s="5">
        <v>3518.93</v>
      </c>
      <c r="D27" s="16">
        <v>146.84059999999999</v>
      </c>
      <c r="E27" s="12">
        <f t="shared" si="0"/>
        <v>0.90812543064712681</v>
      </c>
      <c r="F27" s="12">
        <f t="shared" si="1"/>
        <v>0.81224165029465423</v>
      </c>
      <c r="G27" s="7">
        <f t="shared" si="2"/>
        <v>15.401006621536</v>
      </c>
      <c r="H27" s="4">
        <f t="shared" si="3"/>
        <v>2.7344328723181879</v>
      </c>
      <c r="J27" s="2" t="s">
        <v>1251</v>
      </c>
      <c r="K27" s="22">
        <f>G21</f>
        <v>14.346651135410283</v>
      </c>
    </row>
    <row r="28" spans="1:12" x14ac:dyDescent="0.35">
      <c r="A28" s="2">
        <v>1994</v>
      </c>
      <c r="B28" s="7">
        <v>20.377520000000001</v>
      </c>
      <c r="C28" s="5">
        <v>3603.4319999999998</v>
      </c>
      <c r="D28" s="16">
        <v>152.28229999999999</v>
      </c>
      <c r="E28" s="12">
        <f t="shared" si="0"/>
        <v>0.91793371913459665</v>
      </c>
      <c r="F28" s="12">
        <f t="shared" si="1"/>
        <v>0.82321973906590551</v>
      </c>
      <c r="G28" s="7">
        <f t="shared" si="2"/>
        <v>15.398500334810244</v>
      </c>
      <c r="H28" s="4">
        <f t="shared" si="3"/>
        <v>2.7342701238212825</v>
      </c>
    </row>
    <row r="29" spans="1:12" x14ac:dyDescent="0.35">
      <c r="A29" s="2">
        <v>1995</v>
      </c>
      <c r="B29" s="7">
        <v>20.48563</v>
      </c>
      <c r="C29" s="5">
        <v>3612.509</v>
      </c>
      <c r="D29" s="16">
        <v>158.18889999999999</v>
      </c>
      <c r="E29" s="12">
        <f t="shared" si="0"/>
        <v>0.9189797812968088</v>
      </c>
      <c r="F29" s="12">
        <f t="shared" si="1"/>
        <v>0.83485903703512143</v>
      </c>
      <c r="G29" s="7">
        <f t="shared" si="2"/>
        <v>15.716955862071501</v>
      </c>
      <c r="H29" s="4">
        <f t="shared" si="3"/>
        <v>2.7547401207980498</v>
      </c>
    </row>
    <row r="30" spans="1:12" x14ac:dyDescent="0.35">
      <c r="A30" s="2">
        <v>1996</v>
      </c>
      <c r="B30" s="7">
        <v>20.43168</v>
      </c>
      <c r="C30" s="5">
        <v>3658.7860000000001</v>
      </c>
      <c r="D30" s="16">
        <v>163.9606</v>
      </c>
      <c r="E30" s="12">
        <f t="shared" si="0"/>
        <v>0.92429066017352501</v>
      </c>
      <c r="F30" s="12">
        <f t="shared" si="1"/>
        <v>0.84597047370925127</v>
      </c>
      <c r="G30" s="7">
        <f t="shared" si="2"/>
        <v>15.975992503903266</v>
      </c>
      <c r="H30" s="4">
        <f t="shared" si="3"/>
        <v>2.7710871269035433</v>
      </c>
    </row>
    <row r="31" spans="1:12" x14ac:dyDescent="0.35">
      <c r="A31" s="2">
        <v>1997</v>
      </c>
      <c r="B31" s="7">
        <v>20.150379999999998</v>
      </c>
      <c r="C31" s="5">
        <v>3727.2849999999999</v>
      </c>
      <c r="D31" s="16">
        <v>169.24090000000001</v>
      </c>
      <c r="E31" s="12">
        <f t="shared" si="0"/>
        <v>0.93208475534304402</v>
      </c>
      <c r="F31" s="12">
        <f t="shared" si="1"/>
        <v>0.85592166804640657</v>
      </c>
      <c r="G31" s="7">
        <f t="shared" si="2"/>
        <v>16.075802662644627</v>
      </c>
      <c r="H31" s="4">
        <f t="shared" si="3"/>
        <v>2.7773152012344684</v>
      </c>
    </row>
    <row r="32" spans="1:12" x14ac:dyDescent="0.35">
      <c r="A32" s="2">
        <v>1998</v>
      </c>
      <c r="B32" s="7">
        <v>20.09648</v>
      </c>
      <c r="C32" s="5">
        <v>3744.0050000000001</v>
      </c>
      <c r="D32" s="16">
        <v>171.471</v>
      </c>
      <c r="E32" s="12">
        <f t="shared" si="0"/>
        <v>0.93397529640472643</v>
      </c>
      <c r="F32" s="12">
        <f t="shared" si="1"/>
        <v>0.86006563782235557</v>
      </c>
      <c r="G32" s="7">
        <f t="shared" si="2"/>
        <v>16.143101640346632</v>
      </c>
      <c r="H32" s="4">
        <f t="shared" si="3"/>
        <v>2.7814928154045107</v>
      </c>
    </row>
    <row r="33" spans="1:8" x14ac:dyDescent="0.35">
      <c r="A33" s="2">
        <v>1999</v>
      </c>
      <c r="B33" s="7">
        <v>19.695060000000002</v>
      </c>
      <c r="C33" s="5">
        <v>3835.375</v>
      </c>
      <c r="D33" s="16">
        <v>178.90199999999999</v>
      </c>
      <c r="E33" s="12">
        <f t="shared" si="0"/>
        <v>0.94422586648410423</v>
      </c>
      <c r="F33" s="12">
        <f t="shared" si="1"/>
        <v>0.87363335258492325</v>
      </c>
      <c r="G33" s="7">
        <f t="shared" si="2"/>
        <v>16.246596982263959</v>
      </c>
      <c r="H33" s="4">
        <f t="shared" si="3"/>
        <v>2.7878834703689903</v>
      </c>
    </row>
    <row r="34" spans="1:8" x14ac:dyDescent="0.35">
      <c r="A34" s="2">
        <v>2000</v>
      </c>
      <c r="B34" s="7">
        <v>19.76896</v>
      </c>
      <c r="C34" s="5">
        <v>3821.2860000000001</v>
      </c>
      <c r="D34" s="16">
        <v>180.98609999999999</v>
      </c>
      <c r="E34" s="12">
        <f t="shared" si="0"/>
        <v>0.94265403985292262</v>
      </c>
      <c r="F34" s="12">
        <f t="shared" si="1"/>
        <v>0.87737448833293996</v>
      </c>
      <c r="G34" s="7">
        <f t="shared" si="2"/>
        <v>16.350128035433695</v>
      </c>
      <c r="H34" s="4">
        <f t="shared" si="3"/>
        <v>2.7942357282259769</v>
      </c>
    </row>
    <row r="35" spans="1:8" x14ac:dyDescent="0.35">
      <c r="A35" s="2">
        <v>2001</v>
      </c>
      <c r="B35" s="7">
        <v>19.623629999999999</v>
      </c>
      <c r="C35" s="5">
        <v>3879.288</v>
      </c>
      <c r="D35" s="16">
        <v>186.9203</v>
      </c>
      <c r="E35" s="12">
        <f t="shared" si="0"/>
        <v>0.94910480777024897</v>
      </c>
      <c r="F35" s="12">
        <f t="shared" si="1"/>
        <v>0.88788018509543176</v>
      </c>
      <c r="G35" s="7">
        <f t="shared" si="2"/>
        <v>16.536663303658216</v>
      </c>
      <c r="H35" s="4">
        <f t="shared" si="3"/>
        <v>2.8055799342780592</v>
      </c>
    </row>
    <row r="36" spans="1:8" x14ac:dyDescent="0.35">
      <c r="A36" s="2">
        <v>2002</v>
      </c>
      <c r="B36" s="7">
        <v>19.45354</v>
      </c>
      <c r="C36" s="5">
        <v>3950.9319999999998</v>
      </c>
      <c r="D36" s="16">
        <v>195.4821</v>
      </c>
      <c r="E36" s="12">
        <f t="shared" si="0"/>
        <v>0.95700034334997597</v>
      </c>
      <c r="F36" s="12">
        <f t="shared" si="1"/>
        <v>0.90267312675353972</v>
      </c>
      <c r="G36" s="7">
        <f t="shared" si="2"/>
        <v>16.805105733051427</v>
      </c>
      <c r="H36" s="4">
        <f t="shared" si="3"/>
        <v>2.8216827529187416</v>
      </c>
    </row>
    <row r="37" spans="1:8" x14ac:dyDescent="0.35">
      <c r="A37" s="2">
        <v>2003</v>
      </c>
      <c r="B37" s="7">
        <v>19.584510000000002</v>
      </c>
      <c r="C37" s="5">
        <v>3998.835</v>
      </c>
      <c r="D37" s="16">
        <v>198.57839999999999</v>
      </c>
      <c r="E37" s="12">
        <f t="shared" si="0"/>
        <v>0.96223586746005996</v>
      </c>
      <c r="F37" s="12">
        <f t="shared" si="1"/>
        <v>0.90792203911502845</v>
      </c>
      <c r="G37" s="7">
        <f t="shared" si="2"/>
        <v>17.109716349034191</v>
      </c>
      <c r="H37" s="4">
        <f t="shared" si="3"/>
        <v>2.8396465096856902</v>
      </c>
    </row>
    <row r="38" spans="1:8" x14ac:dyDescent="0.35">
      <c r="A38" s="2">
        <v>2004</v>
      </c>
      <c r="B38" s="7">
        <v>19.2986</v>
      </c>
      <c r="C38" s="5">
        <v>4111.0720000000001</v>
      </c>
      <c r="D38" s="16">
        <v>210.52119999999999</v>
      </c>
      <c r="E38" s="12">
        <f t="shared" si="0"/>
        <v>0.97436983057920901</v>
      </c>
      <c r="F38" s="12">
        <f t="shared" si="1"/>
        <v>0.9276974950755642</v>
      </c>
      <c r="G38" s="7">
        <f t="shared" si="2"/>
        <v>17.444399217705261</v>
      </c>
      <c r="H38" s="4">
        <f t="shared" si="3"/>
        <v>2.859018635393106</v>
      </c>
    </row>
    <row r="39" spans="1:8" x14ac:dyDescent="0.35">
      <c r="A39" s="2">
        <v>2005</v>
      </c>
      <c r="B39" s="7">
        <v>19.883749999999999</v>
      </c>
      <c r="C39" s="5">
        <v>4059.4409999999998</v>
      </c>
      <c r="D39" s="16">
        <v>209.09530000000001</v>
      </c>
      <c r="E39" s="12">
        <f t="shared" si="0"/>
        <v>0.96881081071566955</v>
      </c>
      <c r="F39" s="12">
        <f t="shared" si="1"/>
        <v>0.92537427521717674</v>
      </c>
      <c r="G39" s="7">
        <f t="shared" si="2"/>
        <v>17.826032445813642</v>
      </c>
      <c r="H39" s="4">
        <f t="shared" si="3"/>
        <v>2.8806598858467569</v>
      </c>
    </row>
    <row r="40" spans="1:8" x14ac:dyDescent="0.35">
      <c r="A40" s="2">
        <v>2006</v>
      </c>
      <c r="B40" s="7">
        <v>20.133299999999998</v>
      </c>
      <c r="C40" s="5">
        <v>4066.5329999999999</v>
      </c>
      <c r="D40" s="16">
        <v>213.1841</v>
      </c>
      <c r="E40" s="12">
        <f t="shared" si="0"/>
        <v>0.96957667748721144</v>
      </c>
      <c r="F40" s="12">
        <f t="shared" si="1"/>
        <v>0.93200971190512683</v>
      </c>
      <c r="G40" s="7">
        <f t="shared" si="2"/>
        <v>18.193554792580361</v>
      </c>
      <c r="H40" s="4">
        <f t="shared" si="3"/>
        <v>2.901067399087303</v>
      </c>
    </row>
    <row r="41" spans="1:8" x14ac:dyDescent="0.35">
      <c r="A41" s="2">
        <v>2007</v>
      </c>
      <c r="B41" s="7">
        <v>20.603899999999999</v>
      </c>
      <c r="C41" s="5">
        <v>4093.3150000000001</v>
      </c>
      <c r="D41" s="16">
        <v>216.9897</v>
      </c>
      <c r="E41" s="12">
        <f t="shared" ref="E41:E58" si="4">(C41/$C$5)^$C$3</f>
        <v>0.97246229896545477</v>
      </c>
      <c r="F41" s="12">
        <f t="shared" ref="F41:F58" si="5">(D41/$C$6)^$C$4</f>
        <v>0.9381137800207987</v>
      </c>
      <c r="G41" s="7">
        <f t="shared" ref="G41:G72" si="6">B41*E41*F41</f>
        <v>18.796531727234616</v>
      </c>
      <c r="H41" s="4">
        <f t="shared" ref="H41:H72" si="7">LN(G41)</f>
        <v>2.9336723702229932</v>
      </c>
    </row>
    <row r="42" spans="1:8" x14ac:dyDescent="0.35">
      <c r="A42" s="2">
        <v>2008</v>
      </c>
      <c r="B42" s="7">
        <v>20.968330000000002</v>
      </c>
      <c r="C42" s="5">
        <v>4085.0030000000002</v>
      </c>
      <c r="D42" s="16">
        <v>218.55590000000001</v>
      </c>
      <c r="E42" s="12">
        <f t="shared" si="4"/>
        <v>0.97156783284522996</v>
      </c>
      <c r="F42" s="12">
        <f t="shared" si="5"/>
        <v>0.94060629281770436</v>
      </c>
      <c r="G42" s="7">
        <f t="shared" si="6"/>
        <v>19.162177131513754</v>
      </c>
      <c r="H42" s="4">
        <f t="shared" si="7"/>
        <v>2.9529383950808406</v>
      </c>
    </row>
    <row r="43" spans="1:8" x14ac:dyDescent="0.35">
      <c r="A43" s="2">
        <v>2009</v>
      </c>
      <c r="B43" s="7">
        <v>22.402809999999999</v>
      </c>
      <c r="C43" s="5">
        <v>3914.1930000000002</v>
      </c>
      <c r="D43" s="16">
        <v>207.7209</v>
      </c>
      <c r="E43" s="12">
        <f t="shared" si="4"/>
        <v>0.95296139663125556</v>
      </c>
      <c r="F43" s="12">
        <f t="shared" si="5"/>
        <v>0.92312548248284931</v>
      </c>
      <c r="G43" s="7">
        <f t="shared" si="6"/>
        <v>19.707818024068608</v>
      </c>
      <c r="H43" s="4">
        <f t="shared" si="7"/>
        <v>2.9810154110318514</v>
      </c>
    </row>
    <row r="44" spans="1:8" x14ac:dyDescent="0.35">
      <c r="A44" s="2">
        <v>2010</v>
      </c>
      <c r="B44" s="7">
        <v>22.59206</v>
      </c>
      <c r="C44" s="5">
        <v>4001.3229999999999</v>
      </c>
      <c r="D44" s="16">
        <v>213.6361</v>
      </c>
      <c r="E44" s="12">
        <f t="shared" si="4"/>
        <v>0.96250685152401561</v>
      </c>
      <c r="F44" s="12">
        <f t="shared" si="5"/>
        <v>0.93273828625064237</v>
      </c>
      <c r="G44" s="7">
        <f t="shared" si="6"/>
        <v>20.282405731097178</v>
      </c>
      <c r="H44" s="4">
        <f t="shared" si="7"/>
        <v>3.0097537974812458</v>
      </c>
    </row>
    <row r="45" spans="1:8" x14ac:dyDescent="0.35">
      <c r="A45" s="2">
        <v>2011</v>
      </c>
      <c r="B45" s="7">
        <v>22.288440000000001</v>
      </c>
      <c r="C45" s="5">
        <v>4125.9340000000002</v>
      </c>
      <c r="D45" s="16">
        <v>229.9718</v>
      </c>
      <c r="E45" s="12">
        <f t="shared" si="4"/>
        <v>0.97596290550824105</v>
      </c>
      <c r="F45" s="12">
        <f t="shared" si="5"/>
        <v>0.95844231971803739</v>
      </c>
      <c r="G45" s="7">
        <f t="shared" si="6"/>
        <v>20.848699297856982</v>
      </c>
      <c r="H45" s="4">
        <f t="shared" si="7"/>
        <v>3.0372915625030323</v>
      </c>
    </row>
    <row r="46" spans="1:8" x14ac:dyDescent="0.35">
      <c r="A46" s="2">
        <v>2012</v>
      </c>
      <c r="B46" s="7">
        <v>23.565930000000002</v>
      </c>
      <c r="C46" s="5">
        <v>3978.8119999999999</v>
      </c>
      <c r="D46" s="16">
        <v>221.77959999999999</v>
      </c>
      <c r="E46" s="12">
        <f t="shared" si="4"/>
        <v>0.96005166621819249</v>
      </c>
      <c r="F46" s="12">
        <f t="shared" si="5"/>
        <v>0.94570136410952799</v>
      </c>
      <c r="G46" s="7">
        <f t="shared" si="6"/>
        <v>21.39603031210871</v>
      </c>
      <c r="H46" s="4">
        <f t="shared" si="7"/>
        <v>3.0632054053864852</v>
      </c>
    </row>
    <row r="47" spans="1:8" x14ac:dyDescent="0.35">
      <c r="A47" s="2">
        <v>2013</v>
      </c>
      <c r="B47" s="7">
        <v>24.178879999999999</v>
      </c>
      <c r="C47" s="5">
        <v>4002.973</v>
      </c>
      <c r="D47" s="16">
        <v>225.85059999999999</v>
      </c>
      <c r="E47" s="12">
        <f t="shared" si="4"/>
        <v>0.96268651277026895</v>
      </c>
      <c r="F47" s="12">
        <f t="shared" si="5"/>
        <v>0.95206925923397112</v>
      </c>
      <c r="G47" s="7">
        <f t="shared" si="6"/>
        <v>22.161013074877886</v>
      </c>
      <c r="H47" s="4">
        <f t="shared" si="7"/>
        <v>3.0983345772094775</v>
      </c>
    </row>
    <row r="48" spans="1:8" x14ac:dyDescent="0.35">
      <c r="A48" s="2">
        <v>2014</v>
      </c>
      <c r="B48" s="7">
        <v>24.110469999999999</v>
      </c>
      <c r="C48" s="5">
        <v>4059.6390000000001</v>
      </c>
      <c r="D48" s="16">
        <v>230.2499</v>
      </c>
      <c r="E48" s="12">
        <f t="shared" si="4"/>
        <v>0.96883220271516368</v>
      </c>
      <c r="F48" s="12">
        <f t="shared" si="5"/>
        <v>0.95886977124063411</v>
      </c>
      <c r="G48" s="7">
        <f t="shared" si="6"/>
        <v>22.39823875493677</v>
      </c>
      <c r="H48" s="4">
        <f t="shared" si="7"/>
        <v>3.1089823287579774</v>
      </c>
    </row>
    <row r="49" spans="1:8" x14ac:dyDescent="0.35">
      <c r="A49" s="2">
        <v>2015</v>
      </c>
      <c r="B49" s="7">
        <v>24.64986</v>
      </c>
      <c r="C49" s="5">
        <v>4035.4549999999999</v>
      </c>
      <c r="D49" s="16">
        <v>228.8536</v>
      </c>
      <c r="E49" s="12">
        <f t="shared" si="4"/>
        <v>0.96621511608934096</v>
      </c>
      <c r="F49" s="12">
        <f t="shared" si="5"/>
        <v>0.95672029829467475</v>
      </c>
      <c r="G49" s="7">
        <f t="shared" si="6"/>
        <v>22.786271771450846</v>
      </c>
      <c r="H49" s="4">
        <f t="shared" si="7"/>
        <v>3.1261582393289449</v>
      </c>
    </row>
    <row r="50" spans="1:8" x14ac:dyDescent="0.35">
      <c r="A50" s="2">
        <v>2016</v>
      </c>
      <c r="B50" s="7">
        <v>24.708259999999999</v>
      </c>
      <c r="C50" s="5">
        <v>4035.0129999999999</v>
      </c>
      <c r="D50" s="16">
        <v>230.2012</v>
      </c>
      <c r="E50" s="12">
        <f t="shared" si="4"/>
        <v>0.96616720502170161</v>
      </c>
      <c r="F50" s="12">
        <f t="shared" si="5"/>
        <v>0.95879494081084737</v>
      </c>
      <c r="G50" s="7">
        <f t="shared" si="6"/>
        <v>22.888650537802992</v>
      </c>
      <c r="H50" s="4">
        <f t="shared" si="7"/>
        <v>3.1306411780021852</v>
      </c>
    </row>
    <row r="51" spans="1:8" x14ac:dyDescent="0.35">
      <c r="A51" s="2">
        <v>2017</v>
      </c>
      <c r="B51" s="7">
        <v>24.861730000000001</v>
      </c>
      <c r="C51" s="5">
        <v>4093.2179999999998</v>
      </c>
      <c r="D51" s="16">
        <v>233.99430000000001</v>
      </c>
      <c r="E51" s="12">
        <f t="shared" si="4"/>
        <v>0.97245186639322678</v>
      </c>
      <c r="F51" s="12">
        <f t="shared" si="5"/>
        <v>0.96459361703734936</v>
      </c>
      <c r="G51" s="7">
        <f t="shared" si="6"/>
        <v>23.320821435219575</v>
      </c>
      <c r="H51" s="4">
        <f t="shared" si="7"/>
        <v>3.1493465853567595</v>
      </c>
    </row>
    <row r="52" spans="1:8" x14ac:dyDescent="0.35">
      <c r="A52" s="2">
        <v>2018</v>
      </c>
      <c r="B52" s="7">
        <v>25.105519999999999</v>
      </c>
      <c r="C52" s="5">
        <v>4136.7470000000003</v>
      </c>
      <c r="D52" s="16">
        <v>241.1643</v>
      </c>
      <c r="E52" s="12">
        <f t="shared" si="4"/>
        <v>0.97711999069580724</v>
      </c>
      <c r="F52" s="12">
        <f t="shared" si="5"/>
        <v>0.97539472420784035</v>
      </c>
      <c r="G52" s="7">
        <f t="shared" si="6"/>
        <v>23.927510853266693</v>
      </c>
      <c r="H52" s="4">
        <f t="shared" si="7"/>
        <v>3.1750288786774861</v>
      </c>
    </row>
    <row r="53" spans="1:8" x14ac:dyDescent="0.35">
      <c r="A53" s="2">
        <v>2019</v>
      </c>
      <c r="B53" s="7">
        <v>24.908349999999999</v>
      </c>
      <c r="C53" s="5">
        <v>4155.6239999999998</v>
      </c>
      <c r="D53" s="16">
        <v>245.3639</v>
      </c>
      <c r="E53" s="12">
        <f t="shared" si="4"/>
        <v>0.97913603366229252</v>
      </c>
      <c r="F53" s="12">
        <f t="shared" si="5"/>
        <v>0.98162726382460141</v>
      </c>
      <c r="G53" s="7">
        <f t="shared" si="6"/>
        <v>23.940576552660186</v>
      </c>
      <c r="H53" s="4">
        <f t="shared" si="7"/>
        <v>3.1755747830754273</v>
      </c>
    </row>
    <row r="54" spans="1:8" x14ac:dyDescent="0.35">
      <c r="A54" s="2">
        <v>2020</v>
      </c>
      <c r="B54" s="7">
        <v>25.383220000000001</v>
      </c>
      <c r="C54" s="5">
        <v>4166.2460000000001</v>
      </c>
      <c r="D54" s="16">
        <v>246.10429999999999</v>
      </c>
      <c r="E54" s="12">
        <f t="shared" si="4"/>
        <v>0.98026824852994032</v>
      </c>
      <c r="F54" s="12">
        <f t="shared" si="5"/>
        <v>0.98271907981215667</v>
      </c>
      <c r="G54" s="7">
        <f t="shared" si="6"/>
        <v>24.452374454514867</v>
      </c>
      <c r="H54" s="4">
        <f t="shared" si="7"/>
        <v>3.196727325909638</v>
      </c>
    </row>
    <row r="55" spans="1:8" x14ac:dyDescent="0.35">
      <c r="A55" s="2">
        <v>2021</v>
      </c>
      <c r="B55" s="7">
        <v>25.424520000000001</v>
      </c>
      <c r="C55" s="5">
        <v>4289.4219999999996</v>
      </c>
      <c r="D55" s="16">
        <v>254.44370000000001</v>
      </c>
      <c r="E55" s="12">
        <f t="shared" si="4"/>
        <v>0.99328403694251199</v>
      </c>
      <c r="F55" s="12">
        <f t="shared" si="5"/>
        <v>0.9948759356284711</v>
      </c>
      <c r="G55" s="7">
        <f t="shared" si="6"/>
        <v>25.124367920524229</v>
      </c>
      <c r="H55" s="4">
        <f t="shared" si="7"/>
        <v>3.2238382086707169</v>
      </c>
    </row>
    <row r="56" spans="1:8" x14ac:dyDescent="0.35">
      <c r="A56" s="2">
        <v>2022</v>
      </c>
      <c r="B56" s="7">
        <v>25.991599999999998</v>
      </c>
      <c r="C56" s="5">
        <v>4303.4759999999997</v>
      </c>
      <c r="D56" s="16">
        <v>259.7998</v>
      </c>
      <c r="E56" s="12">
        <f t="shared" si="4"/>
        <v>0.99475602733709445</v>
      </c>
      <c r="F56" s="12">
        <f t="shared" si="5"/>
        <v>1.002551752664254</v>
      </c>
      <c r="G56" s="7">
        <f t="shared" si="6"/>
        <v>25.921277092734588</v>
      </c>
      <c r="H56" s="4">
        <f t="shared" si="7"/>
        <v>3.255064140823352</v>
      </c>
    </row>
    <row r="57" spans="1:8" x14ac:dyDescent="0.35">
      <c r="A57" s="2">
        <v>2023</v>
      </c>
      <c r="B57" s="7">
        <v>27.101209999999998</v>
      </c>
      <c r="C57" s="5">
        <v>4371.5349999999999</v>
      </c>
      <c r="D57" s="16">
        <v>267.5754</v>
      </c>
      <c r="E57" s="12">
        <f t="shared" si="4"/>
        <v>1.0018474550688763</v>
      </c>
      <c r="F57" s="12">
        <f t="shared" si="5"/>
        <v>1.0135192448483576</v>
      </c>
      <c r="G57" s="7">
        <f t="shared" si="6"/>
        <v>27.518343046635287</v>
      </c>
      <c r="H57" s="4">
        <f t="shared" si="7"/>
        <v>3.3148528021912869</v>
      </c>
    </row>
    <row r="58" spans="1:8" x14ac:dyDescent="0.35">
      <c r="A58" s="2">
        <v>2024</v>
      </c>
      <c r="B58" s="7">
        <v>27.24521</v>
      </c>
      <c r="C58" s="5">
        <v>4353.7479999999996</v>
      </c>
      <c r="D58" s="16">
        <v>258.01139999999998</v>
      </c>
      <c r="E58" s="12">
        <f t="shared" si="4"/>
        <v>1</v>
      </c>
      <c r="F58" s="12">
        <f t="shared" si="5"/>
        <v>1</v>
      </c>
      <c r="G58" s="7">
        <f t="shared" si="6"/>
        <v>27.24521</v>
      </c>
      <c r="H58" s="4">
        <f t="shared" si="7"/>
        <v>3.3048777258416568</v>
      </c>
    </row>
  </sheetData>
  <mergeCells count="1">
    <mergeCell ref="A2:H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50"/>
  <sheetViews>
    <sheetView workbookViewId="0"/>
  </sheetViews>
  <sheetFormatPr defaultRowHeight="14.5" x14ac:dyDescent="0.35"/>
  <cols>
    <col min="1" max="1" width="16" customWidth="1"/>
    <col min="2" max="2" width="9" customWidth="1"/>
    <col min="3" max="3" width="17" customWidth="1"/>
    <col min="4" max="4" width="9" customWidth="1"/>
    <col min="5" max="5" width="14" customWidth="1"/>
    <col min="6" max="6" width="12" customWidth="1"/>
    <col min="7" max="7" width="9" customWidth="1"/>
    <col min="8" max="8" width="14" customWidth="1"/>
    <col min="9" max="9" width="11" customWidth="1"/>
    <col min="10" max="10" width="13" customWidth="1"/>
    <col min="11" max="11" width="14" customWidth="1"/>
    <col min="12" max="12" width="12" customWidth="1"/>
    <col min="13" max="13" width="9" customWidth="1"/>
    <col min="14" max="15" width="11" customWidth="1"/>
    <col min="16" max="16" width="10" customWidth="1"/>
    <col min="17" max="17" width="14" customWidth="1"/>
    <col min="18" max="18" width="10" customWidth="1"/>
    <col min="19" max="19" width="9" customWidth="1"/>
    <col min="20" max="22" width="10" customWidth="1"/>
    <col min="23" max="23" width="14" customWidth="1"/>
    <col min="24" max="24" width="10" customWidth="1"/>
    <col min="25" max="25" width="9" customWidth="1"/>
    <col min="26" max="28" width="10" customWidth="1"/>
    <col min="29" max="29" width="14" customWidth="1"/>
    <col min="30" max="35" width="10" customWidth="1"/>
  </cols>
  <sheetData>
    <row r="1" spans="1:29" ht="17" x14ac:dyDescent="0.4">
      <c r="A1" s="1" t="s">
        <v>1252</v>
      </c>
    </row>
    <row r="2" spans="1:29" ht="64" customHeight="1" x14ac:dyDescent="0.35">
      <c r="A2" s="30" t="s">
        <v>1253</v>
      </c>
      <c r="B2" s="31"/>
      <c r="C2" s="31"/>
      <c r="D2" s="31"/>
      <c r="E2" s="31"/>
      <c r="F2" s="31"/>
      <c r="G2" s="31"/>
      <c r="H2" s="31"/>
      <c r="I2" s="31"/>
      <c r="J2" s="31"/>
      <c r="K2" s="31"/>
      <c r="L2" s="31"/>
      <c r="M2" s="31"/>
      <c r="N2" s="31"/>
    </row>
    <row r="4" spans="1:29" ht="32" customHeight="1" x14ac:dyDescent="0.35">
      <c r="A4" s="23" t="s">
        <v>1254</v>
      </c>
      <c r="B4" s="23" t="s">
        <v>1255</v>
      </c>
      <c r="C4" s="23" t="s">
        <v>1256</v>
      </c>
      <c r="D4" s="23" t="s">
        <v>1257</v>
      </c>
      <c r="E4" s="23" t="s">
        <v>1258</v>
      </c>
      <c r="F4" s="23" t="s">
        <v>1259</v>
      </c>
      <c r="G4" s="23" t="s">
        <v>1260</v>
      </c>
      <c r="H4" s="23" t="s">
        <v>1261</v>
      </c>
      <c r="I4" s="23" t="s">
        <v>1262</v>
      </c>
      <c r="J4" s="23" t="s">
        <v>1263</v>
      </c>
      <c r="K4" s="23" t="s">
        <v>1264</v>
      </c>
      <c r="L4" s="23" t="s">
        <v>1265</v>
      </c>
      <c r="M4" s="23" t="s">
        <v>1266</v>
      </c>
      <c r="N4" s="23" t="s">
        <v>1242</v>
      </c>
      <c r="O4" s="23" t="s">
        <v>1267</v>
      </c>
    </row>
    <row r="5" spans="1:29" x14ac:dyDescent="0.35">
      <c r="A5" s="2" t="s">
        <v>1268</v>
      </c>
      <c r="B5" s="12">
        <v>0.47799999999999998</v>
      </c>
      <c r="C5" s="2" t="s">
        <v>1269</v>
      </c>
      <c r="D5" s="12">
        <v>0.28699999999999998</v>
      </c>
      <c r="E5" s="2" t="s">
        <v>1270</v>
      </c>
      <c r="F5" s="16">
        <v>2017.3</v>
      </c>
      <c r="G5" s="2" t="s">
        <v>1271</v>
      </c>
      <c r="H5" s="22">
        <f>LN(81)/D5</f>
        <v>15.311669528475399</v>
      </c>
      <c r="I5" s="17">
        <f>1-SUMSQ(D16:D45)/DEVSQ(B16:B45)</f>
        <v>0.98880163567457702</v>
      </c>
      <c r="J5" s="12">
        <f>SLOPE(E16:E45,A16:A45)</f>
        <v>0.24909091980180609</v>
      </c>
      <c r="K5" s="16">
        <f>-INTERCEPT(E16:E45,A16:A45)/J5</f>
        <v>2017.2222831812358</v>
      </c>
      <c r="L5" s="15">
        <f>B45</f>
        <v>0.44800000000000001</v>
      </c>
      <c r="M5" s="15">
        <f>B5/(1+EXP(-D5*(2030-F5)))</f>
        <v>0.46583063030711441</v>
      </c>
      <c r="N5" s="15">
        <f>B5/(1+EXP(-D5*(2035-F5)))</f>
        <v>0.47504496803193791</v>
      </c>
      <c r="O5" s="15">
        <f>B5/(1+EXP(-D5*(2040-F5)))</f>
        <v>0.47729303164640385</v>
      </c>
    </row>
    <row r="6" spans="1:29" x14ac:dyDescent="0.35">
      <c r="A6" s="2" t="s">
        <v>1272</v>
      </c>
      <c r="B6" s="12">
        <v>0.53500000000000003</v>
      </c>
      <c r="C6" s="2" t="s">
        <v>1269</v>
      </c>
      <c r="D6" s="12">
        <v>0.61199999999999999</v>
      </c>
      <c r="E6" s="2" t="s">
        <v>1273</v>
      </c>
      <c r="F6" s="16">
        <v>2012.6</v>
      </c>
      <c r="G6" s="2" t="s">
        <v>1274</v>
      </c>
      <c r="H6" s="22">
        <f>LN(81)/D6</f>
        <v>7.180472474954966</v>
      </c>
      <c r="I6" s="17">
        <f>1-SUMSQ(J16:J33)/DEVSQ(H16:H33)</f>
        <v>0.99270686856954182</v>
      </c>
      <c r="J6" s="12">
        <f>SLOPE(K16:K33,G16:G33)</f>
        <v>0.45437302988170519</v>
      </c>
      <c r="K6" s="16">
        <f>-INTERCEPT(K16:K33,G16:G33)/J6</f>
        <v>2012.7470777621506</v>
      </c>
      <c r="L6" s="15">
        <f>H33</f>
        <v>0.52</v>
      </c>
      <c r="M6" s="15">
        <f>B6/(1+EXP(-D6*(2030-F6)))</f>
        <v>0.53498730512591208</v>
      </c>
      <c r="N6" s="15">
        <f>B6/(1+EXP(-D6*(2035-F6)))</f>
        <v>0.53499940475315078</v>
      </c>
      <c r="O6" s="15">
        <f>B6/(1+EXP(-D6*(2040-F6)))</f>
        <v>0.53499997209021766</v>
      </c>
    </row>
    <row r="7" spans="1:29" x14ac:dyDescent="0.35">
      <c r="A7" s="2" t="s">
        <v>1275</v>
      </c>
      <c r="B7" s="12">
        <v>0.216</v>
      </c>
      <c r="C7" s="2" t="s">
        <v>1269</v>
      </c>
      <c r="D7" s="12">
        <v>0.437</v>
      </c>
      <c r="E7" s="2" t="s">
        <v>1276</v>
      </c>
      <c r="F7" s="16">
        <v>2011.5</v>
      </c>
      <c r="G7" s="2" t="s">
        <v>1277</v>
      </c>
      <c r="H7" s="22">
        <f>LN(81)/D7</f>
        <v>10.055947722362561</v>
      </c>
      <c r="I7" s="17">
        <f>1-SUMSQ(P16:P50)/DEVSQ(N16:N50)</f>
        <v>0.9729912492969367</v>
      </c>
      <c r="J7" s="12">
        <f>SLOPE(Q16:Q50,M16:M50)</f>
        <v>0.30699425050841722</v>
      </c>
      <c r="K7" s="16">
        <f>-INTERCEPT(Q16:Q50,M16:M50)/J7</f>
        <v>2011.6079694620873</v>
      </c>
      <c r="L7" s="15">
        <f>N50</f>
        <v>0.192</v>
      </c>
      <c r="M7" s="15">
        <f>B7/(1+EXP(-D7*(2030-F7)))</f>
        <v>0.21593343190201644</v>
      </c>
      <c r="N7" s="15">
        <f>B7/(1+EXP(-D7*(2035-F7)))</f>
        <v>0.21599251052267118</v>
      </c>
      <c r="O7" s="15">
        <f>B7/(1+EXP(-D7*(2040-F7)))</f>
        <v>0.21599915757463942</v>
      </c>
    </row>
    <row r="8" spans="1:29" x14ac:dyDescent="0.35">
      <c r="A8" s="2" t="s">
        <v>1278</v>
      </c>
      <c r="B8" s="12">
        <v>1</v>
      </c>
      <c r="C8" s="2" t="s">
        <v>1279</v>
      </c>
      <c r="D8" s="12">
        <v>0.184</v>
      </c>
      <c r="E8" s="2" t="s">
        <v>1280</v>
      </c>
      <c r="F8" s="16">
        <v>2036.2</v>
      </c>
      <c r="G8" s="2" t="s">
        <v>1281</v>
      </c>
      <c r="H8" s="22">
        <f>LN(81)/D8</f>
        <v>23.882875840611081</v>
      </c>
      <c r="I8" s="17">
        <f>1-SUMSQ(V16:V40)/DEVSQ(T16:T40)</f>
        <v>0.82205316075199997</v>
      </c>
      <c r="J8" s="12">
        <f>SLOPE(W16:W40,S16:S40)</f>
        <v>0.15749533753248149</v>
      </c>
      <c r="K8" s="16">
        <f>-INTERCEPT(W16:W40,S16:S40)/J8</f>
        <v>2038.3201089422096</v>
      </c>
      <c r="L8" s="15">
        <f>T40</f>
        <v>0.14000000000000001</v>
      </c>
      <c r="M8" s="15">
        <f>B8/(1+EXP(-D8*(2030-F8)))</f>
        <v>0.24217351031355608</v>
      </c>
      <c r="N8" s="15">
        <f>B8/(1+EXP(-D8*(2035-F8)))</f>
        <v>0.4450231741740952</v>
      </c>
      <c r="O8" s="15">
        <f>B8/(1+EXP(-D8*(2040-F8)))</f>
        <v>0.66801037801056828</v>
      </c>
    </row>
    <row r="9" spans="1:29" x14ac:dyDescent="0.35">
      <c r="A9" s="2" t="s">
        <v>1282</v>
      </c>
      <c r="B9" s="12">
        <v>1</v>
      </c>
      <c r="C9" s="2" t="s">
        <v>1279</v>
      </c>
      <c r="D9" s="12">
        <v>0.29099999999999998</v>
      </c>
      <c r="E9" s="2" t="s">
        <v>1283</v>
      </c>
      <c r="F9" s="16">
        <v>2032.3</v>
      </c>
      <c r="G9" s="2" t="s">
        <v>1284</v>
      </c>
      <c r="H9" s="22">
        <f>LN(81)/D9</f>
        <v>15.101199844235188</v>
      </c>
      <c r="I9" s="17">
        <f>1-SUMSQ(AB16:AB30)/DEVSQ(Z16:Z30)</f>
        <v>0.90219116837164448</v>
      </c>
      <c r="J9" s="12">
        <f>SLOPE(AC16:AC30,Y16:Y30)</f>
        <v>0.34784091178142446</v>
      </c>
      <c r="K9" s="16">
        <f>-INTERCEPT(AC16:AC30,Y16:Y30)/J9</f>
        <v>2030.8593719949447</v>
      </c>
      <c r="L9" s="15">
        <f>Z30</f>
        <v>9.8000000000000004E-2</v>
      </c>
      <c r="M9" s="15">
        <f>B9/(1+EXP(-D9*(2030-F9)))</f>
        <v>0.33865360022334662</v>
      </c>
      <c r="N9" s="15">
        <f>B9/(1+EXP(-D9*(2035-F9)))</f>
        <v>0.68690729230188918</v>
      </c>
      <c r="O9" s="15">
        <f>B9/(1+EXP(-D9*(2040-F9)))</f>
        <v>0.90384531176451299</v>
      </c>
    </row>
    <row r="11" spans="1:29" ht="48" customHeight="1" x14ac:dyDescent="0.35">
      <c r="A11" s="30" t="s">
        <v>1285</v>
      </c>
      <c r="B11" s="31"/>
      <c r="C11" s="31"/>
      <c r="D11" s="31"/>
      <c r="E11" s="31"/>
      <c r="F11" s="31"/>
      <c r="G11" s="31"/>
      <c r="H11" s="31"/>
      <c r="I11" s="31"/>
      <c r="J11" s="31"/>
      <c r="K11" s="31"/>
      <c r="L11" s="31"/>
      <c r="M11" s="31"/>
      <c r="N11" s="31"/>
    </row>
    <row r="14" spans="1:29" x14ac:dyDescent="0.35">
      <c r="A14" s="3" t="s">
        <v>1268</v>
      </c>
      <c r="G14" s="3" t="s">
        <v>1272</v>
      </c>
      <c r="M14" s="3" t="s">
        <v>1275</v>
      </c>
      <c r="S14" s="3" t="s">
        <v>1278</v>
      </c>
      <c r="Y14" s="3" t="s">
        <v>1282</v>
      </c>
    </row>
    <row r="15" spans="1:29" x14ac:dyDescent="0.35">
      <c r="A15" s="3" t="s">
        <v>1286</v>
      </c>
      <c r="B15" s="3" t="s">
        <v>1287</v>
      </c>
      <c r="C15" s="3" t="s">
        <v>1288</v>
      </c>
      <c r="D15" s="3" t="s">
        <v>1289</v>
      </c>
      <c r="E15" s="3" t="s">
        <v>1290</v>
      </c>
      <c r="G15" s="3" t="s">
        <v>1286</v>
      </c>
      <c r="H15" s="3" t="s">
        <v>1287</v>
      </c>
      <c r="I15" s="3" t="s">
        <v>1288</v>
      </c>
      <c r="J15" s="3" t="s">
        <v>1289</v>
      </c>
      <c r="K15" s="3" t="s">
        <v>1290</v>
      </c>
      <c r="M15" s="3" t="s">
        <v>1286</v>
      </c>
      <c r="N15" s="3" t="s">
        <v>1287</v>
      </c>
      <c r="O15" s="3" t="s">
        <v>1288</v>
      </c>
      <c r="P15" s="3" t="s">
        <v>1289</v>
      </c>
      <c r="Q15" s="3" t="s">
        <v>1290</v>
      </c>
      <c r="S15" s="3" t="s">
        <v>1286</v>
      </c>
      <c r="T15" s="3" t="s">
        <v>1287</v>
      </c>
      <c r="U15" s="3" t="s">
        <v>1288</v>
      </c>
      <c r="V15" s="3" t="s">
        <v>1289</v>
      </c>
      <c r="W15" s="3" t="s">
        <v>1290</v>
      </c>
      <c r="Y15" s="3" t="s">
        <v>1286</v>
      </c>
      <c r="Z15" s="3" t="s">
        <v>1287</v>
      </c>
      <c r="AA15" s="3" t="s">
        <v>1288</v>
      </c>
      <c r="AB15" s="3" t="s">
        <v>1289</v>
      </c>
      <c r="AC15" s="3" t="s">
        <v>1290</v>
      </c>
    </row>
    <row r="16" spans="1:29" x14ac:dyDescent="0.35">
      <c r="A16" s="2">
        <v>1996</v>
      </c>
      <c r="B16" s="4">
        <v>1E-3</v>
      </c>
      <c r="C16" s="4">
        <f t="shared" ref="C16:C45" si="0">$B$5/(1+EXP(-$D$5*(A16-$F$5)))</f>
        <v>1.0558007685115567E-3</v>
      </c>
      <c r="D16" s="4">
        <f t="shared" ref="D16:D45" si="1">B16-C16</f>
        <v>-5.580076851155664E-5</v>
      </c>
      <c r="E16" s="12">
        <f t="shared" ref="E16:E45" si="2">IF(AND(B16&gt;0,B16&lt;$B$5),LN(B16/($B$5-B16)),"")</f>
        <v>-6.1675164908883415</v>
      </c>
      <c r="G16" s="2">
        <v>2008</v>
      </c>
      <c r="H16" s="4">
        <v>2.3E-2</v>
      </c>
      <c r="I16" s="4">
        <f t="shared" ref="I16:I33" si="3">$B$6/(1+EXP(-$D$6*(G16-$F$6)))</f>
        <v>3.0231941575895833E-2</v>
      </c>
      <c r="J16" s="4">
        <f t="shared" ref="J16:J33" si="4">H16-I16</f>
        <v>-7.2319415758958332E-3</v>
      </c>
      <c r="K16" s="12">
        <f t="shared" ref="K16:K33" si="5">IF(AND(H16&gt;0,H16&lt;$B$6),LN(H16/($B$6-H16)),"")</f>
        <v>-3.102830409110358</v>
      </c>
      <c r="M16" s="2">
        <v>1989</v>
      </c>
      <c r="N16" s="4">
        <v>1E-3</v>
      </c>
      <c r="O16" s="4">
        <f t="shared" ref="O16:O50" si="6">$B$7/(1+EXP(-$D$7*(M16-$F$7)))</f>
        <v>1.1593910573460784E-5</v>
      </c>
      <c r="P16" s="4">
        <f t="shared" ref="P16:P50" si="7">N16-O16</f>
        <v>9.8840608942653914E-4</v>
      </c>
      <c r="Q16" s="12">
        <f t="shared" ref="Q16:Q50" si="8">IF(AND(N16&gt;0,N16&lt;$B$7),LN(N16/($B$7-N16)),"")</f>
        <v>-5.3706380281276624</v>
      </c>
      <c r="S16" s="2">
        <v>2001</v>
      </c>
      <c r="T16" s="4">
        <v>1E-3</v>
      </c>
      <c r="U16" s="4">
        <f t="shared" ref="U16:U40" si="9">$B$8/(1+EXP(-$D$8*(S16-$F$8)))</f>
        <v>1.5363626926425112E-3</v>
      </c>
      <c r="V16" s="4">
        <f t="shared" ref="V16:V40" si="10">T16-U16</f>
        <v>-5.3636269264251113E-4</v>
      </c>
      <c r="W16" s="12">
        <f t="shared" ref="W16:W40" si="11">IF(AND(T16&gt;0,T16&lt;$B$8),LN(T16/($B$8-T16)),"")</f>
        <v>-6.9067547786485539</v>
      </c>
      <c r="Y16" s="2">
        <v>2011</v>
      </c>
      <c r="Z16" s="4">
        <v>1E-3</v>
      </c>
      <c r="AA16" s="4">
        <f t="shared" ref="AA16:AA30" si="12">$B$9/(1+EXP(-$D$9*(Y16-$F$9)))</f>
        <v>2.0287593709085315E-3</v>
      </c>
      <c r="AB16" s="4">
        <f t="shared" ref="AB16:AB30" si="13">Z16-AA16</f>
        <v>-1.0287593709085315E-3</v>
      </c>
      <c r="AC16" s="12">
        <f t="shared" ref="AC16:AC30" si="14">IF(AND(Z16&gt;0,Z16&lt;$B$9),LN(Z16/($B$9-Z16)),"")</f>
        <v>-6.9067547786485539</v>
      </c>
    </row>
    <row r="17" spans="1:29" x14ac:dyDescent="0.35">
      <c r="A17" s="2">
        <v>1997</v>
      </c>
      <c r="B17" s="4">
        <v>4.0000000000000001E-3</v>
      </c>
      <c r="C17" s="4">
        <f t="shared" si="0"/>
        <v>1.405742335673304E-3</v>
      </c>
      <c r="D17" s="4">
        <f t="shared" si="1"/>
        <v>2.5942576643266961E-3</v>
      </c>
      <c r="E17" s="12">
        <f t="shared" si="2"/>
        <v>-4.7749129605751861</v>
      </c>
      <c r="G17" s="2">
        <v>2009</v>
      </c>
      <c r="H17" s="4">
        <v>4.2000000000000003E-2</v>
      </c>
      <c r="I17" s="4">
        <f t="shared" si="3"/>
        <v>5.3212970302294584E-2</v>
      </c>
      <c r="J17" s="4">
        <f t="shared" si="4"/>
        <v>-1.1212970302294581E-2</v>
      </c>
      <c r="K17" s="12">
        <f t="shared" si="5"/>
        <v>-2.4628395557593219</v>
      </c>
      <c r="M17" s="2">
        <v>1990</v>
      </c>
      <c r="N17" s="4">
        <v>0</v>
      </c>
      <c r="O17" s="4">
        <f t="shared" si="6"/>
        <v>1.7947495755192197E-5</v>
      </c>
      <c r="P17" s="4">
        <f t="shared" si="7"/>
        <v>-1.7947495755192197E-5</v>
      </c>
      <c r="Q17" s="12" t="str">
        <f t="shared" si="8"/>
        <v/>
      </c>
      <c r="S17" s="2">
        <v>2002</v>
      </c>
      <c r="T17" s="4">
        <v>1E-3</v>
      </c>
      <c r="U17" s="4">
        <f t="shared" si="9"/>
        <v>1.8461592749035808E-3</v>
      </c>
      <c r="V17" s="4">
        <f t="shared" si="10"/>
        <v>-8.4615927490358078E-4</v>
      </c>
      <c r="W17" s="12">
        <f t="shared" si="11"/>
        <v>-6.9067547786485539</v>
      </c>
      <c r="Y17" s="2">
        <v>2012</v>
      </c>
      <c r="Z17" s="4">
        <v>1E-3</v>
      </c>
      <c r="AA17" s="4">
        <f t="shared" si="12"/>
        <v>2.7121439579201492E-3</v>
      </c>
      <c r="AB17" s="4">
        <f t="shared" si="13"/>
        <v>-1.7121439579201492E-3</v>
      </c>
      <c r="AC17" s="12">
        <f t="shared" si="14"/>
        <v>-6.9067547786485539</v>
      </c>
    </row>
    <row r="18" spans="1:29" x14ac:dyDescent="0.35">
      <c r="A18" s="2">
        <v>1998</v>
      </c>
      <c r="B18" s="4">
        <v>7.0000000000000001E-3</v>
      </c>
      <c r="C18" s="4">
        <f t="shared" si="0"/>
        <v>1.8712157862975317E-3</v>
      </c>
      <c r="D18" s="4">
        <f t="shared" si="1"/>
        <v>5.128784213702468E-3</v>
      </c>
      <c r="E18" s="12">
        <f t="shared" si="2"/>
        <v>-4.2089479449611042</v>
      </c>
      <c r="G18" s="2">
        <v>2010</v>
      </c>
      <c r="H18" s="4">
        <v>8.3000000000000004E-2</v>
      </c>
      <c r="I18" s="4">
        <f t="shared" si="3"/>
        <v>9.0530095790646484E-2</v>
      </c>
      <c r="J18" s="4">
        <f t="shared" si="4"/>
        <v>-7.5300957906464794E-3</v>
      </c>
      <c r="K18" s="12">
        <f t="shared" si="5"/>
        <v>-1.6948415720356331</v>
      </c>
      <c r="M18" s="2">
        <v>1991</v>
      </c>
      <c r="N18" s="4">
        <v>0</v>
      </c>
      <c r="O18" s="4">
        <f t="shared" si="6"/>
        <v>2.7782464710530964E-5</v>
      </c>
      <c r="P18" s="4">
        <f t="shared" si="7"/>
        <v>-2.7782464710530964E-5</v>
      </c>
      <c r="Q18" s="12" t="str">
        <f t="shared" si="8"/>
        <v/>
      </c>
      <c r="S18" s="2">
        <v>2003</v>
      </c>
      <c r="T18" s="4">
        <v>1E-3</v>
      </c>
      <c r="U18" s="4">
        <f t="shared" si="9"/>
        <v>2.2182853433613172E-3</v>
      </c>
      <c r="V18" s="4">
        <f t="shared" si="10"/>
        <v>-1.2182853433613172E-3</v>
      </c>
      <c r="W18" s="12">
        <f t="shared" si="11"/>
        <v>-6.9067547786485539</v>
      </c>
      <c r="Y18" s="2">
        <v>2013</v>
      </c>
      <c r="Z18" s="4">
        <v>3.0000000000000001E-3</v>
      </c>
      <c r="AA18" s="4">
        <f t="shared" si="12"/>
        <v>3.6248894948232996E-3</v>
      </c>
      <c r="AB18" s="4">
        <f t="shared" si="13"/>
        <v>-6.2488949482329952E-4</v>
      </c>
      <c r="AC18" s="12">
        <f t="shared" si="14"/>
        <v>-5.8061384812937282</v>
      </c>
    </row>
    <row r="19" spans="1:29" x14ac:dyDescent="0.35">
      <c r="A19" s="2">
        <v>1999</v>
      </c>
      <c r="B19" s="4">
        <v>1.2999999999999999E-2</v>
      </c>
      <c r="C19" s="4">
        <f t="shared" si="0"/>
        <v>2.4900128849982476E-3</v>
      </c>
      <c r="D19" s="4">
        <f t="shared" si="1"/>
        <v>1.0509987115001751E-2</v>
      </c>
      <c r="E19" s="12">
        <f t="shared" si="2"/>
        <v>-3.5770880481258196</v>
      </c>
      <c r="G19" s="2">
        <v>2011</v>
      </c>
      <c r="H19" s="4">
        <v>0.154</v>
      </c>
      <c r="I19" s="4">
        <f t="shared" si="3"/>
        <v>0.14608204424068005</v>
      </c>
      <c r="J19" s="4">
        <f t="shared" si="4"/>
        <v>7.9179557593199446E-3</v>
      </c>
      <c r="K19" s="12">
        <f t="shared" si="5"/>
        <v>-0.9058467727130719</v>
      </c>
      <c r="M19" s="2">
        <v>1992</v>
      </c>
      <c r="N19" s="4">
        <v>0</v>
      </c>
      <c r="O19" s="4">
        <f t="shared" si="6"/>
        <v>4.3005781751918414E-5</v>
      </c>
      <c r="P19" s="4">
        <f t="shared" si="7"/>
        <v>-4.3005781751918414E-5</v>
      </c>
      <c r="Q19" s="12" t="str">
        <f t="shared" si="8"/>
        <v/>
      </c>
      <c r="S19" s="2">
        <v>2004</v>
      </c>
      <c r="T19" s="4">
        <v>3.0000000000000001E-3</v>
      </c>
      <c r="U19" s="4">
        <f t="shared" si="9"/>
        <v>2.665219721308711E-3</v>
      </c>
      <c r="V19" s="4">
        <f t="shared" si="10"/>
        <v>3.3478027869128903E-4</v>
      </c>
      <c r="W19" s="12">
        <f t="shared" si="11"/>
        <v>-5.8061384812937282</v>
      </c>
      <c r="Y19" s="2">
        <v>2014</v>
      </c>
      <c r="Z19" s="4">
        <v>3.0000000000000001E-3</v>
      </c>
      <c r="AA19" s="4">
        <f t="shared" si="12"/>
        <v>4.8433188244998461E-3</v>
      </c>
      <c r="AB19" s="4">
        <f t="shared" si="13"/>
        <v>-1.843318824499846E-3</v>
      </c>
      <c r="AC19" s="12">
        <f t="shared" si="14"/>
        <v>-5.8061384812937282</v>
      </c>
    </row>
    <row r="20" spans="1:29" x14ac:dyDescent="0.35">
      <c r="A20" s="2">
        <v>2000</v>
      </c>
      <c r="B20" s="4">
        <v>1.2E-2</v>
      </c>
      <c r="C20" s="4">
        <f t="shared" si="0"/>
        <v>3.3120181213785282E-3</v>
      </c>
      <c r="D20" s="4">
        <f t="shared" si="1"/>
        <v>8.6879818786214716E-3</v>
      </c>
      <c r="E20" s="12">
        <f t="shared" si="2"/>
        <v>-3.6592789843376456</v>
      </c>
      <c r="G20" s="2">
        <v>2012</v>
      </c>
      <c r="H20" s="4">
        <v>0.22500000000000001</v>
      </c>
      <c r="I20" s="4">
        <f t="shared" si="3"/>
        <v>0.21893150863303021</v>
      </c>
      <c r="J20" s="4">
        <f t="shared" si="4"/>
        <v>6.0684913669697971E-3</v>
      </c>
      <c r="K20" s="12">
        <f t="shared" si="5"/>
        <v>-0.32047189527477193</v>
      </c>
      <c r="M20" s="2">
        <v>1993</v>
      </c>
      <c r="N20" s="4">
        <v>0</v>
      </c>
      <c r="O20" s="4">
        <f t="shared" si="6"/>
        <v>6.656809798353546E-5</v>
      </c>
      <c r="P20" s="4">
        <f t="shared" si="7"/>
        <v>-6.656809798353546E-5</v>
      </c>
      <c r="Q20" s="12" t="str">
        <f t="shared" si="8"/>
        <v/>
      </c>
      <c r="S20" s="2">
        <v>2005</v>
      </c>
      <c r="T20" s="4">
        <v>8.0000000000000002E-3</v>
      </c>
      <c r="U20" s="4">
        <f t="shared" si="9"/>
        <v>3.2019123144412867E-3</v>
      </c>
      <c r="V20" s="4">
        <f t="shared" si="10"/>
        <v>4.7980876855587135E-3</v>
      </c>
      <c r="W20" s="12">
        <f t="shared" si="11"/>
        <v>-4.8202815656050371</v>
      </c>
      <c r="Y20" s="2">
        <v>2015</v>
      </c>
      <c r="Z20" s="4">
        <v>5.0000000000000001E-3</v>
      </c>
      <c r="AA20" s="4">
        <f t="shared" si="12"/>
        <v>6.4686383365987164E-3</v>
      </c>
      <c r="AB20" s="4">
        <f t="shared" si="13"/>
        <v>-1.4686383365987163E-3</v>
      </c>
      <c r="AC20" s="12">
        <f t="shared" si="14"/>
        <v>-5.2933048247244923</v>
      </c>
    </row>
    <row r="21" spans="1:29" x14ac:dyDescent="0.35">
      <c r="A21" s="2">
        <v>2001</v>
      </c>
      <c r="B21" s="4">
        <v>1.7999999999999999E-2</v>
      </c>
      <c r="C21" s="4">
        <f t="shared" si="0"/>
        <v>4.4028718433888224E-3</v>
      </c>
      <c r="D21" s="4">
        <f t="shared" si="1"/>
        <v>1.3597128156611175E-2</v>
      </c>
      <c r="E21" s="12">
        <f t="shared" si="2"/>
        <v>-3.240854731586976</v>
      </c>
      <c r="G21" s="2">
        <v>2013</v>
      </c>
      <c r="H21" s="4">
        <v>0.30499999999999999</v>
      </c>
      <c r="I21" s="4">
        <f t="shared" si="3"/>
        <v>0.30007946303782762</v>
      </c>
      <c r="J21" s="4">
        <f t="shared" si="4"/>
        <v>4.9205369621723727E-3</v>
      </c>
      <c r="K21" s="12">
        <f t="shared" si="5"/>
        <v>0.282232467684216</v>
      </c>
      <c r="M21" s="2">
        <v>1996</v>
      </c>
      <c r="N21" s="4">
        <v>0</v>
      </c>
      <c r="O21" s="4">
        <f t="shared" si="6"/>
        <v>2.4675369563223736E-4</v>
      </c>
      <c r="P21" s="4">
        <f t="shared" si="7"/>
        <v>-2.4675369563223736E-4</v>
      </c>
      <c r="Q21" s="12" t="str">
        <f t="shared" si="8"/>
        <v/>
      </c>
      <c r="S21" s="2">
        <v>2006</v>
      </c>
      <c r="T21" s="4">
        <v>1.2E-2</v>
      </c>
      <c r="U21" s="4">
        <f t="shared" si="9"/>
        <v>3.846261362150453E-3</v>
      </c>
      <c r="V21" s="4">
        <f t="shared" si="10"/>
        <v>8.1537386378495481E-3</v>
      </c>
      <c r="W21" s="12">
        <f t="shared" si="11"/>
        <v>-4.4107760479598674</v>
      </c>
      <c r="Y21" s="2">
        <v>2016</v>
      </c>
      <c r="Z21" s="4">
        <v>5.0000000000000001E-3</v>
      </c>
      <c r="AA21" s="4">
        <f t="shared" si="12"/>
        <v>8.6346496262601907E-3</v>
      </c>
      <c r="AB21" s="4">
        <f t="shared" si="13"/>
        <v>-3.6346496262601906E-3</v>
      </c>
      <c r="AC21" s="12">
        <f t="shared" si="14"/>
        <v>-5.2933048247244923</v>
      </c>
    </row>
    <row r="22" spans="1:29" x14ac:dyDescent="0.35">
      <c r="A22" s="2">
        <v>2002</v>
      </c>
      <c r="B22" s="4">
        <v>0.02</v>
      </c>
      <c r="C22" s="4">
        <f t="shared" si="0"/>
        <v>5.8485848670673532E-3</v>
      </c>
      <c r="D22" s="4">
        <f t="shared" si="1"/>
        <v>1.4151415132932648E-2</v>
      </c>
      <c r="E22" s="12">
        <f t="shared" si="2"/>
        <v>-3.1311369105601941</v>
      </c>
      <c r="G22" s="2">
        <v>2014</v>
      </c>
      <c r="H22" s="4">
        <v>0.374</v>
      </c>
      <c r="I22" s="4">
        <f t="shared" si="3"/>
        <v>0.37556553240068763</v>
      </c>
      <c r="J22" s="4">
        <f t="shared" si="4"/>
        <v>-1.5655324006876303E-3</v>
      </c>
      <c r="K22" s="12">
        <f t="shared" si="5"/>
        <v>0.84285143243006877</v>
      </c>
      <c r="M22" s="2">
        <v>1997</v>
      </c>
      <c r="N22" s="4">
        <v>0</v>
      </c>
      <c r="O22" s="4">
        <f t="shared" si="6"/>
        <v>3.8174954950492433E-4</v>
      </c>
      <c r="P22" s="4">
        <f t="shared" si="7"/>
        <v>-3.8174954950492433E-4</v>
      </c>
      <c r="Q22" s="12" t="str">
        <f t="shared" si="8"/>
        <v/>
      </c>
      <c r="S22" s="2">
        <v>2007</v>
      </c>
      <c r="T22" s="4">
        <v>1.9E-2</v>
      </c>
      <c r="U22" s="4">
        <f t="shared" si="9"/>
        <v>4.6196775015261912E-3</v>
      </c>
      <c r="V22" s="4">
        <f t="shared" si="10"/>
        <v>1.4380322498473808E-2</v>
      </c>
      <c r="W22" s="12">
        <f t="shared" si="11"/>
        <v>-3.9441334803989228</v>
      </c>
      <c r="Y22" s="2">
        <v>2017</v>
      </c>
      <c r="Z22" s="4">
        <v>6.0000000000000001E-3</v>
      </c>
      <c r="AA22" s="4">
        <f t="shared" si="12"/>
        <v>1.151753780953437E-2</v>
      </c>
      <c r="AB22" s="4">
        <f t="shared" si="13"/>
        <v>-5.5175378095343695E-3</v>
      </c>
      <c r="AC22" s="12">
        <f t="shared" si="14"/>
        <v>-5.1099777374285189</v>
      </c>
    </row>
    <row r="23" spans="1:29" x14ac:dyDescent="0.35">
      <c r="A23" s="2">
        <v>2003</v>
      </c>
      <c r="B23" s="4">
        <v>0.01</v>
      </c>
      <c r="C23" s="4">
        <f t="shared" si="0"/>
        <v>7.7612281690187012E-3</v>
      </c>
      <c r="D23" s="4">
        <f t="shared" si="1"/>
        <v>2.238771830981299E-3</v>
      </c>
      <c r="E23" s="12">
        <f t="shared" si="2"/>
        <v>-3.8458832029236012</v>
      </c>
      <c r="G23" s="2">
        <v>2015</v>
      </c>
      <c r="H23" s="4">
        <v>0.41899999999999998</v>
      </c>
      <c r="I23" s="4">
        <f t="shared" si="3"/>
        <v>0.43488808403006102</v>
      </c>
      <c r="J23" s="4">
        <f t="shared" si="4"/>
        <v>-1.5888084030061034E-2</v>
      </c>
      <c r="K23" s="12">
        <f t="shared" si="5"/>
        <v>1.2842807288157727</v>
      </c>
      <c r="M23" s="2">
        <v>1998</v>
      </c>
      <c r="N23" s="4">
        <v>0</v>
      </c>
      <c r="O23" s="4">
        <f t="shared" si="6"/>
        <v>5.9039784367450698E-4</v>
      </c>
      <c r="P23" s="4">
        <f t="shared" si="7"/>
        <v>-5.9039784367450698E-4</v>
      </c>
      <c r="Q23" s="12" t="str">
        <f t="shared" si="8"/>
        <v/>
      </c>
      <c r="S23" s="2">
        <v>2008</v>
      </c>
      <c r="T23" s="4">
        <v>2.1999999999999999E-2</v>
      </c>
      <c r="U23" s="4">
        <f t="shared" si="9"/>
        <v>5.5477480299442631E-3</v>
      </c>
      <c r="V23" s="4">
        <f t="shared" si="10"/>
        <v>1.6452251970055735E-2</v>
      </c>
      <c r="W23" s="12">
        <f t="shared" si="11"/>
        <v>-3.7944672166765017</v>
      </c>
      <c r="Y23" s="2">
        <v>2018</v>
      </c>
      <c r="Z23" s="4">
        <v>1.4E-2</v>
      </c>
      <c r="AA23" s="4">
        <f t="shared" si="12"/>
        <v>1.5348046952454357E-2</v>
      </c>
      <c r="AB23" s="4">
        <f t="shared" si="13"/>
        <v>-1.348046952454357E-3</v>
      </c>
      <c r="AC23" s="12">
        <f t="shared" si="14"/>
        <v>-4.2545990249873764</v>
      </c>
    </row>
    <row r="24" spans="1:29" x14ac:dyDescent="0.35">
      <c r="A24" s="2">
        <v>2004</v>
      </c>
      <c r="B24" s="4">
        <v>2.1000000000000001E-2</v>
      </c>
      <c r="C24" s="4">
        <f t="shared" si="0"/>
        <v>1.0285730780397365E-2</v>
      </c>
      <c r="D24" s="4">
        <f t="shared" si="1"/>
        <v>1.0714269219602637E-2</v>
      </c>
      <c r="E24" s="12">
        <f t="shared" si="2"/>
        <v>-3.0801609531707816</v>
      </c>
      <c r="G24" s="2">
        <v>2016</v>
      </c>
      <c r="H24" s="4">
        <v>0.48</v>
      </c>
      <c r="I24" s="4">
        <f t="shared" si="3"/>
        <v>0.47562729791059766</v>
      </c>
      <c r="J24" s="4">
        <f t="shared" si="4"/>
        <v>4.372702089402325E-3</v>
      </c>
      <c r="K24" s="12">
        <f t="shared" si="5"/>
        <v>2.166452918669465</v>
      </c>
      <c r="M24" s="2">
        <v>1999</v>
      </c>
      <c r="N24" s="4">
        <v>0</v>
      </c>
      <c r="O24" s="4">
        <f t="shared" si="6"/>
        <v>9.1260187895877043E-4</v>
      </c>
      <c r="P24" s="4">
        <f t="shared" si="7"/>
        <v>-9.1260187895877043E-4</v>
      </c>
      <c r="Q24" s="12" t="str">
        <f t="shared" si="8"/>
        <v/>
      </c>
      <c r="S24" s="2">
        <v>2009</v>
      </c>
      <c r="T24" s="4">
        <v>0.02</v>
      </c>
      <c r="U24" s="4">
        <f t="shared" si="9"/>
        <v>6.6610156952098811E-3</v>
      </c>
      <c r="V24" s="4">
        <f t="shared" si="10"/>
        <v>1.3338984304790118E-2</v>
      </c>
      <c r="W24" s="12">
        <f t="shared" si="11"/>
        <v>-3.8918202981106265</v>
      </c>
      <c r="Y24" s="2">
        <v>2019</v>
      </c>
      <c r="Z24" s="4">
        <v>1.2E-2</v>
      </c>
      <c r="AA24" s="4">
        <f t="shared" si="12"/>
        <v>2.0426183763920452E-2</v>
      </c>
      <c r="AB24" s="4">
        <f t="shared" si="13"/>
        <v>-8.4261837639204515E-3</v>
      </c>
      <c r="AC24" s="12">
        <f t="shared" si="14"/>
        <v>-4.4107760479598674</v>
      </c>
    </row>
    <row r="25" spans="1:29" x14ac:dyDescent="0.35">
      <c r="A25" s="2">
        <v>2005</v>
      </c>
      <c r="B25" s="4">
        <v>1.4E-2</v>
      </c>
      <c r="C25" s="4">
        <f t="shared" si="0"/>
        <v>1.3607618829571004E-2</v>
      </c>
      <c r="D25" s="4">
        <f t="shared" si="1"/>
        <v>3.9238117042899624E-4</v>
      </c>
      <c r="E25" s="12">
        <f t="shared" si="2"/>
        <v>-3.5008272226109964</v>
      </c>
      <c r="G25" s="2">
        <v>2017</v>
      </c>
      <c r="H25" s="4">
        <v>0.497</v>
      </c>
      <c r="I25" s="4">
        <f t="shared" si="3"/>
        <v>0.50108124031844892</v>
      </c>
      <c r="J25" s="4">
        <f t="shared" si="4"/>
        <v>-4.0812403184489199E-3</v>
      </c>
      <c r="K25" s="12">
        <f t="shared" si="5"/>
        <v>2.5710038663702419</v>
      </c>
      <c r="M25" s="2">
        <v>2000</v>
      </c>
      <c r="N25" s="4">
        <v>0</v>
      </c>
      <c r="O25" s="4">
        <f t="shared" si="6"/>
        <v>1.4094951398926027E-3</v>
      </c>
      <c r="P25" s="4">
        <f t="shared" si="7"/>
        <v>-1.4094951398926027E-3</v>
      </c>
      <c r="Q25" s="12" t="str">
        <f t="shared" si="8"/>
        <v/>
      </c>
      <c r="S25" s="2">
        <v>2010</v>
      </c>
      <c r="T25" s="4">
        <v>3.7999999999999999E-2</v>
      </c>
      <c r="U25" s="4">
        <f t="shared" si="9"/>
        <v>7.9958867538981772E-3</v>
      </c>
      <c r="V25" s="4">
        <f t="shared" si="10"/>
        <v>3.0004113246101822E-2</v>
      </c>
      <c r="W25" s="12">
        <f t="shared" si="11"/>
        <v>-3.2314282909393208</v>
      </c>
      <c r="Y25" s="2">
        <v>2020</v>
      </c>
      <c r="Z25" s="4">
        <v>1.7999999999999999E-2</v>
      </c>
      <c r="AA25" s="4">
        <f t="shared" si="12"/>
        <v>2.7138192283258686E-2</v>
      </c>
      <c r="AB25" s="4">
        <f t="shared" si="13"/>
        <v>-9.1381922832586872E-3</v>
      </c>
      <c r="AC25" s="12">
        <f t="shared" si="14"/>
        <v>-3.9992195504583012</v>
      </c>
    </row>
    <row r="26" spans="1:29" x14ac:dyDescent="0.35">
      <c r="A26" s="2">
        <v>2006</v>
      </c>
      <c r="B26" s="4">
        <v>1.7999999999999999E-2</v>
      </c>
      <c r="C26" s="4">
        <f t="shared" si="0"/>
        <v>1.7961147414566791E-2</v>
      </c>
      <c r="D26" s="4">
        <f t="shared" si="1"/>
        <v>3.8852585433207798E-5</v>
      </c>
      <c r="E26" s="12">
        <f t="shared" si="2"/>
        <v>-3.240854731586976</v>
      </c>
      <c r="G26" s="2">
        <v>2018</v>
      </c>
      <c r="H26" s="4">
        <v>0.502</v>
      </c>
      <c r="I26" s="4">
        <f t="shared" si="3"/>
        <v>0.51605731511473973</v>
      </c>
      <c r="J26" s="4">
        <f t="shared" si="4"/>
        <v>-1.4057315114739732E-2</v>
      </c>
      <c r="K26" s="12">
        <f t="shared" si="5"/>
        <v>2.7220925582252482</v>
      </c>
      <c r="M26" s="2">
        <v>2001</v>
      </c>
      <c r="N26" s="4">
        <v>0</v>
      </c>
      <c r="O26" s="4">
        <f t="shared" si="6"/>
        <v>2.1742019027536203E-3</v>
      </c>
      <c r="P26" s="4">
        <f t="shared" si="7"/>
        <v>-2.1742019027536203E-3</v>
      </c>
      <c r="Q26" s="12" t="str">
        <f t="shared" si="8"/>
        <v/>
      </c>
      <c r="S26" s="2">
        <v>2011</v>
      </c>
      <c r="T26" s="4">
        <v>2.1999999999999999E-2</v>
      </c>
      <c r="U26" s="4">
        <f t="shared" si="9"/>
        <v>9.5956825336741356E-3</v>
      </c>
      <c r="V26" s="4">
        <f t="shared" si="10"/>
        <v>1.2404317466325863E-2</v>
      </c>
      <c r="W26" s="12">
        <f t="shared" si="11"/>
        <v>-3.7944672166765017</v>
      </c>
      <c r="Y26" s="2">
        <v>2021</v>
      </c>
      <c r="Z26" s="4">
        <v>3.2000000000000001E-2</v>
      </c>
      <c r="AA26" s="4">
        <f t="shared" si="12"/>
        <v>3.5974756372021729E-2</v>
      </c>
      <c r="AB26" s="4">
        <f t="shared" si="13"/>
        <v>-3.9747563720217288E-3</v>
      </c>
      <c r="AC26" s="12">
        <f t="shared" si="14"/>
        <v>-3.4094961844768505</v>
      </c>
    </row>
    <row r="27" spans="1:29" x14ac:dyDescent="0.35">
      <c r="A27" s="2">
        <v>2007</v>
      </c>
      <c r="B27" s="4">
        <v>2.5000000000000001E-2</v>
      </c>
      <c r="C27" s="4">
        <f t="shared" si="0"/>
        <v>2.3636621574061465E-2</v>
      </c>
      <c r="D27" s="4">
        <f t="shared" si="1"/>
        <v>1.3633784259385363E-3</v>
      </c>
      <c r="E27" s="12">
        <f t="shared" si="2"/>
        <v>-2.8970163006148333</v>
      </c>
      <c r="G27" s="2">
        <v>2019</v>
      </c>
      <c r="H27" s="4">
        <v>0.52900000000000003</v>
      </c>
      <c r="I27" s="4">
        <f t="shared" si="3"/>
        <v>0.52455882037304025</v>
      </c>
      <c r="J27" s="4">
        <f t="shared" si="4"/>
        <v>4.4411796269597792E-3</v>
      </c>
      <c r="K27" s="12">
        <f t="shared" si="5"/>
        <v>4.4792289626302431</v>
      </c>
      <c r="M27" s="2">
        <v>2002</v>
      </c>
      <c r="N27" s="4">
        <v>1E-3</v>
      </c>
      <c r="O27" s="4">
        <f t="shared" si="6"/>
        <v>3.3473206552093668E-3</v>
      </c>
      <c r="P27" s="4">
        <f t="shared" si="7"/>
        <v>-2.3473206552093668E-3</v>
      </c>
      <c r="Q27" s="12">
        <f t="shared" si="8"/>
        <v>-5.3706380281276624</v>
      </c>
      <c r="S27" s="2">
        <v>2012</v>
      </c>
      <c r="T27" s="4">
        <v>0.03</v>
      </c>
      <c r="U27" s="4">
        <f t="shared" si="9"/>
        <v>1.151184675757606E-2</v>
      </c>
      <c r="V27" s="4">
        <f t="shared" si="10"/>
        <v>1.8488153242423939E-2</v>
      </c>
      <c r="W27" s="12">
        <f t="shared" si="11"/>
        <v>-3.4760986898352733</v>
      </c>
      <c r="Y27" s="2">
        <v>2022</v>
      </c>
      <c r="Z27" s="4">
        <v>5.1999999999999998E-2</v>
      </c>
      <c r="AA27" s="4">
        <f t="shared" si="12"/>
        <v>4.7547999316702332E-2</v>
      </c>
      <c r="AB27" s="4">
        <f t="shared" si="13"/>
        <v>4.4520006832976661E-3</v>
      </c>
      <c r="AC27" s="12">
        <f t="shared" si="14"/>
        <v>-2.9031107836735943</v>
      </c>
    </row>
    <row r="28" spans="1:29" x14ac:dyDescent="0.35">
      <c r="A28" s="2">
        <v>2008</v>
      </c>
      <c r="B28" s="4">
        <v>2.9000000000000001E-2</v>
      </c>
      <c r="C28" s="4">
        <f t="shared" si="0"/>
        <v>3.0984679367566669E-2</v>
      </c>
      <c r="D28" s="4">
        <f t="shared" si="1"/>
        <v>-1.9846793675666677E-3</v>
      </c>
      <c r="E28" s="12">
        <f t="shared" si="2"/>
        <v>-2.7397270577557804</v>
      </c>
      <c r="G28" s="2">
        <v>2020</v>
      </c>
      <c r="H28" s="4">
        <v>0.57099999999999995</v>
      </c>
      <c r="I28" s="4">
        <f t="shared" si="3"/>
        <v>0.52928707608618963</v>
      </c>
      <c r="J28" s="4">
        <f t="shared" si="4"/>
        <v>4.1712923913810318E-2</v>
      </c>
      <c r="K28" s="12" t="str">
        <f t="shared" si="5"/>
        <v/>
      </c>
      <c r="M28" s="2">
        <v>2003</v>
      </c>
      <c r="N28" s="4">
        <v>8.0000000000000002E-3</v>
      </c>
      <c r="O28" s="4">
        <f t="shared" si="6"/>
        <v>5.138200596900535E-3</v>
      </c>
      <c r="P28" s="4">
        <f t="shared" si="7"/>
        <v>2.8617994030994652E-3</v>
      </c>
      <c r="Q28" s="12">
        <f t="shared" si="8"/>
        <v>-3.2580965380214821</v>
      </c>
      <c r="S28" s="2">
        <v>2013</v>
      </c>
      <c r="T28" s="4">
        <v>3.3000000000000002E-2</v>
      </c>
      <c r="U28" s="4">
        <f t="shared" si="9"/>
        <v>1.3805316653654746E-2</v>
      </c>
      <c r="V28" s="4">
        <f t="shared" si="10"/>
        <v>1.9194683346345255E-2</v>
      </c>
      <c r="W28" s="12">
        <f t="shared" si="11"/>
        <v>-3.377690933986814</v>
      </c>
      <c r="Y28" s="2">
        <v>2023</v>
      </c>
      <c r="Z28" s="4">
        <v>9.8000000000000004E-2</v>
      </c>
      <c r="AA28" s="4">
        <f t="shared" si="12"/>
        <v>6.2602629404302751E-2</v>
      </c>
      <c r="AB28" s="4">
        <f t="shared" si="13"/>
        <v>3.5397370595697253E-2</v>
      </c>
      <c r="AC28" s="12">
        <f t="shared" si="14"/>
        <v>-2.2196470413920517</v>
      </c>
    </row>
    <row r="29" spans="1:29" x14ac:dyDescent="0.35">
      <c r="A29" s="2">
        <v>2009</v>
      </c>
      <c r="B29" s="4">
        <v>2.7E-2</v>
      </c>
      <c r="C29" s="4">
        <f t="shared" si="0"/>
        <v>4.041388894666699E-2</v>
      </c>
      <c r="D29" s="4">
        <f t="shared" si="1"/>
        <v>-1.341388894666699E-2</v>
      </c>
      <c r="E29" s="12">
        <f t="shared" si="2"/>
        <v>-2.8156304734983491</v>
      </c>
      <c r="G29" s="2">
        <v>2021</v>
      </c>
      <c r="H29" s="4">
        <v>0.53400000000000003</v>
      </c>
      <c r="I29" s="4">
        <f t="shared" si="3"/>
        <v>0.53188686329803203</v>
      </c>
      <c r="J29" s="4">
        <f t="shared" si="4"/>
        <v>2.1131367019679992E-3</v>
      </c>
      <c r="K29" s="12">
        <f t="shared" si="5"/>
        <v>6.2803958389601942</v>
      </c>
      <c r="M29" s="2">
        <v>2004</v>
      </c>
      <c r="N29" s="4">
        <v>7.0000000000000001E-3</v>
      </c>
      <c r="O29" s="4">
        <f t="shared" si="6"/>
        <v>7.8518569078595071E-3</v>
      </c>
      <c r="P29" s="4">
        <f t="shared" si="7"/>
        <v>-8.5185690785950698E-4</v>
      </c>
      <c r="Q29" s="12">
        <f t="shared" si="8"/>
        <v>-3.3964241029094975</v>
      </c>
      <c r="S29" s="2">
        <v>2014</v>
      </c>
      <c r="T29" s="4">
        <v>2.5000000000000001E-2</v>
      </c>
      <c r="U29" s="4">
        <f t="shared" si="9"/>
        <v>1.6548058306388381E-2</v>
      </c>
      <c r="V29" s="4">
        <f t="shared" si="10"/>
        <v>8.4519416936116205E-3</v>
      </c>
      <c r="W29" s="12">
        <f t="shared" si="11"/>
        <v>-3.6635616461296463</v>
      </c>
      <c r="Y29" s="2">
        <v>2024</v>
      </c>
      <c r="Z29" s="4">
        <v>7.1999999999999995E-2</v>
      </c>
      <c r="AA29" s="4">
        <f t="shared" si="12"/>
        <v>8.201341091787924E-2</v>
      </c>
      <c r="AB29" s="4">
        <f t="shared" si="13"/>
        <v>-1.0013410917879245E-2</v>
      </c>
      <c r="AC29" s="12">
        <f t="shared" si="14"/>
        <v>-2.5563656137701454</v>
      </c>
    </row>
    <row r="30" spans="1:29" x14ac:dyDescent="0.35">
      <c r="A30" s="2">
        <v>2010</v>
      </c>
      <c r="B30" s="4">
        <v>2.5999999999999999E-2</v>
      </c>
      <c r="C30" s="4">
        <f t="shared" si="0"/>
        <v>5.2376366394221018E-2</v>
      </c>
      <c r="D30" s="4">
        <f t="shared" si="1"/>
        <v>-2.6376366394221019E-2</v>
      </c>
      <c r="E30" s="12">
        <f t="shared" si="2"/>
        <v>-2.855585641810749</v>
      </c>
      <c r="G30" s="2">
        <v>2022</v>
      </c>
      <c r="H30" s="4">
        <v>0.52300000000000002</v>
      </c>
      <c r="I30" s="4">
        <f t="shared" si="3"/>
        <v>0.53330734569494098</v>
      </c>
      <c r="J30" s="4">
        <f t="shared" si="4"/>
        <v>-1.0307345694940961E-2</v>
      </c>
      <c r="K30" s="12">
        <f t="shared" si="5"/>
        <v>3.7746748142769215</v>
      </c>
      <c r="M30" s="2">
        <v>2005</v>
      </c>
      <c r="N30" s="4">
        <v>1.2999999999999999E-2</v>
      </c>
      <c r="O30" s="4">
        <f t="shared" si="6"/>
        <v>1.1917684842286487E-2</v>
      </c>
      <c r="P30" s="4">
        <f t="shared" si="7"/>
        <v>1.0823151577135127E-3</v>
      </c>
      <c r="Q30" s="12">
        <f t="shared" si="8"/>
        <v>-2.7482566215802504</v>
      </c>
      <c r="S30" s="2">
        <v>2015</v>
      </c>
      <c r="T30" s="4">
        <v>2.4E-2</v>
      </c>
      <c r="U30" s="4">
        <f t="shared" si="9"/>
        <v>1.9824754374213747E-2</v>
      </c>
      <c r="V30" s="4">
        <f t="shared" si="10"/>
        <v>4.1752456257862537E-3</v>
      </c>
      <c r="W30" s="12">
        <f t="shared" si="11"/>
        <v>-3.7054087560651467</v>
      </c>
      <c r="Y30" s="2">
        <v>2025</v>
      </c>
      <c r="Z30" s="4">
        <v>9.8000000000000004E-2</v>
      </c>
      <c r="AA30" s="4">
        <f t="shared" si="12"/>
        <v>0.10675732771361698</v>
      </c>
      <c r="AB30" s="4">
        <f t="shared" si="13"/>
        <v>-8.7573277136169803E-3</v>
      </c>
      <c r="AC30" s="12">
        <f t="shared" si="14"/>
        <v>-2.2196470413920517</v>
      </c>
    </row>
    <row r="31" spans="1:29" x14ac:dyDescent="0.35">
      <c r="A31" s="2">
        <v>2011</v>
      </c>
      <c r="B31" s="4">
        <v>6.0999999999999999E-2</v>
      </c>
      <c r="C31" s="4">
        <f t="shared" si="0"/>
        <v>6.7334863247823826E-2</v>
      </c>
      <c r="D31" s="4">
        <f t="shared" si="1"/>
        <v>-6.334863247823827E-3</v>
      </c>
      <c r="E31" s="12">
        <f t="shared" si="2"/>
        <v>-1.9222123576254901</v>
      </c>
      <c r="G31" s="2">
        <v>2023</v>
      </c>
      <c r="H31" s="4">
        <v>0.505</v>
      </c>
      <c r="I31" s="4">
        <f t="shared" si="3"/>
        <v>0.53408080120132728</v>
      </c>
      <c r="J31" s="4">
        <f t="shared" si="4"/>
        <v>-2.9080801201327278E-2</v>
      </c>
      <c r="K31" s="12">
        <f t="shared" si="5"/>
        <v>2.8233610476132034</v>
      </c>
      <c r="M31" s="2">
        <v>2006</v>
      </c>
      <c r="N31" s="4">
        <v>1.4E-2</v>
      </c>
      <c r="O31" s="4">
        <f t="shared" si="6"/>
        <v>1.7907737703111132E-2</v>
      </c>
      <c r="P31" s="4">
        <f t="shared" si="7"/>
        <v>-3.9077377031111315E-3</v>
      </c>
      <c r="Q31" s="12">
        <f t="shared" si="8"/>
        <v>-2.6692103677859462</v>
      </c>
      <c r="S31" s="2">
        <v>2016</v>
      </c>
      <c r="T31" s="4">
        <v>1.7999999999999999E-2</v>
      </c>
      <c r="U31" s="4">
        <f t="shared" si="9"/>
        <v>2.3734613359750623E-2</v>
      </c>
      <c r="V31" s="4">
        <f t="shared" si="10"/>
        <v>-5.7346133597506246E-3</v>
      </c>
      <c r="W31" s="12">
        <f t="shared" si="11"/>
        <v>-3.9992195504583012</v>
      </c>
    </row>
    <row r="32" spans="1:29" x14ac:dyDescent="0.35">
      <c r="A32" s="2">
        <v>2012</v>
      </c>
      <c r="B32" s="4">
        <v>7.4999999999999997E-2</v>
      </c>
      <c r="C32" s="4">
        <f t="shared" si="0"/>
        <v>8.5705206852593641E-2</v>
      </c>
      <c r="D32" s="4">
        <f t="shared" si="1"/>
        <v>-1.0705206852593643E-2</v>
      </c>
      <c r="E32" s="12">
        <f t="shared" si="2"/>
        <v>-1.6814484484103724</v>
      </c>
      <c r="G32" s="2">
        <v>2024</v>
      </c>
      <c r="H32" s="4">
        <v>0.56200000000000006</v>
      </c>
      <c r="I32" s="4">
        <f t="shared" si="3"/>
        <v>0.53450115811781163</v>
      </c>
      <c r="J32" s="4">
        <f t="shared" si="4"/>
        <v>2.749884188218843E-2</v>
      </c>
      <c r="K32" s="12" t="str">
        <f t="shared" si="5"/>
        <v/>
      </c>
      <c r="M32" s="2">
        <v>2007</v>
      </c>
      <c r="N32" s="4">
        <v>5.0999999999999997E-2</v>
      </c>
      <c r="O32" s="4">
        <f t="shared" si="6"/>
        <v>2.6517308776694209E-2</v>
      </c>
      <c r="P32" s="4">
        <f t="shared" si="7"/>
        <v>2.4482691223305788E-2</v>
      </c>
      <c r="Q32" s="12">
        <f t="shared" si="8"/>
        <v>-1.1741198411762548</v>
      </c>
      <c r="S32" s="2">
        <v>2017</v>
      </c>
      <c r="T32" s="4">
        <v>2.3E-2</v>
      </c>
      <c r="U32" s="4">
        <f t="shared" si="9"/>
        <v>2.8393241821700183E-2</v>
      </c>
      <c r="V32" s="4">
        <f t="shared" si="10"/>
        <v>-5.3932418217001836E-3</v>
      </c>
      <c r="W32" s="12">
        <f t="shared" si="11"/>
        <v>-3.7489924361136331</v>
      </c>
    </row>
    <row r="33" spans="1:23" x14ac:dyDescent="0.35">
      <c r="A33" s="2">
        <v>2013</v>
      </c>
      <c r="B33" s="4">
        <v>0.13</v>
      </c>
      <c r="C33" s="4">
        <f t="shared" si="0"/>
        <v>0.10777209579346378</v>
      </c>
      <c r="D33" s="4">
        <f t="shared" si="1"/>
        <v>2.2227904206536225E-2</v>
      </c>
      <c r="E33" s="12">
        <f t="shared" si="2"/>
        <v>-0.98466802931889175</v>
      </c>
      <c r="G33" s="2">
        <v>2025</v>
      </c>
      <c r="H33" s="4">
        <v>0.52</v>
      </c>
      <c r="I33" s="4">
        <f t="shared" si="3"/>
        <v>0.53472937988009728</v>
      </c>
      <c r="J33" s="4">
        <f t="shared" si="4"/>
        <v>-1.472937988009726E-2</v>
      </c>
      <c r="K33" s="12">
        <f t="shared" si="5"/>
        <v>3.545778610473262</v>
      </c>
      <c r="M33" s="2">
        <v>2008</v>
      </c>
      <c r="N33" s="4">
        <v>5.5E-2</v>
      </c>
      <c r="O33" s="4">
        <f t="shared" si="6"/>
        <v>3.8462440362860902E-2</v>
      </c>
      <c r="P33" s="4">
        <f t="shared" si="7"/>
        <v>1.6537559637139099E-2</v>
      </c>
      <c r="Q33" s="12">
        <f t="shared" si="8"/>
        <v>-1.0740711797519922</v>
      </c>
      <c r="S33" s="2">
        <v>2018</v>
      </c>
      <c r="T33" s="4">
        <v>1.9E-2</v>
      </c>
      <c r="U33" s="4">
        <f t="shared" si="9"/>
        <v>3.3934481684172978E-2</v>
      </c>
      <c r="V33" s="4">
        <f t="shared" si="10"/>
        <v>-1.4934481684172978E-2</v>
      </c>
      <c r="W33" s="12">
        <f t="shared" si="11"/>
        <v>-3.9441334803989228</v>
      </c>
    </row>
    <row r="34" spans="1:23" x14ac:dyDescent="0.35">
      <c r="A34" s="2">
        <v>2014</v>
      </c>
      <c r="B34" s="4">
        <v>0.13800000000000001</v>
      </c>
      <c r="C34" s="4">
        <f t="shared" si="0"/>
        <v>0.13358589960260306</v>
      </c>
      <c r="D34" s="4">
        <f t="shared" si="1"/>
        <v>4.4141003973969528E-3</v>
      </c>
      <c r="E34" s="12">
        <f t="shared" si="2"/>
        <v>-0.90169193245300228</v>
      </c>
      <c r="M34" s="2">
        <v>2009</v>
      </c>
      <c r="N34" s="4">
        <v>7.2999999999999995E-2</v>
      </c>
      <c r="O34" s="4">
        <f t="shared" si="6"/>
        <v>5.4247925767646893E-2</v>
      </c>
      <c r="P34" s="4">
        <f t="shared" si="7"/>
        <v>1.8752074232353103E-2</v>
      </c>
      <c r="Q34" s="12">
        <f t="shared" si="8"/>
        <v>-0.67238518911151635</v>
      </c>
      <c r="S34" s="2">
        <v>2019</v>
      </c>
      <c r="T34" s="4">
        <v>2.5000000000000001E-2</v>
      </c>
      <c r="U34" s="4">
        <f t="shared" si="9"/>
        <v>4.0512061506598855E-2</v>
      </c>
      <c r="V34" s="4">
        <f t="shared" si="10"/>
        <v>-1.5512061506598854E-2</v>
      </c>
      <c r="W34" s="12">
        <f t="shared" si="11"/>
        <v>-3.6635616461296463</v>
      </c>
    </row>
    <row r="35" spans="1:23" x14ac:dyDescent="0.35">
      <c r="A35" s="2">
        <v>2015</v>
      </c>
      <c r="B35" s="4">
        <v>0.14799999999999999</v>
      </c>
      <c r="C35" s="4">
        <f t="shared" si="0"/>
        <v>0.1628627968843025</v>
      </c>
      <c r="D35" s="4">
        <f t="shared" si="1"/>
        <v>-1.4862796884302504E-2</v>
      </c>
      <c r="E35" s="12">
        <f t="shared" si="2"/>
        <v>-0.80188038069641077</v>
      </c>
      <c r="M35" s="2">
        <v>2010</v>
      </c>
      <c r="N35" s="4">
        <v>7.1999999999999995E-2</v>
      </c>
      <c r="O35" s="4">
        <f t="shared" si="6"/>
        <v>7.3818258637444775E-2</v>
      </c>
      <c r="P35" s="4">
        <f t="shared" si="7"/>
        <v>-1.8182586374447807E-3</v>
      </c>
      <c r="Q35" s="12">
        <f t="shared" si="8"/>
        <v>-0.69314718055994551</v>
      </c>
      <c r="S35" s="2">
        <v>2020</v>
      </c>
      <c r="T35" s="4">
        <v>3.1E-2</v>
      </c>
      <c r="U35" s="4">
        <f t="shared" si="9"/>
        <v>4.830084113242631E-2</v>
      </c>
      <c r="V35" s="4">
        <f t="shared" si="10"/>
        <v>-1.730084113242631E-2</v>
      </c>
      <c r="W35" s="12">
        <f t="shared" si="11"/>
        <v>-3.4422774074056197</v>
      </c>
    </row>
    <row r="36" spans="1:23" x14ac:dyDescent="0.35">
      <c r="A36" s="2">
        <v>2016</v>
      </c>
      <c r="B36" s="4">
        <v>0.19400000000000001</v>
      </c>
      <c r="C36" s="4">
        <f t="shared" si="0"/>
        <v>0.19492465496249028</v>
      </c>
      <c r="D36" s="4">
        <f t="shared" si="1"/>
        <v>-9.246549624902789E-4</v>
      </c>
      <c r="E36" s="12">
        <f t="shared" si="2"/>
        <v>-0.38111607909787776</v>
      </c>
      <c r="M36" s="2">
        <v>2011</v>
      </c>
      <c r="N36" s="4">
        <v>0.08</v>
      </c>
      <c r="O36" s="4">
        <f t="shared" si="6"/>
        <v>9.624771953043286E-2</v>
      </c>
      <c r="P36" s="4">
        <f t="shared" si="7"/>
        <v>-1.6247719530432858E-2</v>
      </c>
      <c r="Q36" s="12">
        <f t="shared" si="8"/>
        <v>-0.53062825106217038</v>
      </c>
      <c r="S36" s="2">
        <v>2021</v>
      </c>
      <c r="T36" s="4">
        <v>5.2999999999999999E-2</v>
      </c>
      <c r="U36" s="4">
        <f t="shared" si="9"/>
        <v>5.7497343020393818E-2</v>
      </c>
      <c r="V36" s="4">
        <f t="shared" si="10"/>
        <v>-4.4973430203938194E-3</v>
      </c>
      <c r="W36" s="12">
        <f t="shared" si="11"/>
        <v>-2.8830071796339563</v>
      </c>
    </row>
    <row r="37" spans="1:23" x14ac:dyDescent="0.35">
      <c r="A37" s="2">
        <v>2017</v>
      </c>
      <c r="B37" s="4">
        <v>0.23200000000000001</v>
      </c>
      <c r="C37" s="4">
        <f t="shared" si="0"/>
        <v>0.22871740147048375</v>
      </c>
      <c r="D37" s="4">
        <f t="shared" si="1"/>
        <v>3.2825985295162619E-3</v>
      </c>
      <c r="E37" s="12">
        <f t="shared" si="2"/>
        <v>-5.8594164266052705E-2</v>
      </c>
      <c r="M37" s="2">
        <v>2012</v>
      </c>
      <c r="N37" s="4">
        <v>8.8999999999999996E-2</v>
      </c>
      <c r="O37" s="4">
        <f t="shared" si="6"/>
        <v>0.11975228046956715</v>
      </c>
      <c r="P37" s="4">
        <f t="shared" si="7"/>
        <v>-3.0752280469567156E-2</v>
      </c>
      <c r="Q37" s="12">
        <f t="shared" si="8"/>
        <v>-0.35555071672645144</v>
      </c>
      <c r="S37" s="2">
        <v>2022</v>
      </c>
      <c r="T37" s="4">
        <v>0.06</v>
      </c>
      <c r="U37" s="4">
        <f t="shared" si="9"/>
        <v>6.8319163523930457E-2</v>
      </c>
      <c r="V37" s="4">
        <f t="shared" si="10"/>
        <v>-8.319163523930459E-3</v>
      </c>
      <c r="W37" s="12">
        <f t="shared" si="11"/>
        <v>-2.7515353130419489</v>
      </c>
    </row>
    <row r="38" spans="1:23" x14ac:dyDescent="0.35">
      <c r="A38" s="2">
        <v>2018</v>
      </c>
      <c r="B38" s="4">
        <v>0.29599999999999999</v>
      </c>
      <c r="C38" s="4">
        <f t="shared" si="0"/>
        <v>0.26292712756220921</v>
      </c>
      <c r="D38" s="4">
        <f t="shared" si="1"/>
        <v>3.3072872437790779E-2</v>
      </c>
      <c r="E38" s="12">
        <f t="shared" si="2"/>
        <v>0.48635276724726501</v>
      </c>
      <c r="M38" s="2">
        <v>2013</v>
      </c>
      <c r="N38" s="4">
        <v>0.114</v>
      </c>
      <c r="O38" s="4">
        <f t="shared" si="6"/>
        <v>0.14218174136255524</v>
      </c>
      <c r="P38" s="4">
        <f t="shared" si="7"/>
        <v>-2.8181741362555232E-2</v>
      </c>
      <c r="Q38" s="12">
        <f t="shared" si="8"/>
        <v>0.1112256351102244</v>
      </c>
      <c r="S38" s="2">
        <v>2023</v>
      </c>
      <c r="T38" s="4">
        <v>7.1999999999999995E-2</v>
      </c>
      <c r="U38" s="4">
        <f t="shared" si="9"/>
        <v>8.1002751879997517E-2</v>
      </c>
      <c r="V38" s="4">
        <f t="shared" si="10"/>
        <v>-9.0027518799975226E-3</v>
      </c>
      <c r="W38" s="12">
        <f t="shared" si="11"/>
        <v>-2.5563656137701454</v>
      </c>
    </row>
    <row r="39" spans="1:23" x14ac:dyDescent="0.35">
      <c r="A39" s="2">
        <v>2019</v>
      </c>
      <c r="B39" s="4">
        <v>0.29799999999999999</v>
      </c>
      <c r="C39" s="4">
        <f t="shared" si="0"/>
        <v>0.29617434546089821</v>
      </c>
      <c r="D39" s="4">
        <f t="shared" si="1"/>
        <v>1.8256545391017731E-3</v>
      </c>
      <c r="E39" s="12">
        <f t="shared" si="2"/>
        <v>0.50413663561519406</v>
      </c>
      <c r="M39" s="2">
        <v>2014</v>
      </c>
      <c r="N39" s="4">
        <v>0.16300000000000001</v>
      </c>
      <c r="O39" s="4">
        <f t="shared" si="6"/>
        <v>0.16175207423235313</v>
      </c>
      <c r="P39" s="4">
        <f t="shared" si="7"/>
        <v>1.2479257676468736E-3</v>
      </c>
      <c r="Q39" s="12">
        <f t="shared" si="8"/>
        <v>1.1234582872546406</v>
      </c>
      <c r="S39" s="2">
        <v>2024</v>
      </c>
      <c r="T39" s="4">
        <v>9.5000000000000001E-2</v>
      </c>
      <c r="U39" s="4">
        <f t="shared" si="9"/>
        <v>9.5798950998279425E-2</v>
      </c>
      <c r="V39" s="4">
        <f t="shared" si="10"/>
        <v>-7.9895099827942406E-4</v>
      </c>
      <c r="W39" s="12">
        <f t="shared" si="11"/>
        <v>-2.2540580520993854</v>
      </c>
    </row>
    <row r="40" spans="1:23" x14ac:dyDescent="0.35">
      <c r="A40" s="2">
        <v>2020</v>
      </c>
      <c r="B40" s="4">
        <v>0.34200000000000003</v>
      </c>
      <c r="C40" s="4">
        <f t="shared" si="0"/>
        <v>0.327229195878803</v>
      </c>
      <c r="D40" s="4">
        <f t="shared" si="1"/>
        <v>1.4770804121197023E-2</v>
      </c>
      <c r="E40" s="12">
        <f t="shared" si="2"/>
        <v>0.92215585132655342</v>
      </c>
      <c r="M40" s="2">
        <v>2015</v>
      </c>
      <c r="N40" s="4">
        <v>0.21299999999999999</v>
      </c>
      <c r="O40" s="4">
        <f t="shared" si="6"/>
        <v>0.1775375596371391</v>
      </c>
      <c r="P40" s="4">
        <f t="shared" si="7"/>
        <v>3.5462440362860892E-2</v>
      </c>
      <c r="Q40" s="12">
        <f t="shared" si="8"/>
        <v>4.2626798770413146</v>
      </c>
      <c r="S40" s="2">
        <v>2025</v>
      </c>
      <c r="T40" s="4">
        <v>0.14000000000000001</v>
      </c>
      <c r="U40" s="4">
        <f t="shared" si="9"/>
        <v>0.11296564172342723</v>
      </c>
      <c r="V40" s="4">
        <f t="shared" si="10"/>
        <v>2.7034358276572787E-2</v>
      </c>
      <c r="W40" s="12">
        <f t="shared" si="11"/>
        <v>-1.8152899666382492</v>
      </c>
    </row>
    <row r="41" spans="1:23" x14ac:dyDescent="0.35">
      <c r="A41" s="2">
        <v>2021</v>
      </c>
      <c r="B41" s="4">
        <v>0.318</v>
      </c>
      <c r="C41" s="4">
        <f t="shared" si="0"/>
        <v>0.35517955880958396</v>
      </c>
      <c r="D41" s="4">
        <f t="shared" si="1"/>
        <v>-3.7179558809583957E-2</v>
      </c>
      <c r="E41" s="12">
        <f t="shared" si="2"/>
        <v>0.6868775675463501</v>
      </c>
      <c r="M41" s="2">
        <v>2016</v>
      </c>
      <c r="N41" s="4">
        <v>0.21</v>
      </c>
      <c r="O41" s="4">
        <f t="shared" si="6"/>
        <v>0.18948269122330577</v>
      </c>
      <c r="P41" s="4">
        <f t="shared" si="7"/>
        <v>2.0517308776694221E-2</v>
      </c>
      <c r="Q41" s="12">
        <f t="shared" si="8"/>
        <v>3.5553480614894126</v>
      </c>
    </row>
    <row r="42" spans="1:23" x14ac:dyDescent="0.35">
      <c r="A42" s="2">
        <v>2022</v>
      </c>
      <c r="B42" s="4">
        <v>0.35799999999999998</v>
      </c>
      <c r="C42" s="4">
        <f t="shared" si="0"/>
        <v>0.37950797260133307</v>
      </c>
      <c r="D42" s="4">
        <f t="shared" si="1"/>
        <v>-2.1507972601333081E-2</v>
      </c>
      <c r="E42" s="12">
        <f t="shared" si="2"/>
        <v>1.0930412436186543</v>
      </c>
      <c r="M42" s="2">
        <v>2017</v>
      </c>
      <c r="N42" s="4">
        <v>0.21199999999999999</v>
      </c>
      <c r="O42" s="4">
        <f t="shared" si="6"/>
        <v>0.19809226229688884</v>
      </c>
      <c r="P42" s="4">
        <f t="shared" si="7"/>
        <v>1.3907737703111156E-2</v>
      </c>
      <c r="Q42" s="12">
        <f t="shared" si="8"/>
        <v>3.9702919135521211</v>
      </c>
    </row>
    <row r="43" spans="1:23" x14ac:dyDescent="0.35">
      <c r="A43" s="2">
        <v>2023</v>
      </c>
      <c r="B43" s="4">
        <v>0.373</v>
      </c>
      <c r="C43" s="4">
        <f t="shared" si="0"/>
        <v>0.40007466059498925</v>
      </c>
      <c r="D43" s="4">
        <f t="shared" si="1"/>
        <v>-2.7074660594989253E-2</v>
      </c>
      <c r="E43" s="12">
        <f t="shared" si="2"/>
        <v>1.2676180694862924</v>
      </c>
      <c r="M43" s="2">
        <v>2018</v>
      </c>
      <c r="N43" s="4">
        <v>0.20100000000000001</v>
      </c>
      <c r="O43" s="4">
        <f t="shared" si="6"/>
        <v>0.20408231515771352</v>
      </c>
      <c r="P43" s="4">
        <f t="shared" si="7"/>
        <v>-3.0823151577135111E-3</v>
      </c>
      <c r="Q43" s="12">
        <f t="shared" si="8"/>
        <v>2.5952547069568666</v>
      </c>
    </row>
    <row r="44" spans="1:23" x14ac:dyDescent="0.35">
      <c r="A44" s="2">
        <v>2024</v>
      </c>
      <c r="B44" s="4">
        <v>0.44400000000000001</v>
      </c>
      <c r="C44" s="4">
        <f t="shared" si="0"/>
        <v>0.41703658385045156</v>
      </c>
      <c r="D44" s="4">
        <f t="shared" si="1"/>
        <v>2.6963416149548447E-2</v>
      </c>
      <c r="E44" s="12">
        <f t="shared" si="2"/>
        <v>2.569464037816064</v>
      </c>
      <c r="M44" s="2">
        <v>2019</v>
      </c>
      <c r="N44" s="4">
        <v>0.217</v>
      </c>
      <c r="O44" s="4">
        <f t="shared" si="6"/>
        <v>0.2081481430921405</v>
      </c>
      <c r="P44" s="4">
        <f t="shared" si="7"/>
        <v>8.8518569078595011E-3</v>
      </c>
      <c r="Q44" s="12" t="str">
        <f t="shared" si="8"/>
        <v/>
      </c>
    </row>
    <row r="45" spans="1:23" x14ac:dyDescent="0.35">
      <c r="A45" s="2">
        <v>2025</v>
      </c>
      <c r="B45" s="4">
        <v>0.44800000000000001</v>
      </c>
      <c r="C45" s="4">
        <f t="shared" si="0"/>
        <v>0.43074253865632872</v>
      </c>
      <c r="D45" s="4">
        <f t="shared" si="1"/>
        <v>1.7257461343671288E-2</v>
      </c>
      <c r="E45" s="12">
        <f t="shared" si="2"/>
        <v>2.7035958507528308</v>
      </c>
      <c r="M45" s="2">
        <v>2020</v>
      </c>
      <c r="N45" s="4">
        <v>0.245</v>
      </c>
      <c r="O45" s="4">
        <f t="shared" si="6"/>
        <v>0.21086179940309946</v>
      </c>
      <c r="P45" s="4">
        <f t="shared" si="7"/>
        <v>3.4138200596900536E-2</v>
      </c>
      <c r="Q45" s="12" t="str">
        <f t="shared" si="8"/>
        <v/>
      </c>
    </row>
    <row r="46" spans="1:23" x14ac:dyDescent="0.35">
      <c r="M46" s="2">
        <v>2021</v>
      </c>
      <c r="N46" s="4">
        <v>0.21199999999999999</v>
      </c>
      <c r="O46" s="4">
        <f t="shared" si="6"/>
        <v>0.21265267934479062</v>
      </c>
      <c r="P46" s="4">
        <f t="shared" si="7"/>
        <v>-6.5267934479062983E-4</v>
      </c>
      <c r="Q46" s="12">
        <f t="shared" si="8"/>
        <v>3.9702919135521211</v>
      </c>
    </row>
    <row r="47" spans="1:23" x14ac:dyDescent="0.35">
      <c r="M47" s="2">
        <v>2022</v>
      </c>
      <c r="N47" s="4">
        <v>0.20100000000000001</v>
      </c>
      <c r="O47" s="4">
        <f t="shared" si="6"/>
        <v>0.21382579809724639</v>
      </c>
      <c r="P47" s="4">
        <f t="shared" si="7"/>
        <v>-1.2825798097246377E-2</v>
      </c>
      <c r="Q47" s="12">
        <f t="shared" si="8"/>
        <v>2.5952547069568666</v>
      </c>
    </row>
    <row r="48" spans="1:23" x14ac:dyDescent="0.35">
      <c r="M48" s="2">
        <v>2023</v>
      </c>
      <c r="N48" s="4">
        <v>0.189</v>
      </c>
      <c r="O48" s="4">
        <f t="shared" si="6"/>
        <v>0.21459050486010739</v>
      </c>
      <c r="P48" s="4">
        <f t="shared" si="7"/>
        <v>-2.5590504860107388E-2</v>
      </c>
      <c r="Q48" s="12">
        <f t="shared" si="8"/>
        <v>1.9459101490553135</v>
      </c>
    </row>
    <row r="49" spans="13:17" x14ac:dyDescent="0.35">
      <c r="M49" s="2">
        <v>2024</v>
      </c>
      <c r="N49" s="4">
        <v>0.20799999999999999</v>
      </c>
      <c r="O49" s="4">
        <f t="shared" si="6"/>
        <v>0.21508739812104122</v>
      </c>
      <c r="P49" s="4">
        <f t="shared" si="7"/>
        <v>-7.0873981210412274E-3</v>
      </c>
      <c r="Q49" s="12">
        <f t="shared" si="8"/>
        <v>3.2580965380214812</v>
      </c>
    </row>
    <row r="50" spans="13:17" x14ac:dyDescent="0.35">
      <c r="M50" s="2">
        <v>2025</v>
      </c>
      <c r="N50" s="4">
        <v>0.192</v>
      </c>
      <c r="O50" s="4">
        <f t="shared" si="6"/>
        <v>0.21540960215632549</v>
      </c>
      <c r="P50" s="4">
        <f t="shared" si="7"/>
        <v>-2.3409602156325482E-2</v>
      </c>
      <c r="Q50" s="12">
        <f t="shared" si="8"/>
        <v>2.0794415416798362</v>
      </c>
    </row>
  </sheetData>
  <mergeCells count="2">
    <mergeCell ref="A11:N11"/>
    <mergeCell ref="A2:N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1"/>
  <sheetViews>
    <sheetView workbookViewId="0"/>
  </sheetViews>
  <sheetFormatPr defaultRowHeight="14.5" x14ac:dyDescent="0.35"/>
  <cols>
    <col min="1" max="1" width="12" customWidth="1"/>
    <col min="2" max="2" width="22" customWidth="1"/>
    <col min="3" max="3" width="13" customWidth="1"/>
    <col min="4" max="4" width="12" customWidth="1"/>
    <col min="5" max="5" width="14" customWidth="1"/>
    <col min="6" max="6" width="30" customWidth="1"/>
    <col min="7" max="7" width="15" customWidth="1"/>
    <col min="8" max="8" width="2" customWidth="1"/>
    <col min="9" max="9" width="46" customWidth="1"/>
    <col min="10" max="10" width="14" customWidth="1"/>
  </cols>
  <sheetData>
    <row r="1" spans="1:10" ht="17" x14ac:dyDescent="0.4">
      <c r="A1" s="1" t="s">
        <v>1291</v>
      </c>
    </row>
    <row r="2" spans="1:10" ht="48" customHeight="1" x14ac:dyDescent="0.35">
      <c r="A2" s="30" t="s">
        <v>1292</v>
      </c>
      <c r="B2" s="31"/>
      <c r="C2" s="31"/>
      <c r="D2" s="31"/>
      <c r="E2" s="31"/>
      <c r="F2" s="31"/>
      <c r="G2" s="31"/>
      <c r="H2" s="31"/>
      <c r="I2" s="31"/>
    </row>
    <row r="4" spans="1:10" x14ac:dyDescent="0.35">
      <c r="A4" s="3" t="s">
        <v>1293</v>
      </c>
      <c r="E4" s="12">
        <v>0.97499999999999998</v>
      </c>
    </row>
    <row r="5" spans="1:10" x14ac:dyDescent="0.35">
      <c r="A5" s="3" t="s">
        <v>1294</v>
      </c>
      <c r="E5" s="12">
        <f>ABS(Alternatives!C66)</f>
        <v>1.0531042394587053</v>
      </c>
    </row>
    <row r="8" spans="1:10" x14ac:dyDescent="0.35">
      <c r="A8" s="3" t="s">
        <v>1227</v>
      </c>
      <c r="B8" s="3" t="s">
        <v>1295</v>
      </c>
      <c r="C8" s="3" t="s">
        <v>1296</v>
      </c>
      <c r="D8" s="3" t="s">
        <v>27</v>
      </c>
      <c r="E8" s="3" t="s">
        <v>1231</v>
      </c>
      <c r="F8" s="3" t="s">
        <v>1297</v>
      </c>
      <c r="G8" s="3" t="s">
        <v>1234</v>
      </c>
      <c r="I8" s="3" t="s">
        <v>1298</v>
      </c>
    </row>
    <row r="9" spans="1:10" x14ac:dyDescent="0.35">
      <c r="A9" s="2">
        <v>2012</v>
      </c>
      <c r="B9" s="7">
        <v>89.140649999999994</v>
      </c>
      <c r="C9" s="5">
        <v>4500</v>
      </c>
      <c r="D9" s="16">
        <v>349</v>
      </c>
      <c r="E9" s="12">
        <f t="shared" ref="E9:E21" si="0">(C9/$C$21)^$E$4</f>
        <v>1.0199547053064353</v>
      </c>
      <c r="F9" s="7">
        <f t="shared" ref="F9:F21" si="1">B9*E9</f>
        <v>90.919425401574088</v>
      </c>
      <c r="G9" s="4">
        <f t="shared" ref="G9:G21" si="2">LN(F9)</f>
        <v>4.5099736791400664</v>
      </c>
      <c r="I9" s="2" t="s">
        <v>1299</v>
      </c>
      <c r="J9" s="20">
        <f>INDEX(LINEST(G9:G21,A9:A21,TRUE,TRUE),1,1)</f>
        <v>2.3326899015184376E-2</v>
      </c>
    </row>
    <row r="10" spans="1:10" x14ac:dyDescent="0.35">
      <c r="A10" s="2">
        <v>2013</v>
      </c>
      <c r="B10" s="7">
        <v>90.655000000000001</v>
      </c>
      <c r="C10" s="5">
        <v>4500</v>
      </c>
      <c r="D10" s="16">
        <v>346.98399999999998</v>
      </c>
      <c r="E10" s="12">
        <f t="shared" si="0"/>
        <v>1.0199547053064353</v>
      </c>
      <c r="F10" s="7">
        <f t="shared" si="1"/>
        <v>92.463993809554893</v>
      </c>
      <c r="G10" s="4">
        <f t="shared" si="2"/>
        <v>4.5268193126256326</v>
      </c>
      <c r="I10" s="2" t="s">
        <v>1157</v>
      </c>
      <c r="J10" s="12">
        <f>INDEX(LINEST(G9:G21,A9:A21,TRUE,TRUE),1,2)</f>
        <v>-42.369049690466362</v>
      </c>
    </row>
    <row r="11" spans="1:10" x14ac:dyDescent="0.35">
      <c r="A11" s="2">
        <v>2014</v>
      </c>
      <c r="B11" s="7">
        <v>90.168629999999993</v>
      </c>
      <c r="C11" s="5">
        <v>4562.2219999999998</v>
      </c>
      <c r="D11" s="16">
        <v>335.78829999999999</v>
      </c>
      <c r="E11" s="12">
        <f t="shared" si="0"/>
        <v>1.0337027912061094</v>
      </c>
      <c r="F11" s="7">
        <f t="shared" si="1"/>
        <v>93.207564510230924</v>
      </c>
      <c r="G11" s="4">
        <f t="shared" si="2"/>
        <v>4.5348288826707677</v>
      </c>
      <c r="I11" s="2" t="s">
        <v>1163</v>
      </c>
      <c r="J11" s="17">
        <f>INDEX(LINEST(G9:G21,A9:A21,TRUE,TRUE),3,1)</f>
        <v>0.71632056186247417</v>
      </c>
    </row>
    <row r="12" spans="1:10" x14ac:dyDescent="0.35">
      <c r="A12" s="2">
        <v>2015</v>
      </c>
      <c r="B12" s="7">
        <v>97.135120000000001</v>
      </c>
      <c r="C12" s="5">
        <v>4901.7560000000003</v>
      </c>
      <c r="D12" s="16">
        <v>396.16609999999997</v>
      </c>
      <c r="E12" s="12">
        <f t="shared" si="0"/>
        <v>1.1086426491568779</v>
      </c>
      <c r="F12" s="7">
        <f t="shared" si="1"/>
        <v>107.68813676297124</v>
      </c>
      <c r="G12" s="4">
        <f t="shared" si="2"/>
        <v>4.6792394273336608</v>
      </c>
      <c r="I12" s="2" t="s">
        <v>1241</v>
      </c>
      <c r="J12" s="21">
        <f>EXP(J9)-1</f>
        <v>2.3601099051873575E-2</v>
      </c>
    </row>
    <row r="13" spans="1:10" x14ac:dyDescent="0.35">
      <c r="A13" s="2">
        <v>2016</v>
      </c>
      <c r="B13" s="7">
        <v>96.81841</v>
      </c>
      <c r="C13" s="5">
        <v>5172.598</v>
      </c>
      <c r="D13" s="16">
        <v>384.3064</v>
      </c>
      <c r="E13" s="12">
        <f t="shared" si="0"/>
        <v>1.1683277556781004</v>
      </c>
      <c r="F13" s="7">
        <f t="shared" si="1"/>
        <v>113.11563566362216</v>
      </c>
      <c r="G13" s="4">
        <f t="shared" si="2"/>
        <v>4.7284106199296341</v>
      </c>
      <c r="I13" s="2" t="s">
        <v>1300</v>
      </c>
      <c r="J13" s="24">
        <f>COUNT(A9:A21)</f>
        <v>13</v>
      </c>
    </row>
    <row r="14" spans="1:10" x14ac:dyDescent="0.35">
      <c r="A14" s="2">
        <v>2017</v>
      </c>
      <c r="B14" s="7">
        <v>98.218540000000004</v>
      </c>
      <c r="C14" s="5">
        <v>5211.8069999999998</v>
      </c>
      <c r="D14" s="16">
        <v>499.9051</v>
      </c>
      <c r="E14" s="12">
        <f t="shared" si="0"/>
        <v>1.1769616216485279</v>
      </c>
      <c r="F14" s="7">
        <f t="shared" si="1"/>
        <v>115.59945211435081</v>
      </c>
      <c r="G14" s="4">
        <f t="shared" si="2"/>
        <v>4.7501312167318108</v>
      </c>
      <c r="I14" s="2" t="s">
        <v>1301</v>
      </c>
      <c r="J14" s="25">
        <f>EXP(J10+J9*2045)</f>
        <v>207.3604940195687</v>
      </c>
    </row>
    <row r="15" spans="1:10" x14ac:dyDescent="0.35">
      <c r="A15" s="2">
        <v>2018</v>
      </c>
      <c r="B15" s="7">
        <v>113.67319000000001</v>
      </c>
      <c r="C15" s="5">
        <v>4522.5739999999996</v>
      </c>
      <c r="D15" s="16">
        <v>402.72219999999999</v>
      </c>
      <c r="E15" s="12">
        <f t="shared" si="0"/>
        <v>1.0249430254884015</v>
      </c>
      <c r="F15" s="7">
        <f t="shared" si="1"/>
        <v>116.50854327551792</v>
      </c>
      <c r="G15" s="4">
        <f t="shared" si="2"/>
        <v>4.7579646031540976</v>
      </c>
    </row>
    <row r="16" spans="1:10" x14ac:dyDescent="0.35">
      <c r="A16" s="2">
        <v>2019</v>
      </c>
      <c r="B16" s="7">
        <v>117.99979999999999</v>
      </c>
      <c r="C16" s="5">
        <v>4436.4139999999998</v>
      </c>
      <c r="D16" s="16">
        <v>392.01650000000001</v>
      </c>
      <c r="E16" s="12">
        <f t="shared" si="0"/>
        <v>1.0059003293083406</v>
      </c>
      <c r="F16" s="7">
        <f t="shared" si="1"/>
        <v>118.69603767831832</v>
      </c>
      <c r="G16" s="4">
        <f t="shared" si="2"/>
        <v>4.7765659200838932</v>
      </c>
    </row>
    <row r="17" spans="1:7" x14ac:dyDescent="0.35">
      <c r="A17" s="2">
        <v>2020</v>
      </c>
      <c r="B17" s="7">
        <v>119.08936</v>
      </c>
      <c r="C17" s="5">
        <v>4393.6790000000001</v>
      </c>
      <c r="D17" s="16">
        <v>443.69900000000001</v>
      </c>
      <c r="E17" s="12">
        <f t="shared" si="0"/>
        <v>0.99645181184130849</v>
      </c>
      <c r="F17" s="7">
        <f t="shared" si="1"/>
        <v>118.66680854302184</v>
      </c>
      <c r="G17" s="4">
        <f t="shared" si="2"/>
        <v>4.7763196377704684</v>
      </c>
    </row>
    <row r="18" spans="1:7" x14ac:dyDescent="0.35">
      <c r="A18" s="2">
        <v>2021</v>
      </c>
      <c r="B18" s="7">
        <v>123.91925000000001</v>
      </c>
      <c r="C18" s="5">
        <v>4317.2039999999997</v>
      </c>
      <c r="D18" s="16">
        <v>375.8981</v>
      </c>
      <c r="E18" s="12">
        <f t="shared" si="0"/>
        <v>0.97953778075006093</v>
      </c>
      <c r="F18" s="7">
        <f t="shared" si="1"/>
        <v>121.38358713721199</v>
      </c>
      <c r="G18" s="4">
        <f t="shared" si="2"/>
        <v>4.7989556729221912</v>
      </c>
    </row>
    <row r="19" spans="1:7" x14ac:dyDescent="0.35">
      <c r="A19" s="2">
        <v>2022</v>
      </c>
      <c r="B19" s="7">
        <v>119.25117</v>
      </c>
      <c r="C19" s="5">
        <v>4364.1850000000004</v>
      </c>
      <c r="D19" s="16">
        <v>451.82850000000002</v>
      </c>
      <c r="E19" s="12">
        <f t="shared" si="0"/>
        <v>0.98992948147844395</v>
      </c>
      <c r="F19" s="7">
        <f t="shared" si="1"/>
        <v>118.05024888379778</v>
      </c>
      <c r="G19" s="4">
        <f t="shared" si="2"/>
        <v>4.7711103718206829</v>
      </c>
    </row>
    <row r="20" spans="1:7" x14ac:dyDescent="0.35">
      <c r="A20" s="2">
        <v>2023</v>
      </c>
      <c r="B20" s="7">
        <v>120.57422</v>
      </c>
      <c r="C20" s="5">
        <v>4383.7889999999998</v>
      </c>
      <c r="D20" s="16">
        <v>406.87689999999998</v>
      </c>
      <c r="E20" s="12">
        <f t="shared" si="0"/>
        <v>0.99426485046514013</v>
      </c>
      <c r="F20" s="7">
        <f t="shared" si="1"/>
        <v>119.8827088182509</v>
      </c>
      <c r="G20" s="4">
        <f t="shared" si="2"/>
        <v>4.7865138382746801</v>
      </c>
    </row>
    <row r="21" spans="1:7" x14ac:dyDescent="0.35">
      <c r="A21" s="2">
        <v>2024</v>
      </c>
      <c r="B21" s="7">
        <v>117.14232</v>
      </c>
      <c r="C21" s="5">
        <v>4409.7259999999997</v>
      </c>
      <c r="D21" s="16">
        <v>420.45740000000001</v>
      </c>
      <c r="E21" s="12">
        <f t="shared" si="0"/>
        <v>1</v>
      </c>
      <c r="F21" s="7">
        <f t="shared" si="1"/>
        <v>117.14232</v>
      </c>
      <c r="G21" s="4">
        <f t="shared" si="2"/>
        <v>4.7633896058266192</v>
      </c>
    </row>
  </sheetData>
  <mergeCells count="1">
    <mergeCell ref="A2:I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19"/>
  <sheetViews>
    <sheetView workbookViewId="0">
      <pane xSplit="2" ySplit="19" topLeftCell="C20" activePane="bottomRight" state="frozen"/>
      <selection pane="topRight"/>
      <selection pane="bottomLeft"/>
      <selection pane="bottomRight"/>
    </sheetView>
  </sheetViews>
  <sheetFormatPr defaultRowHeight="14.5" x14ac:dyDescent="0.35"/>
  <cols>
    <col min="1" max="1" width="20" customWidth="1"/>
    <col min="2" max="2" width="12" customWidth="1"/>
    <col min="3" max="3" width="11" customWidth="1"/>
    <col min="4" max="4" width="12" customWidth="1"/>
    <col min="5" max="5" width="9" customWidth="1"/>
    <col min="6" max="7" width="12" customWidth="1"/>
    <col min="8" max="8" width="11" customWidth="1"/>
    <col min="9" max="9" width="9" customWidth="1"/>
    <col min="10" max="10" width="13" customWidth="1"/>
    <col min="11" max="11" width="9" customWidth="1"/>
    <col min="12" max="12" width="11" customWidth="1"/>
    <col min="13" max="13" width="12" customWidth="1"/>
    <col min="14" max="14" width="10" customWidth="1"/>
    <col min="15" max="15" width="13" customWidth="1"/>
    <col min="16" max="16" width="9" customWidth="1"/>
  </cols>
  <sheetData>
    <row r="1" spans="1:16" ht="17" x14ac:dyDescent="0.4">
      <c r="A1" s="1" t="s">
        <v>1302</v>
      </c>
    </row>
    <row r="2" spans="1:16" ht="80" customHeight="1" x14ac:dyDescent="0.35">
      <c r="A2" s="30" t="s">
        <v>1303</v>
      </c>
      <c r="B2" s="31"/>
      <c r="C2" s="31"/>
      <c r="D2" s="31"/>
      <c r="E2" s="31"/>
      <c r="F2" s="31"/>
      <c r="G2" s="31"/>
      <c r="H2" s="31"/>
      <c r="I2" s="31"/>
      <c r="J2" s="31"/>
      <c r="K2" s="31"/>
      <c r="L2" s="31"/>
      <c r="M2" s="31"/>
      <c r="N2" s="31"/>
      <c r="O2" s="31"/>
      <c r="P2" s="31"/>
    </row>
    <row r="4" spans="1:16" x14ac:dyDescent="0.35">
      <c r="A4" s="3" t="s">
        <v>1304</v>
      </c>
      <c r="B4" s="4">
        <f>ABS(CER!C8)</f>
        <v>0.4527091196253209</v>
      </c>
      <c r="D4" s="3" t="s">
        <v>1305</v>
      </c>
      <c r="E4" s="4">
        <f>ABS(Alternatives!F7)</f>
        <v>0.30375763566221026</v>
      </c>
    </row>
    <row r="5" spans="1:16" x14ac:dyDescent="0.35">
      <c r="A5" s="3" t="s">
        <v>1306</v>
      </c>
      <c r="B5" s="4">
        <f>ABS(CER!C9)</f>
        <v>0.36894371386739439</v>
      </c>
      <c r="D5" s="3" t="s">
        <v>1307</v>
      </c>
      <c r="E5" s="4">
        <f>ABS(Alternatives!F8)</f>
        <v>0.48301415977877821</v>
      </c>
    </row>
    <row r="7" spans="1:16" ht="32" customHeight="1" x14ac:dyDescent="0.35">
      <c r="A7" s="23" t="s">
        <v>1308</v>
      </c>
      <c r="B7" s="23" t="s">
        <v>1309</v>
      </c>
      <c r="C7" s="23" t="s">
        <v>1310</v>
      </c>
      <c r="D7" s="23" t="s">
        <v>1311</v>
      </c>
      <c r="E7" s="23" t="s">
        <v>1312</v>
      </c>
      <c r="F7" s="23" t="s">
        <v>1313</v>
      </c>
      <c r="G7" s="23" t="s">
        <v>1314</v>
      </c>
      <c r="H7" s="23" t="s">
        <v>1315</v>
      </c>
      <c r="I7" s="23" t="s">
        <v>1316</v>
      </c>
      <c r="J7" s="23" t="s">
        <v>1317</v>
      </c>
      <c r="K7" s="23" t="s">
        <v>1318</v>
      </c>
    </row>
    <row r="8" spans="1:16" x14ac:dyDescent="0.35">
      <c r="A8" s="2" t="s">
        <v>1319</v>
      </c>
      <c r="B8" s="21">
        <f>EXP(INDEX(LINEST(K20:K69,B20:B69,TRUE,TRUE),1,1))-1</f>
        <v>1.7897142438697111E-2</v>
      </c>
      <c r="C8" s="17">
        <f>INDEX(LINEST(K20:K69,B20:B69,TRUE,TRUE),3,1)</f>
        <v>0.97954874315910934</v>
      </c>
      <c r="D8" s="24">
        <f>EXP(INDEX(LINEST(K20:K69,B20:B69,TRUE,TRUE),1,2)+INDEX(LINEST(K20:K69,B20:B69,TRUE,TRUE),1,1)*2045)</f>
        <v>38.130568624427795</v>
      </c>
      <c r="E8" s="21">
        <f>EXP(INDEX(LINEST(P20:P69,B20:B69,TRUE,TRUE),1,1))-1</f>
        <v>1.8621507987029773E-2</v>
      </c>
      <c r="F8" s="17">
        <f>INDEX(LINEST(P20:P69,B20:B69,TRUE,TRUE),3,1)</f>
        <v>0.98403439550479832</v>
      </c>
      <c r="G8" s="24">
        <f>EXP(INDEX(LINEST(P20:P69,B20:B69,TRUE,TRUE),1,2)+INDEX(LINEST(P20:P69,B20:B69,TRUE,TRUE),1,1)*2045)</f>
        <v>39.057284927676697</v>
      </c>
      <c r="H8" s="16">
        <f>O69</f>
        <v>25.714162004327907</v>
      </c>
      <c r="I8" s="26">
        <f>EXP(INDEX(LINEST(K50:K69,B50:B69,TRUE,TRUE),1,1))-1</f>
        <v>2.1898929688973556E-2</v>
      </c>
      <c r="J8" s="26">
        <f>EXP(INDEX(LINEST(P50:P69,B50:B69,TRUE,TRUE),1,1))-1</f>
        <v>1.8664062913224644E-2</v>
      </c>
      <c r="K8" s="24">
        <f>EXP(INDEX(LINEST(P50:P69,B50:B69,TRUE,TRUE),1,2)+INDEX(LINEST(P50:P69,B50:B69,TRUE,TRUE),1,1)*2045)</f>
        <v>39.152456567562531</v>
      </c>
    </row>
    <row r="9" spans="1:16" x14ac:dyDescent="0.35">
      <c r="A9" s="2" t="s">
        <v>1320</v>
      </c>
      <c r="B9" s="21">
        <f>EXP(INDEX(LINEST(K70:K119,B70:B119,TRUE,TRUE),1,1))-1</f>
        <v>1.8643913141340285E-2</v>
      </c>
      <c r="C9" s="17">
        <f>INDEX(LINEST(K70:K119,B70:B119,TRUE,TRUE),3,1)</f>
        <v>0.97782437539595146</v>
      </c>
      <c r="D9" s="24">
        <f>EXP(INDEX(LINEST(K70:K119,B70:B119,TRUE,TRUE),1,2)+INDEX(LINEST(K70:K119,B70:B119,TRUE,TRUE),1,1)*2045)</f>
        <v>48.964370497728027</v>
      </c>
      <c r="E9" s="21">
        <f>EXP(INDEX(LINEST(P70:P119,B70:B119,TRUE,TRUE),1,1))-1</f>
        <v>1.8750131852796725E-2</v>
      </c>
      <c r="F9" s="17">
        <f>INDEX(LINEST(P70:P119,B70:B119,TRUE,TRUE),3,1)</f>
        <v>0.98238690988200894</v>
      </c>
      <c r="G9" s="24">
        <f>EXP(INDEX(LINEST(P70:P119,B70:B119,TRUE,TRUE),1,2)+INDEX(LINEST(P70:P119,B70:B119,TRUE,TRUE),1,1)*2045)</f>
        <v>49.351220249155311</v>
      </c>
      <c r="H9" s="16">
        <f>O119</f>
        <v>31.75424486596922</v>
      </c>
    </row>
    <row r="10" spans="1:16" x14ac:dyDescent="0.35">
      <c r="A10" s="2" t="s">
        <v>1321</v>
      </c>
      <c r="B10" s="21">
        <f>EXP(INDEX(LINEST(K120:K169,B120:B169,TRUE,TRUE),1,1))-1</f>
        <v>2.4110537297239221E-2</v>
      </c>
      <c r="C10" s="17">
        <f>INDEX(LINEST(K120:K169,B120:B169,TRUE,TRUE),3,1)</f>
        <v>0.91822635037371469</v>
      </c>
      <c r="D10" s="24">
        <f>EXP(INDEX(LINEST(K120:K169,B120:B169,TRUE,TRUE),1,2)+INDEX(LINEST(K120:K169,B120:B169,TRUE,TRUE),1,1)*2045)</f>
        <v>50.200411005269622</v>
      </c>
      <c r="E10" s="21">
        <f>EXP(INDEX(LINEST(P120:P169,B120:B169,TRUE,TRUE),1,1))-1</f>
        <v>2.2422855836127908E-2</v>
      </c>
      <c r="F10" s="17">
        <f>INDEX(LINEST(P120:P169,B120:B169,TRUE,TRUE),3,1)</f>
        <v>0.94440924806169169</v>
      </c>
      <c r="G10" s="24">
        <f>EXP(INDEX(LINEST(P120:P169,B120:B169,TRUE,TRUE),1,2)+INDEX(LINEST(P120:P169,B120:B169,TRUE,TRUE),1,1)*2045)</f>
        <v>53.09225924487756</v>
      </c>
      <c r="H10" s="16">
        <f>O169</f>
        <v>30.331207060422997</v>
      </c>
    </row>
    <row r="11" spans="1:16" x14ac:dyDescent="0.35">
      <c r="A11" s="2" t="s">
        <v>1322</v>
      </c>
      <c r="B11" s="21">
        <f>EXP(INDEX(LINEST(K170:K219,B170:B219,TRUE,TRUE),1,1))-1</f>
        <v>2.0780183841014876E-2</v>
      </c>
      <c r="C11" s="17">
        <f>INDEX(LINEST(K170:K219,B170:B219,TRUE,TRUE),3,1)</f>
        <v>0.98100687939385867</v>
      </c>
      <c r="D11" s="24">
        <f>EXP(INDEX(LINEST(K170:K219,B170:B219,TRUE,TRUE),1,2)+INDEX(LINEST(K170:K219,B170:B219,TRUE,TRUE),1,1)*2045)</f>
        <v>39.128670444291409</v>
      </c>
      <c r="E11" s="21">
        <f>EXP(INDEX(LINEST(P170:P219,B170:B219,TRUE,TRUE),1,1))-1</f>
        <v>2.2235554404349989E-2</v>
      </c>
      <c r="F11" s="17">
        <f>INDEX(LINEST(P170:P219,B170:B219,TRUE,TRUE),3,1)</f>
        <v>0.98388636990372103</v>
      </c>
      <c r="G11" s="24">
        <f>EXP(INDEX(LINEST(P170:P219,B170:B219,TRUE,TRUE),1,2)+INDEX(LINEST(P170:P219,B170:B219,TRUE,TRUE),1,1)*2045)</f>
        <v>40.957285083632172</v>
      </c>
      <c r="H11" s="16">
        <f>O219</f>
        <v>24.873697866289923</v>
      </c>
    </row>
    <row r="12" spans="1:16" x14ac:dyDescent="0.35">
      <c r="A12" s="2" t="s">
        <v>1323</v>
      </c>
      <c r="B12" s="21">
        <f>EXP(INDEX(LINEST(K220:K269,B220:B269,TRUE,TRUE),1,1))-1</f>
        <v>1.8354211886890903E-2</v>
      </c>
      <c r="C12" s="17">
        <f>INDEX(LINEST(K220:K269,B220:B269,TRUE,TRUE),3,1)</f>
        <v>0.97310384981059617</v>
      </c>
      <c r="D12" s="24">
        <f>EXP(INDEX(LINEST(K220:K269,B220:B269,TRUE,TRUE),1,2)+INDEX(LINEST(K220:K269,B220:B269,TRUE,TRUE),1,1)*2045)</f>
        <v>30.340520523107767</v>
      </c>
      <c r="E12" s="21">
        <f>EXP(INDEX(LINEST(P220:P269,B220:B269,TRUE,TRUE),1,1))-1</f>
        <v>1.9911904931695368E-2</v>
      </c>
      <c r="F12" s="17">
        <f>INDEX(LINEST(P220:P269,B220:B269,TRUE,TRUE),3,1)</f>
        <v>0.97775768959173959</v>
      </c>
      <c r="G12" s="24">
        <f>EXP(INDEX(LINEST(P220:P269,B220:B269,TRUE,TRUE),1,2)+INDEX(LINEST(P220:P269,B220:B269,TRUE,TRUE),1,1)*2045)</f>
        <v>31.501331384713215</v>
      </c>
      <c r="H12" s="16">
        <f>O269</f>
        <v>20.225971568913852</v>
      </c>
    </row>
    <row r="13" spans="1:16" x14ac:dyDescent="0.35">
      <c r="A13" s="2" t="s">
        <v>1324</v>
      </c>
      <c r="B13" s="21">
        <f>EXP(INDEX(LINEST(K270:K319,B270:B319,TRUE,TRUE),1,1))-1</f>
        <v>2.0637318388675219E-2</v>
      </c>
      <c r="C13" s="17">
        <f>INDEX(LINEST(K270:K319,B270:B319,TRUE,TRUE),3,1)</f>
        <v>0.9806421001952097</v>
      </c>
      <c r="D13" s="24">
        <f>EXP(INDEX(LINEST(K270:K319,B270:B319,TRUE,TRUE),1,2)+INDEX(LINEST(K270:K319,B270:B319,TRUE,TRUE),1,1)*2045)</f>
        <v>39.41231718383866</v>
      </c>
      <c r="E13" s="21">
        <f>EXP(INDEX(LINEST(P270:P319,B270:B319,TRUE,TRUE),1,1))-1</f>
        <v>2.2231614409877754E-2</v>
      </c>
      <c r="F13" s="17">
        <f>INDEX(LINEST(P270:P319,B270:B319,TRUE,TRUE),3,1)</f>
        <v>0.98496930896268686</v>
      </c>
      <c r="G13" s="24">
        <f>EXP(INDEX(LINEST(P270:P319,B270:B319,TRUE,TRUE),1,2)+INDEX(LINEST(P270:P319,B270:B319,TRUE,TRUE),1,1)*2045)</f>
        <v>41.299926741212438</v>
      </c>
      <c r="H13" s="16">
        <f>O319</f>
        <v>26.097100000000001</v>
      </c>
    </row>
    <row r="15" spans="1:16" ht="34" customHeight="1" x14ac:dyDescent="0.35">
      <c r="A15" s="30" t="s">
        <v>1325</v>
      </c>
      <c r="B15" s="31"/>
      <c r="C15" s="31"/>
      <c r="D15" s="31"/>
      <c r="E15" s="31"/>
      <c r="F15" s="31"/>
      <c r="G15" s="31"/>
      <c r="H15" s="31"/>
      <c r="I15" s="31"/>
      <c r="J15" s="31"/>
      <c r="K15" s="31"/>
      <c r="L15" s="31"/>
      <c r="M15" s="31"/>
      <c r="N15" s="31"/>
      <c r="O15" s="31"/>
      <c r="P15" s="31"/>
    </row>
    <row r="19" spans="1:16" ht="32" customHeight="1" x14ac:dyDescent="0.35">
      <c r="A19" s="23" t="s">
        <v>1326</v>
      </c>
      <c r="B19" s="23" t="s">
        <v>1227</v>
      </c>
      <c r="C19" s="23" t="s">
        <v>1327</v>
      </c>
      <c r="D19" s="23" t="s">
        <v>1296</v>
      </c>
      <c r="E19" s="23" t="s">
        <v>1328</v>
      </c>
      <c r="F19" s="23" t="s">
        <v>1329</v>
      </c>
      <c r="G19" s="23" t="s">
        <v>1330</v>
      </c>
      <c r="H19" s="23" t="s">
        <v>1331</v>
      </c>
      <c r="I19" s="23" t="s">
        <v>1332</v>
      </c>
      <c r="J19" s="23" t="s">
        <v>1333</v>
      </c>
      <c r="K19" s="23" t="s">
        <v>1334</v>
      </c>
      <c r="L19" s="23" t="s">
        <v>1335</v>
      </c>
      <c r="M19" s="23" t="s">
        <v>1336</v>
      </c>
      <c r="N19" s="23" t="s">
        <v>1337</v>
      </c>
      <c r="O19" s="23" t="s">
        <v>1338</v>
      </c>
      <c r="P19" s="23" t="s">
        <v>1334</v>
      </c>
    </row>
    <row r="20" spans="1:16" x14ac:dyDescent="0.35">
      <c r="A20" s="2" t="s">
        <v>1319</v>
      </c>
      <c r="B20" s="2">
        <v>1975</v>
      </c>
      <c r="C20" s="7">
        <v>13.059699999999999</v>
      </c>
      <c r="D20" s="5">
        <v>4060.3989999999999</v>
      </c>
      <c r="E20" s="16">
        <v>137.33459999999999</v>
      </c>
      <c r="F20" s="15">
        <v>0</v>
      </c>
      <c r="G20" s="16" t="str">
        <f>IFERROR(INDEX('EV Productivity'!$B$9:$B$21,MATCH(B20,'EV Productivity'!$A$9:$A$21,0)),"")</f>
        <v/>
      </c>
      <c r="H20" s="16" t="str">
        <f>IFERROR(INDEX('EV Productivity'!$C$9:$C$21,MATCH(B20,'EV Productivity'!$A$9:$A$21,0)),"")</f>
        <v/>
      </c>
      <c r="I20" s="16" t="str">
        <f>IFERROR(INDEX('EV Productivity'!$D$9:$D$21,MATCH(B20,'EV Productivity'!$A$9:$A$21,0)),"")</f>
        <v/>
      </c>
      <c r="J20" s="7">
        <f t="shared" ref="J20:J51" si="0">C20*(D20/$D$69)^$B$4*(E20/$E$69)^$B$5</f>
        <v>10.027208368995325</v>
      </c>
      <c r="K20" s="4">
        <f t="shared" ref="K20:K83" si="1">LN(J20)</f>
        <v>2.3053022351172663</v>
      </c>
      <c r="L20" s="7">
        <f t="shared" ref="L20:L83" si="2">IF(AND(F20&gt;0,ISNUMBER(G20)),(1-F20)/(1/C20-F20/G20),C20)</f>
        <v>13.059699999999999</v>
      </c>
      <c r="M20" s="5">
        <f t="shared" ref="M20:M83" si="3">IF(AND(F20&gt;0,ISNUMBER(G20)),(D20-F20*H20)/(1-F20),D20)</f>
        <v>4060.3989999999999</v>
      </c>
      <c r="N20" s="16">
        <f t="shared" ref="N20:N83" si="4">IF(AND(F20&gt;0,ISNUMBER(G20)),(E20-F20*I20)/(1-F20),E20)</f>
        <v>137.33459999999999</v>
      </c>
      <c r="O20" s="7">
        <f t="shared" ref="O20:O51" si="5">L20*(M20/$M$69)^$E$4*(N20/$N$69)^$E$5</f>
        <v>9.6625266484670647</v>
      </c>
      <c r="P20" s="4">
        <f t="shared" ref="P20:P83" si="6">LN(O20)</f>
        <v>2.2682551718364712</v>
      </c>
    </row>
    <row r="21" spans="1:16" x14ac:dyDescent="0.35">
      <c r="A21" s="2" t="s">
        <v>1319</v>
      </c>
      <c r="B21" s="2">
        <v>1976</v>
      </c>
      <c r="C21" s="7">
        <v>14.221360000000001</v>
      </c>
      <c r="D21" s="5">
        <v>4079.1979999999999</v>
      </c>
      <c r="E21" s="16">
        <v>135.0839</v>
      </c>
      <c r="F21" s="15">
        <v>0</v>
      </c>
      <c r="G21" s="16" t="str">
        <f>IFERROR(INDEX('EV Productivity'!$B$9:$B$21,MATCH(B21,'EV Productivity'!$A$9:$A$21,0)),"")</f>
        <v/>
      </c>
      <c r="H21" s="16" t="str">
        <f>IFERROR(INDEX('EV Productivity'!$C$9:$C$21,MATCH(B21,'EV Productivity'!$A$9:$A$21,0)),"")</f>
        <v/>
      </c>
      <c r="I21" s="16" t="str">
        <f>IFERROR(INDEX('EV Productivity'!$D$9:$D$21,MATCH(B21,'EV Productivity'!$A$9:$A$21,0)),"")</f>
        <v/>
      </c>
      <c r="J21" s="7">
        <f t="shared" si="0"/>
        <v>10.875480611245377</v>
      </c>
      <c r="K21" s="4">
        <f t="shared" si="1"/>
        <v>2.3865107701357218</v>
      </c>
      <c r="L21" s="7">
        <f t="shared" si="2"/>
        <v>14.221360000000001</v>
      </c>
      <c r="M21" s="5">
        <f t="shared" si="3"/>
        <v>4079.1979999999999</v>
      </c>
      <c r="N21" s="16">
        <f t="shared" si="4"/>
        <v>135.0839</v>
      </c>
      <c r="O21" s="7">
        <f t="shared" si="5"/>
        <v>10.453018119058362</v>
      </c>
      <c r="P21" s="4">
        <f t="shared" si="6"/>
        <v>2.3468907519326287</v>
      </c>
    </row>
    <row r="22" spans="1:16" x14ac:dyDescent="0.35">
      <c r="A22" s="2" t="s">
        <v>1319</v>
      </c>
      <c r="B22" s="2">
        <v>1977</v>
      </c>
      <c r="C22" s="7">
        <v>15.06743</v>
      </c>
      <c r="D22" s="5">
        <v>3981.8180000000002</v>
      </c>
      <c r="E22" s="16">
        <v>135.9847</v>
      </c>
      <c r="F22" s="15">
        <v>0</v>
      </c>
      <c r="G22" s="16" t="str">
        <f>IFERROR(INDEX('EV Productivity'!$B$9:$B$21,MATCH(B22,'EV Productivity'!$A$9:$A$21,0)),"")</f>
        <v/>
      </c>
      <c r="H22" s="16" t="str">
        <f>IFERROR(INDEX('EV Productivity'!$C$9:$C$21,MATCH(B22,'EV Productivity'!$A$9:$A$21,0)),"")</f>
        <v/>
      </c>
      <c r="I22" s="16" t="str">
        <f>IFERROR(INDEX('EV Productivity'!$D$9:$D$21,MATCH(B22,'EV Productivity'!$A$9:$A$21,0)),"")</f>
        <v/>
      </c>
      <c r="J22" s="7">
        <f t="shared" si="0"/>
        <v>11.425126090011391</v>
      </c>
      <c r="K22" s="4">
        <f t="shared" si="1"/>
        <v>2.4358149730442169</v>
      </c>
      <c r="L22" s="7">
        <f t="shared" si="2"/>
        <v>15.06743</v>
      </c>
      <c r="M22" s="5">
        <f t="shared" si="3"/>
        <v>3981.8180000000002</v>
      </c>
      <c r="N22" s="16">
        <f t="shared" si="4"/>
        <v>135.9847</v>
      </c>
      <c r="O22" s="7">
        <f t="shared" si="5"/>
        <v>11.029263446706238</v>
      </c>
      <c r="P22" s="4">
        <f t="shared" si="6"/>
        <v>2.4005520537651965</v>
      </c>
    </row>
    <row r="23" spans="1:16" x14ac:dyDescent="0.35">
      <c r="A23" s="2" t="s">
        <v>1319</v>
      </c>
      <c r="B23" s="2">
        <v>1978</v>
      </c>
      <c r="C23" s="7">
        <v>15.837770000000001</v>
      </c>
      <c r="D23" s="5">
        <v>3715.2379999999998</v>
      </c>
      <c r="E23" s="16">
        <v>129.0248</v>
      </c>
      <c r="F23" s="15">
        <v>0</v>
      </c>
      <c r="G23" s="16" t="str">
        <f>IFERROR(INDEX('EV Productivity'!$B$9:$B$21,MATCH(B23,'EV Productivity'!$A$9:$A$21,0)),"")</f>
        <v/>
      </c>
      <c r="H23" s="16" t="str">
        <f>IFERROR(INDEX('EV Productivity'!$C$9:$C$21,MATCH(B23,'EV Productivity'!$A$9:$A$21,0)),"")</f>
        <v/>
      </c>
      <c r="I23" s="16" t="str">
        <f>IFERROR(INDEX('EV Productivity'!$D$9:$D$21,MATCH(B23,'EV Productivity'!$A$9:$A$21,0)),"")</f>
        <v/>
      </c>
      <c r="J23" s="7">
        <f t="shared" si="0"/>
        <v>11.414937599940602</v>
      </c>
      <c r="K23" s="4">
        <f t="shared" si="1"/>
        <v>2.4349228134701555</v>
      </c>
      <c r="L23" s="7">
        <f t="shared" si="2"/>
        <v>15.837770000000001</v>
      </c>
      <c r="M23" s="5">
        <f t="shared" si="3"/>
        <v>3715.2379999999998</v>
      </c>
      <c r="N23" s="16">
        <f t="shared" si="4"/>
        <v>129.0248</v>
      </c>
      <c r="O23" s="7">
        <f t="shared" si="5"/>
        <v>11.067231179571994</v>
      </c>
      <c r="P23" s="4">
        <f t="shared" si="6"/>
        <v>2.4039885961556458</v>
      </c>
    </row>
    <row r="24" spans="1:16" x14ac:dyDescent="0.35">
      <c r="A24" s="2" t="s">
        <v>1319</v>
      </c>
      <c r="B24" s="2">
        <v>1979</v>
      </c>
      <c r="C24" s="7">
        <v>15.912710000000001</v>
      </c>
      <c r="D24" s="5">
        <v>3655.4650000000001</v>
      </c>
      <c r="E24" s="16">
        <v>123.59220000000001</v>
      </c>
      <c r="F24" s="15">
        <v>0</v>
      </c>
      <c r="G24" s="16" t="str">
        <f>IFERROR(INDEX('EV Productivity'!$B$9:$B$21,MATCH(B24,'EV Productivity'!$A$9:$A$21,0)),"")</f>
        <v/>
      </c>
      <c r="H24" s="16" t="str">
        <f>IFERROR(INDEX('EV Productivity'!$C$9:$C$21,MATCH(B24,'EV Productivity'!$A$9:$A$21,0)),"")</f>
        <v/>
      </c>
      <c r="I24" s="16" t="str">
        <f>IFERROR(INDEX('EV Productivity'!$D$9:$D$21,MATCH(B24,'EV Productivity'!$A$9:$A$21,0)),"")</f>
        <v/>
      </c>
      <c r="J24" s="7">
        <f t="shared" si="0"/>
        <v>11.205780609945247</v>
      </c>
      <c r="K24" s="4">
        <f t="shared" si="1"/>
        <v>2.4164297710418632</v>
      </c>
      <c r="L24" s="7">
        <f t="shared" si="2"/>
        <v>15.912710000000001</v>
      </c>
      <c r="M24" s="5">
        <f t="shared" si="3"/>
        <v>3655.4650000000001</v>
      </c>
      <c r="N24" s="16">
        <f t="shared" si="4"/>
        <v>123.59220000000001</v>
      </c>
      <c r="O24" s="7">
        <f t="shared" si="5"/>
        <v>10.837414701138176</v>
      </c>
      <c r="P24" s="4">
        <f t="shared" si="6"/>
        <v>2.3830044713617924</v>
      </c>
    </row>
    <row r="25" spans="1:16" x14ac:dyDescent="0.35">
      <c r="A25" s="2" t="s">
        <v>1319</v>
      </c>
      <c r="B25" s="2">
        <v>1980</v>
      </c>
      <c r="C25" s="7">
        <v>19.164929999999998</v>
      </c>
      <c r="D25" s="5">
        <v>3227.8760000000002</v>
      </c>
      <c r="E25" s="16">
        <v>103.8276</v>
      </c>
      <c r="F25" s="15">
        <v>0</v>
      </c>
      <c r="G25" s="16" t="str">
        <f>IFERROR(INDEX('EV Productivity'!$B$9:$B$21,MATCH(B25,'EV Productivity'!$A$9:$A$21,0)),"")</f>
        <v/>
      </c>
      <c r="H25" s="16" t="str">
        <f>IFERROR(INDEX('EV Productivity'!$C$9:$C$21,MATCH(B25,'EV Productivity'!$A$9:$A$21,0)),"")</f>
        <v/>
      </c>
      <c r="I25" s="16" t="str">
        <f>IFERROR(INDEX('EV Productivity'!$D$9:$D$21,MATCH(B25,'EV Productivity'!$A$9:$A$21,0)),"")</f>
        <v/>
      </c>
      <c r="J25" s="7">
        <f t="shared" si="0"/>
        <v>11.962617715935188</v>
      </c>
      <c r="K25" s="4">
        <f t="shared" si="1"/>
        <v>2.4817865971432109</v>
      </c>
      <c r="L25" s="7">
        <f t="shared" si="2"/>
        <v>19.164929999999998</v>
      </c>
      <c r="M25" s="5">
        <f t="shared" si="3"/>
        <v>3227.8760000000002</v>
      </c>
      <c r="N25" s="16">
        <f t="shared" si="4"/>
        <v>103.8276</v>
      </c>
      <c r="O25" s="7">
        <f t="shared" si="5"/>
        <v>11.553787374605124</v>
      </c>
      <c r="P25" s="4">
        <f t="shared" si="6"/>
        <v>2.4470132944378911</v>
      </c>
    </row>
    <row r="26" spans="1:16" x14ac:dyDescent="0.35">
      <c r="A26" s="2" t="s">
        <v>1319</v>
      </c>
      <c r="B26" s="2">
        <v>1981</v>
      </c>
      <c r="C26" s="7">
        <v>20.520569999999999</v>
      </c>
      <c r="D26" s="5">
        <v>3201.759</v>
      </c>
      <c r="E26" s="16">
        <v>102.1236</v>
      </c>
      <c r="F26" s="15">
        <v>0</v>
      </c>
      <c r="G26" s="16" t="str">
        <f>IFERROR(INDEX('EV Productivity'!$B$9:$B$21,MATCH(B26,'EV Productivity'!$A$9:$A$21,0)),"")</f>
        <v/>
      </c>
      <c r="H26" s="16" t="str">
        <f>IFERROR(INDEX('EV Productivity'!$C$9:$C$21,MATCH(B26,'EV Productivity'!$A$9:$A$21,0)),"")</f>
        <v/>
      </c>
      <c r="I26" s="16" t="str">
        <f>IFERROR(INDEX('EV Productivity'!$D$9:$D$21,MATCH(B26,'EV Productivity'!$A$9:$A$21,0)),"")</f>
        <v/>
      </c>
      <c r="J26" s="7">
        <f t="shared" si="0"/>
        <v>12.684100355296467</v>
      </c>
      <c r="K26" s="4">
        <f t="shared" si="1"/>
        <v>2.5403492686044724</v>
      </c>
      <c r="L26" s="7">
        <f t="shared" si="2"/>
        <v>20.520569999999999</v>
      </c>
      <c r="M26" s="5">
        <f t="shared" si="3"/>
        <v>3201.759</v>
      </c>
      <c r="N26" s="16">
        <f t="shared" si="4"/>
        <v>102.1236</v>
      </c>
      <c r="O26" s="7">
        <f t="shared" si="5"/>
        <v>12.242315205117373</v>
      </c>
      <c r="P26" s="4">
        <f t="shared" si="6"/>
        <v>2.5048984099423168</v>
      </c>
    </row>
    <row r="27" spans="1:16" x14ac:dyDescent="0.35">
      <c r="A27" s="2" t="s">
        <v>1319</v>
      </c>
      <c r="B27" s="2">
        <v>1982</v>
      </c>
      <c r="C27" s="7">
        <v>21.072050000000001</v>
      </c>
      <c r="D27" s="5">
        <v>3201.8429999999998</v>
      </c>
      <c r="E27" s="16">
        <v>102.9528</v>
      </c>
      <c r="F27" s="15">
        <v>0</v>
      </c>
      <c r="G27" s="16" t="str">
        <f>IFERROR(INDEX('EV Productivity'!$B$9:$B$21,MATCH(B27,'EV Productivity'!$A$9:$A$21,0)),"")</f>
        <v/>
      </c>
      <c r="H27" s="16" t="str">
        <f>IFERROR(INDEX('EV Productivity'!$C$9:$C$21,MATCH(B27,'EV Productivity'!$A$9:$A$21,0)),"")</f>
        <v/>
      </c>
      <c r="I27" s="16" t="str">
        <f>IFERROR(INDEX('EV Productivity'!$D$9:$D$21,MATCH(B27,'EV Productivity'!$A$9:$A$21,0)),"")</f>
        <v/>
      </c>
      <c r="J27" s="7">
        <f t="shared" si="0"/>
        <v>13.064053287980594</v>
      </c>
      <c r="K27" s="4">
        <f t="shared" si="1"/>
        <v>2.5698644346540727</v>
      </c>
      <c r="L27" s="7">
        <f t="shared" si="2"/>
        <v>21.072050000000001</v>
      </c>
      <c r="M27" s="5">
        <f t="shared" si="3"/>
        <v>3201.8429999999998</v>
      </c>
      <c r="N27" s="16">
        <f t="shared" si="4"/>
        <v>102.9528</v>
      </c>
      <c r="O27" s="7">
        <f t="shared" si="5"/>
        <v>12.620621858624041</v>
      </c>
      <c r="P27" s="4">
        <f t="shared" si="6"/>
        <v>2.5353321315428059</v>
      </c>
    </row>
    <row r="28" spans="1:16" x14ac:dyDescent="0.35">
      <c r="A28" s="2" t="s">
        <v>1319</v>
      </c>
      <c r="B28" s="2">
        <v>1983</v>
      </c>
      <c r="C28" s="7">
        <v>20.952390000000001</v>
      </c>
      <c r="D28" s="5">
        <v>3257.34</v>
      </c>
      <c r="E28" s="16">
        <v>106.9483</v>
      </c>
      <c r="F28" s="15">
        <v>0</v>
      </c>
      <c r="G28" s="16" t="str">
        <f>IFERROR(INDEX('EV Productivity'!$B$9:$B$21,MATCH(B28,'EV Productivity'!$A$9:$A$21,0)),"")</f>
        <v/>
      </c>
      <c r="H28" s="16" t="str">
        <f>IFERROR(INDEX('EV Productivity'!$C$9:$C$21,MATCH(B28,'EV Productivity'!$A$9:$A$21,0)),"")</f>
        <v/>
      </c>
      <c r="I28" s="16" t="str">
        <f>IFERROR(INDEX('EV Productivity'!$D$9:$D$21,MATCH(B28,'EV Productivity'!$A$9:$A$21,0)),"")</f>
        <v/>
      </c>
      <c r="J28" s="7">
        <f t="shared" si="0"/>
        <v>13.276514392528723</v>
      </c>
      <c r="K28" s="4">
        <f t="shared" si="1"/>
        <v>2.5859966391547786</v>
      </c>
      <c r="L28" s="7">
        <f t="shared" si="2"/>
        <v>20.952390000000001</v>
      </c>
      <c r="M28" s="5">
        <f t="shared" si="3"/>
        <v>3257.34</v>
      </c>
      <c r="N28" s="16">
        <f t="shared" si="4"/>
        <v>106.9483</v>
      </c>
      <c r="O28" s="7">
        <f t="shared" si="5"/>
        <v>12.848767938806565</v>
      </c>
      <c r="P28" s="4">
        <f t="shared" si="6"/>
        <v>2.5532479264959078</v>
      </c>
    </row>
    <row r="29" spans="1:16" x14ac:dyDescent="0.35">
      <c r="A29" s="2" t="s">
        <v>1319</v>
      </c>
      <c r="B29" s="2">
        <v>1984</v>
      </c>
      <c r="C29" s="7">
        <v>21.000229999999998</v>
      </c>
      <c r="D29" s="5">
        <v>3261.576</v>
      </c>
      <c r="E29" s="16">
        <v>108.5963</v>
      </c>
      <c r="F29" s="15">
        <v>0</v>
      </c>
      <c r="G29" s="16" t="str">
        <f>IFERROR(INDEX('EV Productivity'!$B$9:$B$21,MATCH(B29,'EV Productivity'!$A$9:$A$21,0)),"")</f>
        <v/>
      </c>
      <c r="H29" s="16" t="str">
        <f>IFERROR(INDEX('EV Productivity'!$C$9:$C$21,MATCH(B29,'EV Productivity'!$A$9:$A$21,0)),"")</f>
        <v/>
      </c>
      <c r="I29" s="16" t="str">
        <f>IFERROR(INDEX('EV Productivity'!$D$9:$D$21,MATCH(B29,'EV Productivity'!$A$9:$A$21,0)),"")</f>
        <v/>
      </c>
      <c r="J29" s="7">
        <f t="shared" si="0"/>
        <v>13.389990664714675</v>
      </c>
      <c r="K29" s="4">
        <f t="shared" si="1"/>
        <v>2.5945074625194682</v>
      </c>
      <c r="L29" s="7">
        <f t="shared" si="2"/>
        <v>21.000229999999998</v>
      </c>
      <c r="M29" s="5">
        <f t="shared" si="3"/>
        <v>3261.576</v>
      </c>
      <c r="N29" s="16">
        <f t="shared" si="4"/>
        <v>108.5963</v>
      </c>
      <c r="O29" s="7">
        <f t="shared" si="5"/>
        <v>12.978699506888118</v>
      </c>
      <c r="P29" s="4">
        <f t="shared" si="6"/>
        <v>2.5633095141830484</v>
      </c>
    </row>
    <row r="30" spans="1:16" x14ac:dyDescent="0.35">
      <c r="A30" s="2" t="s">
        <v>1319</v>
      </c>
      <c r="B30" s="2">
        <v>1985</v>
      </c>
      <c r="C30" s="7">
        <v>21.319420000000001</v>
      </c>
      <c r="D30" s="5">
        <v>3271.127</v>
      </c>
      <c r="E30" s="16">
        <v>114.1306</v>
      </c>
      <c r="F30" s="15">
        <v>0</v>
      </c>
      <c r="G30" s="16" t="str">
        <f>IFERROR(INDEX('EV Productivity'!$B$9:$B$21,MATCH(B30,'EV Productivity'!$A$9:$A$21,0)),"")</f>
        <v/>
      </c>
      <c r="H30" s="16" t="str">
        <f>IFERROR(INDEX('EV Productivity'!$C$9:$C$21,MATCH(B30,'EV Productivity'!$A$9:$A$21,0)),"")</f>
        <v/>
      </c>
      <c r="I30" s="16" t="str">
        <f>IFERROR(INDEX('EV Productivity'!$D$9:$D$21,MATCH(B30,'EV Productivity'!$A$9:$A$21,0)),"")</f>
        <v/>
      </c>
      <c r="J30" s="7">
        <f t="shared" si="0"/>
        <v>13.86343720188227</v>
      </c>
      <c r="K30" s="4">
        <f t="shared" si="1"/>
        <v>2.6292549573800383</v>
      </c>
      <c r="L30" s="7">
        <f t="shared" si="2"/>
        <v>21.319420000000001</v>
      </c>
      <c r="M30" s="5">
        <f t="shared" si="3"/>
        <v>3271.127</v>
      </c>
      <c r="N30" s="16">
        <f t="shared" si="4"/>
        <v>114.1306</v>
      </c>
      <c r="O30" s="7">
        <f t="shared" si="5"/>
        <v>13.508126395378206</v>
      </c>
      <c r="P30" s="4">
        <f t="shared" si="6"/>
        <v>2.6032914595552183</v>
      </c>
    </row>
    <row r="31" spans="1:16" x14ac:dyDescent="0.35">
      <c r="A31" s="2" t="s">
        <v>1319</v>
      </c>
      <c r="B31" s="2">
        <v>1986</v>
      </c>
      <c r="C31" s="7">
        <v>21.844329999999999</v>
      </c>
      <c r="D31" s="5">
        <v>3237.9740000000002</v>
      </c>
      <c r="E31" s="16">
        <v>114.3758</v>
      </c>
      <c r="F31" s="15">
        <v>0</v>
      </c>
      <c r="G31" s="16" t="str">
        <f>IFERROR(INDEX('EV Productivity'!$B$9:$B$21,MATCH(B31,'EV Productivity'!$A$9:$A$21,0)),"")</f>
        <v/>
      </c>
      <c r="H31" s="16" t="str">
        <f>IFERROR(INDEX('EV Productivity'!$C$9:$C$21,MATCH(B31,'EV Productivity'!$A$9:$A$21,0)),"")</f>
        <v/>
      </c>
      <c r="I31" s="16" t="str">
        <f>IFERROR(INDEX('EV Productivity'!$D$9:$D$21,MATCH(B31,'EV Productivity'!$A$9:$A$21,0)),"")</f>
        <v/>
      </c>
      <c r="J31" s="7">
        <f t="shared" si="0"/>
        <v>14.150615405787011</v>
      </c>
      <c r="K31" s="4">
        <f t="shared" si="1"/>
        <v>2.6497581147185691</v>
      </c>
      <c r="L31" s="7">
        <f t="shared" si="2"/>
        <v>21.844329999999999</v>
      </c>
      <c r="M31" s="5">
        <f t="shared" si="3"/>
        <v>3237.9740000000002</v>
      </c>
      <c r="N31" s="16">
        <f t="shared" si="4"/>
        <v>114.3758</v>
      </c>
      <c r="O31" s="7">
        <f t="shared" si="5"/>
        <v>13.812262106204717</v>
      </c>
      <c r="P31" s="4">
        <f t="shared" si="6"/>
        <v>2.625556756049451</v>
      </c>
    </row>
    <row r="32" spans="1:16" x14ac:dyDescent="0.35">
      <c r="A32" s="2" t="s">
        <v>1319</v>
      </c>
      <c r="B32" s="2">
        <v>1987</v>
      </c>
      <c r="C32" s="7">
        <v>21.971969999999999</v>
      </c>
      <c r="D32" s="5">
        <v>3220.5070000000001</v>
      </c>
      <c r="E32" s="16">
        <v>117.6397</v>
      </c>
      <c r="F32" s="15">
        <v>0</v>
      </c>
      <c r="G32" s="16" t="str">
        <f>IFERROR(INDEX('EV Productivity'!$B$9:$B$21,MATCH(B32,'EV Productivity'!$A$9:$A$21,0)),"")</f>
        <v/>
      </c>
      <c r="H32" s="16" t="str">
        <f>IFERROR(INDEX('EV Productivity'!$C$9:$C$21,MATCH(B32,'EV Productivity'!$A$9:$A$21,0)),"")</f>
        <v/>
      </c>
      <c r="I32" s="16" t="str">
        <f>IFERROR(INDEX('EV Productivity'!$D$9:$D$21,MATCH(B32,'EV Productivity'!$A$9:$A$21,0)),"")</f>
        <v/>
      </c>
      <c r="J32" s="7">
        <f t="shared" si="0"/>
        <v>14.346651135410283</v>
      </c>
      <c r="K32" s="4">
        <f t="shared" si="1"/>
        <v>2.6635165446158475</v>
      </c>
      <c r="L32" s="7">
        <f t="shared" si="2"/>
        <v>21.971969999999999</v>
      </c>
      <c r="M32" s="5">
        <f t="shared" si="3"/>
        <v>3220.5070000000001</v>
      </c>
      <c r="N32" s="16">
        <f t="shared" si="4"/>
        <v>117.6397</v>
      </c>
      <c r="O32" s="7">
        <f t="shared" si="5"/>
        <v>14.059952015865838</v>
      </c>
      <c r="P32" s="4">
        <f t="shared" si="6"/>
        <v>2.6433304735648773</v>
      </c>
    </row>
    <row r="33" spans="1:16" x14ac:dyDescent="0.35">
      <c r="A33" s="2" t="s">
        <v>1319</v>
      </c>
      <c r="B33" s="2">
        <v>1988</v>
      </c>
      <c r="C33" s="7">
        <v>21.863530000000001</v>
      </c>
      <c r="D33" s="5">
        <v>3283.4650000000001</v>
      </c>
      <c r="E33" s="16">
        <v>123.46899999999999</v>
      </c>
      <c r="F33" s="15">
        <v>0</v>
      </c>
      <c r="G33" s="16" t="str">
        <f>IFERROR(INDEX('EV Productivity'!$B$9:$B$21,MATCH(B33,'EV Productivity'!$A$9:$A$21,0)),"")</f>
        <v/>
      </c>
      <c r="H33" s="16" t="str">
        <f>IFERROR(INDEX('EV Productivity'!$C$9:$C$21,MATCH(B33,'EV Productivity'!$A$9:$A$21,0)),"")</f>
        <v/>
      </c>
      <c r="I33" s="16" t="str">
        <f>IFERROR(INDEX('EV Productivity'!$D$9:$D$21,MATCH(B33,'EV Productivity'!$A$9:$A$21,0)),"")</f>
        <v/>
      </c>
      <c r="J33" s="7">
        <f t="shared" si="0"/>
        <v>14.660796603227778</v>
      </c>
      <c r="K33" s="4">
        <f t="shared" si="1"/>
        <v>2.6851770335380025</v>
      </c>
      <c r="L33" s="7">
        <f t="shared" si="2"/>
        <v>21.863530000000001</v>
      </c>
      <c r="M33" s="5">
        <f t="shared" si="3"/>
        <v>3283.4650000000001</v>
      </c>
      <c r="N33" s="16">
        <f t="shared" si="4"/>
        <v>123.46899999999999</v>
      </c>
      <c r="O33" s="7">
        <f t="shared" si="5"/>
        <v>14.405701184745011</v>
      </c>
      <c r="P33" s="4">
        <f t="shared" si="6"/>
        <v>2.6676240438353438</v>
      </c>
    </row>
    <row r="34" spans="1:16" x14ac:dyDescent="0.35">
      <c r="A34" s="2" t="s">
        <v>1319</v>
      </c>
      <c r="B34" s="2">
        <v>1989</v>
      </c>
      <c r="C34" s="7">
        <v>21.420490000000001</v>
      </c>
      <c r="D34" s="5">
        <v>3351.4569999999999</v>
      </c>
      <c r="E34" s="16">
        <v>128.74799999999999</v>
      </c>
      <c r="F34" s="15">
        <v>0</v>
      </c>
      <c r="G34" s="16" t="str">
        <f>IFERROR(INDEX('EV Productivity'!$B$9:$B$21,MATCH(B34,'EV Productivity'!$A$9:$A$21,0)),"")</f>
        <v/>
      </c>
      <c r="H34" s="16" t="str">
        <f>IFERROR(INDEX('EV Productivity'!$C$9:$C$21,MATCH(B34,'EV Productivity'!$A$9:$A$21,0)),"")</f>
        <v/>
      </c>
      <c r="I34" s="16" t="str">
        <f>IFERROR(INDEX('EV Productivity'!$D$9:$D$21,MATCH(B34,'EV Productivity'!$A$9:$A$21,0)),"")</f>
        <v/>
      </c>
      <c r="J34" s="7">
        <f t="shared" si="0"/>
        <v>14.723284708351702</v>
      </c>
      <c r="K34" s="4">
        <f t="shared" si="1"/>
        <v>2.6894302343551821</v>
      </c>
      <c r="L34" s="7">
        <f t="shared" si="2"/>
        <v>21.420490000000001</v>
      </c>
      <c r="M34" s="5">
        <f t="shared" si="3"/>
        <v>3351.4569999999999</v>
      </c>
      <c r="N34" s="16">
        <f t="shared" si="4"/>
        <v>128.74799999999999</v>
      </c>
      <c r="O34" s="7">
        <f t="shared" si="5"/>
        <v>14.492048557741034</v>
      </c>
      <c r="P34" s="4">
        <f t="shared" si="6"/>
        <v>2.6736001236855831</v>
      </c>
    </row>
    <row r="35" spans="1:16" x14ac:dyDescent="0.35">
      <c r="A35" s="2" t="s">
        <v>1319</v>
      </c>
      <c r="B35" s="2">
        <v>1990</v>
      </c>
      <c r="C35" s="7">
        <v>21.157520000000002</v>
      </c>
      <c r="D35" s="5">
        <v>3426.038</v>
      </c>
      <c r="E35" s="16">
        <v>135.34219999999999</v>
      </c>
      <c r="F35" s="15">
        <v>0</v>
      </c>
      <c r="G35" s="16" t="str">
        <f>IFERROR(INDEX('EV Productivity'!$B$9:$B$21,MATCH(B35,'EV Productivity'!$A$9:$A$21,0)),"")</f>
        <v/>
      </c>
      <c r="H35" s="16" t="str">
        <f>IFERROR(INDEX('EV Productivity'!$C$9:$C$21,MATCH(B35,'EV Productivity'!$A$9:$A$21,0)),"")</f>
        <v/>
      </c>
      <c r="I35" s="16" t="str">
        <f>IFERROR(INDEX('EV Productivity'!$D$9:$D$21,MATCH(B35,'EV Productivity'!$A$9:$A$21,0)),"")</f>
        <v/>
      </c>
      <c r="J35" s="7">
        <f t="shared" si="0"/>
        <v>14.961347157911549</v>
      </c>
      <c r="K35" s="4">
        <f t="shared" si="1"/>
        <v>2.7054700191545504</v>
      </c>
      <c r="L35" s="7">
        <f t="shared" si="2"/>
        <v>21.157520000000002</v>
      </c>
      <c r="M35" s="5">
        <f t="shared" si="3"/>
        <v>3426.038</v>
      </c>
      <c r="N35" s="16">
        <f t="shared" si="4"/>
        <v>135.34219999999999</v>
      </c>
      <c r="O35" s="7">
        <f t="shared" si="5"/>
        <v>14.762044657300471</v>
      </c>
      <c r="P35" s="4">
        <f t="shared" si="6"/>
        <v>2.6920593364957353</v>
      </c>
    </row>
    <row r="36" spans="1:16" x14ac:dyDescent="0.35">
      <c r="A36" s="2" t="s">
        <v>1319</v>
      </c>
      <c r="B36" s="2">
        <v>1991</v>
      </c>
      <c r="C36" s="7">
        <v>21.256419999999999</v>
      </c>
      <c r="D36" s="5">
        <v>3409.5549999999998</v>
      </c>
      <c r="E36" s="16">
        <v>137.9169</v>
      </c>
      <c r="F36" s="15">
        <v>0</v>
      </c>
      <c r="G36" s="16" t="str">
        <f>IFERROR(INDEX('EV Productivity'!$B$9:$B$21,MATCH(B36,'EV Productivity'!$A$9:$A$21,0)),"")</f>
        <v/>
      </c>
      <c r="H36" s="16" t="str">
        <f>IFERROR(INDEX('EV Productivity'!$C$9:$C$21,MATCH(B36,'EV Productivity'!$A$9:$A$21,0)),"")</f>
        <v/>
      </c>
      <c r="I36" s="16" t="str">
        <f>IFERROR(INDEX('EV Productivity'!$D$9:$D$21,MATCH(B36,'EV Productivity'!$A$9:$A$21,0)),"")</f>
        <v/>
      </c>
      <c r="J36" s="7">
        <f t="shared" si="0"/>
        <v>15.103145429317381</v>
      </c>
      <c r="K36" s="4">
        <f t="shared" si="1"/>
        <v>2.7149030287053861</v>
      </c>
      <c r="L36" s="7">
        <f t="shared" si="2"/>
        <v>21.256419999999999</v>
      </c>
      <c r="M36" s="5">
        <f t="shared" si="3"/>
        <v>3409.5549999999998</v>
      </c>
      <c r="N36" s="16">
        <f t="shared" si="4"/>
        <v>137.9169</v>
      </c>
      <c r="O36" s="7">
        <f t="shared" si="5"/>
        <v>14.944754169598751</v>
      </c>
      <c r="P36" s="4">
        <f t="shared" si="6"/>
        <v>2.7043603465941746</v>
      </c>
    </row>
    <row r="37" spans="1:16" x14ac:dyDescent="0.35">
      <c r="A37" s="2" t="s">
        <v>1319</v>
      </c>
      <c r="B37" s="2">
        <v>1992</v>
      </c>
      <c r="C37" s="7">
        <v>20.79365</v>
      </c>
      <c r="D37" s="5">
        <v>3512.3049999999998</v>
      </c>
      <c r="E37" s="16">
        <v>145.25720000000001</v>
      </c>
      <c r="F37" s="15">
        <v>0</v>
      </c>
      <c r="G37" s="16" t="str">
        <f>IFERROR(INDEX('EV Productivity'!$B$9:$B$21,MATCH(B37,'EV Productivity'!$A$9:$A$21,0)),"")</f>
        <v/>
      </c>
      <c r="H37" s="16" t="str">
        <f>IFERROR(INDEX('EV Productivity'!$C$9:$C$21,MATCH(B37,'EV Productivity'!$A$9:$A$21,0)),"")</f>
        <v/>
      </c>
      <c r="I37" s="16" t="str">
        <f>IFERROR(INDEX('EV Productivity'!$D$9:$D$21,MATCH(B37,'EV Productivity'!$A$9:$A$21,0)),"")</f>
        <v/>
      </c>
      <c r="J37" s="7">
        <f t="shared" si="0"/>
        <v>15.26350095406546</v>
      </c>
      <c r="K37" s="4">
        <f t="shared" si="1"/>
        <v>2.7254644198623317</v>
      </c>
      <c r="L37" s="7">
        <f t="shared" si="2"/>
        <v>20.79365</v>
      </c>
      <c r="M37" s="5">
        <f t="shared" si="3"/>
        <v>3512.3049999999998</v>
      </c>
      <c r="N37" s="16">
        <f t="shared" si="4"/>
        <v>145.25720000000001</v>
      </c>
      <c r="O37" s="7">
        <f t="shared" si="5"/>
        <v>15.125988244992495</v>
      </c>
      <c r="P37" s="4">
        <f t="shared" si="6"/>
        <v>2.7164143402943379</v>
      </c>
    </row>
    <row r="38" spans="1:16" x14ac:dyDescent="0.35">
      <c r="A38" s="2" t="s">
        <v>1319</v>
      </c>
      <c r="B38" s="2">
        <v>1993</v>
      </c>
      <c r="C38" s="7">
        <v>20.8794</v>
      </c>
      <c r="D38" s="5">
        <v>3518.93</v>
      </c>
      <c r="E38" s="16">
        <v>146.84059999999999</v>
      </c>
      <c r="F38" s="15">
        <v>0</v>
      </c>
      <c r="G38" s="16" t="str">
        <f>IFERROR(INDEX('EV Productivity'!$B$9:$B$21,MATCH(B38,'EV Productivity'!$A$9:$A$21,0)),"")</f>
        <v/>
      </c>
      <c r="H38" s="16" t="str">
        <f>IFERROR(INDEX('EV Productivity'!$C$9:$C$21,MATCH(B38,'EV Productivity'!$A$9:$A$21,0)),"")</f>
        <v/>
      </c>
      <c r="I38" s="16" t="str">
        <f>IFERROR(INDEX('EV Productivity'!$D$9:$D$21,MATCH(B38,'EV Productivity'!$A$9:$A$21,0)),"")</f>
        <v/>
      </c>
      <c r="J38" s="7">
        <f t="shared" si="0"/>
        <v>15.401006621536</v>
      </c>
      <c r="K38" s="4">
        <f t="shared" si="1"/>
        <v>2.7344328723181879</v>
      </c>
      <c r="L38" s="7">
        <f t="shared" si="2"/>
        <v>20.8794</v>
      </c>
      <c r="M38" s="5">
        <f t="shared" si="3"/>
        <v>3518.93</v>
      </c>
      <c r="N38" s="16">
        <f t="shared" si="4"/>
        <v>146.84059999999999</v>
      </c>
      <c r="O38" s="7">
        <f t="shared" si="5"/>
        <v>15.276853146207026</v>
      </c>
      <c r="P38" s="4">
        <f t="shared" si="6"/>
        <v>2.72633881659974</v>
      </c>
    </row>
    <row r="39" spans="1:16" x14ac:dyDescent="0.35">
      <c r="A39" s="2" t="s">
        <v>1319</v>
      </c>
      <c r="B39" s="2">
        <v>1994</v>
      </c>
      <c r="C39" s="7">
        <v>20.377520000000001</v>
      </c>
      <c r="D39" s="5">
        <v>3603.4319999999998</v>
      </c>
      <c r="E39" s="16">
        <v>152.28229999999999</v>
      </c>
      <c r="F39" s="15">
        <v>0</v>
      </c>
      <c r="G39" s="16" t="str">
        <f>IFERROR(INDEX('EV Productivity'!$B$9:$B$21,MATCH(B39,'EV Productivity'!$A$9:$A$21,0)),"")</f>
        <v/>
      </c>
      <c r="H39" s="16" t="str">
        <f>IFERROR(INDEX('EV Productivity'!$C$9:$C$21,MATCH(B39,'EV Productivity'!$A$9:$A$21,0)),"")</f>
        <v/>
      </c>
      <c r="I39" s="16" t="str">
        <f>IFERROR(INDEX('EV Productivity'!$D$9:$D$21,MATCH(B39,'EV Productivity'!$A$9:$A$21,0)),"")</f>
        <v/>
      </c>
      <c r="J39" s="7">
        <f t="shared" si="0"/>
        <v>15.398500334810244</v>
      </c>
      <c r="K39" s="4">
        <f t="shared" si="1"/>
        <v>2.7342701238212825</v>
      </c>
      <c r="L39" s="7">
        <f t="shared" si="2"/>
        <v>20.377520000000001</v>
      </c>
      <c r="M39" s="5">
        <f t="shared" si="3"/>
        <v>3603.4319999999998</v>
      </c>
      <c r="N39" s="16">
        <f t="shared" si="4"/>
        <v>152.28229999999999</v>
      </c>
      <c r="O39" s="7">
        <f t="shared" si="5"/>
        <v>15.283782902953993</v>
      </c>
      <c r="P39" s="4">
        <f t="shared" si="6"/>
        <v>2.7267923252802917</v>
      </c>
    </row>
    <row r="40" spans="1:16" x14ac:dyDescent="0.35">
      <c r="A40" s="2" t="s">
        <v>1319</v>
      </c>
      <c r="B40" s="2">
        <v>1995</v>
      </c>
      <c r="C40" s="7">
        <v>20.48563</v>
      </c>
      <c r="D40" s="5">
        <v>3612.509</v>
      </c>
      <c r="E40" s="16">
        <v>158.18889999999999</v>
      </c>
      <c r="F40" s="15">
        <v>0</v>
      </c>
      <c r="G40" s="16" t="str">
        <f>IFERROR(INDEX('EV Productivity'!$B$9:$B$21,MATCH(B40,'EV Productivity'!$A$9:$A$21,0)),"")</f>
        <v/>
      </c>
      <c r="H40" s="16" t="str">
        <f>IFERROR(INDEX('EV Productivity'!$C$9:$C$21,MATCH(B40,'EV Productivity'!$A$9:$A$21,0)),"")</f>
        <v/>
      </c>
      <c r="I40" s="16" t="str">
        <f>IFERROR(INDEX('EV Productivity'!$D$9:$D$21,MATCH(B40,'EV Productivity'!$A$9:$A$21,0)),"")</f>
        <v/>
      </c>
      <c r="J40" s="7">
        <f t="shared" si="0"/>
        <v>15.716955862071501</v>
      </c>
      <c r="K40" s="4">
        <f t="shared" si="1"/>
        <v>2.7547401207980498</v>
      </c>
      <c r="L40" s="7">
        <f t="shared" si="2"/>
        <v>20.48563</v>
      </c>
      <c r="M40" s="5">
        <f t="shared" si="3"/>
        <v>3612.509</v>
      </c>
      <c r="N40" s="16">
        <f t="shared" si="4"/>
        <v>158.18889999999999</v>
      </c>
      <c r="O40" s="7">
        <f t="shared" si="5"/>
        <v>15.661859211935106</v>
      </c>
      <c r="P40" s="4">
        <f t="shared" si="6"/>
        <v>2.7512284071384969</v>
      </c>
    </row>
    <row r="41" spans="1:16" x14ac:dyDescent="0.35">
      <c r="A41" s="2" t="s">
        <v>1319</v>
      </c>
      <c r="B41" s="2">
        <v>1996</v>
      </c>
      <c r="C41" s="7">
        <v>20.43168</v>
      </c>
      <c r="D41" s="5">
        <v>3658.7860000000001</v>
      </c>
      <c r="E41" s="16">
        <v>163.9606</v>
      </c>
      <c r="F41" s="15">
        <v>0</v>
      </c>
      <c r="G41" s="16" t="str">
        <f>IFERROR(INDEX('EV Productivity'!$B$9:$B$21,MATCH(B41,'EV Productivity'!$A$9:$A$21,0)),"")</f>
        <v/>
      </c>
      <c r="H41" s="16" t="str">
        <f>IFERROR(INDEX('EV Productivity'!$C$9:$C$21,MATCH(B41,'EV Productivity'!$A$9:$A$21,0)),"")</f>
        <v/>
      </c>
      <c r="I41" s="16" t="str">
        <f>IFERROR(INDEX('EV Productivity'!$D$9:$D$21,MATCH(B41,'EV Productivity'!$A$9:$A$21,0)),"")</f>
        <v/>
      </c>
      <c r="J41" s="7">
        <f t="shared" si="0"/>
        <v>15.975992503903266</v>
      </c>
      <c r="K41" s="4">
        <f t="shared" si="1"/>
        <v>2.7710871269035433</v>
      </c>
      <c r="L41" s="7">
        <f t="shared" si="2"/>
        <v>20.43168</v>
      </c>
      <c r="M41" s="5">
        <f t="shared" si="3"/>
        <v>3658.7860000000001</v>
      </c>
      <c r="N41" s="16">
        <f t="shared" si="4"/>
        <v>163.9606</v>
      </c>
      <c r="O41" s="7">
        <f t="shared" si="5"/>
        <v>15.954920716322935</v>
      </c>
      <c r="P41" s="4">
        <f t="shared" si="6"/>
        <v>2.7697672905121529</v>
      </c>
    </row>
    <row r="42" spans="1:16" x14ac:dyDescent="0.35">
      <c r="A42" s="2" t="s">
        <v>1319</v>
      </c>
      <c r="B42" s="2">
        <v>1997</v>
      </c>
      <c r="C42" s="7">
        <v>20.150379999999998</v>
      </c>
      <c r="D42" s="5">
        <v>3727.2849999999999</v>
      </c>
      <c r="E42" s="16">
        <v>169.24090000000001</v>
      </c>
      <c r="F42" s="15">
        <v>0</v>
      </c>
      <c r="G42" s="16" t="str">
        <f>IFERROR(INDEX('EV Productivity'!$B$9:$B$21,MATCH(B42,'EV Productivity'!$A$9:$A$21,0)),"")</f>
        <v/>
      </c>
      <c r="H42" s="16" t="str">
        <f>IFERROR(INDEX('EV Productivity'!$C$9:$C$21,MATCH(B42,'EV Productivity'!$A$9:$A$21,0)),"")</f>
        <v/>
      </c>
      <c r="I42" s="16" t="str">
        <f>IFERROR(INDEX('EV Productivity'!$D$9:$D$21,MATCH(B42,'EV Productivity'!$A$9:$A$21,0)),"")</f>
        <v/>
      </c>
      <c r="J42" s="7">
        <f t="shared" si="0"/>
        <v>16.075802662644627</v>
      </c>
      <c r="K42" s="4">
        <f t="shared" si="1"/>
        <v>2.7773152012344684</v>
      </c>
      <c r="L42" s="7">
        <f t="shared" si="2"/>
        <v>20.150379999999998</v>
      </c>
      <c r="M42" s="5">
        <f t="shared" si="3"/>
        <v>3727.2849999999999</v>
      </c>
      <c r="N42" s="16">
        <f t="shared" si="4"/>
        <v>169.24090000000001</v>
      </c>
      <c r="O42" s="7">
        <f t="shared" si="5"/>
        <v>16.068296993172719</v>
      </c>
      <c r="P42" s="4">
        <f t="shared" si="6"/>
        <v>2.7768481998445598</v>
      </c>
    </row>
    <row r="43" spans="1:16" x14ac:dyDescent="0.35">
      <c r="A43" s="2" t="s">
        <v>1319</v>
      </c>
      <c r="B43" s="2">
        <v>1998</v>
      </c>
      <c r="C43" s="7">
        <v>20.09648</v>
      </c>
      <c r="D43" s="5">
        <v>3744.0050000000001</v>
      </c>
      <c r="E43" s="16">
        <v>171.471</v>
      </c>
      <c r="F43" s="15">
        <v>0</v>
      </c>
      <c r="G43" s="16" t="str">
        <f>IFERROR(INDEX('EV Productivity'!$B$9:$B$21,MATCH(B43,'EV Productivity'!$A$9:$A$21,0)),"")</f>
        <v/>
      </c>
      <c r="H43" s="16" t="str">
        <f>IFERROR(INDEX('EV Productivity'!$C$9:$C$21,MATCH(B43,'EV Productivity'!$A$9:$A$21,0)),"")</f>
        <v/>
      </c>
      <c r="I43" s="16" t="str">
        <f>IFERROR(INDEX('EV Productivity'!$D$9:$D$21,MATCH(B43,'EV Productivity'!$A$9:$A$21,0)),"")</f>
        <v/>
      </c>
      <c r="J43" s="7">
        <f t="shared" si="0"/>
        <v>16.143101640346632</v>
      </c>
      <c r="K43" s="4">
        <f t="shared" si="1"/>
        <v>2.7814928154045107</v>
      </c>
      <c r="L43" s="7">
        <f t="shared" si="2"/>
        <v>20.09648</v>
      </c>
      <c r="M43" s="5">
        <f t="shared" si="3"/>
        <v>3744.0050000000001</v>
      </c>
      <c r="N43" s="16">
        <f t="shared" si="4"/>
        <v>171.471</v>
      </c>
      <c r="O43" s="7">
        <f t="shared" si="5"/>
        <v>16.148908035206759</v>
      </c>
      <c r="P43" s="4">
        <f t="shared" si="6"/>
        <v>2.7818524334636554</v>
      </c>
    </row>
    <row r="44" spans="1:16" x14ac:dyDescent="0.35">
      <c r="A44" s="2" t="s">
        <v>1319</v>
      </c>
      <c r="B44" s="2">
        <v>1999</v>
      </c>
      <c r="C44" s="7">
        <v>19.695060000000002</v>
      </c>
      <c r="D44" s="5">
        <v>3835.375</v>
      </c>
      <c r="E44" s="16">
        <v>178.90199999999999</v>
      </c>
      <c r="F44" s="15">
        <v>0</v>
      </c>
      <c r="G44" s="16" t="str">
        <f>IFERROR(INDEX('EV Productivity'!$B$9:$B$21,MATCH(B44,'EV Productivity'!$A$9:$A$21,0)),"")</f>
        <v/>
      </c>
      <c r="H44" s="16" t="str">
        <f>IFERROR(INDEX('EV Productivity'!$C$9:$C$21,MATCH(B44,'EV Productivity'!$A$9:$A$21,0)),"")</f>
        <v/>
      </c>
      <c r="I44" s="16" t="str">
        <f>IFERROR(INDEX('EV Productivity'!$D$9:$D$21,MATCH(B44,'EV Productivity'!$A$9:$A$21,0)),"")</f>
        <v/>
      </c>
      <c r="J44" s="7">
        <f t="shared" si="0"/>
        <v>16.246596982263959</v>
      </c>
      <c r="K44" s="4">
        <f t="shared" si="1"/>
        <v>2.7878834703689903</v>
      </c>
      <c r="L44" s="7">
        <f t="shared" si="2"/>
        <v>19.695060000000002</v>
      </c>
      <c r="M44" s="5">
        <f t="shared" si="3"/>
        <v>3835.375</v>
      </c>
      <c r="N44" s="16">
        <f t="shared" si="4"/>
        <v>178.90199999999999</v>
      </c>
      <c r="O44" s="7">
        <f t="shared" si="5"/>
        <v>16.272734835181126</v>
      </c>
      <c r="P44" s="4">
        <f t="shared" si="6"/>
        <v>2.7894909977740774</v>
      </c>
    </row>
    <row r="45" spans="1:16" x14ac:dyDescent="0.35">
      <c r="A45" s="2" t="s">
        <v>1319</v>
      </c>
      <c r="B45" s="2">
        <v>2000</v>
      </c>
      <c r="C45" s="7">
        <v>19.76896</v>
      </c>
      <c r="D45" s="5">
        <v>3821.2860000000001</v>
      </c>
      <c r="E45" s="16">
        <v>180.98609999999999</v>
      </c>
      <c r="F45" s="15">
        <v>0</v>
      </c>
      <c r="G45" s="16" t="str">
        <f>IFERROR(INDEX('EV Productivity'!$B$9:$B$21,MATCH(B45,'EV Productivity'!$A$9:$A$21,0)),"")</f>
        <v/>
      </c>
      <c r="H45" s="16" t="str">
        <f>IFERROR(INDEX('EV Productivity'!$C$9:$C$21,MATCH(B45,'EV Productivity'!$A$9:$A$21,0)),"")</f>
        <v/>
      </c>
      <c r="I45" s="16" t="str">
        <f>IFERROR(INDEX('EV Productivity'!$D$9:$D$21,MATCH(B45,'EV Productivity'!$A$9:$A$21,0)),"")</f>
        <v/>
      </c>
      <c r="J45" s="7">
        <f t="shared" si="0"/>
        <v>16.350128035433695</v>
      </c>
      <c r="K45" s="4">
        <f t="shared" si="1"/>
        <v>2.7942357282259769</v>
      </c>
      <c r="L45" s="7">
        <f t="shared" si="2"/>
        <v>19.76896</v>
      </c>
      <c r="M45" s="5">
        <f t="shared" si="3"/>
        <v>3821.2860000000001</v>
      </c>
      <c r="N45" s="16">
        <f t="shared" si="4"/>
        <v>180.98609999999999</v>
      </c>
      <c r="O45" s="7">
        <f t="shared" si="5"/>
        <v>16.407074236763243</v>
      </c>
      <c r="P45" s="4">
        <f t="shared" si="6"/>
        <v>2.7977125977231392</v>
      </c>
    </row>
    <row r="46" spans="1:16" x14ac:dyDescent="0.35">
      <c r="A46" s="2" t="s">
        <v>1319</v>
      </c>
      <c r="B46" s="2">
        <v>2001</v>
      </c>
      <c r="C46" s="7">
        <v>19.623629999999999</v>
      </c>
      <c r="D46" s="5">
        <v>3879.288</v>
      </c>
      <c r="E46" s="16">
        <v>186.9203</v>
      </c>
      <c r="F46" s="15">
        <v>0</v>
      </c>
      <c r="G46" s="16" t="str">
        <f>IFERROR(INDEX('EV Productivity'!$B$9:$B$21,MATCH(B46,'EV Productivity'!$A$9:$A$21,0)),"")</f>
        <v/>
      </c>
      <c r="H46" s="16" t="str">
        <f>IFERROR(INDEX('EV Productivity'!$C$9:$C$21,MATCH(B46,'EV Productivity'!$A$9:$A$21,0)),"")</f>
        <v/>
      </c>
      <c r="I46" s="16" t="str">
        <f>IFERROR(INDEX('EV Productivity'!$D$9:$D$21,MATCH(B46,'EV Productivity'!$A$9:$A$21,0)),"")</f>
        <v/>
      </c>
      <c r="J46" s="7">
        <f t="shared" si="0"/>
        <v>16.536663303658216</v>
      </c>
      <c r="K46" s="4">
        <f t="shared" si="1"/>
        <v>2.8055799342780592</v>
      </c>
      <c r="L46" s="7">
        <f t="shared" si="2"/>
        <v>19.623629999999999</v>
      </c>
      <c r="M46" s="5">
        <f t="shared" si="3"/>
        <v>3879.288</v>
      </c>
      <c r="N46" s="16">
        <f t="shared" si="4"/>
        <v>186.9203</v>
      </c>
      <c r="O46" s="7">
        <f t="shared" si="5"/>
        <v>16.618109887788066</v>
      </c>
      <c r="P46" s="4">
        <f t="shared" si="6"/>
        <v>2.8104930577969327</v>
      </c>
    </row>
    <row r="47" spans="1:16" x14ac:dyDescent="0.35">
      <c r="A47" s="2" t="s">
        <v>1319</v>
      </c>
      <c r="B47" s="2">
        <v>2002</v>
      </c>
      <c r="C47" s="7">
        <v>19.45354</v>
      </c>
      <c r="D47" s="5">
        <v>3950.9319999999998</v>
      </c>
      <c r="E47" s="16">
        <v>195.4821</v>
      </c>
      <c r="F47" s="15">
        <v>0</v>
      </c>
      <c r="G47" s="16" t="str">
        <f>IFERROR(INDEX('EV Productivity'!$B$9:$B$21,MATCH(B47,'EV Productivity'!$A$9:$A$21,0)),"")</f>
        <v/>
      </c>
      <c r="H47" s="16" t="str">
        <f>IFERROR(INDEX('EV Productivity'!$C$9:$C$21,MATCH(B47,'EV Productivity'!$A$9:$A$21,0)),"")</f>
        <v/>
      </c>
      <c r="I47" s="16" t="str">
        <f>IFERROR(INDEX('EV Productivity'!$D$9:$D$21,MATCH(B47,'EV Productivity'!$A$9:$A$21,0)),"")</f>
        <v/>
      </c>
      <c r="J47" s="7">
        <f t="shared" si="0"/>
        <v>16.805105733051427</v>
      </c>
      <c r="K47" s="4">
        <f t="shared" si="1"/>
        <v>2.8216827529187416</v>
      </c>
      <c r="L47" s="7">
        <f t="shared" si="2"/>
        <v>19.45354</v>
      </c>
      <c r="M47" s="5">
        <f t="shared" si="3"/>
        <v>3950.9319999999998</v>
      </c>
      <c r="N47" s="16">
        <f t="shared" si="4"/>
        <v>195.4821</v>
      </c>
      <c r="O47" s="7">
        <f t="shared" si="5"/>
        <v>16.928166628170615</v>
      </c>
      <c r="P47" s="4">
        <f t="shared" si="6"/>
        <v>2.8289788989740061</v>
      </c>
    </row>
    <row r="48" spans="1:16" x14ac:dyDescent="0.35">
      <c r="A48" s="2" t="s">
        <v>1319</v>
      </c>
      <c r="B48" s="2">
        <v>2003</v>
      </c>
      <c r="C48" s="7">
        <v>19.584510000000002</v>
      </c>
      <c r="D48" s="5">
        <v>3998.835</v>
      </c>
      <c r="E48" s="16">
        <v>198.57839999999999</v>
      </c>
      <c r="F48" s="15">
        <v>0</v>
      </c>
      <c r="G48" s="16" t="str">
        <f>IFERROR(INDEX('EV Productivity'!$B$9:$B$21,MATCH(B48,'EV Productivity'!$A$9:$A$21,0)),"")</f>
        <v/>
      </c>
      <c r="H48" s="16" t="str">
        <f>IFERROR(INDEX('EV Productivity'!$C$9:$C$21,MATCH(B48,'EV Productivity'!$A$9:$A$21,0)),"")</f>
        <v/>
      </c>
      <c r="I48" s="16" t="str">
        <f>IFERROR(INDEX('EV Productivity'!$D$9:$D$21,MATCH(B48,'EV Productivity'!$A$9:$A$21,0)),"")</f>
        <v/>
      </c>
      <c r="J48" s="7">
        <f t="shared" si="0"/>
        <v>17.109716349034191</v>
      </c>
      <c r="K48" s="4">
        <f t="shared" si="1"/>
        <v>2.8396465096856902</v>
      </c>
      <c r="L48" s="7">
        <f t="shared" si="2"/>
        <v>19.584510000000002</v>
      </c>
      <c r="M48" s="5">
        <f t="shared" si="3"/>
        <v>3998.835</v>
      </c>
      <c r="N48" s="16">
        <f t="shared" si="4"/>
        <v>198.57839999999999</v>
      </c>
      <c r="O48" s="7">
        <f t="shared" si="5"/>
        <v>17.234965412138571</v>
      </c>
      <c r="P48" s="4">
        <f t="shared" si="6"/>
        <v>2.8469401931283218</v>
      </c>
    </row>
    <row r="49" spans="1:16" x14ac:dyDescent="0.35">
      <c r="A49" s="2" t="s">
        <v>1319</v>
      </c>
      <c r="B49" s="2">
        <v>2004</v>
      </c>
      <c r="C49" s="7">
        <v>19.2986</v>
      </c>
      <c r="D49" s="5">
        <v>4111.0720000000001</v>
      </c>
      <c r="E49" s="16">
        <v>210.52119999999999</v>
      </c>
      <c r="F49" s="15">
        <v>0</v>
      </c>
      <c r="G49" s="16" t="str">
        <f>IFERROR(INDEX('EV Productivity'!$B$9:$B$21,MATCH(B49,'EV Productivity'!$A$9:$A$21,0)),"")</f>
        <v/>
      </c>
      <c r="H49" s="16" t="str">
        <f>IFERROR(INDEX('EV Productivity'!$C$9:$C$21,MATCH(B49,'EV Productivity'!$A$9:$A$21,0)),"")</f>
        <v/>
      </c>
      <c r="I49" s="16" t="str">
        <f>IFERROR(INDEX('EV Productivity'!$D$9:$D$21,MATCH(B49,'EV Productivity'!$A$9:$A$21,0)),"")</f>
        <v/>
      </c>
      <c r="J49" s="7">
        <f t="shared" si="0"/>
        <v>17.444399217705261</v>
      </c>
      <c r="K49" s="4">
        <f t="shared" si="1"/>
        <v>2.859018635393106</v>
      </c>
      <c r="L49" s="7">
        <f t="shared" si="2"/>
        <v>19.2986</v>
      </c>
      <c r="M49" s="5">
        <f t="shared" si="3"/>
        <v>4111.0720000000001</v>
      </c>
      <c r="N49" s="16">
        <f t="shared" si="4"/>
        <v>210.52119999999999</v>
      </c>
      <c r="O49" s="7">
        <f t="shared" si="5"/>
        <v>17.616768685911332</v>
      </c>
      <c r="P49" s="4">
        <f t="shared" si="6"/>
        <v>2.8688512146953991</v>
      </c>
    </row>
    <row r="50" spans="1:16" x14ac:dyDescent="0.35">
      <c r="A50" s="2" t="s">
        <v>1319</v>
      </c>
      <c r="B50" s="2">
        <v>2005</v>
      </c>
      <c r="C50" s="7">
        <v>19.883749999999999</v>
      </c>
      <c r="D50" s="5">
        <v>4059.4409999999998</v>
      </c>
      <c r="E50" s="16">
        <v>209.09530000000001</v>
      </c>
      <c r="F50" s="15">
        <v>0</v>
      </c>
      <c r="G50" s="16" t="str">
        <f>IFERROR(INDEX('EV Productivity'!$B$9:$B$21,MATCH(B50,'EV Productivity'!$A$9:$A$21,0)),"")</f>
        <v/>
      </c>
      <c r="H50" s="16" t="str">
        <f>IFERROR(INDEX('EV Productivity'!$C$9:$C$21,MATCH(B50,'EV Productivity'!$A$9:$A$21,0)),"")</f>
        <v/>
      </c>
      <c r="I50" s="16" t="str">
        <f>IFERROR(INDEX('EV Productivity'!$D$9:$D$21,MATCH(B50,'EV Productivity'!$A$9:$A$21,0)),"")</f>
        <v/>
      </c>
      <c r="J50" s="7">
        <f t="shared" si="0"/>
        <v>17.826032445813642</v>
      </c>
      <c r="K50" s="4">
        <f t="shared" si="1"/>
        <v>2.8806598858467569</v>
      </c>
      <c r="L50" s="7">
        <f t="shared" si="2"/>
        <v>19.883749999999999</v>
      </c>
      <c r="M50" s="5">
        <f t="shared" si="3"/>
        <v>4059.4409999999998</v>
      </c>
      <c r="N50" s="16">
        <f t="shared" si="4"/>
        <v>209.09530000000001</v>
      </c>
      <c r="O50" s="7">
        <f t="shared" si="5"/>
        <v>18.02211735582835</v>
      </c>
      <c r="P50" s="4">
        <f t="shared" si="6"/>
        <v>2.8915997456010074</v>
      </c>
    </row>
    <row r="51" spans="1:16" x14ac:dyDescent="0.35">
      <c r="A51" s="2" t="s">
        <v>1319</v>
      </c>
      <c r="B51" s="2">
        <v>2006</v>
      </c>
      <c r="C51" s="7">
        <v>20.133299999999998</v>
      </c>
      <c r="D51" s="5">
        <v>4066.5329999999999</v>
      </c>
      <c r="E51" s="16">
        <v>213.1841</v>
      </c>
      <c r="F51" s="15">
        <v>0</v>
      </c>
      <c r="G51" s="16" t="str">
        <f>IFERROR(INDEX('EV Productivity'!$B$9:$B$21,MATCH(B51,'EV Productivity'!$A$9:$A$21,0)),"")</f>
        <v/>
      </c>
      <c r="H51" s="16" t="str">
        <f>IFERROR(INDEX('EV Productivity'!$C$9:$C$21,MATCH(B51,'EV Productivity'!$A$9:$A$21,0)),"")</f>
        <v/>
      </c>
      <c r="I51" s="16" t="str">
        <f>IFERROR(INDEX('EV Productivity'!$D$9:$D$21,MATCH(B51,'EV Productivity'!$A$9:$A$21,0)),"")</f>
        <v/>
      </c>
      <c r="J51" s="7">
        <f t="shared" si="0"/>
        <v>18.193554792580361</v>
      </c>
      <c r="K51" s="4">
        <f t="shared" si="1"/>
        <v>2.901067399087303</v>
      </c>
      <c r="L51" s="7">
        <f t="shared" si="2"/>
        <v>20.133299999999998</v>
      </c>
      <c r="M51" s="5">
        <f t="shared" si="3"/>
        <v>4066.5329999999999</v>
      </c>
      <c r="N51" s="16">
        <f t="shared" si="4"/>
        <v>213.1841</v>
      </c>
      <c r="O51" s="7">
        <f t="shared" si="5"/>
        <v>18.429568310070024</v>
      </c>
      <c r="P51" s="4">
        <f t="shared" si="6"/>
        <v>2.9139563481881976</v>
      </c>
    </row>
    <row r="52" spans="1:16" x14ac:dyDescent="0.35">
      <c r="A52" s="2" t="s">
        <v>1319</v>
      </c>
      <c r="B52" s="2">
        <v>2007</v>
      </c>
      <c r="C52" s="7">
        <v>20.603899999999999</v>
      </c>
      <c r="D52" s="5">
        <v>4093.3150000000001</v>
      </c>
      <c r="E52" s="16">
        <v>216.9897</v>
      </c>
      <c r="F52" s="15">
        <v>0</v>
      </c>
      <c r="G52" s="16" t="str">
        <f>IFERROR(INDEX('EV Productivity'!$B$9:$B$21,MATCH(B52,'EV Productivity'!$A$9:$A$21,0)),"")</f>
        <v/>
      </c>
      <c r="H52" s="16" t="str">
        <f>IFERROR(INDEX('EV Productivity'!$C$9:$C$21,MATCH(B52,'EV Productivity'!$A$9:$A$21,0)),"")</f>
        <v/>
      </c>
      <c r="I52" s="16" t="str">
        <f>IFERROR(INDEX('EV Productivity'!$D$9:$D$21,MATCH(B52,'EV Productivity'!$A$9:$A$21,0)),"")</f>
        <v/>
      </c>
      <c r="J52" s="7">
        <f t="shared" ref="J52:J69" si="7">C52*(D52/$D$69)^$B$4*(E52/$E$69)^$B$5</f>
        <v>18.796531727234616</v>
      </c>
      <c r="K52" s="4">
        <f t="shared" si="1"/>
        <v>2.9336723702229932</v>
      </c>
      <c r="L52" s="7">
        <f t="shared" si="2"/>
        <v>20.603899999999999</v>
      </c>
      <c r="M52" s="5">
        <f t="shared" si="3"/>
        <v>4093.3150000000001</v>
      </c>
      <c r="N52" s="16">
        <f t="shared" si="4"/>
        <v>216.9897</v>
      </c>
      <c r="O52" s="7">
        <f t="shared" ref="O52:O83" si="8">L52*(M52/$M$69)^$E$4*(N52/$N$69)^$E$5</f>
        <v>19.060190344541745</v>
      </c>
      <c r="P52" s="4">
        <f t="shared" si="6"/>
        <v>2.9476018847733436</v>
      </c>
    </row>
    <row r="53" spans="1:16" x14ac:dyDescent="0.35">
      <c r="A53" s="2" t="s">
        <v>1319</v>
      </c>
      <c r="B53" s="2">
        <v>2008</v>
      </c>
      <c r="C53" s="7">
        <v>20.968330000000002</v>
      </c>
      <c r="D53" s="5">
        <v>4085.0030000000002</v>
      </c>
      <c r="E53" s="16">
        <v>218.55590000000001</v>
      </c>
      <c r="F53" s="15">
        <v>0</v>
      </c>
      <c r="G53" s="16" t="str">
        <f>IFERROR(INDEX('EV Productivity'!$B$9:$B$21,MATCH(B53,'EV Productivity'!$A$9:$A$21,0)),"")</f>
        <v/>
      </c>
      <c r="H53" s="16" t="str">
        <f>IFERROR(INDEX('EV Productivity'!$C$9:$C$21,MATCH(B53,'EV Productivity'!$A$9:$A$21,0)),"")</f>
        <v/>
      </c>
      <c r="I53" s="16" t="str">
        <f>IFERROR(INDEX('EV Productivity'!$D$9:$D$21,MATCH(B53,'EV Productivity'!$A$9:$A$21,0)),"")</f>
        <v/>
      </c>
      <c r="J53" s="7">
        <f t="shared" si="7"/>
        <v>19.162177131513754</v>
      </c>
      <c r="K53" s="4">
        <f t="shared" si="1"/>
        <v>2.9529383950808406</v>
      </c>
      <c r="L53" s="7">
        <f t="shared" si="2"/>
        <v>20.968330000000002</v>
      </c>
      <c r="M53" s="5">
        <f t="shared" si="3"/>
        <v>4085.0030000000002</v>
      </c>
      <c r="N53" s="16">
        <f t="shared" si="4"/>
        <v>218.55590000000001</v>
      </c>
      <c r="O53" s="7">
        <f t="shared" si="8"/>
        <v>19.452800978388655</v>
      </c>
      <c r="P53" s="4">
        <f t="shared" si="6"/>
        <v>2.9679910688677831</v>
      </c>
    </row>
    <row r="54" spans="1:16" x14ac:dyDescent="0.35">
      <c r="A54" s="2" t="s">
        <v>1319</v>
      </c>
      <c r="B54" s="2">
        <v>2009</v>
      </c>
      <c r="C54" s="7">
        <v>22.402809999999999</v>
      </c>
      <c r="D54" s="5">
        <v>3914.1930000000002</v>
      </c>
      <c r="E54" s="16">
        <v>207.7209</v>
      </c>
      <c r="F54" s="15">
        <v>0</v>
      </c>
      <c r="G54" s="16" t="str">
        <f>IFERROR(INDEX('EV Productivity'!$B$9:$B$21,MATCH(B54,'EV Productivity'!$A$9:$A$21,0)),"")</f>
        <v/>
      </c>
      <c r="H54" s="16" t="str">
        <f>IFERROR(INDEX('EV Productivity'!$C$9:$C$21,MATCH(B54,'EV Productivity'!$A$9:$A$21,0)),"")</f>
        <v/>
      </c>
      <c r="I54" s="16" t="str">
        <f>IFERROR(INDEX('EV Productivity'!$D$9:$D$21,MATCH(B54,'EV Productivity'!$A$9:$A$21,0)),"")</f>
        <v/>
      </c>
      <c r="J54" s="7">
        <f t="shared" si="7"/>
        <v>19.707818024068608</v>
      </c>
      <c r="K54" s="4">
        <f t="shared" si="1"/>
        <v>2.9810154110318514</v>
      </c>
      <c r="L54" s="7">
        <f t="shared" si="2"/>
        <v>22.402809999999999</v>
      </c>
      <c r="M54" s="5">
        <f t="shared" si="3"/>
        <v>3914.1930000000002</v>
      </c>
      <c r="N54" s="16">
        <f t="shared" si="4"/>
        <v>207.7209</v>
      </c>
      <c r="O54" s="7">
        <f t="shared" si="8"/>
        <v>20.01796685424614</v>
      </c>
      <c r="P54" s="4">
        <f t="shared" si="6"/>
        <v>2.9966302129979812</v>
      </c>
    </row>
    <row r="55" spans="1:16" x14ac:dyDescent="0.35">
      <c r="A55" s="2" t="s">
        <v>1319</v>
      </c>
      <c r="B55" s="2">
        <v>2010</v>
      </c>
      <c r="C55" s="7">
        <v>22.59206</v>
      </c>
      <c r="D55" s="5">
        <v>4001.3229999999999</v>
      </c>
      <c r="E55" s="16">
        <v>213.6361</v>
      </c>
      <c r="F55" s="15">
        <v>0</v>
      </c>
      <c r="G55" s="16" t="str">
        <f>IFERROR(INDEX('EV Productivity'!$B$9:$B$21,MATCH(B55,'EV Productivity'!$A$9:$A$21,0)),"")</f>
        <v/>
      </c>
      <c r="H55" s="16" t="str">
        <f>IFERROR(INDEX('EV Productivity'!$C$9:$C$21,MATCH(B55,'EV Productivity'!$A$9:$A$21,0)),"")</f>
        <v/>
      </c>
      <c r="I55" s="16" t="str">
        <f>IFERROR(INDEX('EV Productivity'!$D$9:$D$21,MATCH(B55,'EV Productivity'!$A$9:$A$21,0)),"")</f>
        <v/>
      </c>
      <c r="J55" s="7">
        <f t="shared" si="7"/>
        <v>20.282405731097178</v>
      </c>
      <c r="K55" s="4">
        <f t="shared" si="1"/>
        <v>3.0097537974812458</v>
      </c>
      <c r="L55" s="7">
        <f t="shared" si="2"/>
        <v>22.59206</v>
      </c>
      <c r="M55" s="5">
        <f t="shared" si="3"/>
        <v>4001.3229999999999</v>
      </c>
      <c r="N55" s="16">
        <f t="shared" si="4"/>
        <v>213.6361</v>
      </c>
      <c r="O55" s="7">
        <f t="shared" si="8"/>
        <v>20.600024333721191</v>
      </c>
      <c r="P55" s="4">
        <f t="shared" si="6"/>
        <v>3.0252922570434393</v>
      </c>
    </row>
    <row r="56" spans="1:16" x14ac:dyDescent="0.35">
      <c r="A56" s="2" t="s">
        <v>1319</v>
      </c>
      <c r="B56" s="2">
        <v>2011</v>
      </c>
      <c r="C56" s="7">
        <v>22.288440000000001</v>
      </c>
      <c r="D56" s="5">
        <v>4125.9340000000002</v>
      </c>
      <c r="E56" s="16">
        <v>229.9718</v>
      </c>
      <c r="F56" s="15">
        <v>1E-3</v>
      </c>
      <c r="G56" s="16" t="str">
        <f>IFERROR(INDEX('EV Productivity'!$B$9:$B$21,MATCH(B56,'EV Productivity'!$A$9:$A$21,0)),"")</f>
        <v/>
      </c>
      <c r="H56" s="16" t="str">
        <f>IFERROR(INDEX('EV Productivity'!$C$9:$C$21,MATCH(B56,'EV Productivity'!$A$9:$A$21,0)),"")</f>
        <v/>
      </c>
      <c r="I56" s="16" t="str">
        <f>IFERROR(INDEX('EV Productivity'!$D$9:$D$21,MATCH(B56,'EV Productivity'!$A$9:$A$21,0)),"")</f>
        <v/>
      </c>
      <c r="J56" s="7">
        <f t="shared" si="7"/>
        <v>20.848699297856982</v>
      </c>
      <c r="K56" s="4">
        <f t="shared" si="1"/>
        <v>3.0372915625030323</v>
      </c>
      <c r="L56" s="7">
        <f t="shared" si="2"/>
        <v>22.288440000000001</v>
      </c>
      <c r="M56" s="5">
        <f t="shared" si="3"/>
        <v>4125.9340000000002</v>
      </c>
      <c r="N56" s="16">
        <f t="shared" si="4"/>
        <v>229.9718</v>
      </c>
      <c r="O56" s="7">
        <f t="shared" si="8"/>
        <v>21.256592427990675</v>
      </c>
      <c r="P56" s="4">
        <f t="shared" si="6"/>
        <v>3.0566670791639021</v>
      </c>
    </row>
    <row r="57" spans="1:16" x14ac:dyDescent="0.35">
      <c r="A57" s="2" t="s">
        <v>1319</v>
      </c>
      <c r="B57" s="2">
        <v>2012</v>
      </c>
      <c r="C57" s="7">
        <v>23.565930000000002</v>
      </c>
      <c r="D57" s="5">
        <v>3978.8119999999999</v>
      </c>
      <c r="E57" s="16">
        <v>221.77959999999999</v>
      </c>
      <c r="F57" s="15">
        <v>1E-3</v>
      </c>
      <c r="G57" s="16">
        <f>IFERROR(INDEX('EV Productivity'!$B$9:$B$21,MATCH(B57,'EV Productivity'!$A$9:$A$21,0)),"")</f>
        <v>89.140649999999994</v>
      </c>
      <c r="H57" s="16">
        <f>IFERROR(INDEX('EV Productivity'!$C$9:$C$21,MATCH(B57,'EV Productivity'!$A$9:$A$21,0)),"")</f>
        <v>4500</v>
      </c>
      <c r="I57" s="16">
        <f>IFERROR(INDEX('EV Productivity'!$D$9:$D$21,MATCH(B57,'EV Productivity'!$A$9:$A$21,0)),"")</f>
        <v>349</v>
      </c>
      <c r="J57" s="7">
        <f t="shared" si="7"/>
        <v>21.39603031210871</v>
      </c>
      <c r="K57" s="4">
        <f t="shared" si="1"/>
        <v>3.0632054053864852</v>
      </c>
      <c r="L57" s="7">
        <f t="shared" si="2"/>
        <v>23.548589562109598</v>
      </c>
      <c r="M57" s="5">
        <f t="shared" si="3"/>
        <v>3978.2902902902902</v>
      </c>
      <c r="N57" s="16">
        <f t="shared" si="4"/>
        <v>221.65225225225225</v>
      </c>
      <c r="O57" s="7">
        <f t="shared" si="8"/>
        <v>21.819372687798932</v>
      </c>
      <c r="P57" s="4">
        <f t="shared" si="6"/>
        <v>3.0827982305782213</v>
      </c>
    </row>
    <row r="58" spans="1:16" x14ac:dyDescent="0.35">
      <c r="A58" s="2" t="s">
        <v>1319</v>
      </c>
      <c r="B58" s="2">
        <v>2013</v>
      </c>
      <c r="C58" s="7">
        <v>24.178879999999999</v>
      </c>
      <c r="D58" s="5">
        <v>4002.973</v>
      </c>
      <c r="E58" s="16">
        <v>225.85059999999999</v>
      </c>
      <c r="F58" s="15">
        <v>3.0000000000000001E-3</v>
      </c>
      <c r="G58" s="16">
        <f>IFERROR(INDEX('EV Productivity'!$B$9:$B$21,MATCH(B58,'EV Productivity'!$A$9:$A$21,0)),"")</f>
        <v>90.655000000000001</v>
      </c>
      <c r="H58" s="16">
        <f>IFERROR(INDEX('EV Productivity'!$C$9:$C$21,MATCH(B58,'EV Productivity'!$A$9:$A$21,0)),"")</f>
        <v>4500</v>
      </c>
      <c r="I58" s="16">
        <f>IFERROR(INDEX('EV Productivity'!$D$9:$D$21,MATCH(B58,'EV Productivity'!$A$9:$A$21,0)),"")</f>
        <v>346.98399999999998</v>
      </c>
      <c r="J58" s="7">
        <f t="shared" si="7"/>
        <v>22.161013074877886</v>
      </c>
      <c r="K58" s="4">
        <f t="shared" si="1"/>
        <v>3.0983345772094775</v>
      </c>
      <c r="L58" s="7">
        <f t="shared" si="2"/>
        <v>24.125647241625199</v>
      </c>
      <c r="M58" s="5">
        <f t="shared" si="3"/>
        <v>4001.4774322968906</v>
      </c>
      <c r="N58" s="16">
        <f t="shared" si="4"/>
        <v>225.48610631895684</v>
      </c>
      <c r="O58" s="7">
        <f t="shared" si="8"/>
        <v>22.579811028330916</v>
      </c>
      <c r="P58" s="4">
        <f t="shared" si="6"/>
        <v>3.117056189702037</v>
      </c>
    </row>
    <row r="59" spans="1:16" x14ac:dyDescent="0.35">
      <c r="A59" s="2" t="s">
        <v>1319</v>
      </c>
      <c r="B59" s="2">
        <v>2014</v>
      </c>
      <c r="C59" s="7">
        <v>24.110469999999999</v>
      </c>
      <c r="D59" s="5">
        <v>4059.6390000000001</v>
      </c>
      <c r="E59" s="16">
        <v>230.2499</v>
      </c>
      <c r="F59" s="15">
        <v>3.0000000000000001E-3</v>
      </c>
      <c r="G59" s="16">
        <f>IFERROR(INDEX('EV Productivity'!$B$9:$B$21,MATCH(B59,'EV Productivity'!$A$9:$A$21,0)),"")</f>
        <v>90.168629999999993</v>
      </c>
      <c r="H59" s="16">
        <f>IFERROR(INDEX('EV Productivity'!$C$9:$C$21,MATCH(B59,'EV Productivity'!$A$9:$A$21,0)),"")</f>
        <v>4562.2219999999998</v>
      </c>
      <c r="I59" s="16">
        <f>IFERROR(INDEX('EV Productivity'!$D$9:$D$21,MATCH(B59,'EV Productivity'!$A$9:$A$21,0)),"")</f>
        <v>335.78829999999999</v>
      </c>
      <c r="J59" s="7">
        <f t="shared" si="7"/>
        <v>22.39823875493677</v>
      </c>
      <c r="K59" s="4">
        <f t="shared" si="1"/>
        <v>3.1089823287579774</v>
      </c>
      <c r="L59" s="7">
        <f t="shared" si="2"/>
        <v>24.057436968348512</v>
      </c>
      <c r="M59" s="5">
        <f t="shared" si="3"/>
        <v>4058.1267141424273</v>
      </c>
      <c r="N59" s="16">
        <f t="shared" si="4"/>
        <v>229.93233209628886</v>
      </c>
      <c r="O59" s="7">
        <f t="shared" si="8"/>
        <v>22.826602760617284</v>
      </c>
      <c r="P59" s="4">
        <f t="shared" si="6"/>
        <v>3.1279266435389674</v>
      </c>
    </row>
    <row r="60" spans="1:16" x14ac:dyDescent="0.35">
      <c r="A60" s="2" t="s">
        <v>1319</v>
      </c>
      <c r="B60" s="2">
        <v>2015</v>
      </c>
      <c r="C60" s="7">
        <v>24.64986</v>
      </c>
      <c r="D60" s="5">
        <v>4035.4549999999999</v>
      </c>
      <c r="E60" s="16">
        <v>228.8536</v>
      </c>
      <c r="F60" s="15">
        <v>5.0000000000000001E-3</v>
      </c>
      <c r="G60" s="16">
        <f>IFERROR(INDEX('EV Productivity'!$B$9:$B$21,MATCH(B60,'EV Productivity'!$A$9:$A$21,0)),"")</f>
        <v>97.135120000000001</v>
      </c>
      <c r="H60" s="16">
        <f>IFERROR(INDEX('EV Productivity'!$C$9:$C$21,MATCH(B60,'EV Productivity'!$A$9:$A$21,0)),"")</f>
        <v>4901.7560000000003</v>
      </c>
      <c r="I60" s="16">
        <f>IFERROR(INDEX('EV Productivity'!$D$9:$D$21,MATCH(B60,'EV Productivity'!$A$9:$A$21,0)),"")</f>
        <v>396.16609999999997</v>
      </c>
      <c r="J60" s="7">
        <f t="shared" si="7"/>
        <v>22.786271771450846</v>
      </c>
      <c r="K60" s="4">
        <f t="shared" si="1"/>
        <v>3.1261582393289449</v>
      </c>
      <c r="L60" s="7">
        <f t="shared" si="2"/>
        <v>24.557770676385733</v>
      </c>
      <c r="M60" s="5">
        <f t="shared" si="3"/>
        <v>4031.1017286432161</v>
      </c>
      <c r="N60" s="16">
        <f t="shared" si="4"/>
        <v>228.01283366834173</v>
      </c>
      <c r="O60" s="7">
        <f t="shared" si="8"/>
        <v>23.160123525498047</v>
      </c>
      <c r="P60" s="4">
        <f t="shared" si="6"/>
        <v>3.1424319862612986</v>
      </c>
    </row>
    <row r="61" spans="1:16" x14ac:dyDescent="0.35">
      <c r="A61" s="2" t="s">
        <v>1319</v>
      </c>
      <c r="B61" s="2">
        <v>2016</v>
      </c>
      <c r="C61" s="7">
        <v>24.708259999999999</v>
      </c>
      <c r="D61" s="5">
        <v>4035.0129999999999</v>
      </c>
      <c r="E61" s="16">
        <v>230.2012</v>
      </c>
      <c r="F61" s="15">
        <v>5.0000000000000001E-3</v>
      </c>
      <c r="G61" s="16">
        <f>IFERROR(INDEX('EV Productivity'!$B$9:$B$21,MATCH(B61,'EV Productivity'!$A$9:$A$21,0)),"")</f>
        <v>96.81841</v>
      </c>
      <c r="H61" s="16">
        <f>IFERROR(INDEX('EV Productivity'!$C$9:$C$21,MATCH(B61,'EV Productivity'!$A$9:$A$21,0)),"")</f>
        <v>5172.598</v>
      </c>
      <c r="I61" s="16">
        <f>IFERROR(INDEX('EV Productivity'!$D$9:$D$21,MATCH(B61,'EV Productivity'!$A$9:$A$21,0)),"")</f>
        <v>384.3064</v>
      </c>
      <c r="J61" s="7">
        <f t="shared" si="7"/>
        <v>22.888650537802992</v>
      </c>
      <c r="K61" s="4">
        <f t="shared" si="1"/>
        <v>3.1306411780021852</v>
      </c>
      <c r="L61" s="7">
        <f t="shared" si="2"/>
        <v>24.616129137277238</v>
      </c>
      <c r="M61" s="5">
        <f t="shared" si="3"/>
        <v>4029.2964924623116</v>
      </c>
      <c r="N61" s="16">
        <f t="shared" si="4"/>
        <v>229.42680201005024</v>
      </c>
      <c r="O61" s="7">
        <f t="shared" si="8"/>
        <v>23.281417978922192</v>
      </c>
      <c r="P61" s="4">
        <f t="shared" si="6"/>
        <v>3.1476555307558307</v>
      </c>
    </row>
    <row r="62" spans="1:16" x14ac:dyDescent="0.35">
      <c r="A62" s="2" t="s">
        <v>1319</v>
      </c>
      <c r="B62" s="2">
        <v>2017</v>
      </c>
      <c r="C62" s="7">
        <v>24.861730000000001</v>
      </c>
      <c r="D62" s="5">
        <v>4093.2179999999998</v>
      </c>
      <c r="E62" s="16">
        <v>233.99430000000001</v>
      </c>
      <c r="F62" s="15">
        <v>6.0000000000000001E-3</v>
      </c>
      <c r="G62" s="16">
        <f>IFERROR(INDEX('EV Productivity'!$B$9:$B$21,MATCH(B62,'EV Productivity'!$A$9:$A$21,0)),"")</f>
        <v>98.218540000000004</v>
      </c>
      <c r="H62" s="16">
        <f>IFERROR(INDEX('EV Productivity'!$C$9:$C$21,MATCH(B62,'EV Productivity'!$A$9:$A$21,0)),"")</f>
        <v>5211.8069999999998</v>
      </c>
      <c r="I62" s="16">
        <f>IFERROR(INDEX('EV Productivity'!$D$9:$D$21,MATCH(B62,'EV Productivity'!$A$9:$A$21,0)),"")</f>
        <v>499.9051</v>
      </c>
      <c r="J62" s="7">
        <f t="shared" si="7"/>
        <v>23.320821435219575</v>
      </c>
      <c r="K62" s="4">
        <f t="shared" si="1"/>
        <v>3.1493465853567595</v>
      </c>
      <c r="L62" s="7">
        <f t="shared" si="2"/>
        <v>24.750149154057087</v>
      </c>
      <c r="M62" s="5">
        <f t="shared" si="3"/>
        <v>4086.4659537223338</v>
      </c>
      <c r="N62" s="16">
        <f t="shared" si="4"/>
        <v>232.38920462776659</v>
      </c>
      <c r="O62" s="7">
        <f t="shared" si="8"/>
        <v>23.654693963426347</v>
      </c>
      <c r="P62" s="4">
        <f t="shared" si="6"/>
        <v>3.1635615714989496</v>
      </c>
    </row>
    <row r="63" spans="1:16" x14ac:dyDescent="0.35">
      <c r="A63" s="2" t="s">
        <v>1319</v>
      </c>
      <c r="B63" s="2">
        <v>2018</v>
      </c>
      <c r="C63" s="7">
        <v>25.105519999999999</v>
      </c>
      <c r="D63" s="5">
        <v>4136.7470000000003</v>
      </c>
      <c r="E63" s="16">
        <v>241.1643</v>
      </c>
      <c r="F63" s="15">
        <v>1.4E-2</v>
      </c>
      <c r="G63" s="16">
        <f>IFERROR(INDEX('EV Productivity'!$B$9:$B$21,MATCH(B63,'EV Productivity'!$A$9:$A$21,0)),"")</f>
        <v>113.67319000000001</v>
      </c>
      <c r="H63" s="16">
        <f>IFERROR(INDEX('EV Productivity'!$C$9:$C$21,MATCH(B63,'EV Productivity'!$A$9:$A$21,0)),"")</f>
        <v>4522.5739999999996</v>
      </c>
      <c r="I63" s="16">
        <f>IFERROR(INDEX('EV Productivity'!$D$9:$D$21,MATCH(B63,'EV Productivity'!$A$9:$A$21,0)),"")</f>
        <v>402.72219999999999</v>
      </c>
      <c r="J63" s="7">
        <f t="shared" si="7"/>
        <v>23.927510853266693</v>
      </c>
      <c r="K63" s="4">
        <f t="shared" si="1"/>
        <v>3.1750288786774861</v>
      </c>
      <c r="L63" s="7">
        <f t="shared" si="2"/>
        <v>24.830819565278773</v>
      </c>
      <c r="M63" s="5">
        <f t="shared" si="3"/>
        <v>4131.2687261663286</v>
      </c>
      <c r="N63" s="16">
        <f t="shared" si="4"/>
        <v>238.87037444219067</v>
      </c>
      <c r="O63" s="7">
        <f t="shared" si="8"/>
        <v>24.128997680024966</v>
      </c>
      <c r="P63" s="4">
        <f t="shared" si="6"/>
        <v>3.1834143404412107</v>
      </c>
    </row>
    <row r="64" spans="1:16" x14ac:dyDescent="0.35">
      <c r="A64" s="2" t="s">
        <v>1319</v>
      </c>
      <c r="B64" s="2">
        <v>2019</v>
      </c>
      <c r="C64" s="7">
        <v>24.908349999999999</v>
      </c>
      <c r="D64" s="5">
        <v>4155.6239999999998</v>
      </c>
      <c r="E64" s="16">
        <v>245.3639</v>
      </c>
      <c r="F64" s="15">
        <v>1.2E-2</v>
      </c>
      <c r="G64" s="16">
        <f>IFERROR(INDEX('EV Productivity'!$B$9:$B$21,MATCH(B64,'EV Productivity'!$A$9:$A$21,0)),"")</f>
        <v>117.99979999999999</v>
      </c>
      <c r="H64" s="16">
        <f>IFERROR(INDEX('EV Productivity'!$C$9:$C$21,MATCH(B64,'EV Productivity'!$A$9:$A$21,0)),"")</f>
        <v>4436.4139999999998</v>
      </c>
      <c r="I64" s="16">
        <f>IFERROR(INDEX('EV Productivity'!$D$9:$D$21,MATCH(B64,'EV Productivity'!$A$9:$A$21,0)),"")</f>
        <v>392.01650000000001</v>
      </c>
      <c r="J64" s="7">
        <f t="shared" si="7"/>
        <v>23.940576552660186</v>
      </c>
      <c r="K64" s="4">
        <f t="shared" si="1"/>
        <v>3.1755747830754273</v>
      </c>
      <c r="L64" s="7">
        <f t="shared" si="2"/>
        <v>24.671945239538772</v>
      </c>
      <c r="M64" s="5">
        <f t="shared" si="3"/>
        <v>4152.2135951417004</v>
      </c>
      <c r="N64" s="16">
        <f t="shared" si="4"/>
        <v>243.58269433198382</v>
      </c>
      <c r="O64" s="7">
        <f t="shared" si="8"/>
        <v>24.239111947816646</v>
      </c>
      <c r="P64" s="4">
        <f t="shared" si="6"/>
        <v>3.1879675247138608</v>
      </c>
    </row>
    <row r="65" spans="1:16" x14ac:dyDescent="0.35">
      <c r="A65" s="2" t="s">
        <v>1319</v>
      </c>
      <c r="B65" s="2">
        <v>2020</v>
      </c>
      <c r="C65" s="7">
        <v>25.383220000000001</v>
      </c>
      <c r="D65" s="5">
        <v>4166.2460000000001</v>
      </c>
      <c r="E65" s="16">
        <v>246.10429999999999</v>
      </c>
      <c r="F65" s="15">
        <v>1.7999999999999999E-2</v>
      </c>
      <c r="G65" s="16">
        <f>IFERROR(INDEX('EV Productivity'!$B$9:$B$21,MATCH(B65,'EV Productivity'!$A$9:$A$21,0)),"")</f>
        <v>119.08936</v>
      </c>
      <c r="H65" s="16">
        <f>IFERROR(INDEX('EV Productivity'!$C$9:$C$21,MATCH(B65,'EV Productivity'!$A$9:$A$21,0)),"")</f>
        <v>4393.6790000000001</v>
      </c>
      <c r="I65" s="16">
        <f>IFERROR(INDEX('EV Productivity'!$D$9:$D$21,MATCH(B65,'EV Productivity'!$A$9:$A$21,0)),"")</f>
        <v>443.69900000000001</v>
      </c>
      <c r="J65" s="7">
        <f t="shared" si="7"/>
        <v>24.452374454514867</v>
      </c>
      <c r="K65" s="4">
        <f t="shared" si="1"/>
        <v>3.196727325909638</v>
      </c>
      <c r="L65" s="7">
        <f t="shared" si="2"/>
        <v>25.022322624448286</v>
      </c>
      <c r="M65" s="5">
        <f t="shared" si="3"/>
        <v>4162.0771670061104</v>
      </c>
      <c r="N65" s="16">
        <f t="shared" si="4"/>
        <v>242.48240122199593</v>
      </c>
      <c r="O65" s="7">
        <f t="shared" si="8"/>
        <v>24.547328282893748</v>
      </c>
      <c r="P65" s="4">
        <f t="shared" si="6"/>
        <v>3.2006030207376761</v>
      </c>
    </row>
    <row r="66" spans="1:16" x14ac:dyDescent="0.35">
      <c r="A66" s="2" t="s">
        <v>1319</v>
      </c>
      <c r="B66" s="2">
        <v>2021</v>
      </c>
      <c r="C66" s="7">
        <v>25.424520000000001</v>
      </c>
      <c r="D66" s="5">
        <v>4289.4219999999996</v>
      </c>
      <c r="E66" s="16">
        <v>254.44370000000001</v>
      </c>
      <c r="F66" s="15">
        <v>3.2000000000000001E-2</v>
      </c>
      <c r="G66" s="16">
        <f>IFERROR(INDEX('EV Productivity'!$B$9:$B$21,MATCH(B66,'EV Productivity'!$A$9:$A$21,0)),"")</f>
        <v>123.91925000000001</v>
      </c>
      <c r="H66" s="16">
        <f>IFERROR(INDEX('EV Productivity'!$C$9:$C$21,MATCH(B66,'EV Productivity'!$A$9:$A$21,0)),"")</f>
        <v>4317.2039999999997</v>
      </c>
      <c r="I66" s="16">
        <f>IFERROR(INDEX('EV Productivity'!$D$9:$D$21,MATCH(B66,'EV Productivity'!$A$9:$A$21,0)),"")</f>
        <v>375.8981</v>
      </c>
      <c r="J66" s="7">
        <f t="shared" si="7"/>
        <v>25.124367920524229</v>
      </c>
      <c r="K66" s="4">
        <f t="shared" si="1"/>
        <v>3.2238382086707169</v>
      </c>
      <c r="L66" s="7">
        <f t="shared" si="2"/>
        <v>24.773584893036311</v>
      </c>
      <c r="M66" s="5">
        <f t="shared" si="3"/>
        <v>4288.5035867768593</v>
      </c>
      <c r="N66" s="16">
        <f t="shared" si="4"/>
        <v>250.42867851239671</v>
      </c>
      <c r="O66" s="7">
        <f t="shared" si="8"/>
        <v>24.910190414440653</v>
      </c>
      <c r="P66" s="4">
        <f t="shared" si="6"/>
        <v>3.2152769733412461</v>
      </c>
    </row>
    <row r="67" spans="1:16" x14ac:dyDescent="0.35">
      <c r="A67" s="2" t="s">
        <v>1319</v>
      </c>
      <c r="B67" s="2">
        <v>2022</v>
      </c>
      <c r="C67" s="7">
        <v>25.991599999999998</v>
      </c>
      <c r="D67" s="5">
        <v>4303.4759999999997</v>
      </c>
      <c r="E67" s="16">
        <v>259.7998</v>
      </c>
      <c r="F67" s="15">
        <v>5.1999999999999998E-2</v>
      </c>
      <c r="G67" s="16">
        <f>IFERROR(INDEX('EV Productivity'!$B$9:$B$21,MATCH(B67,'EV Productivity'!$A$9:$A$21,0)),"")</f>
        <v>119.25117</v>
      </c>
      <c r="H67" s="16">
        <f>IFERROR(INDEX('EV Productivity'!$C$9:$C$21,MATCH(B67,'EV Productivity'!$A$9:$A$21,0)),"")</f>
        <v>4364.1850000000004</v>
      </c>
      <c r="I67" s="16">
        <f>IFERROR(INDEX('EV Productivity'!$D$9:$D$21,MATCH(B67,'EV Productivity'!$A$9:$A$21,0)),"")</f>
        <v>451.82850000000002</v>
      </c>
      <c r="J67" s="7">
        <f t="shared" si="7"/>
        <v>25.921277092734588</v>
      </c>
      <c r="K67" s="4">
        <f t="shared" si="1"/>
        <v>3.255064140823352</v>
      </c>
      <c r="L67" s="7">
        <f t="shared" si="2"/>
        <v>24.922502262688251</v>
      </c>
      <c r="M67" s="5">
        <f t="shared" si="3"/>
        <v>4300.1459704641347</v>
      </c>
      <c r="N67" s="16">
        <f t="shared" si="4"/>
        <v>249.26658016877639</v>
      </c>
      <c r="O67" s="7">
        <f t="shared" si="8"/>
        <v>25.024291705107697</v>
      </c>
      <c r="P67" s="4">
        <f t="shared" si="6"/>
        <v>3.2198470213085328</v>
      </c>
    </row>
    <row r="68" spans="1:16" x14ac:dyDescent="0.35">
      <c r="A68" s="2" t="s">
        <v>1319</v>
      </c>
      <c r="B68" s="2">
        <v>2023</v>
      </c>
      <c r="C68" s="7">
        <v>27.101209999999998</v>
      </c>
      <c r="D68" s="5">
        <v>4371.5349999999999</v>
      </c>
      <c r="E68" s="16">
        <v>267.5754</v>
      </c>
      <c r="F68" s="15">
        <v>9.8000000000000004E-2</v>
      </c>
      <c r="G68" s="16">
        <f>IFERROR(INDEX('EV Productivity'!$B$9:$B$21,MATCH(B68,'EV Productivity'!$A$9:$A$21,0)),"")</f>
        <v>120.57422</v>
      </c>
      <c r="H68" s="16">
        <f>IFERROR(INDEX('EV Productivity'!$C$9:$C$21,MATCH(B68,'EV Productivity'!$A$9:$A$21,0)),"")</f>
        <v>4383.7889999999998</v>
      </c>
      <c r="I68" s="16">
        <f>IFERROR(INDEX('EV Productivity'!$D$9:$D$21,MATCH(B68,'EV Productivity'!$A$9:$A$21,0)),"")</f>
        <v>406.87689999999998</v>
      </c>
      <c r="J68" s="7">
        <f t="shared" si="7"/>
        <v>27.518343046635287</v>
      </c>
      <c r="K68" s="4">
        <f t="shared" si="1"/>
        <v>3.3148528021912869</v>
      </c>
      <c r="L68" s="7">
        <f t="shared" si="2"/>
        <v>24.995881980532619</v>
      </c>
      <c r="M68" s="5">
        <f t="shared" si="3"/>
        <v>4370.2036341463418</v>
      </c>
      <c r="N68" s="16">
        <f t="shared" si="4"/>
        <v>252.44064722838138</v>
      </c>
      <c r="O68" s="7">
        <f t="shared" si="8"/>
        <v>25.376095763325544</v>
      </c>
      <c r="P68" s="4">
        <f t="shared" si="6"/>
        <v>3.2338076192207561</v>
      </c>
    </row>
    <row r="69" spans="1:16" x14ac:dyDescent="0.35">
      <c r="A69" s="2" t="s">
        <v>1319</v>
      </c>
      <c r="B69" s="2">
        <v>2024</v>
      </c>
      <c r="C69" s="7">
        <v>27.24521</v>
      </c>
      <c r="D69" s="5">
        <v>4353.7479999999996</v>
      </c>
      <c r="E69" s="16">
        <v>258.01139999999998</v>
      </c>
      <c r="F69" s="15">
        <v>7.1999999999999995E-2</v>
      </c>
      <c r="G69" s="16">
        <f>IFERROR(INDEX('EV Productivity'!$B$9:$B$21,MATCH(B69,'EV Productivity'!$A$9:$A$21,0)),"")</f>
        <v>117.14232</v>
      </c>
      <c r="H69" s="16">
        <f>IFERROR(INDEX('EV Productivity'!$C$9:$C$21,MATCH(B69,'EV Productivity'!$A$9:$A$21,0)),"")</f>
        <v>4409.7259999999997</v>
      </c>
      <c r="I69" s="16">
        <f>IFERROR(INDEX('EV Productivity'!$D$9:$D$21,MATCH(B69,'EV Productivity'!$A$9:$A$21,0)),"")</f>
        <v>420.45740000000001</v>
      </c>
      <c r="J69" s="7">
        <f t="shared" si="7"/>
        <v>27.24521</v>
      </c>
      <c r="K69" s="4">
        <f t="shared" si="1"/>
        <v>3.3048777258416568</v>
      </c>
      <c r="L69" s="7">
        <f t="shared" si="2"/>
        <v>25.714162004327907</v>
      </c>
      <c r="M69" s="5">
        <f t="shared" si="3"/>
        <v>4349.4048793103448</v>
      </c>
      <c r="N69" s="16">
        <f t="shared" si="4"/>
        <v>245.40783103448271</v>
      </c>
      <c r="O69" s="7">
        <f t="shared" si="8"/>
        <v>25.714162004327907</v>
      </c>
      <c r="P69" s="4">
        <f t="shared" si="6"/>
        <v>3.2470418908805208</v>
      </c>
    </row>
    <row r="70" spans="1:16" x14ac:dyDescent="0.35">
      <c r="A70" s="2" t="s">
        <v>1320</v>
      </c>
      <c r="B70" s="2">
        <v>1975</v>
      </c>
      <c r="C70" s="7">
        <v>13.45833</v>
      </c>
      <c r="D70" s="5">
        <v>4057.5650000000001</v>
      </c>
      <c r="E70" s="16">
        <v>136.22559999999999</v>
      </c>
      <c r="F70" s="15">
        <v>0</v>
      </c>
      <c r="G70" s="16" t="str">
        <f>IFERROR(INDEX('EV Productivity'!$B$9:$B$21,MATCH(B70,'EV Productivity'!$A$9:$A$21,0)),"")</f>
        <v/>
      </c>
      <c r="H70" s="16" t="str">
        <f>IFERROR(INDEX('EV Productivity'!$C$9:$C$21,MATCH(B70,'EV Productivity'!$A$9:$A$21,0)),"")</f>
        <v/>
      </c>
      <c r="I70" s="16" t="str">
        <f>IFERROR(INDEX('EV Productivity'!$D$9:$D$21,MATCH(B70,'EV Productivity'!$A$9:$A$21,0)),"")</f>
        <v/>
      </c>
      <c r="J70" s="7">
        <f t="shared" ref="J70:J101" si="9">C70*(D70/$D$119)^$B$4*(E70/$E$119)^$B$5</f>
        <v>12.193641287867123</v>
      </c>
      <c r="K70" s="4">
        <f t="shared" si="1"/>
        <v>2.5009146099516637</v>
      </c>
      <c r="L70" s="7">
        <f t="shared" si="2"/>
        <v>13.45833</v>
      </c>
      <c r="M70" s="5">
        <f t="shared" si="3"/>
        <v>4057.5650000000001</v>
      </c>
      <c r="N70" s="16">
        <f t="shared" si="4"/>
        <v>136.22559999999999</v>
      </c>
      <c r="O70" s="7">
        <f t="shared" ref="O70:O101" si="10">L70*(M70/$M$119)^$E$4*(N70/$N$119)^$E$5</f>
        <v>11.888043621503121</v>
      </c>
      <c r="P70" s="4">
        <f t="shared" si="6"/>
        <v>2.4755331573414101</v>
      </c>
    </row>
    <row r="71" spans="1:16" x14ac:dyDescent="0.35">
      <c r="A71" s="2" t="s">
        <v>1320</v>
      </c>
      <c r="B71" s="2">
        <v>1976</v>
      </c>
      <c r="C71" s="7">
        <v>14.868449999999999</v>
      </c>
      <c r="D71" s="5">
        <v>4058.944</v>
      </c>
      <c r="E71" s="16">
        <v>133.571</v>
      </c>
      <c r="F71" s="15">
        <v>0</v>
      </c>
      <c r="G71" s="16" t="str">
        <f>IFERROR(INDEX('EV Productivity'!$B$9:$B$21,MATCH(B71,'EV Productivity'!$A$9:$A$21,0)),"")</f>
        <v/>
      </c>
      <c r="H71" s="16" t="str">
        <f>IFERROR(INDEX('EV Productivity'!$C$9:$C$21,MATCH(B71,'EV Productivity'!$A$9:$A$21,0)),"")</f>
        <v/>
      </c>
      <c r="I71" s="16" t="str">
        <f>IFERROR(INDEX('EV Productivity'!$D$9:$D$21,MATCH(B71,'EV Productivity'!$A$9:$A$21,0)),"")</f>
        <v/>
      </c>
      <c r="J71" s="7">
        <f t="shared" si="9"/>
        <v>13.375854928491599</v>
      </c>
      <c r="K71" s="4">
        <f t="shared" si="1"/>
        <v>2.5934512106265037</v>
      </c>
      <c r="L71" s="7">
        <f t="shared" si="2"/>
        <v>14.868449999999999</v>
      </c>
      <c r="M71" s="5">
        <f t="shared" si="3"/>
        <v>4058.944</v>
      </c>
      <c r="N71" s="16">
        <f t="shared" si="4"/>
        <v>133.571</v>
      </c>
      <c r="O71" s="7">
        <f t="shared" si="10"/>
        <v>13.010729109420355</v>
      </c>
      <c r="P71" s="4">
        <f t="shared" si="6"/>
        <v>2.5657743331847258</v>
      </c>
    </row>
    <row r="72" spans="1:16" x14ac:dyDescent="0.35">
      <c r="A72" s="2" t="s">
        <v>1320</v>
      </c>
      <c r="B72" s="2">
        <v>1977</v>
      </c>
      <c r="C72" s="7">
        <v>15.592969999999999</v>
      </c>
      <c r="D72" s="5">
        <v>3943.5189999999998</v>
      </c>
      <c r="E72" s="16">
        <v>133.18809999999999</v>
      </c>
      <c r="F72" s="15">
        <v>0</v>
      </c>
      <c r="G72" s="16" t="str">
        <f>IFERROR(INDEX('EV Productivity'!$B$9:$B$21,MATCH(B72,'EV Productivity'!$A$9:$A$21,0)),"")</f>
        <v/>
      </c>
      <c r="H72" s="16" t="str">
        <f>IFERROR(INDEX('EV Productivity'!$C$9:$C$21,MATCH(B72,'EV Productivity'!$A$9:$A$21,0)),"")</f>
        <v/>
      </c>
      <c r="I72" s="16" t="str">
        <f>IFERROR(INDEX('EV Productivity'!$D$9:$D$21,MATCH(B72,'EV Productivity'!$A$9:$A$21,0)),"")</f>
        <v/>
      </c>
      <c r="J72" s="7">
        <f t="shared" si="9"/>
        <v>13.830970872054081</v>
      </c>
      <c r="K72" s="4">
        <f t="shared" si="1"/>
        <v>2.6269103436504815</v>
      </c>
      <c r="L72" s="7">
        <f t="shared" si="2"/>
        <v>15.592969999999999</v>
      </c>
      <c r="M72" s="5">
        <f t="shared" si="3"/>
        <v>3943.5189999999998</v>
      </c>
      <c r="N72" s="16">
        <f t="shared" si="4"/>
        <v>133.18809999999999</v>
      </c>
      <c r="O72" s="7">
        <f t="shared" si="10"/>
        <v>13.506933606349383</v>
      </c>
      <c r="P72" s="4">
        <f t="shared" si="6"/>
        <v>2.6032031540671294</v>
      </c>
    </row>
    <row r="73" spans="1:16" x14ac:dyDescent="0.35">
      <c r="A73" s="2" t="s">
        <v>1320</v>
      </c>
      <c r="B73" s="2">
        <v>1978</v>
      </c>
      <c r="C73" s="7">
        <v>16.948989999999998</v>
      </c>
      <c r="D73" s="5">
        <v>3587.5140000000001</v>
      </c>
      <c r="E73" s="16">
        <v>124.1623</v>
      </c>
      <c r="F73" s="15">
        <v>0</v>
      </c>
      <c r="G73" s="16" t="str">
        <f>IFERROR(INDEX('EV Productivity'!$B$9:$B$21,MATCH(B73,'EV Productivity'!$A$9:$A$21,0)),"")</f>
        <v/>
      </c>
      <c r="H73" s="16" t="str">
        <f>IFERROR(INDEX('EV Productivity'!$C$9:$C$21,MATCH(B73,'EV Productivity'!$A$9:$A$21,0)),"")</f>
        <v/>
      </c>
      <c r="I73" s="16" t="str">
        <f>IFERROR(INDEX('EV Productivity'!$D$9:$D$21,MATCH(B73,'EV Productivity'!$A$9:$A$21,0)),"")</f>
        <v/>
      </c>
      <c r="J73" s="7">
        <f t="shared" si="9"/>
        <v>14.035305486646763</v>
      </c>
      <c r="K73" s="4">
        <f t="shared" si="1"/>
        <v>2.6415759756365884</v>
      </c>
      <c r="L73" s="7">
        <f t="shared" si="2"/>
        <v>16.948989999999998</v>
      </c>
      <c r="M73" s="5">
        <f t="shared" si="3"/>
        <v>3587.5140000000001</v>
      </c>
      <c r="N73" s="16">
        <f t="shared" si="4"/>
        <v>124.1623</v>
      </c>
      <c r="O73" s="7">
        <f t="shared" si="10"/>
        <v>13.790183983998043</v>
      </c>
      <c r="P73" s="4">
        <f t="shared" si="6"/>
        <v>2.6239570335579812</v>
      </c>
    </row>
    <row r="74" spans="1:16" x14ac:dyDescent="0.35">
      <c r="A74" s="2" t="s">
        <v>1320</v>
      </c>
      <c r="B74" s="2">
        <v>1979</v>
      </c>
      <c r="C74" s="7">
        <v>17.245470000000001</v>
      </c>
      <c r="D74" s="5">
        <v>3484.8719999999998</v>
      </c>
      <c r="E74" s="16">
        <v>119.4639</v>
      </c>
      <c r="F74" s="15">
        <v>0</v>
      </c>
      <c r="G74" s="16" t="str">
        <f>IFERROR(INDEX('EV Productivity'!$B$9:$B$21,MATCH(B74,'EV Productivity'!$A$9:$A$21,0)),"")</f>
        <v/>
      </c>
      <c r="H74" s="16" t="str">
        <f>IFERROR(INDEX('EV Productivity'!$C$9:$C$21,MATCH(B74,'EV Productivity'!$A$9:$A$21,0)),"")</f>
        <v/>
      </c>
      <c r="I74" s="16" t="str">
        <f>IFERROR(INDEX('EV Productivity'!$D$9:$D$21,MATCH(B74,'EV Productivity'!$A$9:$A$21,0)),"")</f>
        <v/>
      </c>
      <c r="J74" s="7">
        <f t="shared" si="9"/>
        <v>13.895204524040613</v>
      </c>
      <c r="K74" s="4">
        <f t="shared" si="1"/>
        <v>2.6315437823405921</v>
      </c>
      <c r="L74" s="7">
        <f t="shared" si="2"/>
        <v>17.245470000000001</v>
      </c>
      <c r="M74" s="5">
        <f t="shared" si="3"/>
        <v>3484.8719999999998</v>
      </c>
      <c r="N74" s="16">
        <f t="shared" si="4"/>
        <v>119.4639</v>
      </c>
      <c r="O74" s="7">
        <f t="shared" si="10"/>
        <v>13.65148520641924</v>
      </c>
      <c r="P74" s="4">
        <f t="shared" si="6"/>
        <v>2.6138483220430691</v>
      </c>
    </row>
    <row r="75" spans="1:16" x14ac:dyDescent="0.35">
      <c r="A75" s="2" t="s">
        <v>1320</v>
      </c>
      <c r="B75" s="2">
        <v>1980</v>
      </c>
      <c r="C75" s="7">
        <v>20.0121</v>
      </c>
      <c r="D75" s="5">
        <v>3101.4639999999999</v>
      </c>
      <c r="E75" s="16">
        <v>100.4585</v>
      </c>
      <c r="F75" s="15">
        <v>0</v>
      </c>
      <c r="G75" s="16" t="str">
        <f>IFERROR(INDEX('EV Productivity'!$B$9:$B$21,MATCH(B75,'EV Productivity'!$A$9:$A$21,0)),"")</f>
        <v/>
      </c>
      <c r="H75" s="16" t="str">
        <f>IFERROR(INDEX('EV Productivity'!$C$9:$C$21,MATCH(B75,'EV Productivity'!$A$9:$A$21,0)),"")</f>
        <v/>
      </c>
      <c r="I75" s="16" t="str">
        <f>IFERROR(INDEX('EV Productivity'!$D$9:$D$21,MATCH(B75,'EV Productivity'!$A$9:$A$21,0)),"")</f>
        <v/>
      </c>
      <c r="J75" s="7">
        <f t="shared" si="9"/>
        <v>14.34839698292307</v>
      </c>
      <c r="K75" s="4">
        <f t="shared" si="1"/>
        <v>2.6636382274586672</v>
      </c>
      <c r="L75" s="7">
        <f t="shared" si="2"/>
        <v>20.0121</v>
      </c>
      <c r="M75" s="5">
        <f t="shared" si="3"/>
        <v>3101.4639999999999</v>
      </c>
      <c r="N75" s="16">
        <f t="shared" si="4"/>
        <v>100.4585</v>
      </c>
      <c r="O75" s="7">
        <f t="shared" si="10"/>
        <v>14.062886746052753</v>
      </c>
      <c r="P75" s="4">
        <f t="shared" si="6"/>
        <v>2.6435391815279967</v>
      </c>
    </row>
    <row r="76" spans="1:16" x14ac:dyDescent="0.35">
      <c r="A76" s="2" t="s">
        <v>1320</v>
      </c>
      <c r="B76" s="2">
        <v>1981</v>
      </c>
      <c r="C76" s="7">
        <v>21.416309999999999</v>
      </c>
      <c r="D76" s="5">
        <v>3075.8649999999998</v>
      </c>
      <c r="E76" s="16">
        <v>98.708200000000005</v>
      </c>
      <c r="F76" s="15">
        <v>0</v>
      </c>
      <c r="G76" s="16" t="str">
        <f>IFERROR(INDEX('EV Productivity'!$B$9:$B$21,MATCH(B76,'EV Productivity'!$A$9:$A$21,0)),"")</f>
        <v/>
      </c>
      <c r="H76" s="16" t="str">
        <f>IFERROR(INDEX('EV Productivity'!$C$9:$C$21,MATCH(B76,'EV Productivity'!$A$9:$A$21,0)),"")</f>
        <v/>
      </c>
      <c r="I76" s="16" t="str">
        <f>IFERROR(INDEX('EV Productivity'!$D$9:$D$21,MATCH(B76,'EV Productivity'!$A$9:$A$21,0)),"")</f>
        <v/>
      </c>
      <c r="J76" s="7">
        <f t="shared" si="9"/>
        <v>15.19880816600776</v>
      </c>
      <c r="K76" s="4">
        <f t="shared" si="1"/>
        <v>2.7212170146469274</v>
      </c>
      <c r="L76" s="7">
        <f t="shared" si="2"/>
        <v>21.416309999999999</v>
      </c>
      <c r="M76" s="5">
        <f t="shared" si="3"/>
        <v>3075.8649999999998</v>
      </c>
      <c r="N76" s="16">
        <f t="shared" si="4"/>
        <v>98.708200000000005</v>
      </c>
      <c r="O76" s="7">
        <f t="shared" si="10"/>
        <v>14.884903518953108</v>
      </c>
      <c r="P76" s="4">
        <f t="shared" si="6"/>
        <v>2.7003475126834213</v>
      </c>
    </row>
    <row r="77" spans="1:16" x14ac:dyDescent="0.35">
      <c r="A77" s="2" t="s">
        <v>1320</v>
      </c>
      <c r="B77" s="2">
        <v>1982</v>
      </c>
      <c r="C77" s="7">
        <v>22.211839999999999</v>
      </c>
      <c r="D77" s="5">
        <v>3054.0729999999999</v>
      </c>
      <c r="E77" s="16">
        <v>98.734200000000001</v>
      </c>
      <c r="F77" s="15">
        <v>0</v>
      </c>
      <c r="G77" s="16" t="str">
        <f>IFERROR(INDEX('EV Productivity'!$B$9:$B$21,MATCH(B77,'EV Productivity'!$A$9:$A$21,0)),"")</f>
        <v/>
      </c>
      <c r="H77" s="16" t="str">
        <f>IFERROR(INDEX('EV Productivity'!$C$9:$C$21,MATCH(B77,'EV Productivity'!$A$9:$A$21,0)),"")</f>
        <v/>
      </c>
      <c r="I77" s="16" t="str">
        <f>IFERROR(INDEX('EV Productivity'!$D$9:$D$21,MATCH(B77,'EV Productivity'!$A$9:$A$21,0)),"")</f>
        <v/>
      </c>
      <c r="J77" s="7">
        <f t="shared" si="9"/>
        <v>15.714252381607917</v>
      </c>
      <c r="K77" s="4">
        <f t="shared" si="1"/>
        <v>2.7545680955644478</v>
      </c>
      <c r="L77" s="7">
        <f t="shared" si="2"/>
        <v>22.211839999999999</v>
      </c>
      <c r="M77" s="5">
        <f t="shared" si="3"/>
        <v>3054.0729999999999</v>
      </c>
      <c r="N77" s="16">
        <f t="shared" si="4"/>
        <v>98.734200000000001</v>
      </c>
      <c r="O77" s="7">
        <f t="shared" si="10"/>
        <v>15.406472125706616</v>
      </c>
      <c r="P77" s="4">
        <f t="shared" si="6"/>
        <v>2.7347876890347909</v>
      </c>
    </row>
    <row r="78" spans="1:16" x14ac:dyDescent="0.35">
      <c r="A78" s="2" t="s">
        <v>1320</v>
      </c>
      <c r="B78" s="2">
        <v>1983</v>
      </c>
      <c r="C78" s="7">
        <v>22.091229999999999</v>
      </c>
      <c r="D78" s="5">
        <v>3111.96</v>
      </c>
      <c r="E78" s="16">
        <v>103.8318</v>
      </c>
      <c r="F78" s="15">
        <v>0</v>
      </c>
      <c r="G78" s="16" t="str">
        <f>IFERROR(INDEX('EV Productivity'!$B$9:$B$21,MATCH(B78,'EV Productivity'!$A$9:$A$21,0)),"")</f>
        <v/>
      </c>
      <c r="H78" s="16" t="str">
        <f>IFERROR(INDEX('EV Productivity'!$C$9:$C$21,MATCH(B78,'EV Productivity'!$A$9:$A$21,0)),"")</f>
        <v/>
      </c>
      <c r="I78" s="16" t="str">
        <f>IFERROR(INDEX('EV Productivity'!$D$9:$D$21,MATCH(B78,'EV Productivity'!$A$9:$A$21,0)),"")</f>
        <v/>
      </c>
      <c r="J78" s="7">
        <f t="shared" si="9"/>
        <v>16.05783071606027</v>
      </c>
      <c r="K78" s="4">
        <f t="shared" si="1"/>
        <v>2.776196625675555</v>
      </c>
      <c r="L78" s="7">
        <f t="shared" si="2"/>
        <v>22.091229999999999</v>
      </c>
      <c r="M78" s="5">
        <f t="shared" si="3"/>
        <v>3111.96</v>
      </c>
      <c r="N78" s="16">
        <f t="shared" si="4"/>
        <v>103.8318</v>
      </c>
      <c r="O78" s="7">
        <f t="shared" si="10"/>
        <v>15.789762992649933</v>
      </c>
      <c r="P78" s="4">
        <f t="shared" si="6"/>
        <v>2.7593618181897281</v>
      </c>
    </row>
    <row r="79" spans="1:16" x14ac:dyDescent="0.35">
      <c r="A79" s="2" t="s">
        <v>1320</v>
      </c>
      <c r="B79" s="2">
        <v>1984</v>
      </c>
      <c r="C79" s="7">
        <v>22.4419</v>
      </c>
      <c r="D79" s="5">
        <v>3098.5039999999999</v>
      </c>
      <c r="E79" s="16">
        <v>105.76</v>
      </c>
      <c r="F79" s="15">
        <v>0</v>
      </c>
      <c r="G79" s="16" t="str">
        <f>IFERROR(INDEX('EV Productivity'!$B$9:$B$21,MATCH(B79,'EV Productivity'!$A$9:$A$21,0)),"")</f>
        <v/>
      </c>
      <c r="H79" s="16" t="str">
        <f>IFERROR(INDEX('EV Productivity'!$C$9:$C$21,MATCH(B79,'EV Productivity'!$A$9:$A$21,0)),"")</f>
        <v/>
      </c>
      <c r="I79" s="16" t="str">
        <f>IFERROR(INDEX('EV Productivity'!$D$9:$D$21,MATCH(B79,'EV Productivity'!$A$9:$A$21,0)),"")</f>
        <v/>
      </c>
      <c r="J79" s="7">
        <f t="shared" si="9"/>
        <v>16.391657771833145</v>
      </c>
      <c r="K79" s="4">
        <f t="shared" si="1"/>
        <v>2.7967725329632347</v>
      </c>
      <c r="L79" s="7">
        <f t="shared" si="2"/>
        <v>22.4419</v>
      </c>
      <c r="M79" s="5">
        <f t="shared" si="3"/>
        <v>3098.5039999999999</v>
      </c>
      <c r="N79" s="16">
        <f t="shared" si="4"/>
        <v>105.76</v>
      </c>
      <c r="O79" s="7">
        <f t="shared" si="10"/>
        <v>16.162311634935197</v>
      </c>
      <c r="P79" s="4">
        <f t="shared" si="6"/>
        <v>2.7826820895790303</v>
      </c>
    </row>
    <row r="80" spans="1:16" x14ac:dyDescent="0.35">
      <c r="A80" s="2" t="s">
        <v>1320</v>
      </c>
      <c r="B80" s="2">
        <v>1985</v>
      </c>
      <c r="C80" s="7">
        <v>23.015930000000001</v>
      </c>
      <c r="D80" s="5">
        <v>3092.9360000000001</v>
      </c>
      <c r="E80" s="16">
        <v>110.752</v>
      </c>
      <c r="F80" s="15">
        <v>0</v>
      </c>
      <c r="G80" s="16" t="str">
        <f>IFERROR(INDEX('EV Productivity'!$B$9:$B$21,MATCH(B80,'EV Productivity'!$A$9:$A$21,0)),"")</f>
        <v/>
      </c>
      <c r="H80" s="16" t="str">
        <f>IFERROR(INDEX('EV Productivity'!$C$9:$C$21,MATCH(B80,'EV Productivity'!$A$9:$A$21,0)),"")</f>
        <v/>
      </c>
      <c r="I80" s="16" t="str">
        <f>IFERROR(INDEX('EV Productivity'!$D$9:$D$21,MATCH(B80,'EV Productivity'!$A$9:$A$21,0)),"")</f>
        <v/>
      </c>
      <c r="J80" s="7">
        <f t="shared" si="9"/>
        <v>17.085518081538712</v>
      </c>
      <c r="K80" s="4">
        <f t="shared" si="1"/>
        <v>2.8382312088733004</v>
      </c>
      <c r="L80" s="7">
        <f t="shared" si="2"/>
        <v>23.015930000000001</v>
      </c>
      <c r="M80" s="5">
        <f t="shared" si="3"/>
        <v>3092.9360000000001</v>
      </c>
      <c r="N80" s="16">
        <f t="shared" si="4"/>
        <v>110.752</v>
      </c>
      <c r="O80" s="7">
        <f t="shared" si="10"/>
        <v>16.939865086335303</v>
      </c>
      <c r="P80" s="4">
        <f t="shared" si="6"/>
        <v>2.8296697249853051</v>
      </c>
    </row>
    <row r="81" spans="1:16" x14ac:dyDescent="0.35">
      <c r="A81" s="2" t="s">
        <v>1320</v>
      </c>
      <c r="B81" s="2">
        <v>1986</v>
      </c>
      <c r="C81" s="7">
        <v>23.724019999999999</v>
      </c>
      <c r="D81" s="5">
        <v>3040.6729999999998</v>
      </c>
      <c r="E81" s="16">
        <v>110.8588</v>
      </c>
      <c r="F81" s="15">
        <v>0</v>
      </c>
      <c r="G81" s="16" t="str">
        <f>IFERROR(INDEX('EV Productivity'!$B$9:$B$21,MATCH(B81,'EV Productivity'!$A$9:$A$21,0)),"")</f>
        <v/>
      </c>
      <c r="H81" s="16" t="str">
        <f>IFERROR(INDEX('EV Productivity'!$C$9:$C$21,MATCH(B81,'EV Productivity'!$A$9:$A$21,0)),"")</f>
        <v/>
      </c>
      <c r="I81" s="16" t="str">
        <f>IFERROR(INDEX('EV Productivity'!$D$9:$D$21,MATCH(B81,'EV Productivity'!$A$9:$A$21,0)),"")</f>
        <v/>
      </c>
      <c r="J81" s="7">
        <f t="shared" si="9"/>
        <v>17.482025370886969</v>
      </c>
      <c r="K81" s="4">
        <f t="shared" si="1"/>
        <v>2.8611732314149352</v>
      </c>
      <c r="L81" s="7">
        <f t="shared" si="2"/>
        <v>23.724019999999999</v>
      </c>
      <c r="M81" s="5">
        <f t="shared" si="3"/>
        <v>3040.6729999999998</v>
      </c>
      <c r="N81" s="16">
        <f t="shared" si="4"/>
        <v>110.8588</v>
      </c>
      <c r="O81" s="7">
        <f t="shared" si="10"/>
        <v>17.378957150459115</v>
      </c>
      <c r="P81" s="4">
        <f t="shared" si="6"/>
        <v>2.8552601151865491</v>
      </c>
    </row>
    <row r="82" spans="1:16" x14ac:dyDescent="0.35">
      <c r="A82" s="2" t="s">
        <v>1320</v>
      </c>
      <c r="B82" s="2">
        <v>1987</v>
      </c>
      <c r="C82" s="7">
        <v>23.80659</v>
      </c>
      <c r="D82" s="5">
        <v>3030.9059999999999</v>
      </c>
      <c r="E82" s="16">
        <v>112.4524</v>
      </c>
      <c r="F82" s="15">
        <v>0</v>
      </c>
      <c r="G82" s="16" t="str">
        <f>IFERROR(INDEX('EV Productivity'!$B$9:$B$21,MATCH(B82,'EV Productivity'!$A$9:$A$21,0)),"")</f>
        <v/>
      </c>
      <c r="H82" s="16" t="str">
        <f>IFERROR(INDEX('EV Productivity'!$C$9:$C$21,MATCH(B82,'EV Productivity'!$A$9:$A$21,0)),"")</f>
        <v/>
      </c>
      <c r="I82" s="16" t="str">
        <f>IFERROR(INDEX('EV Productivity'!$D$9:$D$21,MATCH(B82,'EV Productivity'!$A$9:$A$21,0)),"")</f>
        <v/>
      </c>
      <c r="J82" s="7">
        <f t="shared" si="9"/>
        <v>17.609824482079645</v>
      </c>
      <c r="K82" s="4">
        <f t="shared" si="1"/>
        <v>2.8684569555123711</v>
      </c>
      <c r="L82" s="7">
        <f t="shared" si="2"/>
        <v>23.80659</v>
      </c>
      <c r="M82" s="5">
        <f t="shared" si="3"/>
        <v>3030.9059999999999</v>
      </c>
      <c r="N82" s="16">
        <f t="shared" si="4"/>
        <v>112.4524</v>
      </c>
      <c r="O82" s="7">
        <f t="shared" si="10"/>
        <v>17.542932328917665</v>
      </c>
      <c r="P82" s="4">
        <f t="shared" si="6"/>
        <v>2.8646511524989</v>
      </c>
    </row>
    <row r="83" spans="1:16" x14ac:dyDescent="0.35">
      <c r="A83" s="2" t="s">
        <v>1320</v>
      </c>
      <c r="B83" s="2">
        <v>1988</v>
      </c>
      <c r="C83" s="7">
        <v>24.148569999999999</v>
      </c>
      <c r="D83" s="5">
        <v>3046.5369999999998</v>
      </c>
      <c r="E83" s="16">
        <v>115.9074</v>
      </c>
      <c r="F83" s="15">
        <v>0</v>
      </c>
      <c r="G83" s="16" t="str">
        <f>IFERROR(INDEX('EV Productivity'!$B$9:$B$21,MATCH(B83,'EV Productivity'!$A$9:$A$21,0)),"")</f>
        <v/>
      </c>
      <c r="H83" s="16" t="str">
        <f>IFERROR(INDEX('EV Productivity'!$C$9:$C$21,MATCH(B83,'EV Productivity'!$A$9:$A$21,0)),"")</f>
        <v/>
      </c>
      <c r="I83" s="16" t="str">
        <f>IFERROR(INDEX('EV Productivity'!$D$9:$D$21,MATCH(B83,'EV Productivity'!$A$9:$A$21,0)),"")</f>
        <v/>
      </c>
      <c r="J83" s="7">
        <f t="shared" si="9"/>
        <v>18.105454003831458</v>
      </c>
      <c r="K83" s="4">
        <f t="shared" si="1"/>
        <v>2.8962132190606984</v>
      </c>
      <c r="L83" s="7">
        <f t="shared" si="2"/>
        <v>24.148569999999999</v>
      </c>
      <c r="M83" s="5">
        <f t="shared" si="3"/>
        <v>3046.5369999999998</v>
      </c>
      <c r="N83" s="16">
        <f t="shared" si="4"/>
        <v>115.9074</v>
      </c>
      <c r="O83" s="7">
        <f t="shared" si="10"/>
        <v>18.085186329197199</v>
      </c>
      <c r="P83" s="4">
        <f t="shared" si="6"/>
        <v>2.8950931683201429</v>
      </c>
    </row>
    <row r="84" spans="1:16" x14ac:dyDescent="0.35">
      <c r="A84" s="2" t="s">
        <v>1320</v>
      </c>
      <c r="B84" s="2">
        <v>1989</v>
      </c>
      <c r="C84" s="7">
        <v>23.709869999999999</v>
      </c>
      <c r="D84" s="5">
        <v>3099.2660000000001</v>
      </c>
      <c r="E84" s="16">
        <v>120.9978</v>
      </c>
      <c r="F84" s="15">
        <v>0</v>
      </c>
      <c r="G84" s="16" t="str">
        <f>IFERROR(INDEX('EV Productivity'!$B$9:$B$21,MATCH(B84,'EV Productivity'!$A$9:$A$21,0)),"")</f>
        <v/>
      </c>
      <c r="H84" s="16" t="str">
        <f>IFERROR(INDEX('EV Productivity'!$C$9:$C$21,MATCH(B84,'EV Productivity'!$A$9:$A$21,0)),"")</f>
        <v/>
      </c>
      <c r="I84" s="16" t="str">
        <f>IFERROR(INDEX('EV Productivity'!$D$9:$D$21,MATCH(B84,'EV Productivity'!$A$9:$A$21,0)),"")</f>
        <v/>
      </c>
      <c r="J84" s="7">
        <f t="shared" si="9"/>
        <v>18.201524256720994</v>
      </c>
      <c r="K84" s="4">
        <f t="shared" ref="K84:K147" si="11">LN(J84)</f>
        <v>2.9015053409451688</v>
      </c>
      <c r="L84" s="7">
        <f t="shared" ref="L84:L147" si="12">IF(AND(F84&gt;0,ISNUMBER(G84)),(1-F84)/(1/C84-F84/G84),C84)</f>
        <v>23.709869999999999</v>
      </c>
      <c r="M84" s="5">
        <f t="shared" ref="M84:M147" si="13">IF(AND(F84&gt;0,ISNUMBER(G84)),(D84-F84*H84)/(1-F84),D84)</f>
        <v>3099.2660000000001</v>
      </c>
      <c r="N84" s="16">
        <f t="shared" ref="N84:N147" si="14">IF(AND(F84&gt;0,ISNUMBER(G84)),(E84-F84*I84)/(1-F84),E84)</f>
        <v>120.9978</v>
      </c>
      <c r="O84" s="7">
        <f t="shared" si="10"/>
        <v>18.223867786114912</v>
      </c>
      <c r="P84" s="4">
        <f t="shared" ref="P84:P147" si="15">LN(O84)</f>
        <v>2.9027321517462723</v>
      </c>
    </row>
    <row r="85" spans="1:16" x14ac:dyDescent="0.35">
      <c r="A85" s="2" t="s">
        <v>1320</v>
      </c>
      <c r="B85" s="2">
        <v>1990</v>
      </c>
      <c r="C85" s="7">
        <v>23.334289999999999</v>
      </c>
      <c r="D85" s="5">
        <v>3175.9</v>
      </c>
      <c r="E85" s="16">
        <v>128.5061</v>
      </c>
      <c r="F85" s="15">
        <v>0</v>
      </c>
      <c r="G85" s="16" t="str">
        <f>IFERROR(INDEX('EV Productivity'!$B$9:$B$21,MATCH(B85,'EV Productivity'!$A$9:$A$21,0)),"")</f>
        <v/>
      </c>
      <c r="H85" s="16" t="str">
        <f>IFERROR(INDEX('EV Productivity'!$C$9:$C$21,MATCH(B85,'EV Productivity'!$A$9:$A$21,0)),"")</f>
        <v/>
      </c>
      <c r="I85" s="16" t="str">
        <f>IFERROR(INDEX('EV Productivity'!$D$9:$D$21,MATCH(B85,'EV Productivity'!$A$9:$A$21,0)),"")</f>
        <v/>
      </c>
      <c r="J85" s="7">
        <f t="shared" si="9"/>
        <v>18.519190637270295</v>
      </c>
      <c r="K85" s="4">
        <f t="shared" si="11"/>
        <v>2.9188075261718325</v>
      </c>
      <c r="L85" s="7">
        <f t="shared" si="12"/>
        <v>23.334289999999999</v>
      </c>
      <c r="M85" s="5">
        <f t="shared" si="13"/>
        <v>3175.9</v>
      </c>
      <c r="N85" s="16">
        <f t="shared" si="14"/>
        <v>128.5061</v>
      </c>
      <c r="O85" s="7">
        <f t="shared" si="10"/>
        <v>18.601897356900032</v>
      </c>
      <c r="P85" s="4">
        <f t="shared" si="15"/>
        <v>2.9232635839521346</v>
      </c>
    </row>
    <row r="86" spans="1:16" x14ac:dyDescent="0.35">
      <c r="A86" s="2" t="s">
        <v>1320</v>
      </c>
      <c r="B86" s="2">
        <v>1991</v>
      </c>
      <c r="C86" s="7">
        <v>23.428249999999998</v>
      </c>
      <c r="D86" s="5">
        <v>3153.67</v>
      </c>
      <c r="E86" s="16">
        <v>132.2115</v>
      </c>
      <c r="F86" s="15">
        <v>0</v>
      </c>
      <c r="G86" s="16" t="str">
        <f>IFERROR(INDEX('EV Productivity'!$B$9:$B$21,MATCH(B86,'EV Productivity'!$A$9:$A$21,0)),"")</f>
        <v/>
      </c>
      <c r="H86" s="16" t="str">
        <f>IFERROR(INDEX('EV Productivity'!$C$9:$C$21,MATCH(B86,'EV Productivity'!$A$9:$A$21,0)),"")</f>
        <v/>
      </c>
      <c r="I86" s="16" t="str">
        <f>IFERROR(INDEX('EV Productivity'!$D$9:$D$21,MATCH(B86,'EV Productivity'!$A$9:$A$21,0)),"")</f>
        <v/>
      </c>
      <c r="J86" s="7">
        <f t="shared" si="9"/>
        <v>18.730140261753338</v>
      </c>
      <c r="K86" s="4">
        <f t="shared" si="11"/>
        <v>2.9301340050426581</v>
      </c>
      <c r="L86" s="7">
        <f t="shared" si="12"/>
        <v>23.428249999999998</v>
      </c>
      <c r="M86" s="5">
        <f t="shared" si="13"/>
        <v>3153.67</v>
      </c>
      <c r="N86" s="16">
        <f t="shared" si="14"/>
        <v>132.2115</v>
      </c>
      <c r="O86" s="7">
        <f t="shared" si="10"/>
        <v>18.894652702164439</v>
      </c>
      <c r="P86" s="4">
        <f t="shared" si="15"/>
        <v>2.9388789562231334</v>
      </c>
    </row>
    <row r="87" spans="1:16" x14ac:dyDescent="0.35">
      <c r="A87" s="2" t="s">
        <v>1320</v>
      </c>
      <c r="B87" s="2">
        <v>1992</v>
      </c>
      <c r="C87" s="7">
        <v>23.069949999999999</v>
      </c>
      <c r="D87" s="5">
        <v>3239.88</v>
      </c>
      <c r="E87" s="16">
        <v>140.51060000000001</v>
      </c>
      <c r="F87" s="15">
        <v>0</v>
      </c>
      <c r="G87" s="16" t="str">
        <f>IFERROR(INDEX('EV Productivity'!$B$9:$B$21,MATCH(B87,'EV Productivity'!$A$9:$A$21,0)),"")</f>
        <v/>
      </c>
      <c r="H87" s="16" t="str">
        <f>IFERROR(INDEX('EV Productivity'!$C$9:$C$21,MATCH(B87,'EV Productivity'!$A$9:$A$21,0)),"")</f>
        <v/>
      </c>
      <c r="I87" s="16" t="str">
        <f>IFERROR(INDEX('EV Productivity'!$D$9:$D$21,MATCH(B87,'EV Productivity'!$A$9:$A$21,0)),"")</f>
        <v/>
      </c>
      <c r="J87" s="7">
        <f t="shared" si="9"/>
        <v>19.094359191486735</v>
      </c>
      <c r="K87" s="4">
        <f t="shared" si="11"/>
        <v>2.9493929611453535</v>
      </c>
      <c r="L87" s="7">
        <f t="shared" si="12"/>
        <v>23.069949999999999</v>
      </c>
      <c r="M87" s="5">
        <f t="shared" si="13"/>
        <v>3239.88</v>
      </c>
      <c r="N87" s="16">
        <f t="shared" si="14"/>
        <v>140.51060000000001</v>
      </c>
      <c r="O87" s="7">
        <f t="shared" si="10"/>
        <v>19.318542486368433</v>
      </c>
      <c r="P87" s="4">
        <f t="shared" si="15"/>
        <v>2.9610653852744222</v>
      </c>
    </row>
    <row r="88" spans="1:16" x14ac:dyDescent="0.35">
      <c r="A88" s="2" t="s">
        <v>1320</v>
      </c>
      <c r="B88" s="2">
        <v>1993</v>
      </c>
      <c r="C88" s="7">
        <v>23.459140000000001</v>
      </c>
      <c r="D88" s="5">
        <v>3207.1669999999999</v>
      </c>
      <c r="E88" s="16">
        <v>138.29419999999999</v>
      </c>
      <c r="F88" s="15">
        <v>0</v>
      </c>
      <c r="G88" s="16" t="str">
        <f>IFERROR(INDEX('EV Productivity'!$B$9:$B$21,MATCH(B88,'EV Productivity'!$A$9:$A$21,0)),"")</f>
        <v/>
      </c>
      <c r="H88" s="16" t="str">
        <f>IFERROR(INDEX('EV Productivity'!$C$9:$C$21,MATCH(B88,'EV Productivity'!$A$9:$A$21,0)),"")</f>
        <v/>
      </c>
      <c r="I88" s="16" t="str">
        <f>IFERROR(INDEX('EV Productivity'!$D$9:$D$21,MATCH(B88,'EV Productivity'!$A$9:$A$21,0)),"")</f>
        <v/>
      </c>
      <c r="J88" s="7">
        <f t="shared" si="9"/>
        <v>19.214437398264934</v>
      </c>
      <c r="K88" s="4">
        <f t="shared" si="11"/>
        <v>2.9556619442889116</v>
      </c>
      <c r="L88" s="7">
        <f t="shared" si="12"/>
        <v>23.459140000000001</v>
      </c>
      <c r="M88" s="5">
        <f t="shared" si="13"/>
        <v>3207.1669999999999</v>
      </c>
      <c r="N88" s="16">
        <f t="shared" si="14"/>
        <v>138.29419999999999</v>
      </c>
      <c r="O88" s="7">
        <f t="shared" si="10"/>
        <v>19.434159072654303</v>
      </c>
      <c r="P88" s="4">
        <f t="shared" si="15"/>
        <v>2.9670322946597749</v>
      </c>
    </row>
    <row r="89" spans="1:16" x14ac:dyDescent="0.35">
      <c r="A89" s="2" t="s">
        <v>1320</v>
      </c>
      <c r="B89" s="2">
        <v>1994</v>
      </c>
      <c r="C89" s="7">
        <v>23.273</v>
      </c>
      <c r="D89" s="5">
        <v>3249.6860000000001</v>
      </c>
      <c r="E89" s="16">
        <v>142.8141</v>
      </c>
      <c r="F89" s="15">
        <v>0</v>
      </c>
      <c r="G89" s="16" t="str">
        <f>IFERROR(INDEX('EV Productivity'!$B$9:$B$21,MATCH(B89,'EV Productivity'!$A$9:$A$21,0)),"")</f>
        <v/>
      </c>
      <c r="H89" s="16" t="str">
        <f>IFERROR(INDEX('EV Productivity'!$C$9:$C$21,MATCH(B89,'EV Productivity'!$A$9:$A$21,0)),"")</f>
        <v/>
      </c>
      <c r="I89" s="16" t="str">
        <f>IFERROR(INDEX('EV Productivity'!$D$9:$D$21,MATCH(B89,'EV Productivity'!$A$9:$A$21,0)),"")</f>
        <v/>
      </c>
      <c r="J89" s="7">
        <f t="shared" si="9"/>
        <v>19.404857309318455</v>
      </c>
      <c r="K89" s="4">
        <f t="shared" si="11"/>
        <v>2.9655234114992428</v>
      </c>
      <c r="L89" s="7">
        <f t="shared" si="12"/>
        <v>23.273</v>
      </c>
      <c r="M89" s="5">
        <f t="shared" si="13"/>
        <v>3249.6860000000001</v>
      </c>
      <c r="N89" s="16">
        <f t="shared" si="14"/>
        <v>142.8141</v>
      </c>
      <c r="O89" s="7">
        <f t="shared" si="10"/>
        <v>19.660284282136509</v>
      </c>
      <c r="P89" s="4">
        <f t="shared" si="15"/>
        <v>2.9786005745400366</v>
      </c>
    </row>
    <row r="90" spans="1:16" x14ac:dyDescent="0.35">
      <c r="A90" s="2" t="s">
        <v>1320</v>
      </c>
      <c r="B90" s="2">
        <v>1995</v>
      </c>
      <c r="C90" s="7">
        <v>23.443549999999998</v>
      </c>
      <c r="D90" s="5">
        <v>3262.62</v>
      </c>
      <c r="E90" s="16">
        <v>152.4623</v>
      </c>
      <c r="F90" s="15">
        <v>0</v>
      </c>
      <c r="G90" s="16" t="str">
        <f>IFERROR(INDEX('EV Productivity'!$B$9:$B$21,MATCH(B90,'EV Productivity'!$A$9:$A$21,0)),"")</f>
        <v/>
      </c>
      <c r="H90" s="16" t="str">
        <f>IFERROR(INDEX('EV Productivity'!$C$9:$C$21,MATCH(B90,'EV Productivity'!$A$9:$A$21,0)),"")</f>
        <v/>
      </c>
      <c r="I90" s="16" t="str">
        <f>IFERROR(INDEX('EV Productivity'!$D$9:$D$21,MATCH(B90,'EV Productivity'!$A$9:$A$21,0)),"")</f>
        <v/>
      </c>
      <c r="J90" s="7">
        <f t="shared" si="9"/>
        <v>20.060291878134862</v>
      </c>
      <c r="K90" s="4">
        <f t="shared" si="11"/>
        <v>2.9987423326839107</v>
      </c>
      <c r="L90" s="7">
        <f t="shared" si="12"/>
        <v>23.443549999999998</v>
      </c>
      <c r="M90" s="5">
        <f t="shared" si="13"/>
        <v>3262.62</v>
      </c>
      <c r="N90" s="16">
        <f t="shared" si="14"/>
        <v>152.4623</v>
      </c>
      <c r="O90" s="7">
        <f t="shared" si="10"/>
        <v>20.464363878136233</v>
      </c>
      <c r="P90" s="4">
        <f t="shared" si="15"/>
        <v>3.0186850260572231</v>
      </c>
    </row>
    <row r="91" spans="1:16" x14ac:dyDescent="0.35">
      <c r="A91" s="2" t="s">
        <v>1320</v>
      </c>
      <c r="B91" s="2">
        <v>1996</v>
      </c>
      <c r="C91" s="7">
        <v>23.334579999999999</v>
      </c>
      <c r="D91" s="5">
        <v>3281.7489999999998</v>
      </c>
      <c r="E91" s="16">
        <v>154.13310000000001</v>
      </c>
      <c r="F91" s="15">
        <v>0</v>
      </c>
      <c r="G91" s="16" t="str">
        <f>IFERROR(INDEX('EV Productivity'!$B$9:$B$21,MATCH(B91,'EV Productivity'!$A$9:$A$21,0)),"")</f>
        <v/>
      </c>
      <c r="H91" s="16" t="str">
        <f>IFERROR(INDEX('EV Productivity'!$C$9:$C$21,MATCH(B91,'EV Productivity'!$A$9:$A$21,0)),"")</f>
        <v/>
      </c>
      <c r="I91" s="16" t="str">
        <f>IFERROR(INDEX('EV Productivity'!$D$9:$D$21,MATCH(B91,'EV Productivity'!$A$9:$A$21,0)),"")</f>
        <v/>
      </c>
      <c r="J91" s="7">
        <f t="shared" si="9"/>
        <v>20.100626939954932</v>
      </c>
      <c r="K91" s="4">
        <f t="shared" si="11"/>
        <v>3.0007510056211335</v>
      </c>
      <c r="L91" s="7">
        <f t="shared" si="12"/>
        <v>23.334579999999999</v>
      </c>
      <c r="M91" s="5">
        <f t="shared" si="13"/>
        <v>3281.7489999999998</v>
      </c>
      <c r="N91" s="16">
        <f t="shared" si="14"/>
        <v>154.13310000000001</v>
      </c>
      <c r="O91" s="7">
        <f t="shared" si="10"/>
        <v>20.513151297037044</v>
      </c>
      <c r="P91" s="4">
        <f t="shared" si="15"/>
        <v>3.0210662071388188</v>
      </c>
    </row>
    <row r="92" spans="1:16" x14ac:dyDescent="0.35">
      <c r="A92" s="2" t="s">
        <v>1320</v>
      </c>
      <c r="B92" s="2">
        <v>1997</v>
      </c>
      <c r="C92" s="7">
        <v>23.372440000000001</v>
      </c>
      <c r="D92" s="5">
        <v>3274.0610000000001</v>
      </c>
      <c r="E92" s="16">
        <v>156.02860000000001</v>
      </c>
      <c r="F92" s="15">
        <v>0</v>
      </c>
      <c r="G92" s="16" t="str">
        <f>IFERROR(INDEX('EV Productivity'!$B$9:$B$21,MATCH(B92,'EV Productivity'!$A$9:$A$21,0)),"")</f>
        <v/>
      </c>
      <c r="H92" s="16" t="str">
        <f>IFERROR(INDEX('EV Productivity'!$C$9:$C$21,MATCH(B92,'EV Productivity'!$A$9:$A$21,0)),"")</f>
        <v/>
      </c>
      <c r="I92" s="16" t="str">
        <f>IFERROR(INDEX('EV Productivity'!$D$9:$D$21,MATCH(B92,'EV Productivity'!$A$9:$A$21,0)),"")</f>
        <v/>
      </c>
      <c r="J92" s="7">
        <f t="shared" si="9"/>
        <v>20.202773953275461</v>
      </c>
      <c r="K92" s="4">
        <f t="shared" si="11"/>
        <v>3.0058199193986015</v>
      </c>
      <c r="L92" s="7">
        <f t="shared" si="12"/>
        <v>23.372440000000001</v>
      </c>
      <c r="M92" s="5">
        <f t="shared" si="13"/>
        <v>3274.0610000000001</v>
      </c>
      <c r="N92" s="16">
        <f t="shared" si="14"/>
        <v>156.02860000000001</v>
      </c>
      <c r="O92" s="7">
        <f t="shared" si="10"/>
        <v>20.65337477108157</v>
      </c>
      <c r="P92" s="4">
        <f t="shared" si="15"/>
        <v>3.0278787332252968</v>
      </c>
    </row>
    <row r="93" spans="1:16" x14ac:dyDescent="0.35">
      <c r="A93" s="2" t="s">
        <v>1320</v>
      </c>
      <c r="B93" s="2">
        <v>1998</v>
      </c>
      <c r="C93" s="7">
        <v>23.368010000000002</v>
      </c>
      <c r="D93" s="5">
        <v>3305.9870000000001</v>
      </c>
      <c r="E93" s="16">
        <v>159.08529999999999</v>
      </c>
      <c r="F93" s="15">
        <v>0</v>
      </c>
      <c r="G93" s="16" t="str">
        <f>IFERROR(INDEX('EV Productivity'!$B$9:$B$21,MATCH(B93,'EV Productivity'!$A$9:$A$21,0)),"")</f>
        <v/>
      </c>
      <c r="H93" s="16" t="str">
        <f>IFERROR(INDEX('EV Productivity'!$C$9:$C$21,MATCH(B93,'EV Productivity'!$A$9:$A$21,0)),"")</f>
        <v/>
      </c>
      <c r="I93" s="16" t="str">
        <f>IFERROR(INDEX('EV Productivity'!$D$9:$D$21,MATCH(B93,'EV Productivity'!$A$9:$A$21,0)),"")</f>
        <v/>
      </c>
      <c r="J93" s="7">
        <f t="shared" si="9"/>
        <v>20.433615985773841</v>
      </c>
      <c r="K93" s="4">
        <f t="shared" si="11"/>
        <v>3.0171813870873794</v>
      </c>
      <c r="L93" s="7">
        <f t="shared" si="12"/>
        <v>23.368010000000002</v>
      </c>
      <c r="M93" s="5">
        <f t="shared" si="13"/>
        <v>3305.9870000000001</v>
      </c>
      <c r="N93" s="16">
        <f t="shared" si="14"/>
        <v>159.08529999999999</v>
      </c>
      <c r="O93" s="7">
        <f t="shared" si="10"/>
        <v>20.905408118089266</v>
      </c>
      <c r="P93" s="4">
        <f t="shared" si="15"/>
        <v>3.0400078871288141</v>
      </c>
    </row>
    <row r="94" spans="1:16" x14ac:dyDescent="0.35">
      <c r="A94" s="2" t="s">
        <v>1320</v>
      </c>
      <c r="B94" s="2">
        <v>1999</v>
      </c>
      <c r="C94" s="7">
        <v>23.00469</v>
      </c>
      <c r="D94" s="5">
        <v>3364.5610000000001</v>
      </c>
      <c r="E94" s="16">
        <v>163.9751</v>
      </c>
      <c r="F94" s="15">
        <v>0</v>
      </c>
      <c r="G94" s="16" t="str">
        <f>IFERROR(INDEX('EV Productivity'!$B$9:$B$21,MATCH(B94,'EV Productivity'!$A$9:$A$21,0)),"")</f>
        <v/>
      </c>
      <c r="H94" s="16" t="str">
        <f>IFERROR(INDEX('EV Productivity'!$C$9:$C$21,MATCH(B94,'EV Productivity'!$A$9:$A$21,0)),"")</f>
        <v/>
      </c>
      <c r="I94" s="16" t="str">
        <f>IFERROR(INDEX('EV Productivity'!$D$9:$D$21,MATCH(B94,'EV Productivity'!$A$9:$A$21,0)),"")</f>
        <v/>
      </c>
      <c r="J94" s="7">
        <f t="shared" si="9"/>
        <v>20.504237943354649</v>
      </c>
      <c r="K94" s="4">
        <f t="shared" si="11"/>
        <v>3.0206315937230079</v>
      </c>
      <c r="L94" s="7">
        <f t="shared" si="12"/>
        <v>23.00469</v>
      </c>
      <c r="M94" s="5">
        <f t="shared" si="13"/>
        <v>3364.5610000000001</v>
      </c>
      <c r="N94" s="16">
        <f t="shared" si="14"/>
        <v>163.9751</v>
      </c>
      <c r="O94" s="7">
        <f t="shared" si="10"/>
        <v>20.995235240888881</v>
      </c>
      <c r="P94" s="4">
        <f t="shared" si="15"/>
        <v>3.0442955186882403</v>
      </c>
    </row>
    <row r="95" spans="1:16" x14ac:dyDescent="0.35">
      <c r="A95" s="2" t="s">
        <v>1320</v>
      </c>
      <c r="B95" s="2">
        <v>2000</v>
      </c>
      <c r="C95" s="7">
        <v>22.914349999999999</v>
      </c>
      <c r="D95" s="5">
        <v>3369.2089999999998</v>
      </c>
      <c r="E95" s="16">
        <v>167.93</v>
      </c>
      <c r="F95" s="15">
        <v>0</v>
      </c>
      <c r="G95" s="16" t="str">
        <f>IFERROR(INDEX('EV Productivity'!$B$9:$B$21,MATCH(B95,'EV Productivity'!$A$9:$A$21,0)),"")</f>
        <v/>
      </c>
      <c r="H95" s="16" t="str">
        <f>IFERROR(INDEX('EV Productivity'!$C$9:$C$21,MATCH(B95,'EV Productivity'!$A$9:$A$21,0)),"")</f>
        <v/>
      </c>
      <c r="I95" s="16" t="str">
        <f>IFERROR(INDEX('EV Productivity'!$D$9:$D$21,MATCH(B95,'EV Productivity'!$A$9:$A$21,0)),"")</f>
        <v/>
      </c>
      <c r="J95" s="7">
        <f t="shared" si="9"/>
        <v>20.616973787526721</v>
      </c>
      <c r="K95" s="4">
        <f t="shared" si="11"/>
        <v>3.0261147067866778</v>
      </c>
      <c r="L95" s="7">
        <f t="shared" si="12"/>
        <v>22.914349999999999</v>
      </c>
      <c r="M95" s="5">
        <f t="shared" si="13"/>
        <v>3369.2089999999998</v>
      </c>
      <c r="N95" s="16">
        <f t="shared" si="14"/>
        <v>167.93</v>
      </c>
      <c r="O95" s="7">
        <f t="shared" si="10"/>
        <v>21.163787900171187</v>
      </c>
      <c r="P95" s="4">
        <f t="shared" si="15"/>
        <v>3.0522916032647345</v>
      </c>
    </row>
    <row r="96" spans="1:16" x14ac:dyDescent="0.35">
      <c r="A96" s="2" t="s">
        <v>1320</v>
      </c>
      <c r="B96" s="2">
        <v>2001</v>
      </c>
      <c r="C96" s="7">
        <v>23.045539999999999</v>
      </c>
      <c r="D96" s="5">
        <v>3379.627</v>
      </c>
      <c r="E96" s="16">
        <v>168.4034</v>
      </c>
      <c r="F96" s="15">
        <v>0</v>
      </c>
      <c r="G96" s="16" t="str">
        <f>IFERROR(INDEX('EV Productivity'!$B$9:$B$21,MATCH(B96,'EV Productivity'!$A$9:$A$21,0)),"")</f>
        <v/>
      </c>
      <c r="H96" s="16" t="str">
        <f>IFERROR(INDEX('EV Productivity'!$C$9:$C$21,MATCH(B96,'EV Productivity'!$A$9:$A$21,0)),"")</f>
        <v/>
      </c>
      <c r="I96" s="16" t="str">
        <f>IFERROR(INDEX('EV Productivity'!$D$9:$D$21,MATCH(B96,'EV Productivity'!$A$9:$A$21,0)),"")</f>
        <v/>
      </c>
      <c r="J96" s="7">
        <f t="shared" si="9"/>
        <v>20.78558848749466</v>
      </c>
      <c r="K96" s="4">
        <f t="shared" si="11"/>
        <v>3.0342598853898965</v>
      </c>
      <c r="L96" s="7">
        <f t="shared" si="12"/>
        <v>23.045539999999999</v>
      </c>
      <c r="M96" s="5">
        <f t="shared" si="13"/>
        <v>3379.627</v>
      </c>
      <c r="N96" s="16">
        <f t="shared" si="14"/>
        <v>168.4034</v>
      </c>
      <c r="O96" s="7">
        <f t="shared" si="10"/>
        <v>21.333914411426445</v>
      </c>
      <c r="P96" s="4">
        <f t="shared" si="15"/>
        <v>3.0602980323562283</v>
      </c>
    </row>
    <row r="97" spans="1:16" x14ac:dyDescent="0.35">
      <c r="A97" s="2" t="s">
        <v>1320</v>
      </c>
      <c r="B97" s="2">
        <v>2002</v>
      </c>
      <c r="C97" s="7">
        <v>23.084599999999998</v>
      </c>
      <c r="D97" s="5">
        <v>3391.2170000000001</v>
      </c>
      <c r="E97" s="16">
        <v>172.91480000000001</v>
      </c>
      <c r="F97" s="15">
        <v>0</v>
      </c>
      <c r="G97" s="16" t="str">
        <f>IFERROR(INDEX('EV Productivity'!$B$9:$B$21,MATCH(B97,'EV Productivity'!$A$9:$A$21,0)),"")</f>
        <v/>
      </c>
      <c r="H97" s="16" t="str">
        <f>IFERROR(INDEX('EV Productivity'!$C$9:$C$21,MATCH(B97,'EV Productivity'!$A$9:$A$21,0)),"")</f>
        <v/>
      </c>
      <c r="I97" s="16" t="str">
        <f>IFERROR(INDEX('EV Productivity'!$D$9:$D$21,MATCH(B97,'EV Productivity'!$A$9:$A$21,0)),"")</f>
        <v/>
      </c>
      <c r="J97" s="7">
        <f t="shared" si="9"/>
        <v>21.05750146230665</v>
      </c>
      <c r="K97" s="4">
        <f t="shared" si="11"/>
        <v>3.0472568606508865</v>
      </c>
      <c r="L97" s="7">
        <f t="shared" si="12"/>
        <v>23.084599999999998</v>
      </c>
      <c r="M97" s="5">
        <f t="shared" si="13"/>
        <v>3391.2170000000001</v>
      </c>
      <c r="N97" s="16">
        <f t="shared" si="14"/>
        <v>172.91480000000001</v>
      </c>
      <c r="O97" s="7">
        <f t="shared" si="10"/>
        <v>21.667224283840778</v>
      </c>
      <c r="P97" s="4">
        <f t="shared" si="15"/>
        <v>3.0758007170736246</v>
      </c>
    </row>
    <row r="98" spans="1:16" x14ac:dyDescent="0.35">
      <c r="A98" s="2" t="s">
        <v>1320</v>
      </c>
      <c r="B98" s="2">
        <v>2003</v>
      </c>
      <c r="C98" s="7">
        <v>23.276730000000001</v>
      </c>
      <c r="D98" s="5">
        <v>3416.8980000000001</v>
      </c>
      <c r="E98" s="16">
        <v>176.12430000000001</v>
      </c>
      <c r="F98" s="15">
        <v>0</v>
      </c>
      <c r="G98" s="16" t="str">
        <f>IFERROR(INDEX('EV Productivity'!$B$9:$B$21,MATCH(B98,'EV Productivity'!$A$9:$A$21,0)),"")</f>
        <v/>
      </c>
      <c r="H98" s="16" t="str">
        <f>IFERROR(INDEX('EV Productivity'!$C$9:$C$21,MATCH(B98,'EV Productivity'!$A$9:$A$21,0)),"")</f>
        <v/>
      </c>
      <c r="I98" s="16" t="str">
        <f>IFERROR(INDEX('EV Productivity'!$D$9:$D$21,MATCH(B98,'EV Productivity'!$A$9:$A$21,0)),"")</f>
        <v/>
      </c>
      <c r="J98" s="7">
        <f t="shared" si="9"/>
        <v>21.450455635976276</v>
      </c>
      <c r="K98" s="4">
        <f t="shared" si="11"/>
        <v>3.0657458869188785</v>
      </c>
      <c r="L98" s="7">
        <f t="shared" si="12"/>
        <v>23.276730000000001</v>
      </c>
      <c r="M98" s="5">
        <f t="shared" si="13"/>
        <v>3416.8980000000001</v>
      </c>
      <c r="N98" s="16">
        <f t="shared" si="14"/>
        <v>176.12430000000001</v>
      </c>
      <c r="O98" s="7">
        <f t="shared" si="10"/>
        <v>22.093067774083597</v>
      </c>
      <c r="P98" s="4">
        <f t="shared" si="15"/>
        <v>3.0952638839364619</v>
      </c>
    </row>
    <row r="99" spans="1:16" x14ac:dyDescent="0.35">
      <c r="A99" s="2" t="s">
        <v>1320</v>
      </c>
      <c r="B99" s="2">
        <v>2004</v>
      </c>
      <c r="C99" s="7">
        <v>23.140429999999999</v>
      </c>
      <c r="D99" s="5">
        <v>3461.634</v>
      </c>
      <c r="E99" s="16">
        <v>182.5044</v>
      </c>
      <c r="F99" s="15">
        <v>0</v>
      </c>
      <c r="G99" s="16" t="str">
        <f>IFERROR(INDEX('EV Productivity'!$B$9:$B$21,MATCH(B99,'EV Productivity'!$A$9:$A$21,0)),"")</f>
        <v/>
      </c>
      <c r="H99" s="16" t="str">
        <f>IFERROR(INDEX('EV Productivity'!$C$9:$C$21,MATCH(B99,'EV Productivity'!$A$9:$A$21,0)),"")</f>
        <v/>
      </c>
      <c r="I99" s="16" t="str">
        <f>IFERROR(INDEX('EV Productivity'!$D$9:$D$21,MATCH(B99,'EV Productivity'!$A$9:$A$21,0)),"")</f>
        <v/>
      </c>
      <c r="J99" s="7">
        <f t="shared" si="9"/>
        <v>21.734270586433592</v>
      </c>
      <c r="K99" s="4">
        <f t="shared" si="11"/>
        <v>3.0788903044772851</v>
      </c>
      <c r="L99" s="7">
        <f t="shared" si="12"/>
        <v>23.140429999999999</v>
      </c>
      <c r="M99" s="5">
        <f t="shared" si="13"/>
        <v>3461.634</v>
      </c>
      <c r="N99" s="16">
        <f t="shared" si="14"/>
        <v>182.5044</v>
      </c>
      <c r="O99" s="7">
        <f t="shared" si="10"/>
        <v>22.432928777328375</v>
      </c>
      <c r="P99" s="4">
        <f t="shared" si="15"/>
        <v>3.110529914119891</v>
      </c>
    </row>
    <row r="100" spans="1:16" x14ac:dyDescent="0.35">
      <c r="A100" s="2" t="s">
        <v>1320</v>
      </c>
      <c r="B100" s="2">
        <v>2005</v>
      </c>
      <c r="C100" s="7">
        <v>23.490790000000001</v>
      </c>
      <c r="D100" s="5">
        <v>3462.7049999999999</v>
      </c>
      <c r="E100" s="16">
        <v>182.17160000000001</v>
      </c>
      <c r="F100" s="15">
        <v>0</v>
      </c>
      <c r="G100" s="16" t="str">
        <f>IFERROR(INDEX('EV Productivity'!$B$9:$B$21,MATCH(B100,'EV Productivity'!$A$9:$A$21,0)),"")</f>
        <v/>
      </c>
      <c r="H100" s="16" t="str">
        <f>IFERROR(INDEX('EV Productivity'!$C$9:$C$21,MATCH(B100,'EV Productivity'!$A$9:$A$21,0)),"")</f>
        <v/>
      </c>
      <c r="I100" s="16" t="str">
        <f>IFERROR(INDEX('EV Productivity'!$D$9:$D$21,MATCH(B100,'EV Productivity'!$A$9:$A$21,0)),"")</f>
        <v/>
      </c>
      <c r="J100" s="7">
        <f t="shared" si="9"/>
        <v>22.05157621283805</v>
      </c>
      <c r="K100" s="4">
        <f t="shared" si="11"/>
        <v>3.0933840829134476</v>
      </c>
      <c r="L100" s="7">
        <f t="shared" si="12"/>
        <v>23.490790000000001</v>
      </c>
      <c r="M100" s="5">
        <f t="shared" si="13"/>
        <v>3462.7049999999999</v>
      </c>
      <c r="N100" s="16">
        <f t="shared" si="14"/>
        <v>182.17160000000001</v>
      </c>
      <c r="O100" s="7">
        <f t="shared" si="10"/>
        <v>22.754647631031975</v>
      </c>
      <c r="P100" s="4">
        <f t="shared" si="15"/>
        <v>3.1247694160062309</v>
      </c>
    </row>
    <row r="101" spans="1:16" x14ac:dyDescent="0.35">
      <c r="A101" s="2" t="s">
        <v>1320</v>
      </c>
      <c r="B101" s="2">
        <v>2006</v>
      </c>
      <c r="C101" s="7">
        <v>23.299399999999999</v>
      </c>
      <c r="D101" s="5">
        <v>3534.0909999999999</v>
      </c>
      <c r="E101" s="16">
        <v>193.965</v>
      </c>
      <c r="F101" s="15">
        <v>0</v>
      </c>
      <c r="G101" s="16" t="str">
        <f>IFERROR(INDEX('EV Productivity'!$B$9:$B$21,MATCH(B101,'EV Productivity'!$A$9:$A$21,0)),"")</f>
        <v/>
      </c>
      <c r="H101" s="16" t="str">
        <f>IFERROR(INDEX('EV Productivity'!$C$9:$C$21,MATCH(B101,'EV Productivity'!$A$9:$A$21,0)),"")</f>
        <v/>
      </c>
      <c r="I101" s="16" t="str">
        <f>IFERROR(INDEX('EV Productivity'!$D$9:$D$21,MATCH(B101,'EV Productivity'!$A$9:$A$21,0)),"")</f>
        <v/>
      </c>
      <c r="J101" s="7">
        <f t="shared" si="9"/>
        <v>22.591745596857145</v>
      </c>
      <c r="K101" s="4">
        <f t="shared" si="11"/>
        <v>3.1175846004850856</v>
      </c>
      <c r="L101" s="7">
        <f t="shared" si="12"/>
        <v>23.299399999999999</v>
      </c>
      <c r="M101" s="5">
        <f t="shared" si="13"/>
        <v>3534.0909999999999</v>
      </c>
      <c r="N101" s="16">
        <f t="shared" si="14"/>
        <v>193.965</v>
      </c>
      <c r="O101" s="7">
        <f t="shared" si="10"/>
        <v>23.408188693289038</v>
      </c>
      <c r="P101" s="4">
        <f t="shared" si="15"/>
        <v>3.1530859053051312</v>
      </c>
    </row>
    <row r="102" spans="1:16" x14ac:dyDescent="0.35">
      <c r="A102" s="2" t="s">
        <v>1320</v>
      </c>
      <c r="B102" s="2">
        <v>2007</v>
      </c>
      <c r="C102" s="7">
        <v>24.107890000000001</v>
      </c>
      <c r="D102" s="5">
        <v>3507.31</v>
      </c>
      <c r="E102" s="16">
        <v>189.40100000000001</v>
      </c>
      <c r="F102" s="15">
        <v>0</v>
      </c>
      <c r="G102" s="16" t="str">
        <f>IFERROR(INDEX('EV Productivity'!$B$9:$B$21,MATCH(B102,'EV Productivity'!$A$9:$A$21,0)),"")</f>
        <v/>
      </c>
      <c r="H102" s="16" t="str">
        <f>IFERROR(INDEX('EV Productivity'!$C$9:$C$21,MATCH(B102,'EV Productivity'!$A$9:$A$21,0)),"")</f>
        <v/>
      </c>
      <c r="I102" s="16" t="str">
        <f>IFERROR(INDEX('EV Productivity'!$D$9:$D$21,MATCH(B102,'EV Productivity'!$A$9:$A$21,0)),"")</f>
        <v/>
      </c>
      <c r="J102" s="7">
        <f t="shared" ref="J102:J119" si="16">C102*(D102/$D$119)^$B$4*(E102/$E$119)^$B$5</f>
        <v>23.091567220317234</v>
      </c>
      <c r="K102" s="4">
        <f t="shared" si="11"/>
        <v>3.1394674954812829</v>
      </c>
      <c r="L102" s="7">
        <f t="shared" si="12"/>
        <v>24.107890000000001</v>
      </c>
      <c r="M102" s="5">
        <f t="shared" si="13"/>
        <v>3507.31</v>
      </c>
      <c r="N102" s="16">
        <f t="shared" si="14"/>
        <v>189.40100000000001</v>
      </c>
      <c r="O102" s="7">
        <f t="shared" ref="O102:O133" si="17">L102*(M102/$M$119)^$E$4*(N102/$N$119)^$E$5</f>
        <v>23.888225402353847</v>
      </c>
      <c r="P102" s="4">
        <f t="shared" si="15"/>
        <v>3.1733856765507875</v>
      </c>
    </row>
    <row r="103" spans="1:16" x14ac:dyDescent="0.35">
      <c r="A103" s="2" t="s">
        <v>1320</v>
      </c>
      <c r="B103" s="2">
        <v>2008</v>
      </c>
      <c r="C103" s="7">
        <v>24.267320000000002</v>
      </c>
      <c r="D103" s="5">
        <v>3526.893</v>
      </c>
      <c r="E103" s="16">
        <v>192.86500000000001</v>
      </c>
      <c r="F103" s="15">
        <v>0</v>
      </c>
      <c r="G103" s="16" t="str">
        <f>IFERROR(INDEX('EV Productivity'!$B$9:$B$21,MATCH(B103,'EV Productivity'!$A$9:$A$21,0)),"")</f>
        <v/>
      </c>
      <c r="H103" s="16" t="str">
        <f>IFERROR(INDEX('EV Productivity'!$C$9:$C$21,MATCH(B103,'EV Productivity'!$A$9:$A$21,0)),"")</f>
        <v/>
      </c>
      <c r="I103" s="16" t="str">
        <f>IFERROR(INDEX('EV Productivity'!$D$9:$D$21,MATCH(B103,'EV Productivity'!$A$9:$A$21,0)),"")</f>
        <v/>
      </c>
      <c r="J103" s="7">
        <f t="shared" si="16"/>
        <v>23.459283721392449</v>
      </c>
      <c r="K103" s="4">
        <f t="shared" si="11"/>
        <v>3.155266310849266</v>
      </c>
      <c r="L103" s="7">
        <f t="shared" si="12"/>
        <v>24.267320000000002</v>
      </c>
      <c r="M103" s="5">
        <f t="shared" si="13"/>
        <v>3526.893</v>
      </c>
      <c r="N103" s="16">
        <f t="shared" si="14"/>
        <v>192.86500000000001</v>
      </c>
      <c r="O103" s="7">
        <f t="shared" si="17"/>
        <v>24.29869269250926</v>
      </c>
      <c r="P103" s="4">
        <f t="shared" si="15"/>
        <v>3.1904225502371326</v>
      </c>
    </row>
    <row r="104" spans="1:16" x14ac:dyDescent="0.35">
      <c r="A104" s="2" t="s">
        <v>1320</v>
      </c>
      <c r="B104" s="2">
        <v>2009</v>
      </c>
      <c r="C104" s="7">
        <v>25.337890000000002</v>
      </c>
      <c r="D104" s="5">
        <v>3464.462</v>
      </c>
      <c r="E104" s="16">
        <v>183.8245</v>
      </c>
      <c r="F104" s="15">
        <v>0</v>
      </c>
      <c r="G104" s="16" t="str">
        <f>IFERROR(INDEX('EV Productivity'!$B$9:$B$21,MATCH(B104,'EV Productivity'!$A$9:$A$21,0)),"")</f>
        <v/>
      </c>
      <c r="H104" s="16" t="str">
        <f>IFERROR(INDEX('EV Productivity'!$C$9:$C$21,MATCH(B104,'EV Productivity'!$A$9:$A$21,0)),"")</f>
        <v/>
      </c>
      <c r="I104" s="16" t="str">
        <f>IFERROR(INDEX('EV Productivity'!$D$9:$D$21,MATCH(B104,'EV Productivity'!$A$9:$A$21,0)),"")</f>
        <v/>
      </c>
      <c r="J104" s="7">
        <f t="shared" si="16"/>
        <v>23.870387005209832</v>
      </c>
      <c r="K104" s="4">
        <f t="shared" si="11"/>
        <v>3.1726386532570059</v>
      </c>
      <c r="L104" s="7">
        <f t="shared" si="12"/>
        <v>25.337890000000002</v>
      </c>
      <c r="M104" s="5">
        <f t="shared" si="13"/>
        <v>3464.462</v>
      </c>
      <c r="N104" s="16">
        <f t="shared" si="14"/>
        <v>183.8245</v>
      </c>
      <c r="O104" s="7">
        <f t="shared" si="17"/>
        <v>24.654976245576734</v>
      </c>
      <c r="P104" s="4">
        <f t="shared" si="15"/>
        <v>3.2049787562027694</v>
      </c>
    </row>
    <row r="105" spans="1:16" x14ac:dyDescent="0.35">
      <c r="A105" s="2" t="s">
        <v>1320</v>
      </c>
      <c r="B105" s="2">
        <v>2010</v>
      </c>
      <c r="C105" s="7">
        <v>26.162179999999999</v>
      </c>
      <c r="D105" s="5">
        <v>3474.0929999999998</v>
      </c>
      <c r="E105" s="16">
        <v>186.69229999999999</v>
      </c>
      <c r="F105" s="15">
        <v>0</v>
      </c>
      <c r="G105" s="16" t="str">
        <f>IFERROR(INDEX('EV Productivity'!$B$9:$B$21,MATCH(B105,'EV Productivity'!$A$9:$A$21,0)),"")</f>
        <v/>
      </c>
      <c r="H105" s="16" t="str">
        <f>IFERROR(INDEX('EV Productivity'!$C$9:$C$21,MATCH(B105,'EV Productivity'!$A$9:$A$21,0)),"")</f>
        <v/>
      </c>
      <c r="I105" s="16" t="str">
        <f>IFERROR(INDEX('EV Productivity'!$D$9:$D$21,MATCH(B105,'EV Productivity'!$A$9:$A$21,0)),"")</f>
        <v/>
      </c>
      <c r="J105" s="7">
        <f t="shared" si="16"/>
        <v>24.819278923584577</v>
      </c>
      <c r="K105" s="4">
        <f t="shared" si="11"/>
        <v>3.2116207271217445</v>
      </c>
      <c r="L105" s="7">
        <f t="shared" si="12"/>
        <v>26.162179999999999</v>
      </c>
      <c r="M105" s="5">
        <f t="shared" si="13"/>
        <v>3474.0929999999998</v>
      </c>
      <c r="N105" s="16">
        <f t="shared" si="14"/>
        <v>186.69229999999999</v>
      </c>
      <c r="O105" s="7">
        <f t="shared" si="17"/>
        <v>25.669747898243621</v>
      </c>
      <c r="P105" s="4">
        <f t="shared" si="15"/>
        <v>3.2453131739639094</v>
      </c>
    </row>
    <row r="106" spans="1:16" x14ac:dyDescent="0.35">
      <c r="A106" s="2" t="s">
        <v>1320</v>
      </c>
      <c r="B106" s="2">
        <v>2011</v>
      </c>
      <c r="C106" s="7">
        <v>25.8217</v>
      </c>
      <c r="D106" s="5">
        <v>3559.0859999999998</v>
      </c>
      <c r="E106" s="16">
        <v>198.51169999999999</v>
      </c>
      <c r="F106" s="15">
        <v>2E-3</v>
      </c>
      <c r="G106" s="16" t="str">
        <f>IFERROR(INDEX('EV Productivity'!$B$9:$B$21,MATCH(B106,'EV Productivity'!$A$9:$A$21,0)),"")</f>
        <v/>
      </c>
      <c r="H106" s="16" t="str">
        <f>IFERROR(INDEX('EV Productivity'!$C$9:$C$21,MATCH(B106,'EV Productivity'!$A$9:$A$21,0)),"")</f>
        <v/>
      </c>
      <c r="I106" s="16" t="str">
        <f>IFERROR(INDEX('EV Productivity'!$D$9:$D$21,MATCH(B106,'EV Productivity'!$A$9:$A$21,0)),"")</f>
        <v/>
      </c>
      <c r="J106" s="7">
        <f t="shared" si="16"/>
        <v>25.333086021594951</v>
      </c>
      <c r="K106" s="4">
        <f t="shared" si="11"/>
        <v>3.2321112892651072</v>
      </c>
      <c r="L106" s="7">
        <f t="shared" si="12"/>
        <v>25.8217</v>
      </c>
      <c r="M106" s="5">
        <f t="shared" si="13"/>
        <v>3559.0859999999998</v>
      </c>
      <c r="N106" s="16">
        <f t="shared" si="14"/>
        <v>198.51169999999999</v>
      </c>
      <c r="O106" s="7">
        <f t="shared" si="17"/>
        <v>26.290453387497404</v>
      </c>
      <c r="P106" s="4">
        <f t="shared" si="15"/>
        <v>3.2692058842187004</v>
      </c>
    </row>
    <row r="107" spans="1:16" x14ac:dyDescent="0.35">
      <c r="A107" s="2" t="s">
        <v>1320</v>
      </c>
      <c r="B107" s="2">
        <v>2012</v>
      </c>
      <c r="C107" s="7">
        <v>27.599710000000002</v>
      </c>
      <c r="D107" s="5">
        <v>3451.78</v>
      </c>
      <c r="E107" s="16">
        <v>188.79130000000001</v>
      </c>
      <c r="F107" s="15">
        <v>2E-3</v>
      </c>
      <c r="G107" s="16">
        <f>IFERROR(INDEX('EV Productivity'!$B$9:$B$21,MATCH(B107,'EV Productivity'!$A$9:$A$21,0)),"")</f>
        <v>89.140649999999994</v>
      </c>
      <c r="H107" s="16">
        <f>IFERROR(INDEX('EV Productivity'!$C$9:$C$21,MATCH(B107,'EV Productivity'!$A$9:$A$21,0)),"")</f>
        <v>4500</v>
      </c>
      <c r="I107" s="16">
        <f>IFERROR(INDEX('EV Productivity'!$D$9:$D$21,MATCH(B107,'EV Productivity'!$A$9:$A$21,0)),"")</f>
        <v>349</v>
      </c>
      <c r="J107" s="7">
        <f t="shared" si="16"/>
        <v>26.214667348638272</v>
      </c>
      <c r="K107" s="4">
        <f t="shared" si="11"/>
        <v>3.2663190765920218</v>
      </c>
      <c r="L107" s="7">
        <f t="shared" si="12"/>
        <v>27.561577800273355</v>
      </c>
      <c r="M107" s="5">
        <f t="shared" si="13"/>
        <v>3449.6793587174352</v>
      </c>
      <c r="N107" s="16">
        <f t="shared" si="14"/>
        <v>188.47024048096193</v>
      </c>
      <c r="O107" s="7">
        <f t="shared" si="17"/>
        <v>27.108762794462869</v>
      </c>
      <c r="P107" s="4">
        <f t="shared" si="15"/>
        <v>3.299857025968381</v>
      </c>
    </row>
    <row r="108" spans="1:16" x14ac:dyDescent="0.35">
      <c r="A108" s="2" t="s">
        <v>1320</v>
      </c>
      <c r="B108" s="2">
        <v>2013</v>
      </c>
      <c r="C108" s="7">
        <v>28.35773</v>
      </c>
      <c r="D108" s="5">
        <v>3465.1889999999999</v>
      </c>
      <c r="E108" s="16">
        <v>193.94069999999999</v>
      </c>
      <c r="F108" s="15">
        <v>6.0000000000000001E-3</v>
      </c>
      <c r="G108" s="16">
        <f>IFERROR(INDEX('EV Productivity'!$B$9:$B$21,MATCH(B108,'EV Productivity'!$A$9:$A$21,0)),"")</f>
        <v>90.655000000000001</v>
      </c>
      <c r="H108" s="16">
        <f>IFERROR(INDEX('EV Productivity'!$C$9:$C$21,MATCH(B108,'EV Productivity'!$A$9:$A$21,0)),"")</f>
        <v>4500</v>
      </c>
      <c r="I108" s="16">
        <f>IFERROR(INDEX('EV Productivity'!$D$9:$D$21,MATCH(B108,'EV Productivity'!$A$9:$A$21,0)),"")</f>
        <v>346.98399999999998</v>
      </c>
      <c r="J108" s="7">
        <f t="shared" si="16"/>
        <v>27.25118638971178</v>
      </c>
      <c r="K108" s="4">
        <f t="shared" si="11"/>
        <v>3.3050970573986644</v>
      </c>
      <c r="L108" s="7">
        <f t="shared" si="12"/>
        <v>28.240587135196385</v>
      </c>
      <c r="M108" s="5">
        <f t="shared" si="13"/>
        <v>3458.9426559356134</v>
      </c>
      <c r="N108" s="16">
        <f t="shared" si="14"/>
        <v>193.01689738430582</v>
      </c>
      <c r="O108" s="7">
        <f t="shared" si="17"/>
        <v>28.121179684231187</v>
      </c>
      <c r="P108" s="4">
        <f t="shared" si="15"/>
        <v>3.3365230178488279</v>
      </c>
    </row>
    <row r="109" spans="1:16" x14ac:dyDescent="0.35">
      <c r="A109" s="2" t="s">
        <v>1320</v>
      </c>
      <c r="B109" s="2">
        <v>2014</v>
      </c>
      <c r="C109" s="7">
        <v>28.38531</v>
      </c>
      <c r="D109" s="5">
        <v>3496.549</v>
      </c>
      <c r="E109" s="16">
        <v>197.05609999999999</v>
      </c>
      <c r="F109" s="15">
        <v>6.0000000000000001E-3</v>
      </c>
      <c r="G109" s="16">
        <f>IFERROR(INDEX('EV Productivity'!$B$9:$B$21,MATCH(B109,'EV Productivity'!$A$9:$A$21,0)),"")</f>
        <v>90.168629999999993</v>
      </c>
      <c r="H109" s="16">
        <f>IFERROR(INDEX('EV Productivity'!$C$9:$C$21,MATCH(B109,'EV Productivity'!$A$9:$A$21,0)),"")</f>
        <v>4562.2219999999998</v>
      </c>
      <c r="I109" s="16">
        <f>IFERROR(INDEX('EV Productivity'!$D$9:$D$21,MATCH(B109,'EV Productivity'!$A$9:$A$21,0)),"")</f>
        <v>335.78829999999999</v>
      </c>
      <c r="J109" s="7">
        <f t="shared" si="16"/>
        <v>27.550680816264435</v>
      </c>
      <c r="K109" s="4">
        <f t="shared" si="11"/>
        <v>3.3160272473177037</v>
      </c>
      <c r="L109" s="7">
        <f t="shared" si="12"/>
        <v>28.26839190237726</v>
      </c>
      <c r="M109" s="5">
        <f t="shared" si="13"/>
        <v>3490.1163661971832</v>
      </c>
      <c r="N109" s="16">
        <f t="shared" si="14"/>
        <v>196.21868229376255</v>
      </c>
      <c r="O109" s="7">
        <f t="shared" si="17"/>
        <v>28.45087782471154</v>
      </c>
      <c r="P109" s="4">
        <f t="shared" si="15"/>
        <v>3.3481790150949826</v>
      </c>
    </row>
    <row r="110" spans="1:16" x14ac:dyDescent="0.35">
      <c r="A110" s="2" t="s">
        <v>1320</v>
      </c>
      <c r="B110" s="2">
        <v>2015</v>
      </c>
      <c r="C110" s="7">
        <v>29.00986</v>
      </c>
      <c r="D110" s="5">
        <v>3488.66</v>
      </c>
      <c r="E110" s="16">
        <v>196.25409999999999</v>
      </c>
      <c r="F110" s="15">
        <v>0.01</v>
      </c>
      <c r="G110" s="16">
        <f>IFERROR(INDEX('EV Productivity'!$B$9:$B$21,MATCH(B110,'EV Productivity'!$A$9:$A$21,0)),"")</f>
        <v>97.135120000000001</v>
      </c>
      <c r="H110" s="16">
        <f>IFERROR(INDEX('EV Productivity'!$C$9:$C$21,MATCH(B110,'EV Productivity'!$A$9:$A$21,0)),"")</f>
        <v>4901.7560000000003</v>
      </c>
      <c r="I110" s="16">
        <f>IFERROR(INDEX('EV Productivity'!$D$9:$D$21,MATCH(B110,'EV Productivity'!$A$9:$A$21,0)),"")</f>
        <v>396.16609999999997</v>
      </c>
      <c r="J110" s="7">
        <f t="shared" si="16"/>
        <v>28.085798684090896</v>
      </c>
      <c r="K110" s="4">
        <f t="shared" si="11"/>
        <v>3.3352640636819064</v>
      </c>
      <c r="L110" s="7">
        <f t="shared" si="12"/>
        <v>28.805791249072591</v>
      </c>
      <c r="M110" s="5">
        <f t="shared" si="13"/>
        <v>3474.3863030303028</v>
      </c>
      <c r="N110" s="16">
        <f t="shared" si="14"/>
        <v>194.23478686868688</v>
      </c>
      <c r="O110" s="7">
        <f t="shared" si="17"/>
        <v>28.810232104526783</v>
      </c>
      <c r="P110" s="4">
        <f t="shared" si="15"/>
        <v>3.3607306054515855</v>
      </c>
    </row>
    <row r="111" spans="1:16" x14ac:dyDescent="0.35">
      <c r="A111" s="2" t="s">
        <v>1320</v>
      </c>
      <c r="B111" s="2">
        <v>2016</v>
      </c>
      <c r="C111" s="7">
        <v>29.205100000000002</v>
      </c>
      <c r="D111" s="5">
        <v>3468.0650000000001</v>
      </c>
      <c r="E111" s="16">
        <v>197.4537</v>
      </c>
      <c r="F111" s="15">
        <v>8.9999999999999993E-3</v>
      </c>
      <c r="G111" s="16">
        <f>IFERROR(INDEX('EV Productivity'!$B$9:$B$21,MATCH(B111,'EV Productivity'!$A$9:$A$21,0)),"")</f>
        <v>96.81841</v>
      </c>
      <c r="H111" s="16">
        <f>IFERROR(INDEX('EV Productivity'!$C$9:$C$21,MATCH(B111,'EV Productivity'!$A$9:$A$21,0)),"")</f>
        <v>5172.598</v>
      </c>
      <c r="I111" s="16">
        <f>IFERROR(INDEX('EV Productivity'!$D$9:$D$21,MATCH(B111,'EV Productivity'!$A$9:$A$21,0)),"")</f>
        <v>384.3064</v>
      </c>
      <c r="J111" s="7">
        <f t="shared" si="16"/>
        <v>28.262603300468651</v>
      </c>
      <c r="K111" s="4">
        <f t="shared" si="11"/>
        <v>3.3415394926338933</v>
      </c>
      <c r="L111" s="7">
        <f t="shared" si="12"/>
        <v>29.021041406540558</v>
      </c>
      <c r="M111" s="5">
        <f t="shared" si="13"/>
        <v>3452.5848819374369</v>
      </c>
      <c r="N111" s="16">
        <f t="shared" si="14"/>
        <v>195.75675317860745</v>
      </c>
      <c r="O111" s="7">
        <f t="shared" si="17"/>
        <v>29.079493570274149</v>
      </c>
      <c r="P111" s="4">
        <f t="shared" si="15"/>
        <v>3.3700332374612039</v>
      </c>
    </row>
    <row r="112" spans="1:16" x14ac:dyDescent="0.35">
      <c r="A112" s="2" t="s">
        <v>1320</v>
      </c>
      <c r="B112" s="2">
        <v>2017</v>
      </c>
      <c r="C112" s="7">
        <v>30.182220000000001</v>
      </c>
      <c r="D112" s="5">
        <v>3470.57</v>
      </c>
      <c r="E112" s="16">
        <v>194.34020000000001</v>
      </c>
      <c r="F112" s="15">
        <v>1.2E-2</v>
      </c>
      <c r="G112" s="16">
        <f>IFERROR(INDEX('EV Productivity'!$B$9:$B$21,MATCH(B112,'EV Productivity'!$A$9:$A$21,0)),"")</f>
        <v>98.218540000000004</v>
      </c>
      <c r="H112" s="16">
        <f>IFERROR(INDEX('EV Productivity'!$C$9:$C$21,MATCH(B112,'EV Productivity'!$A$9:$A$21,0)),"")</f>
        <v>5211.8069999999998</v>
      </c>
      <c r="I112" s="16">
        <f>IFERROR(INDEX('EV Productivity'!$D$9:$D$21,MATCH(B112,'EV Productivity'!$A$9:$A$21,0)),"")</f>
        <v>499.9051</v>
      </c>
      <c r="J112" s="7">
        <f t="shared" si="16"/>
        <v>29.046908964576179</v>
      </c>
      <c r="K112" s="4">
        <f t="shared" si="11"/>
        <v>3.3689120736633344</v>
      </c>
      <c r="L112" s="7">
        <f t="shared" si="12"/>
        <v>29.930403482291531</v>
      </c>
      <c r="M112" s="5">
        <f t="shared" si="13"/>
        <v>3449.421372469636</v>
      </c>
      <c r="N112" s="16">
        <f t="shared" si="14"/>
        <v>190.62888542510123</v>
      </c>
      <c r="O112" s="7">
        <f t="shared" si="17"/>
        <v>29.600379451348132</v>
      </c>
      <c r="P112" s="4">
        <f t="shared" si="15"/>
        <v>3.3877871805501498</v>
      </c>
    </row>
    <row r="113" spans="1:16" x14ac:dyDescent="0.35">
      <c r="A113" s="2" t="s">
        <v>1320</v>
      </c>
      <c r="B113" s="2">
        <v>2018</v>
      </c>
      <c r="C113" s="7">
        <v>30.763120000000001</v>
      </c>
      <c r="D113" s="5">
        <v>3534.8270000000002</v>
      </c>
      <c r="E113" s="16">
        <v>207.01060000000001</v>
      </c>
      <c r="F113" s="15">
        <v>3.3000000000000002E-2</v>
      </c>
      <c r="G113" s="16">
        <f>IFERROR(INDEX('EV Productivity'!$B$9:$B$21,MATCH(B113,'EV Productivity'!$A$9:$A$21,0)),"")</f>
        <v>113.67319000000001</v>
      </c>
      <c r="H113" s="16">
        <f>IFERROR(INDEX('EV Productivity'!$C$9:$C$21,MATCH(B113,'EV Productivity'!$A$9:$A$21,0)),"")</f>
        <v>4522.5739999999996</v>
      </c>
      <c r="I113" s="16">
        <f>IFERROR(INDEX('EV Productivity'!$D$9:$D$21,MATCH(B113,'EV Productivity'!$A$9:$A$21,0)),"")</f>
        <v>402.72219999999999</v>
      </c>
      <c r="J113" s="7">
        <f t="shared" si="16"/>
        <v>30.556676800299655</v>
      </c>
      <c r="K113" s="4">
        <f t="shared" si="11"/>
        <v>3.4195832149396308</v>
      </c>
      <c r="L113" s="7">
        <f t="shared" si="12"/>
        <v>30.016001419724372</v>
      </c>
      <c r="M113" s="5">
        <f t="shared" si="13"/>
        <v>3501.1189844881083</v>
      </c>
      <c r="N113" s="16">
        <f t="shared" si="14"/>
        <v>200.33171396070321</v>
      </c>
      <c r="O113" s="7">
        <f t="shared" si="17"/>
        <v>30.543181597548163</v>
      </c>
      <c r="P113" s="4">
        <f t="shared" si="15"/>
        <v>3.419141472411094</v>
      </c>
    </row>
    <row r="114" spans="1:16" x14ac:dyDescent="0.35">
      <c r="A114" s="2" t="s">
        <v>1320</v>
      </c>
      <c r="B114" s="2">
        <v>2019</v>
      </c>
      <c r="C114" s="7">
        <v>30.874700000000001</v>
      </c>
      <c r="D114" s="5">
        <v>3511.9659999999999</v>
      </c>
      <c r="E114" s="16">
        <v>204.79409999999999</v>
      </c>
      <c r="F114" s="15">
        <v>3.1E-2</v>
      </c>
      <c r="G114" s="16">
        <f>IFERROR(INDEX('EV Productivity'!$B$9:$B$21,MATCH(B114,'EV Productivity'!$A$9:$A$21,0)),"")</f>
        <v>117.99979999999999</v>
      </c>
      <c r="H114" s="16">
        <f>IFERROR(INDEX('EV Productivity'!$C$9:$C$21,MATCH(B114,'EV Productivity'!$A$9:$A$21,0)),"")</f>
        <v>4436.4139999999998</v>
      </c>
      <c r="I114" s="16">
        <f>IFERROR(INDEX('EV Productivity'!$D$9:$D$21,MATCH(B114,'EV Productivity'!$A$9:$A$21,0)),"")</f>
        <v>392.01650000000001</v>
      </c>
      <c r="J114" s="7">
        <f t="shared" si="16"/>
        <v>30.456356782455362</v>
      </c>
      <c r="K114" s="4">
        <f t="shared" si="11"/>
        <v>3.4162947336968754</v>
      </c>
      <c r="L114" s="7">
        <f t="shared" si="12"/>
        <v>30.162235128121885</v>
      </c>
      <c r="M114" s="5">
        <f t="shared" si="13"/>
        <v>3482.3912961816304</v>
      </c>
      <c r="N114" s="16">
        <f t="shared" si="14"/>
        <v>198.80452889576881</v>
      </c>
      <c r="O114" s="7">
        <f t="shared" si="17"/>
        <v>30.528969839148708</v>
      </c>
      <c r="P114" s="4">
        <f t="shared" si="15"/>
        <v>3.4186760636012958</v>
      </c>
    </row>
    <row r="115" spans="1:16" x14ac:dyDescent="0.35">
      <c r="A115" s="2" t="s">
        <v>1320</v>
      </c>
      <c r="B115" s="2">
        <v>2020</v>
      </c>
      <c r="C115" s="7">
        <v>31.730840000000001</v>
      </c>
      <c r="D115" s="5">
        <v>3509.6610000000001</v>
      </c>
      <c r="E115" s="16">
        <v>205.8775</v>
      </c>
      <c r="F115" s="15">
        <v>0.04</v>
      </c>
      <c r="G115" s="16">
        <f>IFERROR(INDEX('EV Productivity'!$B$9:$B$21,MATCH(B115,'EV Productivity'!$A$9:$A$21,0)),"")</f>
        <v>119.08936</v>
      </c>
      <c r="H115" s="16">
        <f>IFERROR(INDEX('EV Productivity'!$C$9:$C$21,MATCH(B115,'EV Productivity'!$A$9:$A$21,0)),"")</f>
        <v>4393.6790000000001</v>
      </c>
      <c r="I115" s="16">
        <f>IFERROR(INDEX('EV Productivity'!$D$9:$D$21,MATCH(B115,'EV Productivity'!$A$9:$A$21,0)),"")</f>
        <v>443.69900000000001</v>
      </c>
      <c r="J115" s="7">
        <f t="shared" si="16"/>
        <v>31.35256711485156</v>
      </c>
      <c r="K115" s="4">
        <f t="shared" si="11"/>
        <v>3.4452961493676817</v>
      </c>
      <c r="L115" s="7">
        <f t="shared" si="12"/>
        <v>30.789758266189605</v>
      </c>
      <c r="M115" s="5">
        <f t="shared" si="13"/>
        <v>3472.8269166666669</v>
      </c>
      <c r="N115" s="16">
        <f t="shared" si="14"/>
        <v>195.96827083333332</v>
      </c>
      <c r="O115" s="7">
        <f t="shared" si="17"/>
        <v>30.922730434480879</v>
      </c>
      <c r="P115" s="4">
        <f t="shared" si="15"/>
        <v>3.4314915262396135</v>
      </c>
    </row>
    <row r="116" spans="1:16" x14ac:dyDescent="0.35">
      <c r="A116" s="2" t="s">
        <v>1320</v>
      </c>
      <c r="B116" s="2">
        <v>2021</v>
      </c>
      <c r="C116" s="7">
        <v>32.248480000000001</v>
      </c>
      <c r="D116" s="5">
        <v>3562.357</v>
      </c>
      <c r="E116" s="16">
        <v>214.98949999999999</v>
      </c>
      <c r="F116" s="15">
        <v>6.4000000000000001E-2</v>
      </c>
      <c r="G116" s="16">
        <f>IFERROR(INDEX('EV Productivity'!$B$9:$B$21,MATCH(B116,'EV Productivity'!$A$9:$A$21,0)),"")</f>
        <v>123.91925000000001</v>
      </c>
      <c r="H116" s="16">
        <f>IFERROR(INDEX('EV Productivity'!$C$9:$C$21,MATCH(B116,'EV Productivity'!$A$9:$A$21,0)),"")</f>
        <v>4317.2039999999997</v>
      </c>
      <c r="I116" s="16">
        <f>IFERROR(INDEX('EV Productivity'!$D$9:$D$21,MATCH(B116,'EV Productivity'!$A$9:$A$21,0)),"")</f>
        <v>375.8981</v>
      </c>
      <c r="J116" s="7">
        <f t="shared" si="16"/>
        <v>32.596432365005768</v>
      </c>
      <c r="K116" s="4">
        <f t="shared" si="11"/>
        <v>3.4842028457277694</v>
      </c>
      <c r="L116" s="7">
        <f t="shared" si="12"/>
        <v>30.695823052473926</v>
      </c>
      <c r="M116" s="5">
        <f t="shared" si="13"/>
        <v>3510.7435299145304</v>
      </c>
      <c r="N116" s="16">
        <f t="shared" si="14"/>
        <v>203.98720256410255</v>
      </c>
      <c r="O116" s="7">
        <f t="shared" si="17"/>
        <v>31.535235904014673</v>
      </c>
      <c r="P116" s="4">
        <f t="shared" si="15"/>
        <v>3.4511055207920793</v>
      </c>
    </row>
    <row r="117" spans="1:16" x14ac:dyDescent="0.35">
      <c r="A117" s="2" t="s">
        <v>1320</v>
      </c>
      <c r="B117" s="2">
        <v>2022</v>
      </c>
      <c r="C117" s="7">
        <v>33.211010000000002</v>
      </c>
      <c r="D117" s="5">
        <v>3596.9929999999999</v>
      </c>
      <c r="E117" s="16">
        <v>223.12690000000001</v>
      </c>
      <c r="F117" s="15">
        <v>9.7000000000000003E-2</v>
      </c>
      <c r="G117" s="16">
        <f>IFERROR(INDEX('EV Productivity'!$B$9:$B$21,MATCH(B117,'EV Productivity'!$A$9:$A$21,0)),"")</f>
        <v>119.25117</v>
      </c>
      <c r="H117" s="16">
        <f>IFERROR(INDEX('EV Productivity'!$C$9:$C$21,MATCH(B117,'EV Productivity'!$A$9:$A$21,0)),"")</f>
        <v>4364.1850000000004</v>
      </c>
      <c r="I117" s="16">
        <f>IFERROR(INDEX('EV Productivity'!$D$9:$D$21,MATCH(B117,'EV Productivity'!$A$9:$A$21,0)),"")</f>
        <v>451.82850000000002</v>
      </c>
      <c r="J117" s="7">
        <f t="shared" si="16"/>
        <v>34.182045351749338</v>
      </c>
      <c r="K117" s="4">
        <f t="shared" si="11"/>
        <v>3.5317005164982769</v>
      </c>
      <c r="L117" s="7">
        <f t="shared" si="12"/>
        <v>30.822176669186049</v>
      </c>
      <c r="M117" s="5">
        <f t="shared" si="13"/>
        <v>3514.5814562569212</v>
      </c>
      <c r="N117" s="16">
        <f t="shared" si="14"/>
        <v>198.5598399778516</v>
      </c>
      <c r="O117" s="7">
        <f t="shared" si="17"/>
        <v>31.265646871623005</v>
      </c>
      <c r="P117" s="4">
        <f t="shared" si="15"/>
        <v>3.4425199507659818</v>
      </c>
    </row>
    <row r="118" spans="1:16" x14ac:dyDescent="0.35">
      <c r="A118" s="2" t="s">
        <v>1320</v>
      </c>
      <c r="B118" s="2">
        <v>2023</v>
      </c>
      <c r="C118" s="7">
        <v>34.133989999999997</v>
      </c>
      <c r="D118" s="5">
        <v>3661.8980000000001</v>
      </c>
      <c r="E118" s="16">
        <v>230.7022</v>
      </c>
      <c r="F118" s="15">
        <v>0.14599999999999999</v>
      </c>
      <c r="G118" s="16">
        <f>IFERROR(INDEX('EV Productivity'!$B$9:$B$21,MATCH(B118,'EV Productivity'!$A$9:$A$21,0)),"")</f>
        <v>120.57422</v>
      </c>
      <c r="H118" s="16">
        <f>IFERROR(INDEX('EV Productivity'!$C$9:$C$21,MATCH(B118,'EV Productivity'!$A$9:$A$21,0)),"")</f>
        <v>4383.7889999999998</v>
      </c>
      <c r="I118" s="16">
        <f>IFERROR(INDEX('EV Productivity'!$D$9:$D$21,MATCH(B118,'EV Productivity'!$A$9:$A$21,0)),"")</f>
        <v>406.87689999999998</v>
      </c>
      <c r="J118" s="7">
        <f t="shared" si="16"/>
        <v>35.856563533096683</v>
      </c>
      <c r="K118" s="4">
        <f t="shared" si="11"/>
        <v>3.579526633498451</v>
      </c>
      <c r="L118" s="7">
        <f t="shared" si="12"/>
        <v>30.407215694506881</v>
      </c>
      <c r="M118" s="5">
        <f t="shared" si="13"/>
        <v>3538.4833793911007</v>
      </c>
      <c r="N118" s="16">
        <f t="shared" si="14"/>
        <v>200.58334028103047</v>
      </c>
      <c r="O118" s="7">
        <f t="shared" si="17"/>
        <v>31.060026288815752</v>
      </c>
      <c r="P118" s="4">
        <f t="shared" si="15"/>
        <v>3.435921664108327</v>
      </c>
    </row>
    <row r="119" spans="1:16" x14ac:dyDescent="0.35">
      <c r="A119" s="2" t="s">
        <v>1320</v>
      </c>
      <c r="B119" s="2">
        <v>2024</v>
      </c>
      <c r="C119" s="7">
        <v>33.487340000000003</v>
      </c>
      <c r="D119" s="5">
        <v>3544.7289999999998</v>
      </c>
      <c r="E119" s="16">
        <v>210.1009</v>
      </c>
      <c r="F119" s="15">
        <v>7.0999999999999994E-2</v>
      </c>
      <c r="G119" s="16">
        <f>IFERROR(INDEX('EV Productivity'!$B$9:$B$21,MATCH(B119,'EV Productivity'!$A$9:$A$21,0)),"")</f>
        <v>117.14232</v>
      </c>
      <c r="H119" s="16">
        <f>IFERROR(INDEX('EV Productivity'!$C$9:$C$21,MATCH(B119,'EV Productivity'!$A$9:$A$21,0)),"")</f>
        <v>4409.7259999999997</v>
      </c>
      <c r="I119" s="16">
        <f>IFERROR(INDEX('EV Productivity'!$D$9:$D$21,MATCH(B119,'EV Productivity'!$A$9:$A$21,0)),"")</f>
        <v>420.45740000000001</v>
      </c>
      <c r="J119" s="7">
        <f t="shared" si="16"/>
        <v>33.487340000000003</v>
      </c>
      <c r="K119" s="4">
        <f t="shared" si="11"/>
        <v>3.5111674569571107</v>
      </c>
      <c r="L119" s="7">
        <f t="shared" si="12"/>
        <v>31.75424486596922</v>
      </c>
      <c r="M119" s="5">
        <f t="shared" si="13"/>
        <v>3478.6205102260492</v>
      </c>
      <c r="N119" s="16">
        <f t="shared" si="14"/>
        <v>194.02413842841764</v>
      </c>
      <c r="O119" s="7">
        <f t="shared" si="17"/>
        <v>31.75424486596922</v>
      </c>
      <c r="P119" s="4">
        <f t="shared" si="15"/>
        <v>3.4580264129680711</v>
      </c>
    </row>
    <row r="120" spans="1:16" x14ac:dyDescent="0.35">
      <c r="A120" s="2" t="s">
        <v>1321</v>
      </c>
      <c r="B120" s="2">
        <v>1975</v>
      </c>
      <c r="C120" s="7">
        <v>11.129289999999999</v>
      </c>
      <c r="D120" s="5">
        <v>4000</v>
      </c>
      <c r="E120" s="16">
        <v>112.77330000000001</v>
      </c>
      <c r="F120" s="15">
        <v>0</v>
      </c>
      <c r="G120" s="16" t="str">
        <f>IFERROR(INDEX('EV Productivity'!$B$9:$B$21,MATCH(B120,'EV Productivity'!$A$9:$A$21,0)),"")</f>
        <v/>
      </c>
      <c r="H120" s="16" t="str">
        <f>IFERROR(INDEX('EV Productivity'!$C$9:$C$21,MATCH(B120,'EV Productivity'!$A$9:$A$21,0)),"")</f>
        <v/>
      </c>
      <c r="I120" s="16" t="str">
        <f>IFERROR(INDEX('EV Productivity'!$D$9:$D$21,MATCH(B120,'EV Productivity'!$A$9:$A$21,0)),"")</f>
        <v/>
      </c>
      <c r="J120" s="7">
        <f t="shared" ref="J120:J151" si="18">C120*(D120/$D$169)^$B$4*(E120/$E$169)^$B$5</f>
        <v>8.3624819810578348</v>
      </c>
      <c r="K120" s="4">
        <f t="shared" si="11"/>
        <v>2.1237552707205256</v>
      </c>
      <c r="L120" s="7">
        <f t="shared" si="12"/>
        <v>11.129289999999999</v>
      </c>
      <c r="M120" s="5">
        <f t="shared" si="13"/>
        <v>4000</v>
      </c>
      <c r="N120" s="16">
        <f t="shared" si="14"/>
        <v>112.77330000000001</v>
      </c>
      <c r="O120" s="7">
        <f t="shared" ref="O120:O151" si="19">L120*(M120/$M$169)^$E$4*(N120/$N$169)^$E$5</f>
        <v>9.3044879548931654</v>
      </c>
      <c r="P120" s="4">
        <f t="shared" si="15"/>
        <v>2.2304968595519226</v>
      </c>
    </row>
    <row r="121" spans="1:16" x14ac:dyDescent="0.35">
      <c r="A121" s="2" t="s">
        <v>1321</v>
      </c>
      <c r="B121" s="2">
        <v>1976</v>
      </c>
      <c r="C121" s="7">
        <v>10.580909999999999</v>
      </c>
      <c r="D121" s="5">
        <v>3986.2370000000001</v>
      </c>
      <c r="E121" s="16">
        <v>123.10639999999999</v>
      </c>
      <c r="F121" s="15">
        <v>0</v>
      </c>
      <c r="G121" s="16" t="str">
        <f>IFERROR(INDEX('EV Productivity'!$B$9:$B$21,MATCH(B121,'EV Productivity'!$A$9:$A$21,0)),"")</f>
        <v/>
      </c>
      <c r="H121" s="16" t="str">
        <f>IFERROR(INDEX('EV Productivity'!$C$9:$C$21,MATCH(B121,'EV Productivity'!$A$9:$A$21,0)),"")</f>
        <v/>
      </c>
      <c r="I121" s="16" t="str">
        <f>IFERROR(INDEX('EV Productivity'!$D$9:$D$21,MATCH(B121,'EV Productivity'!$A$9:$A$21,0)),"")</f>
        <v/>
      </c>
      <c r="J121" s="7">
        <f t="shared" si="18"/>
        <v>8.1989907478163033</v>
      </c>
      <c r="K121" s="4">
        <f t="shared" si="11"/>
        <v>2.1040110671607026</v>
      </c>
      <c r="L121" s="7">
        <f t="shared" si="12"/>
        <v>10.580909999999999</v>
      </c>
      <c r="M121" s="5">
        <f t="shared" si="13"/>
        <v>3986.2370000000001</v>
      </c>
      <c r="N121" s="16">
        <f t="shared" si="14"/>
        <v>123.10639999999999</v>
      </c>
      <c r="O121" s="7">
        <f t="shared" si="19"/>
        <v>9.2189996476100955</v>
      </c>
      <c r="P121" s="4">
        <f t="shared" si="15"/>
        <v>2.2212665335921478</v>
      </c>
    </row>
    <row r="122" spans="1:16" x14ac:dyDescent="0.35">
      <c r="A122" s="2" t="s">
        <v>1321</v>
      </c>
      <c r="B122" s="2">
        <v>1977</v>
      </c>
      <c r="C122" s="7">
        <v>12.16264</v>
      </c>
      <c r="D122" s="5">
        <v>4000</v>
      </c>
      <c r="E122" s="16">
        <v>124.4603</v>
      </c>
      <c r="F122" s="15">
        <v>0</v>
      </c>
      <c r="G122" s="16" t="str">
        <f>IFERROR(INDEX('EV Productivity'!$B$9:$B$21,MATCH(B122,'EV Productivity'!$A$9:$A$21,0)),"")</f>
        <v/>
      </c>
      <c r="H122" s="16" t="str">
        <f>IFERROR(INDEX('EV Productivity'!$C$9:$C$21,MATCH(B122,'EV Productivity'!$A$9:$A$21,0)),"")</f>
        <v/>
      </c>
      <c r="I122" s="16" t="str">
        <f>IFERROR(INDEX('EV Productivity'!$D$9:$D$21,MATCH(B122,'EV Productivity'!$A$9:$A$21,0)),"")</f>
        <v/>
      </c>
      <c r="J122" s="7">
        <f t="shared" si="18"/>
        <v>9.4775359035665812</v>
      </c>
      <c r="K122" s="4">
        <f t="shared" si="11"/>
        <v>2.2489243566962531</v>
      </c>
      <c r="L122" s="7">
        <f t="shared" si="12"/>
        <v>12.16264</v>
      </c>
      <c r="M122" s="5">
        <f t="shared" si="13"/>
        <v>4000</v>
      </c>
      <c r="N122" s="16">
        <f t="shared" si="14"/>
        <v>124.4603</v>
      </c>
      <c r="O122" s="7">
        <f t="shared" si="19"/>
        <v>10.664432196322807</v>
      </c>
      <c r="P122" s="4">
        <f t="shared" si="15"/>
        <v>2.3669141105925462</v>
      </c>
    </row>
    <row r="123" spans="1:16" x14ac:dyDescent="0.35">
      <c r="A123" s="2" t="s">
        <v>1321</v>
      </c>
      <c r="B123" s="2">
        <v>1978</v>
      </c>
      <c r="C123" s="7">
        <v>11.57282</v>
      </c>
      <c r="D123" s="5">
        <v>4000</v>
      </c>
      <c r="E123" s="16">
        <v>126.0851</v>
      </c>
      <c r="F123" s="15">
        <v>0</v>
      </c>
      <c r="G123" s="16" t="str">
        <f>IFERROR(INDEX('EV Productivity'!$B$9:$B$21,MATCH(B123,'EV Productivity'!$A$9:$A$21,0)),"")</f>
        <v/>
      </c>
      <c r="H123" s="16" t="str">
        <f>IFERROR(INDEX('EV Productivity'!$C$9:$C$21,MATCH(B123,'EV Productivity'!$A$9:$A$21,0)),"")</f>
        <v/>
      </c>
      <c r="I123" s="16" t="str">
        <f>IFERROR(INDEX('EV Productivity'!$D$9:$D$21,MATCH(B123,'EV Productivity'!$A$9:$A$21,0)),"")</f>
        <v/>
      </c>
      <c r="J123" s="7">
        <f t="shared" si="18"/>
        <v>9.0611853908531224</v>
      </c>
      <c r="K123" s="4">
        <f t="shared" si="11"/>
        <v>2.203999949338872</v>
      </c>
      <c r="L123" s="7">
        <f t="shared" si="12"/>
        <v>11.57282</v>
      </c>
      <c r="M123" s="5">
        <f t="shared" si="13"/>
        <v>4000</v>
      </c>
      <c r="N123" s="16">
        <f t="shared" si="14"/>
        <v>126.0851</v>
      </c>
      <c r="O123" s="7">
        <f t="shared" si="19"/>
        <v>10.211037362093499</v>
      </c>
      <c r="P123" s="4">
        <f t="shared" si="15"/>
        <v>2.3234692295710646</v>
      </c>
    </row>
    <row r="124" spans="1:16" x14ac:dyDescent="0.35">
      <c r="A124" s="2" t="s">
        <v>1321</v>
      </c>
      <c r="B124" s="2">
        <v>1979</v>
      </c>
      <c r="C124" s="7">
        <v>14.266030000000001</v>
      </c>
      <c r="D124" s="5">
        <v>3270.8589999999999</v>
      </c>
      <c r="E124" s="16">
        <v>98.7179</v>
      </c>
      <c r="F124" s="15">
        <v>0</v>
      </c>
      <c r="G124" s="16" t="str">
        <f>IFERROR(INDEX('EV Productivity'!$B$9:$B$21,MATCH(B124,'EV Productivity'!$A$9:$A$21,0)),"")</f>
        <v/>
      </c>
      <c r="H124" s="16" t="str">
        <f>IFERROR(INDEX('EV Productivity'!$C$9:$C$21,MATCH(B124,'EV Productivity'!$A$9:$A$21,0)),"")</f>
        <v/>
      </c>
      <c r="I124" s="16" t="str">
        <f>IFERROR(INDEX('EV Productivity'!$D$9:$D$21,MATCH(B124,'EV Productivity'!$A$9:$A$21,0)),"")</f>
        <v/>
      </c>
      <c r="J124" s="7">
        <f t="shared" si="18"/>
        <v>9.3170010480948875</v>
      </c>
      <c r="K124" s="4">
        <f t="shared" si="11"/>
        <v>2.2318408009610247</v>
      </c>
      <c r="L124" s="7">
        <f t="shared" si="12"/>
        <v>14.266030000000001</v>
      </c>
      <c r="M124" s="5">
        <f t="shared" si="13"/>
        <v>3270.8589999999999</v>
      </c>
      <c r="N124" s="16">
        <f t="shared" si="14"/>
        <v>98.7179</v>
      </c>
      <c r="O124" s="7">
        <f t="shared" si="19"/>
        <v>10.521000913414275</v>
      </c>
      <c r="P124" s="4">
        <f t="shared" si="15"/>
        <v>2.3533733466443461</v>
      </c>
    </row>
    <row r="125" spans="1:16" x14ac:dyDescent="0.35">
      <c r="A125" s="2" t="s">
        <v>1321</v>
      </c>
      <c r="B125" s="2">
        <v>1980</v>
      </c>
      <c r="C125" s="7">
        <v>14.57638</v>
      </c>
      <c r="D125" s="5">
        <v>4000</v>
      </c>
      <c r="E125" s="16">
        <v>122.19280000000001</v>
      </c>
      <c r="F125" s="15">
        <v>0</v>
      </c>
      <c r="G125" s="16" t="str">
        <f>IFERROR(INDEX('EV Productivity'!$B$9:$B$21,MATCH(B125,'EV Productivity'!$A$9:$A$21,0)),"")</f>
        <v/>
      </c>
      <c r="H125" s="16" t="str">
        <f>IFERROR(INDEX('EV Productivity'!$C$9:$C$21,MATCH(B125,'EV Productivity'!$A$9:$A$21,0)),"")</f>
        <v/>
      </c>
      <c r="I125" s="16" t="str">
        <f>IFERROR(INDEX('EV Productivity'!$D$9:$D$21,MATCH(B125,'EV Productivity'!$A$9:$A$21,0)),"")</f>
        <v/>
      </c>
      <c r="J125" s="7">
        <f t="shared" si="18"/>
        <v>11.281612236871119</v>
      </c>
      <c r="K125" s="4">
        <f t="shared" si="11"/>
        <v>2.4231741646571963</v>
      </c>
      <c r="L125" s="7">
        <f t="shared" si="12"/>
        <v>14.57638</v>
      </c>
      <c r="M125" s="5">
        <f t="shared" si="13"/>
        <v>4000</v>
      </c>
      <c r="N125" s="16">
        <f t="shared" si="14"/>
        <v>122.19280000000001</v>
      </c>
      <c r="O125" s="7">
        <f t="shared" si="19"/>
        <v>12.667840572646233</v>
      </c>
      <c r="P125" s="4">
        <f t="shared" si="15"/>
        <v>2.5390665435519084</v>
      </c>
    </row>
    <row r="126" spans="1:16" x14ac:dyDescent="0.35">
      <c r="A126" s="2" t="s">
        <v>1321</v>
      </c>
      <c r="B126" s="2">
        <v>1981</v>
      </c>
      <c r="C126" s="7">
        <v>14.680249999999999</v>
      </c>
      <c r="D126" s="5">
        <v>4000</v>
      </c>
      <c r="E126" s="16">
        <v>140</v>
      </c>
      <c r="F126" s="15">
        <v>0</v>
      </c>
      <c r="G126" s="16" t="str">
        <f>IFERROR(INDEX('EV Productivity'!$B$9:$B$21,MATCH(B126,'EV Productivity'!$A$9:$A$21,0)),"")</f>
        <v/>
      </c>
      <c r="H126" s="16" t="str">
        <f>IFERROR(INDEX('EV Productivity'!$C$9:$C$21,MATCH(B126,'EV Productivity'!$A$9:$A$21,0)),"")</f>
        <v/>
      </c>
      <c r="I126" s="16" t="str">
        <f>IFERROR(INDEX('EV Productivity'!$D$9:$D$21,MATCH(B126,'EV Productivity'!$A$9:$A$21,0)),"")</f>
        <v/>
      </c>
      <c r="J126" s="7">
        <f t="shared" si="18"/>
        <v>11.94683939583734</v>
      </c>
      <c r="K126" s="4">
        <f t="shared" si="11"/>
        <v>2.4804667576910191</v>
      </c>
      <c r="L126" s="7">
        <f t="shared" si="12"/>
        <v>14.680249999999999</v>
      </c>
      <c r="M126" s="5">
        <f t="shared" si="13"/>
        <v>4000</v>
      </c>
      <c r="N126" s="16">
        <f t="shared" si="14"/>
        <v>140</v>
      </c>
      <c r="O126" s="7">
        <f t="shared" si="19"/>
        <v>13.624607626972118</v>
      </c>
      <c r="P126" s="4">
        <f t="shared" si="15"/>
        <v>2.6118775421142417</v>
      </c>
    </row>
    <row r="127" spans="1:16" x14ac:dyDescent="0.35">
      <c r="A127" s="2" t="s">
        <v>1321</v>
      </c>
      <c r="B127" s="2">
        <v>1982</v>
      </c>
      <c r="C127" s="7">
        <v>19.766970000000001</v>
      </c>
      <c r="D127" s="5">
        <v>2629.9989999999998</v>
      </c>
      <c r="E127" s="16">
        <v>87.813900000000004</v>
      </c>
      <c r="F127" s="15">
        <v>0</v>
      </c>
      <c r="G127" s="16" t="str">
        <f>IFERROR(INDEX('EV Productivity'!$B$9:$B$21,MATCH(B127,'EV Productivity'!$A$9:$A$21,0)),"")</f>
        <v/>
      </c>
      <c r="H127" s="16" t="str">
        <f>IFERROR(INDEX('EV Productivity'!$C$9:$C$21,MATCH(B127,'EV Productivity'!$A$9:$A$21,0)),"")</f>
        <v/>
      </c>
      <c r="I127" s="16" t="str">
        <f>IFERROR(INDEX('EV Productivity'!$D$9:$D$21,MATCH(B127,'EV Productivity'!$A$9:$A$21,0)),"")</f>
        <v/>
      </c>
      <c r="J127" s="7">
        <f t="shared" si="18"/>
        <v>11.20171069977863</v>
      </c>
      <c r="K127" s="4">
        <f t="shared" si="11"/>
        <v>2.4160665076889853</v>
      </c>
      <c r="L127" s="7">
        <f t="shared" si="12"/>
        <v>19.766970000000001</v>
      </c>
      <c r="M127" s="5">
        <f t="shared" si="13"/>
        <v>2629.9989999999998</v>
      </c>
      <c r="N127" s="16">
        <f t="shared" si="14"/>
        <v>87.813900000000004</v>
      </c>
      <c r="O127" s="7">
        <f t="shared" si="19"/>
        <v>12.893576426629016</v>
      </c>
      <c r="P127" s="4">
        <f t="shared" si="15"/>
        <v>2.5567292359245366</v>
      </c>
    </row>
    <row r="128" spans="1:16" x14ac:dyDescent="0.35">
      <c r="A128" s="2" t="s">
        <v>1321</v>
      </c>
      <c r="B128" s="2">
        <v>1983</v>
      </c>
      <c r="C128" s="7">
        <v>20.6873</v>
      </c>
      <c r="D128" s="5">
        <v>3124.431</v>
      </c>
      <c r="E128" s="16">
        <v>100.7415</v>
      </c>
      <c r="F128" s="15">
        <v>0</v>
      </c>
      <c r="G128" s="16" t="str">
        <f>IFERROR(INDEX('EV Productivity'!$B$9:$B$21,MATCH(B128,'EV Productivity'!$A$9:$A$21,0)),"")</f>
        <v/>
      </c>
      <c r="H128" s="16" t="str">
        <f>IFERROR(INDEX('EV Productivity'!$C$9:$C$21,MATCH(B128,'EV Productivity'!$A$9:$A$21,0)),"")</f>
        <v/>
      </c>
      <c r="I128" s="16" t="str">
        <f>IFERROR(INDEX('EV Productivity'!$D$9:$D$21,MATCH(B128,'EV Productivity'!$A$9:$A$21,0)),"")</f>
        <v/>
      </c>
      <c r="J128" s="7">
        <f t="shared" si="18"/>
        <v>13.332861175685892</v>
      </c>
      <c r="K128" s="4">
        <f t="shared" si="11"/>
        <v>2.5902317529952552</v>
      </c>
      <c r="L128" s="7">
        <f t="shared" si="12"/>
        <v>20.6873</v>
      </c>
      <c r="M128" s="5">
        <f t="shared" si="13"/>
        <v>3124.431</v>
      </c>
      <c r="N128" s="16">
        <f t="shared" si="14"/>
        <v>100.7415</v>
      </c>
      <c r="O128" s="7">
        <f t="shared" si="19"/>
        <v>15.194006026142205</v>
      </c>
      <c r="P128" s="4">
        <f t="shared" si="15"/>
        <v>2.720901009694233</v>
      </c>
    </row>
    <row r="129" spans="1:16" x14ac:dyDescent="0.35">
      <c r="A129" s="2" t="s">
        <v>1321</v>
      </c>
      <c r="B129" s="2">
        <v>1984</v>
      </c>
      <c r="C129" s="7">
        <v>19.289529999999999</v>
      </c>
      <c r="D129" s="5">
        <v>3486.502</v>
      </c>
      <c r="E129" s="16">
        <v>108.7714</v>
      </c>
      <c r="F129" s="15">
        <v>0</v>
      </c>
      <c r="G129" s="16" t="str">
        <f>IFERROR(INDEX('EV Productivity'!$B$9:$B$21,MATCH(B129,'EV Productivity'!$A$9:$A$21,0)),"")</f>
        <v/>
      </c>
      <c r="H129" s="16" t="str">
        <f>IFERROR(INDEX('EV Productivity'!$C$9:$C$21,MATCH(B129,'EV Productivity'!$A$9:$A$21,0)),"")</f>
        <v/>
      </c>
      <c r="I129" s="16" t="str">
        <f>IFERROR(INDEX('EV Productivity'!$D$9:$D$21,MATCH(B129,'EV Productivity'!$A$9:$A$21,0)),"")</f>
        <v/>
      </c>
      <c r="J129" s="7">
        <f t="shared" si="18"/>
        <v>13.4396169054664</v>
      </c>
      <c r="K129" s="4">
        <f t="shared" si="11"/>
        <v>2.5982068306311956</v>
      </c>
      <c r="L129" s="7">
        <f t="shared" si="12"/>
        <v>19.289529999999999</v>
      </c>
      <c r="M129" s="5">
        <f t="shared" si="13"/>
        <v>3486.502</v>
      </c>
      <c r="N129" s="16">
        <f t="shared" si="14"/>
        <v>108.7714</v>
      </c>
      <c r="O129" s="7">
        <f t="shared" si="19"/>
        <v>15.199950506478226</v>
      </c>
      <c r="P129" s="4">
        <f t="shared" si="15"/>
        <v>2.7212921716941811</v>
      </c>
    </row>
    <row r="130" spans="1:16" x14ac:dyDescent="0.35">
      <c r="A130" s="2" t="s">
        <v>1321</v>
      </c>
      <c r="B130" s="2">
        <v>1985</v>
      </c>
      <c r="C130" s="7">
        <v>20.08032</v>
      </c>
      <c r="D130" s="5">
        <v>3469.2420000000002</v>
      </c>
      <c r="E130" s="16">
        <v>108.8355</v>
      </c>
      <c r="F130" s="15">
        <v>0</v>
      </c>
      <c r="G130" s="16" t="str">
        <f>IFERROR(INDEX('EV Productivity'!$B$9:$B$21,MATCH(B130,'EV Productivity'!$A$9:$A$21,0)),"")</f>
        <v/>
      </c>
      <c r="H130" s="16" t="str">
        <f>IFERROR(INDEX('EV Productivity'!$C$9:$C$21,MATCH(B130,'EV Productivity'!$A$9:$A$21,0)),"")</f>
        <v/>
      </c>
      <c r="I130" s="16" t="str">
        <f>IFERROR(INDEX('EV Productivity'!$D$9:$D$21,MATCH(B130,'EV Productivity'!$A$9:$A$21,0)),"")</f>
        <v/>
      </c>
      <c r="J130" s="7">
        <f t="shared" si="18"/>
        <v>13.962221895338256</v>
      </c>
      <c r="K130" s="4">
        <f t="shared" si="11"/>
        <v>2.6363552462265512</v>
      </c>
      <c r="L130" s="7">
        <f t="shared" si="12"/>
        <v>20.08032</v>
      </c>
      <c r="M130" s="5">
        <f t="shared" si="13"/>
        <v>3469.2420000000002</v>
      </c>
      <c r="N130" s="16">
        <f t="shared" si="14"/>
        <v>108.8355</v>
      </c>
      <c r="O130" s="7">
        <f t="shared" si="19"/>
        <v>15.80374613260129</v>
      </c>
      <c r="P130" s="4">
        <f t="shared" si="15"/>
        <v>2.7602470089299511</v>
      </c>
    </row>
    <row r="131" spans="1:16" x14ac:dyDescent="0.35">
      <c r="A131" s="2" t="s">
        <v>1321</v>
      </c>
      <c r="B131" s="2">
        <v>1986</v>
      </c>
      <c r="C131" s="7">
        <v>18.924659999999999</v>
      </c>
      <c r="D131" s="5">
        <v>3479.4870000000001</v>
      </c>
      <c r="E131" s="16">
        <v>121.0844</v>
      </c>
      <c r="F131" s="15">
        <v>0</v>
      </c>
      <c r="G131" s="16" t="str">
        <f>IFERROR(INDEX('EV Productivity'!$B$9:$B$21,MATCH(B131,'EV Productivity'!$A$9:$A$21,0)),"")</f>
        <v/>
      </c>
      <c r="H131" s="16" t="str">
        <f>IFERROR(INDEX('EV Productivity'!$C$9:$C$21,MATCH(B131,'EV Productivity'!$A$9:$A$21,0)),"")</f>
        <v/>
      </c>
      <c r="I131" s="16" t="str">
        <f>IFERROR(INDEX('EV Productivity'!$D$9:$D$21,MATCH(B131,'EV Productivity'!$A$9:$A$21,0)),"")</f>
        <v/>
      </c>
      <c r="J131" s="7">
        <f t="shared" si="18"/>
        <v>13.705040882297299</v>
      </c>
      <c r="K131" s="4">
        <f t="shared" si="11"/>
        <v>2.6177637127708979</v>
      </c>
      <c r="L131" s="7">
        <f t="shared" si="12"/>
        <v>18.924659999999999</v>
      </c>
      <c r="M131" s="5">
        <f t="shared" si="13"/>
        <v>3479.4870000000001</v>
      </c>
      <c r="N131" s="16">
        <f t="shared" si="14"/>
        <v>121.0844</v>
      </c>
      <c r="O131" s="7">
        <f t="shared" si="19"/>
        <v>15.695623225029232</v>
      </c>
      <c r="P131" s="4">
        <f t="shared" si="15"/>
        <v>2.7533818980133109</v>
      </c>
    </row>
    <row r="132" spans="1:16" x14ac:dyDescent="0.35">
      <c r="A132" s="2" t="s">
        <v>1321</v>
      </c>
      <c r="B132" s="2">
        <v>1987</v>
      </c>
      <c r="C132" s="7">
        <v>19.424710000000001</v>
      </c>
      <c r="D132" s="5">
        <v>3491.7820000000002</v>
      </c>
      <c r="E132" s="16">
        <v>130.5429</v>
      </c>
      <c r="F132" s="15">
        <v>0</v>
      </c>
      <c r="G132" s="16" t="str">
        <f>IFERROR(INDEX('EV Productivity'!$B$9:$B$21,MATCH(B132,'EV Productivity'!$A$9:$A$21,0)),"")</f>
        <v/>
      </c>
      <c r="H132" s="16" t="str">
        <f>IFERROR(INDEX('EV Productivity'!$C$9:$C$21,MATCH(B132,'EV Productivity'!$A$9:$A$21,0)),"")</f>
        <v/>
      </c>
      <c r="I132" s="16" t="str">
        <f>IFERROR(INDEX('EV Productivity'!$D$9:$D$21,MATCH(B132,'EV Productivity'!$A$9:$A$21,0)),"")</f>
        <v/>
      </c>
      <c r="J132" s="7">
        <f t="shared" si="18"/>
        <v>14.486113030001185</v>
      </c>
      <c r="K132" s="4">
        <f t="shared" si="11"/>
        <v>2.6731904684488361</v>
      </c>
      <c r="L132" s="7">
        <f t="shared" si="12"/>
        <v>19.424710000000001</v>
      </c>
      <c r="M132" s="5">
        <f t="shared" si="13"/>
        <v>3491.7820000000002</v>
      </c>
      <c r="N132" s="16">
        <f t="shared" si="14"/>
        <v>130.5429</v>
      </c>
      <c r="O132" s="7">
        <f t="shared" si="19"/>
        <v>16.724303411890673</v>
      </c>
      <c r="P132" s="4">
        <f t="shared" si="15"/>
        <v>2.8168629556336637</v>
      </c>
    </row>
    <row r="133" spans="1:16" x14ac:dyDescent="0.35">
      <c r="A133" s="2" t="s">
        <v>1321</v>
      </c>
      <c r="B133" s="2">
        <v>1988</v>
      </c>
      <c r="C133" s="7">
        <v>19.24756</v>
      </c>
      <c r="D133" s="5">
        <v>3494.7669999999998</v>
      </c>
      <c r="E133" s="16">
        <v>141.56639999999999</v>
      </c>
      <c r="F133" s="15">
        <v>0</v>
      </c>
      <c r="G133" s="16" t="str">
        <f>IFERROR(INDEX('EV Productivity'!$B$9:$B$21,MATCH(B133,'EV Productivity'!$A$9:$A$21,0)),"")</f>
        <v/>
      </c>
      <c r="H133" s="16" t="str">
        <f>IFERROR(INDEX('EV Productivity'!$C$9:$C$21,MATCH(B133,'EV Productivity'!$A$9:$A$21,0)),"")</f>
        <v/>
      </c>
      <c r="I133" s="16" t="str">
        <f>IFERROR(INDEX('EV Productivity'!$D$9:$D$21,MATCH(B133,'EV Productivity'!$A$9:$A$21,0)),"")</f>
        <v/>
      </c>
      <c r="J133" s="7">
        <f t="shared" si="18"/>
        <v>14.795525213028069</v>
      </c>
      <c r="K133" s="4">
        <f t="shared" si="11"/>
        <v>2.6943247845818741</v>
      </c>
      <c r="L133" s="7">
        <f t="shared" si="12"/>
        <v>19.24756</v>
      </c>
      <c r="M133" s="5">
        <f t="shared" si="13"/>
        <v>3494.7669999999998</v>
      </c>
      <c r="N133" s="16">
        <f t="shared" si="14"/>
        <v>141.56639999999999</v>
      </c>
      <c r="O133" s="7">
        <f t="shared" si="19"/>
        <v>17.238018746481604</v>
      </c>
      <c r="P133" s="4">
        <f t="shared" si="15"/>
        <v>2.8471173367337008</v>
      </c>
    </row>
    <row r="134" spans="1:16" x14ac:dyDescent="0.35">
      <c r="A134" s="2" t="s">
        <v>1321</v>
      </c>
      <c r="B134" s="2">
        <v>1989</v>
      </c>
      <c r="C134" s="7">
        <v>19.11214</v>
      </c>
      <c r="D134" s="5">
        <v>3497.2269999999999</v>
      </c>
      <c r="E134" s="16">
        <v>147.6344</v>
      </c>
      <c r="F134" s="15">
        <v>0</v>
      </c>
      <c r="G134" s="16" t="str">
        <f>IFERROR(INDEX('EV Productivity'!$B$9:$B$21,MATCH(B134,'EV Productivity'!$A$9:$A$21,0)),"")</f>
        <v/>
      </c>
      <c r="H134" s="16" t="str">
        <f>IFERROR(INDEX('EV Productivity'!$C$9:$C$21,MATCH(B134,'EV Productivity'!$A$9:$A$21,0)),"")</f>
        <v/>
      </c>
      <c r="I134" s="16" t="str">
        <f>IFERROR(INDEX('EV Productivity'!$D$9:$D$21,MATCH(B134,'EV Productivity'!$A$9:$A$21,0)),"")</f>
        <v/>
      </c>
      <c r="J134" s="7">
        <f t="shared" si="18"/>
        <v>14.925443478140188</v>
      </c>
      <c r="K134" s="4">
        <f t="shared" si="11"/>
        <v>2.7030673726154575</v>
      </c>
      <c r="L134" s="7">
        <f t="shared" si="12"/>
        <v>19.11214</v>
      </c>
      <c r="M134" s="5">
        <f t="shared" si="13"/>
        <v>3497.2269999999999</v>
      </c>
      <c r="N134" s="16">
        <f t="shared" si="14"/>
        <v>147.6344</v>
      </c>
      <c r="O134" s="7">
        <f t="shared" si="19"/>
        <v>17.47100516780581</v>
      </c>
      <c r="P134" s="4">
        <f t="shared" si="15"/>
        <v>2.8605426592856249</v>
      </c>
    </row>
    <row r="135" spans="1:16" x14ac:dyDescent="0.35">
      <c r="A135" s="2" t="s">
        <v>1321</v>
      </c>
      <c r="B135" s="2">
        <v>1990</v>
      </c>
      <c r="C135" s="7">
        <v>18.845289999999999</v>
      </c>
      <c r="D135" s="5">
        <v>3518.0940000000001</v>
      </c>
      <c r="E135" s="16">
        <v>145.81979999999999</v>
      </c>
      <c r="F135" s="15">
        <v>0</v>
      </c>
      <c r="G135" s="16" t="str">
        <f>IFERROR(INDEX('EV Productivity'!$B$9:$B$21,MATCH(B135,'EV Productivity'!$A$9:$A$21,0)),"")</f>
        <v/>
      </c>
      <c r="H135" s="16" t="str">
        <f>IFERROR(INDEX('EV Productivity'!$C$9:$C$21,MATCH(B135,'EV Productivity'!$A$9:$A$21,0)),"")</f>
        <v/>
      </c>
      <c r="I135" s="16" t="str">
        <f>IFERROR(INDEX('EV Productivity'!$D$9:$D$21,MATCH(B135,'EV Productivity'!$A$9:$A$21,0)),"")</f>
        <v/>
      </c>
      <c r="J135" s="7">
        <f t="shared" si="18"/>
        <v>14.689558973516926</v>
      </c>
      <c r="K135" s="4">
        <f t="shared" si="11"/>
        <v>2.6871369675102579</v>
      </c>
      <c r="L135" s="7">
        <f t="shared" si="12"/>
        <v>18.845289999999999</v>
      </c>
      <c r="M135" s="5">
        <f t="shared" si="13"/>
        <v>3518.0940000000001</v>
      </c>
      <c r="N135" s="16">
        <f t="shared" si="14"/>
        <v>145.81979999999999</v>
      </c>
      <c r="O135" s="7">
        <f t="shared" si="19"/>
        <v>17.155441208018196</v>
      </c>
      <c r="P135" s="4">
        <f t="shared" si="15"/>
        <v>2.8423153948965161</v>
      </c>
    </row>
    <row r="136" spans="1:16" x14ac:dyDescent="0.35">
      <c r="A136" s="2" t="s">
        <v>1321</v>
      </c>
      <c r="B136" s="2">
        <v>1991</v>
      </c>
      <c r="C136" s="7">
        <v>18.208490000000001</v>
      </c>
      <c r="D136" s="5">
        <v>3732.5309999999999</v>
      </c>
      <c r="E136" s="16">
        <v>144.61750000000001</v>
      </c>
      <c r="F136" s="15">
        <v>0</v>
      </c>
      <c r="G136" s="16" t="str">
        <f>IFERROR(INDEX('EV Productivity'!$B$9:$B$21,MATCH(B136,'EV Productivity'!$A$9:$A$21,0)),"")</f>
        <v/>
      </c>
      <c r="H136" s="16" t="str">
        <f>IFERROR(INDEX('EV Productivity'!$C$9:$C$21,MATCH(B136,'EV Productivity'!$A$9:$A$21,0)),"")</f>
        <v/>
      </c>
      <c r="I136" s="16" t="str">
        <f>IFERROR(INDEX('EV Productivity'!$D$9:$D$21,MATCH(B136,'EV Productivity'!$A$9:$A$21,0)),"")</f>
        <v/>
      </c>
      <c r="J136" s="7">
        <f t="shared" si="18"/>
        <v>14.534030878166226</v>
      </c>
      <c r="K136" s="4">
        <f t="shared" si="11"/>
        <v>2.6764928567391961</v>
      </c>
      <c r="L136" s="7">
        <f t="shared" si="12"/>
        <v>18.208490000000001</v>
      </c>
      <c r="M136" s="5">
        <f t="shared" si="13"/>
        <v>3732.5309999999999</v>
      </c>
      <c r="N136" s="16">
        <f t="shared" si="14"/>
        <v>144.61750000000001</v>
      </c>
      <c r="O136" s="7">
        <f t="shared" si="19"/>
        <v>16.808989312033937</v>
      </c>
      <c r="P136" s="4">
        <f t="shared" si="15"/>
        <v>2.8219138214032315</v>
      </c>
    </row>
    <row r="137" spans="1:16" x14ac:dyDescent="0.35">
      <c r="A137" s="2" t="s">
        <v>1321</v>
      </c>
      <c r="B137" s="2">
        <v>1992</v>
      </c>
      <c r="C137" s="7">
        <v>17.843489999999999</v>
      </c>
      <c r="D137" s="5">
        <v>3712.5070000000001</v>
      </c>
      <c r="E137" s="16">
        <v>152.61199999999999</v>
      </c>
      <c r="F137" s="15">
        <v>0</v>
      </c>
      <c r="G137" s="16" t="str">
        <f>IFERROR(INDEX('EV Productivity'!$B$9:$B$21,MATCH(B137,'EV Productivity'!$A$9:$A$21,0)),"")</f>
        <v/>
      </c>
      <c r="H137" s="16" t="str">
        <f>IFERROR(INDEX('EV Productivity'!$C$9:$C$21,MATCH(B137,'EV Productivity'!$A$9:$A$21,0)),"")</f>
        <v/>
      </c>
      <c r="I137" s="16" t="str">
        <f>IFERROR(INDEX('EV Productivity'!$D$9:$D$21,MATCH(B137,'EV Productivity'!$A$9:$A$21,0)),"")</f>
        <v/>
      </c>
      <c r="J137" s="7">
        <f t="shared" si="18"/>
        <v>14.492915866106609</v>
      </c>
      <c r="K137" s="4">
        <f t="shared" si="11"/>
        <v>2.6736599690835727</v>
      </c>
      <c r="L137" s="7">
        <f t="shared" si="12"/>
        <v>17.843489999999999</v>
      </c>
      <c r="M137" s="5">
        <f t="shared" si="13"/>
        <v>3712.5070000000001</v>
      </c>
      <c r="N137" s="16">
        <f t="shared" si="14"/>
        <v>152.61199999999999</v>
      </c>
      <c r="O137" s="7">
        <f t="shared" si="19"/>
        <v>16.878150094934238</v>
      </c>
      <c r="P137" s="4">
        <f t="shared" si="15"/>
        <v>2.8260198916298886</v>
      </c>
    </row>
    <row r="138" spans="1:16" x14ac:dyDescent="0.35">
      <c r="A138" s="2" t="s">
        <v>1321</v>
      </c>
      <c r="B138" s="2">
        <v>1993</v>
      </c>
      <c r="C138" s="7">
        <v>17.029199999999999</v>
      </c>
      <c r="D138" s="5">
        <v>3847.5329999999999</v>
      </c>
      <c r="E138" s="16">
        <v>178.74250000000001</v>
      </c>
      <c r="F138" s="15">
        <v>0</v>
      </c>
      <c r="G138" s="16" t="str">
        <f>IFERROR(INDEX('EV Productivity'!$B$9:$B$21,MATCH(B138,'EV Productivity'!$A$9:$A$21,0)),"")</f>
        <v/>
      </c>
      <c r="H138" s="16" t="str">
        <f>IFERROR(INDEX('EV Productivity'!$C$9:$C$21,MATCH(B138,'EV Productivity'!$A$9:$A$21,0)),"")</f>
        <v/>
      </c>
      <c r="I138" s="16" t="str">
        <f>IFERROR(INDEX('EV Productivity'!$D$9:$D$21,MATCH(B138,'EV Productivity'!$A$9:$A$21,0)),"")</f>
        <v/>
      </c>
      <c r="J138" s="7">
        <f t="shared" si="18"/>
        <v>14.901089073159707</v>
      </c>
      <c r="K138" s="4">
        <f t="shared" si="11"/>
        <v>2.7014343024386815</v>
      </c>
      <c r="L138" s="7">
        <f t="shared" si="12"/>
        <v>17.029199999999999</v>
      </c>
      <c r="M138" s="5">
        <f t="shared" si="13"/>
        <v>3847.5329999999999</v>
      </c>
      <c r="N138" s="16">
        <f t="shared" si="14"/>
        <v>178.74250000000001</v>
      </c>
      <c r="O138" s="7">
        <f t="shared" si="19"/>
        <v>17.575423115323556</v>
      </c>
      <c r="P138" s="4">
        <f t="shared" si="15"/>
        <v>2.866501512247535</v>
      </c>
    </row>
    <row r="139" spans="1:16" x14ac:dyDescent="0.35">
      <c r="A139" s="2" t="s">
        <v>1321</v>
      </c>
      <c r="B139" s="2">
        <v>1994</v>
      </c>
      <c r="C139" s="7">
        <v>18.03998</v>
      </c>
      <c r="D139" s="5">
        <v>3735.241</v>
      </c>
      <c r="E139" s="16">
        <v>163.1584</v>
      </c>
      <c r="F139" s="15">
        <v>0</v>
      </c>
      <c r="G139" s="16" t="str">
        <f>IFERROR(INDEX('EV Productivity'!$B$9:$B$21,MATCH(B139,'EV Productivity'!$A$9:$A$21,0)),"")</f>
        <v/>
      </c>
      <c r="H139" s="16" t="str">
        <f>IFERROR(INDEX('EV Productivity'!$C$9:$C$21,MATCH(B139,'EV Productivity'!$A$9:$A$21,0)),"")</f>
        <v/>
      </c>
      <c r="I139" s="16" t="str">
        <f>IFERROR(INDEX('EV Productivity'!$D$9:$D$21,MATCH(B139,'EV Productivity'!$A$9:$A$21,0)),"")</f>
        <v/>
      </c>
      <c r="J139" s="7">
        <f t="shared" si="18"/>
        <v>15.059804517683165</v>
      </c>
      <c r="K139" s="4">
        <f t="shared" si="11"/>
        <v>2.712029242053982</v>
      </c>
      <c r="L139" s="7">
        <f t="shared" si="12"/>
        <v>18.03998</v>
      </c>
      <c r="M139" s="5">
        <f t="shared" si="13"/>
        <v>3735.241</v>
      </c>
      <c r="N139" s="16">
        <f t="shared" si="14"/>
        <v>163.1584</v>
      </c>
      <c r="O139" s="7">
        <f t="shared" si="19"/>
        <v>17.656470636544736</v>
      </c>
      <c r="P139" s="4">
        <f t="shared" si="15"/>
        <v>2.8711023244977194</v>
      </c>
    </row>
    <row r="140" spans="1:16" x14ac:dyDescent="0.35">
      <c r="A140" s="2" t="s">
        <v>1321</v>
      </c>
      <c r="B140" s="2">
        <v>1995</v>
      </c>
      <c r="C140" s="7">
        <v>17.811800000000002</v>
      </c>
      <c r="D140" s="5">
        <v>3763.3670000000002</v>
      </c>
      <c r="E140" s="16">
        <v>165.2253</v>
      </c>
      <c r="F140" s="15">
        <v>0</v>
      </c>
      <c r="G140" s="16" t="str">
        <f>IFERROR(INDEX('EV Productivity'!$B$9:$B$21,MATCH(B140,'EV Productivity'!$A$9:$A$21,0)),"")</f>
        <v/>
      </c>
      <c r="H140" s="16" t="str">
        <f>IFERROR(INDEX('EV Productivity'!$C$9:$C$21,MATCH(B140,'EV Productivity'!$A$9:$A$21,0)),"")</f>
        <v/>
      </c>
      <c r="I140" s="16" t="str">
        <f>IFERROR(INDEX('EV Productivity'!$D$9:$D$21,MATCH(B140,'EV Productivity'!$A$9:$A$21,0)),"")</f>
        <v/>
      </c>
      <c r="J140" s="7">
        <f t="shared" si="18"/>
        <v>14.989358624575841</v>
      </c>
      <c r="K140" s="4">
        <f t="shared" si="11"/>
        <v>2.70734052431292</v>
      </c>
      <c r="L140" s="7">
        <f t="shared" si="12"/>
        <v>17.811800000000002</v>
      </c>
      <c r="M140" s="5">
        <f t="shared" si="13"/>
        <v>3763.3670000000002</v>
      </c>
      <c r="N140" s="16">
        <f t="shared" si="14"/>
        <v>165.2253</v>
      </c>
      <c r="O140" s="7">
        <f t="shared" si="19"/>
        <v>17.579477891859913</v>
      </c>
      <c r="P140" s="4">
        <f t="shared" si="15"/>
        <v>2.8667321928319298</v>
      </c>
    </row>
    <row r="141" spans="1:16" x14ac:dyDescent="0.35">
      <c r="A141" s="2" t="s">
        <v>1321</v>
      </c>
      <c r="B141" s="2">
        <v>1996</v>
      </c>
      <c r="C141" s="7">
        <v>18.431609999999999</v>
      </c>
      <c r="D141" s="5">
        <v>3709.7910000000002</v>
      </c>
      <c r="E141" s="16">
        <v>166.75380000000001</v>
      </c>
      <c r="F141" s="15">
        <v>0</v>
      </c>
      <c r="G141" s="16" t="str">
        <f>IFERROR(INDEX('EV Productivity'!$B$9:$B$21,MATCH(B141,'EV Productivity'!$A$9:$A$21,0)),"")</f>
        <v/>
      </c>
      <c r="H141" s="16" t="str">
        <f>IFERROR(INDEX('EV Productivity'!$C$9:$C$21,MATCH(B141,'EV Productivity'!$A$9:$A$21,0)),"")</f>
        <v/>
      </c>
      <c r="I141" s="16" t="str">
        <f>IFERROR(INDEX('EV Productivity'!$D$9:$D$21,MATCH(B141,'EV Productivity'!$A$9:$A$21,0)),"")</f>
        <v/>
      </c>
      <c r="J141" s="7">
        <f t="shared" si="18"/>
        <v>15.463041121291019</v>
      </c>
      <c r="K141" s="4">
        <f t="shared" si="11"/>
        <v>2.738452732824364</v>
      </c>
      <c r="L141" s="7">
        <f t="shared" si="12"/>
        <v>18.431609999999999</v>
      </c>
      <c r="M141" s="5">
        <f t="shared" si="13"/>
        <v>3709.7910000000002</v>
      </c>
      <c r="N141" s="16">
        <f t="shared" si="14"/>
        <v>166.75380000000001</v>
      </c>
      <c r="O141" s="7">
        <f t="shared" si="19"/>
        <v>18.192884504894614</v>
      </c>
      <c r="P141" s="4">
        <f t="shared" si="15"/>
        <v>2.9010305563679406</v>
      </c>
    </row>
    <row r="142" spans="1:16" x14ac:dyDescent="0.35">
      <c r="A142" s="2" t="s">
        <v>1321</v>
      </c>
      <c r="B142" s="2">
        <v>1997</v>
      </c>
      <c r="C142" s="7">
        <v>19.234960000000001</v>
      </c>
      <c r="D142" s="5">
        <v>3549.4580000000001</v>
      </c>
      <c r="E142" s="16">
        <v>159.34039999999999</v>
      </c>
      <c r="F142" s="15">
        <v>0</v>
      </c>
      <c r="G142" s="16" t="str">
        <f>IFERROR(INDEX('EV Productivity'!$B$9:$B$21,MATCH(B142,'EV Productivity'!$A$9:$A$21,0)),"")</f>
        <v/>
      </c>
      <c r="H142" s="16" t="str">
        <f>IFERROR(INDEX('EV Productivity'!$C$9:$C$21,MATCH(B142,'EV Productivity'!$A$9:$A$21,0)),"")</f>
        <v/>
      </c>
      <c r="I142" s="16" t="str">
        <f>IFERROR(INDEX('EV Productivity'!$D$9:$D$21,MATCH(B142,'EV Productivity'!$A$9:$A$21,0)),"")</f>
        <v/>
      </c>
      <c r="J142" s="7">
        <f t="shared" si="18"/>
        <v>15.554284424208431</v>
      </c>
      <c r="K142" s="4">
        <f t="shared" si="11"/>
        <v>2.7443361263475836</v>
      </c>
      <c r="L142" s="7">
        <f t="shared" si="12"/>
        <v>19.234960000000001</v>
      </c>
      <c r="M142" s="5">
        <f t="shared" si="13"/>
        <v>3549.4580000000001</v>
      </c>
      <c r="N142" s="16">
        <f t="shared" si="14"/>
        <v>159.34039999999999</v>
      </c>
      <c r="O142" s="7">
        <f t="shared" si="19"/>
        <v>18.325752088374422</v>
      </c>
      <c r="P142" s="4">
        <f t="shared" si="15"/>
        <v>2.9083072885880696</v>
      </c>
    </row>
    <row r="143" spans="1:16" x14ac:dyDescent="0.35">
      <c r="A143" s="2" t="s">
        <v>1321</v>
      </c>
      <c r="B143" s="2">
        <v>1998</v>
      </c>
      <c r="C143" s="7">
        <v>18.239429999999999</v>
      </c>
      <c r="D143" s="5">
        <v>3824.049</v>
      </c>
      <c r="E143" s="16">
        <v>168.4785</v>
      </c>
      <c r="F143" s="15">
        <v>0</v>
      </c>
      <c r="G143" s="16" t="str">
        <f>IFERROR(INDEX('EV Productivity'!$B$9:$B$21,MATCH(B143,'EV Productivity'!$A$9:$A$21,0)),"")</f>
        <v/>
      </c>
      <c r="H143" s="16" t="str">
        <f>IFERROR(INDEX('EV Productivity'!$C$9:$C$21,MATCH(B143,'EV Productivity'!$A$9:$A$21,0)),"")</f>
        <v/>
      </c>
      <c r="I143" s="16" t="str">
        <f>IFERROR(INDEX('EV Productivity'!$D$9:$D$21,MATCH(B143,'EV Productivity'!$A$9:$A$21,0)),"")</f>
        <v/>
      </c>
      <c r="J143" s="7">
        <f t="shared" si="18"/>
        <v>15.572402096639689</v>
      </c>
      <c r="K143" s="4">
        <f t="shared" si="11"/>
        <v>2.7455002511872251</v>
      </c>
      <c r="L143" s="7">
        <f t="shared" si="12"/>
        <v>18.239429999999999</v>
      </c>
      <c r="M143" s="5">
        <f t="shared" si="13"/>
        <v>3824.049</v>
      </c>
      <c r="N143" s="16">
        <f t="shared" si="14"/>
        <v>168.4785</v>
      </c>
      <c r="O143" s="7">
        <f t="shared" si="19"/>
        <v>18.260376393512814</v>
      </c>
      <c r="P143" s="4">
        <f t="shared" si="15"/>
        <v>2.9047334879616509</v>
      </c>
    </row>
    <row r="144" spans="1:16" x14ac:dyDescent="0.35">
      <c r="A144" s="2" t="s">
        <v>1321</v>
      </c>
      <c r="B144" s="2">
        <v>1999</v>
      </c>
      <c r="C144" s="7">
        <v>18.510020000000001</v>
      </c>
      <c r="D144" s="5">
        <v>3831.203</v>
      </c>
      <c r="E144" s="16">
        <v>169.63939999999999</v>
      </c>
      <c r="F144" s="15">
        <v>0</v>
      </c>
      <c r="G144" s="16" t="str">
        <f>IFERROR(INDEX('EV Productivity'!$B$9:$B$21,MATCH(B144,'EV Productivity'!$A$9:$A$21,0)),"")</f>
        <v/>
      </c>
      <c r="H144" s="16" t="str">
        <f>IFERROR(INDEX('EV Productivity'!$C$9:$C$21,MATCH(B144,'EV Productivity'!$A$9:$A$21,0)),"")</f>
        <v/>
      </c>
      <c r="I144" s="16" t="str">
        <f>IFERROR(INDEX('EV Productivity'!$D$9:$D$21,MATCH(B144,'EV Productivity'!$A$9:$A$21,0)),"")</f>
        <v/>
      </c>
      <c r="J144" s="7">
        <f t="shared" si="18"/>
        <v>15.856925472203187</v>
      </c>
      <c r="K144" s="4">
        <f t="shared" si="11"/>
        <v>2.763606343202893</v>
      </c>
      <c r="L144" s="7">
        <f t="shared" si="12"/>
        <v>18.510020000000001</v>
      </c>
      <c r="M144" s="5">
        <f t="shared" si="13"/>
        <v>3831.203</v>
      </c>
      <c r="N144" s="16">
        <f t="shared" si="14"/>
        <v>169.63939999999999</v>
      </c>
      <c r="O144" s="7">
        <f t="shared" si="19"/>
        <v>18.603402407774595</v>
      </c>
      <c r="P144" s="4">
        <f t="shared" si="15"/>
        <v>2.9233444891395624</v>
      </c>
    </row>
    <row r="145" spans="1:16" x14ac:dyDescent="0.35">
      <c r="A145" s="2" t="s">
        <v>1321</v>
      </c>
      <c r="B145" s="2">
        <v>2000</v>
      </c>
      <c r="C145" s="7">
        <v>17.894269999999999</v>
      </c>
      <c r="D145" s="5">
        <v>3869.8240000000001</v>
      </c>
      <c r="E145" s="16">
        <v>173.67339999999999</v>
      </c>
      <c r="F145" s="15">
        <v>0</v>
      </c>
      <c r="G145" s="16" t="str">
        <f>IFERROR(INDEX('EV Productivity'!$B$9:$B$21,MATCH(B145,'EV Productivity'!$A$9:$A$21,0)),"")</f>
        <v/>
      </c>
      <c r="H145" s="16" t="str">
        <f>IFERROR(INDEX('EV Productivity'!$C$9:$C$21,MATCH(B145,'EV Productivity'!$A$9:$A$21,0)),"")</f>
        <v/>
      </c>
      <c r="I145" s="16" t="str">
        <f>IFERROR(INDEX('EV Productivity'!$D$9:$D$21,MATCH(B145,'EV Productivity'!$A$9:$A$21,0)),"")</f>
        <v/>
      </c>
      <c r="J145" s="7">
        <f t="shared" si="18"/>
        <v>15.533301052685246</v>
      </c>
      <c r="K145" s="4">
        <f t="shared" si="11"/>
        <v>2.7429861743080206</v>
      </c>
      <c r="L145" s="7">
        <f t="shared" si="12"/>
        <v>17.894269999999999</v>
      </c>
      <c r="M145" s="5">
        <f t="shared" si="13"/>
        <v>3869.8240000000001</v>
      </c>
      <c r="N145" s="16">
        <f t="shared" si="14"/>
        <v>173.67339999999999</v>
      </c>
      <c r="O145" s="7">
        <f t="shared" si="19"/>
        <v>18.245366169131348</v>
      </c>
      <c r="P145" s="4">
        <f t="shared" si="15"/>
        <v>2.9039111392475214</v>
      </c>
    </row>
    <row r="146" spans="1:16" x14ac:dyDescent="0.35">
      <c r="A146" s="2" t="s">
        <v>1321</v>
      </c>
      <c r="B146" s="2">
        <v>2001</v>
      </c>
      <c r="C146" s="7">
        <v>18.83276</v>
      </c>
      <c r="D146" s="5">
        <v>3765.1950000000002</v>
      </c>
      <c r="E146" s="16">
        <v>179.54060000000001</v>
      </c>
      <c r="F146" s="15">
        <v>0</v>
      </c>
      <c r="G146" s="16" t="str">
        <f>IFERROR(INDEX('EV Productivity'!$B$9:$B$21,MATCH(B146,'EV Productivity'!$A$9:$A$21,0)),"")</f>
        <v/>
      </c>
      <c r="H146" s="16" t="str">
        <f>IFERROR(INDEX('EV Productivity'!$C$9:$C$21,MATCH(B146,'EV Productivity'!$A$9:$A$21,0)),"")</f>
        <v/>
      </c>
      <c r="I146" s="16" t="str">
        <f>IFERROR(INDEX('EV Productivity'!$D$9:$D$21,MATCH(B146,'EV Productivity'!$A$9:$A$21,0)),"")</f>
        <v/>
      </c>
      <c r="J146" s="7">
        <f t="shared" si="18"/>
        <v>16.345508556036407</v>
      </c>
      <c r="K146" s="4">
        <f t="shared" si="11"/>
        <v>2.7939531535518238</v>
      </c>
      <c r="L146" s="7">
        <f t="shared" si="12"/>
        <v>18.83276</v>
      </c>
      <c r="M146" s="5">
        <f t="shared" si="13"/>
        <v>3765.1950000000002</v>
      </c>
      <c r="N146" s="16">
        <f t="shared" si="14"/>
        <v>179.54060000000001</v>
      </c>
      <c r="O146" s="7">
        <f t="shared" si="19"/>
        <v>19.351128886849153</v>
      </c>
      <c r="P146" s="4">
        <f t="shared" si="15"/>
        <v>2.9627507581796966</v>
      </c>
    </row>
    <row r="147" spans="1:16" x14ac:dyDescent="0.35">
      <c r="A147" s="2" t="s">
        <v>1321</v>
      </c>
      <c r="B147" s="2">
        <v>2002</v>
      </c>
      <c r="C147" s="7">
        <v>19.304790000000001</v>
      </c>
      <c r="D147" s="5">
        <v>3747.3609999999999</v>
      </c>
      <c r="E147" s="16">
        <v>179.00309999999999</v>
      </c>
      <c r="F147" s="15">
        <v>0</v>
      </c>
      <c r="G147" s="16" t="str">
        <f>IFERROR(INDEX('EV Productivity'!$B$9:$B$21,MATCH(B147,'EV Productivity'!$A$9:$A$21,0)),"")</f>
        <v/>
      </c>
      <c r="H147" s="16" t="str">
        <f>IFERROR(INDEX('EV Productivity'!$C$9:$C$21,MATCH(B147,'EV Productivity'!$A$9:$A$21,0)),"")</f>
        <v/>
      </c>
      <c r="I147" s="16" t="str">
        <f>IFERROR(INDEX('EV Productivity'!$D$9:$D$21,MATCH(B147,'EV Productivity'!$A$9:$A$21,0)),"")</f>
        <v/>
      </c>
      <c r="J147" s="7">
        <f t="shared" si="18"/>
        <v>16.700738608974898</v>
      </c>
      <c r="K147" s="4">
        <f t="shared" si="11"/>
        <v>2.8154529465270057</v>
      </c>
      <c r="L147" s="7">
        <f t="shared" si="12"/>
        <v>19.304790000000001</v>
      </c>
      <c r="M147" s="5">
        <f t="shared" si="13"/>
        <v>3747.3609999999999</v>
      </c>
      <c r="N147" s="16">
        <f t="shared" si="14"/>
        <v>179.00309999999999</v>
      </c>
      <c r="O147" s="7">
        <f t="shared" si="19"/>
        <v>19.778900363178231</v>
      </c>
      <c r="P147" s="4">
        <f t="shared" si="15"/>
        <v>2.9846157312810595</v>
      </c>
    </row>
    <row r="148" spans="1:16" x14ac:dyDescent="0.35">
      <c r="A148" s="2" t="s">
        <v>1321</v>
      </c>
      <c r="B148" s="2">
        <v>2003</v>
      </c>
      <c r="C148" s="7">
        <v>19.91469</v>
      </c>
      <c r="D148" s="5">
        <v>3716.4690000000001</v>
      </c>
      <c r="E148" s="16">
        <v>180.73259999999999</v>
      </c>
      <c r="F148" s="15">
        <v>0</v>
      </c>
      <c r="G148" s="16" t="str">
        <f>IFERROR(INDEX('EV Productivity'!$B$9:$B$21,MATCH(B148,'EV Productivity'!$A$9:$A$21,0)),"")</f>
        <v/>
      </c>
      <c r="H148" s="16" t="str">
        <f>IFERROR(INDEX('EV Productivity'!$C$9:$C$21,MATCH(B148,'EV Productivity'!$A$9:$A$21,0)),"")</f>
        <v/>
      </c>
      <c r="I148" s="16" t="str">
        <f>IFERROR(INDEX('EV Productivity'!$D$9:$D$21,MATCH(B148,'EV Productivity'!$A$9:$A$21,0)),"")</f>
        <v/>
      </c>
      <c r="J148" s="7">
        <f t="shared" si="18"/>
        <v>17.224924950297336</v>
      </c>
      <c r="K148" s="4">
        <f t="shared" ref="K148:K211" si="20">LN(J148)</f>
        <v>2.846357459868305</v>
      </c>
      <c r="L148" s="7">
        <f t="shared" ref="L148:L211" si="21">IF(AND(F148&gt;0,ISNUMBER(G148)),(1-F148)/(1/C148-F148/G148),C148)</f>
        <v>19.91469</v>
      </c>
      <c r="M148" s="5">
        <f t="shared" ref="M148:M211" si="22">IF(AND(F148&gt;0,ISNUMBER(G148)),(D148-F148*H148)/(1-F148),D148)</f>
        <v>3716.4690000000001</v>
      </c>
      <c r="N148" s="16">
        <f t="shared" ref="N148:N211" si="23">IF(AND(F148&gt;0,ISNUMBER(G148)),(E148-F148*I148)/(1-F148),E148)</f>
        <v>180.73259999999999</v>
      </c>
      <c r="O148" s="7">
        <f t="shared" si="19"/>
        <v>20.447284389828525</v>
      </c>
      <c r="P148" s="4">
        <f t="shared" ref="P148:P211" si="24">LN(O148)</f>
        <v>3.0178500809976612</v>
      </c>
    </row>
    <row r="149" spans="1:16" x14ac:dyDescent="0.35">
      <c r="A149" s="2" t="s">
        <v>1321</v>
      </c>
      <c r="B149" s="2">
        <v>2004</v>
      </c>
      <c r="C149" s="7">
        <v>19.965969999999999</v>
      </c>
      <c r="D149" s="5">
        <v>3853.779</v>
      </c>
      <c r="E149" s="16">
        <v>197.50210000000001</v>
      </c>
      <c r="F149" s="15">
        <v>0</v>
      </c>
      <c r="G149" s="16" t="str">
        <f>IFERROR(INDEX('EV Productivity'!$B$9:$B$21,MATCH(B149,'EV Productivity'!$A$9:$A$21,0)),"")</f>
        <v/>
      </c>
      <c r="H149" s="16" t="str">
        <f>IFERROR(INDEX('EV Productivity'!$C$9:$C$21,MATCH(B149,'EV Productivity'!$A$9:$A$21,0)),"")</f>
        <v/>
      </c>
      <c r="I149" s="16" t="str">
        <f>IFERROR(INDEX('EV Productivity'!$D$9:$D$21,MATCH(B149,'EV Productivity'!$A$9:$A$21,0)),"")</f>
        <v/>
      </c>
      <c r="J149" s="7">
        <f t="shared" si="18"/>
        <v>18.139468034547182</v>
      </c>
      <c r="K149" s="4">
        <f t="shared" si="20"/>
        <v>2.8980901187083212</v>
      </c>
      <c r="L149" s="7">
        <f t="shared" si="21"/>
        <v>19.965969999999999</v>
      </c>
      <c r="M149" s="5">
        <f t="shared" si="22"/>
        <v>3853.779</v>
      </c>
      <c r="N149" s="16">
        <f t="shared" si="23"/>
        <v>197.50210000000001</v>
      </c>
      <c r="O149" s="7">
        <f t="shared" si="19"/>
        <v>21.634738617105526</v>
      </c>
      <c r="P149" s="4">
        <f t="shared" si="24"/>
        <v>3.074300292120415</v>
      </c>
    </row>
    <row r="150" spans="1:16" x14ac:dyDescent="0.35">
      <c r="A150" s="2" t="s">
        <v>1321</v>
      </c>
      <c r="B150" s="2">
        <v>2005</v>
      </c>
      <c r="C150" s="7">
        <v>20.21725</v>
      </c>
      <c r="D150" s="5">
        <v>3847.7719999999999</v>
      </c>
      <c r="E150" s="16">
        <v>192.09270000000001</v>
      </c>
      <c r="F150" s="15">
        <v>0</v>
      </c>
      <c r="G150" s="16" t="str">
        <f>IFERROR(INDEX('EV Productivity'!$B$9:$B$21,MATCH(B150,'EV Productivity'!$A$9:$A$21,0)),"")</f>
        <v/>
      </c>
      <c r="H150" s="16" t="str">
        <f>IFERROR(INDEX('EV Productivity'!$C$9:$C$21,MATCH(B150,'EV Productivity'!$A$9:$A$21,0)),"")</f>
        <v/>
      </c>
      <c r="I150" s="16" t="str">
        <f>IFERROR(INDEX('EV Productivity'!$D$9:$D$21,MATCH(B150,'EV Productivity'!$A$9:$A$21,0)),"")</f>
        <v/>
      </c>
      <c r="J150" s="7">
        <f t="shared" si="18"/>
        <v>18.167691097695371</v>
      </c>
      <c r="K150" s="4">
        <f t="shared" si="20"/>
        <v>2.899644802110021</v>
      </c>
      <c r="L150" s="7">
        <f t="shared" si="21"/>
        <v>20.21725</v>
      </c>
      <c r="M150" s="5">
        <f t="shared" si="22"/>
        <v>3847.7719999999999</v>
      </c>
      <c r="N150" s="16">
        <f t="shared" si="23"/>
        <v>192.09270000000001</v>
      </c>
      <c r="O150" s="7">
        <f t="shared" si="19"/>
        <v>21.604885386100214</v>
      </c>
      <c r="P150" s="4">
        <f t="shared" si="24"/>
        <v>3.0729194643987636</v>
      </c>
    </row>
    <row r="151" spans="1:16" x14ac:dyDescent="0.35">
      <c r="A151" s="2" t="s">
        <v>1321</v>
      </c>
      <c r="B151" s="2">
        <v>2006</v>
      </c>
      <c r="C151" s="7">
        <v>20.454219999999999</v>
      </c>
      <c r="D151" s="5">
        <v>3875.797</v>
      </c>
      <c r="E151" s="16">
        <v>191.96279999999999</v>
      </c>
      <c r="F151" s="15">
        <v>0</v>
      </c>
      <c r="G151" s="16" t="str">
        <f>IFERROR(INDEX('EV Productivity'!$B$9:$B$21,MATCH(B151,'EV Productivity'!$A$9:$A$21,0)),"")</f>
        <v/>
      </c>
      <c r="H151" s="16" t="str">
        <f>IFERROR(INDEX('EV Productivity'!$C$9:$C$21,MATCH(B151,'EV Productivity'!$A$9:$A$21,0)),"")</f>
        <v/>
      </c>
      <c r="I151" s="16" t="str">
        <f>IFERROR(INDEX('EV Productivity'!$D$9:$D$21,MATCH(B151,'EV Productivity'!$A$9:$A$21,0)),"")</f>
        <v/>
      </c>
      <c r="J151" s="7">
        <f t="shared" si="18"/>
        <v>18.436521665376425</v>
      </c>
      <c r="K151" s="4">
        <f t="shared" si="20"/>
        <v>2.9143335704753173</v>
      </c>
      <c r="L151" s="7">
        <f t="shared" si="21"/>
        <v>20.454219999999999</v>
      </c>
      <c r="M151" s="5">
        <f t="shared" si="22"/>
        <v>3875.797</v>
      </c>
      <c r="N151" s="16">
        <f t="shared" si="23"/>
        <v>191.96279999999999</v>
      </c>
      <c r="O151" s="7">
        <f t="shared" si="19"/>
        <v>21.899200324922802</v>
      </c>
      <c r="P151" s="4">
        <f t="shared" si="24"/>
        <v>3.0864501213120645</v>
      </c>
    </row>
    <row r="152" spans="1:16" x14ac:dyDescent="0.35">
      <c r="A152" s="2" t="s">
        <v>1321</v>
      </c>
      <c r="B152" s="2">
        <v>2007</v>
      </c>
      <c r="C152" s="7">
        <v>20.639469999999999</v>
      </c>
      <c r="D152" s="5">
        <v>3934.913</v>
      </c>
      <c r="E152" s="16">
        <v>207.876</v>
      </c>
      <c r="F152" s="15">
        <v>0</v>
      </c>
      <c r="G152" s="16" t="str">
        <f>IFERROR(INDEX('EV Productivity'!$B$9:$B$21,MATCH(B152,'EV Productivity'!$A$9:$A$21,0)),"")</f>
        <v/>
      </c>
      <c r="H152" s="16" t="str">
        <f>IFERROR(INDEX('EV Productivity'!$C$9:$C$21,MATCH(B152,'EV Productivity'!$A$9:$A$21,0)),"")</f>
        <v/>
      </c>
      <c r="I152" s="16" t="str">
        <f>IFERROR(INDEX('EV Productivity'!$D$9:$D$21,MATCH(B152,'EV Productivity'!$A$9:$A$21,0)),"")</f>
        <v/>
      </c>
      <c r="J152" s="7">
        <f t="shared" ref="J152:J169" si="25">C152*(D152/$D$169)^$B$4*(E152/$E$169)^$B$5</f>
        <v>19.289968775866814</v>
      </c>
      <c r="K152" s="4">
        <f t="shared" si="20"/>
        <v>2.9595852082469039</v>
      </c>
      <c r="L152" s="7">
        <f t="shared" si="21"/>
        <v>20.639469999999999</v>
      </c>
      <c r="M152" s="5">
        <f t="shared" si="22"/>
        <v>3934.913</v>
      </c>
      <c r="N152" s="16">
        <f t="shared" si="23"/>
        <v>207.876</v>
      </c>
      <c r="O152" s="7">
        <f t="shared" ref="O152:O183" si="26">L152*(M152/$M$169)^$E$4*(N152/$N$169)^$E$5</f>
        <v>23.06996603181706</v>
      </c>
      <c r="P152" s="4">
        <f t="shared" si="24"/>
        <v>3.1385315997882652</v>
      </c>
    </row>
    <row r="153" spans="1:16" x14ac:dyDescent="0.35">
      <c r="A153" s="2" t="s">
        <v>1321</v>
      </c>
      <c r="B153" s="2">
        <v>2008</v>
      </c>
      <c r="C153" s="7">
        <v>21.19014</v>
      </c>
      <c r="D153" s="5">
        <v>3902.4760000000001</v>
      </c>
      <c r="E153" s="16">
        <v>203.5805</v>
      </c>
      <c r="F153" s="15">
        <v>0</v>
      </c>
      <c r="G153" s="16" t="str">
        <f>IFERROR(INDEX('EV Productivity'!$B$9:$B$21,MATCH(B153,'EV Productivity'!$A$9:$A$21,0)),"")</f>
        <v/>
      </c>
      <c r="H153" s="16" t="str">
        <f>IFERROR(INDEX('EV Productivity'!$C$9:$C$21,MATCH(B153,'EV Productivity'!$A$9:$A$21,0)),"")</f>
        <v/>
      </c>
      <c r="I153" s="16" t="str">
        <f>IFERROR(INDEX('EV Productivity'!$D$9:$D$21,MATCH(B153,'EV Productivity'!$A$9:$A$21,0)),"")</f>
        <v/>
      </c>
      <c r="J153" s="7">
        <f t="shared" si="25"/>
        <v>19.579144992709558</v>
      </c>
      <c r="K153" s="4">
        <f t="shared" si="20"/>
        <v>2.9744649687694253</v>
      </c>
      <c r="L153" s="7">
        <f t="shared" si="21"/>
        <v>21.19014</v>
      </c>
      <c r="M153" s="5">
        <f t="shared" si="22"/>
        <v>3902.4760000000001</v>
      </c>
      <c r="N153" s="16">
        <f t="shared" si="23"/>
        <v>203.5805</v>
      </c>
      <c r="O153" s="7">
        <f t="shared" si="26"/>
        <v>23.388922076919325</v>
      </c>
      <c r="P153" s="4">
        <f t="shared" si="24"/>
        <v>3.1522624947508819</v>
      </c>
    </row>
    <row r="154" spans="1:16" x14ac:dyDescent="0.35">
      <c r="A154" s="2" t="s">
        <v>1321</v>
      </c>
      <c r="B154" s="2">
        <v>2009</v>
      </c>
      <c r="C154" s="7">
        <v>22.041879999999999</v>
      </c>
      <c r="D154" s="5">
        <v>3846.047</v>
      </c>
      <c r="E154" s="16">
        <v>206.1788</v>
      </c>
      <c r="F154" s="15">
        <v>0</v>
      </c>
      <c r="G154" s="16" t="str">
        <f>IFERROR(INDEX('EV Productivity'!$B$9:$B$21,MATCH(B154,'EV Productivity'!$A$9:$A$21,0)),"")</f>
        <v/>
      </c>
      <c r="H154" s="16" t="str">
        <f>IFERROR(INDEX('EV Productivity'!$C$9:$C$21,MATCH(B154,'EV Productivity'!$A$9:$A$21,0)),"")</f>
        <v/>
      </c>
      <c r="I154" s="16" t="str">
        <f>IFERROR(INDEX('EV Productivity'!$D$9:$D$21,MATCH(B154,'EV Productivity'!$A$9:$A$21,0)),"")</f>
        <v/>
      </c>
      <c r="J154" s="7">
        <f t="shared" si="25"/>
        <v>20.327170440688203</v>
      </c>
      <c r="K154" s="4">
        <f t="shared" si="20"/>
        <v>3.0119584364823022</v>
      </c>
      <c r="L154" s="7">
        <f t="shared" si="21"/>
        <v>22.041879999999999</v>
      </c>
      <c r="M154" s="5">
        <f t="shared" si="22"/>
        <v>3846.047</v>
      </c>
      <c r="N154" s="16">
        <f t="shared" si="23"/>
        <v>206.1788</v>
      </c>
      <c r="O154" s="7">
        <f t="shared" si="26"/>
        <v>24.370470249307356</v>
      </c>
      <c r="P154" s="4">
        <f t="shared" si="24"/>
        <v>3.1933721636884234</v>
      </c>
    </row>
    <row r="155" spans="1:16" x14ac:dyDescent="0.35">
      <c r="A155" s="2" t="s">
        <v>1321</v>
      </c>
      <c r="B155" s="2">
        <v>2010</v>
      </c>
      <c r="C155" s="7">
        <v>23.02703</v>
      </c>
      <c r="D155" s="5">
        <v>3949.2469999999998</v>
      </c>
      <c r="E155" s="16">
        <v>213.3254</v>
      </c>
      <c r="F155" s="15">
        <v>0</v>
      </c>
      <c r="G155" s="16" t="str">
        <f>IFERROR(INDEX('EV Productivity'!$B$9:$B$21,MATCH(B155,'EV Productivity'!$A$9:$A$21,0)),"")</f>
        <v/>
      </c>
      <c r="H155" s="16" t="str">
        <f>IFERROR(INDEX('EV Productivity'!$C$9:$C$21,MATCH(B155,'EV Productivity'!$A$9:$A$21,0)),"")</f>
        <v/>
      </c>
      <c r="I155" s="16" t="str">
        <f>IFERROR(INDEX('EV Productivity'!$D$9:$D$21,MATCH(B155,'EV Productivity'!$A$9:$A$21,0)),"")</f>
        <v/>
      </c>
      <c r="J155" s="7">
        <f t="shared" si="25"/>
        <v>21.763667453620535</v>
      </c>
      <c r="K155" s="4">
        <f t="shared" si="20"/>
        <v>3.0802419488534118</v>
      </c>
      <c r="L155" s="7">
        <f t="shared" si="21"/>
        <v>23.02703</v>
      </c>
      <c r="M155" s="5">
        <f t="shared" si="22"/>
        <v>3949.2469999999998</v>
      </c>
      <c r="N155" s="16">
        <f t="shared" si="23"/>
        <v>213.3254</v>
      </c>
      <c r="O155" s="7">
        <f t="shared" si="26"/>
        <v>26.091211279264012</v>
      </c>
      <c r="P155" s="4">
        <f t="shared" si="24"/>
        <v>3.2615985250262485</v>
      </c>
    </row>
    <row r="156" spans="1:16" x14ac:dyDescent="0.35">
      <c r="A156" s="2" t="s">
        <v>1321</v>
      </c>
      <c r="B156" s="2">
        <v>2011</v>
      </c>
      <c r="C156" s="7">
        <v>23.510110000000001</v>
      </c>
      <c r="D156" s="5">
        <v>3889.8530000000001</v>
      </c>
      <c r="E156" s="16">
        <v>207.33009999999999</v>
      </c>
      <c r="F156" s="15">
        <v>0</v>
      </c>
      <c r="G156" s="16" t="str">
        <f>IFERROR(INDEX('EV Productivity'!$B$9:$B$21,MATCH(B156,'EV Productivity'!$A$9:$A$21,0)),"")</f>
        <v/>
      </c>
      <c r="H156" s="16" t="str">
        <f>IFERROR(INDEX('EV Productivity'!$C$9:$C$21,MATCH(B156,'EV Productivity'!$A$9:$A$21,0)),"")</f>
        <v/>
      </c>
      <c r="I156" s="16" t="str">
        <f>IFERROR(INDEX('EV Productivity'!$D$9:$D$21,MATCH(B156,'EV Productivity'!$A$9:$A$21,0)),"")</f>
        <v/>
      </c>
      <c r="J156" s="7">
        <f t="shared" si="25"/>
        <v>21.83744816230525</v>
      </c>
      <c r="K156" s="4">
        <f t="shared" si="20"/>
        <v>3.0836263016648102</v>
      </c>
      <c r="L156" s="7">
        <f t="shared" si="21"/>
        <v>23.510110000000001</v>
      </c>
      <c r="M156" s="5">
        <f t="shared" si="22"/>
        <v>3889.8530000000001</v>
      </c>
      <c r="N156" s="16">
        <f t="shared" si="23"/>
        <v>207.33009999999999</v>
      </c>
      <c r="O156" s="7">
        <f t="shared" si="26"/>
        <v>26.153637313190618</v>
      </c>
      <c r="P156" s="4">
        <f t="shared" si="24"/>
        <v>3.2639882750329012</v>
      </c>
    </row>
    <row r="157" spans="1:16" x14ac:dyDescent="0.35">
      <c r="A157" s="2" t="s">
        <v>1321</v>
      </c>
      <c r="B157" s="2">
        <v>2012</v>
      </c>
      <c r="C157" s="7">
        <v>23.294460000000001</v>
      </c>
      <c r="D157" s="5">
        <v>3915.1480000000001</v>
      </c>
      <c r="E157" s="16">
        <v>210.63640000000001</v>
      </c>
      <c r="F157" s="15">
        <v>0</v>
      </c>
      <c r="G157" s="16">
        <f>IFERROR(INDEX('EV Productivity'!$B$9:$B$21,MATCH(B157,'EV Productivity'!$A$9:$A$21,0)),"")</f>
        <v>89.140649999999994</v>
      </c>
      <c r="H157" s="16">
        <f>IFERROR(INDEX('EV Productivity'!$C$9:$C$21,MATCH(B157,'EV Productivity'!$A$9:$A$21,0)),"")</f>
        <v>4500</v>
      </c>
      <c r="I157" s="16">
        <f>IFERROR(INDEX('EV Productivity'!$D$9:$D$21,MATCH(B157,'EV Productivity'!$A$9:$A$21,0)),"")</f>
        <v>349</v>
      </c>
      <c r="J157" s="7">
        <f t="shared" si="25"/>
        <v>21.827765715023087</v>
      </c>
      <c r="K157" s="4">
        <f t="shared" si="20"/>
        <v>3.0831828160348964</v>
      </c>
      <c r="L157" s="7">
        <f t="shared" si="21"/>
        <v>23.294460000000001</v>
      </c>
      <c r="M157" s="5">
        <f t="shared" si="22"/>
        <v>3915.1480000000001</v>
      </c>
      <c r="N157" s="16">
        <f t="shared" si="23"/>
        <v>210.63640000000001</v>
      </c>
      <c r="O157" s="7">
        <f t="shared" si="26"/>
        <v>26.163990422869027</v>
      </c>
      <c r="P157" s="4">
        <f t="shared" si="24"/>
        <v>3.2643840540565905</v>
      </c>
    </row>
    <row r="158" spans="1:16" x14ac:dyDescent="0.35">
      <c r="A158" s="2" t="s">
        <v>1321</v>
      </c>
      <c r="B158" s="2">
        <v>2013</v>
      </c>
      <c r="C158" s="7">
        <v>24.344799999999999</v>
      </c>
      <c r="D158" s="5">
        <v>3965.578</v>
      </c>
      <c r="E158" s="16">
        <v>213.648</v>
      </c>
      <c r="F158" s="15">
        <v>1E-3</v>
      </c>
      <c r="G158" s="16">
        <f>IFERROR(INDEX('EV Productivity'!$B$9:$B$21,MATCH(B158,'EV Productivity'!$A$9:$A$21,0)),"")</f>
        <v>90.655000000000001</v>
      </c>
      <c r="H158" s="16">
        <f>IFERROR(INDEX('EV Productivity'!$C$9:$C$21,MATCH(B158,'EV Productivity'!$A$9:$A$21,0)),"")</f>
        <v>4500</v>
      </c>
      <c r="I158" s="16">
        <f>IFERROR(INDEX('EV Productivity'!$D$9:$D$21,MATCH(B158,'EV Productivity'!$A$9:$A$21,0)),"")</f>
        <v>346.98399999999998</v>
      </c>
      <c r="J158" s="7">
        <f t="shared" si="25"/>
        <v>23.065019962105648</v>
      </c>
      <c r="K158" s="4">
        <f t="shared" si="20"/>
        <v>3.1383171824811478</v>
      </c>
      <c r="L158" s="7">
        <f t="shared" si="21"/>
        <v>24.326988051566023</v>
      </c>
      <c r="M158" s="5">
        <f t="shared" si="22"/>
        <v>3965.0430430430429</v>
      </c>
      <c r="N158" s="16">
        <f t="shared" si="23"/>
        <v>213.51453053053052</v>
      </c>
      <c r="O158" s="7">
        <f t="shared" si="26"/>
        <v>27.609411524332931</v>
      </c>
      <c r="P158" s="4">
        <f t="shared" si="24"/>
        <v>3.3181567118551922</v>
      </c>
    </row>
    <row r="159" spans="1:16" x14ac:dyDescent="0.35">
      <c r="A159" s="2" t="s">
        <v>1321</v>
      </c>
      <c r="B159" s="2">
        <v>2014</v>
      </c>
      <c r="C159" s="7">
        <v>24.439119999999999</v>
      </c>
      <c r="D159" s="5">
        <v>3865.299</v>
      </c>
      <c r="E159" s="16">
        <v>203.74289999999999</v>
      </c>
      <c r="F159" s="15">
        <v>1E-3</v>
      </c>
      <c r="G159" s="16">
        <f>IFERROR(INDEX('EV Productivity'!$B$9:$B$21,MATCH(B159,'EV Productivity'!$A$9:$A$21,0)),"")</f>
        <v>90.168629999999993</v>
      </c>
      <c r="H159" s="16">
        <f>IFERROR(INDEX('EV Productivity'!$C$9:$C$21,MATCH(B159,'EV Productivity'!$A$9:$A$21,0)),"")</f>
        <v>4562.2219999999998</v>
      </c>
      <c r="I159" s="16">
        <f>IFERROR(INDEX('EV Productivity'!$D$9:$D$21,MATCH(B159,'EV Productivity'!$A$9:$A$21,0)),"")</f>
        <v>335.78829999999999</v>
      </c>
      <c r="J159" s="7">
        <f t="shared" si="25"/>
        <v>22.490092929187107</v>
      </c>
      <c r="K159" s="4">
        <f t="shared" si="20"/>
        <v>3.1130748979852356</v>
      </c>
      <c r="L159" s="7">
        <f t="shared" si="21"/>
        <v>24.421299978912124</v>
      </c>
      <c r="M159" s="5">
        <f t="shared" si="22"/>
        <v>3864.6013793793795</v>
      </c>
      <c r="N159" s="16">
        <f t="shared" si="23"/>
        <v>203.61072242242241</v>
      </c>
      <c r="O159" s="7">
        <f t="shared" si="26"/>
        <v>26.877552682183047</v>
      </c>
      <c r="P159" s="4">
        <f t="shared" si="24"/>
        <v>3.2912914654602679</v>
      </c>
    </row>
    <row r="160" spans="1:16" x14ac:dyDescent="0.35">
      <c r="A160" s="2" t="s">
        <v>1321</v>
      </c>
      <c r="B160" s="2">
        <v>2015</v>
      </c>
      <c r="C160" s="7">
        <v>25.13993</v>
      </c>
      <c r="D160" s="5">
        <v>3868.1689999999999</v>
      </c>
      <c r="E160" s="16">
        <v>202.48740000000001</v>
      </c>
      <c r="F160" s="15">
        <v>0</v>
      </c>
      <c r="G160" s="16">
        <f>IFERROR(INDEX('EV Productivity'!$B$9:$B$21,MATCH(B160,'EV Productivity'!$A$9:$A$21,0)),"")</f>
        <v>97.135120000000001</v>
      </c>
      <c r="H160" s="16">
        <f>IFERROR(INDEX('EV Productivity'!$C$9:$C$21,MATCH(B160,'EV Productivity'!$A$9:$A$21,0)),"")</f>
        <v>4901.7560000000003</v>
      </c>
      <c r="I160" s="16">
        <f>IFERROR(INDEX('EV Productivity'!$D$9:$D$21,MATCH(B160,'EV Productivity'!$A$9:$A$21,0)),"")</f>
        <v>396.16609999999997</v>
      </c>
      <c r="J160" s="7">
        <f t="shared" si="25"/>
        <v>23.090070408505969</v>
      </c>
      <c r="K160" s="4">
        <f t="shared" si="20"/>
        <v>3.1394026726690729</v>
      </c>
      <c r="L160" s="7">
        <f t="shared" si="21"/>
        <v>25.13993</v>
      </c>
      <c r="M160" s="5">
        <f t="shared" si="22"/>
        <v>3868.1689999999999</v>
      </c>
      <c r="N160" s="16">
        <f t="shared" si="23"/>
        <v>202.48740000000001</v>
      </c>
      <c r="O160" s="7">
        <f t="shared" si="26"/>
        <v>27.602360552594256</v>
      </c>
      <c r="P160" s="4">
        <f t="shared" si="24"/>
        <v>3.3179012963337637</v>
      </c>
    </row>
    <row r="161" spans="1:16" x14ac:dyDescent="0.35">
      <c r="A161" s="2" t="s">
        <v>1321</v>
      </c>
      <c r="B161" s="2">
        <v>2016</v>
      </c>
      <c r="C161" s="7">
        <v>26.206399999999999</v>
      </c>
      <c r="D161" s="5">
        <v>3782.3589999999999</v>
      </c>
      <c r="E161" s="16">
        <v>193.64340000000001</v>
      </c>
      <c r="F161" s="15">
        <v>8.9999999999999993E-3</v>
      </c>
      <c r="G161" s="16">
        <f>IFERROR(INDEX('EV Productivity'!$B$9:$B$21,MATCH(B161,'EV Productivity'!$A$9:$A$21,0)),"")</f>
        <v>96.81841</v>
      </c>
      <c r="H161" s="16">
        <f>IFERROR(INDEX('EV Productivity'!$C$9:$C$21,MATCH(B161,'EV Productivity'!$A$9:$A$21,0)),"")</f>
        <v>5172.598</v>
      </c>
      <c r="I161" s="16">
        <f>IFERROR(INDEX('EV Productivity'!$D$9:$D$21,MATCH(B161,'EV Productivity'!$A$9:$A$21,0)),"")</f>
        <v>384.3064</v>
      </c>
      <c r="J161" s="7">
        <f t="shared" si="25"/>
        <v>23.437008475225344</v>
      </c>
      <c r="K161" s="4">
        <f t="shared" si="20"/>
        <v>3.1543163317870011</v>
      </c>
      <c r="L161" s="7">
        <f t="shared" si="21"/>
        <v>26.033963273117887</v>
      </c>
      <c r="M161" s="5">
        <f t="shared" si="22"/>
        <v>3769.733216952573</v>
      </c>
      <c r="N161" s="16">
        <f t="shared" si="23"/>
        <v>191.91184904137236</v>
      </c>
      <c r="O161" s="7">
        <f t="shared" si="26"/>
        <v>27.635640453066628</v>
      </c>
      <c r="P161" s="4">
        <f t="shared" si="24"/>
        <v>3.3191062604488</v>
      </c>
    </row>
    <row r="162" spans="1:16" x14ac:dyDescent="0.35">
      <c r="A162" s="2" t="s">
        <v>1321</v>
      </c>
      <c r="B162" s="2">
        <v>2017</v>
      </c>
      <c r="C162" s="7">
        <v>26.14273</v>
      </c>
      <c r="D162" s="5">
        <v>3860.2460000000001</v>
      </c>
      <c r="E162" s="16">
        <v>196.8039</v>
      </c>
      <c r="F162" s="15">
        <v>8.9999999999999993E-3</v>
      </c>
      <c r="G162" s="16">
        <f>IFERROR(INDEX('EV Productivity'!$B$9:$B$21,MATCH(B162,'EV Productivity'!$A$9:$A$21,0)),"")</f>
        <v>98.218540000000004</v>
      </c>
      <c r="H162" s="16">
        <f>IFERROR(INDEX('EV Productivity'!$C$9:$C$21,MATCH(B162,'EV Productivity'!$A$9:$A$21,0)),"")</f>
        <v>5211.8069999999998</v>
      </c>
      <c r="I162" s="16">
        <f>IFERROR(INDEX('EV Productivity'!$D$9:$D$21,MATCH(B162,'EV Productivity'!$A$9:$A$21,0)),"")</f>
        <v>499.9051</v>
      </c>
      <c r="J162" s="7">
        <f t="shared" si="25"/>
        <v>23.73817241909569</v>
      </c>
      <c r="K162" s="4">
        <f t="shared" si="20"/>
        <v>3.1670844030292717</v>
      </c>
      <c r="L162" s="7">
        <f t="shared" si="21"/>
        <v>25.969656285630844</v>
      </c>
      <c r="M162" s="5">
        <f t="shared" si="22"/>
        <v>3847.9714803229062</v>
      </c>
      <c r="N162" s="16">
        <f t="shared" si="23"/>
        <v>194.05121503531785</v>
      </c>
      <c r="O162" s="7">
        <f t="shared" si="26"/>
        <v>27.888865474949188</v>
      </c>
      <c r="P162" s="4">
        <f t="shared" si="24"/>
        <v>3.3282275222515576</v>
      </c>
    </row>
    <row r="163" spans="1:16" x14ac:dyDescent="0.35">
      <c r="A163" s="2" t="s">
        <v>1321</v>
      </c>
      <c r="B163" s="2">
        <v>2018</v>
      </c>
      <c r="C163" s="7">
        <v>27.354579999999999</v>
      </c>
      <c r="D163" s="5">
        <v>3738.76</v>
      </c>
      <c r="E163" s="16">
        <v>188.40029999999999</v>
      </c>
      <c r="F163" s="15">
        <v>8.9999999999999993E-3</v>
      </c>
      <c r="G163" s="16">
        <f>IFERROR(INDEX('EV Productivity'!$B$9:$B$21,MATCH(B163,'EV Productivity'!$A$9:$A$21,0)),"")</f>
        <v>113.67319000000001</v>
      </c>
      <c r="H163" s="16">
        <f>IFERROR(INDEX('EV Productivity'!$C$9:$C$21,MATCH(B163,'EV Productivity'!$A$9:$A$21,0)),"")</f>
        <v>4522.5739999999996</v>
      </c>
      <c r="I163" s="16">
        <f>IFERROR(INDEX('EV Productivity'!$D$9:$D$21,MATCH(B163,'EV Productivity'!$A$9:$A$21,0)),"")</f>
        <v>402.72219999999999</v>
      </c>
      <c r="J163" s="7">
        <f t="shared" si="25"/>
        <v>24.09057586198357</v>
      </c>
      <c r="K163" s="4">
        <f t="shared" si="20"/>
        <v>3.1818207209481084</v>
      </c>
      <c r="L163" s="7">
        <f t="shared" si="21"/>
        <v>27.16722704053554</v>
      </c>
      <c r="M163" s="5">
        <f t="shared" si="22"/>
        <v>3731.6416084762873</v>
      </c>
      <c r="N163" s="16">
        <f t="shared" si="23"/>
        <v>186.45388516649848</v>
      </c>
      <c r="O163" s="7">
        <f t="shared" si="26"/>
        <v>28.351917718721015</v>
      </c>
      <c r="P163" s="4">
        <f t="shared" si="24"/>
        <v>3.3446946722853124</v>
      </c>
    </row>
    <row r="164" spans="1:16" x14ac:dyDescent="0.35">
      <c r="A164" s="2" t="s">
        <v>1321</v>
      </c>
      <c r="B164" s="2">
        <v>2019</v>
      </c>
      <c r="C164" s="7">
        <v>27.500250000000001</v>
      </c>
      <c r="D164" s="5">
        <v>3713.5680000000002</v>
      </c>
      <c r="E164" s="16">
        <v>193.0883</v>
      </c>
      <c r="F164" s="15">
        <v>6.0000000000000001E-3</v>
      </c>
      <c r="G164" s="16">
        <f>IFERROR(INDEX('EV Productivity'!$B$9:$B$21,MATCH(B164,'EV Productivity'!$A$9:$A$21,0)),"")</f>
        <v>117.99979999999999</v>
      </c>
      <c r="H164" s="16">
        <f>IFERROR(INDEX('EV Productivity'!$C$9:$C$21,MATCH(B164,'EV Productivity'!$A$9:$A$21,0)),"")</f>
        <v>4436.4139999999998</v>
      </c>
      <c r="I164" s="16">
        <f>IFERROR(INDEX('EV Productivity'!$D$9:$D$21,MATCH(B164,'EV Productivity'!$A$9:$A$21,0)),"")</f>
        <v>392.01650000000001</v>
      </c>
      <c r="J164" s="7">
        <f t="shared" si="25"/>
        <v>24.364795248588468</v>
      </c>
      <c r="K164" s="4">
        <f t="shared" si="20"/>
        <v>3.1931392727546588</v>
      </c>
      <c r="L164" s="7">
        <f t="shared" si="21"/>
        <v>27.37352545267262</v>
      </c>
      <c r="M164" s="5">
        <f t="shared" si="22"/>
        <v>3709.204744466801</v>
      </c>
      <c r="N164" s="16">
        <f t="shared" si="23"/>
        <v>191.88752615694165</v>
      </c>
      <c r="O164" s="7">
        <f t="shared" si="26"/>
        <v>28.913324714187869</v>
      </c>
      <c r="P164" s="4">
        <f t="shared" si="24"/>
        <v>3.3643025516362717</v>
      </c>
    </row>
    <row r="165" spans="1:16" x14ac:dyDescent="0.35">
      <c r="A165" s="2" t="s">
        <v>1321</v>
      </c>
      <c r="B165" s="2">
        <v>2020</v>
      </c>
      <c r="C165" s="7">
        <v>28.376860000000001</v>
      </c>
      <c r="D165" s="5">
        <v>3754.67</v>
      </c>
      <c r="E165" s="16">
        <v>200.03370000000001</v>
      </c>
      <c r="F165" s="15">
        <v>3.5000000000000003E-2</v>
      </c>
      <c r="G165" s="16">
        <f>IFERROR(INDEX('EV Productivity'!$B$9:$B$21,MATCH(B165,'EV Productivity'!$A$9:$A$21,0)),"")</f>
        <v>119.08936</v>
      </c>
      <c r="H165" s="16">
        <f>IFERROR(INDEX('EV Productivity'!$C$9:$C$21,MATCH(B165,'EV Productivity'!$A$9:$A$21,0)),"")</f>
        <v>4393.6790000000001</v>
      </c>
      <c r="I165" s="16">
        <f>IFERROR(INDEX('EV Productivity'!$D$9:$D$21,MATCH(B165,'EV Productivity'!$A$9:$A$21,0)),"")</f>
        <v>443.69900000000001</v>
      </c>
      <c r="J165" s="7">
        <f t="shared" si="25"/>
        <v>25.598637186056724</v>
      </c>
      <c r="K165" s="4">
        <f t="shared" si="20"/>
        <v>3.242539115148829</v>
      </c>
      <c r="L165" s="7">
        <f t="shared" si="21"/>
        <v>27.613966867881157</v>
      </c>
      <c r="M165" s="5">
        <f t="shared" si="22"/>
        <v>3731.4935077720211</v>
      </c>
      <c r="N165" s="16">
        <f t="shared" si="23"/>
        <v>191.19609844559585</v>
      </c>
      <c r="O165" s="7">
        <f t="shared" si="26"/>
        <v>29.169515189803437</v>
      </c>
      <c r="P165" s="4">
        <f t="shared" si="24"/>
        <v>3.3731241635770788</v>
      </c>
    </row>
    <row r="166" spans="1:16" x14ac:dyDescent="0.35">
      <c r="A166" s="2" t="s">
        <v>1321</v>
      </c>
      <c r="B166" s="2">
        <v>2021</v>
      </c>
      <c r="C166" s="7">
        <v>30.983239999999999</v>
      </c>
      <c r="D166" s="5">
        <v>3786.44</v>
      </c>
      <c r="E166" s="16">
        <v>214.97319999999999</v>
      </c>
      <c r="F166" s="15">
        <v>0.11700000000000001</v>
      </c>
      <c r="G166" s="16">
        <f>IFERROR(INDEX('EV Productivity'!$B$9:$B$21,MATCH(B166,'EV Productivity'!$A$9:$A$21,0)),"")</f>
        <v>123.91925000000001</v>
      </c>
      <c r="H166" s="16">
        <f>IFERROR(INDEX('EV Productivity'!$C$9:$C$21,MATCH(B166,'EV Productivity'!$A$9:$A$21,0)),"")</f>
        <v>4317.2039999999997</v>
      </c>
      <c r="I166" s="16">
        <f>IFERROR(INDEX('EV Productivity'!$D$9:$D$21,MATCH(B166,'EV Productivity'!$A$9:$A$21,0)),"")</f>
        <v>375.8981</v>
      </c>
      <c r="J166" s="7">
        <f t="shared" si="25"/>
        <v>28.812233449810453</v>
      </c>
      <c r="K166" s="4">
        <f t="shared" si="20"/>
        <v>3.3608000695144375</v>
      </c>
      <c r="L166" s="7">
        <f t="shared" si="21"/>
        <v>28.182634171899767</v>
      </c>
      <c r="M166" s="5">
        <f t="shared" si="22"/>
        <v>3716.1122672706679</v>
      </c>
      <c r="N166" s="16">
        <f t="shared" si="23"/>
        <v>193.65019513023779</v>
      </c>
      <c r="O166" s="7">
        <f t="shared" si="26"/>
        <v>29.916616090037223</v>
      </c>
      <c r="P166" s="4">
        <f t="shared" si="24"/>
        <v>3.3984140481151357</v>
      </c>
    </row>
    <row r="167" spans="1:16" x14ac:dyDescent="0.35">
      <c r="A167" s="2" t="s">
        <v>1321</v>
      </c>
      <c r="B167" s="2">
        <v>2022</v>
      </c>
      <c r="C167" s="7">
        <v>33.365540000000003</v>
      </c>
      <c r="D167" s="5">
        <v>3890.2840000000001</v>
      </c>
      <c r="E167" s="16">
        <v>246.43979999999999</v>
      </c>
      <c r="F167" s="15">
        <v>0.187</v>
      </c>
      <c r="G167" s="16">
        <f>IFERROR(INDEX('EV Productivity'!$B$9:$B$21,MATCH(B167,'EV Productivity'!$A$9:$A$21,0)),"")</f>
        <v>119.25117</v>
      </c>
      <c r="H167" s="16">
        <f>IFERROR(INDEX('EV Productivity'!$C$9:$C$21,MATCH(B167,'EV Productivity'!$A$9:$A$21,0)),"")</f>
        <v>4364.1850000000004</v>
      </c>
      <c r="I167" s="16">
        <f>IFERROR(INDEX('EV Productivity'!$D$9:$D$21,MATCH(B167,'EV Productivity'!$A$9:$A$21,0)),"")</f>
        <v>451.82850000000002</v>
      </c>
      <c r="J167" s="7">
        <f t="shared" si="25"/>
        <v>33.033594706597469</v>
      </c>
      <c r="K167" s="4">
        <f t="shared" si="20"/>
        <v>3.49752506504614</v>
      </c>
      <c r="L167" s="7">
        <f t="shared" si="21"/>
        <v>28.623814333675124</v>
      </c>
      <c r="M167" s="5">
        <f t="shared" si="22"/>
        <v>3781.2809409594101</v>
      </c>
      <c r="N167" s="16">
        <f t="shared" si="23"/>
        <v>199.19787269372694</v>
      </c>
      <c r="O167" s="7">
        <f t="shared" si="26"/>
        <v>30.965408609890876</v>
      </c>
      <c r="P167" s="4">
        <f t="shared" si="24"/>
        <v>3.4328707301657362</v>
      </c>
    </row>
    <row r="168" spans="1:16" x14ac:dyDescent="0.35">
      <c r="A168" s="2" t="s">
        <v>1321</v>
      </c>
      <c r="B168" s="2">
        <v>2023</v>
      </c>
      <c r="C168" s="7">
        <v>40.492240000000002</v>
      </c>
      <c r="D168" s="5">
        <v>4073.3890000000001</v>
      </c>
      <c r="E168" s="16">
        <v>269.42680000000001</v>
      </c>
      <c r="F168" s="15">
        <v>0.35699999999999998</v>
      </c>
      <c r="G168" s="16">
        <f>IFERROR(INDEX('EV Productivity'!$B$9:$B$21,MATCH(B168,'EV Productivity'!$A$9:$A$21,0)),"")</f>
        <v>120.57422</v>
      </c>
      <c r="H168" s="16">
        <f>IFERROR(INDEX('EV Productivity'!$C$9:$C$21,MATCH(B168,'EV Productivity'!$A$9:$A$21,0)),"")</f>
        <v>4383.7889999999998</v>
      </c>
      <c r="I168" s="16">
        <f>IFERROR(INDEX('EV Productivity'!$D$9:$D$21,MATCH(B168,'EV Productivity'!$A$9:$A$21,0)),"")</f>
        <v>406.87689999999998</v>
      </c>
      <c r="J168" s="7">
        <f t="shared" si="25"/>
        <v>42.302041247376295</v>
      </c>
      <c r="K168" s="4">
        <f t="shared" si="20"/>
        <v>3.7448353413270836</v>
      </c>
      <c r="L168" s="7">
        <f t="shared" si="21"/>
        <v>29.58326973828316</v>
      </c>
      <c r="M168" s="5">
        <f t="shared" si="22"/>
        <v>3901.0518304821148</v>
      </c>
      <c r="N168" s="16">
        <f t="shared" si="23"/>
        <v>193.11313639191295</v>
      </c>
      <c r="O168" s="7">
        <f t="shared" si="26"/>
        <v>31.827432989882571</v>
      </c>
      <c r="P168" s="4">
        <f t="shared" si="24"/>
        <v>3.460328590535771</v>
      </c>
    </row>
    <row r="169" spans="1:16" x14ac:dyDescent="0.35">
      <c r="A169" s="2" t="s">
        <v>1321</v>
      </c>
      <c r="B169" s="2">
        <v>2024</v>
      </c>
      <c r="C169" s="7">
        <v>39.189</v>
      </c>
      <c r="D169" s="5">
        <v>3991.2829999999999</v>
      </c>
      <c r="E169" s="16">
        <v>245.37029999999999</v>
      </c>
      <c r="F169" s="15">
        <v>0.30499999999999999</v>
      </c>
      <c r="G169" s="16">
        <f>IFERROR(INDEX('EV Productivity'!$B$9:$B$21,MATCH(B169,'EV Productivity'!$A$9:$A$21,0)),"")</f>
        <v>117.14232</v>
      </c>
      <c r="H169" s="16">
        <f>IFERROR(INDEX('EV Productivity'!$C$9:$C$21,MATCH(B169,'EV Productivity'!$A$9:$A$21,0)),"")</f>
        <v>4409.7259999999997</v>
      </c>
      <c r="I169" s="16">
        <f>IFERROR(INDEX('EV Productivity'!$D$9:$D$21,MATCH(B169,'EV Productivity'!$A$9:$A$21,0)),"")</f>
        <v>420.45740000000001</v>
      </c>
      <c r="J169" s="7">
        <f t="shared" si="25"/>
        <v>39.189</v>
      </c>
      <c r="K169" s="4">
        <f t="shared" si="20"/>
        <v>3.6683960951725361</v>
      </c>
      <c r="L169" s="7">
        <f t="shared" si="21"/>
        <v>30.331207060422997</v>
      </c>
      <c r="M169" s="5">
        <f t="shared" si="22"/>
        <v>3807.6497410071938</v>
      </c>
      <c r="N169" s="16">
        <f t="shared" si="23"/>
        <v>168.53351510791362</v>
      </c>
      <c r="O169" s="7">
        <f t="shared" si="26"/>
        <v>30.331207060422997</v>
      </c>
      <c r="P169" s="4">
        <f t="shared" si="24"/>
        <v>3.4121771184827052</v>
      </c>
    </row>
    <row r="170" spans="1:16" x14ac:dyDescent="0.35">
      <c r="A170" s="2" t="s">
        <v>1322</v>
      </c>
      <c r="B170" s="2">
        <v>1975</v>
      </c>
      <c r="C170" s="7">
        <v>11.020709999999999</v>
      </c>
      <c r="D170" s="5">
        <v>4213.5739999999996</v>
      </c>
      <c r="E170" s="16">
        <v>147.82210000000001</v>
      </c>
      <c r="F170" s="15">
        <v>0</v>
      </c>
      <c r="G170" s="16" t="str">
        <f>IFERROR(INDEX('EV Productivity'!$B$9:$B$21,MATCH(B170,'EV Productivity'!$A$9:$A$21,0)),"")</f>
        <v/>
      </c>
      <c r="H170" s="16" t="str">
        <f>IFERROR(INDEX('EV Productivity'!$C$9:$C$21,MATCH(B170,'EV Productivity'!$A$9:$A$21,0)),"")</f>
        <v/>
      </c>
      <c r="I170" s="16" t="str">
        <f>IFERROR(INDEX('EV Productivity'!$D$9:$D$21,MATCH(B170,'EV Productivity'!$A$9:$A$21,0)),"")</f>
        <v/>
      </c>
      <c r="J170" s="7">
        <f t="shared" ref="J170:J201" si="27">C170*(D170/$D$219)^$B$4*(E170/$E$219)^$B$5</f>
        <v>8.6238410583395435</v>
      </c>
      <c r="K170" s="4">
        <f t="shared" si="20"/>
        <v>2.1545305838413706</v>
      </c>
      <c r="L170" s="7">
        <f t="shared" si="21"/>
        <v>11.020709999999999</v>
      </c>
      <c r="M170" s="5">
        <f t="shared" si="22"/>
        <v>4213.5739999999996</v>
      </c>
      <c r="N170" s="16">
        <f t="shared" si="23"/>
        <v>147.82210000000001</v>
      </c>
      <c r="O170" s="7">
        <f t="shared" ref="O170:O201" si="28">L170*(M170/$M$219)^$E$4*(N170/$N$219)^$E$5</f>
        <v>8.2734887930946304</v>
      </c>
      <c r="P170" s="4">
        <f t="shared" si="24"/>
        <v>2.1130562813945</v>
      </c>
    </row>
    <row r="171" spans="1:16" x14ac:dyDescent="0.35">
      <c r="A171" s="2" t="s">
        <v>1322</v>
      </c>
      <c r="B171" s="2">
        <v>1976</v>
      </c>
      <c r="C171" s="7">
        <v>11.768940000000001</v>
      </c>
      <c r="D171" s="5">
        <v>4328.1989999999996</v>
      </c>
      <c r="E171" s="16">
        <v>141.5282</v>
      </c>
      <c r="F171" s="15">
        <v>0</v>
      </c>
      <c r="G171" s="16" t="str">
        <f>IFERROR(INDEX('EV Productivity'!$B$9:$B$21,MATCH(B171,'EV Productivity'!$A$9:$A$21,0)),"")</f>
        <v/>
      </c>
      <c r="H171" s="16" t="str">
        <f>IFERROR(INDEX('EV Productivity'!$C$9:$C$21,MATCH(B171,'EV Productivity'!$A$9:$A$21,0)),"")</f>
        <v/>
      </c>
      <c r="I171" s="16" t="str">
        <f>IFERROR(INDEX('EV Productivity'!$D$9:$D$21,MATCH(B171,'EV Productivity'!$A$9:$A$21,0)),"")</f>
        <v/>
      </c>
      <c r="J171" s="7">
        <f t="shared" si="27"/>
        <v>9.1734745924319654</v>
      </c>
      <c r="K171" s="4">
        <f t="shared" si="20"/>
        <v>2.2163161231627702</v>
      </c>
      <c r="L171" s="7">
        <f t="shared" si="21"/>
        <v>11.768940000000001</v>
      </c>
      <c r="M171" s="5">
        <f t="shared" si="22"/>
        <v>4328.1989999999996</v>
      </c>
      <c r="N171" s="16">
        <f t="shared" si="23"/>
        <v>141.5282</v>
      </c>
      <c r="O171" s="7">
        <f t="shared" si="28"/>
        <v>8.7222798292266717</v>
      </c>
      <c r="P171" s="4">
        <f t="shared" si="24"/>
        <v>2.1658806520550469</v>
      </c>
    </row>
    <row r="172" spans="1:16" x14ac:dyDescent="0.35">
      <c r="A172" s="2" t="s">
        <v>1322</v>
      </c>
      <c r="B172" s="2">
        <v>1977</v>
      </c>
      <c r="C172" s="7">
        <v>12.84559</v>
      </c>
      <c r="D172" s="5">
        <v>4248.1729999999998</v>
      </c>
      <c r="E172" s="16">
        <v>144.92240000000001</v>
      </c>
      <c r="F172" s="15">
        <v>0</v>
      </c>
      <c r="G172" s="16" t="str">
        <f>IFERROR(INDEX('EV Productivity'!$B$9:$B$21,MATCH(B172,'EV Productivity'!$A$9:$A$21,0)),"")</f>
        <v/>
      </c>
      <c r="H172" s="16" t="str">
        <f>IFERROR(INDEX('EV Productivity'!$C$9:$C$21,MATCH(B172,'EV Productivity'!$A$9:$A$21,0)),"")</f>
        <v/>
      </c>
      <c r="I172" s="16" t="str">
        <f>IFERROR(INDEX('EV Productivity'!$D$9:$D$21,MATCH(B172,'EV Productivity'!$A$9:$A$21,0)),"")</f>
        <v/>
      </c>
      <c r="J172" s="7">
        <f t="shared" si="27"/>
        <v>10.015640246604546</v>
      </c>
      <c r="K172" s="4">
        <f t="shared" si="20"/>
        <v>2.3041478958417287</v>
      </c>
      <c r="L172" s="7">
        <f t="shared" si="21"/>
        <v>12.84559</v>
      </c>
      <c r="M172" s="5">
        <f t="shared" si="22"/>
        <v>4248.1729999999998</v>
      </c>
      <c r="N172" s="16">
        <f t="shared" si="23"/>
        <v>144.92240000000001</v>
      </c>
      <c r="O172" s="7">
        <f t="shared" si="28"/>
        <v>9.5753840014240517</v>
      </c>
      <c r="P172" s="4">
        <f t="shared" si="24"/>
        <v>2.2591956388499104</v>
      </c>
    </row>
    <row r="173" spans="1:16" x14ac:dyDescent="0.35">
      <c r="A173" s="2" t="s">
        <v>1322</v>
      </c>
      <c r="B173" s="2">
        <v>1978</v>
      </c>
      <c r="C173" s="7">
        <v>12.2864</v>
      </c>
      <c r="D173" s="5">
        <v>4281.723</v>
      </c>
      <c r="E173" s="16">
        <v>149.65799999999999</v>
      </c>
      <c r="F173" s="15">
        <v>0</v>
      </c>
      <c r="G173" s="16" t="str">
        <f>IFERROR(INDEX('EV Productivity'!$B$9:$B$21,MATCH(B173,'EV Productivity'!$A$9:$A$21,0)),"")</f>
        <v/>
      </c>
      <c r="H173" s="16" t="str">
        <f>IFERROR(INDEX('EV Productivity'!$C$9:$C$21,MATCH(B173,'EV Productivity'!$A$9:$A$21,0)),"")</f>
        <v/>
      </c>
      <c r="I173" s="16" t="str">
        <f>IFERROR(INDEX('EV Productivity'!$D$9:$D$21,MATCH(B173,'EV Productivity'!$A$9:$A$21,0)),"")</f>
        <v/>
      </c>
      <c r="J173" s="7">
        <f t="shared" si="27"/>
        <v>9.7285478387927782</v>
      </c>
      <c r="K173" s="4">
        <f t="shared" si="20"/>
        <v>2.2750646393035199</v>
      </c>
      <c r="L173" s="7">
        <f t="shared" si="21"/>
        <v>12.2864</v>
      </c>
      <c r="M173" s="5">
        <f t="shared" si="22"/>
        <v>4281.723</v>
      </c>
      <c r="N173" s="16">
        <f t="shared" si="23"/>
        <v>149.65799999999999</v>
      </c>
      <c r="O173" s="7">
        <f t="shared" si="28"/>
        <v>9.3241565228868097</v>
      </c>
      <c r="P173" s="4">
        <f t="shared" si="24"/>
        <v>2.2326085081290064</v>
      </c>
    </row>
    <row r="174" spans="1:16" x14ac:dyDescent="0.35">
      <c r="A174" s="2" t="s">
        <v>1322</v>
      </c>
      <c r="B174" s="2">
        <v>1979</v>
      </c>
      <c r="C174" s="7">
        <v>10.53097</v>
      </c>
      <c r="D174" s="5">
        <v>4560.5259999999998</v>
      </c>
      <c r="E174" s="16">
        <v>145.2456</v>
      </c>
      <c r="F174" s="15">
        <v>0</v>
      </c>
      <c r="G174" s="16" t="str">
        <f>IFERROR(INDEX('EV Productivity'!$B$9:$B$21,MATCH(B174,'EV Productivity'!$A$9:$A$21,0)),"")</f>
        <v/>
      </c>
      <c r="H174" s="16" t="str">
        <f>IFERROR(INDEX('EV Productivity'!$C$9:$C$21,MATCH(B174,'EV Productivity'!$A$9:$A$21,0)),"")</f>
        <v/>
      </c>
      <c r="I174" s="16" t="str">
        <f>IFERROR(INDEX('EV Productivity'!$D$9:$D$21,MATCH(B174,'EV Productivity'!$A$9:$A$21,0)),"")</f>
        <v/>
      </c>
      <c r="J174" s="7">
        <f t="shared" si="27"/>
        <v>8.4859249417614127</v>
      </c>
      <c r="K174" s="4">
        <f t="shared" si="20"/>
        <v>2.1384089017918546</v>
      </c>
      <c r="L174" s="7">
        <f t="shared" si="21"/>
        <v>10.53097</v>
      </c>
      <c r="M174" s="5">
        <f t="shared" si="22"/>
        <v>4560.5259999999998</v>
      </c>
      <c r="N174" s="16">
        <f t="shared" si="23"/>
        <v>145.2456</v>
      </c>
      <c r="O174" s="7">
        <f t="shared" si="28"/>
        <v>8.0296649633513013</v>
      </c>
      <c r="P174" s="4">
        <f t="shared" si="24"/>
        <v>2.0831428039688471</v>
      </c>
    </row>
    <row r="175" spans="1:16" x14ac:dyDescent="0.35">
      <c r="A175" s="2" t="s">
        <v>1322</v>
      </c>
      <c r="B175" s="2">
        <v>1980</v>
      </c>
      <c r="C175" s="7">
        <v>13.186310000000001</v>
      </c>
      <c r="D175" s="5">
        <v>4236.8310000000001</v>
      </c>
      <c r="E175" s="16">
        <v>130.74780000000001</v>
      </c>
      <c r="F175" s="15">
        <v>0</v>
      </c>
      <c r="G175" s="16" t="str">
        <f>IFERROR(INDEX('EV Productivity'!$B$9:$B$21,MATCH(B175,'EV Productivity'!$A$9:$A$21,0)),"")</f>
        <v/>
      </c>
      <c r="H175" s="16" t="str">
        <f>IFERROR(INDEX('EV Productivity'!$C$9:$C$21,MATCH(B175,'EV Productivity'!$A$9:$A$21,0)),"")</f>
        <v/>
      </c>
      <c r="I175" s="16" t="str">
        <f>IFERROR(INDEX('EV Productivity'!$D$9:$D$21,MATCH(B175,'EV Productivity'!$A$9:$A$21,0)),"")</f>
        <v/>
      </c>
      <c r="J175" s="7">
        <f t="shared" si="27"/>
        <v>9.8862166247917038</v>
      </c>
      <c r="K175" s="4">
        <f t="shared" si="20"/>
        <v>2.29114152692385</v>
      </c>
      <c r="L175" s="7">
        <f t="shared" si="21"/>
        <v>13.186310000000001</v>
      </c>
      <c r="M175" s="5">
        <f t="shared" si="22"/>
        <v>4236.8310000000001</v>
      </c>
      <c r="N175" s="16">
        <f t="shared" si="23"/>
        <v>130.74780000000001</v>
      </c>
      <c r="O175" s="7">
        <f t="shared" si="28"/>
        <v>9.3450465338975253</v>
      </c>
      <c r="P175" s="4">
        <f t="shared" si="24"/>
        <v>2.2348464204454253</v>
      </c>
    </row>
    <row r="176" spans="1:16" x14ac:dyDescent="0.35">
      <c r="A176" s="2" t="s">
        <v>1322</v>
      </c>
      <c r="B176" s="2">
        <v>1981</v>
      </c>
      <c r="C176" s="7">
        <v>14.30158</v>
      </c>
      <c r="D176" s="5">
        <v>4208.0280000000002</v>
      </c>
      <c r="E176" s="16">
        <v>131.51490000000001</v>
      </c>
      <c r="F176" s="15">
        <v>0</v>
      </c>
      <c r="G176" s="16" t="str">
        <f>IFERROR(INDEX('EV Productivity'!$B$9:$B$21,MATCH(B176,'EV Productivity'!$A$9:$A$21,0)),"")</f>
        <v/>
      </c>
      <c r="H176" s="16" t="str">
        <f>IFERROR(INDEX('EV Productivity'!$C$9:$C$21,MATCH(B176,'EV Productivity'!$A$9:$A$21,0)),"")</f>
        <v/>
      </c>
      <c r="I176" s="16" t="str">
        <f>IFERROR(INDEX('EV Productivity'!$D$9:$D$21,MATCH(B176,'EV Productivity'!$A$9:$A$21,0)),"")</f>
        <v/>
      </c>
      <c r="J176" s="7">
        <f t="shared" si="27"/>
        <v>10.712406092793206</v>
      </c>
      <c r="K176" s="4">
        <f t="shared" si="20"/>
        <v>2.371402517751819</v>
      </c>
      <c r="L176" s="7">
        <f t="shared" si="21"/>
        <v>14.30158</v>
      </c>
      <c r="M176" s="5">
        <f t="shared" si="22"/>
        <v>4208.0280000000002</v>
      </c>
      <c r="N176" s="16">
        <f t="shared" si="23"/>
        <v>131.51490000000001</v>
      </c>
      <c r="O176" s="7">
        <f t="shared" si="28"/>
        <v>10.143070622832443</v>
      </c>
      <c r="P176" s="4">
        <f t="shared" si="24"/>
        <v>2.316790775086019</v>
      </c>
    </row>
    <row r="177" spans="1:16" x14ac:dyDescent="0.35">
      <c r="A177" s="2" t="s">
        <v>1322</v>
      </c>
      <c r="B177" s="2">
        <v>1982</v>
      </c>
      <c r="C177" s="7">
        <v>14.69788</v>
      </c>
      <c r="D177" s="5">
        <v>4494.4070000000002</v>
      </c>
      <c r="E177" s="16">
        <v>132.9675</v>
      </c>
      <c r="F177" s="15">
        <v>0</v>
      </c>
      <c r="G177" s="16" t="str">
        <f>IFERROR(INDEX('EV Productivity'!$B$9:$B$21,MATCH(B177,'EV Productivity'!$A$9:$A$21,0)),"")</f>
        <v/>
      </c>
      <c r="H177" s="16" t="str">
        <f>IFERROR(INDEX('EV Productivity'!$C$9:$C$21,MATCH(B177,'EV Productivity'!$A$9:$A$21,0)),"")</f>
        <v/>
      </c>
      <c r="I177" s="16" t="str">
        <f>IFERROR(INDEX('EV Productivity'!$D$9:$D$21,MATCH(B177,'EV Productivity'!$A$9:$A$21,0)),"")</f>
        <v/>
      </c>
      <c r="J177" s="7">
        <f t="shared" si="27"/>
        <v>11.388392625149553</v>
      </c>
      <c r="K177" s="4">
        <f t="shared" si="20"/>
        <v>2.4325946459157404</v>
      </c>
      <c r="L177" s="7">
        <f t="shared" si="21"/>
        <v>14.69788</v>
      </c>
      <c r="M177" s="5">
        <f t="shared" si="22"/>
        <v>4494.4070000000002</v>
      </c>
      <c r="N177" s="16">
        <f t="shared" si="23"/>
        <v>132.9675</v>
      </c>
      <c r="O177" s="7">
        <f t="shared" si="28"/>
        <v>10.691285952889224</v>
      </c>
      <c r="P177" s="4">
        <f t="shared" si="24"/>
        <v>2.3694290127402855</v>
      </c>
    </row>
    <row r="178" spans="1:16" x14ac:dyDescent="0.35">
      <c r="A178" s="2" t="s">
        <v>1322</v>
      </c>
      <c r="B178" s="2">
        <v>1983</v>
      </c>
      <c r="C178" s="7">
        <v>15.79468</v>
      </c>
      <c r="D178" s="5">
        <v>4269.6570000000002</v>
      </c>
      <c r="E178" s="16">
        <v>126.90949999999999</v>
      </c>
      <c r="F178" s="15">
        <v>0</v>
      </c>
      <c r="G178" s="16" t="str">
        <f>IFERROR(INDEX('EV Productivity'!$B$9:$B$21,MATCH(B178,'EV Productivity'!$A$9:$A$21,0)),"")</f>
        <v/>
      </c>
      <c r="H178" s="16" t="str">
        <f>IFERROR(INDEX('EV Productivity'!$C$9:$C$21,MATCH(B178,'EV Productivity'!$A$9:$A$21,0)),"")</f>
        <v/>
      </c>
      <c r="I178" s="16" t="str">
        <f>IFERROR(INDEX('EV Productivity'!$D$9:$D$21,MATCH(B178,'EV Productivity'!$A$9:$A$21,0)),"")</f>
        <v/>
      </c>
      <c r="J178" s="7">
        <f t="shared" si="27"/>
        <v>11.753328036864284</v>
      </c>
      <c r="K178" s="4">
        <f t="shared" si="20"/>
        <v>2.4641364376660295</v>
      </c>
      <c r="L178" s="7">
        <f t="shared" si="21"/>
        <v>15.79468</v>
      </c>
      <c r="M178" s="5">
        <f t="shared" si="22"/>
        <v>4269.6570000000002</v>
      </c>
      <c r="N178" s="16">
        <f t="shared" si="23"/>
        <v>126.90949999999999</v>
      </c>
      <c r="O178" s="7">
        <f t="shared" si="28"/>
        <v>11.059534303727354</v>
      </c>
      <c r="P178" s="4">
        <f t="shared" si="24"/>
        <v>2.403292888853926</v>
      </c>
    </row>
    <row r="179" spans="1:16" x14ac:dyDescent="0.35">
      <c r="A179" s="2" t="s">
        <v>1322</v>
      </c>
      <c r="B179" s="2">
        <v>1984</v>
      </c>
      <c r="C179" s="7">
        <v>16.192419999999998</v>
      </c>
      <c r="D179" s="5">
        <v>4048.509</v>
      </c>
      <c r="E179" s="16">
        <v>121.6039</v>
      </c>
      <c r="F179" s="15">
        <v>0</v>
      </c>
      <c r="G179" s="16" t="str">
        <f>IFERROR(INDEX('EV Productivity'!$B$9:$B$21,MATCH(B179,'EV Productivity'!$A$9:$A$21,0)),"")</f>
        <v/>
      </c>
      <c r="H179" s="16" t="str">
        <f>IFERROR(INDEX('EV Productivity'!$C$9:$C$21,MATCH(B179,'EV Productivity'!$A$9:$A$21,0)),"")</f>
        <v/>
      </c>
      <c r="I179" s="16" t="str">
        <f>IFERROR(INDEX('EV Productivity'!$D$9:$D$21,MATCH(B179,'EV Productivity'!$A$9:$A$21,0)),"")</f>
        <v/>
      </c>
      <c r="J179" s="7">
        <f t="shared" si="27"/>
        <v>11.578772031378644</v>
      </c>
      <c r="K179" s="4">
        <f t="shared" si="20"/>
        <v>2.4491734243266969</v>
      </c>
      <c r="L179" s="7">
        <f t="shared" si="21"/>
        <v>16.192419999999998</v>
      </c>
      <c r="M179" s="5">
        <f t="shared" si="22"/>
        <v>4048.509</v>
      </c>
      <c r="N179" s="16">
        <f t="shared" si="23"/>
        <v>121.6039</v>
      </c>
      <c r="O179" s="7">
        <f t="shared" si="28"/>
        <v>10.928569711333582</v>
      </c>
      <c r="P179" s="4">
        <f t="shared" si="24"/>
        <v>2.3913804346442897</v>
      </c>
    </row>
    <row r="180" spans="1:16" x14ac:dyDescent="0.35">
      <c r="A180" s="2" t="s">
        <v>1322</v>
      </c>
      <c r="B180" s="2">
        <v>1985</v>
      </c>
      <c r="C180" s="7">
        <v>16.53857</v>
      </c>
      <c r="D180" s="5">
        <v>4092.154</v>
      </c>
      <c r="E180" s="16">
        <v>123.34310000000001</v>
      </c>
      <c r="F180" s="15">
        <v>0</v>
      </c>
      <c r="G180" s="16" t="str">
        <f>IFERROR(INDEX('EV Productivity'!$B$9:$B$21,MATCH(B180,'EV Productivity'!$A$9:$A$21,0)),"")</f>
        <v/>
      </c>
      <c r="H180" s="16" t="str">
        <f>IFERROR(INDEX('EV Productivity'!$C$9:$C$21,MATCH(B180,'EV Productivity'!$A$9:$A$21,0)),"")</f>
        <v/>
      </c>
      <c r="I180" s="16" t="str">
        <f>IFERROR(INDEX('EV Productivity'!$D$9:$D$21,MATCH(B180,'EV Productivity'!$A$9:$A$21,0)),"")</f>
        <v/>
      </c>
      <c r="J180" s="7">
        <f t="shared" si="27"/>
        <v>11.946269538175626</v>
      </c>
      <c r="K180" s="4">
        <f t="shared" si="20"/>
        <v>2.4804190571039255</v>
      </c>
      <c r="L180" s="7">
        <f t="shared" si="21"/>
        <v>16.53857</v>
      </c>
      <c r="M180" s="5">
        <f t="shared" si="22"/>
        <v>4092.154</v>
      </c>
      <c r="N180" s="16">
        <f t="shared" si="23"/>
        <v>123.34310000000001</v>
      </c>
      <c r="O180" s="7">
        <f t="shared" si="28"/>
        <v>11.275686682017451</v>
      </c>
      <c r="P180" s="4">
        <f t="shared" si="24"/>
        <v>2.4226487865956408</v>
      </c>
    </row>
    <row r="181" spans="1:16" x14ac:dyDescent="0.35">
      <c r="A181" s="2" t="s">
        <v>1322</v>
      </c>
      <c r="B181" s="2">
        <v>1986</v>
      </c>
      <c r="C181" s="7">
        <v>17.03397</v>
      </c>
      <c r="D181" s="5">
        <v>3957.8809999999999</v>
      </c>
      <c r="E181" s="16">
        <v>127.7072</v>
      </c>
      <c r="F181" s="15">
        <v>0</v>
      </c>
      <c r="G181" s="16" t="str">
        <f>IFERROR(INDEX('EV Productivity'!$B$9:$B$21,MATCH(B181,'EV Productivity'!$A$9:$A$21,0)),"")</f>
        <v/>
      </c>
      <c r="H181" s="16" t="str">
        <f>IFERROR(INDEX('EV Productivity'!$C$9:$C$21,MATCH(B181,'EV Productivity'!$A$9:$A$21,0)),"")</f>
        <v/>
      </c>
      <c r="I181" s="16" t="str">
        <f>IFERROR(INDEX('EV Productivity'!$D$9:$D$21,MATCH(B181,'EV Productivity'!$A$9:$A$21,0)),"")</f>
        <v/>
      </c>
      <c r="J181" s="7">
        <f t="shared" si="27"/>
        <v>12.276146575074247</v>
      </c>
      <c r="K181" s="4">
        <f t="shared" si="20"/>
        <v>2.5076580766564147</v>
      </c>
      <c r="L181" s="7">
        <f t="shared" si="21"/>
        <v>17.03397</v>
      </c>
      <c r="M181" s="5">
        <f t="shared" si="22"/>
        <v>3957.8809999999999</v>
      </c>
      <c r="N181" s="16">
        <f t="shared" si="23"/>
        <v>127.7072</v>
      </c>
      <c r="O181" s="7">
        <f t="shared" si="28"/>
        <v>11.691048772097581</v>
      </c>
      <c r="P181" s="4">
        <f t="shared" si="24"/>
        <v>2.4588234867803784</v>
      </c>
    </row>
    <row r="182" spans="1:16" x14ac:dyDescent="0.35">
      <c r="A182" s="2" t="s">
        <v>1322</v>
      </c>
      <c r="B182" s="2">
        <v>1987</v>
      </c>
      <c r="C182" s="7">
        <v>17.273859999999999</v>
      </c>
      <c r="D182" s="5">
        <v>3881.9430000000002</v>
      </c>
      <c r="E182" s="16">
        <v>137.25370000000001</v>
      </c>
      <c r="F182" s="15">
        <v>0</v>
      </c>
      <c r="G182" s="16" t="str">
        <f>IFERROR(INDEX('EV Productivity'!$B$9:$B$21,MATCH(B182,'EV Productivity'!$A$9:$A$21,0)),"")</f>
        <v/>
      </c>
      <c r="H182" s="16" t="str">
        <f>IFERROR(INDEX('EV Productivity'!$C$9:$C$21,MATCH(B182,'EV Productivity'!$A$9:$A$21,0)),"")</f>
        <v/>
      </c>
      <c r="I182" s="16" t="str">
        <f>IFERROR(INDEX('EV Productivity'!$D$9:$D$21,MATCH(B182,'EV Productivity'!$A$9:$A$21,0)),"")</f>
        <v/>
      </c>
      <c r="J182" s="7">
        <f t="shared" si="27"/>
        <v>12.672952844244048</v>
      </c>
      <c r="K182" s="4">
        <f t="shared" si="20"/>
        <v>2.539470025130647</v>
      </c>
      <c r="L182" s="7">
        <f t="shared" si="21"/>
        <v>17.273859999999999</v>
      </c>
      <c r="M182" s="5">
        <f t="shared" si="22"/>
        <v>3881.9430000000002</v>
      </c>
      <c r="N182" s="16">
        <f t="shared" si="23"/>
        <v>137.25370000000001</v>
      </c>
      <c r="O182" s="7">
        <f t="shared" si="28"/>
        <v>12.203764989094628</v>
      </c>
      <c r="P182" s="4">
        <f t="shared" si="24"/>
        <v>2.5017445097937721</v>
      </c>
    </row>
    <row r="183" spans="1:16" x14ac:dyDescent="0.35">
      <c r="A183" s="2" t="s">
        <v>1322</v>
      </c>
      <c r="B183" s="2">
        <v>1988</v>
      </c>
      <c r="C183" s="7">
        <v>17.023099999999999</v>
      </c>
      <c r="D183" s="5">
        <v>3905.607</v>
      </c>
      <c r="E183" s="16">
        <v>144.0111</v>
      </c>
      <c r="F183" s="15">
        <v>0</v>
      </c>
      <c r="G183" s="16" t="str">
        <f>IFERROR(INDEX('EV Productivity'!$B$9:$B$21,MATCH(B183,'EV Productivity'!$A$9:$A$21,0)),"")</f>
        <v/>
      </c>
      <c r="H183" s="16" t="str">
        <f>IFERROR(INDEX('EV Productivity'!$C$9:$C$21,MATCH(B183,'EV Productivity'!$A$9:$A$21,0)),"")</f>
        <v/>
      </c>
      <c r="I183" s="16" t="str">
        <f>IFERROR(INDEX('EV Productivity'!$D$9:$D$21,MATCH(B183,'EV Productivity'!$A$9:$A$21,0)),"")</f>
        <v/>
      </c>
      <c r="J183" s="7">
        <f t="shared" si="27"/>
        <v>12.747426216302543</v>
      </c>
      <c r="K183" s="4">
        <f t="shared" si="20"/>
        <v>2.5453293858388393</v>
      </c>
      <c r="L183" s="7">
        <f t="shared" si="21"/>
        <v>17.023099999999999</v>
      </c>
      <c r="M183" s="5">
        <f t="shared" si="22"/>
        <v>3905.607</v>
      </c>
      <c r="N183" s="16">
        <f t="shared" si="23"/>
        <v>144.0111</v>
      </c>
      <c r="O183" s="7">
        <f t="shared" si="28"/>
        <v>12.33179370674473</v>
      </c>
      <c r="P183" s="4">
        <f t="shared" si="24"/>
        <v>2.5121807815953638</v>
      </c>
    </row>
    <row r="184" spans="1:16" x14ac:dyDescent="0.35">
      <c r="A184" s="2" t="s">
        <v>1322</v>
      </c>
      <c r="B184" s="2">
        <v>1989</v>
      </c>
      <c r="C184" s="7">
        <v>16.552669999999999</v>
      </c>
      <c r="D184" s="5">
        <v>4086.1030000000001</v>
      </c>
      <c r="E184" s="16">
        <v>155.67570000000001</v>
      </c>
      <c r="F184" s="15">
        <v>0</v>
      </c>
      <c r="G184" s="16" t="str">
        <f>IFERROR(INDEX('EV Productivity'!$B$9:$B$21,MATCH(B184,'EV Productivity'!$A$9:$A$21,0)),"")</f>
        <v/>
      </c>
      <c r="H184" s="16" t="str">
        <f>IFERROR(INDEX('EV Productivity'!$C$9:$C$21,MATCH(B184,'EV Productivity'!$A$9:$A$21,0)),"")</f>
        <v/>
      </c>
      <c r="I184" s="16" t="str">
        <f>IFERROR(INDEX('EV Productivity'!$D$9:$D$21,MATCH(B184,'EV Productivity'!$A$9:$A$21,0)),"")</f>
        <v/>
      </c>
      <c r="J184" s="7">
        <f t="shared" si="27"/>
        <v>13.020086933402311</v>
      </c>
      <c r="K184" s="4">
        <f t="shared" si="20"/>
        <v>2.5664933136707524</v>
      </c>
      <c r="L184" s="7">
        <f t="shared" si="21"/>
        <v>16.552669999999999</v>
      </c>
      <c r="M184" s="5">
        <f t="shared" si="22"/>
        <v>4086.1030000000001</v>
      </c>
      <c r="N184" s="16">
        <f t="shared" si="23"/>
        <v>155.67570000000001</v>
      </c>
      <c r="O184" s="7">
        <f t="shared" si="28"/>
        <v>12.622736085970411</v>
      </c>
      <c r="P184" s="4">
        <f t="shared" si="24"/>
        <v>2.535499639158548</v>
      </c>
    </row>
    <row r="185" spans="1:16" x14ac:dyDescent="0.35">
      <c r="A185" s="2" t="s">
        <v>1322</v>
      </c>
      <c r="B185" s="2">
        <v>1990</v>
      </c>
      <c r="C185" s="7">
        <v>16.436219999999999</v>
      </c>
      <c r="D185" s="5">
        <v>4098.3100000000004</v>
      </c>
      <c r="E185" s="16">
        <v>155.14779999999999</v>
      </c>
      <c r="F185" s="15">
        <v>0</v>
      </c>
      <c r="G185" s="16" t="str">
        <f>IFERROR(INDEX('EV Productivity'!$B$9:$B$21,MATCH(B185,'EV Productivity'!$A$9:$A$21,0)),"")</f>
        <v/>
      </c>
      <c r="H185" s="16" t="str">
        <f>IFERROR(INDEX('EV Productivity'!$C$9:$C$21,MATCH(B185,'EV Productivity'!$A$9:$A$21,0)),"")</f>
        <v/>
      </c>
      <c r="I185" s="16" t="str">
        <f>IFERROR(INDEX('EV Productivity'!$D$9:$D$21,MATCH(B185,'EV Productivity'!$A$9:$A$21,0)),"")</f>
        <v/>
      </c>
      <c r="J185" s="7">
        <f t="shared" si="27"/>
        <v>12.929745831607304</v>
      </c>
      <c r="K185" s="4">
        <f t="shared" si="20"/>
        <v>2.5595305353289435</v>
      </c>
      <c r="L185" s="7">
        <f t="shared" si="21"/>
        <v>16.436219999999999</v>
      </c>
      <c r="M185" s="5">
        <f t="shared" si="22"/>
        <v>4098.3100000000004</v>
      </c>
      <c r="N185" s="16">
        <f t="shared" si="23"/>
        <v>155.14779999999999</v>
      </c>
      <c r="O185" s="7">
        <f t="shared" si="28"/>
        <v>12.524729715933285</v>
      </c>
      <c r="P185" s="4">
        <f t="shared" si="24"/>
        <v>2.5277050671718815</v>
      </c>
    </row>
    <row r="186" spans="1:16" x14ac:dyDescent="0.35">
      <c r="A186" s="2" t="s">
        <v>1322</v>
      </c>
      <c r="B186" s="2">
        <v>1991</v>
      </c>
      <c r="C186" s="7">
        <v>16.733250000000002</v>
      </c>
      <c r="D186" s="5">
        <v>4157.2330000000002</v>
      </c>
      <c r="E186" s="16">
        <v>161.52629999999999</v>
      </c>
      <c r="F186" s="15">
        <v>0</v>
      </c>
      <c r="G186" s="16" t="str">
        <f>IFERROR(INDEX('EV Productivity'!$B$9:$B$21,MATCH(B186,'EV Productivity'!$A$9:$A$21,0)),"")</f>
        <v/>
      </c>
      <c r="H186" s="16" t="str">
        <f>IFERROR(INDEX('EV Productivity'!$C$9:$C$21,MATCH(B186,'EV Productivity'!$A$9:$A$21,0)),"")</f>
        <v/>
      </c>
      <c r="I186" s="16" t="str">
        <f>IFERROR(INDEX('EV Productivity'!$D$9:$D$21,MATCH(B186,'EV Productivity'!$A$9:$A$21,0)),"")</f>
        <v/>
      </c>
      <c r="J186" s="7">
        <f t="shared" si="27"/>
        <v>13.447160153915817</v>
      </c>
      <c r="K186" s="4">
        <f t="shared" si="20"/>
        <v>2.5987679427816532</v>
      </c>
      <c r="L186" s="7">
        <f t="shared" si="21"/>
        <v>16.733250000000002</v>
      </c>
      <c r="M186" s="5">
        <f t="shared" si="22"/>
        <v>4157.2330000000002</v>
      </c>
      <c r="N186" s="16">
        <f t="shared" si="23"/>
        <v>161.52629999999999</v>
      </c>
      <c r="O186" s="7">
        <f t="shared" si="28"/>
        <v>13.058144798756953</v>
      </c>
      <c r="P186" s="4">
        <f t="shared" si="24"/>
        <v>2.5694120615953597</v>
      </c>
    </row>
    <row r="187" spans="1:16" x14ac:dyDescent="0.35">
      <c r="A187" s="2" t="s">
        <v>1322</v>
      </c>
      <c r="B187" s="2">
        <v>1992</v>
      </c>
      <c r="C187" s="7">
        <v>16.203309999999998</v>
      </c>
      <c r="D187" s="5">
        <v>4203.692</v>
      </c>
      <c r="E187" s="16">
        <v>169.59200000000001</v>
      </c>
      <c r="F187" s="15">
        <v>0</v>
      </c>
      <c r="G187" s="16" t="str">
        <f>IFERROR(INDEX('EV Productivity'!$B$9:$B$21,MATCH(B187,'EV Productivity'!$A$9:$A$21,0)),"")</f>
        <v/>
      </c>
      <c r="H187" s="16" t="str">
        <f>IFERROR(INDEX('EV Productivity'!$C$9:$C$21,MATCH(B187,'EV Productivity'!$A$9:$A$21,0)),"")</f>
        <v/>
      </c>
      <c r="I187" s="16" t="str">
        <f>IFERROR(INDEX('EV Productivity'!$D$9:$D$21,MATCH(B187,'EV Productivity'!$A$9:$A$21,0)),"")</f>
        <v/>
      </c>
      <c r="J187" s="7">
        <f t="shared" si="27"/>
        <v>13.324369241341742</v>
      </c>
      <c r="K187" s="4">
        <f t="shared" si="20"/>
        <v>2.5895946324468291</v>
      </c>
      <c r="L187" s="7">
        <f t="shared" si="21"/>
        <v>16.203309999999998</v>
      </c>
      <c r="M187" s="5">
        <f t="shared" si="22"/>
        <v>4203.692</v>
      </c>
      <c r="N187" s="16">
        <f t="shared" si="23"/>
        <v>169.59200000000001</v>
      </c>
      <c r="O187" s="7">
        <f t="shared" si="28"/>
        <v>12.989505450372608</v>
      </c>
      <c r="P187" s="4">
        <f t="shared" si="24"/>
        <v>2.5641417583929185</v>
      </c>
    </row>
    <row r="188" spans="1:16" x14ac:dyDescent="0.35">
      <c r="A188" s="2" t="s">
        <v>1322</v>
      </c>
      <c r="B188" s="2">
        <v>1993</v>
      </c>
      <c r="C188" s="7">
        <v>16.29119</v>
      </c>
      <c r="D188" s="5">
        <v>4331.1989999999996</v>
      </c>
      <c r="E188" s="16">
        <v>178.91829999999999</v>
      </c>
      <c r="F188" s="15">
        <v>0</v>
      </c>
      <c r="G188" s="16" t="str">
        <f>IFERROR(INDEX('EV Productivity'!$B$9:$B$21,MATCH(B188,'EV Productivity'!$A$9:$A$21,0)),"")</f>
        <v/>
      </c>
      <c r="H188" s="16" t="str">
        <f>IFERROR(INDEX('EV Productivity'!$C$9:$C$21,MATCH(B188,'EV Productivity'!$A$9:$A$21,0)),"")</f>
        <v/>
      </c>
      <c r="I188" s="16" t="str">
        <f>IFERROR(INDEX('EV Productivity'!$D$9:$D$21,MATCH(B188,'EV Productivity'!$A$9:$A$21,0)),"")</f>
        <v/>
      </c>
      <c r="J188" s="7">
        <f t="shared" si="27"/>
        <v>13.849955144691743</v>
      </c>
      <c r="K188" s="4">
        <f t="shared" si="20"/>
        <v>2.6282819939776876</v>
      </c>
      <c r="L188" s="7">
        <f t="shared" si="21"/>
        <v>16.29119</v>
      </c>
      <c r="M188" s="5">
        <f t="shared" si="22"/>
        <v>4331.1989999999996</v>
      </c>
      <c r="N188" s="16">
        <f t="shared" si="23"/>
        <v>178.91829999999999</v>
      </c>
      <c r="O188" s="7">
        <f t="shared" si="28"/>
        <v>13.524256938500251</v>
      </c>
      <c r="P188" s="4">
        <f t="shared" si="24"/>
        <v>2.6044848833711893</v>
      </c>
    </row>
    <row r="189" spans="1:16" x14ac:dyDescent="0.35">
      <c r="A189" s="2" t="s">
        <v>1322</v>
      </c>
      <c r="B189" s="2">
        <v>1994</v>
      </c>
      <c r="C189" s="7">
        <v>16.00656</v>
      </c>
      <c r="D189" s="5">
        <v>4331.1040000000003</v>
      </c>
      <c r="E189" s="16">
        <v>180.459</v>
      </c>
      <c r="F189" s="15">
        <v>0</v>
      </c>
      <c r="G189" s="16" t="str">
        <f>IFERROR(INDEX('EV Productivity'!$B$9:$B$21,MATCH(B189,'EV Productivity'!$A$9:$A$21,0)),"")</f>
        <v/>
      </c>
      <c r="H189" s="16" t="str">
        <f>IFERROR(INDEX('EV Productivity'!$C$9:$C$21,MATCH(B189,'EV Productivity'!$A$9:$A$21,0)),"")</f>
        <v/>
      </c>
      <c r="I189" s="16" t="str">
        <f>IFERROR(INDEX('EV Productivity'!$D$9:$D$21,MATCH(B189,'EV Productivity'!$A$9:$A$21,0)),"")</f>
        <v/>
      </c>
      <c r="J189" s="7">
        <f t="shared" si="27"/>
        <v>13.650957640266514</v>
      </c>
      <c r="K189" s="4">
        <f t="shared" si="20"/>
        <v>2.6138096759661775</v>
      </c>
      <c r="L189" s="7">
        <f t="shared" si="21"/>
        <v>16.00656</v>
      </c>
      <c r="M189" s="5">
        <f t="shared" si="22"/>
        <v>4331.1040000000003</v>
      </c>
      <c r="N189" s="16">
        <f t="shared" si="23"/>
        <v>180.459</v>
      </c>
      <c r="O189" s="7">
        <f t="shared" si="28"/>
        <v>13.343026781401283</v>
      </c>
      <c r="P189" s="4">
        <f t="shared" si="24"/>
        <v>2.5909939099081818</v>
      </c>
    </row>
    <row r="190" spans="1:16" x14ac:dyDescent="0.35">
      <c r="A190" s="2" t="s">
        <v>1322</v>
      </c>
      <c r="B190" s="2">
        <v>1995</v>
      </c>
      <c r="C190" s="7">
        <v>15.99832</v>
      </c>
      <c r="D190" s="5">
        <v>4323.1310000000003</v>
      </c>
      <c r="E190" s="16">
        <v>177.40350000000001</v>
      </c>
      <c r="F190" s="15">
        <v>0</v>
      </c>
      <c r="G190" s="16" t="str">
        <f>IFERROR(INDEX('EV Productivity'!$B$9:$B$21,MATCH(B190,'EV Productivity'!$A$9:$A$21,0)),"")</f>
        <v/>
      </c>
      <c r="H190" s="16" t="str">
        <f>IFERROR(INDEX('EV Productivity'!$C$9:$C$21,MATCH(B190,'EV Productivity'!$A$9:$A$21,0)),"")</f>
        <v/>
      </c>
      <c r="I190" s="16" t="str">
        <f>IFERROR(INDEX('EV Productivity'!$D$9:$D$21,MATCH(B190,'EV Productivity'!$A$9:$A$21,0)),"")</f>
        <v/>
      </c>
      <c r="J190" s="7">
        <f t="shared" si="27"/>
        <v>13.546933713675543</v>
      </c>
      <c r="K190" s="4">
        <f t="shared" si="20"/>
        <v>2.6061602275236284</v>
      </c>
      <c r="L190" s="7">
        <f t="shared" si="21"/>
        <v>15.99832</v>
      </c>
      <c r="M190" s="5">
        <f t="shared" si="22"/>
        <v>4323.1310000000003</v>
      </c>
      <c r="N190" s="16">
        <f t="shared" si="23"/>
        <v>177.40350000000001</v>
      </c>
      <c r="O190" s="7">
        <f t="shared" si="28"/>
        <v>13.219208425872406</v>
      </c>
      <c r="P190" s="4">
        <f t="shared" si="24"/>
        <v>2.5816709556166502</v>
      </c>
    </row>
    <row r="191" spans="1:16" x14ac:dyDescent="0.35">
      <c r="A191" s="2" t="s">
        <v>1322</v>
      </c>
      <c r="B191" s="2">
        <v>1996</v>
      </c>
      <c r="C191" s="7">
        <v>16.22709</v>
      </c>
      <c r="D191" s="5">
        <v>4386.1000000000004</v>
      </c>
      <c r="E191" s="16">
        <v>188.60740000000001</v>
      </c>
      <c r="F191" s="15">
        <v>0</v>
      </c>
      <c r="G191" s="16" t="str">
        <f>IFERROR(INDEX('EV Productivity'!$B$9:$B$21,MATCH(B191,'EV Productivity'!$A$9:$A$21,0)),"")</f>
        <v/>
      </c>
      <c r="H191" s="16" t="str">
        <f>IFERROR(INDEX('EV Productivity'!$C$9:$C$21,MATCH(B191,'EV Productivity'!$A$9:$A$21,0)),"")</f>
        <v/>
      </c>
      <c r="I191" s="16" t="str">
        <f>IFERROR(INDEX('EV Productivity'!$D$9:$D$21,MATCH(B191,'EV Productivity'!$A$9:$A$21,0)),"")</f>
        <v/>
      </c>
      <c r="J191" s="7">
        <f t="shared" si="27"/>
        <v>14.146955023866241</v>
      </c>
      <c r="K191" s="4">
        <f t="shared" si="20"/>
        <v>2.6494994082723542</v>
      </c>
      <c r="L191" s="7">
        <f t="shared" si="21"/>
        <v>16.22709</v>
      </c>
      <c r="M191" s="5">
        <f t="shared" si="22"/>
        <v>4386.1000000000004</v>
      </c>
      <c r="N191" s="16">
        <f t="shared" si="23"/>
        <v>188.60740000000001</v>
      </c>
      <c r="O191" s="7">
        <f t="shared" si="28"/>
        <v>13.871577789662302</v>
      </c>
      <c r="P191" s="4">
        <f t="shared" si="24"/>
        <v>2.6298419834203184</v>
      </c>
    </row>
    <row r="192" spans="1:16" x14ac:dyDescent="0.35">
      <c r="A192" s="2" t="s">
        <v>1322</v>
      </c>
      <c r="B192" s="2">
        <v>1997</v>
      </c>
      <c r="C192" s="7">
        <v>16.131440000000001</v>
      </c>
      <c r="D192" s="5">
        <v>4463.2510000000002</v>
      </c>
      <c r="E192" s="16">
        <v>190.41550000000001</v>
      </c>
      <c r="F192" s="15">
        <v>0</v>
      </c>
      <c r="G192" s="16" t="str">
        <f>IFERROR(INDEX('EV Productivity'!$B$9:$B$21,MATCH(B192,'EV Productivity'!$A$9:$A$21,0)),"")</f>
        <v/>
      </c>
      <c r="H192" s="16" t="str">
        <f>IFERROR(INDEX('EV Productivity'!$C$9:$C$21,MATCH(B192,'EV Productivity'!$A$9:$A$21,0)),"")</f>
        <v/>
      </c>
      <c r="I192" s="16" t="str">
        <f>IFERROR(INDEX('EV Productivity'!$D$9:$D$21,MATCH(B192,'EV Productivity'!$A$9:$A$21,0)),"")</f>
        <v/>
      </c>
      <c r="J192" s="7">
        <f t="shared" si="27"/>
        <v>14.225006591693104</v>
      </c>
      <c r="K192" s="4">
        <f t="shared" si="20"/>
        <v>2.6550014434002032</v>
      </c>
      <c r="L192" s="7">
        <f t="shared" si="21"/>
        <v>16.131440000000001</v>
      </c>
      <c r="M192" s="5">
        <f t="shared" si="22"/>
        <v>4463.2510000000002</v>
      </c>
      <c r="N192" s="16">
        <f t="shared" si="23"/>
        <v>190.41550000000001</v>
      </c>
      <c r="O192" s="7">
        <f t="shared" si="28"/>
        <v>13.927079248989321</v>
      </c>
      <c r="P192" s="4">
        <f t="shared" si="24"/>
        <v>2.6338350923677774</v>
      </c>
    </row>
    <row r="193" spans="1:16" x14ac:dyDescent="0.35">
      <c r="A193" s="2" t="s">
        <v>1322</v>
      </c>
      <c r="B193" s="2">
        <v>1998</v>
      </c>
      <c r="C193" s="7">
        <v>16.16263</v>
      </c>
      <c r="D193" s="5">
        <v>4450.3249999999998</v>
      </c>
      <c r="E193" s="16">
        <v>191.7499</v>
      </c>
      <c r="F193" s="15">
        <v>0</v>
      </c>
      <c r="G193" s="16" t="str">
        <f>IFERROR(INDEX('EV Productivity'!$B$9:$B$21,MATCH(B193,'EV Productivity'!$A$9:$A$21,0)),"")</f>
        <v/>
      </c>
      <c r="H193" s="16" t="str">
        <f>IFERROR(INDEX('EV Productivity'!$C$9:$C$21,MATCH(B193,'EV Productivity'!$A$9:$A$21,0)),"")</f>
        <v/>
      </c>
      <c r="I193" s="16" t="str">
        <f>IFERROR(INDEX('EV Productivity'!$D$9:$D$21,MATCH(B193,'EV Productivity'!$A$9:$A$21,0)),"")</f>
        <v/>
      </c>
      <c r="J193" s="7">
        <f t="shared" si="27"/>
        <v>14.27052977212624</v>
      </c>
      <c r="K193" s="4">
        <f t="shared" si="20"/>
        <v>2.6581965556858451</v>
      </c>
      <c r="L193" s="7">
        <f t="shared" si="21"/>
        <v>16.16263</v>
      </c>
      <c r="M193" s="5">
        <f t="shared" si="22"/>
        <v>4450.3249999999998</v>
      </c>
      <c r="N193" s="16">
        <f t="shared" si="23"/>
        <v>191.7499</v>
      </c>
      <c r="O193" s="7">
        <f t="shared" si="28"/>
        <v>13.988825143653083</v>
      </c>
      <c r="P193" s="4">
        <f t="shared" si="24"/>
        <v>2.6382588068560247</v>
      </c>
    </row>
    <row r="194" spans="1:16" x14ac:dyDescent="0.35">
      <c r="A194" s="2" t="s">
        <v>1322</v>
      </c>
      <c r="B194" s="2">
        <v>1999</v>
      </c>
      <c r="C194" s="7">
        <v>16.074090000000002</v>
      </c>
      <c r="D194" s="5">
        <v>4518.4250000000002</v>
      </c>
      <c r="E194" s="16">
        <v>203.74469999999999</v>
      </c>
      <c r="F194" s="15">
        <v>0</v>
      </c>
      <c r="G194" s="16" t="str">
        <f>IFERROR(INDEX('EV Productivity'!$B$9:$B$21,MATCH(B194,'EV Productivity'!$A$9:$A$21,0)),"")</f>
        <v/>
      </c>
      <c r="H194" s="16" t="str">
        <f>IFERROR(INDEX('EV Productivity'!$C$9:$C$21,MATCH(B194,'EV Productivity'!$A$9:$A$21,0)),"")</f>
        <v/>
      </c>
      <c r="I194" s="16" t="str">
        <f>IFERROR(INDEX('EV Productivity'!$D$9:$D$21,MATCH(B194,'EV Productivity'!$A$9:$A$21,0)),"")</f>
        <v/>
      </c>
      <c r="J194" s="7">
        <f t="shared" si="27"/>
        <v>14.61377228188738</v>
      </c>
      <c r="K194" s="4">
        <f t="shared" si="20"/>
        <v>2.6819643910584463</v>
      </c>
      <c r="L194" s="7">
        <f t="shared" si="21"/>
        <v>16.074090000000002</v>
      </c>
      <c r="M194" s="5">
        <f t="shared" si="22"/>
        <v>4518.4250000000002</v>
      </c>
      <c r="N194" s="16">
        <f t="shared" si="23"/>
        <v>203.74469999999999</v>
      </c>
      <c r="O194" s="7">
        <f t="shared" si="28"/>
        <v>14.392193335694323</v>
      </c>
      <c r="P194" s="4">
        <f t="shared" si="24"/>
        <v>2.6666859301109711</v>
      </c>
    </row>
    <row r="195" spans="1:16" x14ac:dyDescent="0.35">
      <c r="A195" s="2" t="s">
        <v>1322</v>
      </c>
      <c r="B195" s="2">
        <v>2000</v>
      </c>
      <c r="C195" s="7">
        <v>16.006460000000001</v>
      </c>
      <c r="D195" s="5">
        <v>4601.991</v>
      </c>
      <c r="E195" s="16">
        <v>206.18979999999999</v>
      </c>
      <c r="F195" s="15">
        <v>0</v>
      </c>
      <c r="G195" s="16" t="str">
        <f>IFERROR(INDEX('EV Productivity'!$B$9:$B$21,MATCH(B195,'EV Productivity'!$A$9:$A$21,0)),"")</f>
        <v/>
      </c>
      <c r="H195" s="16" t="str">
        <f>IFERROR(INDEX('EV Productivity'!$C$9:$C$21,MATCH(B195,'EV Productivity'!$A$9:$A$21,0)),"")</f>
        <v/>
      </c>
      <c r="I195" s="16" t="str">
        <f>IFERROR(INDEX('EV Productivity'!$D$9:$D$21,MATCH(B195,'EV Productivity'!$A$9:$A$21,0)),"")</f>
        <v/>
      </c>
      <c r="J195" s="7">
        <f t="shared" si="27"/>
        <v>14.738240821564416</v>
      </c>
      <c r="K195" s="4">
        <f t="shared" si="20"/>
        <v>2.6904455323907368</v>
      </c>
      <c r="L195" s="7">
        <f t="shared" si="21"/>
        <v>16.006460000000001</v>
      </c>
      <c r="M195" s="5">
        <f t="shared" si="22"/>
        <v>4601.991</v>
      </c>
      <c r="N195" s="16">
        <f t="shared" si="23"/>
        <v>206.18979999999999</v>
      </c>
      <c r="O195" s="7">
        <f t="shared" si="28"/>
        <v>14.494919965952265</v>
      </c>
      <c r="P195" s="4">
        <f t="shared" si="24"/>
        <v>2.673798240864913</v>
      </c>
    </row>
    <row r="196" spans="1:16" x14ac:dyDescent="0.35">
      <c r="A196" s="2" t="s">
        <v>1322</v>
      </c>
      <c r="B196" s="2">
        <v>2001</v>
      </c>
      <c r="C196" s="7">
        <v>16.41337</v>
      </c>
      <c r="D196" s="5">
        <v>4545.6419999999998</v>
      </c>
      <c r="E196" s="16">
        <v>212.87389999999999</v>
      </c>
      <c r="F196" s="15">
        <v>0</v>
      </c>
      <c r="G196" s="16" t="str">
        <f>IFERROR(INDEX('EV Productivity'!$B$9:$B$21,MATCH(B196,'EV Productivity'!$A$9:$A$21,0)),"")</f>
        <v/>
      </c>
      <c r="H196" s="16" t="str">
        <f>IFERROR(INDEX('EV Productivity'!$C$9:$C$21,MATCH(B196,'EV Productivity'!$A$9:$A$21,0)),"")</f>
        <v/>
      </c>
      <c r="I196" s="16" t="str">
        <f>IFERROR(INDEX('EV Productivity'!$D$9:$D$21,MATCH(B196,'EV Productivity'!$A$9:$A$21,0)),"")</f>
        <v/>
      </c>
      <c r="J196" s="7">
        <f t="shared" si="27"/>
        <v>15.206794664418126</v>
      </c>
      <c r="K196" s="4">
        <f t="shared" si="20"/>
        <v>2.7217423453656489</v>
      </c>
      <c r="L196" s="7">
        <f t="shared" si="21"/>
        <v>16.41337</v>
      </c>
      <c r="M196" s="5">
        <f t="shared" si="22"/>
        <v>4545.6419999999998</v>
      </c>
      <c r="N196" s="16">
        <f t="shared" si="23"/>
        <v>212.87389999999999</v>
      </c>
      <c r="O196" s="7">
        <f t="shared" si="28"/>
        <v>15.03783441867431</v>
      </c>
      <c r="P196" s="4">
        <f t="shared" si="24"/>
        <v>2.7105693200343501</v>
      </c>
    </row>
    <row r="197" spans="1:16" x14ac:dyDescent="0.35">
      <c r="A197" s="2" t="s">
        <v>1322</v>
      </c>
      <c r="B197" s="2">
        <v>2002</v>
      </c>
      <c r="C197" s="7">
        <v>16.309329999999999</v>
      </c>
      <c r="D197" s="5">
        <v>4636.3620000000001</v>
      </c>
      <c r="E197" s="16">
        <v>228.6712</v>
      </c>
      <c r="F197" s="15">
        <v>0</v>
      </c>
      <c r="G197" s="16" t="str">
        <f>IFERROR(INDEX('EV Productivity'!$B$9:$B$21,MATCH(B197,'EV Productivity'!$A$9:$A$21,0)),"")</f>
        <v/>
      </c>
      <c r="H197" s="16" t="str">
        <f>IFERROR(INDEX('EV Productivity'!$C$9:$C$21,MATCH(B197,'EV Productivity'!$A$9:$A$21,0)),"")</f>
        <v/>
      </c>
      <c r="I197" s="16" t="str">
        <f>IFERROR(INDEX('EV Productivity'!$D$9:$D$21,MATCH(B197,'EV Productivity'!$A$9:$A$21,0)),"")</f>
        <v/>
      </c>
      <c r="J197" s="7">
        <f t="shared" si="27"/>
        <v>15.654217085535221</v>
      </c>
      <c r="K197" s="4">
        <f t="shared" si="20"/>
        <v>2.750740343022227</v>
      </c>
      <c r="L197" s="7">
        <f t="shared" si="21"/>
        <v>16.309329999999999</v>
      </c>
      <c r="M197" s="5">
        <f t="shared" si="22"/>
        <v>4636.3620000000001</v>
      </c>
      <c r="N197" s="16">
        <f t="shared" si="23"/>
        <v>228.6712</v>
      </c>
      <c r="O197" s="7">
        <f t="shared" si="28"/>
        <v>15.561340057365706</v>
      </c>
      <c r="P197" s="4">
        <f t="shared" si="24"/>
        <v>2.7447896369806344</v>
      </c>
    </row>
    <row r="198" spans="1:16" x14ac:dyDescent="0.35">
      <c r="A198" s="2" t="s">
        <v>1322</v>
      </c>
      <c r="B198" s="2">
        <v>2003</v>
      </c>
      <c r="C198" s="7">
        <v>16.424099999999999</v>
      </c>
      <c r="D198" s="5">
        <v>4753.7089999999998</v>
      </c>
      <c r="E198" s="16">
        <v>233.4263</v>
      </c>
      <c r="F198" s="15">
        <v>0</v>
      </c>
      <c r="G198" s="16" t="str">
        <f>IFERROR(INDEX('EV Productivity'!$B$9:$B$21,MATCH(B198,'EV Productivity'!$A$9:$A$21,0)),"")</f>
        <v/>
      </c>
      <c r="H198" s="16" t="str">
        <f>IFERROR(INDEX('EV Productivity'!$C$9:$C$21,MATCH(B198,'EV Productivity'!$A$9:$A$21,0)),"")</f>
        <v/>
      </c>
      <c r="I198" s="16" t="str">
        <f>IFERROR(INDEX('EV Productivity'!$D$9:$D$21,MATCH(B198,'EV Productivity'!$A$9:$A$21,0)),"")</f>
        <v/>
      </c>
      <c r="J198" s="7">
        <f t="shared" si="27"/>
        <v>16.065299290681256</v>
      </c>
      <c r="K198" s="4">
        <f t="shared" si="20"/>
        <v>2.7766616223775573</v>
      </c>
      <c r="L198" s="7">
        <f t="shared" si="21"/>
        <v>16.424099999999999</v>
      </c>
      <c r="M198" s="5">
        <f t="shared" si="22"/>
        <v>4753.7089999999998</v>
      </c>
      <c r="N198" s="16">
        <f t="shared" si="23"/>
        <v>233.4263</v>
      </c>
      <c r="O198" s="7">
        <f t="shared" si="28"/>
        <v>15.948034011276421</v>
      </c>
      <c r="P198" s="4">
        <f t="shared" si="24"/>
        <v>2.7693355621526772</v>
      </c>
    </row>
    <row r="199" spans="1:16" x14ac:dyDescent="0.35">
      <c r="A199" s="2" t="s">
        <v>1322</v>
      </c>
      <c r="B199" s="2">
        <v>2004</v>
      </c>
      <c r="C199" s="7">
        <v>16.473289999999999</v>
      </c>
      <c r="D199" s="5">
        <v>4755.8490000000002</v>
      </c>
      <c r="E199" s="16">
        <v>240.1446</v>
      </c>
      <c r="F199" s="15">
        <v>0</v>
      </c>
      <c r="G199" s="16" t="str">
        <f>IFERROR(INDEX('EV Productivity'!$B$9:$B$21,MATCH(B199,'EV Productivity'!$A$9:$A$21,0)),"")</f>
        <v/>
      </c>
      <c r="H199" s="16" t="str">
        <f>IFERROR(INDEX('EV Productivity'!$C$9:$C$21,MATCH(B199,'EV Productivity'!$A$9:$A$21,0)),"")</f>
        <v/>
      </c>
      <c r="I199" s="16" t="str">
        <f>IFERROR(INDEX('EV Productivity'!$D$9:$D$21,MATCH(B199,'EV Productivity'!$A$9:$A$21,0)),"")</f>
        <v/>
      </c>
      <c r="J199" s="7">
        <f t="shared" si="27"/>
        <v>16.286305624609064</v>
      </c>
      <c r="K199" s="4">
        <f t="shared" si="20"/>
        <v>2.7903246089629925</v>
      </c>
      <c r="L199" s="7">
        <f t="shared" si="21"/>
        <v>16.473289999999999</v>
      </c>
      <c r="M199" s="5">
        <f t="shared" si="22"/>
        <v>4755.8490000000002</v>
      </c>
      <c r="N199" s="16">
        <f t="shared" si="23"/>
        <v>240.1446</v>
      </c>
      <c r="O199" s="7">
        <f t="shared" si="28"/>
        <v>16.218754227059719</v>
      </c>
      <c r="P199" s="4">
        <f t="shared" si="24"/>
        <v>2.7861682409940878</v>
      </c>
    </row>
    <row r="200" spans="1:16" x14ac:dyDescent="0.35">
      <c r="A200" s="2" t="s">
        <v>1322</v>
      </c>
      <c r="B200" s="2">
        <v>2005</v>
      </c>
      <c r="C200" s="7">
        <v>16.73488</v>
      </c>
      <c r="D200" s="5">
        <v>4755.5540000000001</v>
      </c>
      <c r="E200" s="16">
        <v>243.88980000000001</v>
      </c>
      <c r="F200" s="15">
        <v>0</v>
      </c>
      <c r="G200" s="16" t="str">
        <f>IFERROR(INDEX('EV Productivity'!$B$9:$B$21,MATCH(B200,'EV Productivity'!$A$9:$A$21,0)),"")</f>
        <v/>
      </c>
      <c r="H200" s="16" t="str">
        <f>IFERROR(INDEX('EV Productivity'!$C$9:$C$21,MATCH(B200,'EV Productivity'!$A$9:$A$21,0)),"")</f>
        <v/>
      </c>
      <c r="I200" s="16" t="str">
        <f>IFERROR(INDEX('EV Productivity'!$D$9:$D$21,MATCH(B200,'EV Productivity'!$A$9:$A$21,0)),"")</f>
        <v/>
      </c>
      <c r="J200" s="7">
        <f t="shared" si="27"/>
        <v>16.639192440179272</v>
      </c>
      <c r="K200" s="4">
        <f t="shared" si="20"/>
        <v>2.8117609029761574</v>
      </c>
      <c r="L200" s="7">
        <f t="shared" si="21"/>
        <v>16.73488</v>
      </c>
      <c r="M200" s="5">
        <f t="shared" si="22"/>
        <v>4755.5540000000001</v>
      </c>
      <c r="N200" s="16">
        <f t="shared" si="23"/>
        <v>243.88980000000001</v>
      </c>
      <c r="O200" s="7">
        <f t="shared" si="28"/>
        <v>16.599607364560796</v>
      </c>
      <c r="P200" s="4">
        <f t="shared" si="24"/>
        <v>2.8093790423454656</v>
      </c>
    </row>
    <row r="201" spans="1:16" x14ac:dyDescent="0.35">
      <c r="A201" s="2" t="s">
        <v>1322</v>
      </c>
      <c r="B201" s="2">
        <v>2006</v>
      </c>
      <c r="C201" s="7">
        <v>17.162379999999999</v>
      </c>
      <c r="D201" s="5">
        <v>4715.4040000000005</v>
      </c>
      <c r="E201" s="16">
        <v>239.55350000000001</v>
      </c>
      <c r="F201" s="15">
        <v>0</v>
      </c>
      <c r="G201" s="16" t="str">
        <f>IFERROR(INDEX('EV Productivity'!$B$9:$B$21,MATCH(B201,'EV Productivity'!$A$9:$A$21,0)),"")</f>
        <v/>
      </c>
      <c r="H201" s="16" t="str">
        <f>IFERROR(INDEX('EV Productivity'!$C$9:$C$21,MATCH(B201,'EV Productivity'!$A$9:$A$21,0)),"")</f>
        <v/>
      </c>
      <c r="I201" s="16" t="str">
        <f>IFERROR(INDEX('EV Productivity'!$D$9:$D$21,MATCH(B201,'EV Productivity'!$A$9:$A$21,0)),"")</f>
        <v/>
      </c>
      <c r="J201" s="7">
        <f t="shared" si="27"/>
        <v>16.886735540048253</v>
      </c>
      <c r="K201" s="4">
        <f t="shared" si="20"/>
        <v>2.8265284344629285</v>
      </c>
      <c r="L201" s="7">
        <f t="shared" si="21"/>
        <v>17.162379999999999</v>
      </c>
      <c r="M201" s="5">
        <f t="shared" si="22"/>
        <v>4715.4040000000005</v>
      </c>
      <c r="N201" s="16">
        <f t="shared" si="23"/>
        <v>239.55350000000001</v>
      </c>
      <c r="O201" s="7">
        <f t="shared" si="28"/>
        <v>16.833367602910251</v>
      </c>
      <c r="P201" s="4">
        <f t="shared" si="24"/>
        <v>2.8233630834275827</v>
      </c>
    </row>
    <row r="202" spans="1:16" x14ac:dyDescent="0.35">
      <c r="A202" s="2" t="s">
        <v>1322</v>
      </c>
      <c r="B202" s="2">
        <v>2007</v>
      </c>
      <c r="C202" s="7">
        <v>17.678239999999999</v>
      </c>
      <c r="D202" s="5">
        <v>4797.28</v>
      </c>
      <c r="E202" s="16">
        <v>251.7269</v>
      </c>
      <c r="F202" s="15">
        <v>0</v>
      </c>
      <c r="G202" s="16" t="str">
        <f>IFERROR(INDEX('EV Productivity'!$B$9:$B$21,MATCH(B202,'EV Productivity'!$A$9:$A$21,0)),"")</f>
        <v/>
      </c>
      <c r="H202" s="16" t="str">
        <f>IFERROR(INDEX('EV Productivity'!$C$9:$C$21,MATCH(B202,'EV Productivity'!$A$9:$A$21,0)),"")</f>
        <v/>
      </c>
      <c r="I202" s="16" t="str">
        <f>IFERROR(INDEX('EV Productivity'!$D$9:$D$21,MATCH(B202,'EV Productivity'!$A$9:$A$21,0)),"")</f>
        <v/>
      </c>
      <c r="J202" s="7">
        <f t="shared" ref="J202:J219" si="29">C202*(D202/$D$219)^$B$4*(E202/$E$219)^$B$5</f>
        <v>17.85393833832757</v>
      </c>
      <c r="K202" s="4">
        <f t="shared" si="20"/>
        <v>2.882224119089706</v>
      </c>
      <c r="L202" s="7">
        <f t="shared" si="21"/>
        <v>17.678239999999999</v>
      </c>
      <c r="M202" s="5">
        <f t="shared" si="22"/>
        <v>4797.28</v>
      </c>
      <c r="N202" s="16">
        <f t="shared" si="23"/>
        <v>251.7269</v>
      </c>
      <c r="O202" s="7">
        <f t="shared" ref="O202:O233" si="30">L202*(M202/$M$219)^$E$4*(N202/$N$219)^$E$5</f>
        <v>17.852595199234067</v>
      </c>
      <c r="P202" s="4">
        <f t="shared" si="24"/>
        <v>2.8821488869704792</v>
      </c>
    </row>
    <row r="203" spans="1:16" x14ac:dyDescent="0.35">
      <c r="A203" s="2" t="s">
        <v>1322</v>
      </c>
      <c r="B203" s="2">
        <v>2008</v>
      </c>
      <c r="C203" s="7">
        <v>18.187940000000001</v>
      </c>
      <c r="D203" s="5">
        <v>4727.3969999999999</v>
      </c>
      <c r="E203" s="16">
        <v>249.9136</v>
      </c>
      <c r="F203" s="15">
        <v>0</v>
      </c>
      <c r="G203" s="16" t="str">
        <f>IFERROR(INDEX('EV Productivity'!$B$9:$B$21,MATCH(B203,'EV Productivity'!$A$9:$A$21,0)),"")</f>
        <v/>
      </c>
      <c r="H203" s="16" t="str">
        <f>IFERROR(INDEX('EV Productivity'!$C$9:$C$21,MATCH(B203,'EV Productivity'!$A$9:$A$21,0)),"")</f>
        <v/>
      </c>
      <c r="I203" s="16" t="str">
        <f>IFERROR(INDEX('EV Productivity'!$D$9:$D$21,MATCH(B203,'EV Productivity'!$A$9:$A$21,0)),"")</f>
        <v/>
      </c>
      <c r="J203" s="7">
        <f t="shared" si="29"/>
        <v>18.198475984527168</v>
      </c>
      <c r="K203" s="4">
        <f t="shared" si="20"/>
        <v>2.9013378534627101</v>
      </c>
      <c r="L203" s="7">
        <f t="shared" si="21"/>
        <v>18.187940000000001</v>
      </c>
      <c r="M203" s="5">
        <f t="shared" si="22"/>
        <v>4727.3969999999999</v>
      </c>
      <c r="N203" s="16">
        <f t="shared" si="23"/>
        <v>249.9136</v>
      </c>
      <c r="O203" s="7">
        <f t="shared" si="30"/>
        <v>18.221891755362872</v>
      </c>
      <c r="P203" s="4">
        <f t="shared" si="24"/>
        <v>2.9026237149471035</v>
      </c>
    </row>
    <row r="204" spans="1:16" x14ac:dyDescent="0.35">
      <c r="A204" s="2" t="s">
        <v>1322</v>
      </c>
      <c r="B204" s="2">
        <v>2009</v>
      </c>
      <c r="C204" s="7">
        <v>19.2774</v>
      </c>
      <c r="D204" s="5">
        <v>4547.6329999999998</v>
      </c>
      <c r="E204" s="16">
        <v>243.59639999999999</v>
      </c>
      <c r="F204" s="15">
        <v>0</v>
      </c>
      <c r="G204" s="16" t="str">
        <f>IFERROR(INDEX('EV Productivity'!$B$9:$B$21,MATCH(B204,'EV Productivity'!$A$9:$A$21,0)),"")</f>
        <v/>
      </c>
      <c r="H204" s="16" t="str">
        <f>IFERROR(INDEX('EV Productivity'!$C$9:$C$21,MATCH(B204,'EV Productivity'!$A$9:$A$21,0)),"")</f>
        <v/>
      </c>
      <c r="I204" s="16" t="str">
        <f>IFERROR(INDEX('EV Productivity'!$D$9:$D$21,MATCH(B204,'EV Productivity'!$A$9:$A$21,0)),"")</f>
        <v/>
      </c>
      <c r="J204" s="7">
        <f t="shared" si="29"/>
        <v>18.774810380087423</v>
      </c>
      <c r="K204" s="4">
        <f t="shared" si="20"/>
        <v>2.9325160980033211</v>
      </c>
      <c r="L204" s="7">
        <f t="shared" si="21"/>
        <v>19.2774</v>
      </c>
      <c r="M204" s="5">
        <f t="shared" si="22"/>
        <v>4547.6329999999998</v>
      </c>
      <c r="N204" s="16">
        <f t="shared" si="23"/>
        <v>243.59639999999999</v>
      </c>
      <c r="O204" s="7">
        <f t="shared" si="30"/>
        <v>18.852697375612905</v>
      </c>
      <c r="P204" s="4">
        <f t="shared" si="24"/>
        <v>2.9366560005061331</v>
      </c>
    </row>
    <row r="205" spans="1:16" x14ac:dyDescent="0.35">
      <c r="A205" s="2" t="s">
        <v>1322</v>
      </c>
      <c r="B205" s="2">
        <v>2010</v>
      </c>
      <c r="C205" s="7">
        <v>19.68205</v>
      </c>
      <c r="D205" s="5">
        <v>4555.2420000000002</v>
      </c>
      <c r="E205" s="16">
        <v>243.19329999999999</v>
      </c>
      <c r="F205" s="15">
        <v>0</v>
      </c>
      <c r="G205" s="16" t="str">
        <f>IFERROR(INDEX('EV Productivity'!$B$9:$B$21,MATCH(B205,'EV Productivity'!$A$9:$A$21,0)),"")</f>
        <v/>
      </c>
      <c r="H205" s="16" t="str">
        <f>IFERROR(INDEX('EV Productivity'!$C$9:$C$21,MATCH(B205,'EV Productivity'!$A$9:$A$21,0)),"")</f>
        <v/>
      </c>
      <c r="I205" s="16" t="str">
        <f>IFERROR(INDEX('EV Productivity'!$D$9:$D$21,MATCH(B205,'EV Productivity'!$A$9:$A$21,0)),"")</f>
        <v/>
      </c>
      <c r="J205" s="7">
        <f t="shared" si="29"/>
        <v>19.171705626555738</v>
      </c>
      <c r="K205" s="4">
        <f t="shared" si="20"/>
        <v>2.9534355268375352</v>
      </c>
      <c r="L205" s="7">
        <f t="shared" si="21"/>
        <v>19.68205</v>
      </c>
      <c r="M205" s="5">
        <f t="shared" si="22"/>
        <v>4555.2420000000002</v>
      </c>
      <c r="N205" s="16">
        <f t="shared" si="23"/>
        <v>243.19329999999999</v>
      </c>
      <c r="O205" s="7">
        <f t="shared" si="30"/>
        <v>19.242810234792472</v>
      </c>
      <c r="P205" s="4">
        <f t="shared" si="24"/>
        <v>2.9571374966709314</v>
      </c>
    </row>
    <row r="206" spans="1:16" x14ac:dyDescent="0.35">
      <c r="A206" s="2" t="s">
        <v>1322</v>
      </c>
      <c r="B206" s="2">
        <v>2011</v>
      </c>
      <c r="C206" s="7">
        <v>19.822690000000001</v>
      </c>
      <c r="D206" s="5">
        <v>4665.32</v>
      </c>
      <c r="E206" s="16">
        <v>257.26850000000002</v>
      </c>
      <c r="F206" s="15">
        <v>0</v>
      </c>
      <c r="G206" s="16" t="str">
        <f>IFERROR(INDEX('EV Productivity'!$B$9:$B$21,MATCH(B206,'EV Productivity'!$A$9:$A$21,0)),"")</f>
        <v/>
      </c>
      <c r="H206" s="16" t="str">
        <f>IFERROR(INDEX('EV Productivity'!$C$9:$C$21,MATCH(B206,'EV Productivity'!$A$9:$A$21,0)),"")</f>
        <v/>
      </c>
      <c r="I206" s="16" t="str">
        <f>IFERROR(INDEX('EV Productivity'!$D$9:$D$21,MATCH(B206,'EV Productivity'!$A$9:$A$21,0)),"")</f>
        <v/>
      </c>
      <c r="J206" s="7">
        <f t="shared" si="29"/>
        <v>19.927955258787879</v>
      </c>
      <c r="K206" s="4">
        <f t="shared" si="20"/>
        <v>2.9921235328142375</v>
      </c>
      <c r="L206" s="7">
        <f t="shared" si="21"/>
        <v>19.822690000000001</v>
      </c>
      <c r="M206" s="5">
        <f t="shared" si="22"/>
        <v>4665.32</v>
      </c>
      <c r="N206" s="16">
        <f t="shared" si="23"/>
        <v>257.26850000000002</v>
      </c>
      <c r="O206" s="7">
        <f t="shared" si="30"/>
        <v>20.059179855544411</v>
      </c>
      <c r="P206" s="4">
        <f t="shared" si="24"/>
        <v>2.9986868971289207</v>
      </c>
    </row>
    <row r="207" spans="1:16" x14ac:dyDescent="0.35">
      <c r="A207" s="2" t="s">
        <v>1322</v>
      </c>
      <c r="B207" s="2">
        <v>2012</v>
      </c>
      <c r="C207" s="7">
        <v>20.006810000000002</v>
      </c>
      <c r="D207" s="5">
        <v>4639.5569999999998</v>
      </c>
      <c r="E207" s="16">
        <v>260.56939999999997</v>
      </c>
      <c r="F207" s="15">
        <v>0</v>
      </c>
      <c r="G207" s="16">
        <f>IFERROR(INDEX('EV Productivity'!$B$9:$B$21,MATCH(B207,'EV Productivity'!$A$9:$A$21,0)),"")</f>
        <v>89.140649999999994</v>
      </c>
      <c r="H207" s="16">
        <f>IFERROR(INDEX('EV Productivity'!$C$9:$C$21,MATCH(B207,'EV Productivity'!$A$9:$A$21,0)),"")</f>
        <v>4500</v>
      </c>
      <c r="I207" s="16">
        <f>IFERROR(INDEX('EV Productivity'!$D$9:$D$21,MATCH(B207,'EV Productivity'!$A$9:$A$21,0)),"")</f>
        <v>349</v>
      </c>
      <c r="J207" s="7">
        <f t="shared" si="29"/>
        <v>20.157284911478001</v>
      </c>
      <c r="K207" s="4">
        <f t="shared" si="20"/>
        <v>3.0035657571233854</v>
      </c>
      <c r="L207" s="7">
        <f t="shared" si="21"/>
        <v>20.006810000000002</v>
      </c>
      <c r="M207" s="5">
        <f t="shared" si="22"/>
        <v>4639.5569999999998</v>
      </c>
      <c r="N207" s="16">
        <f t="shared" si="23"/>
        <v>260.56939999999997</v>
      </c>
      <c r="O207" s="7">
        <f t="shared" si="30"/>
        <v>20.336315418593742</v>
      </c>
      <c r="P207" s="4">
        <f t="shared" si="24"/>
        <v>3.0124082246825252</v>
      </c>
    </row>
    <row r="208" spans="1:16" x14ac:dyDescent="0.35">
      <c r="A208" s="2" t="s">
        <v>1322</v>
      </c>
      <c r="B208" s="2">
        <v>2013</v>
      </c>
      <c r="C208" s="7">
        <v>20.82639</v>
      </c>
      <c r="D208" s="5">
        <v>4584.1009999999997</v>
      </c>
      <c r="E208" s="16">
        <v>256.65839999999997</v>
      </c>
      <c r="F208" s="15">
        <v>0</v>
      </c>
      <c r="G208" s="16">
        <f>IFERROR(INDEX('EV Productivity'!$B$9:$B$21,MATCH(B208,'EV Productivity'!$A$9:$A$21,0)),"")</f>
        <v>90.655000000000001</v>
      </c>
      <c r="H208" s="16">
        <f>IFERROR(INDEX('EV Productivity'!$C$9:$C$21,MATCH(B208,'EV Productivity'!$A$9:$A$21,0)),"")</f>
        <v>4500</v>
      </c>
      <c r="I208" s="16">
        <f>IFERROR(INDEX('EV Productivity'!$D$9:$D$21,MATCH(B208,'EV Productivity'!$A$9:$A$21,0)),"")</f>
        <v>346.98399999999998</v>
      </c>
      <c r="J208" s="7">
        <f t="shared" si="29"/>
        <v>20.752995276748461</v>
      </c>
      <c r="K208" s="4">
        <f t="shared" si="20"/>
        <v>3.0326905869458223</v>
      </c>
      <c r="L208" s="7">
        <f t="shared" si="21"/>
        <v>20.82639</v>
      </c>
      <c r="M208" s="5">
        <f t="shared" si="22"/>
        <v>4584.1009999999997</v>
      </c>
      <c r="N208" s="16">
        <f t="shared" si="23"/>
        <v>256.65839999999997</v>
      </c>
      <c r="O208" s="7">
        <f t="shared" si="30"/>
        <v>20.938698824256964</v>
      </c>
      <c r="P208" s="4">
        <f t="shared" si="24"/>
        <v>3.0415990652240943</v>
      </c>
    </row>
    <row r="209" spans="1:16" x14ac:dyDescent="0.35">
      <c r="A209" s="2" t="s">
        <v>1322</v>
      </c>
      <c r="B209" s="2">
        <v>2014</v>
      </c>
      <c r="C209" s="7">
        <v>21.59169</v>
      </c>
      <c r="D209" s="5">
        <v>4482.893</v>
      </c>
      <c r="E209" s="16">
        <v>250.4819</v>
      </c>
      <c r="F209" s="15">
        <v>0</v>
      </c>
      <c r="G209" s="16">
        <f>IFERROR(INDEX('EV Productivity'!$B$9:$B$21,MATCH(B209,'EV Productivity'!$A$9:$A$21,0)),"")</f>
        <v>90.168629999999993</v>
      </c>
      <c r="H209" s="16">
        <f>IFERROR(INDEX('EV Productivity'!$C$9:$C$21,MATCH(B209,'EV Productivity'!$A$9:$A$21,0)),"")</f>
        <v>4562.2219999999998</v>
      </c>
      <c r="I209" s="16">
        <f>IFERROR(INDEX('EV Productivity'!$D$9:$D$21,MATCH(B209,'EV Productivity'!$A$9:$A$21,0)),"")</f>
        <v>335.78829999999999</v>
      </c>
      <c r="J209" s="7">
        <f t="shared" si="29"/>
        <v>21.108673506073139</v>
      </c>
      <c r="K209" s="4">
        <f t="shared" si="20"/>
        <v>3.0496840226558137</v>
      </c>
      <c r="L209" s="7">
        <f t="shared" si="21"/>
        <v>21.59169</v>
      </c>
      <c r="M209" s="5">
        <f t="shared" si="22"/>
        <v>4482.893</v>
      </c>
      <c r="N209" s="16">
        <f t="shared" si="23"/>
        <v>250.4819</v>
      </c>
      <c r="O209" s="7">
        <f t="shared" si="30"/>
        <v>21.309206772129215</v>
      </c>
      <c r="P209" s="4">
        <f t="shared" si="24"/>
        <v>3.0591392221483287</v>
      </c>
    </row>
    <row r="210" spans="1:16" x14ac:dyDescent="0.35">
      <c r="A210" s="2" t="s">
        <v>1322</v>
      </c>
      <c r="B210" s="2">
        <v>2015</v>
      </c>
      <c r="C210" s="7">
        <v>21.942409999999999</v>
      </c>
      <c r="D210" s="5">
        <v>4533.3140000000003</v>
      </c>
      <c r="E210" s="16">
        <v>254.02199999999999</v>
      </c>
      <c r="F210" s="15">
        <v>0</v>
      </c>
      <c r="G210" s="16">
        <f>IFERROR(INDEX('EV Productivity'!$B$9:$B$21,MATCH(B210,'EV Productivity'!$A$9:$A$21,0)),"")</f>
        <v>97.135120000000001</v>
      </c>
      <c r="H210" s="16">
        <f>IFERROR(INDEX('EV Productivity'!$C$9:$C$21,MATCH(B210,'EV Productivity'!$A$9:$A$21,0)),"")</f>
        <v>4901.7560000000003</v>
      </c>
      <c r="I210" s="16">
        <f>IFERROR(INDEX('EV Productivity'!$D$9:$D$21,MATCH(B210,'EV Productivity'!$A$9:$A$21,0)),"")</f>
        <v>396.16609999999997</v>
      </c>
      <c r="J210" s="7">
        <f t="shared" si="29"/>
        <v>21.672366656645178</v>
      </c>
      <c r="K210" s="4">
        <f t="shared" si="20"/>
        <v>3.0760380230895299</v>
      </c>
      <c r="L210" s="7">
        <f t="shared" si="21"/>
        <v>21.942409999999999</v>
      </c>
      <c r="M210" s="5">
        <f t="shared" si="22"/>
        <v>4533.3140000000003</v>
      </c>
      <c r="N210" s="16">
        <f t="shared" si="23"/>
        <v>254.02199999999999</v>
      </c>
      <c r="O210" s="7">
        <f t="shared" si="30"/>
        <v>21.876831242034253</v>
      </c>
      <c r="P210" s="4">
        <f t="shared" si="24"/>
        <v>3.0854281426614292</v>
      </c>
    </row>
    <row r="211" spans="1:16" x14ac:dyDescent="0.35">
      <c r="A211" s="2" t="s">
        <v>1322</v>
      </c>
      <c r="B211" s="2">
        <v>2016</v>
      </c>
      <c r="C211" s="7">
        <v>22.210059999999999</v>
      </c>
      <c r="D211" s="5">
        <v>4482.4480000000003</v>
      </c>
      <c r="E211" s="16">
        <v>252.58959999999999</v>
      </c>
      <c r="F211" s="15">
        <v>0</v>
      </c>
      <c r="G211" s="16">
        <f>IFERROR(INDEX('EV Productivity'!$B$9:$B$21,MATCH(B211,'EV Productivity'!$A$9:$A$21,0)),"")</f>
        <v>96.81841</v>
      </c>
      <c r="H211" s="16">
        <f>IFERROR(INDEX('EV Productivity'!$C$9:$C$21,MATCH(B211,'EV Productivity'!$A$9:$A$21,0)),"")</f>
        <v>5172.598</v>
      </c>
      <c r="I211" s="16">
        <f>IFERROR(INDEX('EV Productivity'!$D$9:$D$21,MATCH(B211,'EV Productivity'!$A$9:$A$21,0)),"")</f>
        <v>384.3064</v>
      </c>
      <c r="J211" s="7">
        <f t="shared" si="29"/>
        <v>21.779462101548628</v>
      </c>
      <c r="K211" s="4">
        <f t="shared" si="20"/>
        <v>3.0809674203012474</v>
      </c>
      <c r="L211" s="7">
        <f t="shared" si="21"/>
        <v>22.210059999999999</v>
      </c>
      <c r="M211" s="5">
        <f t="shared" si="22"/>
        <v>4482.4480000000003</v>
      </c>
      <c r="N211" s="16">
        <f t="shared" si="23"/>
        <v>252.58959999999999</v>
      </c>
      <c r="O211" s="7">
        <f t="shared" si="30"/>
        <v>22.007718778835741</v>
      </c>
      <c r="P211" s="4">
        <f t="shared" si="24"/>
        <v>3.091393245407033</v>
      </c>
    </row>
    <row r="212" spans="1:16" x14ac:dyDescent="0.35">
      <c r="A212" s="2" t="s">
        <v>1322</v>
      </c>
      <c r="B212" s="2">
        <v>2017</v>
      </c>
      <c r="C212" s="7">
        <v>22.33849</v>
      </c>
      <c r="D212" s="5">
        <v>4509.665</v>
      </c>
      <c r="E212" s="16">
        <v>257.44979999999998</v>
      </c>
      <c r="F212" s="15">
        <v>0</v>
      </c>
      <c r="G212" s="16">
        <f>IFERROR(INDEX('EV Productivity'!$B$9:$B$21,MATCH(B212,'EV Productivity'!$A$9:$A$21,0)),"")</f>
        <v>98.218540000000004</v>
      </c>
      <c r="H212" s="16">
        <f>IFERROR(INDEX('EV Productivity'!$C$9:$C$21,MATCH(B212,'EV Productivity'!$A$9:$A$21,0)),"")</f>
        <v>5211.8069999999998</v>
      </c>
      <c r="I212" s="16">
        <f>IFERROR(INDEX('EV Productivity'!$D$9:$D$21,MATCH(B212,'EV Productivity'!$A$9:$A$21,0)),"")</f>
        <v>499.9051</v>
      </c>
      <c r="J212" s="7">
        <f t="shared" si="29"/>
        <v>22.120512997224591</v>
      </c>
      <c r="K212" s="4">
        <f t="shared" ref="K212:K275" si="31">LN(J212)</f>
        <v>3.0965053679414796</v>
      </c>
      <c r="L212" s="7">
        <f t="shared" ref="L212:L275" si="32">IF(AND(F212&gt;0,ISNUMBER(G212)),(1-F212)/(1/C212-F212/G212),C212)</f>
        <v>22.33849</v>
      </c>
      <c r="M212" s="5">
        <f t="shared" ref="M212:M275" si="33">IF(AND(F212&gt;0,ISNUMBER(G212)),(D212-F212*H212)/(1-F212),D212)</f>
        <v>4509.665</v>
      </c>
      <c r="N212" s="16">
        <f t="shared" ref="N212:N275" si="34">IF(AND(F212&gt;0,ISNUMBER(G212)),(E212-F212*I212)/(1-F212),E212)</f>
        <v>257.44979999999998</v>
      </c>
      <c r="O212" s="7">
        <f t="shared" si="30"/>
        <v>22.380802144485024</v>
      </c>
      <c r="P212" s="4">
        <f t="shared" ref="P212:P275" si="35">LN(O212)</f>
        <v>3.1082035442649287</v>
      </c>
    </row>
    <row r="213" spans="1:16" x14ac:dyDescent="0.35">
      <c r="A213" s="2" t="s">
        <v>1322</v>
      </c>
      <c r="B213" s="2">
        <v>2018</v>
      </c>
      <c r="C213" s="7">
        <v>23.128969999999999</v>
      </c>
      <c r="D213" s="5">
        <v>4426.1109999999999</v>
      </c>
      <c r="E213" s="16">
        <v>249.96119999999999</v>
      </c>
      <c r="F213" s="15">
        <v>1E-3</v>
      </c>
      <c r="G213" s="16">
        <f>IFERROR(INDEX('EV Productivity'!$B$9:$B$21,MATCH(B213,'EV Productivity'!$A$9:$A$21,0)),"")</f>
        <v>113.67319000000001</v>
      </c>
      <c r="H213" s="16">
        <f>IFERROR(INDEX('EV Productivity'!$C$9:$C$21,MATCH(B213,'EV Productivity'!$A$9:$A$21,0)),"")</f>
        <v>4522.5739999999996</v>
      </c>
      <c r="I213" s="16">
        <f>IFERROR(INDEX('EV Productivity'!$D$9:$D$21,MATCH(B213,'EV Productivity'!$A$9:$A$21,0)),"")</f>
        <v>402.72219999999999</v>
      </c>
      <c r="J213" s="7">
        <f t="shared" si="29"/>
        <v>22.464198953401628</v>
      </c>
      <c r="K213" s="4">
        <f t="shared" si="31"/>
        <v>3.1119228843480577</v>
      </c>
      <c r="L213" s="7">
        <f t="shared" si="32"/>
        <v>23.110543309076352</v>
      </c>
      <c r="M213" s="5">
        <f t="shared" si="33"/>
        <v>4426.0144404404409</v>
      </c>
      <c r="N213" s="16">
        <f t="shared" si="34"/>
        <v>249.80828608608607</v>
      </c>
      <c r="O213" s="7">
        <f t="shared" si="30"/>
        <v>22.690361297782747</v>
      </c>
      <c r="P213" s="4">
        <f t="shared" si="35"/>
        <v>3.1219402218814931</v>
      </c>
    </row>
    <row r="214" spans="1:16" x14ac:dyDescent="0.35">
      <c r="A214" s="2" t="s">
        <v>1322</v>
      </c>
      <c r="B214" s="2">
        <v>2019</v>
      </c>
      <c r="C214" s="7">
        <v>23.481950000000001</v>
      </c>
      <c r="D214" s="5">
        <v>4444.482</v>
      </c>
      <c r="E214" s="16">
        <v>254.82589999999999</v>
      </c>
      <c r="F214" s="15">
        <v>3.0000000000000001E-3</v>
      </c>
      <c r="G214" s="16">
        <f>IFERROR(INDEX('EV Productivity'!$B$9:$B$21,MATCH(B214,'EV Productivity'!$A$9:$A$21,0)),"")</f>
        <v>117.99979999999999</v>
      </c>
      <c r="H214" s="16">
        <f>IFERROR(INDEX('EV Productivity'!$C$9:$C$21,MATCH(B214,'EV Productivity'!$A$9:$A$21,0)),"")</f>
        <v>4436.4139999999998</v>
      </c>
      <c r="I214" s="16">
        <f>IFERROR(INDEX('EV Productivity'!$D$9:$D$21,MATCH(B214,'EV Productivity'!$A$9:$A$21,0)),"")</f>
        <v>392.01650000000001</v>
      </c>
      <c r="J214" s="7">
        <f t="shared" si="29"/>
        <v>23.012911863887702</v>
      </c>
      <c r="K214" s="4">
        <f t="shared" si="31"/>
        <v>3.136055443797745</v>
      </c>
      <c r="L214" s="7">
        <f t="shared" si="32"/>
        <v>23.425489160954335</v>
      </c>
      <c r="M214" s="5">
        <f t="shared" si="33"/>
        <v>4444.5062768304915</v>
      </c>
      <c r="N214" s="16">
        <f t="shared" si="34"/>
        <v>254.4130897693079</v>
      </c>
      <c r="O214" s="7">
        <f t="shared" si="30"/>
        <v>23.232797200857387</v>
      </c>
      <c r="P214" s="4">
        <f t="shared" si="35"/>
        <v>3.1455649528288445</v>
      </c>
    </row>
    <row r="215" spans="1:16" x14ac:dyDescent="0.35">
      <c r="A215" s="2" t="s">
        <v>1322</v>
      </c>
      <c r="B215" s="2">
        <v>2020</v>
      </c>
      <c r="C215" s="7">
        <v>23.7501</v>
      </c>
      <c r="D215" s="5">
        <v>4447.9009999999998</v>
      </c>
      <c r="E215" s="16">
        <v>256.94220000000001</v>
      </c>
      <c r="F215" s="15">
        <v>2E-3</v>
      </c>
      <c r="G215" s="16">
        <f>IFERROR(INDEX('EV Productivity'!$B$9:$B$21,MATCH(B215,'EV Productivity'!$A$9:$A$21,0)),"")</f>
        <v>119.08936</v>
      </c>
      <c r="H215" s="16">
        <f>IFERROR(INDEX('EV Productivity'!$C$9:$C$21,MATCH(B215,'EV Productivity'!$A$9:$A$21,0)),"")</f>
        <v>4393.6790000000001</v>
      </c>
      <c r="I215" s="16">
        <f>IFERROR(INDEX('EV Productivity'!$D$9:$D$21,MATCH(B215,'EV Productivity'!$A$9:$A$21,0)),"")</f>
        <v>443.69900000000001</v>
      </c>
      <c r="J215" s="7">
        <f t="shared" si="29"/>
        <v>23.354966207620873</v>
      </c>
      <c r="K215" s="4">
        <f t="shared" si="31"/>
        <v>3.1508096470517559</v>
      </c>
      <c r="L215" s="7">
        <f t="shared" si="32"/>
        <v>23.712057634688666</v>
      </c>
      <c r="M215" s="5">
        <f t="shared" si="33"/>
        <v>4448.0096613226451</v>
      </c>
      <c r="N215" s="16">
        <f t="shared" si="34"/>
        <v>256.56793787575151</v>
      </c>
      <c r="O215" s="7">
        <f t="shared" si="30"/>
        <v>23.618660736107394</v>
      </c>
      <c r="P215" s="4">
        <f t="shared" si="35"/>
        <v>3.1620371087428634</v>
      </c>
    </row>
    <row r="216" spans="1:16" x14ac:dyDescent="0.35">
      <c r="A216" s="2" t="s">
        <v>1322</v>
      </c>
      <c r="B216" s="2">
        <v>2021</v>
      </c>
      <c r="C216" s="7">
        <v>24.055910000000001</v>
      </c>
      <c r="D216" s="5">
        <v>4492.5919999999996</v>
      </c>
      <c r="E216" s="16">
        <v>258.57170000000002</v>
      </c>
      <c r="F216" s="15">
        <v>6.0000000000000001E-3</v>
      </c>
      <c r="G216" s="16">
        <f>IFERROR(INDEX('EV Productivity'!$B$9:$B$21,MATCH(B216,'EV Productivity'!$A$9:$A$21,0)),"")</f>
        <v>123.91925000000001</v>
      </c>
      <c r="H216" s="16">
        <f>IFERROR(INDEX('EV Productivity'!$C$9:$C$21,MATCH(B216,'EV Productivity'!$A$9:$A$21,0)),"")</f>
        <v>4317.2039999999997</v>
      </c>
      <c r="I216" s="16">
        <f>IFERROR(INDEX('EV Productivity'!$D$9:$D$21,MATCH(B216,'EV Productivity'!$A$9:$A$21,0)),"")</f>
        <v>375.8981</v>
      </c>
      <c r="J216" s="7">
        <f t="shared" si="29"/>
        <v>23.818485758970475</v>
      </c>
      <c r="K216" s="4">
        <f t="shared" si="31"/>
        <v>3.1704619917541135</v>
      </c>
      <c r="L216" s="7">
        <f t="shared" si="32"/>
        <v>23.939458123061897</v>
      </c>
      <c r="M216" s="5">
        <f t="shared" si="33"/>
        <v>4493.6506800804827</v>
      </c>
      <c r="N216" s="16">
        <f t="shared" si="34"/>
        <v>257.86349235412479</v>
      </c>
      <c r="O216" s="7">
        <f t="shared" si="30"/>
        <v>23.977486761045135</v>
      </c>
      <c r="P216" s="4">
        <f t="shared" si="35"/>
        <v>3.1771153384790654</v>
      </c>
    </row>
    <row r="217" spans="1:16" x14ac:dyDescent="0.35">
      <c r="A217" s="2" t="s">
        <v>1322</v>
      </c>
      <c r="B217" s="2">
        <v>2022</v>
      </c>
      <c r="C217" s="7">
        <v>24.23828</v>
      </c>
      <c r="D217" s="5">
        <v>4488.54</v>
      </c>
      <c r="E217" s="16">
        <v>258.92140000000001</v>
      </c>
      <c r="F217" s="15">
        <v>0.01</v>
      </c>
      <c r="G217" s="16">
        <f>IFERROR(INDEX('EV Productivity'!$B$9:$B$21,MATCH(B217,'EV Productivity'!$A$9:$A$21,0)),"")</f>
        <v>119.25117</v>
      </c>
      <c r="H217" s="16">
        <f>IFERROR(INDEX('EV Productivity'!$C$9:$C$21,MATCH(B217,'EV Productivity'!$A$9:$A$21,0)),"")</f>
        <v>4364.1850000000004</v>
      </c>
      <c r="I217" s="16">
        <f>IFERROR(INDEX('EV Productivity'!$D$9:$D$21,MATCH(B217,'EV Productivity'!$A$9:$A$21,0)),"")</f>
        <v>451.82850000000002</v>
      </c>
      <c r="J217" s="7">
        <f t="shared" si="29"/>
        <v>24.001219135429416</v>
      </c>
      <c r="K217" s="4">
        <f t="shared" si="31"/>
        <v>3.1781046263673649</v>
      </c>
      <c r="L217" s="7">
        <f t="shared" si="32"/>
        <v>24.044769160539129</v>
      </c>
      <c r="M217" s="5">
        <f t="shared" si="33"/>
        <v>4489.7961111111108</v>
      </c>
      <c r="N217" s="16">
        <f t="shared" si="34"/>
        <v>256.97284343434347</v>
      </c>
      <c r="O217" s="7">
        <f t="shared" si="30"/>
        <v>24.036484928961134</v>
      </c>
      <c r="P217" s="4">
        <f t="shared" si="35"/>
        <v>3.1795728813788813</v>
      </c>
    </row>
    <row r="218" spans="1:16" x14ac:dyDescent="0.35">
      <c r="A218" s="2" t="s">
        <v>1322</v>
      </c>
      <c r="B218" s="2">
        <v>2023</v>
      </c>
      <c r="C218" s="7">
        <v>24.671970000000002</v>
      </c>
      <c r="D218" s="5">
        <v>4562.5119999999997</v>
      </c>
      <c r="E218" s="16">
        <v>265.11950000000002</v>
      </c>
      <c r="F218" s="15">
        <v>2.9000000000000001E-2</v>
      </c>
      <c r="G218" s="16">
        <f>IFERROR(INDEX('EV Productivity'!$B$9:$B$21,MATCH(B218,'EV Productivity'!$A$9:$A$21,0)),"")</f>
        <v>120.57422</v>
      </c>
      <c r="H218" s="16">
        <f>IFERROR(INDEX('EV Productivity'!$C$9:$C$21,MATCH(B218,'EV Productivity'!$A$9:$A$21,0)),"")</f>
        <v>4383.7889999999998</v>
      </c>
      <c r="I218" s="16">
        <f>IFERROR(INDEX('EV Productivity'!$D$9:$D$21,MATCH(B218,'EV Productivity'!$A$9:$A$21,0)),"")</f>
        <v>406.87689999999998</v>
      </c>
      <c r="J218" s="7">
        <f t="shared" si="29"/>
        <v>24.827872388318486</v>
      </c>
      <c r="K218" s="4">
        <f t="shared" si="31"/>
        <v>3.2119669087089111</v>
      </c>
      <c r="L218" s="7">
        <f t="shared" si="32"/>
        <v>24.099489180538434</v>
      </c>
      <c r="M218" s="5">
        <f t="shared" si="33"/>
        <v>4567.8497621009265</v>
      </c>
      <c r="N218" s="16">
        <f t="shared" si="34"/>
        <v>260.88575684860973</v>
      </c>
      <c r="O218" s="7">
        <f t="shared" si="30"/>
        <v>24.395063662211175</v>
      </c>
      <c r="P218" s="4">
        <f t="shared" si="35"/>
        <v>3.1943808029061733</v>
      </c>
    </row>
    <row r="219" spans="1:16" x14ac:dyDescent="0.35">
      <c r="A219" s="2" t="s">
        <v>1322</v>
      </c>
      <c r="B219" s="2">
        <v>2024</v>
      </c>
      <c r="C219" s="7">
        <v>25.703779999999998</v>
      </c>
      <c r="D219" s="5">
        <v>4547.7160000000003</v>
      </c>
      <c r="E219" s="16">
        <v>261.67230000000001</v>
      </c>
      <c r="F219" s="15">
        <v>4.1000000000000002E-2</v>
      </c>
      <c r="G219" s="16">
        <f>IFERROR(INDEX('EV Productivity'!$B$9:$B$21,MATCH(B219,'EV Productivity'!$A$9:$A$21,0)),"")</f>
        <v>117.14232</v>
      </c>
      <c r="H219" s="16">
        <f>IFERROR(INDEX('EV Productivity'!$C$9:$C$21,MATCH(B219,'EV Productivity'!$A$9:$A$21,0)),"")</f>
        <v>4409.7259999999997</v>
      </c>
      <c r="I219" s="16">
        <f>IFERROR(INDEX('EV Productivity'!$D$9:$D$21,MATCH(B219,'EV Productivity'!$A$9:$A$21,0)),"")</f>
        <v>420.45740000000001</v>
      </c>
      <c r="J219" s="7">
        <f t="shared" si="29"/>
        <v>25.703779999999998</v>
      </c>
      <c r="K219" s="4">
        <f t="shared" si="31"/>
        <v>3.246638062797782</v>
      </c>
      <c r="L219" s="7">
        <f t="shared" si="32"/>
        <v>24.873697866289923</v>
      </c>
      <c r="M219" s="5">
        <f t="shared" si="33"/>
        <v>4553.6154681960379</v>
      </c>
      <c r="N219" s="16">
        <f t="shared" si="34"/>
        <v>254.88378164754954</v>
      </c>
      <c r="O219" s="7">
        <f t="shared" si="30"/>
        <v>24.873697866289923</v>
      </c>
      <c r="P219" s="4">
        <f t="shared" si="35"/>
        <v>3.2138109345906778</v>
      </c>
    </row>
    <row r="220" spans="1:16" x14ac:dyDescent="0.35">
      <c r="A220" s="2" t="s">
        <v>1323</v>
      </c>
      <c r="B220" s="2">
        <v>1975</v>
      </c>
      <c r="C220" s="7">
        <v>11.914759999999999</v>
      </c>
      <c r="D220" s="5">
        <v>4011.9769999999999</v>
      </c>
      <c r="E220" s="16">
        <v>140.9365</v>
      </c>
      <c r="F220" s="15">
        <v>0</v>
      </c>
      <c r="G220" s="16" t="str">
        <f>IFERROR(INDEX('EV Productivity'!$B$9:$B$21,MATCH(B220,'EV Productivity'!$A$9:$A$21,0)),"")</f>
        <v/>
      </c>
      <c r="H220" s="16" t="str">
        <f>IFERROR(INDEX('EV Productivity'!$C$9:$C$21,MATCH(B220,'EV Productivity'!$A$9:$A$21,0)),"")</f>
        <v/>
      </c>
      <c r="I220" s="16" t="str">
        <f>IFERROR(INDEX('EV Productivity'!$D$9:$D$21,MATCH(B220,'EV Productivity'!$A$9:$A$21,0)),"")</f>
        <v/>
      </c>
      <c r="J220" s="7">
        <f t="shared" ref="J220:J251" si="36">C220*(D220/$D$269)^$B$4*(E220/$E$269)^$B$5</f>
        <v>7.6684528523316811</v>
      </c>
      <c r="K220" s="4">
        <f t="shared" si="31"/>
        <v>2.037114880864157</v>
      </c>
      <c r="L220" s="7">
        <f t="shared" si="32"/>
        <v>11.914759999999999</v>
      </c>
      <c r="M220" s="5">
        <f t="shared" si="33"/>
        <v>4011.9769999999999</v>
      </c>
      <c r="N220" s="16">
        <f t="shared" si="34"/>
        <v>140.9365</v>
      </c>
      <c r="O220" s="7">
        <f t="shared" ref="O220:O251" si="37">L220*(M220/$M$269)^$E$4*(N220/$N$269)^$E$5</f>
        <v>7.240801282780537</v>
      </c>
      <c r="P220" s="4">
        <f t="shared" si="35"/>
        <v>1.9797318746908648</v>
      </c>
    </row>
    <row r="221" spans="1:16" x14ac:dyDescent="0.35">
      <c r="A221" s="2" t="s">
        <v>1323</v>
      </c>
      <c r="B221" s="2">
        <v>1976</v>
      </c>
      <c r="C221" s="7">
        <v>12.441610000000001</v>
      </c>
      <c r="D221" s="5">
        <v>4121.8429999999998</v>
      </c>
      <c r="E221" s="16">
        <v>139.4</v>
      </c>
      <c r="F221" s="15">
        <v>0</v>
      </c>
      <c r="G221" s="16" t="str">
        <f>IFERROR(INDEX('EV Productivity'!$B$9:$B$21,MATCH(B221,'EV Productivity'!$A$9:$A$21,0)),"")</f>
        <v/>
      </c>
      <c r="H221" s="16" t="str">
        <f>IFERROR(INDEX('EV Productivity'!$C$9:$C$21,MATCH(B221,'EV Productivity'!$A$9:$A$21,0)),"")</f>
        <v/>
      </c>
      <c r="I221" s="16" t="str">
        <f>IFERROR(INDEX('EV Productivity'!$D$9:$D$21,MATCH(B221,'EV Productivity'!$A$9:$A$21,0)),"")</f>
        <v/>
      </c>
      <c r="J221" s="7">
        <f t="shared" si="36"/>
        <v>8.0733586194980536</v>
      </c>
      <c r="K221" s="4">
        <f t="shared" si="31"/>
        <v>2.0885695815119711</v>
      </c>
      <c r="L221" s="7">
        <f t="shared" si="32"/>
        <v>12.441610000000001</v>
      </c>
      <c r="M221" s="5">
        <f t="shared" si="33"/>
        <v>4121.8429999999998</v>
      </c>
      <c r="N221" s="16">
        <f t="shared" si="34"/>
        <v>139.4</v>
      </c>
      <c r="O221" s="7">
        <f t="shared" si="37"/>
        <v>7.5830237442813511</v>
      </c>
      <c r="P221" s="4">
        <f t="shared" si="35"/>
        <v>2.0259120309655581</v>
      </c>
    </row>
    <row r="222" spans="1:16" x14ac:dyDescent="0.35">
      <c r="A222" s="2" t="s">
        <v>1323</v>
      </c>
      <c r="B222" s="2">
        <v>1977</v>
      </c>
      <c r="C222" s="7">
        <v>13.55757</v>
      </c>
      <c r="D222" s="5">
        <v>4091.8470000000002</v>
      </c>
      <c r="E222" s="16">
        <v>146.3648</v>
      </c>
      <c r="F222" s="15">
        <v>0</v>
      </c>
      <c r="G222" s="16" t="str">
        <f>IFERROR(INDEX('EV Productivity'!$B$9:$B$21,MATCH(B222,'EV Productivity'!$A$9:$A$21,0)),"")</f>
        <v/>
      </c>
      <c r="H222" s="16" t="str">
        <f>IFERROR(INDEX('EV Productivity'!$C$9:$C$21,MATCH(B222,'EV Productivity'!$A$9:$A$21,0)),"")</f>
        <v/>
      </c>
      <c r="I222" s="16" t="str">
        <f>IFERROR(INDEX('EV Productivity'!$D$9:$D$21,MATCH(B222,'EV Productivity'!$A$9:$A$21,0)),"")</f>
        <v/>
      </c>
      <c r="J222" s="7">
        <f t="shared" si="36"/>
        <v>8.9276151851508843</v>
      </c>
      <c r="K222" s="4">
        <f t="shared" si="31"/>
        <v>2.1891493026884059</v>
      </c>
      <c r="L222" s="7">
        <f t="shared" si="32"/>
        <v>13.55757</v>
      </c>
      <c r="M222" s="5">
        <f t="shared" si="33"/>
        <v>4091.8470000000002</v>
      </c>
      <c r="N222" s="16">
        <f t="shared" si="34"/>
        <v>146.3648</v>
      </c>
      <c r="O222" s="7">
        <f t="shared" si="37"/>
        <v>8.4413407063631709</v>
      </c>
      <c r="P222" s="4">
        <f t="shared" si="35"/>
        <v>2.1331411474571387</v>
      </c>
    </row>
    <row r="223" spans="1:16" x14ac:dyDescent="0.35">
      <c r="A223" s="2" t="s">
        <v>1323</v>
      </c>
      <c r="B223" s="2">
        <v>1978</v>
      </c>
      <c r="C223" s="7">
        <v>13.32817</v>
      </c>
      <c r="D223" s="5">
        <v>4104.366</v>
      </c>
      <c r="E223" s="16">
        <v>144.15199999999999</v>
      </c>
      <c r="F223" s="15">
        <v>0</v>
      </c>
      <c r="G223" s="16" t="str">
        <f>IFERROR(INDEX('EV Productivity'!$B$9:$B$21,MATCH(B223,'EV Productivity'!$A$9:$A$21,0)),"")</f>
        <v/>
      </c>
      <c r="H223" s="16" t="str">
        <f>IFERROR(INDEX('EV Productivity'!$C$9:$C$21,MATCH(B223,'EV Productivity'!$A$9:$A$21,0)),"")</f>
        <v/>
      </c>
      <c r="I223" s="16" t="str">
        <f>IFERROR(INDEX('EV Productivity'!$D$9:$D$21,MATCH(B223,'EV Productivity'!$A$9:$A$21,0)),"")</f>
        <v/>
      </c>
      <c r="J223" s="7">
        <f t="shared" si="36"/>
        <v>8.7394442458991044</v>
      </c>
      <c r="K223" s="4">
        <f t="shared" si="31"/>
        <v>2.1678466002199461</v>
      </c>
      <c r="L223" s="7">
        <f t="shared" si="32"/>
        <v>13.32817</v>
      </c>
      <c r="M223" s="5">
        <f t="shared" si="33"/>
        <v>4104.366</v>
      </c>
      <c r="N223" s="16">
        <f t="shared" si="34"/>
        <v>144.15199999999999</v>
      </c>
      <c r="O223" s="7">
        <f t="shared" si="37"/>
        <v>8.2453193948698473</v>
      </c>
      <c r="P223" s="4">
        <f t="shared" si="35"/>
        <v>2.1096456932685235</v>
      </c>
    </row>
    <row r="224" spans="1:16" x14ac:dyDescent="0.35">
      <c r="A224" s="2" t="s">
        <v>1323</v>
      </c>
      <c r="B224" s="2">
        <v>1979</v>
      </c>
      <c r="C224" s="7">
        <v>13.21499</v>
      </c>
      <c r="D224" s="5">
        <v>4142.085</v>
      </c>
      <c r="E224" s="16">
        <v>135.6823</v>
      </c>
      <c r="F224" s="15">
        <v>0</v>
      </c>
      <c r="G224" s="16" t="str">
        <f>IFERROR(INDEX('EV Productivity'!$B$9:$B$21,MATCH(B224,'EV Productivity'!$A$9:$A$21,0)),"")</f>
        <v/>
      </c>
      <c r="H224" s="16" t="str">
        <f>IFERROR(INDEX('EV Productivity'!$C$9:$C$21,MATCH(B224,'EV Productivity'!$A$9:$A$21,0)),"")</f>
        <v/>
      </c>
      <c r="I224" s="16" t="str">
        <f>IFERROR(INDEX('EV Productivity'!$D$9:$D$21,MATCH(B224,'EV Productivity'!$A$9:$A$21,0)),"")</f>
        <v/>
      </c>
      <c r="J224" s="7">
        <f t="shared" si="36"/>
        <v>8.5089588384313721</v>
      </c>
      <c r="K224" s="4">
        <f t="shared" si="31"/>
        <v>2.1411195894402035</v>
      </c>
      <c r="L224" s="7">
        <f t="shared" si="32"/>
        <v>13.21499</v>
      </c>
      <c r="M224" s="5">
        <f t="shared" si="33"/>
        <v>4142.085</v>
      </c>
      <c r="N224" s="16">
        <f t="shared" si="34"/>
        <v>135.6823</v>
      </c>
      <c r="O224" s="7">
        <f t="shared" si="37"/>
        <v>7.9617502860166196</v>
      </c>
      <c r="P224" s="4">
        <f t="shared" si="35"/>
        <v>2.0746488608630562</v>
      </c>
    </row>
    <row r="225" spans="1:16" x14ac:dyDescent="0.35">
      <c r="A225" s="2" t="s">
        <v>1323</v>
      </c>
      <c r="B225" s="2">
        <v>1980</v>
      </c>
      <c r="C225" s="7">
        <v>16.518840000000001</v>
      </c>
      <c r="D225" s="5">
        <v>3739.9569999999999</v>
      </c>
      <c r="E225" s="16">
        <v>118.0136</v>
      </c>
      <c r="F225" s="15">
        <v>0</v>
      </c>
      <c r="G225" s="16" t="str">
        <f>IFERROR(INDEX('EV Productivity'!$B$9:$B$21,MATCH(B225,'EV Productivity'!$A$9:$A$21,0)),"")</f>
        <v/>
      </c>
      <c r="H225" s="16" t="str">
        <f>IFERROR(INDEX('EV Productivity'!$C$9:$C$21,MATCH(B225,'EV Productivity'!$A$9:$A$21,0)),"")</f>
        <v/>
      </c>
      <c r="I225" s="16" t="str">
        <f>IFERROR(INDEX('EV Productivity'!$D$9:$D$21,MATCH(B225,'EV Productivity'!$A$9:$A$21,0)),"")</f>
        <v/>
      </c>
      <c r="J225" s="7">
        <f t="shared" si="36"/>
        <v>9.6461869827100735</v>
      </c>
      <c r="K225" s="4">
        <f t="shared" si="31"/>
        <v>2.2665627059405615</v>
      </c>
      <c r="L225" s="7">
        <f t="shared" si="32"/>
        <v>16.518840000000001</v>
      </c>
      <c r="M225" s="5">
        <f t="shared" si="33"/>
        <v>3739.9569999999999</v>
      </c>
      <c r="N225" s="16">
        <f t="shared" si="34"/>
        <v>118.0136</v>
      </c>
      <c r="O225" s="7">
        <f t="shared" si="37"/>
        <v>9.019500828280627</v>
      </c>
      <c r="P225" s="4">
        <f t="shared" si="35"/>
        <v>2.1993889919978029</v>
      </c>
    </row>
    <row r="226" spans="1:16" x14ac:dyDescent="0.35">
      <c r="A226" s="2" t="s">
        <v>1323</v>
      </c>
      <c r="B226" s="2">
        <v>1981</v>
      </c>
      <c r="C226" s="7">
        <v>17.882280000000002</v>
      </c>
      <c r="D226" s="5">
        <v>3679.45</v>
      </c>
      <c r="E226" s="16">
        <v>115.48390000000001</v>
      </c>
      <c r="F226" s="15">
        <v>0</v>
      </c>
      <c r="G226" s="16" t="str">
        <f>IFERROR(INDEX('EV Productivity'!$B$9:$B$21,MATCH(B226,'EV Productivity'!$A$9:$A$21,0)),"")</f>
        <v/>
      </c>
      <c r="H226" s="16" t="str">
        <f>IFERROR(INDEX('EV Productivity'!$C$9:$C$21,MATCH(B226,'EV Productivity'!$A$9:$A$21,0)),"")</f>
        <v/>
      </c>
      <c r="I226" s="16" t="str">
        <f>IFERROR(INDEX('EV Productivity'!$D$9:$D$21,MATCH(B226,'EV Productivity'!$A$9:$A$21,0)),"")</f>
        <v/>
      </c>
      <c r="J226" s="7">
        <f t="shared" si="36"/>
        <v>10.283008036790919</v>
      </c>
      <c r="K226" s="4">
        <f t="shared" si="31"/>
        <v>2.330492827807666</v>
      </c>
      <c r="L226" s="7">
        <f t="shared" si="32"/>
        <v>17.882280000000002</v>
      </c>
      <c r="M226" s="5">
        <f t="shared" si="33"/>
        <v>3679.45</v>
      </c>
      <c r="N226" s="16">
        <f t="shared" si="34"/>
        <v>115.48390000000001</v>
      </c>
      <c r="O226" s="7">
        <f t="shared" si="37"/>
        <v>9.6145432368027226</v>
      </c>
      <c r="P226" s="4">
        <f t="shared" si="35"/>
        <v>2.263276872639604</v>
      </c>
    </row>
    <row r="227" spans="1:16" x14ac:dyDescent="0.35">
      <c r="A227" s="2" t="s">
        <v>1323</v>
      </c>
      <c r="B227" s="2">
        <v>1982</v>
      </c>
      <c r="C227" s="7">
        <v>18.485019999999999</v>
      </c>
      <c r="D227" s="5">
        <v>3628.8629999999998</v>
      </c>
      <c r="E227" s="16">
        <v>116.5468</v>
      </c>
      <c r="F227" s="15">
        <v>0</v>
      </c>
      <c r="G227" s="16" t="str">
        <f>IFERROR(INDEX('EV Productivity'!$B$9:$B$21,MATCH(B227,'EV Productivity'!$A$9:$A$21,0)),"")</f>
        <v/>
      </c>
      <c r="H227" s="16" t="str">
        <f>IFERROR(INDEX('EV Productivity'!$C$9:$C$21,MATCH(B227,'EV Productivity'!$A$9:$A$21,0)),"")</f>
        <v/>
      </c>
      <c r="I227" s="16" t="str">
        <f>IFERROR(INDEX('EV Productivity'!$D$9:$D$21,MATCH(B227,'EV Productivity'!$A$9:$A$21,0)),"")</f>
        <v/>
      </c>
      <c r="J227" s="7">
        <f t="shared" si="36"/>
        <v>10.598962747589209</v>
      </c>
      <c r="K227" s="4">
        <f t="shared" si="31"/>
        <v>2.3607561423289884</v>
      </c>
      <c r="L227" s="7">
        <f t="shared" si="32"/>
        <v>18.485019999999999</v>
      </c>
      <c r="M227" s="5">
        <f t="shared" si="33"/>
        <v>3628.8629999999998</v>
      </c>
      <c r="N227" s="16">
        <f t="shared" si="34"/>
        <v>116.5468</v>
      </c>
      <c r="O227" s="7">
        <f t="shared" si="37"/>
        <v>9.9407984709296429</v>
      </c>
      <c r="P227" s="4">
        <f t="shared" si="35"/>
        <v>2.2966473465096442</v>
      </c>
    </row>
    <row r="228" spans="1:16" x14ac:dyDescent="0.35">
      <c r="A228" s="2" t="s">
        <v>1323</v>
      </c>
      <c r="B228" s="2">
        <v>1983</v>
      </c>
      <c r="C228" s="7">
        <v>18.87651</v>
      </c>
      <c r="D228" s="5">
        <v>3543.6190000000001</v>
      </c>
      <c r="E228" s="16">
        <v>112.39530000000001</v>
      </c>
      <c r="F228" s="15">
        <v>0</v>
      </c>
      <c r="G228" s="16" t="str">
        <f>IFERROR(INDEX('EV Productivity'!$B$9:$B$21,MATCH(B228,'EV Productivity'!$A$9:$A$21,0)),"")</f>
        <v/>
      </c>
      <c r="H228" s="16" t="str">
        <f>IFERROR(INDEX('EV Productivity'!$C$9:$C$21,MATCH(B228,'EV Productivity'!$A$9:$A$21,0)),"")</f>
        <v/>
      </c>
      <c r="I228" s="16" t="str">
        <f>IFERROR(INDEX('EV Productivity'!$D$9:$D$21,MATCH(B228,'EV Productivity'!$A$9:$A$21,0)),"")</f>
        <v/>
      </c>
      <c r="J228" s="7">
        <f t="shared" si="36"/>
        <v>10.565253004142395</v>
      </c>
      <c r="K228" s="4">
        <f t="shared" si="31"/>
        <v>2.3575705981681665</v>
      </c>
      <c r="L228" s="7">
        <f t="shared" si="32"/>
        <v>18.87651</v>
      </c>
      <c r="M228" s="5">
        <f t="shared" si="33"/>
        <v>3543.6190000000001</v>
      </c>
      <c r="N228" s="16">
        <f t="shared" si="34"/>
        <v>112.39530000000001</v>
      </c>
      <c r="O228" s="7">
        <f t="shared" si="37"/>
        <v>9.9032707517533165</v>
      </c>
      <c r="P228" s="4">
        <f t="shared" si="35"/>
        <v>2.2928650815424128</v>
      </c>
    </row>
    <row r="229" spans="1:16" x14ac:dyDescent="0.35">
      <c r="A229" s="2" t="s">
        <v>1323</v>
      </c>
      <c r="B229" s="2">
        <v>1984</v>
      </c>
      <c r="C229" s="7">
        <v>18.259989999999998</v>
      </c>
      <c r="D229" s="5">
        <v>3618.9009999999998</v>
      </c>
      <c r="E229" s="16">
        <v>114.01179999999999</v>
      </c>
      <c r="F229" s="15">
        <v>0</v>
      </c>
      <c r="G229" s="16" t="str">
        <f>IFERROR(INDEX('EV Productivity'!$B$9:$B$21,MATCH(B229,'EV Productivity'!$A$9:$A$21,0)),"")</f>
        <v/>
      </c>
      <c r="H229" s="16" t="str">
        <f>IFERROR(INDEX('EV Productivity'!$C$9:$C$21,MATCH(B229,'EV Productivity'!$A$9:$A$21,0)),"")</f>
        <v/>
      </c>
      <c r="I229" s="16" t="str">
        <f>IFERROR(INDEX('EV Productivity'!$D$9:$D$21,MATCH(B229,'EV Productivity'!$A$9:$A$21,0)),"")</f>
        <v/>
      </c>
      <c r="J229" s="7">
        <f t="shared" si="36"/>
        <v>10.372414999040888</v>
      </c>
      <c r="K229" s="4">
        <f t="shared" si="31"/>
        <v>2.3391498783531195</v>
      </c>
      <c r="L229" s="7">
        <f t="shared" si="32"/>
        <v>18.259989999999998</v>
      </c>
      <c r="M229" s="5">
        <f t="shared" si="33"/>
        <v>3618.9009999999998</v>
      </c>
      <c r="N229" s="16">
        <f t="shared" si="34"/>
        <v>114.01179999999999</v>
      </c>
      <c r="O229" s="7">
        <f t="shared" si="37"/>
        <v>9.7079198329631833</v>
      </c>
      <c r="P229" s="4">
        <f t="shared" si="35"/>
        <v>2.2729420299978713</v>
      </c>
    </row>
    <row r="230" spans="1:16" x14ac:dyDescent="0.35">
      <c r="A230" s="2" t="s">
        <v>1323</v>
      </c>
      <c r="B230" s="2">
        <v>1985</v>
      </c>
      <c r="C230" s="7">
        <v>18.201370000000001</v>
      </c>
      <c r="D230" s="5">
        <v>3642.38</v>
      </c>
      <c r="E230" s="16">
        <v>122.88209999999999</v>
      </c>
      <c r="F230" s="15">
        <v>0</v>
      </c>
      <c r="G230" s="16" t="str">
        <f>IFERROR(INDEX('EV Productivity'!$B$9:$B$21,MATCH(B230,'EV Productivity'!$A$9:$A$21,0)),"")</f>
        <v/>
      </c>
      <c r="H230" s="16" t="str">
        <f>IFERROR(INDEX('EV Productivity'!$C$9:$C$21,MATCH(B230,'EV Productivity'!$A$9:$A$21,0)),"")</f>
        <v/>
      </c>
      <c r="I230" s="16" t="str">
        <f>IFERROR(INDEX('EV Productivity'!$D$9:$D$21,MATCH(B230,'EV Productivity'!$A$9:$A$21,0)),"")</f>
        <v/>
      </c>
      <c r="J230" s="7">
        <f t="shared" si="36"/>
        <v>10.660065605927533</v>
      </c>
      <c r="K230" s="4">
        <f t="shared" si="31"/>
        <v>2.366504573120968</v>
      </c>
      <c r="L230" s="7">
        <f t="shared" si="32"/>
        <v>18.201370000000001</v>
      </c>
      <c r="M230" s="5">
        <f t="shared" si="33"/>
        <v>3642.38</v>
      </c>
      <c r="N230" s="16">
        <f t="shared" si="34"/>
        <v>122.88209999999999</v>
      </c>
      <c r="O230" s="7">
        <f t="shared" si="37"/>
        <v>10.053089629559388</v>
      </c>
      <c r="P230" s="4">
        <f t="shared" si="35"/>
        <v>2.3078800130862529</v>
      </c>
    </row>
    <row r="231" spans="1:16" x14ac:dyDescent="0.35">
      <c r="A231" s="2" t="s">
        <v>1323</v>
      </c>
      <c r="B231" s="2">
        <v>1986</v>
      </c>
      <c r="C231" s="7">
        <v>18.862500000000001</v>
      </c>
      <c r="D231" s="5">
        <v>3574.0050000000001</v>
      </c>
      <c r="E231" s="16">
        <v>120.34699999999999</v>
      </c>
      <c r="F231" s="15">
        <v>0</v>
      </c>
      <c r="G231" s="16" t="str">
        <f>IFERROR(INDEX('EV Productivity'!$B$9:$B$21,MATCH(B231,'EV Productivity'!$A$9:$A$21,0)),"")</f>
        <v/>
      </c>
      <c r="H231" s="16" t="str">
        <f>IFERROR(INDEX('EV Productivity'!$C$9:$C$21,MATCH(B231,'EV Productivity'!$A$9:$A$21,0)),"")</f>
        <v/>
      </c>
      <c r="I231" s="16" t="str">
        <f>IFERROR(INDEX('EV Productivity'!$D$9:$D$21,MATCH(B231,'EV Productivity'!$A$9:$A$21,0)),"")</f>
        <v/>
      </c>
      <c r="J231" s="7">
        <f t="shared" si="36"/>
        <v>10.868986102494942</v>
      </c>
      <c r="K231" s="4">
        <f t="shared" si="31"/>
        <v>2.385913421943278</v>
      </c>
      <c r="L231" s="7">
        <f t="shared" si="32"/>
        <v>18.862500000000001</v>
      </c>
      <c r="M231" s="5">
        <f t="shared" si="33"/>
        <v>3574.0050000000001</v>
      </c>
      <c r="N231" s="16">
        <f t="shared" si="34"/>
        <v>120.34699999999999</v>
      </c>
      <c r="O231" s="7">
        <f t="shared" si="37"/>
        <v>10.254674396182226</v>
      </c>
      <c r="P231" s="4">
        <f t="shared" si="35"/>
        <v>2.327733640282319</v>
      </c>
    </row>
    <row r="232" spans="1:16" x14ac:dyDescent="0.35">
      <c r="A232" s="2" t="s">
        <v>1323</v>
      </c>
      <c r="B232" s="2">
        <v>1987</v>
      </c>
      <c r="C232" s="7">
        <v>19.038509999999999</v>
      </c>
      <c r="D232" s="5">
        <v>3526.44</v>
      </c>
      <c r="E232" s="16">
        <v>123.3883</v>
      </c>
      <c r="F232" s="15">
        <v>0</v>
      </c>
      <c r="G232" s="16" t="str">
        <f>IFERROR(INDEX('EV Productivity'!$B$9:$B$21,MATCH(B232,'EV Productivity'!$A$9:$A$21,0)),"")</f>
        <v/>
      </c>
      <c r="H232" s="16" t="str">
        <f>IFERROR(INDEX('EV Productivity'!$C$9:$C$21,MATCH(B232,'EV Productivity'!$A$9:$A$21,0)),"")</f>
        <v/>
      </c>
      <c r="I232" s="16" t="str">
        <f>IFERROR(INDEX('EV Productivity'!$D$9:$D$21,MATCH(B232,'EV Productivity'!$A$9:$A$21,0)),"")</f>
        <v/>
      </c>
      <c r="J232" s="7">
        <f t="shared" si="36"/>
        <v>11.004934266281463</v>
      </c>
      <c r="K232" s="4">
        <f t="shared" si="31"/>
        <v>2.3983437418830271</v>
      </c>
      <c r="L232" s="7">
        <f t="shared" si="32"/>
        <v>19.038509999999999</v>
      </c>
      <c r="M232" s="5">
        <f t="shared" si="33"/>
        <v>3526.44</v>
      </c>
      <c r="N232" s="16">
        <f t="shared" si="34"/>
        <v>123.3883</v>
      </c>
      <c r="O232" s="7">
        <f t="shared" si="37"/>
        <v>10.433340206854796</v>
      </c>
      <c r="P232" s="4">
        <f t="shared" si="35"/>
        <v>2.3450064676817548</v>
      </c>
    </row>
    <row r="233" spans="1:16" x14ac:dyDescent="0.35">
      <c r="A233" s="2" t="s">
        <v>1323</v>
      </c>
      <c r="B233" s="2">
        <v>1988</v>
      </c>
      <c r="C233" s="7">
        <v>18.14217</v>
      </c>
      <c r="D233" s="5">
        <v>3736.9140000000002</v>
      </c>
      <c r="E233" s="16">
        <v>137.69280000000001</v>
      </c>
      <c r="F233" s="15">
        <v>0</v>
      </c>
      <c r="G233" s="16" t="str">
        <f>IFERROR(INDEX('EV Productivity'!$B$9:$B$21,MATCH(B233,'EV Productivity'!$A$9:$A$21,0)),"")</f>
        <v/>
      </c>
      <c r="H233" s="16" t="str">
        <f>IFERROR(INDEX('EV Productivity'!$C$9:$C$21,MATCH(B233,'EV Productivity'!$A$9:$A$21,0)),"")</f>
        <v/>
      </c>
      <c r="I233" s="16" t="str">
        <f>IFERROR(INDEX('EV Productivity'!$D$9:$D$21,MATCH(B233,'EV Productivity'!$A$9:$A$21,0)),"")</f>
        <v/>
      </c>
      <c r="J233" s="7">
        <f t="shared" si="36"/>
        <v>11.21029060741666</v>
      </c>
      <c r="K233" s="4">
        <f t="shared" si="31"/>
        <v>2.4168321606924432</v>
      </c>
      <c r="L233" s="7">
        <f t="shared" si="32"/>
        <v>18.14217</v>
      </c>
      <c r="M233" s="5">
        <f t="shared" si="33"/>
        <v>3736.9140000000002</v>
      </c>
      <c r="N233" s="16">
        <f t="shared" si="34"/>
        <v>137.69280000000001</v>
      </c>
      <c r="O233" s="7">
        <f t="shared" si="37"/>
        <v>10.669318922996377</v>
      </c>
      <c r="P233" s="4">
        <f t="shared" si="35"/>
        <v>2.3673722322544801</v>
      </c>
    </row>
    <row r="234" spans="1:16" x14ac:dyDescent="0.35">
      <c r="A234" s="2" t="s">
        <v>1323</v>
      </c>
      <c r="B234" s="2">
        <v>1989</v>
      </c>
      <c r="C234" s="7">
        <v>17.802060000000001</v>
      </c>
      <c r="D234" s="5">
        <v>3803.1559999999999</v>
      </c>
      <c r="E234" s="16">
        <v>142.83000000000001</v>
      </c>
      <c r="F234" s="15">
        <v>0</v>
      </c>
      <c r="G234" s="16" t="str">
        <f>IFERROR(INDEX('EV Productivity'!$B$9:$B$21,MATCH(B234,'EV Productivity'!$A$9:$A$21,0)),"")</f>
        <v/>
      </c>
      <c r="H234" s="16" t="str">
        <f>IFERROR(INDEX('EV Productivity'!$C$9:$C$21,MATCH(B234,'EV Productivity'!$A$9:$A$21,0)),"")</f>
        <v/>
      </c>
      <c r="I234" s="16" t="str">
        <f>IFERROR(INDEX('EV Productivity'!$D$9:$D$21,MATCH(B234,'EV Productivity'!$A$9:$A$21,0)),"")</f>
        <v/>
      </c>
      <c r="J234" s="7">
        <f t="shared" si="36"/>
        <v>11.238847320858753</v>
      </c>
      <c r="K234" s="4">
        <f t="shared" si="31"/>
        <v>2.4193762876817559</v>
      </c>
      <c r="L234" s="7">
        <f t="shared" si="32"/>
        <v>17.802060000000001</v>
      </c>
      <c r="M234" s="5">
        <f t="shared" si="33"/>
        <v>3803.1559999999999</v>
      </c>
      <c r="N234" s="16">
        <f t="shared" si="34"/>
        <v>142.83000000000001</v>
      </c>
      <c r="O234" s="7">
        <f t="shared" si="37"/>
        <v>10.713209534883642</v>
      </c>
      <c r="P234" s="4">
        <f t="shared" si="35"/>
        <v>2.3714775160253598</v>
      </c>
    </row>
    <row r="235" spans="1:16" x14ac:dyDescent="0.35">
      <c r="A235" s="2" t="s">
        <v>1323</v>
      </c>
      <c r="B235" s="2">
        <v>1990</v>
      </c>
      <c r="C235" s="7">
        <v>17.411529999999999</v>
      </c>
      <c r="D235" s="5">
        <v>3928.038</v>
      </c>
      <c r="E235" s="16">
        <v>151.57980000000001</v>
      </c>
      <c r="F235" s="15">
        <v>0</v>
      </c>
      <c r="G235" s="16" t="str">
        <f>IFERROR(INDEX('EV Productivity'!$B$9:$B$21,MATCH(B235,'EV Productivity'!$A$9:$A$21,0)),"")</f>
        <v/>
      </c>
      <c r="H235" s="16" t="str">
        <f>IFERROR(INDEX('EV Productivity'!$C$9:$C$21,MATCH(B235,'EV Productivity'!$A$9:$A$21,0)),"")</f>
        <v/>
      </c>
      <c r="I235" s="16" t="str">
        <f>IFERROR(INDEX('EV Productivity'!$D$9:$D$21,MATCH(B235,'EV Productivity'!$A$9:$A$21,0)),"")</f>
        <v/>
      </c>
      <c r="J235" s="7">
        <f t="shared" si="36"/>
        <v>11.401644037748062</v>
      </c>
      <c r="K235" s="4">
        <f t="shared" si="31"/>
        <v>2.4337575588401834</v>
      </c>
      <c r="L235" s="7">
        <f t="shared" si="32"/>
        <v>17.411529999999999</v>
      </c>
      <c r="M235" s="5">
        <f t="shared" si="33"/>
        <v>3928.038</v>
      </c>
      <c r="N235" s="16">
        <f t="shared" si="34"/>
        <v>151.57980000000001</v>
      </c>
      <c r="O235" s="7">
        <f t="shared" si="37"/>
        <v>10.88982252529893</v>
      </c>
      <c r="P235" s="4">
        <f t="shared" si="35"/>
        <v>2.3878286397779966</v>
      </c>
    </row>
    <row r="236" spans="1:16" x14ac:dyDescent="0.35">
      <c r="A236" s="2" t="s">
        <v>1323</v>
      </c>
      <c r="B236" s="2">
        <v>1991</v>
      </c>
      <c r="C236" s="7">
        <v>18.186879999999999</v>
      </c>
      <c r="D236" s="5">
        <v>3779.3449999999998</v>
      </c>
      <c r="E236" s="16">
        <v>146.0197</v>
      </c>
      <c r="F236" s="15">
        <v>0</v>
      </c>
      <c r="G236" s="16" t="str">
        <f>IFERROR(INDEX('EV Productivity'!$B$9:$B$21,MATCH(B236,'EV Productivity'!$A$9:$A$21,0)),"")</f>
        <v/>
      </c>
      <c r="H236" s="16" t="str">
        <f>IFERROR(INDEX('EV Productivity'!$C$9:$C$21,MATCH(B236,'EV Productivity'!$A$9:$A$21,0)),"")</f>
        <v/>
      </c>
      <c r="I236" s="16" t="str">
        <f>IFERROR(INDEX('EV Productivity'!$D$9:$D$21,MATCH(B236,'EV Productivity'!$A$9:$A$21,0)),"")</f>
        <v/>
      </c>
      <c r="J236" s="7">
        <f t="shared" si="36"/>
        <v>11.542870307736376</v>
      </c>
      <c r="K236" s="4">
        <f t="shared" si="31"/>
        <v>2.4460679569928017</v>
      </c>
      <c r="L236" s="7">
        <f t="shared" si="32"/>
        <v>18.186879999999999</v>
      </c>
      <c r="M236" s="5">
        <f t="shared" si="33"/>
        <v>3779.3449999999998</v>
      </c>
      <c r="N236" s="16">
        <f t="shared" si="34"/>
        <v>146.0197</v>
      </c>
      <c r="O236" s="7">
        <f t="shared" si="37"/>
        <v>11.041093550087208</v>
      </c>
      <c r="P236" s="4">
        <f t="shared" si="35"/>
        <v>2.4016240893934087</v>
      </c>
    </row>
    <row r="237" spans="1:16" x14ac:dyDescent="0.35">
      <c r="A237" s="2" t="s">
        <v>1323</v>
      </c>
      <c r="B237" s="2">
        <v>1992</v>
      </c>
      <c r="C237" s="7">
        <v>17.480869999999999</v>
      </c>
      <c r="D237" s="5">
        <v>3976.4490000000001</v>
      </c>
      <c r="E237" s="16">
        <v>150.69810000000001</v>
      </c>
      <c r="F237" s="15">
        <v>0</v>
      </c>
      <c r="G237" s="16" t="str">
        <f>IFERROR(INDEX('EV Productivity'!$B$9:$B$21,MATCH(B237,'EV Productivity'!$A$9:$A$21,0)),"")</f>
        <v/>
      </c>
      <c r="H237" s="16" t="str">
        <f>IFERROR(INDEX('EV Productivity'!$C$9:$C$21,MATCH(B237,'EV Productivity'!$A$9:$A$21,0)),"")</f>
        <v/>
      </c>
      <c r="I237" s="16" t="str">
        <f>IFERROR(INDEX('EV Productivity'!$D$9:$D$21,MATCH(B237,'EV Productivity'!$A$9:$A$21,0)),"")</f>
        <v/>
      </c>
      <c r="J237" s="7">
        <f t="shared" si="36"/>
        <v>11.485955792358888</v>
      </c>
      <c r="K237" s="4">
        <f t="shared" si="31"/>
        <v>2.4411250536064628</v>
      </c>
      <c r="L237" s="7">
        <f t="shared" si="32"/>
        <v>17.480869999999999</v>
      </c>
      <c r="M237" s="5">
        <f t="shared" si="33"/>
        <v>3976.4490000000001</v>
      </c>
      <c r="N237" s="16">
        <f t="shared" si="34"/>
        <v>150.69810000000001</v>
      </c>
      <c r="O237" s="7">
        <f t="shared" si="37"/>
        <v>10.943067502555788</v>
      </c>
      <c r="P237" s="4">
        <f t="shared" si="35"/>
        <v>2.3927061509776193</v>
      </c>
    </row>
    <row r="238" spans="1:16" x14ac:dyDescent="0.35">
      <c r="A238" s="2" t="s">
        <v>1323</v>
      </c>
      <c r="B238" s="2">
        <v>1993</v>
      </c>
      <c r="C238" s="7">
        <v>17.58531</v>
      </c>
      <c r="D238" s="5">
        <v>3995.8989999999999</v>
      </c>
      <c r="E238" s="16">
        <v>156.0455</v>
      </c>
      <c r="F238" s="15">
        <v>0</v>
      </c>
      <c r="G238" s="16" t="str">
        <f>IFERROR(INDEX('EV Productivity'!$B$9:$B$21,MATCH(B238,'EV Productivity'!$A$9:$A$21,0)),"")</f>
        <v/>
      </c>
      <c r="H238" s="16" t="str">
        <f>IFERROR(INDEX('EV Productivity'!$C$9:$C$21,MATCH(B238,'EV Productivity'!$A$9:$A$21,0)),"")</f>
        <v/>
      </c>
      <c r="I238" s="16" t="str">
        <f>IFERROR(INDEX('EV Productivity'!$D$9:$D$21,MATCH(B238,'EV Productivity'!$A$9:$A$21,0)),"")</f>
        <v/>
      </c>
      <c r="J238" s="7">
        <f t="shared" si="36"/>
        <v>11.730068392498746</v>
      </c>
      <c r="K238" s="4">
        <f t="shared" si="31"/>
        <v>2.4621554932109393</v>
      </c>
      <c r="L238" s="7">
        <f t="shared" si="32"/>
        <v>17.58531</v>
      </c>
      <c r="M238" s="5">
        <f t="shared" si="33"/>
        <v>3995.8989999999999</v>
      </c>
      <c r="N238" s="16">
        <f t="shared" si="34"/>
        <v>156.0455</v>
      </c>
      <c r="O238" s="7">
        <f t="shared" si="37"/>
        <v>11.212030325445497</v>
      </c>
      <c r="P238" s="4">
        <f t="shared" si="35"/>
        <v>2.4169873380300202</v>
      </c>
    </row>
    <row r="239" spans="1:16" x14ac:dyDescent="0.35">
      <c r="A239" s="2" t="s">
        <v>1323</v>
      </c>
      <c r="B239" s="2">
        <v>1994</v>
      </c>
      <c r="C239" s="7">
        <v>17.440930000000002</v>
      </c>
      <c r="D239" s="5">
        <v>4056.4569999999999</v>
      </c>
      <c r="E239" s="16">
        <v>163.31809999999999</v>
      </c>
      <c r="F239" s="15">
        <v>0</v>
      </c>
      <c r="G239" s="16" t="str">
        <f>IFERROR(INDEX('EV Productivity'!$B$9:$B$21,MATCH(B239,'EV Productivity'!$A$9:$A$21,0)),"")</f>
        <v/>
      </c>
      <c r="H239" s="16" t="str">
        <f>IFERROR(INDEX('EV Productivity'!$C$9:$C$21,MATCH(B239,'EV Productivity'!$A$9:$A$21,0)),"")</f>
        <v/>
      </c>
      <c r="I239" s="16" t="str">
        <f>IFERROR(INDEX('EV Productivity'!$D$9:$D$21,MATCH(B239,'EV Productivity'!$A$9:$A$21,0)),"")</f>
        <v/>
      </c>
      <c r="J239" s="7">
        <f t="shared" si="36"/>
        <v>11.911768904804266</v>
      </c>
      <c r="K239" s="4">
        <f t="shared" si="31"/>
        <v>2.4775268949924021</v>
      </c>
      <c r="L239" s="7">
        <f t="shared" si="32"/>
        <v>17.440930000000002</v>
      </c>
      <c r="M239" s="5">
        <f t="shared" si="33"/>
        <v>4056.4569999999999</v>
      </c>
      <c r="N239" s="16">
        <f t="shared" si="34"/>
        <v>163.31809999999999</v>
      </c>
      <c r="O239" s="7">
        <f t="shared" si="37"/>
        <v>11.419409195899766</v>
      </c>
      <c r="P239" s="4">
        <f t="shared" si="35"/>
        <v>2.4353144687302164</v>
      </c>
    </row>
    <row r="240" spans="1:16" x14ac:dyDescent="0.35">
      <c r="A240" s="2" t="s">
        <v>1323</v>
      </c>
      <c r="B240" s="2">
        <v>1995</v>
      </c>
      <c r="C240" s="7">
        <v>16.890319999999999</v>
      </c>
      <c r="D240" s="5">
        <v>4182.348</v>
      </c>
      <c r="E240" s="16">
        <v>167.17939999999999</v>
      </c>
      <c r="F240" s="15">
        <v>0</v>
      </c>
      <c r="G240" s="16" t="str">
        <f>IFERROR(INDEX('EV Productivity'!$B$9:$B$21,MATCH(B240,'EV Productivity'!$A$9:$A$21,0)),"")</f>
        <v/>
      </c>
      <c r="H240" s="16" t="str">
        <f>IFERROR(INDEX('EV Productivity'!$C$9:$C$21,MATCH(B240,'EV Productivity'!$A$9:$A$21,0)),"")</f>
        <v/>
      </c>
      <c r="I240" s="16" t="str">
        <f>IFERROR(INDEX('EV Productivity'!$D$9:$D$21,MATCH(B240,'EV Productivity'!$A$9:$A$21,0)),"")</f>
        <v/>
      </c>
      <c r="J240" s="7">
        <f t="shared" si="36"/>
        <v>11.797707963322146</v>
      </c>
      <c r="K240" s="4">
        <f t="shared" si="31"/>
        <v>2.4679052722080819</v>
      </c>
      <c r="L240" s="7">
        <f t="shared" si="32"/>
        <v>16.890319999999999</v>
      </c>
      <c r="M240" s="5">
        <f t="shared" si="33"/>
        <v>4182.348</v>
      </c>
      <c r="N240" s="16">
        <f t="shared" si="34"/>
        <v>167.17939999999999</v>
      </c>
      <c r="O240" s="7">
        <f t="shared" si="37"/>
        <v>11.288742820196607</v>
      </c>
      <c r="P240" s="4">
        <f t="shared" si="35"/>
        <v>2.4238060185686381</v>
      </c>
    </row>
    <row r="241" spans="1:16" x14ac:dyDescent="0.35">
      <c r="A241" s="2" t="s">
        <v>1323</v>
      </c>
      <c r="B241" s="2">
        <v>1996</v>
      </c>
      <c r="C241" s="7">
        <v>17.147960000000001</v>
      </c>
      <c r="D241" s="5">
        <v>4189.857</v>
      </c>
      <c r="E241" s="16">
        <v>178.22569999999999</v>
      </c>
      <c r="F241" s="15">
        <v>0</v>
      </c>
      <c r="G241" s="16" t="str">
        <f>IFERROR(INDEX('EV Productivity'!$B$9:$B$21,MATCH(B241,'EV Productivity'!$A$9:$A$21,0)),"")</f>
        <v/>
      </c>
      <c r="H241" s="16" t="str">
        <f>IFERROR(INDEX('EV Productivity'!$C$9:$C$21,MATCH(B241,'EV Productivity'!$A$9:$A$21,0)),"")</f>
        <v/>
      </c>
      <c r="I241" s="16" t="str">
        <f>IFERROR(INDEX('EV Productivity'!$D$9:$D$21,MATCH(B241,'EV Productivity'!$A$9:$A$21,0)),"")</f>
        <v/>
      </c>
      <c r="J241" s="7">
        <f t="shared" si="36"/>
        <v>12.273740865362075</v>
      </c>
      <c r="K241" s="4">
        <f t="shared" si="31"/>
        <v>2.5074620912592751</v>
      </c>
      <c r="L241" s="7">
        <f t="shared" si="32"/>
        <v>17.147960000000001</v>
      </c>
      <c r="M241" s="5">
        <f t="shared" si="33"/>
        <v>4189.857</v>
      </c>
      <c r="N241" s="16">
        <f t="shared" si="34"/>
        <v>178.22569999999999</v>
      </c>
      <c r="O241" s="7">
        <f t="shared" si="37"/>
        <v>11.827108721471188</v>
      </c>
      <c r="P241" s="4">
        <f t="shared" si="35"/>
        <v>2.470394245876697</v>
      </c>
    </row>
    <row r="242" spans="1:16" x14ac:dyDescent="0.35">
      <c r="A242" s="2" t="s">
        <v>1323</v>
      </c>
      <c r="B242" s="2">
        <v>1997</v>
      </c>
      <c r="C242" s="7">
        <v>16.837289999999999</v>
      </c>
      <c r="D242" s="5">
        <v>4414.6149999999998</v>
      </c>
      <c r="E242" s="16">
        <v>195.57579999999999</v>
      </c>
      <c r="F242" s="15">
        <v>0</v>
      </c>
      <c r="G242" s="16" t="str">
        <f>IFERROR(INDEX('EV Productivity'!$B$9:$B$21,MATCH(B242,'EV Productivity'!$A$9:$A$21,0)),"")</f>
        <v/>
      </c>
      <c r="H242" s="16" t="str">
        <f>IFERROR(INDEX('EV Productivity'!$C$9:$C$21,MATCH(B242,'EV Productivity'!$A$9:$A$21,0)),"")</f>
        <v/>
      </c>
      <c r="I242" s="16" t="str">
        <f>IFERROR(INDEX('EV Productivity'!$D$9:$D$21,MATCH(B242,'EV Productivity'!$A$9:$A$21,0)),"")</f>
        <v/>
      </c>
      <c r="J242" s="7">
        <f t="shared" si="36"/>
        <v>12.770128001170983</v>
      </c>
      <c r="K242" s="4">
        <f t="shared" si="31"/>
        <v>2.5471086935784708</v>
      </c>
      <c r="L242" s="7">
        <f t="shared" si="32"/>
        <v>16.837289999999999</v>
      </c>
      <c r="M242" s="5">
        <f t="shared" si="33"/>
        <v>4414.6149999999998</v>
      </c>
      <c r="N242" s="16">
        <f t="shared" si="34"/>
        <v>195.57579999999999</v>
      </c>
      <c r="O242" s="7">
        <f t="shared" si="37"/>
        <v>12.340103067429339</v>
      </c>
      <c r="P242" s="4">
        <f t="shared" si="35"/>
        <v>2.5128543707461977</v>
      </c>
    </row>
    <row r="243" spans="1:16" x14ac:dyDescent="0.35">
      <c r="A243" s="2" t="s">
        <v>1323</v>
      </c>
      <c r="B243" s="2">
        <v>1998</v>
      </c>
      <c r="C243" s="7">
        <v>16.995660000000001</v>
      </c>
      <c r="D243" s="5">
        <v>4282.2790000000005</v>
      </c>
      <c r="E243" s="16">
        <v>189.7748</v>
      </c>
      <c r="F243" s="15">
        <v>0</v>
      </c>
      <c r="G243" s="16" t="str">
        <f>IFERROR(INDEX('EV Productivity'!$B$9:$B$21,MATCH(B243,'EV Productivity'!$A$9:$A$21,0)),"")</f>
        <v/>
      </c>
      <c r="H243" s="16" t="str">
        <f>IFERROR(INDEX('EV Productivity'!$C$9:$C$21,MATCH(B243,'EV Productivity'!$A$9:$A$21,0)),"")</f>
        <v/>
      </c>
      <c r="I243" s="16" t="str">
        <f>IFERROR(INDEX('EV Productivity'!$D$9:$D$21,MATCH(B243,'EV Productivity'!$A$9:$A$21,0)),"")</f>
        <v/>
      </c>
      <c r="J243" s="7">
        <f t="shared" si="36"/>
        <v>12.573399666436153</v>
      </c>
      <c r="K243" s="4">
        <f t="shared" si="31"/>
        <v>2.5315834447806975</v>
      </c>
      <c r="L243" s="7">
        <f t="shared" si="32"/>
        <v>16.995660000000001</v>
      </c>
      <c r="M243" s="5">
        <f t="shared" si="33"/>
        <v>4282.2790000000005</v>
      </c>
      <c r="N243" s="16">
        <f t="shared" si="34"/>
        <v>189.7748</v>
      </c>
      <c r="O243" s="7">
        <f t="shared" si="37"/>
        <v>12.16335630387518</v>
      </c>
      <c r="P243" s="4">
        <f t="shared" si="35"/>
        <v>2.4984278502856032</v>
      </c>
    </row>
    <row r="244" spans="1:16" x14ac:dyDescent="0.35">
      <c r="A244" s="2" t="s">
        <v>1323</v>
      </c>
      <c r="B244" s="2">
        <v>1999</v>
      </c>
      <c r="C244" s="7">
        <v>16.285070000000001</v>
      </c>
      <c r="D244" s="5">
        <v>4486.4639999999999</v>
      </c>
      <c r="E244" s="16">
        <v>204.74770000000001</v>
      </c>
      <c r="F244" s="15">
        <v>0</v>
      </c>
      <c r="G244" s="16" t="str">
        <f>IFERROR(INDEX('EV Productivity'!$B$9:$B$21,MATCH(B244,'EV Productivity'!$A$9:$A$21,0)),"")</f>
        <v/>
      </c>
      <c r="H244" s="16" t="str">
        <f>IFERROR(INDEX('EV Productivity'!$C$9:$C$21,MATCH(B244,'EV Productivity'!$A$9:$A$21,0)),"")</f>
        <v/>
      </c>
      <c r="I244" s="16" t="str">
        <f>IFERROR(INDEX('EV Productivity'!$D$9:$D$21,MATCH(B244,'EV Productivity'!$A$9:$A$21,0)),"")</f>
        <v/>
      </c>
      <c r="J244" s="7">
        <f t="shared" si="36"/>
        <v>12.654069522057757</v>
      </c>
      <c r="K244" s="4">
        <f t="shared" si="31"/>
        <v>2.5379788647871848</v>
      </c>
      <c r="L244" s="7">
        <f t="shared" si="32"/>
        <v>16.285070000000001</v>
      </c>
      <c r="M244" s="5">
        <f t="shared" si="33"/>
        <v>4486.4639999999999</v>
      </c>
      <c r="N244" s="16">
        <f t="shared" si="34"/>
        <v>204.74770000000001</v>
      </c>
      <c r="O244" s="7">
        <f t="shared" si="37"/>
        <v>12.262523425125201</v>
      </c>
      <c r="P244" s="4">
        <f t="shared" si="35"/>
        <v>2.5065477351954835</v>
      </c>
    </row>
    <row r="245" spans="1:16" x14ac:dyDescent="0.35">
      <c r="A245" s="2" t="s">
        <v>1323</v>
      </c>
      <c r="B245" s="2">
        <v>2000</v>
      </c>
      <c r="C245" s="7">
        <v>16.653040000000001</v>
      </c>
      <c r="D245" s="5">
        <v>4340.0050000000001</v>
      </c>
      <c r="E245" s="16">
        <v>202.75040000000001</v>
      </c>
      <c r="F245" s="15">
        <v>0</v>
      </c>
      <c r="G245" s="16" t="str">
        <f>IFERROR(INDEX('EV Productivity'!$B$9:$B$21,MATCH(B245,'EV Productivity'!$A$9:$A$21,0)),"")</f>
        <v/>
      </c>
      <c r="H245" s="16" t="str">
        <f>IFERROR(INDEX('EV Productivity'!$C$9:$C$21,MATCH(B245,'EV Productivity'!$A$9:$A$21,0)),"")</f>
        <v/>
      </c>
      <c r="I245" s="16" t="str">
        <f>IFERROR(INDEX('EV Productivity'!$D$9:$D$21,MATCH(B245,'EV Productivity'!$A$9:$A$21,0)),"")</f>
        <v/>
      </c>
      <c r="J245" s="7">
        <f t="shared" si="36"/>
        <v>12.701004595178725</v>
      </c>
      <c r="K245" s="4">
        <f t="shared" si="31"/>
        <v>2.5416810923187256</v>
      </c>
      <c r="L245" s="7">
        <f t="shared" si="32"/>
        <v>16.653040000000001</v>
      </c>
      <c r="M245" s="5">
        <f t="shared" si="33"/>
        <v>4340.0050000000001</v>
      </c>
      <c r="N245" s="16">
        <f t="shared" si="34"/>
        <v>202.75040000000001</v>
      </c>
      <c r="O245" s="7">
        <f t="shared" si="37"/>
        <v>12.355179343617365</v>
      </c>
      <c r="P245" s="4">
        <f t="shared" si="35"/>
        <v>2.5140753552087411</v>
      </c>
    </row>
    <row r="246" spans="1:16" x14ac:dyDescent="0.35">
      <c r="A246" s="2" t="s">
        <v>1323</v>
      </c>
      <c r="B246" s="2">
        <v>2001</v>
      </c>
      <c r="C246" s="7">
        <v>15.9533</v>
      </c>
      <c r="D246" s="5">
        <v>4551.4719999999998</v>
      </c>
      <c r="E246" s="16">
        <v>215.77549999999999</v>
      </c>
      <c r="F246" s="15">
        <v>0</v>
      </c>
      <c r="G246" s="16" t="str">
        <f>IFERROR(INDEX('EV Productivity'!$B$9:$B$21,MATCH(B246,'EV Productivity'!$A$9:$A$21,0)),"")</f>
        <v/>
      </c>
      <c r="H246" s="16" t="str">
        <f>IFERROR(INDEX('EV Productivity'!$C$9:$C$21,MATCH(B246,'EV Productivity'!$A$9:$A$21,0)),"")</f>
        <v/>
      </c>
      <c r="I246" s="16" t="str">
        <f>IFERROR(INDEX('EV Productivity'!$D$9:$D$21,MATCH(B246,'EV Productivity'!$A$9:$A$21,0)),"")</f>
        <v/>
      </c>
      <c r="J246" s="7">
        <f t="shared" si="36"/>
        <v>12.721115197126068</v>
      </c>
      <c r="K246" s="4">
        <f t="shared" si="31"/>
        <v>2.5432632267989836</v>
      </c>
      <c r="L246" s="7">
        <f t="shared" si="32"/>
        <v>15.9533</v>
      </c>
      <c r="M246" s="5">
        <f t="shared" si="33"/>
        <v>4551.4719999999998</v>
      </c>
      <c r="N246" s="16">
        <f t="shared" si="34"/>
        <v>215.77549999999999</v>
      </c>
      <c r="O246" s="7">
        <f t="shared" si="37"/>
        <v>12.374939808793174</v>
      </c>
      <c r="P246" s="4">
        <f t="shared" si="35"/>
        <v>2.5156734445070197</v>
      </c>
    </row>
    <row r="247" spans="1:16" x14ac:dyDescent="0.35">
      <c r="A247" s="2" t="s">
        <v>1323</v>
      </c>
      <c r="B247" s="2">
        <v>2002</v>
      </c>
      <c r="C247" s="7">
        <v>15.752660000000001</v>
      </c>
      <c r="D247" s="5">
        <v>4689.8389999999999</v>
      </c>
      <c r="E247" s="16">
        <v>226.25200000000001</v>
      </c>
      <c r="F247" s="15">
        <v>0</v>
      </c>
      <c r="G247" s="16" t="str">
        <f>IFERROR(INDEX('EV Productivity'!$B$9:$B$21,MATCH(B247,'EV Productivity'!$A$9:$A$21,0)),"")</f>
        <v/>
      </c>
      <c r="H247" s="16" t="str">
        <f>IFERROR(INDEX('EV Productivity'!$C$9:$C$21,MATCH(B247,'EV Productivity'!$A$9:$A$21,0)),"")</f>
        <v/>
      </c>
      <c r="I247" s="16" t="str">
        <f>IFERROR(INDEX('EV Productivity'!$D$9:$D$21,MATCH(B247,'EV Productivity'!$A$9:$A$21,0)),"")</f>
        <v/>
      </c>
      <c r="J247" s="7">
        <f t="shared" si="36"/>
        <v>12.95726001925572</v>
      </c>
      <c r="K247" s="4">
        <f t="shared" si="31"/>
        <v>2.5616562503048308</v>
      </c>
      <c r="L247" s="7">
        <f t="shared" si="32"/>
        <v>15.752660000000001</v>
      </c>
      <c r="M247" s="5">
        <f t="shared" si="33"/>
        <v>4689.8389999999999</v>
      </c>
      <c r="N247" s="16">
        <f t="shared" si="34"/>
        <v>226.25200000000001</v>
      </c>
      <c r="O247" s="7">
        <f t="shared" si="37"/>
        <v>12.616606449153464</v>
      </c>
      <c r="P247" s="4">
        <f t="shared" si="35"/>
        <v>2.5350139183495428</v>
      </c>
    </row>
    <row r="248" spans="1:16" x14ac:dyDescent="0.35">
      <c r="A248" s="2" t="s">
        <v>1323</v>
      </c>
      <c r="B248" s="2">
        <v>2003</v>
      </c>
      <c r="C248" s="7">
        <v>16.077179999999998</v>
      </c>
      <c r="D248" s="5">
        <v>4641.51</v>
      </c>
      <c r="E248" s="16">
        <v>222.84139999999999</v>
      </c>
      <c r="F248" s="15">
        <v>0</v>
      </c>
      <c r="G248" s="16" t="str">
        <f>IFERROR(INDEX('EV Productivity'!$B$9:$B$21,MATCH(B248,'EV Productivity'!$A$9:$A$21,0)),"")</f>
        <v/>
      </c>
      <c r="H248" s="16" t="str">
        <f>IFERROR(INDEX('EV Productivity'!$C$9:$C$21,MATCH(B248,'EV Productivity'!$A$9:$A$21,0)),"")</f>
        <v/>
      </c>
      <c r="I248" s="16" t="str">
        <f>IFERROR(INDEX('EV Productivity'!$D$9:$D$21,MATCH(B248,'EV Productivity'!$A$9:$A$21,0)),"")</f>
        <v/>
      </c>
      <c r="J248" s="7">
        <f t="shared" si="36"/>
        <v>13.088769411681143</v>
      </c>
      <c r="K248" s="4">
        <f t="shared" si="31"/>
        <v>2.5717545656997944</v>
      </c>
      <c r="L248" s="7">
        <f t="shared" si="32"/>
        <v>16.077179999999998</v>
      </c>
      <c r="M248" s="5">
        <f t="shared" si="33"/>
        <v>4641.51</v>
      </c>
      <c r="N248" s="16">
        <f t="shared" si="34"/>
        <v>222.84139999999999</v>
      </c>
      <c r="O248" s="7">
        <f t="shared" si="37"/>
        <v>12.742240778709034</v>
      </c>
      <c r="P248" s="4">
        <f t="shared" si="35"/>
        <v>2.5449225199769936</v>
      </c>
    </row>
    <row r="249" spans="1:16" x14ac:dyDescent="0.35">
      <c r="A249" s="2" t="s">
        <v>1323</v>
      </c>
      <c r="B249" s="2">
        <v>2004</v>
      </c>
      <c r="C249" s="7">
        <v>15.736840000000001</v>
      </c>
      <c r="D249" s="5">
        <v>4938.7969999999996</v>
      </c>
      <c r="E249" s="16">
        <v>248.7484</v>
      </c>
      <c r="F249" s="15">
        <v>0</v>
      </c>
      <c r="G249" s="16" t="str">
        <f>IFERROR(INDEX('EV Productivity'!$B$9:$B$21,MATCH(B249,'EV Productivity'!$A$9:$A$21,0)),"")</f>
        <v/>
      </c>
      <c r="H249" s="16" t="str">
        <f>IFERROR(INDEX('EV Productivity'!$C$9:$C$21,MATCH(B249,'EV Productivity'!$A$9:$A$21,0)),"")</f>
        <v/>
      </c>
      <c r="I249" s="16" t="str">
        <f>IFERROR(INDEX('EV Productivity'!$D$9:$D$21,MATCH(B249,'EV Productivity'!$A$9:$A$21,0)),"")</f>
        <v/>
      </c>
      <c r="J249" s="7">
        <f t="shared" si="36"/>
        <v>13.722547564511293</v>
      </c>
      <c r="K249" s="4">
        <f t="shared" si="31"/>
        <v>2.619040287605424</v>
      </c>
      <c r="L249" s="7">
        <f t="shared" si="32"/>
        <v>15.736840000000001</v>
      </c>
      <c r="M249" s="5">
        <f t="shared" si="33"/>
        <v>4938.7969999999996</v>
      </c>
      <c r="N249" s="16">
        <f t="shared" si="34"/>
        <v>248.7484</v>
      </c>
      <c r="O249" s="7">
        <f t="shared" si="37"/>
        <v>13.403376930310003</v>
      </c>
      <c r="P249" s="4">
        <f t="shared" si="35"/>
        <v>2.595506684932376</v>
      </c>
    </row>
    <row r="250" spans="1:16" x14ac:dyDescent="0.35">
      <c r="A250" s="2" t="s">
        <v>1323</v>
      </c>
      <c r="B250" s="2">
        <v>2005</v>
      </c>
      <c r="C250" s="7">
        <v>15.848739999999999</v>
      </c>
      <c r="D250" s="5">
        <v>4987.8220000000001</v>
      </c>
      <c r="E250" s="16">
        <v>259.70659999999998</v>
      </c>
      <c r="F250" s="15">
        <v>0</v>
      </c>
      <c r="G250" s="16" t="str">
        <f>IFERROR(INDEX('EV Productivity'!$B$9:$B$21,MATCH(B250,'EV Productivity'!$A$9:$A$21,0)),"")</f>
        <v/>
      </c>
      <c r="H250" s="16" t="str">
        <f>IFERROR(INDEX('EV Productivity'!$C$9:$C$21,MATCH(B250,'EV Productivity'!$A$9:$A$21,0)),"")</f>
        <v/>
      </c>
      <c r="I250" s="16" t="str">
        <f>IFERROR(INDEX('EV Productivity'!$D$9:$D$21,MATCH(B250,'EV Productivity'!$A$9:$A$21,0)),"")</f>
        <v/>
      </c>
      <c r="J250" s="7">
        <f t="shared" si="36"/>
        <v>14.104626613400089</v>
      </c>
      <c r="K250" s="4">
        <f t="shared" si="31"/>
        <v>2.6465028721716393</v>
      </c>
      <c r="L250" s="7">
        <f t="shared" si="32"/>
        <v>15.848739999999999</v>
      </c>
      <c r="M250" s="5">
        <f t="shared" si="33"/>
        <v>4987.8220000000001</v>
      </c>
      <c r="N250" s="16">
        <f t="shared" si="34"/>
        <v>259.70659999999998</v>
      </c>
      <c r="O250" s="7">
        <f t="shared" si="37"/>
        <v>13.824130276965411</v>
      </c>
      <c r="P250" s="4">
        <f t="shared" si="35"/>
        <v>2.6264156359875934</v>
      </c>
    </row>
    <row r="251" spans="1:16" x14ac:dyDescent="0.35">
      <c r="A251" s="2" t="s">
        <v>1323</v>
      </c>
      <c r="B251" s="2">
        <v>2006</v>
      </c>
      <c r="C251" s="7">
        <v>16.138729999999999</v>
      </c>
      <c r="D251" s="5">
        <v>4967.7389999999996</v>
      </c>
      <c r="E251" s="16">
        <v>255.5367</v>
      </c>
      <c r="F251" s="15">
        <v>0</v>
      </c>
      <c r="G251" s="16" t="str">
        <f>IFERROR(INDEX('EV Productivity'!$B$9:$B$21,MATCH(B251,'EV Productivity'!$A$9:$A$21,0)),"")</f>
        <v/>
      </c>
      <c r="H251" s="16" t="str">
        <f>IFERROR(INDEX('EV Productivity'!$C$9:$C$21,MATCH(B251,'EV Productivity'!$A$9:$A$21,0)),"")</f>
        <v/>
      </c>
      <c r="I251" s="16" t="str">
        <f>IFERROR(INDEX('EV Productivity'!$D$9:$D$21,MATCH(B251,'EV Productivity'!$A$9:$A$21,0)),"")</f>
        <v/>
      </c>
      <c r="J251" s="7">
        <f t="shared" si="36"/>
        <v>14.251133794920801</v>
      </c>
      <c r="K251" s="4">
        <f t="shared" si="31"/>
        <v>2.6568364681054137</v>
      </c>
      <c r="L251" s="7">
        <f t="shared" si="32"/>
        <v>16.138729999999999</v>
      </c>
      <c r="M251" s="5">
        <f t="shared" si="33"/>
        <v>4967.7389999999996</v>
      </c>
      <c r="N251" s="16">
        <f t="shared" si="34"/>
        <v>255.5367</v>
      </c>
      <c r="O251" s="7">
        <f t="shared" si="37"/>
        <v>13.950338613562824</v>
      </c>
      <c r="P251" s="4">
        <f t="shared" si="35"/>
        <v>2.6355037813464604</v>
      </c>
    </row>
    <row r="252" spans="1:16" x14ac:dyDescent="0.35">
      <c r="A252" s="2" t="s">
        <v>1323</v>
      </c>
      <c r="B252" s="2">
        <v>2007</v>
      </c>
      <c r="C252" s="7">
        <v>16.16854</v>
      </c>
      <c r="D252" s="5">
        <v>5144.4970000000003</v>
      </c>
      <c r="E252" s="16">
        <v>268.64330000000001</v>
      </c>
      <c r="F252" s="15">
        <v>0</v>
      </c>
      <c r="G252" s="16" t="str">
        <f>IFERROR(INDEX('EV Productivity'!$B$9:$B$21,MATCH(B252,'EV Productivity'!$A$9:$A$21,0)),"")</f>
        <v/>
      </c>
      <c r="H252" s="16" t="str">
        <f>IFERROR(INDEX('EV Productivity'!$C$9:$C$21,MATCH(B252,'EV Productivity'!$A$9:$A$21,0)),"")</f>
        <v/>
      </c>
      <c r="I252" s="16" t="str">
        <f>IFERROR(INDEX('EV Productivity'!$D$9:$D$21,MATCH(B252,'EV Productivity'!$A$9:$A$21,0)),"")</f>
        <v/>
      </c>
      <c r="J252" s="7">
        <f t="shared" ref="J252:J269" si="38">C252*(D252/$D$269)^$B$4*(E252/$E$269)^$B$5</f>
        <v>14.775402976102837</v>
      </c>
      <c r="K252" s="4">
        <f t="shared" si="31"/>
        <v>2.6929638371065452</v>
      </c>
      <c r="L252" s="7">
        <f t="shared" si="32"/>
        <v>16.16854</v>
      </c>
      <c r="M252" s="5">
        <f t="shared" si="33"/>
        <v>5144.4970000000003</v>
      </c>
      <c r="N252" s="16">
        <f t="shared" si="34"/>
        <v>268.64330000000001</v>
      </c>
      <c r="O252" s="7">
        <f t="shared" ref="O252:O283" si="39">L252*(M252/$M$269)^$E$4*(N252/$N$269)^$E$5</f>
        <v>14.470744868077448</v>
      </c>
      <c r="P252" s="4">
        <f t="shared" si="35"/>
        <v>2.6721290160342996</v>
      </c>
    </row>
    <row r="253" spans="1:16" x14ac:dyDescent="0.35">
      <c r="A253" s="2" t="s">
        <v>1323</v>
      </c>
      <c r="B253" s="2">
        <v>2008</v>
      </c>
      <c r="C253" s="7">
        <v>16.475490000000001</v>
      </c>
      <c r="D253" s="5">
        <v>5161.2039999999997</v>
      </c>
      <c r="E253" s="16">
        <v>276.32279999999997</v>
      </c>
      <c r="F253" s="15">
        <v>0</v>
      </c>
      <c r="G253" s="16" t="str">
        <f>IFERROR(INDEX('EV Productivity'!$B$9:$B$21,MATCH(B253,'EV Productivity'!$A$9:$A$21,0)),"")</f>
        <v/>
      </c>
      <c r="H253" s="16" t="str">
        <f>IFERROR(INDEX('EV Productivity'!$C$9:$C$21,MATCH(B253,'EV Productivity'!$A$9:$A$21,0)),"")</f>
        <v/>
      </c>
      <c r="I253" s="16" t="str">
        <f>IFERROR(INDEX('EV Productivity'!$D$9:$D$21,MATCH(B253,'EV Productivity'!$A$9:$A$21,0)),"")</f>
        <v/>
      </c>
      <c r="J253" s="7">
        <f t="shared" si="38"/>
        <v>15.235631632696048</v>
      </c>
      <c r="K253" s="4">
        <f t="shared" si="31"/>
        <v>2.7236368708953607</v>
      </c>
      <c r="L253" s="7">
        <f t="shared" si="32"/>
        <v>16.475490000000001</v>
      </c>
      <c r="M253" s="5">
        <f t="shared" si="33"/>
        <v>5161.2039999999997</v>
      </c>
      <c r="N253" s="16">
        <f t="shared" si="34"/>
        <v>276.32279999999997</v>
      </c>
      <c r="O253" s="7">
        <f t="shared" si="39"/>
        <v>14.962307613058741</v>
      </c>
      <c r="P253" s="4">
        <f t="shared" si="35"/>
        <v>2.7055342128604911</v>
      </c>
    </row>
    <row r="254" spans="1:16" x14ac:dyDescent="0.35">
      <c r="A254" s="2" t="s">
        <v>1323</v>
      </c>
      <c r="B254" s="2">
        <v>2009</v>
      </c>
      <c r="C254" s="7">
        <v>16.89988</v>
      </c>
      <c r="D254" s="5">
        <v>5175.9390000000003</v>
      </c>
      <c r="E254" s="16">
        <v>277.89929999999998</v>
      </c>
      <c r="F254" s="15">
        <v>0</v>
      </c>
      <c r="G254" s="16" t="str">
        <f>IFERROR(INDEX('EV Productivity'!$B$9:$B$21,MATCH(B254,'EV Productivity'!$A$9:$A$21,0)),"")</f>
        <v/>
      </c>
      <c r="H254" s="16" t="str">
        <f>IFERROR(INDEX('EV Productivity'!$C$9:$C$21,MATCH(B254,'EV Productivity'!$A$9:$A$21,0)),"")</f>
        <v/>
      </c>
      <c r="I254" s="16" t="str">
        <f>IFERROR(INDEX('EV Productivity'!$D$9:$D$21,MATCH(B254,'EV Productivity'!$A$9:$A$21,0)),"")</f>
        <v/>
      </c>
      <c r="J254" s="7">
        <f t="shared" si="38"/>
        <v>15.68114663085225</v>
      </c>
      <c r="K254" s="4">
        <f t="shared" si="31"/>
        <v>2.7524591392162336</v>
      </c>
      <c r="L254" s="7">
        <f t="shared" si="32"/>
        <v>16.89988</v>
      </c>
      <c r="M254" s="5">
        <f t="shared" si="33"/>
        <v>5175.9390000000003</v>
      </c>
      <c r="N254" s="16">
        <f t="shared" si="34"/>
        <v>277.89929999999998</v>
      </c>
      <c r="O254" s="7">
        <f t="shared" si="39"/>
        <v>15.403284905371862</v>
      </c>
      <c r="P254" s="4">
        <f t="shared" si="35"/>
        <v>2.7345807922168182</v>
      </c>
    </row>
    <row r="255" spans="1:16" x14ac:dyDescent="0.35">
      <c r="A255" s="2" t="s">
        <v>1323</v>
      </c>
      <c r="B255" s="2">
        <v>2010</v>
      </c>
      <c r="C255" s="7">
        <v>16.85202</v>
      </c>
      <c r="D255" s="5">
        <v>5308.759</v>
      </c>
      <c r="E255" s="16">
        <v>288.92469999999997</v>
      </c>
      <c r="F255" s="15">
        <v>0</v>
      </c>
      <c r="G255" s="16" t="str">
        <f>IFERROR(INDEX('EV Productivity'!$B$9:$B$21,MATCH(B255,'EV Productivity'!$A$9:$A$21,0)),"")</f>
        <v/>
      </c>
      <c r="H255" s="16" t="str">
        <f>IFERROR(INDEX('EV Productivity'!$C$9:$C$21,MATCH(B255,'EV Productivity'!$A$9:$A$21,0)),"")</f>
        <v/>
      </c>
      <c r="I255" s="16" t="str">
        <f>IFERROR(INDEX('EV Productivity'!$D$9:$D$21,MATCH(B255,'EV Productivity'!$A$9:$A$21,0)),"")</f>
        <v/>
      </c>
      <c r="J255" s="7">
        <f t="shared" si="38"/>
        <v>16.045816874490004</v>
      </c>
      <c r="K255" s="4">
        <f t="shared" si="31"/>
        <v>2.7754481847329995</v>
      </c>
      <c r="L255" s="7">
        <f t="shared" si="32"/>
        <v>16.85202</v>
      </c>
      <c r="M255" s="5">
        <f t="shared" si="33"/>
        <v>5308.759</v>
      </c>
      <c r="N255" s="16">
        <f t="shared" si="34"/>
        <v>288.92469999999997</v>
      </c>
      <c r="O255" s="7">
        <f t="shared" si="39"/>
        <v>15.771964678584652</v>
      </c>
      <c r="P255" s="4">
        <f t="shared" si="35"/>
        <v>2.7582339765115194</v>
      </c>
    </row>
    <row r="256" spans="1:16" x14ac:dyDescent="0.35">
      <c r="A256" s="2" t="s">
        <v>1323</v>
      </c>
      <c r="B256" s="2">
        <v>2011</v>
      </c>
      <c r="C256" s="7">
        <v>17.23687</v>
      </c>
      <c r="D256" s="5">
        <v>5267.7860000000001</v>
      </c>
      <c r="E256" s="16">
        <v>303.83300000000003</v>
      </c>
      <c r="F256" s="15">
        <v>0</v>
      </c>
      <c r="G256" s="16" t="str">
        <f>IFERROR(INDEX('EV Productivity'!$B$9:$B$21,MATCH(B256,'EV Productivity'!$A$9:$A$21,0)),"")</f>
        <v/>
      </c>
      <c r="H256" s="16" t="str">
        <f>IFERROR(INDEX('EV Productivity'!$C$9:$C$21,MATCH(B256,'EV Productivity'!$A$9:$A$21,0)),"")</f>
        <v/>
      </c>
      <c r="I256" s="16" t="str">
        <f>IFERROR(INDEX('EV Productivity'!$D$9:$D$21,MATCH(B256,'EV Productivity'!$A$9:$A$21,0)),"")</f>
        <v/>
      </c>
      <c r="J256" s="7">
        <f t="shared" si="38"/>
        <v>16.661207647871883</v>
      </c>
      <c r="K256" s="4">
        <f t="shared" si="31"/>
        <v>2.8130831219790382</v>
      </c>
      <c r="L256" s="7">
        <f t="shared" si="32"/>
        <v>17.23687</v>
      </c>
      <c r="M256" s="5">
        <f t="shared" si="33"/>
        <v>5267.7860000000001</v>
      </c>
      <c r="N256" s="16">
        <f t="shared" si="34"/>
        <v>303.83300000000003</v>
      </c>
      <c r="O256" s="7">
        <f t="shared" si="39"/>
        <v>16.490131401969382</v>
      </c>
      <c r="P256" s="4">
        <f t="shared" si="35"/>
        <v>2.8027621051249243</v>
      </c>
    </row>
    <row r="257" spans="1:16" x14ac:dyDescent="0.35">
      <c r="A257" s="2" t="s">
        <v>1323</v>
      </c>
      <c r="B257" s="2">
        <v>2012</v>
      </c>
      <c r="C257" s="7">
        <v>17.20749</v>
      </c>
      <c r="D257" s="5">
        <v>5334.6779999999999</v>
      </c>
      <c r="E257" s="16">
        <v>316.89170000000001</v>
      </c>
      <c r="F257" s="15">
        <v>0</v>
      </c>
      <c r="G257" s="16">
        <f>IFERROR(INDEX('EV Productivity'!$B$9:$B$21,MATCH(B257,'EV Productivity'!$A$9:$A$21,0)),"")</f>
        <v>89.140649999999994</v>
      </c>
      <c r="H257" s="16">
        <f>IFERROR(INDEX('EV Productivity'!$C$9:$C$21,MATCH(B257,'EV Productivity'!$A$9:$A$21,0)),"")</f>
        <v>4500</v>
      </c>
      <c r="I257" s="16">
        <f>IFERROR(INDEX('EV Productivity'!$D$9:$D$21,MATCH(B257,'EV Productivity'!$A$9:$A$21,0)),"")</f>
        <v>349</v>
      </c>
      <c r="J257" s="7">
        <f t="shared" si="38"/>
        <v>16.989839206647488</v>
      </c>
      <c r="K257" s="4">
        <f t="shared" si="31"/>
        <v>2.8326154716394973</v>
      </c>
      <c r="L257" s="7">
        <f t="shared" si="32"/>
        <v>17.20749</v>
      </c>
      <c r="M257" s="5">
        <f t="shared" si="33"/>
        <v>5334.6779999999999</v>
      </c>
      <c r="N257" s="16">
        <f t="shared" si="34"/>
        <v>316.89170000000001</v>
      </c>
      <c r="O257" s="7">
        <f t="shared" si="39"/>
        <v>16.864574319004994</v>
      </c>
      <c r="P257" s="4">
        <f t="shared" si="35"/>
        <v>2.8252152276972899</v>
      </c>
    </row>
    <row r="258" spans="1:16" x14ac:dyDescent="0.35">
      <c r="A258" s="2" t="s">
        <v>1323</v>
      </c>
      <c r="B258" s="2">
        <v>2013</v>
      </c>
      <c r="C258" s="7">
        <v>17.473929999999999</v>
      </c>
      <c r="D258" s="5">
        <v>5428.9979999999996</v>
      </c>
      <c r="E258" s="16">
        <v>328.0566</v>
      </c>
      <c r="F258" s="15">
        <v>0</v>
      </c>
      <c r="G258" s="16">
        <f>IFERROR(INDEX('EV Productivity'!$B$9:$B$21,MATCH(B258,'EV Productivity'!$A$9:$A$21,0)),"")</f>
        <v>90.655000000000001</v>
      </c>
      <c r="H258" s="16">
        <f>IFERROR(INDEX('EV Productivity'!$C$9:$C$21,MATCH(B258,'EV Productivity'!$A$9:$A$21,0)),"")</f>
        <v>4500</v>
      </c>
      <c r="I258" s="16">
        <f>IFERROR(INDEX('EV Productivity'!$D$9:$D$21,MATCH(B258,'EV Productivity'!$A$9:$A$21,0)),"")</f>
        <v>346.98399999999998</v>
      </c>
      <c r="J258" s="7">
        <f t="shared" si="38"/>
        <v>17.613929797944895</v>
      </c>
      <c r="K258" s="4">
        <f t="shared" si="31"/>
        <v>2.8686900547925442</v>
      </c>
      <c r="L258" s="7">
        <f t="shared" si="32"/>
        <v>17.473929999999999</v>
      </c>
      <c r="M258" s="5">
        <f t="shared" si="33"/>
        <v>5428.9979999999996</v>
      </c>
      <c r="N258" s="16">
        <f t="shared" si="34"/>
        <v>328.0566</v>
      </c>
      <c r="O258" s="7">
        <f t="shared" si="39"/>
        <v>17.507495273116525</v>
      </c>
      <c r="P258" s="4">
        <f t="shared" si="35"/>
        <v>2.8626290905555831</v>
      </c>
    </row>
    <row r="259" spans="1:16" x14ac:dyDescent="0.35">
      <c r="A259" s="2" t="s">
        <v>1323</v>
      </c>
      <c r="B259" s="2">
        <v>2014</v>
      </c>
      <c r="C259" s="7">
        <v>18.037700000000001</v>
      </c>
      <c r="D259" s="5">
        <v>5484.8239999999996</v>
      </c>
      <c r="E259" s="16">
        <v>333.8904</v>
      </c>
      <c r="F259" s="15">
        <v>0</v>
      </c>
      <c r="G259" s="16">
        <f>IFERROR(INDEX('EV Productivity'!$B$9:$B$21,MATCH(B259,'EV Productivity'!$A$9:$A$21,0)),"")</f>
        <v>90.168629999999993</v>
      </c>
      <c r="H259" s="16">
        <f>IFERROR(INDEX('EV Productivity'!$C$9:$C$21,MATCH(B259,'EV Productivity'!$A$9:$A$21,0)),"")</f>
        <v>4562.2219999999998</v>
      </c>
      <c r="I259" s="16">
        <f>IFERROR(INDEX('EV Productivity'!$D$9:$D$21,MATCH(B259,'EV Productivity'!$A$9:$A$21,0)),"")</f>
        <v>335.78829999999999</v>
      </c>
      <c r="J259" s="7">
        <f t="shared" si="38"/>
        <v>18.385800474586652</v>
      </c>
      <c r="K259" s="4">
        <f t="shared" si="31"/>
        <v>2.9115786533532355</v>
      </c>
      <c r="L259" s="7">
        <f t="shared" si="32"/>
        <v>18.037700000000001</v>
      </c>
      <c r="M259" s="5">
        <f t="shared" si="33"/>
        <v>5484.8239999999996</v>
      </c>
      <c r="N259" s="16">
        <f t="shared" si="34"/>
        <v>333.8904</v>
      </c>
      <c r="O259" s="7">
        <f t="shared" si="39"/>
        <v>18.283600888805175</v>
      </c>
      <c r="P259" s="4">
        <f t="shared" si="35"/>
        <v>2.9060045317913707</v>
      </c>
    </row>
    <row r="260" spans="1:16" x14ac:dyDescent="0.35">
      <c r="A260" s="2" t="s">
        <v>1323</v>
      </c>
      <c r="B260" s="2">
        <v>2015</v>
      </c>
      <c r="C260" s="7">
        <v>18.808610000000002</v>
      </c>
      <c r="D260" s="5">
        <v>5164.6559999999999</v>
      </c>
      <c r="E260" s="16">
        <v>324.16800000000001</v>
      </c>
      <c r="F260" s="15">
        <v>0</v>
      </c>
      <c r="G260" s="16">
        <f>IFERROR(INDEX('EV Productivity'!$B$9:$B$21,MATCH(B260,'EV Productivity'!$A$9:$A$21,0)),"")</f>
        <v>97.135120000000001</v>
      </c>
      <c r="H260" s="16">
        <f>IFERROR(INDEX('EV Productivity'!$C$9:$C$21,MATCH(B260,'EV Productivity'!$A$9:$A$21,0)),"")</f>
        <v>4901.7560000000003</v>
      </c>
      <c r="I260" s="16">
        <f>IFERROR(INDEX('EV Productivity'!$D$9:$D$21,MATCH(B260,'EV Productivity'!$A$9:$A$21,0)),"")</f>
        <v>396.16609999999997</v>
      </c>
      <c r="J260" s="7">
        <f t="shared" si="38"/>
        <v>18.454309038602592</v>
      </c>
      <c r="K260" s="4">
        <f t="shared" si="31"/>
        <v>2.9152978954452431</v>
      </c>
      <c r="L260" s="7">
        <f t="shared" si="32"/>
        <v>18.808610000000002</v>
      </c>
      <c r="M260" s="5">
        <f t="shared" si="33"/>
        <v>5164.6559999999999</v>
      </c>
      <c r="N260" s="16">
        <f t="shared" si="34"/>
        <v>324.16800000000001</v>
      </c>
      <c r="O260" s="7">
        <f t="shared" si="39"/>
        <v>18.454565668902283</v>
      </c>
      <c r="P260" s="4">
        <f t="shared" si="35"/>
        <v>2.9153118016020541</v>
      </c>
    </row>
    <row r="261" spans="1:16" x14ac:dyDescent="0.35">
      <c r="A261" s="2" t="s">
        <v>1323</v>
      </c>
      <c r="B261" s="2">
        <v>2016</v>
      </c>
      <c r="C261" s="7">
        <v>18.922370000000001</v>
      </c>
      <c r="D261" s="5">
        <v>5150.4080000000004</v>
      </c>
      <c r="E261" s="16">
        <v>324.21749999999997</v>
      </c>
      <c r="F261" s="15">
        <v>0</v>
      </c>
      <c r="G261" s="16">
        <f>IFERROR(INDEX('EV Productivity'!$B$9:$B$21,MATCH(B261,'EV Productivity'!$A$9:$A$21,0)),"")</f>
        <v>96.81841</v>
      </c>
      <c r="H261" s="16">
        <f>IFERROR(INDEX('EV Productivity'!$C$9:$C$21,MATCH(B261,'EV Productivity'!$A$9:$A$21,0)),"")</f>
        <v>5172.598</v>
      </c>
      <c r="I261" s="16">
        <f>IFERROR(INDEX('EV Productivity'!$D$9:$D$21,MATCH(B261,'EV Productivity'!$A$9:$A$21,0)),"")</f>
        <v>384.3064</v>
      </c>
      <c r="J261" s="7">
        <f t="shared" si="38"/>
        <v>18.54376598413641</v>
      </c>
      <c r="K261" s="4">
        <f t="shared" si="31"/>
        <v>2.9201336670255569</v>
      </c>
      <c r="L261" s="7">
        <f t="shared" si="32"/>
        <v>18.922370000000001</v>
      </c>
      <c r="M261" s="5">
        <f t="shared" si="33"/>
        <v>5150.4080000000004</v>
      </c>
      <c r="N261" s="16">
        <f t="shared" si="34"/>
        <v>324.21749999999997</v>
      </c>
      <c r="O261" s="7">
        <f t="shared" si="39"/>
        <v>18.55197918861256</v>
      </c>
      <c r="P261" s="4">
        <f t="shared" si="35"/>
        <v>2.9205764781658701</v>
      </c>
    </row>
    <row r="262" spans="1:16" x14ac:dyDescent="0.35">
      <c r="A262" s="2" t="s">
        <v>1323</v>
      </c>
      <c r="B262" s="2">
        <v>2017</v>
      </c>
      <c r="C262" s="7">
        <v>18.917629999999999</v>
      </c>
      <c r="D262" s="5">
        <v>5217.0410000000002</v>
      </c>
      <c r="E262" s="16">
        <v>332.80309999999997</v>
      </c>
      <c r="F262" s="15">
        <v>0</v>
      </c>
      <c r="G262" s="16">
        <f>IFERROR(INDEX('EV Productivity'!$B$9:$B$21,MATCH(B262,'EV Productivity'!$A$9:$A$21,0)),"")</f>
        <v>98.218540000000004</v>
      </c>
      <c r="H262" s="16">
        <f>IFERROR(INDEX('EV Productivity'!$C$9:$C$21,MATCH(B262,'EV Productivity'!$A$9:$A$21,0)),"")</f>
        <v>5211.8069999999998</v>
      </c>
      <c r="I262" s="16">
        <f>IFERROR(INDEX('EV Productivity'!$D$9:$D$21,MATCH(B262,'EV Productivity'!$A$9:$A$21,0)),"")</f>
        <v>499.9051</v>
      </c>
      <c r="J262" s="7">
        <f t="shared" si="38"/>
        <v>18.828004046792394</v>
      </c>
      <c r="K262" s="4">
        <f t="shared" si="31"/>
        <v>2.9353453384736716</v>
      </c>
      <c r="L262" s="7">
        <f t="shared" si="32"/>
        <v>18.917629999999999</v>
      </c>
      <c r="M262" s="5">
        <f t="shared" si="33"/>
        <v>5217.0410000000002</v>
      </c>
      <c r="N262" s="16">
        <f t="shared" si="34"/>
        <v>332.80309999999997</v>
      </c>
      <c r="O262" s="7">
        <f t="shared" si="39"/>
        <v>18.85644670161355</v>
      </c>
      <c r="P262" s="4">
        <f t="shared" si="35"/>
        <v>2.9368548555109206</v>
      </c>
    </row>
    <row r="263" spans="1:16" x14ac:dyDescent="0.35">
      <c r="A263" s="2" t="s">
        <v>1323</v>
      </c>
      <c r="B263" s="2">
        <v>2018</v>
      </c>
      <c r="C263" s="7">
        <v>19.109739999999999</v>
      </c>
      <c r="D263" s="5">
        <v>5233.0550000000003</v>
      </c>
      <c r="E263" s="16">
        <v>345.67329999999998</v>
      </c>
      <c r="F263" s="15">
        <v>0</v>
      </c>
      <c r="G263" s="16">
        <f>IFERROR(INDEX('EV Productivity'!$B$9:$B$21,MATCH(B263,'EV Productivity'!$A$9:$A$21,0)),"")</f>
        <v>113.67319000000001</v>
      </c>
      <c r="H263" s="16">
        <f>IFERROR(INDEX('EV Productivity'!$C$9:$C$21,MATCH(B263,'EV Productivity'!$A$9:$A$21,0)),"")</f>
        <v>4522.5739999999996</v>
      </c>
      <c r="I263" s="16">
        <f>IFERROR(INDEX('EV Productivity'!$D$9:$D$21,MATCH(B263,'EV Productivity'!$A$9:$A$21,0)),"")</f>
        <v>402.72219999999999</v>
      </c>
      <c r="J263" s="7">
        <f t="shared" si="38"/>
        <v>19.314102918287265</v>
      </c>
      <c r="K263" s="4">
        <f t="shared" si="31"/>
        <v>2.9608355502189032</v>
      </c>
      <c r="L263" s="7">
        <f t="shared" si="32"/>
        <v>19.109739999999999</v>
      </c>
      <c r="M263" s="5">
        <f t="shared" si="33"/>
        <v>5233.0550000000003</v>
      </c>
      <c r="N263" s="16">
        <f t="shared" si="34"/>
        <v>345.67329999999998</v>
      </c>
      <c r="O263" s="7">
        <f t="shared" si="39"/>
        <v>19.418315862560625</v>
      </c>
      <c r="P263" s="4">
        <f t="shared" si="35"/>
        <v>2.9662167372983324</v>
      </c>
    </row>
    <row r="264" spans="1:16" x14ac:dyDescent="0.35">
      <c r="A264" s="2" t="s">
        <v>1323</v>
      </c>
      <c r="B264" s="2">
        <v>2019</v>
      </c>
      <c r="C264" s="7">
        <v>19.027180000000001</v>
      </c>
      <c r="D264" s="5">
        <v>5084.835</v>
      </c>
      <c r="E264" s="16">
        <v>342.66480000000001</v>
      </c>
      <c r="F264" s="15">
        <v>0</v>
      </c>
      <c r="G264" s="16">
        <f>IFERROR(INDEX('EV Productivity'!$B$9:$B$21,MATCH(B264,'EV Productivity'!$A$9:$A$21,0)),"")</f>
        <v>117.99979999999999</v>
      </c>
      <c r="H264" s="16">
        <f>IFERROR(INDEX('EV Productivity'!$C$9:$C$21,MATCH(B264,'EV Productivity'!$A$9:$A$21,0)),"")</f>
        <v>4436.4139999999998</v>
      </c>
      <c r="I264" s="16">
        <f>IFERROR(INDEX('EV Productivity'!$D$9:$D$21,MATCH(B264,'EV Productivity'!$A$9:$A$21,0)),"")</f>
        <v>392.01650000000001</v>
      </c>
      <c r="J264" s="7">
        <f t="shared" si="38"/>
        <v>18.921015972683207</v>
      </c>
      <c r="K264" s="4">
        <f t="shared" si="31"/>
        <v>2.9402732605268063</v>
      </c>
      <c r="L264" s="7">
        <f t="shared" si="32"/>
        <v>19.027180000000001</v>
      </c>
      <c r="M264" s="5">
        <f t="shared" si="33"/>
        <v>5084.835</v>
      </c>
      <c r="N264" s="16">
        <f t="shared" si="34"/>
        <v>342.66480000000001</v>
      </c>
      <c r="O264" s="7">
        <f t="shared" si="39"/>
        <v>19.085656496440677</v>
      </c>
      <c r="P264" s="4">
        <f t="shared" si="35"/>
        <v>2.9489370841615457</v>
      </c>
    </row>
    <row r="265" spans="1:16" x14ac:dyDescent="0.35">
      <c r="A265" s="2" t="s">
        <v>1323</v>
      </c>
      <c r="B265" s="2">
        <v>2020</v>
      </c>
      <c r="C265" s="7">
        <v>19.193490000000001</v>
      </c>
      <c r="D265" s="5">
        <v>5125.9859999999999</v>
      </c>
      <c r="E265" s="16">
        <v>342.35120000000001</v>
      </c>
      <c r="F265" s="15">
        <v>0</v>
      </c>
      <c r="G265" s="16">
        <f>IFERROR(INDEX('EV Productivity'!$B$9:$B$21,MATCH(B265,'EV Productivity'!$A$9:$A$21,0)),"")</f>
        <v>119.08936</v>
      </c>
      <c r="H265" s="16">
        <f>IFERROR(INDEX('EV Productivity'!$C$9:$C$21,MATCH(B265,'EV Productivity'!$A$9:$A$21,0)),"")</f>
        <v>4393.6790000000001</v>
      </c>
      <c r="I265" s="16">
        <f>IFERROR(INDEX('EV Productivity'!$D$9:$D$21,MATCH(B265,'EV Productivity'!$A$9:$A$21,0)),"")</f>
        <v>443.69900000000001</v>
      </c>
      <c r="J265" s="7">
        <f t="shared" si="38"/>
        <v>19.149701162422542</v>
      </c>
      <c r="K265" s="4">
        <f t="shared" si="31"/>
        <v>2.9522871104094657</v>
      </c>
      <c r="L265" s="7">
        <f t="shared" si="32"/>
        <v>19.193490000000001</v>
      </c>
      <c r="M265" s="5">
        <f t="shared" si="33"/>
        <v>5125.9859999999999</v>
      </c>
      <c r="N265" s="16">
        <f t="shared" si="34"/>
        <v>342.35120000000001</v>
      </c>
      <c r="O265" s="7">
        <f t="shared" si="39"/>
        <v>19.291139460635776</v>
      </c>
      <c r="P265" s="4">
        <f t="shared" si="35"/>
        <v>2.9596458951904796</v>
      </c>
    </row>
    <row r="266" spans="1:16" x14ac:dyDescent="0.35">
      <c r="A266" s="2" t="s">
        <v>1323</v>
      </c>
      <c r="B266" s="2">
        <v>2021</v>
      </c>
      <c r="C266" s="7">
        <v>19.326180000000001</v>
      </c>
      <c r="D266" s="5">
        <v>5200.6549999999997</v>
      </c>
      <c r="E266" s="16">
        <v>337.20589999999999</v>
      </c>
      <c r="F266" s="15">
        <v>0</v>
      </c>
      <c r="G266" s="16">
        <f>IFERROR(INDEX('EV Productivity'!$B$9:$B$21,MATCH(B266,'EV Productivity'!$A$9:$A$21,0)),"")</f>
        <v>123.91925000000001</v>
      </c>
      <c r="H266" s="16">
        <f>IFERROR(INDEX('EV Productivity'!$C$9:$C$21,MATCH(B266,'EV Productivity'!$A$9:$A$21,0)),"")</f>
        <v>4317.2039999999997</v>
      </c>
      <c r="I266" s="16">
        <f>IFERROR(INDEX('EV Productivity'!$D$9:$D$21,MATCH(B266,'EV Productivity'!$A$9:$A$21,0)),"")</f>
        <v>375.8981</v>
      </c>
      <c r="J266" s="7">
        <f t="shared" si="38"/>
        <v>19.300605772428845</v>
      </c>
      <c r="K266" s="4">
        <f t="shared" si="31"/>
        <v>2.9601364825907521</v>
      </c>
      <c r="L266" s="7">
        <f t="shared" si="32"/>
        <v>19.326180000000001</v>
      </c>
      <c r="M266" s="5">
        <f t="shared" si="33"/>
        <v>5200.6549999999997</v>
      </c>
      <c r="N266" s="16">
        <f t="shared" si="34"/>
        <v>337.20589999999999</v>
      </c>
      <c r="O266" s="7">
        <f t="shared" si="39"/>
        <v>19.367836257534474</v>
      </c>
      <c r="P266" s="4">
        <f t="shared" si="35"/>
        <v>2.9636137653215435</v>
      </c>
    </row>
    <row r="267" spans="1:16" x14ac:dyDescent="0.35">
      <c r="A267" s="2" t="s">
        <v>1323</v>
      </c>
      <c r="B267" s="2">
        <v>2022</v>
      </c>
      <c r="C267" s="7">
        <v>20.006519999999998</v>
      </c>
      <c r="D267" s="5">
        <v>5170.7479999999996</v>
      </c>
      <c r="E267" s="16">
        <v>333.6361</v>
      </c>
      <c r="F267" s="15">
        <v>1.4E-2</v>
      </c>
      <c r="G267" s="16">
        <f>IFERROR(INDEX('EV Productivity'!$B$9:$B$21,MATCH(B267,'EV Productivity'!$A$9:$A$21,0)),"")</f>
        <v>119.25117</v>
      </c>
      <c r="H267" s="16">
        <f>IFERROR(INDEX('EV Productivity'!$C$9:$C$21,MATCH(B267,'EV Productivity'!$A$9:$A$21,0)),"")</f>
        <v>4364.1850000000004</v>
      </c>
      <c r="I267" s="16">
        <f>IFERROR(INDEX('EV Productivity'!$D$9:$D$21,MATCH(B267,'EV Productivity'!$A$9:$A$21,0)),"")</f>
        <v>451.82850000000002</v>
      </c>
      <c r="J267" s="7">
        <f t="shared" si="38"/>
        <v>19.849852287029691</v>
      </c>
      <c r="K267" s="4">
        <f t="shared" si="31"/>
        <v>2.9881965656460503</v>
      </c>
      <c r="L267" s="7">
        <f t="shared" si="32"/>
        <v>19.772870264696898</v>
      </c>
      <c r="M267" s="5">
        <f t="shared" si="33"/>
        <v>5182.2002129817447</v>
      </c>
      <c r="N267" s="16">
        <f t="shared" si="34"/>
        <v>331.9579117647059</v>
      </c>
      <c r="O267" s="7">
        <f t="shared" si="39"/>
        <v>19.644703697690392</v>
      </c>
      <c r="P267" s="4">
        <f t="shared" si="35"/>
        <v>2.9778077700608598</v>
      </c>
    </row>
    <row r="268" spans="1:16" x14ac:dyDescent="0.35">
      <c r="A268" s="2" t="s">
        <v>1323</v>
      </c>
      <c r="B268" s="2">
        <v>2023</v>
      </c>
      <c r="C268" s="7">
        <v>20.52093</v>
      </c>
      <c r="D268" s="5">
        <v>5197.3190000000004</v>
      </c>
      <c r="E268" s="16">
        <v>339.60430000000002</v>
      </c>
      <c r="F268" s="15">
        <v>2.7E-2</v>
      </c>
      <c r="G268" s="16">
        <f>IFERROR(INDEX('EV Productivity'!$B$9:$B$21,MATCH(B268,'EV Productivity'!$A$9:$A$21,0)),"")</f>
        <v>120.57422</v>
      </c>
      <c r="H268" s="16">
        <f>IFERROR(INDEX('EV Productivity'!$C$9:$C$21,MATCH(B268,'EV Productivity'!$A$9:$A$21,0)),"")</f>
        <v>4383.7889999999998</v>
      </c>
      <c r="I268" s="16">
        <f>IFERROR(INDEX('EV Productivity'!$D$9:$D$21,MATCH(B268,'EV Productivity'!$A$9:$A$21,0)),"")</f>
        <v>406.87689999999998</v>
      </c>
      <c r="J268" s="7">
        <f t="shared" si="38"/>
        <v>20.541465127064512</v>
      </c>
      <c r="K268" s="4">
        <f t="shared" si="31"/>
        <v>3.0224455323880912</v>
      </c>
      <c r="L268" s="7">
        <f t="shared" si="32"/>
        <v>20.059040601669196</v>
      </c>
      <c r="M268" s="5">
        <f t="shared" si="33"/>
        <v>5219.893830421378</v>
      </c>
      <c r="N268" s="16">
        <f t="shared" si="34"/>
        <v>337.73753720452208</v>
      </c>
      <c r="O268" s="7">
        <f t="shared" si="39"/>
        <v>20.140155436359901</v>
      </c>
      <c r="P268" s="4">
        <f t="shared" si="35"/>
        <v>3.0027156050540751</v>
      </c>
    </row>
    <row r="269" spans="1:16" x14ac:dyDescent="0.35">
      <c r="A269" s="2" t="s">
        <v>1323</v>
      </c>
      <c r="B269" s="2">
        <v>2024</v>
      </c>
      <c r="C269" s="7">
        <v>20.54899</v>
      </c>
      <c r="D269" s="5">
        <v>5244.5349999999999</v>
      </c>
      <c r="E269" s="16">
        <v>334.94729999999998</v>
      </c>
      <c r="F269" s="15">
        <v>1.9E-2</v>
      </c>
      <c r="G269" s="16">
        <f>IFERROR(INDEX('EV Productivity'!$B$9:$B$21,MATCH(B269,'EV Productivity'!$A$9:$A$21,0)),"")</f>
        <v>117.14232</v>
      </c>
      <c r="H269" s="16">
        <f>IFERROR(INDEX('EV Productivity'!$C$9:$C$21,MATCH(B269,'EV Productivity'!$A$9:$A$21,0)),"")</f>
        <v>4409.7259999999997</v>
      </c>
      <c r="I269" s="16">
        <f>IFERROR(INDEX('EV Productivity'!$D$9:$D$21,MATCH(B269,'EV Productivity'!$A$9:$A$21,0)),"")</f>
        <v>420.45740000000001</v>
      </c>
      <c r="J269" s="7">
        <f t="shared" si="38"/>
        <v>20.54899</v>
      </c>
      <c r="K269" s="4">
        <f t="shared" si="31"/>
        <v>3.0228117913159291</v>
      </c>
      <c r="L269" s="7">
        <f t="shared" si="32"/>
        <v>20.225971568913852</v>
      </c>
      <c r="M269" s="5">
        <f t="shared" si="33"/>
        <v>5260.7035739041794</v>
      </c>
      <c r="N269" s="16">
        <f t="shared" si="34"/>
        <v>333.29114108053005</v>
      </c>
      <c r="O269" s="7">
        <f t="shared" si="39"/>
        <v>20.225971568913852</v>
      </c>
      <c r="P269" s="4">
        <f t="shared" si="35"/>
        <v>3.006967499808757</v>
      </c>
    </row>
    <row r="270" spans="1:16" x14ac:dyDescent="0.35">
      <c r="A270" s="2" t="s">
        <v>1324</v>
      </c>
      <c r="B270" s="2">
        <v>1975</v>
      </c>
      <c r="C270" s="7">
        <v>11.106059999999999</v>
      </c>
      <c r="D270" s="5">
        <v>4195.6899999999996</v>
      </c>
      <c r="E270" s="16">
        <v>143.22450000000001</v>
      </c>
      <c r="F270" s="15">
        <v>0</v>
      </c>
      <c r="G270" s="16" t="str">
        <f>IFERROR(INDEX('EV Productivity'!$B$9:$B$21,MATCH(B270,'EV Productivity'!$A$9:$A$21,0)),"")</f>
        <v/>
      </c>
      <c r="H270" s="16" t="str">
        <f>IFERROR(INDEX('EV Productivity'!$C$9:$C$21,MATCH(B270,'EV Productivity'!$A$9:$A$21,0)),"")</f>
        <v/>
      </c>
      <c r="I270" s="16" t="str">
        <f>IFERROR(INDEX('EV Productivity'!$D$9:$D$21,MATCH(B270,'EV Productivity'!$A$9:$A$21,0)),"")</f>
        <v/>
      </c>
      <c r="J270" s="7">
        <f t="shared" ref="J270:J301" si="40">C270*(D270/$D$319)^$B$4*(E270/$E$319)^$B$5</f>
        <v>8.407415373572416</v>
      </c>
      <c r="K270" s="4">
        <f t="shared" si="31"/>
        <v>2.1291140989940485</v>
      </c>
      <c r="L270" s="7">
        <f t="shared" si="32"/>
        <v>11.106059999999999</v>
      </c>
      <c r="M270" s="5">
        <f t="shared" si="33"/>
        <v>4195.6899999999996</v>
      </c>
      <c r="N270" s="16">
        <f t="shared" si="34"/>
        <v>143.22450000000001</v>
      </c>
      <c r="O270" s="7">
        <f t="shared" ref="O270:O301" si="41">L270*(M270/$M$319)^$E$4*(N270/$N$319)^$E$5</f>
        <v>8.0066438645264668</v>
      </c>
      <c r="P270" s="4">
        <f t="shared" si="35"/>
        <v>2.0802716800853926</v>
      </c>
    </row>
    <row r="271" spans="1:16" x14ac:dyDescent="0.35">
      <c r="A271" s="2" t="s">
        <v>1324</v>
      </c>
      <c r="B271" s="2">
        <v>1976</v>
      </c>
      <c r="C271" s="7">
        <v>11.78392</v>
      </c>
      <c r="D271" s="5">
        <v>4199.8639999999996</v>
      </c>
      <c r="E271" s="16">
        <v>145.62719999999999</v>
      </c>
      <c r="F271" s="15">
        <v>0</v>
      </c>
      <c r="G271" s="16" t="str">
        <f>IFERROR(INDEX('EV Productivity'!$B$9:$B$21,MATCH(B271,'EV Productivity'!$A$9:$A$21,0)),"")</f>
        <v/>
      </c>
      <c r="H271" s="16" t="str">
        <f>IFERROR(INDEX('EV Productivity'!$C$9:$C$21,MATCH(B271,'EV Productivity'!$A$9:$A$21,0)),"")</f>
        <v/>
      </c>
      <c r="I271" s="16" t="str">
        <f>IFERROR(INDEX('EV Productivity'!$D$9:$D$21,MATCH(B271,'EV Productivity'!$A$9:$A$21,0)),"")</f>
        <v/>
      </c>
      <c r="J271" s="7">
        <f t="shared" si="40"/>
        <v>8.9795269137218146</v>
      </c>
      <c r="K271" s="4">
        <f t="shared" si="31"/>
        <v>2.1949471987127454</v>
      </c>
      <c r="L271" s="7">
        <f t="shared" si="32"/>
        <v>11.78392</v>
      </c>
      <c r="M271" s="5">
        <f t="shared" si="33"/>
        <v>4199.8639999999996</v>
      </c>
      <c r="N271" s="16">
        <f t="shared" si="34"/>
        <v>145.62719999999999</v>
      </c>
      <c r="O271" s="7">
        <f t="shared" si="41"/>
        <v>8.5664586139717773</v>
      </c>
      <c r="P271" s="4">
        <f t="shared" si="35"/>
        <v>2.1478544166313509</v>
      </c>
    </row>
    <row r="272" spans="1:16" x14ac:dyDescent="0.35">
      <c r="A272" s="2" t="s">
        <v>1324</v>
      </c>
      <c r="B272" s="2">
        <v>1977</v>
      </c>
      <c r="C272" s="7">
        <v>12.512969999999999</v>
      </c>
      <c r="D272" s="5">
        <v>4252.2839999999997</v>
      </c>
      <c r="E272" s="16">
        <v>152.36609999999999</v>
      </c>
      <c r="F272" s="15">
        <v>0</v>
      </c>
      <c r="G272" s="16" t="str">
        <f>IFERROR(INDEX('EV Productivity'!$B$9:$B$21,MATCH(B272,'EV Productivity'!$A$9:$A$21,0)),"")</f>
        <v/>
      </c>
      <c r="H272" s="16" t="str">
        <f>IFERROR(INDEX('EV Productivity'!$C$9:$C$21,MATCH(B272,'EV Productivity'!$A$9:$A$21,0)),"")</f>
        <v/>
      </c>
      <c r="I272" s="16" t="str">
        <f>IFERROR(INDEX('EV Productivity'!$D$9:$D$21,MATCH(B272,'EV Productivity'!$A$9:$A$21,0)),"")</f>
        <v/>
      </c>
      <c r="J272" s="7">
        <f t="shared" si="40"/>
        <v>9.7501444042036063</v>
      </c>
      <c r="K272" s="4">
        <f t="shared" si="31"/>
        <v>2.2772820955876281</v>
      </c>
      <c r="L272" s="7">
        <f t="shared" si="32"/>
        <v>12.512969999999999</v>
      </c>
      <c r="M272" s="5">
        <f t="shared" si="33"/>
        <v>4252.2839999999997</v>
      </c>
      <c r="N272" s="16">
        <f t="shared" si="34"/>
        <v>152.36609999999999</v>
      </c>
      <c r="O272" s="7">
        <f t="shared" si="41"/>
        <v>9.3324896445121031</v>
      </c>
      <c r="P272" s="4">
        <f t="shared" si="35"/>
        <v>2.2335018221903531</v>
      </c>
    </row>
    <row r="273" spans="1:16" x14ac:dyDescent="0.35">
      <c r="A273" s="2" t="s">
        <v>1324</v>
      </c>
      <c r="B273" s="2">
        <v>1978</v>
      </c>
      <c r="C273" s="7">
        <v>12.08009</v>
      </c>
      <c r="D273" s="5">
        <v>4249.5510000000004</v>
      </c>
      <c r="E273" s="16">
        <v>149.13210000000001</v>
      </c>
      <c r="F273" s="15">
        <v>0</v>
      </c>
      <c r="G273" s="16" t="str">
        <f>IFERROR(INDEX('EV Productivity'!$B$9:$B$21,MATCH(B273,'EV Productivity'!$A$9:$A$21,0)),"")</f>
        <v/>
      </c>
      <c r="H273" s="16" t="str">
        <f>IFERROR(INDEX('EV Productivity'!$C$9:$C$21,MATCH(B273,'EV Productivity'!$A$9:$A$21,0)),"")</f>
        <v/>
      </c>
      <c r="I273" s="16" t="str">
        <f>IFERROR(INDEX('EV Productivity'!$D$9:$D$21,MATCH(B273,'EV Productivity'!$A$9:$A$21,0)),"")</f>
        <v/>
      </c>
      <c r="J273" s="7">
        <f t="shared" si="40"/>
        <v>9.3359148395690088</v>
      </c>
      <c r="K273" s="4">
        <f t="shared" si="31"/>
        <v>2.2338687732169671</v>
      </c>
      <c r="L273" s="7">
        <f t="shared" si="32"/>
        <v>12.08009</v>
      </c>
      <c r="M273" s="5">
        <f t="shared" si="33"/>
        <v>4249.5510000000004</v>
      </c>
      <c r="N273" s="16">
        <f t="shared" si="34"/>
        <v>149.13210000000001</v>
      </c>
      <c r="O273" s="7">
        <f t="shared" si="41"/>
        <v>8.9150158752502762</v>
      </c>
      <c r="P273" s="4">
        <f t="shared" si="35"/>
        <v>2.1877370320482661</v>
      </c>
    </row>
    <row r="274" spans="1:16" x14ac:dyDescent="0.35">
      <c r="A274" s="2" t="s">
        <v>1324</v>
      </c>
      <c r="B274" s="2">
        <v>1979</v>
      </c>
      <c r="C274" s="7">
        <v>11.48461</v>
      </c>
      <c r="D274" s="5">
        <v>4540.9690000000001</v>
      </c>
      <c r="E274" s="16">
        <v>144.29390000000001</v>
      </c>
      <c r="F274" s="15">
        <v>0</v>
      </c>
      <c r="G274" s="16" t="str">
        <f>IFERROR(INDEX('EV Productivity'!$B$9:$B$21,MATCH(B274,'EV Productivity'!$A$9:$A$21,0)),"")</f>
        <v/>
      </c>
      <c r="H274" s="16" t="str">
        <f>IFERROR(INDEX('EV Productivity'!$C$9:$C$21,MATCH(B274,'EV Productivity'!$A$9:$A$21,0)),"")</f>
        <v/>
      </c>
      <c r="I274" s="16" t="str">
        <f>IFERROR(INDEX('EV Productivity'!$D$9:$D$21,MATCH(B274,'EV Productivity'!$A$9:$A$21,0)),"")</f>
        <v/>
      </c>
      <c r="J274" s="7">
        <f t="shared" si="40"/>
        <v>9.0356423355220663</v>
      </c>
      <c r="K274" s="4">
        <f t="shared" si="31"/>
        <v>2.2011770156534896</v>
      </c>
      <c r="L274" s="7">
        <f t="shared" si="32"/>
        <v>11.48461</v>
      </c>
      <c r="M274" s="5">
        <f t="shared" si="33"/>
        <v>4540.9690000000001</v>
      </c>
      <c r="N274" s="16">
        <f t="shared" si="34"/>
        <v>144.29390000000001</v>
      </c>
      <c r="O274" s="7">
        <f t="shared" si="41"/>
        <v>8.5113764787103658</v>
      </c>
      <c r="P274" s="4">
        <f t="shared" si="35"/>
        <v>2.1414036778850205</v>
      </c>
    </row>
    <row r="275" spans="1:16" x14ac:dyDescent="0.35">
      <c r="A275" s="2" t="s">
        <v>1324</v>
      </c>
      <c r="B275" s="2">
        <v>1980</v>
      </c>
      <c r="C275" s="7">
        <v>14.136419999999999</v>
      </c>
      <c r="D275" s="5">
        <v>4352.7420000000002</v>
      </c>
      <c r="E275" s="16">
        <v>130.59039999999999</v>
      </c>
      <c r="F275" s="15">
        <v>0</v>
      </c>
      <c r="G275" s="16" t="str">
        <f>IFERROR(INDEX('EV Productivity'!$B$9:$B$21,MATCH(B275,'EV Productivity'!$A$9:$A$21,0)),"")</f>
        <v/>
      </c>
      <c r="H275" s="16" t="str">
        <f>IFERROR(INDEX('EV Productivity'!$C$9:$C$21,MATCH(B275,'EV Productivity'!$A$9:$A$21,0)),"")</f>
        <v/>
      </c>
      <c r="I275" s="16" t="str">
        <f>IFERROR(INDEX('EV Productivity'!$D$9:$D$21,MATCH(B275,'EV Productivity'!$A$9:$A$21,0)),"")</f>
        <v/>
      </c>
      <c r="J275" s="7">
        <f t="shared" si="40"/>
        <v>10.516472136049465</v>
      </c>
      <c r="K275" s="4">
        <f t="shared" si="31"/>
        <v>2.3529428027834824</v>
      </c>
      <c r="L275" s="7">
        <f t="shared" si="32"/>
        <v>14.136419999999999</v>
      </c>
      <c r="M275" s="5">
        <f t="shared" si="33"/>
        <v>4352.7420000000002</v>
      </c>
      <c r="N275" s="16">
        <f t="shared" si="34"/>
        <v>130.59039999999999</v>
      </c>
      <c r="O275" s="7">
        <f t="shared" si="41"/>
        <v>9.8561197137322019</v>
      </c>
      <c r="P275" s="4">
        <f t="shared" si="35"/>
        <v>2.2880925529970457</v>
      </c>
    </row>
    <row r="276" spans="1:16" x14ac:dyDescent="0.35">
      <c r="A276" s="2" t="s">
        <v>1324</v>
      </c>
      <c r="B276" s="2">
        <v>1981</v>
      </c>
      <c r="C276" s="7">
        <v>14.84219</v>
      </c>
      <c r="D276" s="5">
        <v>4323.9849999999997</v>
      </c>
      <c r="E276" s="16">
        <v>129.03550000000001</v>
      </c>
      <c r="F276" s="15">
        <v>0</v>
      </c>
      <c r="G276" s="16" t="str">
        <f>IFERROR(INDEX('EV Productivity'!$B$9:$B$21,MATCH(B276,'EV Productivity'!$A$9:$A$21,0)),"")</f>
        <v/>
      </c>
      <c r="H276" s="16" t="str">
        <f>IFERROR(INDEX('EV Productivity'!$C$9:$C$21,MATCH(B276,'EV Productivity'!$A$9:$A$21,0)),"")</f>
        <v/>
      </c>
      <c r="I276" s="16" t="str">
        <f>IFERROR(INDEX('EV Productivity'!$D$9:$D$21,MATCH(B276,'EV Productivity'!$A$9:$A$21,0)),"")</f>
        <v/>
      </c>
      <c r="J276" s="7">
        <f t="shared" si="40"/>
        <v>10.959888257245073</v>
      </c>
      <c r="K276" s="4">
        <f t="shared" ref="K276:K339" si="42">LN(J276)</f>
        <v>2.3942420859610585</v>
      </c>
      <c r="L276" s="7">
        <f t="shared" ref="L276:L319" si="43">IF(AND(F276&gt;0,ISNUMBER(G276)),(1-F276)/(1/C276-F276/G276),C276)</f>
        <v>14.84219</v>
      </c>
      <c r="M276" s="5">
        <f t="shared" ref="M276:M319" si="44">IF(AND(F276&gt;0,ISNUMBER(G276)),(D276-F276*H276)/(1-F276),D276)</f>
        <v>4323.9849999999997</v>
      </c>
      <c r="N276" s="16">
        <f t="shared" ref="N276:N319" si="45">IF(AND(F276&gt;0,ISNUMBER(G276)),(E276-F276*I276)/(1-F276),E276)</f>
        <v>129.03550000000001</v>
      </c>
      <c r="O276" s="7">
        <f t="shared" si="41"/>
        <v>10.267800335933698</v>
      </c>
      <c r="P276" s="4">
        <f t="shared" ref="P276:P339" si="46">LN(O276)</f>
        <v>2.3290128175465266</v>
      </c>
    </row>
    <row r="277" spans="1:16" x14ac:dyDescent="0.35">
      <c r="A277" s="2" t="s">
        <v>1324</v>
      </c>
      <c r="B277" s="2">
        <v>1982</v>
      </c>
      <c r="C277" s="7">
        <v>14.72404</v>
      </c>
      <c r="D277" s="5">
        <v>4342.08</v>
      </c>
      <c r="E277" s="16">
        <v>132.2636</v>
      </c>
      <c r="F277" s="15">
        <v>0</v>
      </c>
      <c r="G277" s="16" t="str">
        <f>IFERROR(INDEX('EV Productivity'!$B$9:$B$21,MATCH(B277,'EV Productivity'!$A$9:$A$21,0)),"")</f>
        <v/>
      </c>
      <c r="H277" s="16" t="str">
        <f>IFERROR(INDEX('EV Productivity'!$C$9:$C$21,MATCH(B277,'EV Productivity'!$A$9:$A$21,0)),"")</f>
        <v/>
      </c>
      <c r="I277" s="16" t="str">
        <f>IFERROR(INDEX('EV Productivity'!$D$9:$D$21,MATCH(B277,'EV Productivity'!$A$9:$A$21,0)),"")</f>
        <v/>
      </c>
      <c r="J277" s="7">
        <f t="shared" si="40"/>
        <v>10.992978116069851</v>
      </c>
      <c r="K277" s="4">
        <f t="shared" si="42"/>
        <v>2.3972567158797311</v>
      </c>
      <c r="L277" s="7">
        <f t="shared" si="43"/>
        <v>14.72404</v>
      </c>
      <c r="M277" s="5">
        <f t="shared" si="44"/>
        <v>4342.08</v>
      </c>
      <c r="N277" s="16">
        <f t="shared" si="45"/>
        <v>132.2636</v>
      </c>
      <c r="O277" s="7">
        <f t="shared" si="41"/>
        <v>10.321447603413684</v>
      </c>
      <c r="P277" s="4">
        <f t="shared" si="46"/>
        <v>2.3342240218648818</v>
      </c>
    </row>
    <row r="278" spans="1:16" x14ac:dyDescent="0.35">
      <c r="A278" s="2" t="s">
        <v>1324</v>
      </c>
      <c r="B278" s="2">
        <v>1983</v>
      </c>
      <c r="C278" s="7">
        <v>15.066470000000001</v>
      </c>
      <c r="D278" s="5">
        <v>4414.28</v>
      </c>
      <c r="E278" s="16">
        <v>136.1429</v>
      </c>
      <c r="F278" s="15">
        <v>0</v>
      </c>
      <c r="G278" s="16" t="str">
        <f>IFERROR(INDEX('EV Productivity'!$B$9:$B$21,MATCH(B278,'EV Productivity'!$A$9:$A$21,0)),"")</f>
        <v/>
      </c>
      <c r="H278" s="16" t="str">
        <f>IFERROR(INDEX('EV Productivity'!$C$9:$C$21,MATCH(B278,'EV Productivity'!$A$9:$A$21,0)),"")</f>
        <v/>
      </c>
      <c r="I278" s="16" t="str">
        <f>IFERROR(INDEX('EV Productivity'!$D$9:$D$21,MATCH(B278,'EV Productivity'!$A$9:$A$21,0)),"")</f>
        <v/>
      </c>
      <c r="J278" s="7">
        <f t="shared" si="40"/>
        <v>11.4544483007345</v>
      </c>
      <c r="K278" s="4">
        <f t="shared" si="42"/>
        <v>2.438378152435229</v>
      </c>
      <c r="L278" s="7">
        <f t="shared" si="43"/>
        <v>15.066470000000001</v>
      </c>
      <c r="M278" s="5">
        <f t="shared" si="44"/>
        <v>4414.28</v>
      </c>
      <c r="N278" s="16">
        <f t="shared" si="45"/>
        <v>136.1429</v>
      </c>
      <c r="O278" s="7">
        <f t="shared" si="41"/>
        <v>10.763778241217668</v>
      </c>
      <c r="P278" s="4">
        <f t="shared" si="46"/>
        <v>2.3761866307588728</v>
      </c>
    </row>
    <row r="279" spans="1:16" x14ac:dyDescent="0.35">
      <c r="A279" s="2" t="s">
        <v>1324</v>
      </c>
      <c r="B279" s="2">
        <v>1984</v>
      </c>
      <c r="C279" s="7">
        <v>16.113880000000002</v>
      </c>
      <c r="D279" s="5">
        <v>4074.7440000000001</v>
      </c>
      <c r="E279" s="16">
        <v>126.0343</v>
      </c>
      <c r="F279" s="15">
        <v>0</v>
      </c>
      <c r="G279" s="16" t="str">
        <f>IFERROR(INDEX('EV Productivity'!$B$9:$B$21,MATCH(B279,'EV Productivity'!$A$9:$A$21,0)),"")</f>
        <v/>
      </c>
      <c r="H279" s="16" t="str">
        <f>IFERROR(INDEX('EV Productivity'!$C$9:$C$21,MATCH(B279,'EV Productivity'!$A$9:$A$21,0)),"")</f>
        <v/>
      </c>
      <c r="I279" s="16" t="str">
        <f>IFERROR(INDEX('EV Productivity'!$D$9:$D$21,MATCH(B279,'EV Productivity'!$A$9:$A$21,0)),"")</f>
        <v/>
      </c>
      <c r="J279" s="7">
        <f t="shared" si="40"/>
        <v>11.483252326466197</v>
      </c>
      <c r="K279" s="4">
        <f t="shared" si="42"/>
        <v>2.440889654467651</v>
      </c>
      <c r="L279" s="7">
        <f t="shared" si="43"/>
        <v>16.113880000000002</v>
      </c>
      <c r="M279" s="5">
        <f t="shared" si="44"/>
        <v>4074.7440000000001</v>
      </c>
      <c r="N279" s="16">
        <f t="shared" si="45"/>
        <v>126.0343</v>
      </c>
      <c r="O279" s="7">
        <f t="shared" si="41"/>
        <v>10.824575833866998</v>
      </c>
      <c r="P279" s="4">
        <f t="shared" si="46"/>
        <v>2.3818190891824593</v>
      </c>
    </row>
    <row r="280" spans="1:16" x14ac:dyDescent="0.35">
      <c r="A280" s="2" t="s">
        <v>1324</v>
      </c>
      <c r="B280" s="2">
        <v>1985</v>
      </c>
      <c r="C280" s="7">
        <v>16.545829999999999</v>
      </c>
      <c r="D280" s="5">
        <v>3975.1660000000002</v>
      </c>
      <c r="E280" s="16">
        <v>129.06110000000001</v>
      </c>
      <c r="F280" s="15">
        <v>0</v>
      </c>
      <c r="G280" s="16" t="str">
        <f>IFERROR(INDEX('EV Productivity'!$B$9:$B$21,MATCH(B280,'EV Productivity'!$A$9:$A$21,0)),"")</f>
        <v/>
      </c>
      <c r="H280" s="16" t="str">
        <f>IFERROR(INDEX('EV Productivity'!$C$9:$C$21,MATCH(B280,'EV Productivity'!$A$9:$A$21,0)),"")</f>
        <v/>
      </c>
      <c r="I280" s="16" t="str">
        <f>IFERROR(INDEX('EV Productivity'!$D$9:$D$21,MATCH(B280,'EV Productivity'!$A$9:$A$21,0)),"")</f>
        <v/>
      </c>
      <c r="J280" s="7">
        <f t="shared" si="40"/>
        <v>11.762279973342366</v>
      </c>
      <c r="K280" s="4">
        <f t="shared" si="42"/>
        <v>2.4648977989633116</v>
      </c>
      <c r="L280" s="7">
        <f t="shared" si="43"/>
        <v>16.545829999999999</v>
      </c>
      <c r="M280" s="5">
        <f t="shared" si="44"/>
        <v>3975.1660000000002</v>
      </c>
      <c r="N280" s="16">
        <f t="shared" si="45"/>
        <v>129.06110000000001</v>
      </c>
      <c r="O280" s="7">
        <f t="shared" si="41"/>
        <v>11.158701599333146</v>
      </c>
      <c r="P280" s="4">
        <f t="shared" si="46"/>
        <v>2.4122196060388843</v>
      </c>
    </row>
    <row r="281" spans="1:16" x14ac:dyDescent="0.35">
      <c r="A281" s="2" t="s">
        <v>1324</v>
      </c>
      <c r="B281" s="2">
        <v>1986</v>
      </c>
      <c r="C281" s="7">
        <v>17.469889999999999</v>
      </c>
      <c r="D281" s="5">
        <v>3997.9090000000001</v>
      </c>
      <c r="E281" s="16">
        <v>127.491</v>
      </c>
      <c r="F281" s="15">
        <v>0</v>
      </c>
      <c r="G281" s="16" t="str">
        <f>IFERROR(INDEX('EV Productivity'!$B$9:$B$21,MATCH(B281,'EV Productivity'!$A$9:$A$21,0)),"")</f>
        <v/>
      </c>
      <c r="H281" s="16" t="str">
        <f>IFERROR(INDEX('EV Productivity'!$C$9:$C$21,MATCH(B281,'EV Productivity'!$A$9:$A$21,0)),"")</f>
        <v/>
      </c>
      <c r="I281" s="16" t="str">
        <f>IFERROR(INDEX('EV Productivity'!$D$9:$D$21,MATCH(B281,'EV Productivity'!$A$9:$A$21,0)),"")</f>
        <v/>
      </c>
      <c r="J281" s="7">
        <f t="shared" si="40"/>
        <v>12.395199737732543</v>
      </c>
      <c r="K281" s="4">
        <f t="shared" si="42"/>
        <v>2.5173092797367089</v>
      </c>
      <c r="L281" s="7">
        <f t="shared" si="43"/>
        <v>17.469889999999999</v>
      </c>
      <c r="M281" s="5">
        <f t="shared" si="44"/>
        <v>3997.9090000000001</v>
      </c>
      <c r="N281" s="16">
        <f t="shared" si="45"/>
        <v>127.491</v>
      </c>
      <c r="O281" s="7">
        <f t="shared" si="41"/>
        <v>11.732761804670293</v>
      </c>
      <c r="P281" s="4">
        <f t="shared" si="46"/>
        <v>2.4623850829203429</v>
      </c>
    </row>
    <row r="282" spans="1:16" x14ac:dyDescent="0.35">
      <c r="A282" s="2" t="s">
        <v>1324</v>
      </c>
      <c r="B282" s="2">
        <v>1987</v>
      </c>
      <c r="C282" s="7">
        <v>17.659369999999999</v>
      </c>
      <c r="D282" s="5">
        <v>3972.056</v>
      </c>
      <c r="E282" s="16">
        <v>141.7261</v>
      </c>
      <c r="F282" s="15">
        <v>0</v>
      </c>
      <c r="G282" s="16" t="str">
        <f>IFERROR(INDEX('EV Productivity'!$B$9:$B$21,MATCH(B282,'EV Productivity'!$A$9:$A$21,0)),"")</f>
        <v/>
      </c>
      <c r="H282" s="16" t="str">
        <f>IFERROR(INDEX('EV Productivity'!$C$9:$C$21,MATCH(B282,'EV Productivity'!$A$9:$A$21,0)),"")</f>
        <v/>
      </c>
      <c r="I282" s="16" t="str">
        <f>IFERROR(INDEX('EV Productivity'!$D$9:$D$21,MATCH(B282,'EV Productivity'!$A$9:$A$21,0)),"")</f>
        <v/>
      </c>
      <c r="J282" s="7">
        <f t="shared" si="40"/>
        <v>12.990429031062655</v>
      </c>
      <c r="K282" s="4">
        <f t="shared" si="42"/>
        <v>2.5642128579325338</v>
      </c>
      <c r="L282" s="7">
        <f t="shared" si="43"/>
        <v>17.659369999999999</v>
      </c>
      <c r="M282" s="5">
        <f t="shared" si="44"/>
        <v>3972.056</v>
      </c>
      <c r="N282" s="16">
        <f t="shared" si="45"/>
        <v>141.7261</v>
      </c>
      <c r="O282" s="7">
        <f t="shared" si="41"/>
        <v>12.457581860970986</v>
      </c>
      <c r="P282" s="4">
        <f t="shared" si="46"/>
        <v>2.5223294223716586</v>
      </c>
    </row>
    <row r="283" spans="1:16" x14ac:dyDescent="0.35">
      <c r="A283" s="2" t="s">
        <v>1324</v>
      </c>
      <c r="B283" s="2">
        <v>1988</v>
      </c>
      <c r="C283" s="7">
        <v>17.87781</v>
      </c>
      <c r="D283" s="5">
        <v>4052.761</v>
      </c>
      <c r="E283" s="16">
        <v>146.94489999999999</v>
      </c>
      <c r="F283" s="15">
        <v>0</v>
      </c>
      <c r="G283" s="16" t="str">
        <f>IFERROR(INDEX('EV Productivity'!$B$9:$B$21,MATCH(B283,'EV Productivity'!$A$9:$A$21,0)),"")</f>
        <v/>
      </c>
      <c r="H283" s="16" t="str">
        <f>IFERROR(INDEX('EV Productivity'!$C$9:$C$21,MATCH(B283,'EV Productivity'!$A$9:$A$21,0)),"")</f>
        <v/>
      </c>
      <c r="I283" s="16" t="str">
        <f>IFERROR(INDEX('EV Productivity'!$D$9:$D$21,MATCH(B283,'EV Productivity'!$A$9:$A$21,0)),"")</f>
        <v/>
      </c>
      <c r="J283" s="7">
        <f t="shared" si="40"/>
        <v>13.449664436812936</v>
      </c>
      <c r="K283" s="4">
        <f t="shared" si="42"/>
        <v>2.5989541568007772</v>
      </c>
      <c r="L283" s="7">
        <f t="shared" si="43"/>
        <v>17.87781</v>
      </c>
      <c r="M283" s="5">
        <f t="shared" si="44"/>
        <v>4052.761</v>
      </c>
      <c r="N283" s="16">
        <f t="shared" si="45"/>
        <v>146.94489999999999</v>
      </c>
      <c r="O283" s="7">
        <f t="shared" si="41"/>
        <v>12.912548297380665</v>
      </c>
      <c r="P283" s="4">
        <f t="shared" si="46"/>
        <v>2.5581995747973805</v>
      </c>
    </row>
    <row r="284" spans="1:16" x14ac:dyDescent="0.35">
      <c r="A284" s="2" t="s">
        <v>1324</v>
      </c>
      <c r="B284" s="2">
        <v>1989</v>
      </c>
      <c r="C284" s="7">
        <v>17.796790000000001</v>
      </c>
      <c r="D284" s="5">
        <v>4057.2660000000001</v>
      </c>
      <c r="E284" s="16">
        <v>146.08619999999999</v>
      </c>
      <c r="F284" s="15">
        <v>0</v>
      </c>
      <c r="G284" s="16" t="str">
        <f>IFERROR(INDEX('EV Productivity'!$B$9:$B$21,MATCH(B284,'EV Productivity'!$A$9:$A$21,0)),"")</f>
        <v/>
      </c>
      <c r="H284" s="16" t="str">
        <f>IFERROR(INDEX('EV Productivity'!$C$9:$C$21,MATCH(B284,'EV Productivity'!$A$9:$A$21,0)),"")</f>
        <v/>
      </c>
      <c r="I284" s="16" t="str">
        <f>IFERROR(INDEX('EV Productivity'!$D$9:$D$21,MATCH(B284,'EV Productivity'!$A$9:$A$21,0)),"")</f>
        <v/>
      </c>
      <c r="J284" s="7">
        <f t="shared" si="40"/>
        <v>13.36651384481436</v>
      </c>
      <c r="K284" s="4">
        <f t="shared" si="42"/>
        <v>2.5927526125227738</v>
      </c>
      <c r="L284" s="7">
        <f t="shared" si="43"/>
        <v>17.796790000000001</v>
      </c>
      <c r="M284" s="5">
        <f t="shared" si="44"/>
        <v>4057.2660000000001</v>
      </c>
      <c r="N284" s="16">
        <f t="shared" si="45"/>
        <v>146.08619999999999</v>
      </c>
      <c r="O284" s="7">
        <f t="shared" si="41"/>
        <v>12.822019963452226</v>
      </c>
      <c r="P284" s="4">
        <f t="shared" si="46"/>
        <v>2.5511640025325186</v>
      </c>
    </row>
    <row r="285" spans="1:16" x14ac:dyDescent="0.35">
      <c r="A285" s="2" t="s">
        <v>1324</v>
      </c>
      <c r="B285" s="2">
        <v>1990</v>
      </c>
      <c r="C285" s="7">
        <v>17.84376</v>
      </c>
      <c r="D285" s="5">
        <v>4094.99</v>
      </c>
      <c r="E285" s="16">
        <v>148.8218</v>
      </c>
      <c r="F285" s="15">
        <v>0</v>
      </c>
      <c r="G285" s="16" t="str">
        <f>IFERROR(INDEX('EV Productivity'!$B$9:$B$21,MATCH(B285,'EV Productivity'!$A$9:$A$21,0)),"")</f>
        <v/>
      </c>
      <c r="H285" s="16" t="str">
        <f>IFERROR(INDEX('EV Productivity'!$C$9:$C$21,MATCH(B285,'EV Productivity'!$A$9:$A$21,0)),"")</f>
        <v/>
      </c>
      <c r="I285" s="16" t="str">
        <f>IFERROR(INDEX('EV Productivity'!$D$9:$D$21,MATCH(B285,'EV Productivity'!$A$9:$A$21,0)),"")</f>
        <v/>
      </c>
      <c r="J285" s="7">
        <f t="shared" si="40"/>
        <v>13.550495156866535</v>
      </c>
      <c r="K285" s="4">
        <f t="shared" si="42"/>
        <v>2.6064230896002125</v>
      </c>
      <c r="L285" s="7">
        <f t="shared" si="43"/>
        <v>17.84376</v>
      </c>
      <c r="M285" s="5">
        <f t="shared" si="44"/>
        <v>4094.99</v>
      </c>
      <c r="N285" s="16">
        <f t="shared" si="45"/>
        <v>148.8218</v>
      </c>
      <c r="O285" s="7">
        <f t="shared" si="41"/>
        <v>13.00810033187941</v>
      </c>
      <c r="P285" s="4">
        <f t="shared" si="46"/>
        <v>2.5655722658660696</v>
      </c>
    </row>
    <row r="286" spans="1:16" x14ac:dyDescent="0.35">
      <c r="A286" s="2" t="s">
        <v>1324</v>
      </c>
      <c r="B286" s="2">
        <v>1991</v>
      </c>
      <c r="C286" s="7">
        <v>17.91037</v>
      </c>
      <c r="D286" s="5">
        <v>4132.5910000000003</v>
      </c>
      <c r="E286" s="16">
        <v>148.5607</v>
      </c>
      <c r="F286" s="15">
        <v>0</v>
      </c>
      <c r="G286" s="16" t="str">
        <f>IFERROR(INDEX('EV Productivity'!$B$9:$B$21,MATCH(B286,'EV Productivity'!$A$9:$A$21,0)),"")</f>
        <v/>
      </c>
      <c r="H286" s="16" t="str">
        <f>IFERROR(INDEX('EV Productivity'!$C$9:$C$21,MATCH(B286,'EV Productivity'!$A$9:$A$21,0)),"")</f>
        <v/>
      </c>
      <c r="I286" s="16" t="str">
        <f>IFERROR(INDEX('EV Productivity'!$D$9:$D$21,MATCH(B286,'EV Productivity'!$A$9:$A$21,0)),"")</f>
        <v/>
      </c>
      <c r="J286" s="7">
        <f t="shared" si="40"/>
        <v>13.648629743429789</v>
      </c>
      <c r="K286" s="4">
        <f t="shared" si="42"/>
        <v>2.6136391314953289</v>
      </c>
      <c r="L286" s="7">
        <f t="shared" si="43"/>
        <v>17.91037</v>
      </c>
      <c r="M286" s="5">
        <f t="shared" si="44"/>
        <v>4132.5910000000003</v>
      </c>
      <c r="N286" s="16">
        <f t="shared" si="45"/>
        <v>148.5607</v>
      </c>
      <c r="O286" s="7">
        <f t="shared" si="41"/>
        <v>13.081860039846889</v>
      </c>
      <c r="P286" s="4">
        <f t="shared" si="46"/>
        <v>2.5712265408001578</v>
      </c>
    </row>
    <row r="287" spans="1:16" x14ac:dyDescent="0.35">
      <c r="A287" s="2" t="s">
        <v>1324</v>
      </c>
      <c r="B287" s="2">
        <v>1992</v>
      </c>
      <c r="C287" s="7">
        <v>17.92191</v>
      </c>
      <c r="D287" s="5">
        <v>4151.2079999999996</v>
      </c>
      <c r="E287" s="16">
        <v>151.953</v>
      </c>
      <c r="F287" s="15">
        <v>0</v>
      </c>
      <c r="G287" s="16" t="str">
        <f>IFERROR(INDEX('EV Productivity'!$B$9:$B$21,MATCH(B287,'EV Productivity'!$A$9:$A$21,0)),"")</f>
        <v/>
      </c>
      <c r="H287" s="16" t="str">
        <f>IFERROR(INDEX('EV Productivity'!$C$9:$C$21,MATCH(B287,'EV Productivity'!$A$9:$A$21,0)),"")</f>
        <v/>
      </c>
      <c r="I287" s="16" t="str">
        <f>IFERROR(INDEX('EV Productivity'!$D$9:$D$21,MATCH(B287,'EV Productivity'!$A$9:$A$21,0)),"")</f>
        <v/>
      </c>
      <c r="J287" s="7">
        <f t="shared" si="40"/>
        <v>13.799715261866043</v>
      </c>
      <c r="K287" s="4">
        <f t="shared" si="42"/>
        <v>2.6246479587521789</v>
      </c>
      <c r="L287" s="7">
        <f t="shared" si="43"/>
        <v>17.92191</v>
      </c>
      <c r="M287" s="5">
        <f t="shared" si="44"/>
        <v>4151.2079999999996</v>
      </c>
      <c r="N287" s="16">
        <f t="shared" si="45"/>
        <v>151.953</v>
      </c>
      <c r="O287" s="7">
        <f t="shared" si="41"/>
        <v>13.251904803885358</v>
      </c>
      <c r="P287" s="4">
        <f t="shared" si="46"/>
        <v>2.584141300883728</v>
      </c>
    </row>
    <row r="288" spans="1:16" x14ac:dyDescent="0.35">
      <c r="A288" s="2" t="s">
        <v>1324</v>
      </c>
      <c r="B288" s="2">
        <v>1993</v>
      </c>
      <c r="C288" s="7">
        <v>18.202159999999999</v>
      </c>
      <c r="D288" s="5">
        <v>4105.4960000000001</v>
      </c>
      <c r="E288" s="16">
        <v>155.08340000000001</v>
      </c>
      <c r="F288" s="15">
        <v>0</v>
      </c>
      <c r="G288" s="16" t="str">
        <f>IFERROR(INDEX('EV Productivity'!$B$9:$B$21,MATCH(B288,'EV Productivity'!$A$9:$A$21,0)),"")</f>
        <v/>
      </c>
      <c r="H288" s="16" t="str">
        <f>IFERROR(INDEX('EV Productivity'!$C$9:$C$21,MATCH(B288,'EV Productivity'!$A$9:$A$21,0)),"")</f>
        <v/>
      </c>
      <c r="I288" s="16" t="str">
        <f>IFERROR(INDEX('EV Productivity'!$D$9:$D$21,MATCH(B288,'EV Productivity'!$A$9:$A$21,0)),"")</f>
        <v/>
      </c>
      <c r="J288" s="7">
        <f t="shared" si="40"/>
        <v>14.050737622212162</v>
      </c>
      <c r="K288" s="4">
        <f t="shared" si="42"/>
        <v>2.6426748942032656</v>
      </c>
      <c r="L288" s="7">
        <f t="shared" si="43"/>
        <v>18.202159999999999</v>
      </c>
      <c r="M288" s="5">
        <f t="shared" si="44"/>
        <v>4105.4960000000001</v>
      </c>
      <c r="N288" s="16">
        <f t="shared" si="45"/>
        <v>155.08340000000001</v>
      </c>
      <c r="O288" s="7">
        <f t="shared" si="41"/>
        <v>13.54670909955594</v>
      </c>
      <c r="P288" s="4">
        <f t="shared" si="46"/>
        <v>2.6061436469463208</v>
      </c>
    </row>
    <row r="289" spans="1:16" x14ac:dyDescent="0.35">
      <c r="A289" s="2" t="s">
        <v>1324</v>
      </c>
      <c r="B289" s="2">
        <v>1994</v>
      </c>
      <c r="C289" s="7">
        <v>17.837569999999999</v>
      </c>
      <c r="D289" s="5">
        <v>4156.4849999999997</v>
      </c>
      <c r="E289" s="16">
        <v>159.4923</v>
      </c>
      <c r="F289" s="15">
        <v>0</v>
      </c>
      <c r="G289" s="16" t="str">
        <f>IFERROR(INDEX('EV Productivity'!$B$9:$B$21,MATCH(B289,'EV Productivity'!$A$9:$A$21,0)),"")</f>
        <v/>
      </c>
      <c r="H289" s="16" t="str">
        <f>IFERROR(INDEX('EV Productivity'!$C$9:$C$21,MATCH(B289,'EV Productivity'!$A$9:$A$21,0)),"")</f>
        <v/>
      </c>
      <c r="I289" s="16" t="str">
        <f>IFERROR(INDEX('EV Productivity'!$D$9:$D$21,MATCH(B289,'EV Productivity'!$A$9:$A$21,0)),"")</f>
        <v/>
      </c>
      <c r="J289" s="7">
        <f t="shared" si="40"/>
        <v>13.990406817707303</v>
      </c>
      <c r="K289" s="4">
        <f t="shared" si="42"/>
        <v>2.6383718674331051</v>
      </c>
      <c r="L289" s="7">
        <f t="shared" si="43"/>
        <v>17.837569999999999</v>
      </c>
      <c r="M289" s="5">
        <f t="shared" si="44"/>
        <v>4156.4849999999997</v>
      </c>
      <c r="N289" s="16">
        <f t="shared" si="45"/>
        <v>159.4923</v>
      </c>
      <c r="O289" s="7">
        <f t="shared" si="41"/>
        <v>13.50688795440116</v>
      </c>
      <c r="P289" s="4">
        <f t="shared" si="46"/>
        <v>2.6031997741715363</v>
      </c>
    </row>
    <row r="290" spans="1:16" x14ac:dyDescent="0.35">
      <c r="A290" s="2" t="s">
        <v>1324</v>
      </c>
      <c r="B290" s="2">
        <v>1995</v>
      </c>
      <c r="C290" s="7">
        <v>18.077999999999999</v>
      </c>
      <c r="D290" s="5">
        <v>4109.5119999999997</v>
      </c>
      <c r="E290" s="16">
        <v>158.89259999999999</v>
      </c>
      <c r="F290" s="15">
        <v>0</v>
      </c>
      <c r="G290" s="16" t="str">
        <f>IFERROR(INDEX('EV Productivity'!$B$9:$B$21,MATCH(B290,'EV Productivity'!$A$9:$A$21,0)),"")</f>
        <v/>
      </c>
      <c r="H290" s="16" t="str">
        <f>IFERROR(INDEX('EV Productivity'!$C$9:$C$21,MATCH(B290,'EV Productivity'!$A$9:$A$21,0)),"")</f>
        <v/>
      </c>
      <c r="I290" s="16" t="str">
        <f>IFERROR(INDEX('EV Productivity'!$D$9:$D$21,MATCH(B290,'EV Productivity'!$A$9:$A$21,0)),"")</f>
        <v/>
      </c>
      <c r="J290" s="7">
        <f t="shared" si="40"/>
        <v>14.086622247403335</v>
      </c>
      <c r="K290" s="4">
        <f t="shared" si="42"/>
        <v>2.6452255702306364</v>
      </c>
      <c r="L290" s="7">
        <f t="shared" si="43"/>
        <v>18.077999999999999</v>
      </c>
      <c r="M290" s="5">
        <f t="shared" si="44"/>
        <v>4109.5119999999997</v>
      </c>
      <c r="N290" s="16">
        <f t="shared" si="45"/>
        <v>158.89259999999999</v>
      </c>
      <c r="O290" s="7">
        <f t="shared" si="41"/>
        <v>13.616968000706059</v>
      </c>
      <c r="P290" s="4">
        <f t="shared" si="46"/>
        <v>2.6113166621878565</v>
      </c>
    </row>
    <row r="291" spans="1:16" x14ac:dyDescent="0.35">
      <c r="A291" s="2" t="s">
        <v>1324</v>
      </c>
      <c r="B291" s="2">
        <v>1996</v>
      </c>
      <c r="C291" s="7">
        <v>18.33961</v>
      </c>
      <c r="D291" s="5">
        <v>4195.45</v>
      </c>
      <c r="E291" s="16">
        <v>170.5941</v>
      </c>
      <c r="F291" s="15">
        <v>0</v>
      </c>
      <c r="G291" s="16" t="str">
        <f>IFERROR(INDEX('EV Productivity'!$B$9:$B$21,MATCH(B291,'EV Productivity'!$A$9:$A$21,0)),"")</f>
        <v/>
      </c>
      <c r="H291" s="16" t="str">
        <f>IFERROR(INDEX('EV Productivity'!$C$9:$C$21,MATCH(B291,'EV Productivity'!$A$9:$A$21,0)),"")</f>
        <v/>
      </c>
      <c r="I291" s="16" t="str">
        <f>IFERROR(INDEX('EV Productivity'!$D$9:$D$21,MATCH(B291,'EV Productivity'!$A$9:$A$21,0)),"")</f>
        <v/>
      </c>
      <c r="J291" s="7">
        <f t="shared" si="40"/>
        <v>14.808170053823762</v>
      </c>
      <c r="K291" s="4">
        <f t="shared" si="42"/>
        <v>2.6951790591209619</v>
      </c>
      <c r="L291" s="7">
        <f t="shared" si="43"/>
        <v>18.33961</v>
      </c>
      <c r="M291" s="5">
        <f t="shared" si="44"/>
        <v>4195.45</v>
      </c>
      <c r="N291" s="16">
        <f t="shared" si="45"/>
        <v>170.5941</v>
      </c>
      <c r="O291" s="7">
        <f t="shared" si="41"/>
        <v>14.386540530172427</v>
      </c>
      <c r="P291" s="4">
        <f t="shared" si="46"/>
        <v>2.6662930840864765</v>
      </c>
    </row>
    <row r="292" spans="1:16" x14ac:dyDescent="0.35">
      <c r="A292" s="2" t="s">
        <v>1324</v>
      </c>
      <c r="B292" s="2">
        <v>1997</v>
      </c>
      <c r="C292" s="7">
        <v>18.1755</v>
      </c>
      <c r="D292" s="5">
        <v>4240.09</v>
      </c>
      <c r="E292" s="16">
        <v>174.01179999999999</v>
      </c>
      <c r="F292" s="15">
        <v>0</v>
      </c>
      <c r="G292" s="16" t="str">
        <f>IFERROR(INDEX('EV Productivity'!$B$9:$B$21,MATCH(B292,'EV Productivity'!$A$9:$A$21,0)),"")</f>
        <v/>
      </c>
      <c r="H292" s="16" t="str">
        <f>IFERROR(INDEX('EV Productivity'!$C$9:$C$21,MATCH(B292,'EV Productivity'!$A$9:$A$21,0)),"")</f>
        <v/>
      </c>
      <c r="I292" s="16" t="str">
        <f>IFERROR(INDEX('EV Productivity'!$D$9:$D$21,MATCH(B292,'EV Productivity'!$A$9:$A$21,0)),"")</f>
        <v/>
      </c>
      <c r="J292" s="7">
        <f t="shared" si="40"/>
        <v>14.854460718617824</v>
      </c>
      <c r="K292" s="4">
        <f t="shared" si="42"/>
        <v>2.6983002052342488</v>
      </c>
      <c r="L292" s="7">
        <f t="shared" si="43"/>
        <v>18.1755</v>
      </c>
      <c r="M292" s="5">
        <f t="shared" si="44"/>
        <v>4240.09</v>
      </c>
      <c r="N292" s="16">
        <f t="shared" si="45"/>
        <v>174.01179999999999</v>
      </c>
      <c r="O292" s="7">
        <f t="shared" si="41"/>
        <v>14.441419795977835</v>
      </c>
      <c r="P292" s="4">
        <f t="shared" si="46"/>
        <v>2.6701004524523899</v>
      </c>
    </row>
    <row r="293" spans="1:16" x14ac:dyDescent="0.35">
      <c r="A293" s="2" t="s">
        <v>1324</v>
      </c>
      <c r="B293" s="2">
        <v>1998</v>
      </c>
      <c r="C293" s="7">
        <v>18.696729999999999</v>
      </c>
      <c r="D293" s="5">
        <v>4182.6549999999997</v>
      </c>
      <c r="E293" s="16">
        <v>180.04079999999999</v>
      </c>
      <c r="F293" s="15">
        <v>0</v>
      </c>
      <c r="G293" s="16" t="str">
        <f>IFERROR(INDEX('EV Productivity'!$B$9:$B$21,MATCH(B293,'EV Productivity'!$A$9:$A$21,0)),"")</f>
        <v/>
      </c>
      <c r="H293" s="16" t="str">
        <f>IFERROR(INDEX('EV Productivity'!$C$9:$C$21,MATCH(B293,'EV Productivity'!$A$9:$A$21,0)),"")</f>
        <v/>
      </c>
      <c r="I293" s="16" t="str">
        <f>IFERROR(INDEX('EV Productivity'!$D$9:$D$21,MATCH(B293,'EV Productivity'!$A$9:$A$21,0)),"")</f>
        <v/>
      </c>
      <c r="J293" s="7">
        <f t="shared" si="40"/>
        <v>15.37843958764487</v>
      </c>
      <c r="K293" s="4">
        <f t="shared" si="42"/>
        <v>2.7329665016901084</v>
      </c>
      <c r="L293" s="7">
        <f t="shared" si="43"/>
        <v>18.696729999999999</v>
      </c>
      <c r="M293" s="5">
        <f t="shared" si="44"/>
        <v>4182.6549999999997</v>
      </c>
      <c r="N293" s="16">
        <f t="shared" si="45"/>
        <v>180.04079999999999</v>
      </c>
      <c r="O293" s="7">
        <f t="shared" si="41"/>
        <v>15.039551145312974</v>
      </c>
      <c r="P293" s="4">
        <f t="shared" si="46"/>
        <v>2.7106834740147137</v>
      </c>
    </row>
    <row r="294" spans="1:16" x14ac:dyDescent="0.35">
      <c r="A294" s="2" t="s">
        <v>1324</v>
      </c>
      <c r="B294" s="2">
        <v>1999</v>
      </c>
      <c r="C294" s="7">
        <v>18.27843</v>
      </c>
      <c r="D294" s="5">
        <v>4306.442</v>
      </c>
      <c r="E294" s="16">
        <v>182.73400000000001</v>
      </c>
      <c r="F294" s="15">
        <v>0</v>
      </c>
      <c r="G294" s="16" t="str">
        <f>IFERROR(INDEX('EV Productivity'!$B$9:$B$21,MATCH(B294,'EV Productivity'!$A$9:$A$21,0)),"")</f>
        <v/>
      </c>
      <c r="H294" s="16" t="str">
        <f>IFERROR(INDEX('EV Productivity'!$C$9:$C$21,MATCH(B294,'EV Productivity'!$A$9:$A$21,0)),"")</f>
        <v/>
      </c>
      <c r="I294" s="16" t="str">
        <f>IFERROR(INDEX('EV Productivity'!$D$9:$D$21,MATCH(B294,'EV Productivity'!$A$9:$A$21,0)),"")</f>
        <v/>
      </c>
      <c r="J294" s="7">
        <f t="shared" si="40"/>
        <v>15.317887566981153</v>
      </c>
      <c r="K294" s="4">
        <f t="shared" si="42"/>
        <v>2.7290212675323504</v>
      </c>
      <c r="L294" s="7">
        <f t="shared" si="43"/>
        <v>18.27843</v>
      </c>
      <c r="M294" s="5">
        <f t="shared" si="44"/>
        <v>4306.442</v>
      </c>
      <c r="N294" s="16">
        <f t="shared" si="45"/>
        <v>182.73400000000001</v>
      </c>
      <c r="O294" s="7">
        <f t="shared" si="41"/>
        <v>14.940679644200683</v>
      </c>
      <c r="P294" s="4">
        <f t="shared" si="46"/>
        <v>2.7040876702496583</v>
      </c>
    </row>
    <row r="295" spans="1:16" x14ac:dyDescent="0.35">
      <c r="A295" s="2" t="s">
        <v>1324</v>
      </c>
      <c r="B295" s="2">
        <v>2000</v>
      </c>
      <c r="C295" s="7">
        <v>18.608650000000001</v>
      </c>
      <c r="D295" s="5">
        <v>4275.6360000000004</v>
      </c>
      <c r="E295" s="16">
        <v>182.84010000000001</v>
      </c>
      <c r="F295" s="15">
        <v>0</v>
      </c>
      <c r="G295" s="16" t="str">
        <f>IFERROR(INDEX('EV Productivity'!$B$9:$B$21,MATCH(B295,'EV Productivity'!$A$9:$A$21,0)),"")</f>
        <v/>
      </c>
      <c r="H295" s="16" t="str">
        <f>IFERROR(INDEX('EV Productivity'!$C$9:$C$21,MATCH(B295,'EV Productivity'!$A$9:$A$21,0)),"")</f>
        <v/>
      </c>
      <c r="I295" s="16" t="str">
        <f>IFERROR(INDEX('EV Productivity'!$D$9:$D$21,MATCH(B295,'EV Productivity'!$A$9:$A$21,0)),"")</f>
        <v/>
      </c>
      <c r="J295" s="7">
        <f t="shared" si="40"/>
        <v>15.547349818270623</v>
      </c>
      <c r="K295" s="4">
        <f t="shared" si="42"/>
        <v>2.7438901944072454</v>
      </c>
      <c r="L295" s="7">
        <f t="shared" si="43"/>
        <v>18.608650000000001</v>
      </c>
      <c r="M295" s="5">
        <f t="shared" si="44"/>
        <v>4275.6360000000004</v>
      </c>
      <c r="N295" s="16">
        <f t="shared" si="45"/>
        <v>182.84010000000001</v>
      </c>
      <c r="O295" s="7">
        <f t="shared" si="41"/>
        <v>15.181721317314857</v>
      </c>
      <c r="P295" s="4">
        <f t="shared" si="46"/>
        <v>2.7200921593014042</v>
      </c>
    </row>
    <row r="296" spans="1:16" x14ac:dyDescent="0.35">
      <c r="A296" s="2" t="s">
        <v>1324</v>
      </c>
      <c r="B296" s="2">
        <v>2001</v>
      </c>
      <c r="C296" s="7">
        <v>18.04383</v>
      </c>
      <c r="D296" s="5">
        <v>4518.4120000000003</v>
      </c>
      <c r="E296" s="16">
        <v>201.678</v>
      </c>
      <c r="F296" s="15">
        <v>0</v>
      </c>
      <c r="G296" s="16" t="str">
        <f>IFERROR(INDEX('EV Productivity'!$B$9:$B$21,MATCH(B296,'EV Productivity'!$A$9:$A$21,0)),"")</f>
        <v/>
      </c>
      <c r="H296" s="16" t="str">
        <f>IFERROR(INDEX('EV Productivity'!$C$9:$C$21,MATCH(B296,'EV Productivity'!$A$9:$A$21,0)),"")</f>
        <v/>
      </c>
      <c r="I296" s="16" t="str">
        <f>IFERROR(INDEX('EV Productivity'!$D$9:$D$21,MATCH(B296,'EV Productivity'!$A$9:$A$21,0)),"")</f>
        <v/>
      </c>
      <c r="J296" s="7">
        <f t="shared" si="40"/>
        <v>16.026575671958753</v>
      </c>
      <c r="K296" s="4">
        <f t="shared" si="42"/>
        <v>2.7742483238363236</v>
      </c>
      <c r="L296" s="7">
        <f t="shared" si="43"/>
        <v>18.04383</v>
      </c>
      <c r="M296" s="5">
        <f t="shared" si="44"/>
        <v>4518.4120000000003</v>
      </c>
      <c r="N296" s="16">
        <f t="shared" si="45"/>
        <v>201.678</v>
      </c>
      <c r="O296" s="7">
        <f t="shared" si="41"/>
        <v>15.696061552176875</v>
      </c>
      <c r="P296" s="4">
        <f t="shared" si="46"/>
        <v>2.7534098243352516</v>
      </c>
    </row>
    <row r="297" spans="1:16" x14ac:dyDescent="0.35">
      <c r="A297" s="2" t="s">
        <v>1324</v>
      </c>
      <c r="B297" s="2">
        <v>2002</v>
      </c>
      <c r="C297" s="7">
        <v>18.69997</v>
      </c>
      <c r="D297" s="5">
        <v>4393.857</v>
      </c>
      <c r="E297" s="16">
        <v>199.4496</v>
      </c>
      <c r="F297" s="15">
        <v>0</v>
      </c>
      <c r="G297" s="16" t="str">
        <f>IFERROR(INDEX('EV Productivity'!$B$9:$B$21,MATCH(B297,'EV Productivity'!$A$9:$A$21,0)),"")</f>
        <v/>
      </c>
      <c r="H297" s="16" t="str">
        <f>IFERROR(INDEX('EV Productivity'!$C$9:$C$21,MATCH(B297,'EV Productivity'!$A$9:$A$21,0)),"")</f>
        <v/>
      </c>
      <c r="I297" s="16" t="str">
        <f>IFERROR(INDEX('EV Productivity'!$D$9:$D$21,MATCH(B297,'EV Productivity'!$A$9:$A$21,0)),"")</f>
        <v/>
      </c>
      <c r="J297" s="7">
        <f t="shared" si="40"/>
        <v>16.333407176763714</v>
      </c>
      <c r="K297" s="4">
        <f t="shared" si="42"/>
        <v>2.7932125304586468</v>
      </c>
      <c r="L297" s="7">
        <f t="shared" si="43"/>
        <v>18.69997</v>
      </c>
      <c r="M297" s="5">
        <f t="shared" si="44"/>
        <v>4393.857</v>
      </c>
      <c r="N297" s="16">
        <f t="shared" si="45"/>
        <v>199.4496</v>
      </c>
      <c r="O297" s="7">
        <f t="shared" si="41"/>
        <v>16.042962578685852</v>
      </c>
      <c r="P297" s="4">
        <f t="shared" si="46"/>
        <v>2.7752702848028483</v>
      </c>
    </row>
    <row r="298" spans="1:16" x14ac:dyDescent="0.35">
      <c r="A298" s="2" t="s">
        <v>1324</v>
      </c>
      <c r="B298" s="2">
        <v>2003</v>
      </c>
      <c r="C298" s="7">
        <v>18.982309999999998</v>
      </c>
      <c r="D298" s="5">
        <v>4393.3609999999999</v>
      </c>
      <c r="E298" s="16">
        <v>201.53380000000001</v>
      </c>
      <c r="F298" s="15">
        <v>0</v>
      </c>
      <c r="G298" s="16" t="str">
        <f>IFERROR(INDEX('EV Productivity'!$B$9:$B$21,MATCH(B298,'EV Productivity'!$A$9:$A$21,0)),"")</f>
        <v/>
      </c>
      <c r="H298" s="16" t="str">
        <f>IFERROR(INDEX('EV Productivity'!$C$9:$C$21,MATCH(B298,'EV Productivity'!$A$9:$A$21,0)),"")</f>
        <v/>
      </c>
      <c r="I298" s="16" t="str">
        <f>IFERROR(INDEX('EV Productivity'!$D$9:$D$21,MATCH(B298,'EV Productivity'!$A$9:$A$21,0)),"")</f>
        <v/>
      </c>
      <c r="J298" s="7">
        <f t="shared" si="40"/>
        <v>16.642877791341824</v>
      </c>
      <c r="K298" s="4">
        <f t="shared" si="42"/>
        <v>2.8119823646311555</v>
      </c>
      <c r="L298" s="7">
        <f t="shared" si="43"/>
        <v>18.982309999999998</v>
      </c>
      <c r="M298" s="5">
        <f t="shared" si="44"/>
        <v>4393.3609999999999</v>
      </c>
      <c r="N298" s="16">
        <f t="shared" si="45"/>
        <v>201.53380000000001</v>
      </c>
      <c r="O298" s="7">
        <f t="shared" si="41"/>
        <v>16.366601390586343</v>
      </c>
      <c r="P298" s="4">
        <f t="shared" si="46"/>
        <v>2.7952427577691985</v>
      </c>
    </row>
    <row r="299" spans="1:16" x14ac:dyDescent="0.35">
      <c r="A299" s="2" t="s">
        <v>1324</v>
      </c>
      <c r="B299" s="2">
        <v>2004</v>
      </c>
      <c r="C299" s="7">
        <v>19.16282</v>
      </c>
      <c r="D299" s="5">
        <v>4486.7460000000001</v>
      </c>
      <c r="E299" s="16">
        <v>213.66380000000001</v>
      </c>
      <c r="F299" s="15">
        <v>0</v>
      </c>
      <c r="G299" s="16" t="str">
        <f>IFERROR(INDEX('EV Productivity'!$B$9:$B$21,MATCH(B299,'EV Productivity'!$A$9:$A$21,0)),"")</f>
        <v/>
      </c>
      <c r="H299" s="16" t="str">
        <f>IFERROR(INDEX('EV Productivity'!$C$9:$C$21,MATCH(B299,'EV Productivity'!$A$9:$A$21,0)),"")</f>
        <v/>
      </c>
      <c r="I299" s="16" t="str">
        <f>IFERROR(INDEX('EV Productivity'!$D$9:$D$21,MATCH(B299,'EV Productivity'!$A$9:$A$21,0)),"")</f>
        <v/>
      </c>
      <c r="J299" s="7">
        <f t="shared" si="40"/>
        <v>17.33161427682089</v>
      </c>
      <c r="K299" s="4">
        <f t="shared" si="42"/>
        <v>2.8525322486577633</v>
      </c>
      <c r="L299" s="7">
        <f t="shared" si="43"/>
        <v>19.16282</v>
      </c>
      <c r="M299" s="5">
        <f t="shared" si="44"/>
        <v>4486.7460000000001</v>
      </c>
      <c r="N299" s="16">
        <f t="shared" si="45"/>
        <v>213.66380000000001</v>
      </c>
      <c r="O299" s="7">
        <f t="shared" si="41"/>
        <v>17.104246278088315</v>
      </c>
      <c r="P299" s="4">
        <f t="shared" si="46"/>
        <v>2.8393267530382595</v>
      </c>
    </row>
    <row r="300" spans="1:16" x14ac:dyDescent="0.35">
      <c r="A300" s="2" t="s">
        <v>1324</v>
      </c>
      <c r="B300" s="2">
        <v>2005</v>
      </c>
      <c r="C300" s="7">
        <v>19.302150000000001</v>
      </c>
      <c r="D300" s="5">
        <v>4429.9679999999998</v>
      </c>
      <c r="E300" s="16">
        <v>208.8673</v>
      </c>
      <c r="F300" s="15">
        <v>0</v>
      </c>
      <c r="G300" s="16" t="str">
        <f>IFERROR(INDEX('EV Productivity'!$B$9:$B$21,MATCH(B300,'EV Productivity'!$A$9:$A$21,0)),"")</f>
        <v/>
      </c>
      <c r="H300" s="16" t="str">
        <f>IFERROR(INDEX('EV Productivity'!$C$9:$C$21,MATCH(B300,'EV Productivity'!$A$9:$A$21,0)),"")</f>
        <v/>
      </c>
      <c r="I300" s="16" t="str">
        <f>IFERROR(INDEX('EV Productivity'!$D$9:$D$21,MATCH(B300,'EV Productivity'!$A$9:$A$21,0)),"")</f>
        <v/>
      </c>
      <c r="J300" s="7">
        <f t="shared" si="40"/>
        <v>17.212479128052166</v>
      </c>
      <c r="K300" s="4">
        <f t="shared" si="42"/>
        <v>2.8456346514499518</v>
      </c>
      <c r="L300" s="7">
        <f t="shared" si="43"/>
        <v>19.302150000000001</v>
      </c>
      <c r="M300" s="5">
        <f t="shared" si="44"/>
        <v>4429.9679999999998</v>
      </c>
      <c r="N300" s="16">
        <f t="shared" si="45"/>
        <v>208.8673</v>
      </c>
      <c r="O300" s="7">
        <f t="shared" si="41"/>
        <v>16.974906730648584</v>
      </c>
      <c r="P300" s="4">
        <f t="shared" si="46"/>
        <v>2.8317361789170632</v>
      </c>
    </row>
    <row r="301" spans="1:16" x14ac:dyDescent="0.35">
      <c r="A301" s="2" t="s">
        <v>1324</v>
      </c>
      <c r="B301" s="2">
        <v>2006</v>
      </c>
      <c r="C301" s="7">
        <v>19.52993</v>
      </c>
      <c r="D301" s="5">
        <v>4475.4570000000003</v>
      </c>
      <c r="E301" s="16">
        <v>211.1533</v>
      </c>
      <c r="F301" s="15">
        <v>0</v>
      </c>
      <c r="G301" s="16" t="str">
        <f>IFERROR(INDEX('EV Productivity'!$B$9:$B$21,MATCH(B301,'EV Productivity'!$A$9:$A$21,0)),"")</f>
        <v/>
      </c>
      <c r="H301" s="16" t="str">
        <f>IFERROR(INDEX('EV Productivity'!$C$9:$C$21,MATCH(B301,'EV Productivity'!$A$9:$A$21,0)),"")</f>
        <v/>
      </c>
      <c r="I301" s="16" t="str">
        <f>IFERROR(INDEX('EV Productivity'!$D$9:$D$21,MATCH(B301,'EV Productivity'!$A$9:$A$21,0)),"")</f>
        <v/>
      </c>
      <c r="J301" s="7">
        <f t="shared" si="40"/>
        <v>17.566739405778222</v>
      </c>
      <c r="K301" s="4">
        <f t="shared" si="42"/>
        <v>2.8660073076170223</v>
      </c>
      <c r="L301" s="7">
        <f t="shared" si="43"/>
        <v>19.52993</v>
      </c>
      <c r="M301" s="5">
        <f t="shared" si="44"/>
        <v>4475.4570000000003</v>
      </c>
      <c r="N301" s="16">
        <f t="shared" si="45"/>
        <v>211.1533</v>
      </c>
      <c r="O301" s="7">
        <f t="shared" si="41"/>
        <v>17.319427012197686</v>
      </c>
      <c r="P301" s="4">
        <f t="shared" si="46"/>
        <v>2.85182882015043</v>
      </c>
    </row>
    <row r="302" spans="1:16" x14ac:dyDescent="0.35">
      <c r="A302" s="2" t="s">
        <v>1324</v>
      </c>
      <c r="B302" s="2">
        <v>2007</v>
      </c>
      <c r="C302" s="7">
        <v>19.498069999999998</v>
      </c>
      <c r="D302" s="5">
        <v>4479.3370000000004</v>
      </c>
      <c r="E302" s="16">
        <v>225.32149999999999</v>
      </c>
      <c r="F302" s="15">
        <v>0</v>
      </c>
      <c r="G302" s="16" t="str">
        <f>IFERROR(INDEX('EV Productivity'!$B$9:$B$21,MATCH(B302,'EV Productivity'!$A$9:$A$21,0)),"")</f>
        <v/>
      </c>
      <c r="H302" s="16" t="str">
        <f>IFERROR(INDEX('EV Productivity'!$C$9:$C$21,MATCH(B302,'EV Productivity'!$A$9:$A$21,0)),"")</f>
        <v/>
      </c>
      <c r="I302" s="16" t="str">
        <f>IFERROR(INDEX('EV Productivity'!$D$9:$D$21,MATCH(B302,'EV Productivity'!$A$9:$A$21,0)),"")</f>
        <v/>
      </c>
      <c r="J302" s="7">
        <f t="shared" ref="J302:J319" si="47">C302*(D302/$D$319)^$B$4*(E302/$E$319)^$B$5</f>
        <v>17.970428917408423</v>
      </c>
      <c r="K302" s="4">
        <f t="shared" si="42"/>
        <v>2.8887275690364076</v>
      </c>
      <c r="L302" s="7">
        <f t="shared" si="43"/>
        <v>19.498069999999998</v>
      </c>
      <c r="M302" s="5">
        <f t="shared" si="44"/>
        <v>4479.3370000000004</v>
      </c>
      <c r="N302" s="16">
        <f t="shared" si="45"/>
        <v>225.32149999999999</v>
      </c>
      <c r="O302" s="7">
        <f t="shared" ref="O302:O333" si="48">L302*(M302/$M$319)^$E$4*(N302/$N$319)^$E$5</f>
        <v>17.846870650360771</v>
      </c>
      <c r="P302" s="4">
        <f t="shared" si="46"/>
        <v>2.8818281791511251</v>
      </c>
    </row>
    <row r="303" spans="1:16" x14ac:dyDescent="0.35">
      <c r="A303" s="2" t="s">
        <v>1324</v>
      </c>
      <c r="B303" s="2">
        <v>2008</v>
      </c>
      <c r="C303" s="7">
        <v>19.81953</v>
      </c>
      <c r="D303" s="5">
        <v>4527.1059999999998</v>
      </c>
      <c r="E303" s="16">
        <v>220.9599</v>
      </c>
      <c r="F303" s="15">
        <v>0</v>
      </c>
      <c r="G303" s="16" t="str">
        <f>IFERROR(INDEX('EV Productivity'!$B$9:$B$21,MATCH(B303,'EV Productivity'!$A$9:$A$21,0)),"")</f>
        <v/>
      </c>
      <c r="H303" s="16" t="str">
        <f>IFERROR(INDEX('EV Productivity'!$C$9:$C$21,MATCH(B303,'EV Productivity'!$A$9:$A$21,0)),"")</f>
        <v/>
      </c>
      <c r="I303" s="16" t="str">
        <f>IFERROR(INDEX('EV Productivity'!$D$9:$D$21,MATCH(B303,'EV Productivity'!$A$9:$A$21,0)),"")</f>
        <v/>
      </c>
      <c r="J303" s="7">
        <f t="shared" si="47"/>
        <v>18.222742610000942</v>
      </c>
      <c r="K303" s="4">
        <f t="shared" si="42"/>
        <v>2.9026704079461165</v>
      </c>
      <c r="L303" s="7">
        <f t="shared" si="43"/>
        <v>19.81953</v>
      </c>
      <c r="M303" s="5">
        <f t="shared" si="44"/>
        <v>4527.1059999999998</v>
      </c>
      <c r="N303" s="16">
        <f t="shared" si="45"/>
        <v>220.9599</v>
      </c>
      <c r="O303" s="7">
        <f t="shared" si="48"/>
        <v>18.028633172469213</v>
      </c>
      <c r="P303" s="4">
        <f t="shared" si="46"/>
        <v>2.8919612258263192</v>
      </c>
    </row>
    <row r="304" spans="1:16" x14ac:dyDescent="0.35">
      <c r="A304" s="2" t="s">
        <v>1324</v>
      </c>
      <c r="B304" s="2">
        <v>2009</v>
      </c>
      <c r="C304" s="7">
        <v>20.065850000000001</v>
      </c>
      <c r="D304" s="5">
        <v>4572.0330000000004</v>
      </c>
      <c r="E304" s="16">
        <v>220.4829</v>
      </c>
      <c r="F304" s="15">
        <v>0</v>
      </c>
      <c r="G304" s="16" t="str">
        <f>IFERROR(INDEX('EV Productivity'!$B$9:$B$21,MATCH(B304,'EV Productivity'!$A$9:$A$21,0)),"")</f>
        <v/>
      </c>
      <c r="H304" s="16" t="str">
        <f>IFERROR(INDEX('EV Productivity'!$C$9:$C$21,MATCH(B304,'EV Productivity'!$A$9:$A$21,0)),"")</f>
        <v/>
      </c>
      <c r="I304" s="16" t="str">
        <f>IFERROR(INDEX('EV Productivity'!$D$9:$D$21,MATCH(B304,'EV Productivity'!$A$9:$A$21,0)),"")</f>
        <v/>
      </c>
      <c r="J304" s="7">
        <f t="shared" si="47"/>
        <v>18.517110083314087</v>
      </c>
      <c r="K304" s="4">
        <f t="shared" si="42"/>
        <v>2.9186951740244571</v>
      </c>
      <c r="L304" s="7">
        <f t="shared" si="43"/>
        <v>20.065850000000001</v>
      </c>
      <c r="M304" s="5">
        <f t="shared" si="44"/>
        <v>4572.0330000000004</v>
      </c>
      <c r="N304" s="16">
        <f t="shared" si="45"/>
        <v>220.4829</v>
      </c>
      <c r="O304" s="7">
        <f t="shared" si="48"/>
        <v>18.288429036855323</v>
      </c>
      <c r="P304" s="4">
        <f t="shared" si="46"/>
        <v>2.9062685667977957</v>
      </c>
    </row>
    <row r="305" spans="1:16" x14ac:dyDescent="0.35">
      <c r="A305" s="2" t="s">
        <v>1324</v>
      </c>
      <c r="B305" s="2">
        <v>2010</v>
      </c>
      <c r="C305" s="7">
        <v>20.118590000000001</v>
      </c>
      <c r="D305" s="5">
        <v>4533.0469999999996</v>
      </c>
      <c r="E305" s="16">
        <v>212.47049999999999</v>
      </c>
      <c r="F305" s="15">
        <v>0</v>
      </c>
      <c r="G305" s="16" t="str">
        <f>IFERROR(INDEX('EV Productivity'!$B$9:$B$21,MATCH(B305,'EV Productivity'!$A$9:$A$21,0)),"")</f>
        <v/>
      </c>
      <c r="H305" s="16" t="str">
        <f>IFERROR(INDEX('EV Productivity'!$C$9:$C$21,MATCH(B305,'EV Productivity'!$A$9:$A$21,0)),"")</f>
        <v/>
      </c>
      <c r="I305" s="16" t="str">
        <f>IFERROR(INDEX('EV Productivity'!$D$9:$D$21,MATCH(B305,'EV Productivity'!$A$9:$A$21,0)),"")</f>
        <v/>
      </c>
      <c r="J305" s="7">
        <f t="shared" si="47"/>
        <v>18.243084150283057</v>
      </c>
      <c r="K305" s="4">
        <f t="shared" si="42"/>
        <v>2.9037860575391292</v>
      </c>
      <c r="L305" s="7">
        <f t="shared" si="43"/>
        <v>20.118590000000001</v>
      </c>
      <c r="M305" s="5">
        <f t="shared" si="44"/>
        <v>4533.0469999999996</v>
      </c>
      <c r="N305" s="16">
        <f t="shared" si="45"/>
        <v>212.47049999999999</v>
      </c>
      <c r="O305" s="7">
        <f t="shared" si="48"/>
        <v>17.964767356657106</v>
      </c>
      <c r="P305" s="4">
        <f t="shared" si="46"/>
        <v>2.8884124706712848</v>
      </c>
    </row>
    <row r="306" spans="1:16" x14ac:dyDescent="0.35">
      <c r="A306" s="2" t="s">
        <v>1324</v>
      </c>
      <c r="B306" s="2">
        <v>2011</v>
      </c>
      <c r="C306" s="7">
        <v>20.94922</v>
      </c>
      <c r="D306" s="5">
        <v>4502.0720000000001</v>
      </c>
      <c r="E306" s="16">
        <v>258.71789999999999</v>
      </c>
      <c r="F306" s="15">
        <v>0</v>
      </c>
      <c r="G306" s="16" t="str">
        <f>IFERROR(INDEX('EV Productivity'!$B$9:$B$21,MATCH(B306,'EV Productivity'!$A$9:$A$21,0)),"")</f>
        <v/>
      </c>
      <c r="H306" s="16" t="str">
        <f>IFERROR(INDEX('EV Productivity'!$C$9:$C$21,MATCH(B306,'EV Productivity'!$A$9:$A$21,0)),"")</f>
        <v/>
      </c>
      <c r="I306" s="16" t="str">
        <f>IFERROR(INDEX('EV Productivity'!$D$9:$D$21,MATCH(B306,'EV Productivity'!$A$9:$A$21,0)),"")</f>
        <v/>
      </c>
      <c r="J306" s="7">
        <f t="shared" si="47"/>
        <v>20.364580396704369</v>
      </c>
      <c r="K306" s="4">
        <f t="shared" si="42"/>
        <v>3.0137971367488672</v>
      </c>
      <c r="L306" s="7">
        <f t="shared" si="43"/>
        <v>20.94922</v>
      </c>
      <c r="M306" s="5">
        <f t="shared" si="44"/>
        <v>4502.0720000000001</v>
      </c>
      <c r="N306" s="16">
        <f t="shared" si="45"/>
        <v>258.71789999999999</v>
      </c>
      <c r="O306" s="7">
        <f t="shared" si="48"/>
        <v>20.530453671356032</v>
      </c>
      <c r="P306" s="4">
        <f t="shared" si="46"/>
        <v>3.021909328758241</v>
      </c>
    </row>
    <row r="307" spans="1:16" x14ac:dyDescent="0.35">
      <c r="A307" s="2" t="s">
        <v>1324</v>
      </c>
      <c r="B307" s="2">
        <v>2012</v>
      </c>
      <c r="C307" s="7">
        <v>21.268830000000001</v>
      </c>
      <c r="D307" s="5">
        <v>4441.7610000000004</v>
      </c>
      <c r="E307" s="16">
        <v>254.19579999999999</v>
      </c>
      <c r="F307" s="15">
        <v>0</v>
      </c>
      <c r="G307" s="16">
        <f>IFERROR(INDEX('EV Productivity'!$B$9:$B$21,MATCH(B307,'EV Productivity'!$A$9:$A$21,0)),"")</f>
        <v>89.140649999999994</v>
      </c>
      <c r="H307" s="16">
        <f>IFERROR(INDEX('EV Productivity'!$C$9:$C$21,MATCH(B307,'EV Productivity'!$A$9:$A$21,0)),"")</f>
        <v>4500</v>
      </c>
      <c r="I307" s="16">
        <f>IFERROR(INDEX('EV Productivity'!$D$9:$D$21,MATCH(B307,'EV Productivity'!$A$9:$A$21,0)),"")</f>
        <v>349</v>
      </c>
      <c r="J307" s="7">
        <f t="shared" si="47"/>
        <v>20.416165037544733</v>
      </c>
      <c r="K307" s="4">
        <f t="shared" si="42"/>
        <v>3.0163269908652435</v>
      </c>
      <c r="L307" s="7">
        <f t="shared" si="43"/>
        <v>21.268830000000001</v>
      </c>
      <c r="M307" s="5">
        <f t="shared" si="44"/>
        <v>4441.7610000000004</v>
      </c>
      <c r="N307" s="16">
        <f t="shared" si="45"/>
        <v>254.19579999999999</v>
      </c>
      <c r="O307" s="7">
        <f t="shared" si="48"/>
        <v>20.582405510904945</v>
      </c>
      <c r="P307" s="4">
        <f t="shared" si="46"/>
        <v>3.0244366094307238</v>
      </c>
    </row>
    <row r="308" spans="1:16" x14ac:dyDescent="0.35">
      <c r="A308" s="2" t="s">
        <v>1324</v>
      </c>
      <c r="B308" s="2">
        <v>2013</v>
      </c>
      <c r="C308" s="7">
        <v>21.057970000000001</v>
      </c>
      <c r="D308" s="5">
        <v>4542.7330000000002</v>
      </c>
      <c r="E308" s="16">
        <v>257.05990000000003</v>
      </c>
      <c r="F308" s="15">
        <v>0</v>
      </c>
      <c r="G308" s="16">
        <f>IFERROR(INDEX('EV Productivity'!$B$9:$B$21,MATCH(B308,'EV Productivity'!$A$9:$A$21,0)),"")</f>
        <v>90.655000000000001</v>
      </c>
      <c r="H308" s="16">
        <f>IFERROR(INDEX('EV Productivity'!$C$9:$C$21,MATCH(B308,'EV Productivity'!$A$9:$A$21,0)),"")</f>
        <v>4500</v>
      </c>
      <c r="I308" s="16">
        <f>IFERROR(INDEX('EV Productivity'!$D$9:$D$21,MATCH(B308,'EV Productivity'!$A$9:$A$21,0)),"")</f>
        <v>346.98399999999998</v>
      </c>
      <c r="J308" s="7">
        <f t="shared" si="47"/>
        <v>20.505090716448681</v>
      </c>
      <c r="K308" s="4">
        <f t="shared" si="42"/>
        <v>3.0206731829478026</v>
      </c>
      <c r="L308" s="7">
        <f t="shared" si="43"/>
        <v>21.057970000000001</v>
      </c>
      <c r="M308" s="5">
        <f t="shared" si="44"/>
        <v>4542.7330000000002</v>
      </c>
      <c r="N308" s="16">
        <f t="shared" si="45"/>
        <v>257.05990000000003</v>
      </c>
      <c r="O308" s="7">
        <f t="shared" si="48"/>
        <v>20.629307622623752</v>
      </c>
      <c r="P308" s="4">
        <f t="shared" si="46"/>
        <v>3.0267127648439369</v>
      </c>
    </row>
    <row r="309" spans="1:16" x14ac:dyDescent="0.35">
      <c r="A309" s="2" t="s">
        <v>1324</v>
      </c>
      <c r="B309" s="2">
        <v>2014</v>
      </c>
      <c r="C309" s="7">
        <v>21.269020000000001</v>
      </c>
      <c r="D309" s="5">
        <v>4488.5590000000002</v>
      </c>
      <c r="E309" s="16">
        <v>260.30619999999999</v>
      </c>
      <c r="F309" s="15">
        <v>0</v>
      </c>
      <c r="G309" s="16">
        <f>IFERROR(INDEX('EV Productivity'!$B$9:$B$21,MATCH(B309,'EV Productivity'!$A$9:$A$21,0)),"")</f>
        <v>90.168629999999993</v>
      </c>
      <c r="H309" s="16">
        <f>IFERROR(INDEX('EV Productivity'!$C$9:$C$21,MATCH(B309,'EV Productivity'!$A$9:$A$21,0)),"")</f>
        <v>4562.2219999999998</v>
      </c>
      <c r="I309" s="16">
        <f>IFERROR(INDEX('EV Productivity'!$D$9:$D$21,MATCH(B309,'EV Productivity'!$A$9:$A$21,0)),"")</f>
        <v>335.78829999999999</v>
      </c>
      <c r="J309" s="7">
        <f t="shared" si="47"/>
        <v>20.694014187995798</v>
      </c>
      <c r="K309" s="4">
        <f t="shared" si="42"/>
        <v>3.0298444887916762</v>
      </c>
      <c r="L309" s="7">
        <f t="shared" si="43"/>
        <v>21.269020000000001</v>
      </c>
      <c r="M309" s="5">
        <f t="shared" si="44"/>
        <v>4488.5590000000002</v>
      </c>
      <c r="N309" s="16">
        <f t="shared" si="45"/>
        <v>260.30619999999999</v>
      </c>
      <c r="O309" s="7">
        <f t="shared" si="48"/>
        <v>20.886490934699321</v>
      </c>
      <c r="P309" s="4">
        <f t="shared" si="46"/>
        <v>3.0391025832249139</v>
      </c>
    </row>
    <row r="310" spans="1:16" x14ac:dyDescent="0.35">
      <c r="A310" s="2" t="s">
        <v>1324</v>
      </c>
      <c r="B310" s="2">
        <v>2015</v>
      </c>
      <c r="C310" s="7">
        <v>21.78246</v>
      </c>
      <c r="D310" s="5">
        <v>4415.51</v>
      </c>
      <c r="E310" s="16">
        <v>250.12970000000001</v>
      </c>
      <c r="F310" s="15">
        <v>0</v>
      </c>
      <c r="G310" s="16">
        <f>IFERROR(INDEX('EV Productivity'!$B$9:$B$21,MATCH(B310,'EV Productivity'!$A$9:$A$21,0)),"")</f>
        <v>97.135120000000001</v>
      </c>
      <c r="H310" s="16">
        <f>IFERROR(INDEX('EV Productivity'!$C$9:$C$21,MATCH(B310,'EV Productivity'!$A$9:$A$21,0)),"")</f>
        <v>4901.7560000000003</v>
      </c>
      <c r="I310" s="16">
        <f>IFERROR(INDEX('EV Productivity'!$D$9:$D$21,MATCH(B310,'EV Productivity'!$A$9:$A$21,0)),"")</f>
        <v>396.16609999999997</v>
      </c>
      <c r="J310" s="7">
        <f t="shared" si="47"/>
        <v>20.729476031433805</v>
      </c>
      <c r="K310" s="4">
        <f t="shared" si="42"/>
        <v>3.0315566502688083</v>
      </c>
      <c r="L310" s="7">
        <f t="shared" si="43"/>
        <v>21.78246</v>
      </c>
      <c r="M310" s="5">
        <f t="shared" si="44"/>
        <v>4415.51</v>
      </c>
      <c r="N310" s="16">
        <f t="shared" si="45"/>
        <v>250.12970000000001</v>
      </c>
      <c r="O310" s="7">
        <f t="shared" si="48"/>
        <v>20.878288168874708</v>
      </c>
      <c r="P310" s="4">
        <f t="shared" si="46"/>
        <v>3.03870977540425</v>
      </c>
    </row>
    <row r="311" spans="1:16" x14ac:dyDescent="0.35">
      <c r="A311" s="2" t="s">
        <v>1324</v>
      </c>
      <c r="B311" s="2">
        <v>2016</v>
      </c>
      <c r="C311" s="7">
        <v>21.661919999999999</v>
      </c>
      <c r="D311" s="5">
        <v>4459.3280000000004</v>
      </c>
      <c r="E311" s="16">
        <v>256.35890000000001</v>
      </c>
      <c r="F311" s="15">
        <v>0</v>
      </c>
      <c r="G311" s="16">
        <f>IFERROR(INDEX('EV Productivity'!$B$9:$B$21,MATCH(B311,'EV Productivity'!$A$9:$A$21,0)),"")</f>
        <v>96.81841</v>
      </c>
      <c r="H311" s="16">
        <f>IFERROR(INDEX('EV Productivity'!$C$9:$C$21,MATCH(B311,'EV Productivity'!$A$9:$A$21,0)),"")</f>
        <v>5172.598</v>
      </c>
      <c r="I311" s="16">
        <f>IFERROR(INDEX('EV Productivity'!$D$9:$D$21,MATCH(B311,'EV Productivity'!$A$9:$A$21,0)),"")</f>
        <v>384.3064</v>
      </c>
      <c r="J311" s="7">
        <f t="shared" si="47"/>
        <v>20.895909893676059</v>
      </c>
      <c r="K311" s="4">
        <f t="shared" si="42"/>
        <v>3.0395534409520693</v>
      </c>
      <c r="L311" s="7">
        <f t="shared" si="43"/>
        <v>21.661919999999999</v>
      </c>
      <c r="M311" s="5">
        <f t="shared" si="44"/>
        <v>4459.3280000000004</v>
      </c>
      <c r="N311" s="16">
        <f t="shared" si="45"/>
        <v>256.35890000000001</v>
      </c>
      <c r="O311" s="7">
        <f t="shared" si="48"/>
        <v>21.074034890471189</v>
      </c>
      <c r="P311" s="4">
        <f t="shared" si="46"/>
        <v>3.0480417087928955</v>
      </c>
    </row>
    <row r="312" spans="1:16" x14ac:dyDescent="0.35">
      <c r="A312" s="2" t="s">
        <v>1324</v>
      </c>
      <c r="B312" s="2">
        <v>2017</v>
      </c>
      <c r="C312" s="7">
        <v>22.234480000000001</v>
      </c>
      <c r="D312" s="5">
        <v>4503.1030000000001</v>
      </c>
      <c r="E312" s="16">
        <v>267.78070000000002</v>
      </c>
      <c r="F312" s="15">
        <v>0</v>
      </c>
      <c r="G312" s="16">
        <f>IFERROR(INDEX('EV Productivity'!$B$9:$B$21,MATCH(B312,'EV Productivity'!$A$9:$A$21,0)),"")</f>
        <v>98.218540000000004</v>
      </c>
      <c r="H312" s="16">
        <f>IFERROR(INDEX('EV Productivity'!$C$9:$C$21,MATCH(B312,'EV Productivity'!$A$9:$A$21,0)),"")</f>
        <v>5211.8069999999998</v>
      </c>
      <c r="I312" s="16">
        <f>IFERROR(INDEX('EV Productivity'!$D$9:$D$21,MATCH(B312,'EV Productivity'!$A$9:$A$21,0)),"")</f>
        <v>499.9051</v>
      </c>
      <c r="J312" s="7">
        <f t="shared" si="47"/>
        <v>21.892549719886258</v>
      </c>
      <c r="K312" s="4">
        <f t="shared" si="42"/>
        <v>3.086146383503876</v>
      </c>
      <c r="L312" s="7">
        <f t="shared" si="43"/>
        <v>22.234480000000001</v>
      </c>
      <c r="M312" s="5">
        <f t="shared" si="44"/>
        <v>4503.1030000000001</v>
      </c>
      <c r="N312" s="16">
        <f t="shared" si="45"/>
        <v>267.78070000000002</v>
      </c>
      <c r="O312" s="7">
        <f t="shared" si="48"/>
        <v>22.156965655711701</v>
      </c>
      <c r="P312" s="4">
        <f t="shared" si="46"/>
        <v>3.0981519236095898</v>
      </c>
    </row>
    <row r="313" spans="1:16" x14ac:dyDescent="0.35">
      <c r="A313" s="2" t="s">
        <v>1324</v>
      </c>
      <c r="B313" s="2">
        <v>2018</v>
      </c>
      <c r="C313" s="7">
        <v>22.759319999999999</v>
      </c>
      <c r="D313" s="5">
        <v>4523.5870000000004</v>
      </c>
      <c r="E313" s="16">
        <v>269.60300000000001</v>
      </c>
      <c r="F313" s="15">
        <v>0</v>
      </c>
      <c r="G313" s="16">
        <f>IFERROR(INDEX('EV Productivity'!$B$9:$B$21,MATCH(B313,'EV Productivity'!$A$9:$A$21,0)),"")</f>
        <v>113.67319000000001</v>
      </c>
      <c r="H313" s="16">
        <f>IFERROR(INDEX('EV Productivity'!$C$9:$C$21,MATCH(B313,'EV Productivity'!$A$9:$A$21,0)),"")</f>
        <v>4522.5739999999996</v>
      </c>
      <c r="I313" s="16">
        <f>IFERROR(INDEX('EV Productivity'!$D$9:$D$21,MATCH(B313,'EV Productivity'!$A$9:$A$21,0)),"")</f>
        <v>402.72219999999999</v>
      </c>
      <c r="J313" s="7">
        <f t="shared" si="47"/>
        <v>22.51166794478393</v>
      </c>
      <c r="K313" s="4">
        <f t="shared" si="42"/>
        <v>3.1140337501203885</v>
      </c>
      <c r="L313" s="7">
        <f t="shared" si="43"/>
        <v>22.759319999999999</v>
      </c>
      <c r="M313" s="5">
        <f t="shared" si="44"/>
        <v>4523.5870000000004</v>
      </c>
      <c r="N313" s="16">
        <f t="shared" si="45"/>
        <v>269.60300000000001</v>
      </c>
      <c r="O313" s="7">
        <f t="shared" si="48"/>
        <v>22.78578573690735</v>
      </c>
      <c r="P313" s="4">
        <f t="shared" si="46"/>
        <v>3.1261369089537068</v>
      </c>
    </row>
    <row r="314" spans="1:16" x14ac:dyDescent="0.35">
      <c r="A314" s="2" t="s">
        <v>1324</v>
      </c>
      <c r="B314" s="2">
        <v>2019</v>
      </c>
      <c r="C314" s="7">
        <v>22.429179999999999</v>
      </c>
      <c r="D314" s="5">
        <v>4497.2030000000004</v>
      </c>
      <c r="E314" s="16">
        <v>267.00389999999999</v>
      </c>
      <c r="F314" s="15">
        <v>0</v>
      </c>
      <c r="G314" s="16">
        <f>IFERROR(INDEX('EV Productivity'!$B$9:$B$21,MATCH(B314,'EV Productivity'!$A$9:$A$21,0)),"")</f>
        <v>117.99979999999999</v>
      </c>
      <c r="H314" s="16">
        <f>IFERROR(INDEX('EV Productivity'!$C$9:$C$21,MATCH(B314,'EV Productivity'!$A$9:$A$21,0)),"")</f>
        <v>4436.4139999999998</v>
      </c>
      <c r="I314" s="16">
        <f>IFERROR(INDEX('EV Productivity'!$D$9:$D$21,MATCH(B314,'EV Productivity'!$A$9:$A$21,0)),"")</f>
        <v>392.01650000000001</v>
      </c>
      <c r="J314" s="7">
        <f t="shared" si="47"/>
        <v>22.047508161162099</v>
      </c>
      <c r="K314" s="4">
        <f t="shared" si="42"/>
        <v>3.0931995869428288</v>
      </c>
      <c r="L314" s="7">
        <f t="shared" si="43"/>
        <v>22.429179999999999</v>
      </c>
      <c r="M314" s="5">
        <f t="shared" si="44"/>
        <v>4497.2030000000004</v>
      </c>
      <c r="N314" s="16">
        <f t="shared" si="45"/>
        <v>267.00389999999999</v>
      </c>
      <c r="O314" s="7">
        <f t="shared" si="48"/>
        <v>22.310758959783161</v>
      </c>
      <c r="P314" s="4">
        <f t="shared" si="46"/>
        <v>3.1050690266817336</v>
      </c>
    </row>
    <row r="315" spans="1:16" x14ac:dyDescent="0.35">
      <c r="A315" s="2" t="s">
        <v>1324</v>
      </c>
      <c r="B315" s="2">
        <v>2020</v>
      </c>
      <c r="C315" s="7">
        <v>23.35398</v>
      </c>
      <c r="D315" s="5">
        <v>4487.058</v>
      </c>
      <c r="E315" s="16">
        <v>259.11919999999998</v>
      </c>
      <c r="F315" s="15">
        <v>0</v>
      </c>
      <c r="G315" s="16">
        <f>IFERROR(INDEX('EV Productivity'!$B$9:$B$21,MATCH(B315,'EV Productivity'!$A$9:$A$21,0)),"")</f>
        <v>119.08936</v>
      </c>
      <c r="H315" s="16">
        <f>IFERROR(INDEX('EV Productivity'!$C$9:$C$21,MATCH(B315,'EV Productivity'!$A$9:$A$21,0)),"")</f>
        <v>4393.6790000000001</v>
      </c>
      <c r="I315" s="16">
        <f>IFERROR(INDEX('EV Productivity'!$D$9:$D$21,MATCH(B315,'EV Productivity'!$A$9:$A$21,0)),"")</f>
        <v>443.69900000000001</v>
      </c>
      <c r="J315" s="7">
        <f t="shared" si="47"/>
        <v>22.680889647204726</v>
      </c>
      <c r="K315" s="4">
        <f t="shared" si="42"/>
        <v>3.1215227041574569</v>
      </c>
      <c r="L315" s="7">
        <f t="shared" si="43"/>
        <v>23.35398</v>
      </c>
      <c r="M315" s="5">
        <f t="shared" si="44"/>
        <v>4487.058</v>
      </c>
      <c r="N315" s="16">
        <f t="shared" si="45"/>
        <v>259.11919999999998</v>
      </c>
      <c r="O315" s="7">
        <f t="shared" si="48"/>
        <v>22.881054750766925</v>
      </c>
      <c r="P315" s="4">
        <f t="shared" si="46"/>
        <v>3.1303092646958657</v>
      </c>
    </row>
    <row r="316" spans="1:16" x14ac:dyDescent="0.35">
      <c r="A316" s="2" t="s">
        <v>1324</v>
      </c>
      <c r="B316" s="2">
        <v>2021</v>
      </c>
      <c r="C316" s="7">
        <v>27.264340000000001</v>
      </c>
      <c r="D316" s="5">
        <v>4591.0680000000002</v>
      </c>
      <c r="E316" s="16">
        <v>229.1429</v>
      </c>
      <c r="F316" s="15">
        <v>0</v>
      </c>
      <c r="G316" s="16">
        <f>IFERROR(INDEX('EV Productivity'!$B$9:$B$21,MATCH(B316,'EV Productivity'!$A$9:$A$21,0)),"")</f>
        <v>123.91925000000001</v>
      </c>
      <c r="H316" s="16">
        <f>IFERROR(INDEX('EV Productivity'!$C$9:$C$21,MATCH(B316,'EV Productivity'!$A$9:$A$21,0)),"")</f>
        <v>4317.2039999999997</v>
      </c>
      <c r="I316" s="16">
        <f>IFERROR(INDEX('EV Productivity'!$D$9:$D$21,MATCH(B316,'EV Productivity'!$A$9:$A$21,0)),"")</f>
        <v>375.8981</v>
      </c>
      <c r="J316" s="7">
        <f t="shared" si="47"/>
        <v>25.568218517523427</v>
      </c>
      <c r="K316" s="4">
        <f t="shared" si="42"/>
        <v>3.2413501160712568</v>
      </c>
      <c r="L316" s="7">
        <f t="shared" si="43"/>
        <v>27.264340000000001</v>
      </c>
      <c r="M316" s="5">
        <f t="shared" si="44"/>
        <v>4591.0680000000002</v>
      </c>
      <c r="N316" s="16">
        <f t="shared" si="45"/>
        <v>229.1429</v>
      </c>
      <c r="O316" s="7">
        <f t="shared" si="48"/>
        <v>25.347986536336151</v>
      </c>
      <c r="P316" s="4">
        <f t="shared" si="46"/>
        <v>3.2326993003082238</v>
      </c>
    </row>
    <row r="317" spans="1:16" x14ac:dyDescent="0.35">
      <c r="A317" s="2" t="s">
        <v>1324</v>
      </c>
      <c r="B317" s="2">
        <v>2022</v>
      </c>
      <c r="C317" s="7">
        <v>25.997039999999998</v>
      </c>
      <c r="D317" s="5">
        <v>4558.567</v>
      </c>
      <c r="E317" s="16">
        <v>239.9237</v>
      </c>
      <c r="F317" s="15">
        <v>0</v>
      </c>
      <c r="G317" s="16">
        <f>IFERROR(INDEX('EV Productivity'!$B$9:$B$21,MATCH(B317,'EV Productivity'!$A$9:$A$21,0)),"")</f>
        <v>119.25117</v>
      </c>
      <c r="H317" s="16">
        <f>IFERROR(INDEX('EV Productivity'!$C$9:$C$21,MATCH(B317,'EV Productivity'!$A$9:$A$21,0)),"")</f>
        <v>4364.1850000000004</v>
      </c>
      <c r="I317" s="16">
        <f>IFERROR(INDEX('EV Productivity'!$D$9:$D$21,MATCH(B317,'EV Productivity'!$A$9:$A$21,0)),"")</f>
        <v>451.82850000000002</v>
      </c>
      <c r="J317" s="7">
        <f t="shared" si="47"/>
        <v>24.717196306567985</v>
      </c>
      <c r="K317" s="4">
        <f t="shared" si="42"/>
        <v>3.2074992081380858</v>
      </c>
      <c r="L317" s="7">
        <f t="shared" si="43"/>
        <v>25.997039999999998</v>
      </c>
      <c r="M317" s="5">
        <f t="shared" si="44"/>
        <v>4558.567</v>
      </c>
      <c r="N317" s="16">
        <f t="shared" si="45"/>
        <v>239.9237</v>
      </c>
      <c r="O317" s="7">
        <f t="shared" si="48"/>
        <v>24.659223288918412</v>
      </c>
      <c r="P317" s="4">
        <f t="shared" si="46"/>
        <v>3.2051510004404236</v>
      </c>
    </row>
    <row r="318" spans="1:16" x14ac:dyDescent="0.35">
      <c r="A318" s="2" t="s">
        <v>1324</v>
      </c>
      <c r="B318" s="2">
        <v>2023</v>
      </c>
      <c r="C318" s="7">
        <v>25.91208</v>
      </c>
      <c r="D318" s="5">
        <v>4660.17</v>
      </c>
      <c r="E318" s="16">
        <v>249.42009999999999</v>
      </c>
      <c r="F318" s="15">
        <v>0</v>
      </c>
      <c r="G318" s="16">
        <f>IFERROR(INDEX('EV Productivity'!$B$9:$B$21,MATCH(B318,'EV Productivity'!$A$9:$A$21,0)),"")</f>
        <v>120.57422</v>
      </c>
      <c r="H318" s="16">
        <f>IFERROR(INDEX('EV Productivity'!$C$9:$C$21,MATCH(B318,'EV Productivity'!$A$9:$A$21,0)),"")</f>
        <v>4383.7889999999998</v>
      </c>
      <c r="I318" s="16">
        <f>IFERROR(INDEX('EV Productivity'!$D$9:$D$21,MATCH(B318,'EV Productivity'!$A$9:$A$21,0)),"")</f>
        <v>406.87689999999998</v>
      </c>
      <c r="J318" s="7">
        <f t="shared" si="47"/>
        <v>25.242439089470118</v>
      </c>
      <c r="K318" s="4">
        <f t="shared" si="42"/>
        <v>3.2285266688784775</v>
      </c>
      <c r="L318" s="7">
        <f t="shared" si="43"/>
        <v>25.91208</v>
      </c>
      <c r="M318" s="5">
        <f t="shared" si="44"/>
        <v>4660.17</v>
      </c>
      <c r="N318" s="16">
        <f t="shared" si="45"/>
        <v>249.42009999999999</v>
      </c>
      <c r="O318" s="7">
        <f t="shared" si="48"/>
        <v>25.212073366100931</v>
      </c>
      <c r="P318" s="4">
        <f t="shared" si="46"/>
        <v>3.2273229816141424</v>
      </c>
    </row>
    <row r="319" spans="1:16" x14ac:dyDescent="0.35">
      <c r="A319" s="2" t="s">
        <v>1324</v>
      </c>
      <c r="B319" s="2">
        <v>2024</v>
      </c>
      <c r="C319" s="7">
        <v>26.097100000000001</v>
      </c>
      <c r="D319" s="5">
        <v>4772.6629999999996</v>
      </c>
      <c r="E319" s="16">
        <v>260.04039999999998</v>
      </c>
      <c r="F319" s="15">
        <v>0</v>
      </c>
      <c r="G319" s="16">
        <f>IFERROR(INDEX('EV Productivity'!$B$9:$B$21,MATCH(B319,'EV Productivity'!$A$9:$A$21,0)),"")</f>
        <v>117.14232</v>
      </c>
      <c r="H319" s="16">
        <f>IFERROR(INDEX('EV Productivity'!$C$9:$C$21,MATCH(B319,'EV Productivity'!$A$9:$A$21,0)),"")</f>
        <v>4409.7259999999997</v>
      </c>
      <c r="I319" s="16">
        <f>IFERROR(INDEX('EV Productivity'!$D$9:$D$21,MATCH(B319,'EV Productivity'!$A$9:$A$21,0)),"")</f>
        <v>420.45740000000001</v>
      </c>
      <c r="J319" s="7">
        <f t="shared" si="47"/>
        <v>26.097100000000001</v>
      </c>
      <c r="K319" s="4">
        <f t="shared" si="42"/>
        <v>3.2618241970442399</v>
      </c>
      <c r="L319" s="7">
        <f t="shared" si="43"/>
        <v>26.097100000000001</v>
      </c>
      <c r="M319" s="5">
        <f t="shared" si="44"/>
        <v>4772.6629999999996</v>
      </c>
      <c r="N319" s="16">
        <f t="shared" si="45"/>
        <v>260.04039999999998</v>
      </c>
      <c r="O319" s="7">
        <f t="shared" si="48"/>
        <v>26.097100000000001</v>
      </c>
      <c r="P319" s="4">
        <f t="shared" si="46"/>
        <v>3.2618241970442399</v>
      </c>
    </row>
  </sheetData>
  <mergeCells count="2">
    <mergeCell ref="A15:P15"/>
    <mergeCell ref="A2:P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2"/>
  <sheetViews>
    <sheetView workbookViewId="0"/>
  </sheetViews>
  <sheetFormatPr defaultRowHeight="14.5" x14ac:dyDescent="0.35"/>
  <cols>
    <col min="1" max="1" width="48" customWidth="1"/>
    <col min="2" max="2" width="14" customWidth="1"/>
    <col min="3" max="4" width="22" customWidth="1"/>
  </cols>
  <sheetData>
    <row r="1" spans="1:4" ht="17" x14ac:dyDescent="0.4">
      <c r="A1" s="1" t="s">
        <v>1339</v>
      </c>
    </row>
    <row r="3" spans="1:4" x14ac:dyDescent="0.35">
      <c r="A3" s="3" t="s">
        <v>1340</v>
      </c>
      <c r="B3" s="3" t="s">
        <v>1341</v>
      </c>
      <c r="C3" s="3" t="s">
        <v>1342</v>
      </c>
      <c r="D3" s="3" t="s">
        <v>1343</v>
      </c>
    </row>
    <row r="4" spans="1:4" x14ac:dyDescent="0.35">
      <c r="A4" s="2" t="s">
        <v>1344</v>
      </c>
      <c r="B4" s="4">
        <v>0.9546</v>
      </c>
      <c r="C4" s="6">
        <f>CER!C15</f>
        <v>0.95462199511569767</v>
      </c>
      <c r="D4" s="2" t="s">
        <v>1345</v>
      </c>
    </row>
    <row r="5" spans="1:4" x14ac:dyDescent="0.35">
      <c r="A5" s="2" t="s">
        <v>1346</v>
      </c>
      <c r="B5" s="11">
        <v>6731.9</v>
      </c>
      <c r="C5" s="9">
        <f>CER!C18</f>
        <v>6731.8745990681136</v>
      </c>
      <c r="D5" s="2" t="s">
        <v>1347</v>
      </c>
    </row>
    <row r="6" spans="1:4" x14ac:dyDescent="0.35">
      <c r="A6" s="2" t="s">
        <v>1348</v>
      </c>
      <c r="B6" s="4">
        <v>-0.45269999999999999</v>
      </c>
      <c r="C6" s="6">
        <f>CER!C8</f>
        <v>-0.4527091196253209</v>
      </c>
      <c r="D6" s="2" t="s">
        <v>1349</v>
      </c>
    </row>
    <row r="7" spans="1:4" x14ac:dyDescent="0.35">
      <c r="A7" s="2" t="s">
        <v>1350</v>
      </c>
      <c r="B7" s="4">
        <v>-0.36890000000000001</v>
      </c>
      <c r="C7" s="6">
        <f>CER!C9</f>
        <v>-0.36894371386739439</v>
      </c>
      <c r="D7" s="2" t="s">
        <v>1351</v>
      </c>
    </row>
    <row r="8" spans="1:4" x14ac:dyDescent="0.35">
      <c r="A8" s="2" t="s">
        <v>1352</v>
      </c>
      <c r="B8" s="4">
        <v>0.2238</v>
      </c>
      <c r="C8" s="6">
        <f>CER!C10</f>
        <v>0.22375356996922588</v>
      </c>
      <c r="D8" s="2" t="s">
        <v>1353</v>
      </c>
    </row>
    <row r="9" spans="1:4" x14ac:dyDescent="0.35">
      <c r="A9" s="2" t="s">
        <v>1354</v>
      </c>
      <c r="B9" s="4">
        <v>1.708</v>
      </c>
      <c r="C9" s="6">
        <f>CER!C11</f>
        <v>1.7079701374165039</v>
      </c>
      <c r="D9" s="2" t="s">
        <v>1355</v>
      </c>
    </row>
    <row r="10" spans="1:4" x14ac:dyDescent="0.35">
      <c r="A10" s="2" t="s">
        <v>1356</v>
      </c>
      <c r="B10" s="15">
        <v>-4.4999999999999998E-2</v>
      </c>
      <c r="C10" s="13">
        <f>CER!C26</f>
        <v>-4.5270911962532093E-2</v>
      </c>
      <c r="D10" s="2" t="s">
        <v>1357</v>
      </c>
    </row>
    <row r="11" spans="1:4" x14ac:dyDescent="0.35">
      <c r="A11" s="2" t="s">
        <v>1358</v>
      </c>
      <c r="B11" s="15">
        <v>-3.6999999999999998E-2</v>
      </c>
      <c r="C11" s="13">
        <f>CER!C27</f>
        <v>-3.6894371386739441E-2</v>
      </c>
      <c r="D11" s="2" t="s">
        <v>1359</v>
      </c>
    </row>
    <row r="12" spans="1:4" x14ac:dyDescent="0.35">
      <c r="A12" s="2" t="s">
        <v>1360</v>
      </c>
      <c r="B12" s="27">
        <v>0.25</v>
      </c>
      <c r="C12" s="14">
        <f>CER!C28</f>
        <v>0.25076275594279407</v>
      </c>
      <c r="D12" s="2" t="s">
        <v>1361</v>
      </c>
    </row>
    <row r="13" spans="1:4" x14ac:dyDescent="0.35">
      <c r="A13" s="2" t="s">
        <v>1362</v>
      </c>
      <c r="B13" s="27">
        <v>4.5199999999999996</v>
      </c>
      <c r="C13" s="14">
        <f>CER!C29</f>
        <v>4.5177498284981663</v>
      </c>
      <c r="D13" s="2" t="s">
        <v>1363</v>
      </c>
    </row>
    <row r="14" spans="1:4" x14ac:dyDescent="0.35">
      <c r="A14" s="2" t="s">
        <v>1364</v>
      </c>
      <c r="B14" s="27">
        <v>0.94</v>
      </c>
      <c r="C14" s="14">
        <f>CER!C42</f>
        <v>0.93852140077821011</v>
      </c>
      <c r="D14" s="2" t="s">
        <v>1365</v>
      </c>
    </row>
    <row r="15" spans="1:4" x14ac:dyDescent="0.35">
      <c r="A15" s="2" t="s">
        <v>1366</v>
      </c>
      <c r="B15" s="12">
        <v>0.84599999999999997</v>
      </c>
      <c r="C15" s="17">
        <f>Alternatives!C6</f>
        <v>0.8460374814042213</v>
      </c>
      <c r="D15" s="2" t="s">
        <v>1367</v>
      </c>
    </row>
    <row r="16" spans="1:4" x14ac:dyDescent="0.35">
      <c r="A16" s="2" t="s">
        <v>1368</v>
      </c>
      <c r="B16" s="12">
        <v>0.46510000000000001</v>
      </c>
      <c r="C16" s="17">
        <f>Alternatives!C25</f>
        <v>0.46508850691349218</v>
      </c>
      <c r="D16" s="2" t="s">
        <v>1369</v>
      </c>
    </row>
    <row r="17" spans="1:4" x14ac:dyDescent="0.35">
      <c r="A17" s="2" t="s">
        <v>1370</v>
      </c>
      <c r="B17" s="12">
        <v>0.96799999999999997</v>
      </c>
      <c r="C17" s="17">
        <f>Alternatives!C43</f>
        <v>0.96804523408135212</v>
      </c>
      <c r="D17" s="2" t="s">
        <v>1371</v>
      </c>
    </row>
    <row r="18" spans="1:4" x14ac:dyDescent="0.35">
      <c r="A18" s="2" t="s">
        <v>1372</v>
      </c>
      <c r="B18" s="5">
        <v>13798</v>
      </c>
      <c r="C18" s="28">
        <f>Alternatives!F62</f>
        <v>13798.035643126617</v>
      </c>
      <c r="D18" s="2" t="s">
        <v>1373</v>
      </c>
    </row>
    <row r="19" spans="1:4" x14ac:dyDescent="0.35">
      <c r="A19" s="2" t="s">
        <v>1374</v>
      </c>
      <c r="B19" s="7">
        <v>0.03</v>
      </c>
      <c r="C19" s="29">
        <f>Alternatives!F61</f>
        <v>2.6167687807124869E-2</v>
      </c>
      <c r="D19" s="2" t="s">
        <v>1375</v>
      </c>
    </row>
    <row r="20" spans="1:4" x14ac:dyDescent="0.35">
      <c r="A20" s="2" t="s">
        <v>1376</v>
      </c>
      <c r="B20" s="16">
        <v>178.66</v>
      </c>
      <c r="C20" s="22">
        <f>Alternatives!F63</f>
        <v>178.65742192971371</v>
      </c>
      <c r="D20" s="2" t="s">
        <v>1377</v>
      </c>
    </row>
    <row r="21" spans="1:4" x14ac:dyDescent="0.35">
      <c r="A21" s="2" t="s">
        <v>1378</v>
      </c>
      <c r="B21" s="26">
        <v>1.7899999999999999E-2</v>
      </c>
      <c r="C21" s="21">
        <f>Normalization!K13</f>
        <v>1.7897142438697111E-2</v>
      </c>
      <c r="D21" s="2" t="s">
        <v>1379</v>
      </c>
    </row>
    <row r="22" spans="1:4" x14ac:dyDescent="0.35">
      <c r="A22" s="2" t="s">
        <v>1380</v>
      </c>
      <c r="B22" s="12">
        <v>0.98</v>
      </c>
      <c r="C22" s="17">
        <f>Normalization!K12</f>
        <v>0.97954874315910934</v>
      </c>
      <c r="D22" s="2" t="s">
        <v>1381</v>
      </c>
    </row>
    <row r="23" spans="1:4" x14ac:dyDescent="0.35">
      <c r="A23" s="2" t="s">
        <v>1382</v>
      </c>
      <c r="B23" s="16">
        <v>43</v>
      </c>
      <c r="C23" s="22">
        <f>Normalization!L15</f>
        <v>43.019805987706228</v>
      </c>
      <c r="D23" s="2" t="s">
        <v>1383</v>
      </c>
    </row>
    <row r="24" spans="1:4" x14ac:dyDescent="0.35">
      <c r="A24" s="2" t="s">
        <v>1384</v>
      </c>
      <c r="B24" s="16">
        <v>38.1</v>
      </c>
      <c r="C24" s="22">
        <f>Normalization!K15</f>
        <v>38.130568624427795</v>
      </c>
      <c r="D24" s="2" t="s">
        <v>1385</v>
      </c>
    </row>
    <row r="25" spans="1:4" x14ac:dyDescent="0.35">
      <c r="A25" s="2" t="s">
        <v>1386</v>
      </c>
      <c r="B25" s="16">
        <v>14.3</v>
      </c>
      <c r="C25" s="22">
        <f>Normalization!K27</f>
        <v>14.346651135410283</v>
      </c>
      <c r="D25" s="2" t="s">
        <v>1387</v>
      </c>
    </row>
    <row r="26" spans="1:4" x14ac:dyDescent="0.35">
      <c r="A26" s="2" t="s">
        <v>1388</v>
      </c>
      <c r="B26" s="16">
        <v>2.1</v>
      </c>
      <c r="C26" s="22">
        <f>Diffusion!D6/Diffusion!D5</f>
        <v>2.1324041811846692</v>
      </c>
      <c r="D26" s="2" t="s">
        <v>1389</v>
      </c>
    </row>
    <row r="27" spans="1:4" x14ac:dyDescent="0.35">
      <c r="A27" s="2" t="s">
        <v>1390</v>
      </c>
      <c r="B27" s="16">
        <v>15.3</v>
      </c>
      <c r="C27" s="22">
        <f>Diffusion!H5</f>
        <v>15.311669528475399</v>
      </c>
      <c r="D27" s="2" t="s">
        <v>1391</v>
      </c>
    </row>
    <row r="28" spans="1:4" x14ac:dyDescent="0.35">
      <c r="A28" s="2" t="s">
        <v>1392</v>
      </c>
      <c r="B28" s="16">
        <v>23.9</v>
      </c>
      <c r="C28" s="22">
        <f>Diffusion!H8</f>
        <v>23.882875840611081</v>
      </c>
      <c r="D28" s="2" t="s">
        <v>1393</v>
      </c>
    </row>
    <row r="29" spans="1:4" x14ac:dyDescent="0.35">
      <c r="A29" s="2" t="s">
        <v>1394</v>
      </c>
      <c r="B29" s="16">
        <v>15.1</v>
      </c>
      <c r="C29" s="22">
        <f>Diffusion!H9</f>
        <v>15.101199844235188</v>
      </c>
      <c r="D29" s="2" t="s">
        <v>1395</v>
      </c>
    </row>
    <row r="30" spans="1:4" x14ac:dyDescent="0.35">
      <c r="A30" s="2" t="s">
        <v>1396</v>
      </c>
      <c r="B30" s="24">
        <v>2036</v>
      </c>
      <c r="C30" s="25">
        <f>Diffusion!F8</f>
        <v>2036.2</v>
      </c>
      <c r="D30" s="2" t="s">
        <v>1397</v>
      </c>
    </row>
    <row r="31" spans="1:4" x14ac:dyDescent="0.35">
      <c r="A31" s="2" t="s">
        <v>1398</v>
      </c>
      <c r="B31" s="24">
        <v>2032</v>
      </c>
      <c r="C31" s="25">
        <f>Diffusion!F9</f>
        <v>2032.3</v>
      </c>
      <c r="D31" s="2" t="s">
        <v>1399</v>
      </c>
    </row>
    <row r="32" spans="1:4" x14ac:dyDescent="0.35">
      <c r="A32" s="2" t="s">
        <v>1400</v>
      </c>
      <c r="B32" s="26">
        <v>1.8599999999999998E-2</v>
      </c>
      <c r="C32" s="21">
        <f>'Class Productivity'!B9</f>
        <v>1.8643913141340285E-2</v>
      </c>
      <c r="D32" s="2" t="s">
        <v>1401</v>
      </c>
    </row>
    <row r="33" spans="1:4" x14ac:dyDescent="0.35">
      <c r="A33" s="2" t="s">
        <v>1402</v>
      </c>
      <c r="B33" s="26">
        <v>2.41E-2</v>
      </c>
      <c r="C33" s="21">
        <f>'Class Productivity'!B10</f>
        <v>2.4110537297239221E-2</v>
      </c>
      <c r="D33" s="2" t="s">
        <v>1403</v>
      </c>
    </row>
    <row r="34" spans="1:4" x14ac:dyDescent="0.35">
      <c r="A34" s="2" t="s">
        <v>1404</v>
      </c>
      <c r="B34" s="26">
        <v>2.0799999999999999E-2</v>
      </c>
      <c r="C34" s="21">
        <f>'Class Productivity'!B11</f>
        <v>2.0780183841014876E-2</v>
      </c>
      <c r="D34" s="2" t="s">
        <v>1405</v>
      </c>
    </row>
    <row r="35" spans="1:4" x14ac:dyDescent="0.35">
      <c r="A35" s="2" t="s">
        <v>1406</v>
      </c>
      <c r="B35" s="26">
        <v>1.84E-2</v>
      </c>
      <c r="C35" s="21">
        <f>'Class Productivity'!B12</f>
        <v>1.8354211886890903E-2</v>
      </c>
      <c r="D35" s="2" t="s">
        <v>1407</v>
      </c>
    </row>
    <row r="36" spans="1:4" x14ac:dyDescent="0.35">
      <c r="A36" s="2" t="s">
        <v>1408</v>
      </c>
      <c r="B36" s="26">
        <v>2.06E-2</v>
      </c>
      <c r="C36" s="21">
        <f>'Class Productivity'!B13</f>
        <v>2.0637318388675219E-2</v>
      </c>
      <c r="D36" s="2" t="s">
        <v>1409</v>
      </c>
    </row>
    <row r="37" spans="1:4" x14ac:dyDescent="0.35">
      <c r="A37" s="2" t="s">
        <v>1410</v>
      </c>
      <c r="B37" s="12">
        <v>0.91800000000000004</v>
      </c>
      <c r="C37" s="17">
        <f>'Class Productivity'!C10</f>
        <v>0.91822635037371469</v>
      </c>
      <c r="D37" s="2" t="s">
        <v>1411</v>
      </c>
    </row>
    <row r="38" spans="1:4" x14ac:dyDescent="0.35">
      <c r="A38" s="2" t="s">
        <v>1412</v>
      </c>
      <c r="B38" s="26">
        <v>1.8599999999999998E-2</v>
      </c>
      <c r="C38" s="21">
        <f>'Class Productivity'!E8</f>
        <v>1.8621507987029773E-2</v>
      </c>
      <c r="D38" s="2" t="s">
        <v>1413</v>
      </c>
    </row>
    <row r="39" spans="1:4" x14ac:dyDescent="0.35">
      <c r="A39" s="2" t="s">
        <v>1414</v>
      </c>
      <c r="B39" s="12">
        <v>0.98399999999999999</v>
      </c>
      <c r="C39" s="17">
        <f>'Class Productivity'!F8</f>
        <v>0.98403439550479832</v>
      </c>
      <c r="D39" s="2" t="s">
        <v>1415</v>
      </c>
    </row>
    <row r="40" spans="1:4" x14ac:dyDescent="0.35">
      <c r="A40" s="2" t="s">
        <v>1416</v>
      </c>
      <c r="B40" s="24">
        <v>39</v>
      </c>
      <c r="C40" s="25">
        <f>'Class Productivity'!G8</f>
        <v>39.057284927676697</v>
      </c>
      <c r="D40" s="2" t="s">
        <v>1417</v>
      </c>
    </row>
    <row r="41" spans="1:4" x14ac:dyDescent="0.35">
      <c r="A41" s="2" t="s">
        <v>1418</v>
      </c>
      <c r="B41" s="26">
        <v>1.8800000000000001E-2</v>
      </c>
      <c r="C41" s="21">
        <f>'Class Productivity'!E9</f>
        <v>1.8750131852796725E-2</v>
      </c>
      <c r="D41" s="2" t="s">
        <v>1419</v>
      </c>
    </row>
    <row r="42" spans="1:4" x14ac:dyDescent="0.35">
      <c r="A42" s="2" t="s">
        <v>1420</v>
      </c>
      <c r="B42" s="26">
        <v>2.24E-2</v>
      </c>
      <c r="C42" s="21">
        <f>'Class Productivity'!E10</f>
        <v>2.2422855836127908E-2</v>
      </c>
      <c r="D42" s="2" t="s">
        <v>1421</v>
      </c>
    </row>
    <row r="43" spans="1:4" x14ac:dyDescent="0.35">
      <c r="A43" s="2" t="s">
        <v>1422</v>
      </c>
      <c r="B43" s="26">
        <v>2.2200000000000001E-2</v>
      </c>
      <c r="C43" s="21">
        <f>'Class Productivity'!E11</f>
        <v>2.2235554404349989E-2</v>
      </c>
      <c r="D43" s="2" t="s">
        <v>1423</v>
      </c>
    </row>
    <row r="44" spans="1:4" x14ac:dyDescent="0.35">
      <c r="A44" s="2" t="s">
        <v>1424</v>
      </c>
      <c r="B44" s="26">
        <v>1.9900000000000001E-2</v>
      </c>
      <c r="C44" s="21">
        <f>'Class Productivity'!E12</f>
        <v>1.9911904931695368E-2</v>
      </c>
      <c r="D44" s="2" t="s">
        <v>1425</v>
      </c>
    </row>
    <row r="45" spans="1:4" x14ac:dyDescent="0.35">
      <c r="A45" s="2" t="s">
        <v>1426</v>
      </c>
      <c r="B45" s="26">
        <v>2.2200000000000001E-2</v>
      </c>
      <c r="C45" s="21">
        <f>'Class Productivity'!E13</f>
        <v>2.2231614409877754E-2</v>
      </c>
      <c r="D45" s="2" t="s">
        <v>1427</v>
      </c>
    </row>
    <row r="46" spans="1:4" x14ac:dyDescent="0.35">
      <c r="A46" s="2" t="s">
        <v>1428</v>
      </c>
      <c r="B46" s="12">
        <v>0.94399999999999995</v>
      </c>
      <c r="C46" s="17">
        <f>'Class Productivity'!F10</f>
        <v>0.94440924806169169</v>
      </c>
      <c r="D46" s="2" t="s">
        <v>1429</v>
      </c>
    </row>
    <row r="47" spans="1:4" x14ac:dyDescent="0.35">
      <c r="A47" s="2" t="s">
        <v>1430</v>
      </c>
      <c r="B47" s="26">
        <v>2.3599999999999999E-2</v>
      </c>
      <c r="C47" s="21">
        <f>'EV Productivity'!J12</f>
        <v>2.3601099051873575E-2</v>
      </c>
      <c r="D47" s="2" t="s">
        <v>1431</v>
      </c>
    </row>
    <row r="48" spans="1:4" x14ac:dyDescent="0.35">
      <c r="A48" s="2" t="s">
        <v>1432</v>
      </c>
      <c r="B48" s="12">
        <v>0.71599999999999997</v>
      </c>
      <c r="C48" s="17">
        <f>'EV Productivity'!J11</f>
        <v>0.71632056186247417</v>
      </c>
      <c r="D48" s="2" t="s">
        <v>1433</v>
      </c>
    </row>
    <row r="49" spans="1:4" x14ac:dyDescent="0.35">
      <c r="A49" s="2" t="s">
        <v>1434</v>
      </c>
      <c r="B49" s="24">
        <v>207</v>
      </c>
      <c r="C49" s="25">
        <f>'EV Productivity'!J14</f>
        <v>207.3604940195687</v>
      </c>
      <c r="D49" s="2" t="s">
        <v>1435</v>
      </c>
    </row>
    <row r="52" spans="1:4" ht="32" customHeight="1" x14ac:dyDescent="0.35">
      <c r="A52" s="30" t="s">
        <v>1436</v>
      </c>
      <c r="B52" s="31"/>
      <c r="C52" s="31"/>
      <c r="D52" s="31"/>
    </row>
  </sheetData>
  <mergeCells count="1">
    <mergeCell ref="A52:D5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Data</vt:lpstr>
      <vt:lpstr>Data_Combustion</vt:lpstr>
      <vt:lpstr>CER</vt:lpstr>
      <vt:lpstr>Alternatives</vt:lpstr>
      <vt:lpstr>Normalization</vt:lpstr>
      <vt:lpstr>Diffusion</vt:lpstr>
      <vt:lpstr>EV Productivity</vt:lpstr>
      <vt:lpstr>Class Productivity</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CHERWONIK, SAMUEL A CIV USAF HAF SAF</cp:lastModifiedBy>
  <dcterms:created xsi:type="dcterms:W3CDTF">2026-09-17T14:27:03Z</dcterms:created>
  <dcterms:modified xsi:type="dcterms:W3CDTF">2026-09-17T14:27:16Z</dcterms:modified>
</cp:coreProperties>
</file>